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5C16C91C-155B-45E0-BCDE-E5C4BE16A89C}" xr6:coauthVersionLast="44" xr6:coauthVersionMax="44" xr10:uidLastSave="{00000000-0000-0000-0000-000000000000}"/>
  <bookViews>
    <workbookView minimized="1" xWindow="975" yWindow="1215" windowWidth="17565" windowHeight="19410" tabRatio="749" activeTab="1" xr2:uid="{00000000-000D-0000-FFFF-FFFF00000000}"/>
  </bookViews>
  <sheets>
    <sheet name="Reflectivity" sheetId="1" r:id="rId1"/>
    <sheet name="Uncertainties" sheetId="43" r:id="rId2"/>
    <sheet name="swellRatioRich" sheetId="48" r:id="rId3"/>
    <sheet name="swellRatioPoor" sheetId="49" r:id="rId4"/>
    <sheet name="sigMarker" sheetId="39" r:id="rId5"/>
    <sheet name="deldod" sheetId="50" r:id="rId6"/>
    <sheet name="dSiOx" sheetId="45" r:id="rId7"/>
    <sheet name="sigBuffer" sheetId="42" r:id="rId8"/>
    <sheet name="ScaledCombined" sheetId="18" r:id="rId9"/>
    <sheet name="ScatteringParameters" sheetId="7" r:id="rId10"/>
    <sheet name="AtomicParameters" sheetId="6" r:id="rId11"/>
  </sheets>
  <functionGroups builtInGroupCount="19"/>
  <externalReferences>
    <externalReference r:id="rId12"/>
  </externalReferences>
  <definedNames>
    <definedName name="REF_L_2790_2008_01_10T13_3A40_3A12_04_3A00_CE_scaling" localSheetId="8">ScaledCombined!$A$1:$M$341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1" i="1" l="1"/>
  <c r="G70" i="1"/>
  <c r="G69" i="1"/>
  <c r="G68" i="1"/>
  <c r="F68" i="1"/>
  <c r="H67" i="1"/>
  <c r="H77" i="1"/>
  <c r="H65" i="1"/>
  <c r="G67" i="1"/>
  <c r="F67" i="1"/>
  <c r="C67" i="1"/>
  <c r="G66" i="1"/>
  <c r="F66" i="1"/>
  <c r="F65" i="1"/>
  <c r="H71" i="1"/>
  <c r="G65" i="1"/>
  <c r="H63" i="1"/>
  <c r="C65" i="1"/>
  <c r="C63" i="1"/>
  <c r="H50" i="1"/>
  <c r="H46" i="1"/>
  <c r="H44" i="1"/>
  <c r="H32" i="1"/>
  <c r="G40" i="1"/>
  <c r="G39" i="1"/>
  <c r="H38" i="1"/>
  <c r="F37" i="1"/>
  <c r="F38" i="1"/>
  <c r="H36" i="1"/>
  <c r="H56" i="1"/>
  <c r="F36" i="1"/>
  <c r="G35" i="1"/>
  <c r="G34" i="1"/>
  <c r="F35" i="1"/>
  <c r="F34" i="1"/>
  <c r="F32" i="1"/>
  <c r="H40" i="1"/>
  <c r="C36" i="1"/>
  <c r="C38" i="1"/>
  <c r="C32" i="1"/>
  <c r="C34" i="1"/>
  <c r="C64" i="1"/>
  <c r="C66" i="1"/>
  <c r="C68" i="1"/>
  <c r="E50" i="1"/>
  <c r="C50" i="1"/>
  <c r="D50" i="1"/>
  <c r="B50" i="1"/>
  <c r="H48" i="1"/>
  <c r="H52" i="1"/>
  <c r="H34" i="1"/>
  <c r="C69" i="1"/>
  <c r="G36" i="1"/>
  <c r="G37" i="1"/>
  <c r="G38" i="1"/>
  <c r="G33" i="1"/>
  <c r="C29" i="43"/>
  <c r="B29" i="43"/>
  <c r="B24" i="43"/>
  <c r="C25" i="43" s="1"/>
  <c r="C35" i="1"/>
  <c r="C33" i="1"/>
  <c r="C37" i="1"/>
  <c r="H22" i="1"/>
  <c r="B16" i="43"/>
  <c r="B18" i="43"/>
  <c r="B20" i="43"/>
  <c r="B12" i="43"/>
  <c r="B23" i="43"/>
  <c r="C3" i="43"/>
  <c r="B3" i="43"/>
  <c r="C2" i="43"/>
  <c r="B2" i="43"/>
  <c r="B14" i="43"/>
  <c r="C7" i="43"/>
  <c r="C6" i="43"/>
  <c r="C4" i="43"/>
  <c r="B26" i="43"/>
  <c r="G5" i="1"/>
  <c r="F5" i="1"/>
  <c r="G6" i="1"/>
  <c r="G8" i="1"/>
  <c r="H8" i="1"/>
  <c r="G9" i="1"/>
  <c r="G10" i="1"/>
  <c r="G11" i="1"/>
  <c r="G12" i="1"/>
  <c r="H16" i="1"/>
  <c r="H20" i="1"/>
  <c r="B7" i="43"/>
  <c r="H24" i="1"/>
  <c r="B8" i="43"/>
  <c r="B4" i="43"/>
  <c r="H4" i="1"/>
  <c r="B25" i="43"/>
  <c r="H6" i="1"/>
  <c r="B6" i="43"/>
  <c r="F7" i="1"/>
  <c r="B13" i="43"/>
  <c r="C13" i="43"/>
  <c r="C19" i="43"/>
  <c r="H10" i="1"/>
  <c r="F11" i="1"/>
  <c r="F12" i="1"/>
  <c r="B19" i="43"/>
  <c r="F6" i="1"/>
  <c r="B21" i="43"/>
  <c r="C8" i="43"/>
  <c r="C17" i="43"/>
  <c r="C11" i="1"/>
  <c r="B27" i="43"/>
  <c r="F9" i="1"/>
  <c r="F10" i="1"/>
  <c r="C9" i="1"/>
  <c r="C7" i="1"/>
  <c r="C10" i="1"/>
  <c r="C6" i="1"/>
  <c r="C12" i="1"/>
  <c r="C8" i="1"/>
  <c r="F8" i="1"/>
  <c r="H12" i="1"/>
  <c r="B15" i="43"/>
  <c r="B5" i="43"/>
  <c r="B17" i="43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C256" i="1"/>
  <c r="AB256" i="1"/>
  <c r="AA256" i="1"/>
  <c r="AF255" i="1"/>
  <c r="AE255" i="1"/>
  <c r="AC255" i="1"/>
  <c r="AB255" i="1"/>
  <c r="AA255" i="1"/>
  <c r="AF254" i="1"/>
  <c r="AE254" i="1"/>
  <c r="AC254" i="1"/>
  <c r="AB254" i="1"/>
  <c r="AA254" i="1"/>
  <c r="AF253" i="1"/>
  <c r="AE253" i="1"/>
  <c r="AC253" i="1"/>
  <c r="AB253" i="1"/>
  <c r="AA253" i="1"/>
  <c r="AF252" i="1"/>
  <c r="AE252" i="1"/>
  <c r="AC252" i="1"/>
  <c r="AB252" i="1"/>
  <c r="AA252" i="1"/>
  <c r="AF251" i="1"/>
  <c r="AE251" i="1"/>
  <c r="AC251" i="1"/>
  <c r="AB251" i="1"/>
  <c r="AA251" i="1"/>
  <c r="AF250" i="1"/>
  <c r="AE250" i="1"/>
  <c r="AC250" i="1"/>
  <c r="AB250" i="1"/>
  <c r="AA250" i="1"/>
  <c r="AF249" i="1"/>
  <c r="AE249" i="1"/>
  <c r="AC249" i="1"/>
  <c r="AB249" i="1"/>
  <c r="AA249" i="1"/>
  <c r="AF248" i="1"/>
  <c r="AE248" i="1"/>
  <c r="AC248" i="1"/>
  <c r="AB248" i="1"/>
  <c r="AA248" i="1"/>
  <c r="AF247" i="1"/>
  <c r="AE247" i="1"/>
  <c r="AC247" i="1"/>
  <c r="AB247" i="1"/>
  <c r="AA247" i="1"/>
  <c r="AF246" i="1"/>
  <c r="AE246" i="1"/>
  <c r="AC246" i="1"/>
  <c r="AB246" i="1"/>
  <c r="AA246" i="1"/>
  <c r="AF245" i="1"/>
  <c r="AE245" i="1"/>
  <c r="AC245" i="1"/>
  <c r="AB245" i="1"/>
  <c r="AA245" i="1"/>
  <c r="AF244" i="1"/>
  <c r="AE244" i="1"/>
  <c r="AC244" i="1"/>
  <c r="AB244" i="1"/>
  <c r="AA244" i="1"/>
  <c r="AF243" i="1"/>
  <c r="AE243" i="1"/>
  <c r="AC243" i="1"/>
  <c r="AB243" i="1"/>
  <c r="AA243" i="1"/>
  <c r="AF242" i="1"/>
  <c r="AE242" i="1"/>
  <c r="AC242" i="1"/>
  <c r="AB242" i="1"/>
  <c r="AA242" i="1"/>
  <c r="AF241" i="1"/>
  <c r="AE241" i="1"/>
  <c r="AC241" i="1"/>
  <c r="AB241" i="1"/>
  <c r="AA241" i="1"/>
  <c r="AF240" i="1"/>
  <c r="AE240" i="1"/>
  <c r="AC240" i="1"/>
  <c r="AB240" i="1"/>
  <c r="AA240" i="1"/>
  <c r="AF239" i="1"/>
  <c r="AE239" i="1"/>
  <c r="AC239" i="1"/>
  <c r="AB239" i="1"/>
  <c r="AA239" i="1"/>
  <c r="AF238" i="1"/>
  <c r="AE238" i="1"/>
  <c r="AC238" i="1"/>
  <c r="AB238" i="1"/>
  <c r="AA238" i="1"/>
  <c r="AF237" i="1"/>
  <c r="AE237" i="1"/>
  <c r="AC237" i="1"/>
  <c r="AB237" i="1"/>
  <c r="AA237" i="1"/>
  <c r="AF236" i="1"/>
  <c r="AE236" i="1"/>
  <c r="AC236" i="1"/>
  <c r="AB236" i="1"/>
  <c r="AA236" i="1"/>
  <c r="AF235" i="1"/>
  <c r="AE235" i="1"/>
  <c r="AC235" i="1"/>
  <c r="AB235" i="1"/>
  <c r="AA235" i="1"/>
  <c r="AF234" i="1"/>
  <c r="AE234" i="1"/>
  <c r="AC234" i="1"/>
  <c r="AB234" i="1"/>
  <c r="AA234" i="1"/>
  <c r="AF233" i="1"/>
  <c r="AE233" i="1"/>
  <c r="AC233" i="1"/>
  <c r="AB233" i="1"/>
  <c r="AA233" i="1"/>
  <c r="AF232" i="1"/>
  <c r="AE232" i="1"/>
  <c r="AC232" i="1"/>
  <c r="AB232" i="1"/>
  <c r="AA232" i="1"/>
  <c r="AF231" i="1"/>
  <c r="AE231" i="1"/>
  <c r="AC231" i="1"/>
  <c r="AB231" i="1"/>
  <c r="AA231" i="1"/>
  <c r="AF230" i="1"/>
  <c r="AE230" i="1"/>
  <c r="AC230" i="1"/>
  <c r="AB230" i="1"/>
  <c r="AA230" i="1"/>
  <c r="AF229" i="1"/>
  <c r="AE229" i="1"/>
  <c r="AC229" i="1"/>
  <c r="AB229" i="1"/>
  <c r="AA229" i="1"/>
  <c r="AF228" i="1"/>
  <c r="AE228" i="1"/>
  <c r="AC228" i="1"/>
  <c r="AB228" i="1"/>
  <c r="AA228" i="1"/>
  <c r="AF227" i="1"/>
  <c r="AE227" i="1"/>
  <c r="AC227" i="1"/>
  <c r="AB227" i="1"/>
  <c r="AA227" i="1"/>
  <c r="AF226" i="1"/>
  <c r="AE226" i="1"/>
  <c r="AC226" i="1"/>
  <c r="AB226" i="1"/>
  <c r="AA226" i="1"/>
  <c r="AF225" i="1"/>
  <c r="AE225" i="1"/>
  <c r="AC225" i="1"/>
  <c r="AB225" i="1"/>
  <c r="AA225" i="1"/>
  <c r="AF224" i="1"/>
  <c r="AE224" i="1"/>
  <c r="AC224" i="1"/>
  <c r="AB224" i="1"/>
  <c r="AA224" i="1"/>
  <c r="AF223" i="1"/>
  <c r="AE223" i="1"/>
  <c r="AC223" i="1"/>
  <c r="AB223" i="1"/>
  <c r="AA223" i="1"/>
  <c r="AF222" i="1"/>
  <c r="AE222" i="1"/>
  <c r="AC222" i="1"/>
  <c r="AB222" i="1"/>
  <c r="AA222" i="1"/>
  <c r="AF221" i="1"/>
  <c r="AE221" i="1"/>
  <c r="AC221" i="1"/>
  <c r="AB221" i="1"/>
  <c r="AA221" i="1"/>
  <c r="AF220" i="1"/>
  <c r="AE220" i="1"/>
  <c r="AC220" i="1"/>
  <c r="AB220" i="1"/>
  <c r="AA220" i="1"/>
  <c r="AF219" i="1"/>
  <c r="AE219" i="1"/>
  <c r="AC219" i="1"/>
  <c r="AB219" i="1"/>
  <c r="AA219" i="1"/>
  <c r="AF218" i="1"/>
  <c r="AE218" i="1"/>
  <c r="AC218" i="1"/>
  <c r="AB218" i="1"/>
  <c r="AA218" i="1"/>
  <c r="AF217" i="1"/>
  <c r="AE217" i="1"/>
  <c r="AC217" i="1"/>
  <c r="AB217" i="1"/>
  <c r="AA217" i="1"/>
  <c r="AF216" i="1"/>
  <c r="AE216" i="1"/>
  <c r="AC216" i="1"/>
  <c r="AB216" i="1"/>
  <c r="AA216" i="1"/>
  <c r="AF215" i="1"/>
  <c r="AE215" i="1"/>
  <c r="AC215" i="1"/>
  <c r="AB215" i="1"/>
  <c r="AA215" i="1"/>
  <c r="AF214" i="1"/>
  <c r="AE214" i="1"/>
  <c r="AC214" i="1"/>
  <c r="AB214" i="1"/>
  <c r="AA214" i="1"/>
  <c r="AF213" i="1"/>
  <c r="AE213" i="1"/>
  <c r="AC213" i="1"/>
  <c r="AB213" i="1"/>
  <c r="AA213" i="1"/>
  <c r="AF212" i="1"/>
  <c r="AE212" i="1"/>
  <c r="AC212" i="1"/>
  <c r="AB212" i="1"/>
  <c r="AA212" i="1"/>
  <c r="AF211" i="1"/>
  <c r="AE211" i="1"/>
  <c r="AC211" i="1"/>
  <c r="AB211" i="1"/>
  <c r="AA211" i="1"/>
  <c r="AF210" i="1"/>
  <c r="AE210" i="1"/>
  <c r="AC210" i="1"/>
  <c r="AB210" i="1"/>
  <c r="AA210" i="1"/>
  <c r="AF209" i="1"/>
  <c r="AE209" i="1"/>
  <c r="AC209" i="1"/>
  <c r="AB209" i="1"/>
  <c r="AA209" i="1"/>
  <c r="AF208" i="1"/>
  <c r="AE208" i="1"/>
  <c r="AC208" i="1"/>
  <c r="AB208" i="1"/>
  <c r="AA208" i="1"/>
  <c r="AF207" i="1"/>
  <c r="AE207" i="1"/>
  <c r="AC207" i="1"/>
  <c r="AB207" i="1"/>
  <c r="AA207" i="1"/>
  <c r="AF206" i="1"/>
  <c r="AE206" i="1"/>
  <c r="AC206" i="1"/>
  <c r="AB206" i="1"/>
  <c r="AA206" i="1"/>
  <c r="AF205" i="1"/>
  <c r="AE205" i="1"/>
  <c r="AC205" i="1"/>
  <c r="AB205" i="1"/>
  <c r="AA205" i="1"/>
  <c r="AF204" i="1"/>
  <c r="AE204" i="1"/>
  <c r="AC204" i="1"/>
  <c r="AB204" i="1"/>
  <c r="AA204" i="1"/>
  <c r="AF203" i="1"/>
  <c r="AE203" i="1"/>
  <c r="AC203" i="1"/>
  <c r="AB203" i="1"/>
  <c r="AA203" i="1"/>
  <c r="AF202" i="1"/>
  <c r="AE202" i="1"/>
  <c r="AC202" i="1"/>
  <c r="AB202" i="1"/>
  <c r="AA202" i="1"/>
  <c r="AF201" i="1"/>
  <c r="AE201" i="1"/>
  <c r="AC201" i="1"/>
  <c r="AB201" i="1"/>
  <c r="AA201" i="1"/>
  <c r="AF200" i="1"/>
  <c r="AE200" i="1"/>
  <c r="AC200" i="1"/>
  <c r="AB200" i="1"/>
  <c r="AA200" i="1"/>
  <c r="AF199" i="1"/>
  <c r="AE199" i="1"/>
  <c r="AC199" i="1"/>
  <c r="AB199" i="1"/>
  <c r="AA199" i="1"/>
  <c r="AF198" i="1"/>
  <c r="AE198" i="1"/>
  <c r="AC198" i="1"/>
  <c r="AB198" i="1"/>
  <c r="AA198" i="1"/>
  <c r="AF197" i="1"/>
  <c r="AE197" i="1"/>
  <c r="AC197" i="1"/>
  <c r="AB197" i="1"/>
  <c r="AA197" i="1"/>
  <c r="AF196" i="1"/>
  <c r="AE196" i="1"/>
  <c r="AC196" i="1"/>
  <c r="AB196" i="1"/>
  <c r="AA196" i="1"/>
  <c r="AF195" i="1"/>
  <c r="AE195" i="1"/>
  <c r="AC195" i="1"/>
  <c r="AB195" i="1"/>
  <c r="AA195" i="1"/>
  <c r="AF194" i="1"/>
  <c r="AE194" i="1"/>
  <c r="AC194" i="1"/>
  <c r="AB194" i="1"/>
  <c r="AA194" i="1"/>
  <c r="AF193" i="1"/>
  <c r="AE193" i="1"/>
  <c r="AC193" i="1"/>
  <c r="AB193" i="1"/>
  <c r="AA193" i="1"/>
  <c r="AF192" i="1"/>
  <c r="AE192" i="1"/>
  <c r="AC192" i="1"/>
  <c r="AB192" i="1"/>
  <c r="AA192" i="1"/>
  <c r="AF191" i="1"/>
  <c r="AE191" i="1"/>
  <c r="AC191" i="1"/>
  <c r="AB191" i="1"/>
  <c r="AA191" i="1"/>
  <c r="AF190" i="1"/>
  <c r="AE190" i="1"/>
  <c r="AC190" i="1"/>
  <c r="AB190" i="1"/>
  <c r="AA190" i="1"/>
  <c r="AF189" i="1"/>
  <c r="AE189" i="1"/>
  <c r="AC189" i="1"/>
  <c r="AB189" i="1"/>
  <c r="AA189" i="1"/>
  <c r="AF188" i="1"/>
  <c r="AE188" i="1"/>
  <c r="AC188" i="1"/>
  <c r="AB188" i="1"/>
  <c r="AA188" i="1"/>
  <c r="AF187" i="1"/>
  <c r="AE187" i="1"/>
  <c r="AC187" i="1"/>
  <c r="AB187" i="1"/>
  <c r="AA187" i="1"/>
  <c r="AF186" i="1"/>
  <c r="AE186" i="1"/>
  <c r="AC186" i="1"/>
  <c r="AB186" i="1"/>
  <c r="AA186" i="1"/>
  <c r="AF185" i="1"/>
  <c r="AE185" i="1"/>
  <c r="AC185" i="1"/>
  <c r="AB185" i="1"/>
  <c r="AA185" i="1"/>
  <c r="AF184" i="1"/>
  <c r="AE184" i="1"/>
  <c r="AC184" i="1"/>
  <c r="AB184" i="1"/>
  <c r="AA184" i="1"/>
  <c r="AF183" i="1"/>
  <c r="AE183" i="1"/>
  <c r="AC183" i="1"/>
  <c r="AB183" i="1"/>
  <c r="AA183" i="1"/>
  <c r="AF182" i="1"/>
  <c r="AE182" i="1"/>
  <c r="AC182" i="1"/>
  <c r="AB182" i="1"/>
  <c r="AA182" i="1"/>
  <c r="AF181" i="1"/>
  <c r="AE181" i="1"/>
  <c r="AC181" i="1"/>
  <c r="AB181" i="1"/>
  <c r="AA181" i="1"/>
  <c r="AF180" i="1"/>
  <c r="AE180" i="1"/>
  <c r="AC180" i="1"/>
  <c r="AB180" i="1"/>
  <c r="AA180" i="1"/>
  <c r="AF179" i="1"/>
  <c r="AE179" i="1"/>
  <c r="AC179" i="1"/>
  <c r="AB179" i="1"/>
  <c r="AA179" i="1"/>
  <c r="AF178" i="1"/>
  <c r="AE178" i="1"/>
  <c r="AC178" i="1"/>
  <c r="AB178" i="1"/>
  <c r="AA178" i="1"/>
  <c r="AF177" i="1"/>
  <c r="AE177" i="1"/>
  <c r="AC177" i="1"/>
  <c r="AB177" i="1"/>
  <c r="AA177" i="1"/>
  <c r="AF176" i="1"/>
  <c r="AE176" i="1"/>
  <c r="AC176" i="1"/>
  <c r="AB176" i="1"/>
  <c r="AA176" i="1"/>
  <c r="AF175" i="1"/>
  <c r="AE175" i="1"/>
  <c r="AC175" i="1"/>
  <c r="AB175" i="1"/>
  <c r="AA175" i="1"/>
  <c r="AF174" i="1"/>
  <c r="AE174" i="1"/>
  <c r="AC174" i="1"/>
  <c r="AB174" i="1"/>
  <c r="AA174" i="1"/>
  <c r="AF173" i="1"/>
  <c r="AE173" i="1"/>
  <c r="AC173" i="1"/>
  <c r="AB173" i="1"/>
  <c r="AA173" i="1"/>
  <c r="AF172" i="1"/>
  <c r="AE172" i="1"/>
  <c r="AC172" i="1"/>
  <c r="AB172" i="1"/>
  <c r="AA172" i="1"/>
  <c r="AF171" i="1"/>
  <c r="AE171" i="1"/>
  <c r="AC171" i="1"/>
  <c r="AB171" i="1"/>
  <c r="AA171" i="1"/>
  <c r="AF170" i="1"/>
  <c r="AE170" i="1"/>
  <c r="AC170" i="1"/>
  <c r="AB170" i="1"/>
  <c r="AA170" i="1"/>
  <c r="AF169" i="1"/>
  <c r="AE169" i="1"/>
  <c r="AC169" i="1"/>
  <c r="AB169" i="1"/>
  <c r="AA169" i="1"/>
  <c r="AF168" i="1"/>
  <c r="AE168" i="1"/>
  <c r="AC168" i="1"/>
  <c r="AB168" i="1"/>
  <c r="AA168" i="1"/>
  <c r="AF167" i="1"/>
  <c r="AE167" i="1"/>
  <c r="AC167" i="1"/>
  <c r="AB167" i="1"/>
  <c r="AA167" i="1"/>
  <c r="AF166" i="1"/>
  <c r="AE166" i="1"/>
  <c r="AC166" i="1"/>
  <c r="AB166" i="1"/>
  <c r="AA166" i="1"/>
  <c r="AF165" i="1"/>
  <c r="AE165" i="1"/>
  <c r="AC165" i="1"/>
  <c r="AB165" i="1"/>
  <c r="AA165" i="1"/>
  <c r="AF164" i="1"/>
  <c r="AE164" i="1"/>
  <c r="AC164" i="1"/>
  <c r="AB164" i="1"/>
  <c r="AA164" i="1"/>
  <c r="AF163" i="1"/>
  <c r="AE163" i="1"/>
  <c r="AC163" i="1"/>
  <c r="AB163" i="1"/>
  <c r="AA163" i="1"/>
  <c r="AF162" i="1"/>
  <c r="AE162" i="1"/>
  <c r="AC162" i="1"/>
  <c r="AB162" i="1"/>
  <c r="AA162" i="1"/>
  <c r="AF161" i="1"/>
  <c r="AE161" i="1"/>
  <c r="AC161" i="1"/>
  <c r="AB161" i="1"/>
  <c r="AA161" i="1"/>
  <c r="AF160" i="1"/>
  <c r="AE160" i="1"/>
  <c r="AC160" i="1"/>
  <c r="AB160" i="1"/>
  <c r="AA160" i="1"/>
  <c r="AF159" i="1"/>
  <c r="AE159" i="1"/>
  <c r="AC159" i="1"/>
  <c r="AB159" i="1"/>
  <c r="AA159" i="1"/>
  <c r="AF158" i="1"/>
  <c r="AE158" i="1"/>
  <c r="AC158" i="1"/>
  <c r="AB158" i="1"/>
  <c r="AA158" i="1"/>
  <c r="AF157" i="1"/>
  <c r="AE157" i="1"/>
  <c r="AC157" i="1"/>
  <c r="AB157" i="1"/>
  <c r="AA157" i="1"/>
  <c r="AF156" i="1"/>
  <c r="AE156" i="1"/>
  <c r="AC156" i="1"/>
  <c r="AB156" i="1"/>
  <c r="AA156" i="1"/>
  <c r="AF155" i="1"/>
  <c r="AE155" i="1"/>
  <c r="AC155" i="1"/>
  <c r="AB155" i="1"/>
  <c r="AA155" i="1"/>
  <c r="AF154" i="1"/>
  <c r="AE154" i="1"/>
  <c r="AC154" i="1"/>
  <c r="AB154" i="1"/>
  <c r="AA154" i="1"/>
  <c r="AF153" i="1"/>
  <c r="AE153" i="1"/>
  <c r="AC153" i="1"/>
  <c r="AB153" i="1"/>
  <c r="AA153" i="1"/>
  <c r="AF152" i="1"/>
  <c r="AE152" i="1"/>
  <c r="AC152" i="1"/>
  <c r="AB152" i="1"/>
  <c r="AA152" i="1"/>
  <c r="AF151" i="1"/>
  <c r="AE151" i="1"/>
  <c r="AC151" i="1"/>
  <c r="AB151" i="1"/>
  <c r="AA151" i="1"/>
  <c r="AF150" i="1"/>
  <c r="AE150" i="1"/>
  <c r="AC150" i="1"/>
  <c r="AB150" i="1"/>
  <c r="AA150" i="1"/>
  <c r="AF149" i="1"/>
  <c r="AE149" i="1"/>
  <c r="AC149" i="1"/>
  <c r="AB149" i="1"/>
  <c r="AA149" i="1"/>
  <c r="AF148" i="1"/>
  <c r="AE148" i="1"/>
  <c r="AC148" i="1"/>
  <c r="AB148" i="1"/>
  <c r="AA148" i="1"/>
  <c r="AF147" i="1"/>
  <c r="AE147" i="1"/>
  <c r="AC147" i="1"/>
  <c r="AB147" i="1"/>
  <c r="AA147" i="1"/>
  <c r="AF146" i="1"/>
  <c r="AE146" i="1"/>
  <c r="AC146" i="1"/>
  <c r="AB146" i="1"/>
  <c r="AA146" i="1"/>
  <c r="AF145" i="1"/>
  <c r="AE145" i="1"/>
  <c r="AC145" i="1"/>
  <c r="AB145" i="1"/>
  <c r="AA145" i="1"/>
  <c r="AF144" i="1"/>
  <c r="AE144" i="1"/>
  <c r="AC144" i="1"/>
  <c r="AB144" i="1"/>
  <c r="AA144" i="1"/>
  <c r="AF143" i="1"/>
  <c r="AE143" i="1"/>
  <c r="AC143" i="1"/>
  <c r="AB143" i="1"/>
  <c r="AA143" i="1"/>
  <c r="AF142" i="1"/>
  <c r="AE142" i="1"/>
  <c r="AC142" i="1"/>
  <c r="AB142" i="1"/>
  <c r="AA142" i="1"/>
  <c r="AF141" i="1"/>
  <c r="AE141" i="1"/>
  <c r="AC141" i="1"/>
  <c r="AB141" i="1"/>
  <c r="AA141" i="1"/>
  <c r="AF140" i="1"/>
  <c r="AE140" i="1"/>
  <c r="AC140" i="1"/>
  <c r="AB140" i="1"/>
  <c r="AA140" i="1"/>
  <c r="AF139" i="1"/>
  <c r="AE139" i="1"/>
  <c r="AC139" i="1"/>
  <c r="AB139" i="1"/>
  <c r="AA139" i="1"/>
  <c r="AF138" i="1"/>
  <c r="AE138" i="1"/>
  <c r="AC138" i="1"/>
  <c r="AB138" i="1"/>
  <c r="AA138" i="1"/>
  <c r="AF137" i="1"/>
  <c r="AE137" i="1"/>
  <c r="AC137" i="1"/>
  <c r="AB137" i="1"/>
  <c r="AA137" i="1"/>
  <c r="AF136" i="1"/>
  <c r="AE136" i="1"/>
  <c r="AC136" i="1"/>
  <c r="AB136" i="1"/>
  <c r="AA136" i="1"/>
  <c r="AF135" i="1"/>
  <c r="AE135" i="1"/>
  <c r="AC135" i="1"/>
  <c r="AB135" i="1"/>
  <c r="AA135" i="1"/>
  <c r="AF134" i="1"/>
  <c r="AE134" i="1"/>
  <c r="AC134" i="1"/>
  <c r="AB134" i="1"/>
  <c r="AA134" i="1"/>
  <c r="AF133" i="1"/>
  <c r="AE133" i="1"/>
  <c r="AC133" i="1"/>
  <c r="AB133" i="1"/>
  <c r="AA133" i="1"/>
  <c r="AF132" i="1"/>
  <c r="AE132" i="1"/>
  <c r="AC132" i="1"/>
  <c r="AB132" i="1"/>
  <c r="AA132" i="1"/>
  <c r="AF131" i="1"/>
  <c r="AE131" i="1"/>
  <c r="AC131" i="1"/>
  <c r="AB131" i="1"/>
  <c r="AA131" i="1"/>
  <c r="AF130" i="1"/>
  <c r="AE130" i="1"/>
  <c r="AC130" i="1"/>
  <c r="AB130" i="1"/>
  <c r="AA130" i="1"/>
  <c r="AF129" i="1"/>
  <c r="AE129" i="1"/>
  <c r="AC129" i="1"/>
  <c r="AB129" i="1"/>
  <c r="AA129" i="1"/>
  <c r="AF128" i="1"/>
  <c r="AE128" i="1"/>
  <c r="AC128" i="1"/>
  <c r="AB128" i="1"/>
  <c r="AA128" i="1"/>
  <c r="AF127" i="1"/>
  <c r="AE127" i="1"/>
  <c r="AC127" i="1"/>
  <c r="AB127" i="1"/>
  <c r="AA127" i="1"/>
  <c r="AF126" i="1"/>
  <c r="AE126" i="1"/>
  <c r="AC126" i="1"/>
  <c r="AB126" i="1"/>
  <c r="AA126" i="1"/>
  <c r="AF125" i="1"/>
  <c r="AE125" i="1"/>
  <c r="AC125" i="1"/>
  <c r="AB125" i="1"/>
  <c r="AA125" i="1"/>
  <c r="AF124" i="1"/>
  <c r="AE124" i="1"/>
  <c r="AC124" i="1"/>
  <c r="AB124" i="1"/>
  <c r="AA124" i="1"/>
  <c r="AF123" i="1"/>
  <c r="AE123" i="1"/>
  <c r="AC123" i="1"/>
  <c r="AB123" i="1"/>
  <c r="AA123" i="1"/>
  <c r="AF122" i="1"/>
  <c r="AE122" i="1"/>
  <c r="AC122" i="1"/>
  <c r="AB122" i="1"/>
  <c r="AA122" i="1"/>
  <c r="AF121" i="1"/>
  <c r="AE121" i="1"/>
  <c r="AC121" i="1"/>
  <c r="AB121" i="1"/>
  <c r="AA121" i="1"/>
  <c r="AF120" i="1"/>
  <c r="AE120" i="1"/>
  <c r="AC120" i="1"/>
  <c r="AB120" i="1"/>
  <c r="AA120" i="1"/>
  <c r="AF119" i="1"/>
  <c r="AE119" i="1"/>
  <c r="AC119" i="1"/>
  <c r="AB119" i="1"/>
  <c r="AA119" i="1"/>
  <c r="AF118" i="1"/>
  <c r="AE118" i="1"/>
  <c r="AC118" i="1"/>
  <c r="AB118" i="1"/>
  <c r="AA118" i="1"/>
  <c r="AF117" i="1"/>
  <c r="AE117" i="1"/>
  <c r="AC117" i="1"/>
  <c r="AB117" i="1"/>
  <c r="AA117" i="1"/>
  <c r="AF116" i="1"/>
  <c r="AE116" i="1"/>
  <c r="AC116" i="1"/>
  <c r="AB116" i="1"/>
  <c r="AA116" i="1"/>
  <c r="AF115" i="1"/>
  <c r="AE115" i="1"/>
  <c r="AC115" i="1"/>
  <c r="AB115" i="1"/>
  <c r="AA115" i="1"/>
  <c r="AF114" i="1"/>
  <c r="AE114" i="1"/>
  <c r="AC114" i="1"/>
  <c r="AB114" i="1"/>
  <c r="AA114" i="1"/>
  <c r="AF113" i="1"/>
  <c r="AE113" i="1"/>
  <c r="AC113" i="1"/>
  <c r="AB113" i="1"/>
  <c r="AA113" i="1"/>
  <c r="AF112" i="1"/>
  <c r="AE112" i="1"/>
  <c r="AC112" i="1"/>
  <c r="AB112" i="1"/>
  <c r="AA112" i="1"/>
  <c r="AF111" i="1"/>
  <c r="AE111" i="1"/>
  <c r="AC111" i="1"/>
  <c r="AB111" i="1"/>
  <c r="AA111" i="1"/>
  <c r="AF110" i="1"/>
  <c r="AE110" i="1"/>
  <c r="AC110" i="1"/>
  <c r="AB110" i="1"/>
  <c r="AA110" i="1"/>
  <c r="AF109" i="1"/>
  <c r="AE109" i="1"/>
  <c r="AC109" i="1"/>
  <c r="AB109" i="1"/>
  <c r="AA109" i="1"/>
  <c r="AF108" i="1"/>
  <c r="AE108" i="1"/>
  <c r="AC108" i="1"/>
  <c r="AB108" i="1"/>
  <c r="AA108" i="1"/>
  <c r="AF107" i="1"/>
  <c r="AE107" i="1"/>
  <c r="AC107" i="1"/>
  <c r="AB107" i="1"/>
  <c r="AA107" i="1"/>
  <c r="AF106" i="1"/>
  <c r="AE106" i="1"/>
  <c r="AC106" i="1"/>
  <c r="AB106" i="1"/>
  <c r="AA106" i="1"/>
  <c r="AF105" i="1"/>
  <c r="AE105" i="1"/>
  <c r="AC105" i="1"/>
  <c r="AB105" i="1"/>
  <c r="AA105" i="1"/>
  <c r="AF104" i="1"/>
  <c r="AE104" i="1"/>
  <c r="AC104" i="1"/>
  <c r="AB104" i="1"/>
  <c r="AA104" i="1"/>
  <c r="AF103" i="1"/>
  <c r="AE103" i="1"/>
  <c r="AC103" i="1"/>
  <c r="AB103" i="1"/>
  <c r="AA103" i="1"/>
  <c r="AF102" i="1"/>
  <c r="AE102" i="1"/>
  <c r="AC102" i="1"/>
  <c r="AB102" i="1"/>
  <c r="AA102" i="1"/>
  <c r="AF101" i="1"/>
  <c r="AE101" i="1"/>
  <c r="AC101" i="1"/>
  <c r="AB101" i="1"/>
  <c r="AA101" i="1"/>
  <c r="AF100" i="1"/>
  <c r="AE100" i="1"/>
  <c r="AC100" i="1"/>
  <c r="AB100" i="1"/>
  <c r="AA100" i="1"/>
  <c r="AF99" i="1"/>
  <c r="AE99" i="1"/>
  <c r="AC99" i="1"/>
  <c r="AB99" i="1"/>
  <c r="AA99" i="1"/>
  <c r="AF98" i="1"/>
  <c r="AE98" i="1"/>
  <c r="AC98" i="1"/>
  <c r="AB98" i="1"/>
  <c r="AA98" i="1"/>
  <c r="AF97" i="1"/>
  <c r="AE97" i="1"/>
  <c r="AC97" i="1"/>
  <c r="AB97" i="1"/>
  <c r="AA97" i="1"/>
  <c r="AF96" i="1"/>
  <c r="AE96" i="1"/>
  <c r="AC96" i="1"/>
  <c r="AB96" i="1"/>
  <c r="AA96" i="1"/>
  <c r="AF95" i="1"/>
  <c r="AE95" i="1"/>
  <c r="AC95" i="1"/>
  <c r="AB95" i="1"/>
  <c r="AA95" i="1"/>
  <c r="AF94" i="1"/>
  <c r="AE94" i="1"/>
  <c r="AC94" i="1"/>
  <c r="AB94" i="1"/>
  <c r="AA94" i="1"/>
  <c r="AF93" i="1"/>
  <c r="AE93" i="1"/>
  <c r="AC93" i="1"/>
  <c r="AB93" i="1"/>
  <c r="AA93" i="1"/>
  <c r="AF92" i="1"/>
  <c r="AE92" i="1"/>
  <c r="AC92" i="1"/>
  <c r="AB92" i="1"/>
  <c r="AA92" i="1"/>
  <c r="AF91" i="1"/>
  <c r="AE91" i="1"/>
  <c r="AC91" i="1"/>
  <c r="AB91" i="1"/>
  <c r="AA91" i="1"/>
  <c r="AF90" i="1"/>
  <c r="AE90" i="1"/>
  <c r="AC90" i="1"/>
  <c r="AB90" i="1"/>
  <c r="AA90" i="1"/>
  <c r="AF89" i="1"/>
  <c r="AE89" i="1"/>
  <c r="AC89" i="1"/>
  <c r="AB89" i="1"/>
  <c r="AA89" i="1"/>
  <c r="AF88" i="1"/>
  <c r="AE88" i="1"/>
  <c r="AC88" i="1"/>
  <c r="AB88" i="1"/>
  <c r="AA88" i="1"/>
  <c r="AF87" i="1"/>
  <c r="AE87" i="1"/>
  <c r="AC87" i="1"/>
  <c r="AB87" i="1"/>
  <c r="AA87" i="1"/>
  <c r="AF86" i="1"/>
  <c r="AE86" i="1"/>
  <c r="AC86" i="1"/>
  <c r="AB86" i="1"/>
  <c r="AA86" i="1"/>
  <c r="AF85" i="1"/>
  <c r="AE85" i="1"/>
  <c r="AC85" i="1"/>
  <c r="AB85" i="1"/>
  <c r="AA85" i="1"/>
  <c r="AF84" i="1"/>
  <c r="AE84" i="1"/>
  <c r="AC84" i="1"/>
  <c r="AB84" i="1"/>
  <c r="AA84" i="1"/>
  <c r="AF83" i="1"/>
  <c r="AE83" i="1"/>
  <c r="AC83" i="1"/>
  <c r="AB83" i="1"/>
  <c r="AA83" i="1"/>
  <c r="AF82" i="1"/>
  <c r="AE82" i="1"/>
  <c r="AC82" i="1"/>
  <c r="AB82" i="1"/>
  <c r="AA82" i="1"/>
  <c r="AF81" i="1"/>
  <c r="AE81" i="1"/>
  <c r="AC81" i="1"/>
  <c r="AB81" i="1"/>
  <c r="AA81" i="1"/>
  <c r="AF80" i="1"/>
  <c r="AE80" i="1"/>
  <c r="AC80" i="1"/>
  <c r="AB80" i="1"/>
  <c r="AA80" i="1"/>
  <c r="AF79" i="1"/>
  <c r="AE79" i="1"/>
  <c r="AC79" i="1"/>
  <c r="AB79" i="1"/>
  <c r="AA79" i="1"/>
  <c r="AF78" i="1"/>
  <c r="AE78" i="1"/>
  <c r="AC78" i="1"/>
  <c r="AB78" i="1"/>
  <c r="AA78" i="1"/>
  <c r="AF77" i="1"/>
  <c r="AE77" i="1"/>
  <c r="AC77" i="1"/>
  <c r="AB77" i="1"/>
  <c r="AA77" i="1"/>
  <c r="AF76" i="1"/>
  <c r="AE76" i="1"/>
  <c r="AC76" i="1"/>
  <c r="AB76" i="1"/>
  <c r="AA76" i="1"/>
  <c r="AF75" i="1"/>
  <c r="AE75" i="1"/>
  <c r="AC75" i="1"/>
  <c r="AB75" i="1"/>
  <c r="AA75" i="1"/>
  <c r="AF74" i="1"/>
  <c r="AE74" i="1"/>
  <c r="AC74" i="1"/>
  <c r="AB74" i="1"/>
  <c r="AA74" i="1"/>
  <c r="AF73" i="1"/>
  <c r="AE73" i="1"/>
  <c r="AC73" i="1"/>
  <c r="AB73" i="1"/>
  <c r="AA73" i="1"/>
  <c r="AF72" i="1"/>
  <c r="AE72" i="1"/>
  <c r="AC72" i="1"/>
  <c r="AB72" i="1"/>
  <c r="AA72" i="1"/>
  <c r="AF71" i="1"/>
  <c r="AE71" i="1"/>
  <c r="AC71" i="1"/>
  <c r="AB71" i="1"/>
  <c r="AA71" i="1"/>
  <c r="AF70" i="1"/>
  <c r="AE70" i="1"/>
  <c r="AC70" i="1"/>
  <c r="AB70" i="1"/>
  <c r="AA70" i="1"/>
  <c r="AF69" i="1"/>
  <c r="AE69" i="1"/>
  <c r="AC69" i="1"/>
  <c r="AB69" i="1"/>
  <c r="AA69" i="1"/>
  <c r="AF68" i="1"/>
  <c r="AE68" i="1"/>
  <c r="AC68" i="1"/>
  <c r="AB68" i="1"/>
  <c r="AA68" i="1"/>
  <c r="AF67" i="1"/>
  <c r="AE67" i="1"/>
  <c r="AC67" i="1"/>
  <c r="AB67" i="1"/>
  <c r="AA67" i="1"/>
  <c r="AF66" i="1"/>
  <c r="AE66" i="1"/>
  <c r="AC66" i="1"/>
  <c r="AB66" i="1"/>
  <c r="AA66" i="1"/>
  <c r="AF65" i="1"/>
  <c r="AE65" i="1"/>
  <c r="AC65" i="1"/>
  <c r="AB65" i="1"/>
  <c r="AA65" i="1"/>
  <c r="AF64" i="1"/>
  <c r="AE64" i="1"/>
  <c r="AC64" i="1"/>
  <c r="AB64" i="1"/>
  <c r="AA64" i="1"/>
  <c r="AF63" i="1"/>
  <c r="AE63" i="1"/>
  <c r="AC63" i="1"/>
  <c r="AB63" i="1"/>
  <c r="AA63" i="1"/>
  <c r="AF62" i="1"/>
  <c r="AE62" i="1"/>
  <c r="AC62" i="1"/>
  <c r="AB62" i="1"/>
  <c r="AA62" i="1"/>
  <c r="AF61" i="1"/>
  <c r="AE61" i="1"/>
  <c r="AC61" i="1"/>
  <c r="AB61" i="1"/>
  <c r="AA61" i="1"/>
  <c r="AF60" i="1"/>
  <c r="AE60" i="1"/>
  <c r="AC60" i="1"/>
  <c r="AB60" i="1"/>
  <c r="AA60" i="1"/>
  <c r="AF59" i="1"/>
  <c r="AE59" i="1"/>
  <c r="AC59" i="1"/>
  <c r="AB59" i="1"/>
  <c r="AA59" i="1"/>
  <c r="AF58" i="1"/>
  <c r="AE58" i="1"/>
  <c r="AC58" i="1"/>
  <c r="AB58" i="1"/>
  <c r="AA58" i="1"/>
  <c r="AF57" i="1"/>
  <c r="AE57" i="1"/>
  <c r="AC57" i="1"/>
  <c r="AB57" i="1"/>
  <c r="AA57" i="1"/>
  <c r="AF56" i="1"/>
  <c r="AE56" i="1"/>
  <c r="AC56" i="1"/>
  <c r="AB56" i="1"/>
  <c r="AA56" i="1"/>
  <c r="AF55" i="1"/>
  <c r="AE55" i="1"/>
  <c r="AC55" i="1"/>
  <c r="AB55" i="1"/>
  <c r="AA55" i="1"/>
  <c r="AF54" i="1"/>
  <c r="AE54" i="1"/>
  <c r="AC54" i="1"/>
  <c r="AB54" i="1"/>
  <c r="AA54" i="1"/>
  <c r="AF53" i="1"/>
  <c r="AE53" i="1"/>
  <c r="AC53" i="1"/>
  <c r="AB53" i="1"/>
  <c r="AA53" i="1"/>
  <c r="AF52" i="1"/>
  <c r="AE52" i="1"/>
  <c r="AC52" i="1"/>
  <c r="AB52" i="1"/>
  <c r="AA52" i="1"/>
  <c r="AF51" i="1"/>
  <c r="AE51" i="1"/>
  <c r="AC51" i="1"/>
  <c r="AB51" i="1"/>
  <c r="AA51" i="1"/>
  <c r="AF50" i="1"/>
  <c r="AE50" i="1"/>
  <c r="AC50" i="1"/>
  <c r="AB50" i="1"/>
  <c r="AA50" i="1"/>
  <c r="AF49" i="1"/>
  <c r="AE49" i="1"/>
  <c r="AC49" i="1"/>
  <c r="AB49" i="1"/>
  <c r="AA49" i="1"/>
  <c r="AF48" i="1"/>
  <c r="AE48" i="1"/>
  <c r="AC48" i="1"/>
  <c r="AB48" i="1"/>
  <c r="AA48" i="1"/>
  <c r="AF47" i="1"/>
  <c r="AE47" i="1"/>
  <c r="AC47" i="1"/>
  <c r="AB47" i="1"/>
  <c r="AA47" i="1"/>
  <c r="AF46" i="1"/>
  <c r="AE46" i="1"/>
  <c r="AC46" i="1"/>
  <c r="AB46" i="1"/>
  <c r="AA46" i="1"/>
  <c r="AF45" i="1"/>
  <c r="AE45" i="1"/>
  <c r="AC45" i="1"/>
  <c r="AB45" i="1"/>
  <c r="AA45" i="1"/>
  <c r="AF44" i="1"/>
  <c r="AE44" i="1"/>
  <c r="AC44" i="1"/>
  <c r="AB44" i="1"/>
  <c r="AA44" i="1"/>
  <c r="AF43" i="1"/>
  <c r="AE43" i="1"/>
  <c r="AC43" i="1"/>
  <c r="AB43" i="1"/>
  <c r="AA43" i="1"/>
  <c r="AF42" i="1"/>
  <c r="AE42" i="1"/>
  <c r="AC42" i="1"/>
  <c r="AB42" i="1"/>
  <c r="AA42" i="1"/>
  <c r="AF41" i="1"/>
  <c r="AE41" i="1"/>
  <c r="AC41" i="1"/>
  <c r="AB41" i="1"/>
  <c r="AA41" i="1"/>
  <c r="AF40" i="1"/>
  <c r="AE40" i="1"/>
  <c r="AC40" i="1"/>
  <c r="AB40" i="1"/>
  <c r="AA40" i="1"/>
  <c r="AF39" i="1"/>
  <c r="AE39" i="1"/>
  <c r="AC39" i="1"/>
  <c r="AB39" i="1"/>
  <c r="AA39" i="1"/>
  <c r="AF38" i="1"/>
  <c r="AE38" i="1"/>
  <c r="AC38" i="1"/>
  <c r="AB38" i="1"/>
  <c r="AA38" i="1"/>
  <c r="AF37" i="1"/>
  <c r="AE37" i="1"/>
  <c r="AC37" i="1"/>
  <c r="AB37" i="1"/>
  <c r="AA37" i="1"/>
  <c r="AF36" i="1"/>
  <c r="AE36" i="1"/>
  <c r="AC36" i="1"/>
  <c r="AB36" i="1"/>
  <c r="AA36" i="1"/>
  <c r="AF35" i="1"/>
  <c r="AE35" i="1"/>
  <c r="AC35" i="1"/>
  <c r="AB35" i="1"/>
  <c r="AA35" i="1"/>
  <c r="AF34" i="1"/>
  <c r="AE34" i="1"/>
  <c r="AC34" i="1"/>
  <c r="AB34" i="1"/>
  <c r="AA34" i="1"/>
  <c r="AF33" i="1"/>
  <c r="AE33" i="1"/>
  <c r="AC33" i="1"/>
  <c r="AB33" i="1"/>
  <c r="AA33" i="1"/>
  <c r="AF32" i="1"/>
  <c r="AE32" i="1"/>
  <c r="AC32" i="1"/>
  <c r="AB32" i="1"/>
  <c r="AA32" i="1"/>
  <c r="AF31" i="1"/>
  <c r="AE31" i="1"/>
  <c r="AC31" i="1"/>
  <c r="AB31" i="1"/>
  <c r="AA31" i="1"/>
  <c r="AF30" i="1"/>
  <c r="AE30" i="1"/>
  <c r="AC30" i="1"/>
  <c r="AB30" i="1"/>
  <c r="AA30" i="1"/>
  <c r="AF29" i="1"/>
  <c r="AE29" i="1"/>
  <c r="AC29" i="1"/>
  <c r="AB29" i="1"/>
  <c r="AA29" i="1"/>
  <c r="AF28" i="1"/>
  <c r="AE28" i="1"/>
  <c r="AC28" i="1"/>
  <c r="AB28" i="1"/>
  <c r="AA28" i="1"/>
  <c r="AF27" i="1"/>
  <c r="AE27" i="1"/>
  <c r="AC27" i="1"/>
  <c r="AB27" i="1"/>
  <c r="AA27" i="1"/>
  <c r="AF26" i="1"/>
  <c r="AE26" i="1"/>
  <c r="AC26" i="1"/>
  <c r="AB26" i="1"/>
  <c r="AA26" i="1"/>
  <c r="AF25" i="1"/>
  <c r="AE25" i="1"/>
  <c r="AC25" i="1"/>
  <c r="AB25" i="1"/>
  <c r="AA25" i="1"/>
  <c r="AF24" i="1"/>
  <c r="AE24" i="1"/>
  <c r="AC24" i="1"/>
  <c r="AB24" i="1"/>
  <c r="AA24" i="1"/>
  <c r="AF23" i="1"/>
  <c r="AE23" i="1"/>
  <c r="AC23" i="1"/>
  <c r="AB23" i="1"/>
  <c r="AA23" i="1"/>
  <c r="AF22" i="1"/>
  <c r="AE22" i="1"/>
  <c r="AC22" i="1"/>
  <c r="AB22" i="1"/>
  <c r="AA22" i="1"/>
  <c r="AF21" i="1"/>
  <c r="AE21" i="1"/>
  <c r="AC21" i="1"/>
  <c r="AB21" i="1"/>
  <c r="AA21" i="1"/>
  <c r="AF20" i="1"/>
  <c r="AE20" i="1"/>
  <c r="AC20" i="1"/>
  <c r="AB20" i="1"/>
  <c r="AA20" i="1"/>
  <c r="AF19" i="1"/>
  <c r="AE19" i="1"/>
  <c r="AC19" i="1"/>
  <c r="AB19" i="1"/>
  <c r="AA19" i="1"/>
  <c r="AF18" i="1"/>
  <c r="AE18" i="1"/>
  <c r="AC18" i="1"/>
  <c r="AB18" i="1"/>
  <c r="AA18" i="1"/>
  <c r="AF17" i="1"/>
  <c r="AE17" i="1"/>
  <c r="AC17" i="1"/>
  <c r="AB17" i="1"/>
  <c r="AA17" i="1"/>
  <c r="AF16" i="1"/>
  <c r="AE16" i="1"/>
  <c r="AC16" i="1"/>
  <c r="AB16" i="1"/>
  <c r="AA16" i="1"/>
  <c r="AF15" i="1"/>
  <c r="AE15" i="1"/>
  <c r="AC15" i="1"/>
  <c r="AB15" i="1"/>
  <c r="AA15" i="1"/>
  <c r="AF14" i="1"/>
  <c r="AE14" i="1"/>
  <c r="AC14" i="1"/>
  <c r="AB14" i="1"/>
  <c r="AA14" i="1"/>
  <c r="AF13" i="1"/>
  <c r="AE13" i="1"/>
  <c r="AC13" i="1"/>
  <c r="AB13" i="1"/>
  <c r="AA13" i="1"/>
  <c r="AF12" i="1"/>
  <c r="AE12" i="1"/>
  <c r="AC12" i="1"/>
  <c r="AB12" i="1"/>
  <c r="AA12" i="1"/>
  <c r="AF11" i="1"/>
  <c r="AE11" i="1"/>
  <c r="AC11" i="1"/>
  <c r="AB11" i="1"/>
  <c r="AA11" i="1"/>
  <c r="AF10" i="1"/>
  <c r="AE10" i="1"/>
  <c r="AC10" i="1"/>
  <c r="AB10" i="1"/>
  <c r="AA10" i="1"/>
  <c r="AF9" i="1"/>
  <c r="AE9" i="1"/>
  <c r="AC9" i="1"/>
  <c r="AB9" i="1"/>
  <c r="AA9" i="1"/>
  <c r="AF8" i="1"/>
  <c r="AE8" i="1"/>
  <c r="AC8" i="1"/>
  <c r="AB8" i="1"/>
  <c r="AA8" i="1"/>
  <c r="AF7" i="1"/>
  <c r="AE7" i="1"/>
  <c r="AC7" i="1"/>
  <c r="AB7" i="1"/>
  <c r="AA7" i="1"/>
  <c r="AF6" i="1"/>
  <c r="AE6" i="1"/>
  <c r="AC6" i="1"/>
  <c r="AB6" i="1"/>
  <c r="AA6" i="1"/>
  <c r="AF5" i="1"/>
  <c r="AE5" i="1"/>
  <c r="AC5" i="1"/>
  <c r="AB5" i="1"/>
  <c r="AA5" i="1"/>
  <c r="AF4" i="1"/>
  <c r="AE4" i="1"/>
  <c r="AC4" i="1"/>
  <c r="AB4" i="1"/>
  <c r="AA4" i="1"/>
  <c r="AF3" i="1"/>
  <c r="AE3" i="1"/>
  <c r="AC3" i="1"/>
  <c r="AB3" i="1"/>
  <c r="AA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B9" i="43"/>
  <c r="C15" i="43"/>
  <c r="Y256" i="1"/>
  <c r="AD256" i="1"/>
  <c r="Y255" i="1"/>
  <c r="AD255" i="1"/>
  <c r="Y254" i="1"/>
  <c r="AD254" i="1"/>
  <c r="Y253" i="1"/>
  <c r="AD253" i="1"/>
  <c r="Y252" i="1"/>
  <c r="AD252" i="1"/>
  <c r="Y251" i="1"/>
  <c r="AD251" i="1"/>
  <c r="Y250" i="1"/>
  <c r="AD250" i="1"/>
  <c r="Y249" i="1"/>
  <c r="AD249" i="1"/>
  <c r="Y248" i="1"/>
  <c r="AD248" i="1"/>
  <c r="Y247" i="1"/>
  <c r="AD247" i="1"/>
  <c r="Y246" i="1"/>
  <c r="AD246" i="1"/>
  <c r="Y245" i="1"/>
  <c r="AD245" i="1"/>
  <c r="Y244" i="1"/>
  <c r="AD244" i="1"/>
  <c r="Y243" i="1"/>
  <c r="AD243" i="1"/>
  <c r="Y242" i="1"/>
  <c r="AD242" i="1"/>
  <c r="Y241" i="1"/>
  <c r="AD241" i="1"/>
  <c r="Y240" i="1"/>
  <c r="AD240" i="1"/>
  <c r="Y239" i="1"/>
  <c r="AD239" i="1"/>
  <c r="Y238" i="1"/>
  <c r="AD238" i="1"/>
  <c r="Y237" i="1"/>
  <c r="AD237" i="1"/>
  <c r="Y236" i="1"/>
  <c r="AD236" i="1"/>
  <c r="Y235" i="1"/>
  <c r="AD235" i="1"/>
  <c r="Y234" i="1"/>
  <c r="AD234" i="1"/>
  <c r="Y233" i="1"/>
  <c r="AD233" i="1"/>
  <c r="Y232" i="1"/>
  <c r="AD232" i="1"/>
  <c r="Y231" i="1"/>
  <c r="AD231" i="1"/>
  <c r="Y230" i="1"/>
  <c r="AD230" i="1"/>
  <c r="Y229" i="1"/>
  <c r="AD229" i="1"/>
  <c r="Y228" i="1"/>
  <c r="AD228" i="1"/>
  <c r="Y227" i="1"/>
  <c r="AD227" i="1"/>
  <c r="Y226" i="1"/>
  <c r="AD226" i="1"/>
  <c r="Y225" i="1"/>
  <c r="AD225" i="1"/>
  <c r="Y224" i="1"/>
  <c r="AD224" i="1"/>
  <c r="Y223" i="1"/>
  <c r="AD223" i="1"/>
  <c r="Y222" i="1"/>
  <c r="AD222" i="1"/>
  <c r="Y221" i="1"/>
  <c r="AD221" i="1"/>
  <c r="Y220" i="1"/>
  <c r="AD220" i="1"/>
  <c r="Y219" i="1"/>
  <c r="AD219" i="1"/>
  <c r="Y218" i="1"/>
  <c r="AD218" i="1"/>
  <c r="Y217" i="1"/>
  <c r="AD217" i="1"/>
  <c r="Y216" i="1"/>
  <c r="AD216" i="1"/>
  <c r="Y215" i="1"/>
  <c r="AD215" i="1"/>
  <c r="Y214" i="1"/>
  <c r="AD214" i="1"/>
  <c r="Y213" i="1"/>
  <c r="AD213" i="1"/>
  <c r="Y212" i="1"/>
  <c r="AD212" i="1"/>
  <c r="Y211" i="1"/>
  <c r="AD211" i="1"/>
  <c r="Y210" i="1"/>
  <c r="AD210" i="1"/>
  <c r="Y209" i="1"/>
  <c r="AD209" i="1"/>
  <c r="Y208" i="1"/>
  <c r="AD208" i="1"/>
  <c r="Y207" i="1"/>
  <c r="AD207" i="1"/>
  <c r="Y206" i="1"/>
  <c r="AD206" i="1"/>
  <c r="Y205" i="1"/>
  <c r="AD205" i="1"/>
  <c r="Y204" i="1"/>
  <c r="AD204" i="1"/>
  <c r="Y203" i="1"/>
  <c r="AD203" i="1"/>
  <c r="Y202" i="1"/>
  <c r="AD202" i="1"/>
  <c r="Y201" i="1"/>
  <c r="AD201" i="1"/>
  <c r="Y200" i="1"/>
  <c r="AD200" i="1"/>
  <c r="Y199" i="1"/>
  <c r="AD199" i="1"/>
  <c r="Y198" i="1"/>
  <c r="AD198" i="1"/>
  <c r="Y197" i="1"/>
  <c r="AD197" i="1"/>
  <c r="Y196" i="1"/>
  <c r="AD196" i="1"/>
  <c r="Y195" i="1"/>
  <c r="AD195" i="1"/>
  <c r="Y194" i="1"/>
  <c r="AD194" i="1"/>
  <c r="Y193" i="1"/>
  <c r="AD193" i="1"/>
  <c r="Y192" i="1"/>
  <c r="AD192" i="1"/>
  <c r="Y191" i="1"/>
  <c r="AD191" i="1"/>
  <c r="Y190" i="1"/>
  <c r="AD190" i="1"/>
  <c r="Y189" i="1"/>
  <c r="AD189" i="1"/>
  <c r="Y188" i="1"/>
  <c r="AD188" i="1"/>
  <c r="Y187" i="1"/>
  <c r="AD187" i="1"/>
  <c r="Y186" i="1"/>
  <c r="AD186" i="1"/>
  <c r="Y185" i="1"/>
  <c r="AD185" i="1"/>
  <c r="Y184" i="1"/>
  <c r="AD184" i="1"/>
  <c r="Y183" i="1"/>
  <c r="AD183" i="1"/>
  <c r="Y182" i="1"/>
  <c r="AD182" i="1"/>
  <c r="Y181" i="1"/>
  <c r="AD181" i="1"/>
  <c r="Y180" i="1"/>
  <c r="AD180" i="1"/>
  <c r="Y179" i="1"/>
  <c r="AD179" i="1"/>
  <c r="Y178" i="1"/>
  <c r="AD178" i="1"/>
  <c r="Y177" i="1"/>
  <c r="AD177" i="1"/>
  <c r="Y176" i="1"/>
  <c r="AD176" i="1"/>
  <c r="Y175" i="1"/>
  <c r="AD175" i="1"/>
  <c r="Y174" i="1"/>
  <c r="AD174" i="1"/>
  <c r="Y173" i="1"/>
  <c r="AD173" i="1"/>
  <c r="Y172" i="1"/>
  <c r="AD172" i="1"/>
  <c r="Y171" i="1"/>
  <c r="AD171" i="1"/>
  <c r="Y170" i="1"/>
  <c r="AD170" i="1"/>
  <c r="Y169" i="1"/>
  <c r="AD169" i="1"/>
  <c r="Y168" i="1"/>
  <c r="AD168" i="1"/>
  <c r="Y167" i="1"/>
  <c r="AD167" i="1"/>
  <c r="Y166" i="1"/>
  <c r="AD166" i="1"/>
  <c r="Y165" i="1"/>
  <c r="AD165" i="1"/>
  <c r="Y164" i="1"/>
  <c r="AD164" i="1"/>
  <c r="Y163" i="1"/>
  <c r="AD163" i="1"/>
  <c r="Y162" i="1"/>
  <c r="AD162" i="1"/>
  <c r="Y161" i="1"/>
  <c r="AD161" i="1"/>
  <c r="Y160" i="1"/>
  <c r="AD160" i="1"/>
  <c r="Y159" i="1"/>
  <c r="AD159" i="1"/>
  <c r="Y158" i="1"/>
  <c r="AD158" i="1"/>
  <c r="Y157" i="1"/>
  <c r="AD157" i="1"/>
  <c r="Y156" i="1"/>
  <c r="AD156" i="1"/>
  <c r="Y155" i="1"/>
  <c r="AD155" i="1"/>
  <c r="Y154" i="1"/>
  <c r="AD154" i="1"/>
  <c r="Y153" i="1"/>
  <c r="AD153" i="1"/>
  <c r="Y152" i="1"/>
  <c r="AD152" i="1"/>
  <c r="Y151" i="1"/>
  <c r="AD151" i="1"/>
  <c r="Y150" i="1"/>
  <c r="AD150" i="1"/>
  <c r="Y149" i="1"/>
  <c r="AD149" i="1"/>
  <c r="Y148" i="1"/>
  <c r="AD148" i="1"/>
  <c r="Y147" i="1"/>
  <c r="AD147" i="1"/>
  <c r="Y146" i="1"/>
  <c r="AD146" i="1"/>
  <c r="Y145" i="1"/>
  <c r="AD145" i="1"/>
  <c r="Y144" i="1"/>
  <c r="AD144" i="1"/>
  <c r="Y143" i="1"/>
  <c r="AD143" i="1"/>
  <c r="Y142" i="1"/>
  <c r="AD142" i="1"/>
  <c r="Y141" i="1"/>
  <c r="AD141" i="1"/>
  <c r="Y140" i="1"/>
  <c r="AD140" i="1"/>
  <c r="Y139" i="1"/>
  <c r="AD139" i="1"/>
  <c r="Y138" i="1"/>
  <c r="AD138" i="1"/>
  <c r="Y137" i="1"/>
  <c r="AD137" i="1"/>
  <c r="Y136" i="1"/>
  <c r="AD136" i="1"/>
  <c r="Y135" i="1"/>
  <c r="AD135" i="1"/>
  <c r="Y134" i="1"/>
  <c r="AD134" i="1"/>
  <c r="Y133" i="1"/>
  <c r="AD133" i="1"/>
  <c r="Y132" i="1"/>
  <c r="AD132" i="1"/>
  <c r="Y131" i="1"/>
  <c r="AD131" i="1"/>
  <c r="Y130" i="1"/>
  <c r="AD130" i="1"/>
  <c r="Y129" i="1"/>
  <c r="AD129" i="1"/>
  <c r="Y128" i="1"/>
  <c r="AD128" i="1"/>
  <c r="Y127" i="1"/>
  <c r="AD127" i="1"/>
  <c r="Y126" i="1"/>
  <c r="AD126" i="1"/>
  <c r="Y125" i="1"/>
  <c r="AD125" i="1"/>
  <c r="Y124" i="1"/>
  <c r="AD124" i="1"/>
  <c r="Y123" i="1"/>
  <c r="AD123" i="1"/>
  <c r="Y122" i="1"/>
  <c r="AD122" i="1"/>
  <c r="Y121" i="1"/>
  <c r="AD121" i="1"/>
  <c r="Y120" i="1"/>
  <c r="AD120" i="1"/>
  <c r="Y119" i="1"/>
  <c r="AD119" i="1"/>
  <c r="Y118" i="1"/>
  <c r="AD118" i="1"/>
  <c r="Y117" i="1"/>
  <c r="AD117" i="1"/>
  <c r="Y116" i="1"/>
  <c r="AD116" i="1"/>
  <c r="Y115" i="1"/>
  <c r="AD115" i="1"/>
  <c r="Y114" i="1"/>
  <c r="AD114" i="1"/>
  <c r="Y113" i="1"/>
  <c r="AD113" i="1"/>
  <c r="Y112" i="1"/>
  <c r="AD112" i="1"/>
  <c r="Y111" i="1"/>
  <c r="AD111" i="1"/>
  <c r="Y110" i="1"/>
  <c r="AD110" i="1"/>
  <c r="Y109" i="1"/>
  <c r="AD109" i="1"/>
  <c r="Y108" i="1"/>
  <c r="AD108" i="1"/>
  <c r="Y107" i="1"/>
  <c r="AD107" i="1"/>
  <c r="Y106" i="1"/>
  <c r="AD106" i="1"/>
  <c r="Y105" i="1"/>
  <c r="AD105" i="1"/>
  <c r="Y104" i="1"/>
  <c r="AD104" i="1"/>
  <c r="Y103" i="1"/>
  <c r="AD103" i="1"/>
  <c r="Y102" i="1"/>
  <c r="AD102" i="1"/>
  <c r="Y101" i="1"/>
  <c r="AD101" i="1"/>
  <c r="Y100" i="1"/>
  <c r="AD100" i="1"/>
  <c r="Y99" i="1"/>
  <c r="AD99" i="1"/>
  <c r="Y98" i="1"/>
  <c r="AD98" i="1"/>
  <c r="Y97" i="1"/>
  <c r="AD97" i="1"/>
  <c r="Y96" i="1"/>
  <c r="AD96" i="1"/>
  <c r="Y95" i="1"/>
  <c r="AD95" i="1"/>
  <c r="Y94" i="1"/>
  <c r="AD94" i="1"/>
  <c r="Y93" i="1"/>
  <c r="AD93" i="1"/>
  <c r="Y92" i="1"/>
  <c r="AD92" i="1"/>
  <c r="Y91" i="1"/>
  <c r="AD91" i="1"/>
  <c r="Y90" i="1"/>
  <c r="AD90" i="1"/>
  <c r="Y89" i="1"/>
  <c r="AD89" i="1"/>
  <c r="Y88" i="1"/>
  <c r="AD88" i="1"/>
  <c r="Y87" i="1"/>
  <c r="AD87" i="1"/>
  <c r="Y86" i="1"/>
  <c r="AD86" i="1"/>
  <c r="Y85" i="1"/>
  <c r="AD85" i="1"/>
  <c r="Y84" i="1"/>
  <c r="AD84" i="1"/>
  <c r="Y83" i="1"/>
  <c r="AD83" i="1"/>
  <c r="Y82" i="1"/>
  <c r="AD82" i="1"/>
  <c r="Y81" i="1"/>
  <c r="AD81" i="1"/>
  <c r="Y80" i="1"/>
  <c r="AD80" i="1"/>
  <c r="Y79" i="1"/>
  <c r="AD79" i="1"/>
  <c r="Y78" i="1"/>
  <c r="AD78" i="1"/>
  <c r="Y77" i="1"/>
  <c r="AD77" i="1"/>
  <c r="Y76" i="1"/>
  <c r="AD76" i="1"/>
  <c r="Y75" i="1"/>
  <c r="AD75" i="1"/>
  <c r="Y74" i="1"/>
  <c r="AD74" i="1"/>
  <c r="Y73" i="1"/>
  <c r="AD73" i="1"/>
  <c r="Y72" i="1"/>
  <c r="AD72" i="1"/>
  <c r="Y71" i="1"/>
  <c r="AD71" i="1"/>
  <c r="Y70" i="1"/>
  <c r="AD70" i="1"/>
  <c r="Y69" i="1"/>
  <c r="AD69" i="1"/>
  <c r="Y68" i="1"/>
  <c r="AD68" i="1"/>
  <c r="Y67" i="1"/>
  <c r="AD67" i="1"/>
  <c r="Y66" i="1"/>
  <c r="AD66" i="1"/>
  <c r="Y65" i="1"/>
  <c r="AD65" i="1"/>
  <c r="Y64" i="1"/>
  <c r="AD64" i="1"/>
  <c r="Y63" i="1"/>
  <c r="AD63" i="1"/>
  <c r="Y62" i="1"/>
  <c r="AD62" i="1"/>
  <c r="Y61" i="1"/>
  <c r="AD61" i="1"/>
  <c r="Y60" i="1"/>
  <c r="AD60" i="1"/>
  <c r="Y59" i="1"/>
  <c r="AD59" i="1"/>
  <c r="Y58" i="1"/>
  <c r="AD58" i="1"/>
  <c r="Y57" i="1"/>
  <c r="AD57" i="1"/>
  <c r="Y56" i="1"/>
  <c r="AD56" i="1"/>
  <c r="Y55" i="1"/>
  <c r="AD55" i="1"/>
  <c r="Y54" i="1"/>
  <c r="AD54" i="1"/>
  <c r="Y53" i="1"/>
  <c r="AD53" i="1"/>
  <c r="Y52" i="1"/>
  <c r="AD52" i="1"/>
  <c r="Y51" i="1"/>
  <c r="AD51" i="1"/>
  <c r="Y50" i="1"/>
  <c r="AD50" i="1"/>
  <c r="Y49" i="1"/>
  <c r="AD49" i="1"/>
  <c r="Y48" i="1"/>
  <c r="AD48" i="1"/>
  <c r="Y47" i="1"/>
  <c r="AD47" i="1"/>
  <c r="Y46" i="1"/>
  <c r="AD46" i="1"/>
  <c r="Y45" i="1"/>
  <c r="AD45" i="1"/>
  <c r="Y44" i="1"/>
  <c r="AD44" i="1"/>
  <c r="Y43" i="1"/>
  <c r="AD43" i="1"/>
  <c r="Y42" i="1"/>
  <c r="AD42" i="1"/>
  <c r="Y41" i="1"/>
  <c r="AD41" i="1"/>
  <c r="Y40" i="1"/>
  <c r="AD40" i="1"/>
  <c r="Y39" i="1"/>
  <c r="AD39" i="1"/>
  <c r="Y38" i="1"/>
  <c r="AD38" i="1"/>
  <c r="Y37" i="1"/>
  <c r="AD37" i="1"/>
  <c r="Y36" i="1"/>
  <c r="AD36" i="1"/>
  <c r="Y35" i="1"/>
  <c r="AD35" i="1"/>
  <c r="Y34" i="1"/>
  <c r="AD34" i="1"/>
  <c r="Y33" i="1"/>
  <c r="AD33" i="1"/>
  <c r="Y32" i="1"/>
  <c r="AD32" i="1"/>
  <c r="Y31" i="1"/>
  <c r="AD31" i="1"/>
  <c r="Y30" i="1"/>
  <c r="AD30" i="1"/>
  <c r="Y29" i="1"/>
  <c r="AD29" i="1"/>
  <c r="Y28" i="1"/>
  <c r="AD28" i="1"/>
  <c r="Y27" i="1"/>
  <c r="AD27" i="1"/>
  <c r="Y26" i="1"/>
  <c r="AD26" i="1"/>
  <c r="Y25" i="1"/>
  <c r="AD25" i="1"/>
  <c r="Y24" i="1"/>
  <c r="AD24" i="1"/>
  <c r="Y23" i="1"/>
  <c r="AD23" i="1"/>
  <c r="Y22" i="1"/>
  <c r="AD22" i="1"/>
  <c r="Y21" i="1"/>
  <c r="AD21" i="1"/>
  <c r="Y20" i="1"/>
  <c r="AD20" i="1"/>
  <c r="Y19" i="1"/>
  <c r="AD19" i="1"/>
  <c r="Y18" i="1"/>
  <c r="AD18" i="1"/>
  <c r="Y17" i="1"/>
  <c r="AD17" i="1"/>
  <c r="Y16" i="1"/>
  <c r="AD16" i="1"/>
  <c r="Y15" i="1"/>
  <c r="AD15" i="1"/>
  <c r="Y14" i="1"/>
  <c r="AD14" i="1"/>
  <c r="Y13" i="1"/>
  <c r="AD13" i="1"/>
  <c r="Y12" i="1"/>
  <c r="AD12" i="1"/>
  <c r="Y11" i="1"/>
  <c r="AD11" i="1"/>
  <c r="Y10" i="1"/>
  <c r="AD10" i="1"/>
  <c r="Y9" i="1"/>
  <c r="AD9" i="1"/>
  <c r="Y8" i="1"/>
  <c r="AD8" i="1"/>
  <c r="Y7" i="1"/>
  <c r="AD7" i="1"/>
  <c r="Y6" i="1"/>
  <c r="AD6" i="1"/>
  <c r="Y5" i="1"/>
  <c r="AD5" i="1"/>
  <c r="Y4" i="1"/>
  <c r="AD4" i="1"/>
  <c r="Y3" i="1"/>
  <c r="AD3" i="1"/>
  <c r="C5" i="43"/>
  <c r="C9" i="43"/>
  <c r="C21" i="43"/>
  <c r="Y2" i="1"/>
  <c r="C27" i="4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03062_VKx_thruSi_pH4.6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<sst xmlns="http://schemas.openxmlformats.org/spreadsheetml/2006/main" count="1198" uniqueCount="697">
  <si>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</si>
  <si>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</si>
  <si>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</si>
  <si>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</si>
  <si>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</si>
  <si>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</si>
  <si>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</si>
  <si>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</si>
  <si>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</si>
  <si>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</si>
  <si>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</si>
  <si>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</si>
  <si>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</si>
  <si>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</si>
  <si>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</si>
  <si>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</si>
  <si>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</si>
  <si>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</si>
  <si>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</si>
  <si>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</si>
  <si>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</si>
  <si>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</si>
  <si>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</si>
  <si>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</si>
  <si>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</si>
  <si>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</si>
  <si>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</si>
  <si>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</si>
  <si>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</si>
  <si>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</si>
  <si>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</si>
  <si>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</si>
  <si>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</si>
  <si>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</si>
  <si>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</si>
  <si>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</si>
  <si>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</si>
  <si>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</si>
  <si>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</si>
  <si>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</si>
  <si>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</si>
  <si>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</si>
  <si>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</si>
  <si>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</si>
  <si>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</si>
  <si>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</si>
  <si>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</si>
  <si>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</si>
  <si>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</si>
  <si>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</si>
  <si>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</si>
  <si>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</si>
  <si>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</si>
  <si>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</si>
  <si>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</si>
  <si>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</si>
  <si>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</si>
  <si>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</si>
  <si>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</si>
  <si>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</si>
  <si>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</si>
  <si>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</si>
  <si>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</si>
  <si>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</si>
  <si>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</si>
  <si>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</si>
  <si>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</si>
  <si>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</si>
  <si>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</si>
  <si>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</si>
  <si>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</si>
  <si>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</si>
  <si>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</si>
  <si>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</si>
  <si>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</si>
  <si>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</si>
  <si>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</si>
  <si>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</si>
  <si>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</si>
  <si>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</si>
  <si>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</si>
  <si>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</si>
  <si>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</si>
  <si>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</si>
  <si>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</si>
  <si>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</si>
  <si>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</si>
  <si>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</si>
  <si>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</si>
  <si>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</si>
  <si>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</si>
  <si>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</si>
  <si>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</si>
  <si>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</si>
  <si>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</si>
  <si>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</si>
  <si>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</si>
  <si>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</si>
  <si>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</si>
  <si>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</si>
  <si>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</si>
  <si>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</si>
  <si>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</si>
  <si>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</si>
  <si>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</si>
  <si>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</si>
  <si>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</si>
  <si>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</si>
  <si>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</si>
  <si>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</si>
  <si>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</si>
  <si>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</si>
  <si>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</si>
  <si>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</si>
  <si>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</si>
  <si>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</si>
  <si>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</si>
  <si>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</si>
  <si>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</si>
  <si>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</si>
  <si>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</si>
  <si>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</si>
  <si>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</si>
  <si>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</si>
  <si>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</si>
  <si>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</si>
  <si>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</si>
  <si>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</si>
  <si>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</si>
  <si>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</si>
  <si>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</si>
  <si>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</si>
  <si>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</si>
  <si>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</si>
  <si>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</si>
  <si>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</si>
  <si>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</si>
  <si>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</si>
  <si>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</si>
  <si>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</si>
  <si>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</si>
  <si>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</si>
  <si>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</si>
  <si>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</si>
  <si>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</si>
  <si>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</si>
  <si>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</si>
  <si>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</si>
  <si>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</si>
  <si>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</si>
  <si>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</si>
  <si>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</si>
  <si>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</si>
  <si>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</si>
  <si>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</si>
  <si>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</si>
  <si>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</si>
  <si>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</si>
  <si>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</si>
  <si>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</si>
  <si>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</si>
  <si>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</si>
  <si>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</si>
  <si>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</si>
  <si>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</si>
  <si>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</si>
  <si>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</si>
  <si>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</si>
  <si>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</si>
  <si>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</si>
  <si>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</si>
  <si>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</si>
  <si>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</si>
  <si>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</si>
  <si>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</si>
  <si>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</si>
  <si>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</si>
  <si>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</si>
  <si>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</si>
  <si>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</si>
  <si>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</si>
  <si>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</si>
  <si>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</si>
  <si>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</si>
  <si>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</si>
  <si>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</si>
  <si>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</si>
  <si>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</si>
  <si>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</si>
  <si>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</si>
  <si>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</si>
  <si>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</si>
  <si>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</si>
  <si>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</si>
  <si>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</si>
  <si>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</si>
  <si>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</si>
  <si>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</si>
  <si>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</si>
  <si>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</si>
  <si>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</si>
  <si>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</si>
  <si>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</si>
  <si>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</si>
  <si>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</si>
  <si>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</si>
  <si>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</si>
  <si>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</si>
  <si>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</si>
  <si>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</si>
  <si>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</si>
  <si>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</si>
  <si>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</si>
  <si>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</si>
  <si>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</si>
  <si>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</si>
  <si>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</si>
  <si>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</si>
  <si>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</si>
  <si>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</si>
  <si>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</si>
  <si>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</si>
  <si>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</si>
  <si>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</si>
  <si>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</si>
  <si>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</si>
  <si>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</si>
  <si>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</si>
  <si>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</si>
  <si>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</si>
  <si>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</si>
  <si>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</si>
  <si>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</si>
  <si>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</si>
  <si>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</si>
  <si>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</si>
  <si>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</si>
  <si>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</si>
  <si>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</si>
  <si>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</si>
  <si>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</si>
  <si>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</si>
  <si>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</si>
  <si>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</si>
  <si>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</si>
  <si>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</si>
  <si>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</si>
  <si>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</si>
  <si>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</si>
  <si>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</si>
  <si>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</si>
  <si>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</si>
  <si>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</si>
  <si>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</si>
  <si>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</si>
  <si>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</si>
  <si>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</si>
  <si>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</si>
  <si>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</si>
  <si>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</si>
  <si>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</si>
  <si>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</si>
  <si>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</si>
  <si>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</si>
  <si>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</si>
  <si>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</si>
  <si>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</si>
  <si>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</si>
  <si>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</si>
  <si>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</si>
  <si>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</si>
  <si>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</si>
  <si>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</si>
  <si>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</si>
  <si>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</si>
  <si>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</si>
  <si>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</si>
  <si>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</si>
  <si>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</si>
  <si>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</si>
  <si>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</si>
  <si>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</si>
  <si>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</si>
  <si>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</si>
  <si>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</si>
  <si>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</si>
  <si>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</si>
  <si>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</si>
  <si>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</si>
  <si>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</si>
  <si>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</si>
  <si>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</si>
  <si>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</si>
  <si>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</si>
  <si>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</si>
  <si>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</si>
  <si>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</si>
  <si>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</si>
  <si>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</si>
  <si>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</si>
  <si>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</si>
  <si>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</si>
  <si>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</si>
  <si>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</si>
  <si>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</si>
  <si>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</si>
  <si>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</si>
  <si>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</si>
  <si>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</si>
  <si>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</si>
  <si>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</si>
  <si>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</si>
  <si>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</si>
  <si>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</si>
  <si>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</si>
  <si>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</si>
  <si>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</si>
  <si>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</si>
  <si>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</si>
  <si>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</si>
  <si>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</si>
  <si>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</si>
  <si>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</si>
  <si>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</si>
  <si>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</si>
  <si>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</si>
  <si>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</si>
  <si>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</si>
  <si>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</si>
  <si>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</si>
  <si>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</si>
  <si>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</si>
  <si>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</si>
  <si>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</si>
  <si>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</si>
  <si>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</si>
  <si>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</si>
  <si>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</si>
  <si>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</si>
  <si>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</si>
  <si>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</si>
  <si>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</si>
  <si>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</si>
  <si>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</si>
  <si>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</si>
  <si>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</si>
  <si>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</si>
  <si>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</si>
  <si>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</si>
  <si>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</si>
  <si>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</si>
  <si>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</si>
  <si>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</si>
  <si>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</si>
  <si>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</si>
  <si>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</si>
  <si>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</si>
  <si>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</si>
  <si>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</si>
  <si>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</si>
  <si>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</si>
  <si>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</si>
  <si>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</si>
  <si>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</si>
  <si>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</si>
  <si>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</si>
  <si>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</si>
  <si>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</si>
  <si>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</si>
  <si>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</si>
  <si>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</si>
  <si>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</si>
  <si>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</si>
  <si>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</si>
  <si>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</si>
  <si>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</si>
  <si>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</si>
  <si>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</si>
  <si>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</si>
  <si>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</si>
  <si>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</si>
  <si>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</si>
  <si>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</si>
  <si>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</si>
  <si>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</si>
  <si>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</si>
  <si>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</si>
  <si>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</si>
  <si>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</si>
  <si>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</si>
  <si>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</si>
  <si>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</si>
  <si>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</si>
  <si>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</si>
  <si>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</si>
  <si>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</si>
  <si>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</si>
  <si>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</si>
  <si>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</si>
  <si>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</si>
  <si>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</si>
  <si>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</si>
  <si>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</si>
  <si>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</si>
  <si>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</si>
  <si>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</si>
  <si>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</si>
  <si>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</si>
  <si>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</si>
  <si>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</si>
  <si>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</si>
  <si>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</si>
  <si>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</si>
  <si>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</si>
  <si>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</si>
  <si>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</si>
  <si>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</si>
  <si>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</si>
  <si>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</si>
  <si>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</si>
  <si>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</si>
  <si>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</si>
  <si>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</si>
  <si>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</si>
  <si>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</si>
  <si>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</si>
  <si>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</si>
  <si>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</si>
  <si>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</si>
  <si>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</si>
  <si>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</si>
  <si>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</si>
  <si>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</si>
  <si>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</si>
  <si>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</si>
  <si>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</si>
  <si>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</si>
  <si>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</si>
  <si>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</si>
  <si>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</si>
  <si>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</si>
  <si>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</si>
  <si>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</si>
  <si>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</si>
  <si>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</si>
  <si>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</si>
  <si>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</si>
  <si>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</si>
  <si>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</si>
  <si>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</si>
  <si>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</si>
  <si>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</si>
  <si>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</si>
  <si>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</si>
  <si>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</si>
  <si>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</si>
  <si>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</si>
  <si>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</si>
  <si>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</si>
  <si>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</si>
  <si>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</si>
  <si>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</si>
  <si>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</si>
  <si>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</si>
  <si>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</si>
  <si>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</si>
  <si>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</si>
  <si>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</si>
  <si>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</si>
  <si>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</si>
  <si>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</si>
  <si>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</si>
  <si>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</si>
  <si>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</si>
  <si>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</si>
  <si>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</si>
  <si>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</si>
  <si>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</si>
  <si>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</si>
  <si>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</si>
  <si>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</si>
  <si>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</si>
  <si>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</si>
  <si>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</si>
  <si>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</si>
  <si>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</si>
  <si>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</si>
  <si>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</si>
  <si>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</si>
  <si>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</si>
  <si>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</si>
  <si>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</si>
  <si>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</si>
  <si>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</si>
  <si>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</si>
  <si>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</si>
  <si>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</si>
  <si>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</si>
  <si>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</si>
  <si>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</si>
  <si>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</si>
  <si>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</si>
  <si>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</si>
  <si>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</si>
  <si>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</si>
  <si>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</si>
  <si>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</si>
  <si>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</si>
  <si>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</si>
  <si>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</si>
  <si>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</si>
  <si>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</si>
  <si>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</si>
  <si>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</si>
  <si>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</si>
  <si>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</si>
  <si>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</si>
  <si>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</si>
  <si>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</si>
  <si>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</si>
  <si>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</si>
  <si>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</si>
  <si>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</si>
  <si>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</si>
  <si>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</si>
  <si>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</si>
  <si>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</si>
  <si>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</si>
  <si>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</si>
  <si>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</si>
  <si>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</si>
  <si>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</si>
  <si>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</si>
  <si>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</si>
  <si>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</si>
  <si>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</si>
  <si>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</si>
  <si>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</si>
  <si>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</si>
  <si>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</si>
  <si>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</si>
  <si>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</si>
  <si>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</si>
  <si>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</si>
  <si>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</si>
  <si>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</si>
  <si>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G7</t>
  </si>
  <si>
    <t>#</t>
  </si>
  <si>
    <t>Experiment</t>
  </si>
  <si>
    <t>IPTS-9336</t>
  </si>
  <si>
    <t>Run</t>
  </si>
  <si>
    <t>title:</t>
  </si>
  <si>
    <t>UAB_0813_VK2x_ph5-1.</t>
  </si>
  <si>
    <t>start</t>
  </si>
  <si>
    <t>time:</t>
  </si>
  <si>
    <t>2013-10-27T16:18:23.238337666</t>
  </si>
  <si>
    <t>Reduction</t>
  </si>
  <si>
    <t>Fri</t>
  </si>
  <si>
    <t>Sep</t>
  </si>
  <si>
    <t>Mantid</t>
  </si>
  <si>
    <t>version:</t>
  </si>
  <si>
    <t>3.10.20170921.2344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</si>
  <si>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</si>
  <si>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</si>
  <si>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</si>
  <si>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</si>
  <si>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</si>
  <si>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</si>
  <si>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</si>
  <si>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</si>
  <si>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</si>
  <si>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</si>
  <si>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</si>
  <si>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</si>
  <si>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</si>
  <si>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22_09_2017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</si>
  <si>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</si>
  <si>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</si>
  <si>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</si>
  <si>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</si>
  <si>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</si>
  <si>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</si>
  <si>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</si>
  <si>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</si>
  <si>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</si>
  <si>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</si>
  <si>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</si>
  <si>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</si>
  <si>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</si>
  <si>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</si>
  <si>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</si>
  <si>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</si>
  <si>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</si>
  <si>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</si>
  <si>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</si>
  <si>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</si>
  <si>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</si>
  <si>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</si>
  <si>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</si>
  <si>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G13</t>
  </si>
  <si>
    <t>Dry Crosslinked Model</t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</si>
  <si>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</si>
  <si>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</si>
  <si>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</si>
  <si>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δp</t>
  </si>
  <si>
    <t>Quantity</t>
  </si>
  <si>
    <t>F4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</si>
  <si>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</si>
  <si>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</si>
  <si>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</si>
  <si>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PMAAx-buffer</t>
  </si>
  <si>
    <t>dPMAAx-buffer</t>
  </si>
  <si>
    <t>buffer (H2O)</t>
  </si>
  <si>
    <t>Air</t>
  </si>
  <si>
    <t>PMAAx</t>
  </si>
  <si>
    <t>dPMAAx</t>
  </si>
  <si>
    <t>Hydrogen-Bonded Model Parameters</t>
  </si>
  <si>
    <t>PVPON/PMAA (top)</t>
  </si>
  <si>
    <t>PVPON/PMAA</t>
  </si>
  <si>
    <t>PVPON/PMAA (bottom)</t>
  </si>
  <si>
    <r>
      <t>SiO</t>
    </r>
    <r>
      <rPr>
        <i/>
        <vertAlign val="subscript"/>
        <sz val="12"/>
        <rFont val="Times New Roman"/>
        <family val="1"/>
      </rPr>
      <t>x</t>
    </r>
  </si>
  <si>
    <t>H14</t>
  </si>
  <si>
    <t>H18</t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</si>
  <si>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</si>
  <si>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</si>
  <si>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</si>
  <si>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</si>
  <si>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</si>
  <si>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</si>
  <si>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</si>
  <si>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</si>
  <si>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</si>
  <si>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H26</t>
  </si>
  <si>
    <t>Average Swell Ratio</t>
  </si>
  <si>
    <t>SI Units</t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</si>
  <si>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</si>
  <si>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</si>
  <si>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</si>
  <si>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</si>
  <si>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</si>
  <si>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</si>
  <si>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</si>
  <si>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</si>
  <si>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</si>
  <si>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</si>
  <si>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</si>
  <si>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</si>
  <si>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</si>
  <si>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</si>
  <si>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</si>
  <si>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</si>
  <si>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</si>
  <si>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</si>
  <si>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</si>
  <si>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</si>
  <si>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</si>
  <si>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</si>
  <si>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</si>
  <si>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</si>
  <si>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</si>
  <si>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</si>
  <si>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</si>
  <si>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</si>
  <si>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</si>
  <si>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</si>
  <si>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</si>
  <si>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</si>
  <si>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</si>
  <si>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</si>
  <si>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</si>
  <si>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</si>
  <si>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</si>
  <si>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</si>
  <si>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</si>
  <si>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×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</si>
  <si>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</si>
  <si>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</si>
  <si>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t>Total Swell Ratio</t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</si>
  <si>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</si>
  <si>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</si>
  <si>
    <t>Poor Swell Ratio</t>
  </si>
  <si>
    <r>
      <t>f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</si>
  <si>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</si>
  <si>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</si>
  <si>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</si>
  <si>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</si>
  <si>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H2O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</si>
  <si>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</si>
  <si>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rms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</si>
  <si>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</si>
  <si>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</si>
  <si>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</si>
  <si>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</si>
  <si>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f</t>
    </r>
    <r>
      <rPr>
        <b/>
        <vertAlign val="subscript"/>
        <sz val="12"/>
        <rFont val="Times New Roman"/>
        <family val="1"/>
      </rPr>
      <t>PMAA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</si>
  <si>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</si>
  <si>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</si>
  <si>
    <t>Rich Swell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</si>
</sst>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1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2" fontId="16" fillId="32" borderId="0" xfId="0" applyFont="1" applyFill="1" applyAlignment="1">
      <alignment horizontal="center" vertical="center"/>
    </xf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6" fontId="0" fillId="39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6" fontId="0" fillId="33" borderId="0" xfId="0" applyNumberFormat="1" applyFill="1"/>
    <xf numFmtId="166" fontId="0" fillId="35" borderId="0" xfId="0" applyNumberFormat="1" applyFill="1"/>
    <xf numFmtId="166" fontId="0" fillId="40" borderId="0" xfId="0" applyNumberFormat="1" applyFill="1"/>
    <xf numFmtId="2" fontId="0" fillId="37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1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1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2" fontId="16" fillId="32" borderId="0" xfId="0" applyFont="1" applyFill="1" applyAlignment="1">
      <alignment horizontal="center" vertical="center"/>
    </xf>
    <xf numFmtId="164" fontId="17" fillId="37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66" fontId="10" fillId="31" borderId="0" xfId="0" applyNumberFormat="1" applyFont="1" applyFill="1"/>
    <xf numFmtId="165" fontId="17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right"/>
    </xf>
    <xf numFmtId="11" fontId="19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11" fontId="0" fillId="33" borderId="0" xfId="0" applyNumberFormat="1" applyFill="1"/>
    <xf numFmtId="2" fontId="17" fillId="36" borderId="0" xfId="0" applyFont="1" applyFill="1" applyAlignment="1">
      <alignment horizontal="center"/>
    </xf>
    <xf numFmtId="2" fontId="0" fillId="34" borderId="0" xfId="0" applyFill="1"/>
    <xf numFmtId="2" fontId="16" fillId="34" borderId="0" xfId="0" applyFont="1" applyFill="1" applyAlignment="1">
      <alignment horizontal="center" vertical="center"/>
    </xf>
    <xf numFmtId="2" fontId="0" fillId="42" borderId="0" xfId="0" applyFill="1"/>
    <xf numFmtId="166" fontId="0" fillId="42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65" fontId="10" fillId="31" borderId="0" xfId="0" applyNumberFormat="1" applyFont="1" applyFill="1"/>
    <xf numFmtId="165" fontId="0" fillId="31" borderId="0" xfId="0" applyNumberFormat="1" applyFill="1"/>
    <xf numFmtId="2" fontId="0" fillId="40" borderId="0" xfId="0" applyFill="1"/>
    <xf numFmtId="2" fontId="0" fillId="38" borderId="0" xfId="0" applyFill="1" applyAlignment="1">
      <alignment horizontal="right" vertical="center"/>
    </xf>
    <xf numFmtId="11" fontId="10" fillId="31" borderId="0" xfId="0" applyNumberFormat="1" applyFont="1" applyFill="1"/>
    <xf numFmtId="166" fontId="0" fillId="31" borderId="0" xfId="0" applyNumberFormat="1" applyFill="1"/>
    <xf numFmtId="166" fontId="10" fillId="39" borderId="0" xfId="0" applyNumberFormat="1" applyFont="1" applyFill="1"/>
    <xf numFmtId="2" fontId="10" fillId="31" borderId="0" xfId="0" applyFont="1" applyFill="1"/>
    <xf numFmtId="2" fontId="17" fillId="36" borderId="0" xfId="0" applyFont="1" applyFill="1" applyAlignment="1">
      <alignment horizontal="center" vertical="center"/>
    </xf>
    <xf numFmtId="164" fontId="0" fillId="40" borderId="0" xfId="0" applyNumberFormat="1" applyFill="1"/>
    <xf numFmtId="2" fontId="0" fillId="38" borderId="0" xfId="0" applyFill="1"/>
    <xf numFmtId="164" fontId="0" fillId="38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2" fontId="0" fillId="33" borderId="0" xfId="0" applyFill="1"/>
    <xf numFmtId="2" fontId="16" fillId="32" borderId="0" xfId="0" applyFont="1" applyFill="1" applyAlignment="1">
      <alignment horizontal="center" vertical="center"/>
    </xf>
    <xf numFmtId="165" fontId="16" fillId="43" borderId="0" xfId="0" applyNumberFormat="1" applyFont="1" applyFill="1" applyAlignment="1">
      <alignment horizontal="center" vertical="center"/>
    </xf>
    <xf numFmtId="11" fontId="17" fillId="43" borderId="0" xfId="0" applyNumberFormat="1" applyFont="1" applyFill="1" applyAlignment="1">
      <alignment horizontal="center" vertical="center"/>
    </xf>
    <xf numFmtId="165" fontId="17" fillId="43" borderId="0" xfId="0" applyNumberFormat="1" applyFont="1" applyFill="1" applyAlignment="1">
      <alignment horizontal="center" vertical="center"/>
    </xf>
    <xf numFmtId="11" fontId="0" fillId="44" borderId="0" xfId="0" applyNumberFormat="1" applyFill="1"/>
    <xf numFmtId="11" fontId="10" fillId="44" borderId="0" xfId="0" applyNumberFormat="1" applyFont="1" applyFill="1"/>
    <xf numFmtId="2" fontId="0" fillId="44" borderId="0" xfId="0" applyFill="1"/>
    <xf numFmtId="11" fontId="10" fillId="44" borderId="0" xfId="0" applyNumberFormat="1" applyFont="1" applyFill="1" applyAlignment="1">
      <alignment horizontal="right"/>
    </xf>
    <xf numFmtId="11" fontId="10" fillId="44" borderId="0" xfId="0" applyNumberFormat="1" applyFont="1" applyFill="1" applyAlignment="1">
      <alignment horizontal="right" vertical="center"/>
    </xf>
    <xf numFmtId="164" fontId="0" fillId="44" borderId="0" xfId="0" applyNumberFormat="1" applyFill="1"/>
    <xf numFmtId="165" fontId="0" fillId="44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8" borderId="0" xfId="0" applyNumberFormat="1" applyFill="1" applyAlignment="1">
      <alignment horizontal="right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2" fontId="16" fillId="36" borderId="0" xfId="0" applyFont="1" applyFill="1" applyAlignment="1">
      <alignment horizontal="center" vertical="center"/>
    </xf>
    <xf numFmtId="166" fontId="17" fillId="43" borderId="0" xfId="0" applyNumberFormat="1" applyFont="1" applyFill="1" applyAlignment="1">
      <alignment horizontal="center" vertical="center"/>
    </xf>
    <xf numFmtId="166" fontId="16" fillId="43" borderId="0" xfId="0" applyNumberFormat="1" applyFont="1" applyFill="1" applyAlignment="1">
      <alignment horizontal="right"/>
    </xf>
    <xf numFmtId="166" fontId="10" fillId="44" borderId="0" xfId="0" applyNumberFormat="1" applyFont="1" applyFill="1"/>
    <xf numFmtId="166" fontId="0" fillId="44" borderId="0" xfId="0" applyNumberFormat="1" applyFill="1"/>
    <xf numFmtId="164" fontId="0" fillId="42" borderId="0" xfId="0" applyNumberFormat="1" applyFill="1"/>
    <xf numFmtId="2" fontId="0" fillId="42" borderId="0" xfId="0" applyNumberFormat="1" applyFill="1"/>
    <xf numFmtId="11" fontId="0" fillId="42" borderId="0" xfId="0" applyNumberFormat="1" applyFill="1"/>
    <xf numFmtId="2" fontId="16" fillId="36" borderId="0" xfId="0" applyFont="1" applyFill="1" applyAlignment="1">
      <alignment horizontal="center" vertical="center"/>
    </xf>
    <xf numFmtId="165" fontId="16" fillId="41" borderId="0" xfId="0" applyNumberFormat="1" applyFont="1" applyFill="1" applyAlignment="1">
      <alignment horizontal="center"/>
    </xf>
    <xf numFmtId="11" fontId="16" fillId="43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106.84435205156223</c:v>
                </c:pt>
                <c:pt idx="26">
                  <c:v>106.84435205156223</c:v>
                </c:pt>
                <c:pt idx="27">
                  <c:v>107.5170793242895</c:v>
                </c:pt>
                <c:pt idx="28">
                  <c:v>107.5170793242895</c:v>
                </c:pt>
                <c:pt idx="29">
                  <c:v>108.18980659701677</c:v>
                </c:pt>
                <c:pt idx="30">
                  <c:v>108.18980659701677</c:v>
                </c:pt>
                <c:pt idx="31">
                  <c:v>108.86253386974404</c:v>
                </c:pt>
                <c:pt idx="32">
                  <c:v>108.86253386974404</c:v>
                </c:pt>
                <c:pt idx="33">
                  <c:v>109.53526114247131</c:v>
                </c:pt>
                <c:pt idx="34">
                  <c:v>109.53526114247131</c:v>
                </c:pt>
                <c:pt idx="35">
                  <c:v>110.20798841519859</c:v>
                </c:pt>
                <c:pt idx="36">
                  <c:v>110.20798841519859</c:v>
                </c:pt>
                <c:pt idx="37">
                  <c:v>110.88071568792586</c:v>
                </c:pt>
                <c:pt idx="38">
                  <c:v>110.88071568792586</c:v>
                </c:pt>
                <c:pt idx="39">
                  <c:v>111.55344296065313</c:v>
                </c:pt>
                <c:pt idx="40">
                  <c:v>111.55344296065313</c:v>
                </c:pt>
                <c:pt idx="41">
                  <c:v>112.2261702333804</c:v>
                </c:pt>
                <c:pt idx="42">
                  <c:v>112.2261702333804</c:v>
                </c:pt>
                <c:pt idx="43">
                  <c:v>112.89889750610767</c:v>
                </c:pt>
                <c:pt idx="44">
                  <c:v>112.89889750610767</c:v>
                </c:pt>
                <c:pt idx="45">
                  <c:v>113.57162477883494</c:v>
                </c:pt>
                <c:pt idx="46">
                  <c:v>113.57162477883494</c:v>
                </c:pt>
                <c:pt idx="47">
                  <c:v>114.24435205156222</c:v>
                </c:pt>
                <c:pt idx="48">
                  <c:v>114.24435205156222</c:v>
                </c:pt>
                <c:pt idx="49">
                  <c:v>114.91707932428949</c:v>
                </c:pt>
                <c:pt idx="50">
                  <c:v>114.91707932428949</c:v>
                </c:pt>
                <c:pt idx="51">
                  <c:v>115.58980659701676</c:v>
                </c:pt>
                <c:pt idx="52">
                  <c:v>115.58980659701676</c:v>
                </c:pt>
                <c:pt idx="53">
                  <c:v>116.26253386974403</c:v>
                </c:pt>
                <c:pt idx="54">
                  <c:v>116.26253386974403</c:v>
                </c:pt>
                <c:pt idx="55">
                  <c:v>116.9352611424713</c:v>
                </c:pt>
                <c:pt idx="56">
                  <c:v>116.9352611424713</c:v>
                </c:pt>
                <c:pt idx="57">
                  <c:v>117.60798841519858</c:v>
                </c:pt>
                <c:pt idx="58">
                  <c:v>117.60798841519858</c:v>
                </c:pt>
                <c:pt idx="59">
                  <c:v>118.28071568792585</c:v>
                </c:pt>
                <c:pt idx="60">
                  <c:v>118.28071568792585</c:v>
                </c:pt>
                <c:pt idx="61">
                  <c:v>118.95344296065312</c:v>
                </c:pt>
                <c:pt idx="62">
                  <c:v>118.95344296065312</c:v>
                </c:pt>
                <c:pt idx="63">
                  <c:v>119.62617023338039</c:v>
                </c:pt>
                <c:pt idx="64">
                  <c:v>119.62617023338039</c:v>
                </c:pt>
                <c:pt idx="65">
                  <c:v>120.29889750610766</c:v>
                </c:pt>
                <c:pt idx="66">
                  <c:v>120.29889750610766</c:v>
                </c:pt>
                <c:pt idx="67">
                  <c:v>120.97162477883494</c:v>
                </c:pt>
                <c:pt idx="68">
                  <c:v>120.97162477883494</c:v>
                </c:pt>
                <c:pt idx="69">
                  <c:v>121.30798841519858</c:v>
                </c:pt>
                <c:pt idx="70">
                  <c:v>121.30798841519858</c:v>
                </c:pt>
                <c:pt idx="71">
                  <c:v>121.66483490763021</c:v>
                </c:pt>
                <c:pt idx="72">
                  <c:v>121.66483490763021</c:v>
                </c:pt>
                <c:pt idx="73">
                  <c:v>122.37852789249347</c:v>
                </c:pt>
                <c:pt idx="74">
                  <c:v>122.37852789249347</c:v>
                </c:pt>
                <c:pt idx="75">
                  <c:v>123.09222087735672</c:v>
                </c:pt>
                <c:pt idx="76">
                  <c:v>123.09222087735672</c:v>
                </c:pt>
                <c:pt idx="77">
                  <c:v>123.80591386221998</c:v>
                </c:pt>
                <c:pt idx="78">
                  <c:v>123.80591386221998</c:v>
                </c:pt>
                <c:pt idx="79">
                  <c:v>124.51960684708324</c:v>
                </c:pt>
                <c:pt idx="80">
                  <c:v>124.51960684708324</c:v>
                </c:pt>
                <c:pt idx="81">
                  <c:v>125.2332998319465</c:v>
                </c:pt>
                <c:pt idx="82">
                  <c:v>125.2332998319465</c:v>
                </c:pt>
                <c:pt idx="83">
                  <c:v>125.94699281680975</c:v>
                </c:pt>
                <c:pt idx="84">
                  <c:v>125.94699281680975</c:v>
                </c:pt>
                <c:pt idx="85">
                  <c:v>126.66068580167301</c:v>
                </c:pt>
                <c:pt idx="86">
                  <c:v>126.66068580167301</c:v>
                </c:pt>
                <c:pt idx="87">
                  <c:v>127.37437878653627</c:v>
                </c:pt>
                <c:pt idx="88">
                  <c:v>127.37437878653627</c:v>
                </c:pt>
                <c:pt idx="89">
                  <c:v>128.08807177139954</c:v>
                </c:pt>
                <c:pt idx="90">
                  <c:v>128.08807177139954</c:v>
                </c:pt>
                <c:pt idx="91">
                  <c:v>128.8017647562628</c:v>
                </c:pt>
                <c:pt idx="92">
                  <c:v>128.8017647562628</c:v>
                </c:pt>
                <c:pt idx="93">
                  <c:v>129.51545774112606</c:v>
                </c:pt>
                <c:pt idx="94">
                  <c:v>129.51545774112606</c:v>
                </c:pt>
                <c:pt idx="95">
                  <c:v>130.22915072598931</c:v>
                </c:pt>
                <c:pt idx="96">
                  <c:v>130.22915072598931</c:v>
                </c:pt>
                <c:pt idx="97">
                  <c:v>130.94284371085257</c:v>
                </c:pt>
                <c:pt idx="98">
                  <c:v>130.94284371085257</c:v>
                </c:pt>
                <c:pt idx="99">
                  <c:v>131.65653669571583</c:v>
                </c:pt>
                <c:pt idx="100">
                  <c:v>131.65653669571583</c:v>
                </c:pt>
                <c:pt idx="101">
                  <c:v>132.37022968057909</c:v>
                </c:pt>
                <c:pt idx="102">
                  <c:v>132.37022968057909</c:v>
                </c:pt>
                <c:pt idx="103">
                  <c:v>133.08392266544234</c:v>
                </c:pt>
                <c:pt idx="104">
                  <c:v>133.08392266544234</c:v>
                </c:pt>
                <c:pt idx="105">
                  <c:v>133.7976156503056</c:v>
                </c:pt>
                <c:pt idx="106">
                  <c:v>133.7976156503056</c:v>
                </c:pt>
                <c:pt idx="107">
                  <c:v>134.51130863516886</c:v>
                </c:pt>
                <c:pt idx="108">
                  <c:v>134.51130863516886</c:v>
                </c:pt>
                <c:pt idx="109">
                  <c:v>135.22500162003212</c:v>
                </c:pt>
                <c:pt idx="110">
                  <c:v>135.22500162003212</c:v>
                </c:pt>
                <c:pt idx="111">
                  <c:v>135.93869460489537</c:v>
                </c:pt>
                <c:pt idx="112">
                  <c:v>135.93869460489537</c:v>
                </c:pt>
                <c:pt idx="113">
                  <c:v>136.65238758975863</c:v>
                </c:pt>
                <c:pt idx="114">
                  <c:v>136.65238758975863</c:v>
                </c:pt>
                <c:pt idx="115">
                  <c:v>137.00923408219026</c:v>
                </c:pt>
                <c:pt idx="116">
                  <c:v>137.00923408219026</c:v>
                </c:pt>
                <c:pt idx="117">
                  <c:v>137.87070113516458</c:v>
                </c:pt>
                <c:pt idx="118">
                  <c:v>137.87070113516458</c:v>
                </c:pt>
                <c:pt idx="119">
                  <c:v>138.74688662030948</c:v>
                </c:pt>
                <c:pt idx="120">
                  <c:v>138.74688662030948</c:v>
                </c:pt>
                <c:pt idx="121">
                  <c:v>139.65409041003392</c:v>
                </c:pt>
                <c:pt idx="122">
                  <c:v>139.65409041003392</c:v>
                </c:pt>
                <c:pt idx="123">
                  <c:v>140.61223022393708</c:v>
                </c:pt>
                <c:pt idx="124">
                  <c:v>140.61223022393708</c:v>
                </c:pt>
                <c:pt idx="125">
                  <c:v>141.64805662981573</c:v>
                </c:pt>
                <c:pt idx="126">
                  <c:v>141.64805662981573</c:v>
                </c:pt>
                <c:pt idx="127">
                  <c:v>142.80109773203327</c:v>
                </c:pt>
                <c:pt idx="128">
                  <c:v>142.80109773203327</c:v>
                </c:pt>
                <c:pt idx="129">
                  <c:v>144.1364002089708</c:v>
                </c:pt>
                <c:pt idx="130">
                  <c:v>144.1364002089708</c:v>
                </c:pt>
                <c:pt idx="131">
                  <c:v>145.77725169581046</c:v>
                </c:pt>
                <c:pt idx="132">
                  <c:v>145.77725169581046</c:v>
                </c:pt>
                <c:pt idx="133">
                  <c:v>148.01680574246072</c:v>
                </c:pt>
                <c:pt idx="134">
                  <c:v>148.01680574246072</c:v>
                </c:pt>
                <c:pt idx="135">
                  <c:v>152.04131409772654</c:v>
                </c:pt>
                <c:pt idx="136">
                  <c:v>152.04131409772654</c:v>
                </c:pt>
                <c:pt idx="137">
                  <c:v>157.4459390631842</c:v>
                </c:pt>
                <c:pt idx="138">
                  <c:v>157.4459390631842</c:v>
                </c:pt>
                <c:pt idx="139">
                  <c:v>209.32116798867315</c:v>
                </c:pt>
                <c:pt idx="140">
                  <c:v>209.32116798867315</c:v>
                </c:pt>
                <c:pt idx="141">
                  <c:v>223.42797017048923</c:v>
                </c:pt>
                <c:pt idx="142">
                  <c:v>223.42797017048923</c:v>
                </c:pt>
                <c:pt idx="143">
                  <c:v>233.93248132707302</c:v>
                </c:pt>
                <c:pt idx="144">
                  <c:v>233.93248132707302</c:v>
                </c:pt>
                <c:pt idx="145">
                  <c:v>239.77802030776076</c:v>
                </c:pt>
                <c:pt idx="146">
                  <c:v>239.77802030776076</c:v>
                </c:pt>
                <c:pt idx="147">
                  <c:v>244.06086462767664</c:v>
                </c:pt>
                <c:pt idx="148">
                  <c:v>244.06086462767664</c:v>
                </c:pt>
                <c:pt idx="149">
                  <c:v>247.54618470361865</c:v>
                </c:pt>
                <c:pt idx="150">
                  <c:v>247.54618470361865</c:v>
                </c:pt>
                <c:pt idx="151">
                  <c:v>250.55577793912425</c:v>
                </c:pt>
                <c:pt idx="152">
                  <c:v>250.55577793912425</c:v>
                </c:pt>
                <c:pt idx="153">
                  <c:v>253.25942496289036</c:v>
                </c:pt>
                <c:pt idx="154">
                  <c:v>253.25942496289036</c:v>
                </c:pt>
                <c:pt idx="155">
                  <c:v>255.76029947382128</c:v>
                </c:pt>
                <c:pt idx="156">
                  <c:v>255.76029947382128</c:v>
                </c:pt>
                <c:pt idx="157">
                  <c:v>258.1282240721107</c:v>
                </c:pt>
                <c:pt idx="158">
                  <c:v>258.1282240721107</c:v>
                </c:pt>
                <c:pt idx="159">
                  <c:v>260.41518669995537</c:v>
                </c:pt>
                <c:pt idx="160">
                  <c:v>260.41518669995537</c:v>
                </c:pt>
                <c:pt idx="161">
                  <c:v>262.66373222904031</c:v>
                </c:pt>
                <c:pt idx="162">
                  <c:v>262.66373222904031</c:v>
                </c:pt>
                <c:pt idx="163">
                  <c:v>264.58075042165927</c:v>
                </c:pt>
                <c:pt idx="164">
                  <c:v>264.58075042165927</c:v>
                </c:pt>
                <c:pt idx="165">
                  <c:v>268.41478680689721</c:v>
                </c:pt>
                <c:pt idx="166">
                  <c:v>268.41478680689721</c:v>
                </c:pt>
                <c:pt idx="167">
                  <c:v>272.24882319213515</c:v>
                </c:pt>
                <c:pt idx="168">
                  <c:v>272.24882319213515</c:v>
                </c:pt>
                <c:pt idx="169">
                  <c:v>276.08285957737309</c:v>
                </c:pt>
                <c:pt idx="170">
                  <c:v>276.08285957737309</c:v>
                </c:pt>
                <c:pt idx="171">
                  <c:v>279.91689596261102</c:v>
                </c:pt>
                <c:pt idx="172">
                  <c:v>279.91689596261102</c:v>
                </c:pt>
                <c:pt idx="173">
                  <c:v>283.75093234784896</c:v>
                </c:pt>
                <c:pt idx="174">
                  <c:v>283.75093234784896</c:v>
                </c:pt>
                <c:pt idx="175">
                  <c:v>287.5849687330869</c:v>
                </c:pt>
                <c:pt idx="176">
                  <c:v>287.5849687330869</c:v>
                </c:pt>
                <c:pt idx="177">
                  <c:v>291.41900511832483</c:v>
                </c:pt>
                <c:pt idx="178">
                  <c:v>291.41900511832483</c:v>
                </c:pt>
                <c:pt idx="179">
                  <c:v>295.25304150356277</c:v>
                </c:pt>
                <c:pt idx="180">
                  <c:v>295.25304150356277</c:v>
                </c:pt>
                <c:pt idx="181">
                  <c:v>299.08707788880071</c:v>
                </c:pt>
                <c:pt idx="182">
                  <c:v>299.08707788880071</c:v>
                </c:pt>
                <c:pt idx="183">
                  <c:v>302.92111427403864</c:v>
                </c:pt>
                <c:pt idx="184">
                  <c:v>302.92111427403864</c:v>
                </c:pt>
                <c:pt idx="185">
                  <c:v>306.75515065927658</c:v>
                </c:pt>
                <c:pt idx="186">
                  <c:v>306.75515065927658</c:v>
                </c:pt>
                <c:pt idx="187">
                  <c:v>310.58918704451452</c:v>
                </c:pt>
                <c:pt idx="188">
                  <c:v>310.58918704451452</c:v>
                </c:pt>
                <c:pt idx="189">
                  <c:v>314.42322342975245</c:v>
                </c:pt>
                <c:pt idx="190">
                  <c:v>314.42322342975245</c:v>
                </c:pt>
                <c:pt idx="191">
                  <c:v>318.25725981499039</c:v>
                </c:pt>
                <c:pt idx="192">
                  <c:v>318.25725981499039</c:v>
                </c:pt>
                <c:pt idx="193">
                  <c:v>322.09129620022833</c:v>
                </c:pt>
                <c:pt idx="194">
                  <c:v>322.09129620022833</c:v>
                </c:pt>
                <c:pt idx="195">
                  <c:v>325.92533258546626</c:v>
                </c:pt>
                <c:pt idx="196">
                  <c:v>325.92533258546626</c:v>
                </c:pt>
                <c:pt idx="197">
                  <c:v>329.7593689707042</c:v>
                </c:pt>
                <c:pt idx="198">
                  <c:v>329.7593689707042</c:v>
                </c:pt>
                <c:pt idx="199">
                  <c:v>333.59340535594214</c:v>
                </c:pt>
                <c:pt idx="200">
                  <c:v>333.59340535594214</c:v>
                </c:pt>
                <c:pt idx="201">
                  <c:v>337.42744174118008</c:v>
                </c:pt>
                <c:pt idx="202">
                  <c:v>337.42744174118008</c:v>
                </c:pt>
                <c:pt idx="203">
                  <c:v>341.26147812641801</c:v>
                </c:pt>
                <c:pt idx="204">
                  <c:v>341.26147812641801</c:v>
                </c:pt>
                <c:pt idx="205">
                  <c:v>345.09551451165595</c:v>
                </c:pt>
                <c:pt idx="206">
                  <c:v>345.09551451165595</c:v>
                </c:pt>
                <c:pt idx="207">
                  <c:v>347.01253270427492</c:v>
                </c:pt>
                <c:pt idx="208">
                  <c:v>347.01253270427492</c:v>
                </c:pt>
                <c:pt idx="209">
                  <c:v>349.26107823335985</c:v>
                </c:pt>
                <c:pt idx="210">
                  <c:v>349.26107823335985</c:v>
                </c:pt>
                <c:pt idx="211">
                  <c:v>351.54804086120453</c:v>
                </c:pt>
                <c:pt idx="212">
                  <c:v>351.54804086120453</c:v>
                </c:pt>
                <c:pt idx="213">
                  <c:v>353.91596545949398</c:v>
                </c:pt>
                <c:pt idx="214">
                  <c:v>353.91596545949398</c:v>
                </c:pt>
                <c:pt idx="215">
                  <c:v>356.41683997042492</c:v>
                </c:pt>
                <c:pt idx="216">
                  <c:v>356.41683997042492</c:v>
                </c:pt>
                <c:pt idx="217">
                  <c:v>359.12048699419103</c:v>
                </c:pt>
                <c:pt idx="218">
                  <c:v>359.12048699419103</c:v>
                </c:pt>
                <c:pt idx="219">
                  <c:v>362.13008022969666</c:v>
                </c:pt>
                <c:pt idx="220">
                  <c:v>362.13008022969666</c:v>
                </c:pt>
                <c:pt idx="221">
                  <c:v>365.61540030563867</c:v>
                </c:pt>
                <c:pt idx="222">
                  <c:v>365.61540030563867</c:v>
                </c:pt>
                <c:pt idx="223">
                  <c:v>369.89824462555453</c:v>
                </c:pt>
                <c:pt idx="224">
                  <c:v>369.89824462555453</c:v>
                </c:pt>
                <c:pt idx="225">
                  <c:v>375.74378360624223</c:v>
                </c:pt>
                <c:pt idx="226">
                  <c:v>375.74378360624223</c:v>
                </c:pt>
                <c:pt idx="227">
                  <c:v>386.24829476282605</c:v>
                </c:pt>
                <c:pt idx="228">
                  <c:v>386.24829476282605</c:v>
                </c:pt>
                <c:pt idx="229">
                  <c:v>400.35509694464213</c:v>
                </c:pt>
                <c:pt idx="230">
                  <c:v>400.35509694464213</c:v>
                </c:pt>
                <c:pt idx="231">
                  <c:v>437.92285969328191</c:v>
                </c:pt>
                <c:pt idx="232">
                  <c:v>437.92285969328191</c:v>
                </c:pt>
                <c:pt idx="233">
                  <c:v>452.02966187509799</c:v>
                </c:pt>
                <c:pt idx="234">
                  <c:v>452.02966187509799</c:v>
                </c:pt>
                <c:pt idx="235">
                  <c:v>462.5341730316818</c:v>
                </c:pt>
                <c:pt idx="236">
                  <c:v>462.5341730316818</c:v>
                </c:pt>
                <c:pt idx="237">
                  <c:v>468.37971201236951</c:v>
                </c:pt>
                <c:pt idx="238">
                  <c:v>468.37971201236951</c:v>
                </c:pt>
                <c:pt idx="239">
                  <c:v>472.66255633228536</c:v>
                </c:pt>
                <c:pt idx="240">
                  <c:v>472.66255633228536</c:v>
                </c:pt>
                <c:pt idx="241">
                  <c:v>476.14787640822738</c:v>
                </c:pt>
                <c:pt idx="242">
                  <c:v>476.14787640822738</c:v>
                </c:pt>
                <c:pt idx="243">
                  <c:v>479.15746964373301</c:v>
                </c:pt>
                <c:pt idx="244">
                  <c:v>479.15746964373301</c:v>
                </c:pt>
                <c:pt idx="245">
                  <c:v>481.86111666749912</c:v>
                </c:pt>
                <c:pt idx="246">
                  <c:v>481.86111666749912</c:v>
                </c:pt>
                <c:pt idx="247">
                  <c:v>484.36199117843006</c:v>
                </c:pt>
                <c:pt idx="248">
                  <c:v>484.36199117843006</c:v>
                </c:pt>
                <c:pt idx="249">
                  <c:v>486.72991577671951</c:v>
                </c:pt>
                <c:pt idx="250">
                  <c:v>486.72991577671951</c:v>
                </c:pt>
                <c:pt idx="251">
                  <c:v>489.01687840456418</c:v>
                </c:pt>
                <c:pt idx="252">
                  <c:v>489.01687840456418</c:v>
                </c:pt>
                <c:pt idx="253">
                  <c:v>491.26542393364912</c:v>
                </c:pt>
                <c:pt idx="254">
                  <c:v>491.26542393364912</c:v>
                </c:pt>
                <c:pt idx="255">
                  <c:v>493.18244212626809</c:v>
                </c:pt>
                <c:pt idx="256">
                  <c:v>493.18244212626809</c:v>
                </c:pt>
                <c:pt idx="257">
                  <c:v>497.01647851150602</c:v>
                </c:pt>
                <c:pt idx="258">
                  <c:v>497.01647851150602</c:v>
                </c:pt>
                <c:pt idx="259">
                  <c:v>500.85051489674396</c:v>
                </c:pt>
                <c:pt idx="260">
                  <c:v>500.85051489674396</c:v>
                </c:pt>
                <c:pt idx="261">
                  <c:v>504.6845512819819</c:v>
                </c:pt>
                <c:pt idx="262">
                  <c:v>504.6845512819819</c:v>
                </c:pt>
                <c:pt idx="263">
                  <c:v>508.51858766721983</c:v>
                </c:pt>
                <c:pt idx="264">
                  <c:v>508.51858766721983</c:v>
                </c:pt>
                <c:pt idx="265">
                  <c:v>512.35262405245771</c:v>
                </c:pt>
                <c:pt idx="266">
                  <c:v>512.35262405245771</c:v>
                </c:pt>
                <c:pt idx="267">
                  <c:v>516.18666043769565</c:v>
                </c:pt>
                <c:pt idx="268">
                  <c:v>516.18666043769565</c:v>
                </c:pt>
                <c:pt idx="269">
                  <c:v>520.02069682293359</c:v>
                </c:pt>
                <c:pt idx="270">
                  <c:v>520.02069682293359</c:v>
                </c:pt>
                <c:pt idx="271">
                  <c:v>523.85473320817152</c:v>
                </c:pt>
                <c:pt idx="272">
                  <c:v>523.85473320817152</c:v>
                </c:pt>
                <c:pt idx="273">
                  <c:v>527.68876959340946</c:v>
                </c:pt>
                <c:pt idx="274">
                  <c:v>527.68876959340946</c:v>
                </c:pt>
                <c:pt idx="275">
                  <c:v>531.5228059786474</c:v>
                </c:pt>
                <c:pt idx="276">
                  <c:v>531.5228059786474</c:v>
                </c:pt>
                <c:pt idx="277">
                  <c:v>535.35684236388533</c:v>
                </c:pt>
                <c:pt idx="278">
                  <c:v>535.35684236388533</c:v>
                </c:pt>
                <c:pt idx="279">
                  <c:v>539.19087874912327</c:v>
                </c:pt>
                <c:pt idx="280">
                  <c:v>539.19087874912327</c:v>
                </c:pt>
                <c:pt idx="281">
                  <c:v>543.02491513436121</c:v>
                </c:pt>
                <c:pt idx="282">
                  <c:v>543.02491513436121</c:v>
                </c:pt>
                <c:pt idx="283">
                  <c:v>546.85895151959915</c:v>
                </c:pt>
                <c:pt idx="284">
                  <c:v>546.85895151959915</c:v>
                </c:pt>
                <c:pt idx="285">
                  <c:v>550.69298790483708</c:v>
                </c:pt>
                <c:pt idx="286">
                  <c:v>550.69298790483708</c:v>
                </c:pt>
                <c:pt idx="287">
                  <c:v>554.52702429007502</c:v>
                </c:pt>
                <c:pt idx="288">
                  <c:v>554.52702429007502</c:v>
                </c:pt>
                <c:pt idx="289">
                  <c:v>558.36106067531296</c:v>
                </c:pt>
                <c:pt idx="290">
                  <c:v>558.36106067531296</c:v>
                </c:pt>
                <c:pt idx="291">
                  <c:v>562.19509706055089</c:v>
                </c:pt>
                <c:pt idx="292">
                  <c:v>562.19509706055089</c:v>
                </c:pt>
                <c:pt idx="293">
                  <c:v>566.02913344578883</c:v>
                </c:pt>
                <c:pt idx="294">
                  <c:v>566.02913344578883</c:v>
                </c:pt>
                <c:pt idx="295">
                  <c:v>569.86316983102677</c:v>
                </c:pt>
                <c:pt idx="296">
                  <c:v>569.86316983102677</c:v>
                </c:pt>
                <c:pt idx="297">
                  <c:v>573.6972062162647</c:v>
                </c:pt>
                <c:pt idx="298">
                  <c:v>573.6972062162647</c:v>
                </c:pt>
                <c:pt idx="299">
                  <c:v>575.61422440888362</c:v>
                </c:pt>
                <c:pt idx="300">
                  <c:v>575.61422440888362</c:v>
                </c:pt>
                <c:pt idx="301">
                  <c:v>577.86276993796855</c:v>
                </c:pt>
                <c:pt idx="302">
                  <c:v>577.86276993796855</c:v>
                </c:pt>
                <c:pt idx="303">
                  <c:v>580.14973256581322</c:v>
                </c:pt>
                <c:pt idx="304">
                  <c:v>580.14973256581322</c:v>
                </c:pt>
                <c:pt idx="305">
                  <c:v>582.51765716410262</c:v>
                </c:pt>
                <c:pt idx="306">
                  <c:v>582.51765716410262</c:v>
                </c:pt>
                <c:pt idx="307">
                  <c:v>585.0185316750335</c:v>
                </c:pt>
                <c:pt idx="308">
                  <c:v>585.0185316750335</c:v>
                </c:pt>
                <c:pt idx="309">
                  <c:v>587.72217869879967</c:v>
                </c:pt>
                <c:pt idx="310">
                  <c:v>587.72217869879967</c:v>
                </c:pt>
                <c:pt idx="311">
                  <c:v>590.73177193430524</c:v>
                </c:pt>
                <c:pt idx="312">
                  <c:v>590.73177193430524</c:v>
                </c:pt>
                <c:pt idx="313">
                  <c:v>594.21709201024726</c:v>
                </c:pt>
                <c:pt idx="314">
                  <c:v>594.21709201024726</c:v>
                </c:pt>
                <c:pt idx="315">
                  <c:v>598.49993633016311</c:v>
                </c:pt>
                <c:pt idx="316">
                  <c:v>598.49993633016311</c:v>
                </c:pt>
                <c:pt idx="317">
                  <c:v>604.34547531085082</c:v>
                </c:pt>
                <c:pt idx="318">
                  <c:v>604.34547531085082</c:v>
                </c:pt>
                <c:pt idx="319">
                  <c:v>614.84998646743463</c:v>
                </c:pt>
                <c:pt idx="320">
                  <c:v>614.84998646743463</c:v>
                </c:pt>
                <c:pt idx="321">
                  <c:v>628.95678864925071</c:v>
                </c:pt>
                <c:pt idx="322">
                  <c:v>628.95678864925071</c:v>
                </c:pt>
                <c:pt idx="323">
                  <c:v>666.52455139789049</c:v>
                </c:pt>
                <c:pt idx="324">
                  <c:v>666.52455139789049</c:v>
                </c:pt>
                <c:pt idx="325">
                  <c:v>680.63135357970657</c:v>
                </c:pt>
                <c:pt idx="326">
                  <c:v>680.63135357970657</c:v>
                </c:pt>
                <c:pt idx="327">
                  <c:v>691.13586473629039</c:v>
                </c:pt>
                <c:pt idx="328">
                  <c:v>691.13586473629039</c:v>
                </c:pt>
                <c:pt idx="329">
                  <c:v>696.98140371697809</c:v>
                </c:pt>
                <c:pt idx="330">
                  <c:v>696.98140371697809</c:v>
                </c:pt>
                <c:pt idx="331">
                  <c:v>701.26424803689395</c:v>
                </c:pt>
                <c:pt idx="332">
                  <c:v>701.26424803689395</c:v>
                </c:pt>
                <c:pt idx="333">
                  <c:v>704.74956811283596</c:v>
                </c:pt>
                <c:pt idx="334">
                  <c:v>704.74956811283596</c:v>
                </c:pt>
                <c:pt idx="335">
                  <c:v>707.75916134834154</c:v>
                </c:pt>
                <c:pt idx="336">
                  <c:v>707.75916134834154</c:v>
                </c:pt>
                <c:pt idx="337">
                  <c:v>710.4628083721077</c:v>
                </c:pt>
                <c:pt idx="338">
                  <c:v>710.4628083721077</c:v>
                </c:pt>
                <c:pt idx="339">
                  <c:v>712.96368288303859</c:v>
                </c:pt>
                <c:pt idx="340">
                  <c:v>712.96368288303859</c:v>
                </c:pt>
                <c:pt idx="341">
                  <c:v>715.33160748132798</c:v>
                </c:pt>
                <c:pt idx="342">
                  <c:v>715.33160748132798</c:v>
                </c:pt>
                <c:pt idx="343">
                  <c:v>717.61857010917265</c:v>
                </c:pt>
                <c:pt idx="344">
                  <c:v>717.61857010917265</c:v>
                </c:pt>
                <c:pt idx="345">
                  <c:v>719.86711563825759</c:v>
                </c:pt>
                <c:pt idx="346">
                  <c:v>719.86711563825759</c:v>
                </c:pt>
                <c:pt idx="347">
                  <c:v>721.7841338308765</c:v>
                </c:pt>
                <c:pt idx="348">
                  <c:v>721.7841338308765</c:v>
                </c:pt>
                <c:pt idx="349">
                  <c:v>725.61817021611444</c:v>
                </c:pt>
                <c:pt idx="350">
                  <c:v>725.61817021611444</c:v>
                </c:pt>
                <c:pt idx="351">
                  <c:v>729.45220660135237</c:v>
                </c:pt>
                <c:pt idx="352">
                  <c:v>729.45220660135237</c:v>
                </c:pt>
                <c:pt idx="353">
                  <c:v>733.28624298659031</c:v>
                </c:pt>
                <c:pt idx="354">
                  <c:v>733.28624298659031</c:v>
                </c:pt>
                <c:pt idx="355">
                  <c:v>737.12027937182825</c:v>
                </c:pt>
                <c:pt idx="356">
                  <c:v>737.12027937182825</c:v>
                </c:pt>
                <c:pt idx="357">
                  <c:v>740.95431575706618</c:v>
                </c:pt>
                <c:pt idx="358">
                  <c:v>740.95431575706618</c:v>
                </c:pt>
                <c:pt idx="359">
                  <c:v>744.78835214230412</c:v>
                </c:pt>
                <c:pt idx="360">
                  <c:v>744.78835214230412</c:v>
                </c:pt>
                <c:pt idx="361">
                  <c:v>748.62238852754206</c:v>
                </c:pt>
                <c:pt idx="362">
                  <c:v>748.62238852754206</c:v>
                </c:pt>
                <c:pt idx="363">
                  <c:v>752.45642491277999</c:v>
                </c:pt>
                <c:pt idx="364">
                  <c:v>752.45642491277999</c:v>
                </c:pt>
                <c:pt idx="365">
                  <c:v>756.29046129801793</c:v>
                </c:pt>
                <c:pt idx="366">
                  <c:v>756.29046129801793</c:v>
                </c:pt>
                <c:pt idx="367">
                  <c:v>760.12449768325587</c:v>
                </c:pt>
                <c:pt idx="368">
                  <c:v>760.12449768325587</c:v>
                </c:pt>
                <c:pt idx="369">
                  <c:v>763.9585340684938</c:v>
                </c:pt>
                <c:pt idx="370">
                  <c:v>763.9585340684938</c:v>
                </c:pt>
                <c:pt idx="371">
                  <c:v>767.79257045373174</c:v>
                </c:pt>
                <c:pt idx="372">
                  <c:v>767.79257045373174</c:v>
                </c:pt>
                <c:pt idx="373">
                  <c:v>771.62660683896968</c:v>
                </c:pt>
                <c:pt idx="374">
                  <c:v>771.62660683896968</c:v>
                </c:pt>
                <c:pt idx="375">
                  <c:v>775.46064322420762</c:v>
                </c:pt>
                <c:pt idx="376">
                  <c:v>775.46064322420762</c:v>
                </c:pt>
                <c:pt idx="377">
                  <c:v>779.29467960944555</c:v>
                </c:pt>
                <c:pt idx="378">
                  <c:v>779.29467960944555</c:v>
                </c:pt>
                <c:pt idx="379">
                  <c:v>783.12871599468349</c:v>
                </c:pt>
                <c:pt idx="380">
                  <c:v>783.12871599468349</c:v>
                </c:pt>
                <c:pt idx="381">
                  <c:v>786.96275237992143</c:v>
                </c:pt>
                <c:pt idx="382">
                  <c:v>786.96275237992143</c:v>
                </c:pt>
                <c:pt idx="383">
                  <c:v>790.79678876515936</c:v>
                </c:pt>
                <c:pt idx="384">
                  <c:v>790.79678876515936</c:v>
                </c:pt>
                <c:pt idx="385">
                  <c:v>794.6308251503973</c:v>
                </c:pt>
                <c:pt idx="386">
                  <c:v>794.6308251503973</c:v>
                </c:pt>
                <c:pt idx="387">
                  <c:v>798.46486153563524</c:v>
                </c:pt>
                <c:pt idx="388">
                  <c:v>798.46486153563524</c:v>
                </c:pt>
                <c:pt idx="389">
                  <c:v>802.29889792087317</c:v>
                </c:pt>
                <c:pt idx="390">
                  <c:v>802.29889792087317</c:v>
                </c:pt>
                <c:pt idx="391">
                  <c:v>804.21591611349209</c:v>
                </c:pt>
                <c:pt idx="392">
                  <c:v>804.21591611349209</c:v>
                </c:pt>
                <c:pt idx="393">
                  <c:v>805.81331658682996</c:v>
                </c:pt>
                <c:pt idx="394">
                  <c:v>805.81331658682996</c:v>
                </c:pt>
                <c:pt idx="395">
                  <c:v>809.00811753350581</c:v>
                </c:pt>
                <c:pt idx="396">
                  <c:v>809.00811753350581</c:v>
                </c:pt>
                <c:pt idx="397">
                  <c:v>812.20291848018167</c:v>
                </c:pt>
                <c:pt idx="398">
                  <c:v>812.20291848018167</c:v>
                </c:pt>
                <c:pt idx="399">
                  <c:v>815.39771942685752</c:v>
                </c:pt>
                <c:pt idx="400">
                  <c:v>815.39771942685752</c:v>
                </c:pt>
                <c:pt idx="401">
                  <c:v>818.59252037353338</c:v>
                </c:pt>
                <c:pt idx="402">
                  <c:v>818.59252037353338</c:v>
                </c:pt>
                <c:pt idx="403">
                  <c:v>821.78732132020923</c:v>
                </c:pt>
                <c:pt idx="404">
                  <c:v>821.78732132020923</c:v>
                </c:pt>
                <c:pt idx="405">
                  <c:v>824.98212226688509</c:v>
                </c:pt>
                <c:pt idx="406">
                  <c:v>824.98212226688509</c:v>
                </c:pt>
                <c:pt idx="407">
                  <c:v>828.17692321356094</c:v>
                </c:pt>
                <c:pt idx="408">
                  <c:v>828.17692321356094</c:v>
                </c:pt>
                <c:pt idx="409">
                  <c:v>831.37172416023679</c:v>
                </c:pt>
                <c:pt idx="410">
                  <c:v>831.37172416023679</c:v>
                </c:pt>
                <c:pt idx="411">
                  <c:v>834.56652510691265</c:v>
                </c:pt>
                <c:pt idx="412">
                  <c:v>834.56652510691265</c:v>
                </c:pt>
                <c:pt idx="413">
                  <c:v>837.7613260535885</c:v>
                </c:pt>
                <c:pt idx="414">
                  <c:v>837.7613260535885</c:v>
                </c:pt>
                <c:pt idx="415">
                  <c:v>840.95612700026436</c:v>
                </c:pt>
                <c:pt idx="416">
                  <c:v>840.95612700026436</c:v>
                </c:pt>
                <c:pt idx="417">
                  <c:v>844.15092794694021</c:v>
                </c:pt>
                <c:pt idx="418">
                  <c:v>844.15092794694021</c:v>
                </c:pt>
                <c:pt idx="419">
                  <c:v>847.34572889361607</c:v>
                </c:pt>
                <c:pt idx="420">
                  <c:v>847.34572889361607</c:v>
                </c:pt>
                <c:pt idx="421">
                  <c:v>850.54052984029192</c:v>
                </c:pt>
                <c:pt idx="422">
                  <c:v>850.54052984029192</c:v>
                </c:pt>
                <c:pt idx="423">
                  <c:v>853.73533078696778</c:v>
                </c:pt>
                <c:pt idx="424">
                  <c:v>853.73533078696778</c:v>
                </c:pt>
                <c:pt idx="425">
                  <c:v>856.93013173364363</c:v>
                </c:pt>
                <c:pt idx="426">
                  <c:v>856.93013173364363</c:v>
                </c:pt>
                <c:pt idx="427">
                  <c:v>860.12493268031949</c:v>
                </c:pt>
                <c:pt idx="428">
                  <c:v>860.12493268031949</c:v>
                </c:pt>
                <c:pt idx="429">
                  <c:v>863.31973362699534</c:v>
                </c:pt>
                <c:pt idx="430">
                  <c:v>863.31973362699534</c:v>
                </c:pt>
                <c:pt idx="431">
                  <c:v>866.5145345736712</c:v>
                </c:pt>
                <c:pt idx="432">
                  <c:v>866.5145345736712</c:v>
                </c:pt>
                <c:pt idx="433">
                  <c:v>869.70933552034705</c:v>
                </c:pt>
                <c:pt idx="434">
                  <c:v>869.70933552034705</c:v>
                </c:pt>
                <c:pt idx="435">
                  <c:v>872.90413646702291</c:v>
                </c:pt>
                <c:pt idx="436">
                  <c:v>872.90413646702291</c:v>
                </c:pt>
                <c:pt idx="437">
                  <c:v>874.50153694036078</c:v>
                </c:pt>
                <c:pt idx="438">
                  <c:v>874.50153694036078</c:v>
                </c:pt>
                <c:pt idx="439">
                  <c:v>879.27489283825139</c:v>
                </c:pt>
                <c:pt idx="440">
                  <c:v>879.27489283825139</c:v>
                </c:pt>
                <c:pt idx="441">
                  <c:v>884.12980300425556</c:v>
                </c:pt>
                <c:pt idx="442">
                  <c:v>884.12980300425556</c:v>
                </c:pt>
                <c:pt idx="443">
                  <c:v>889.15658440618915</c:v>
                </c:pt>
                <c:pt idx="444">
                  <c:v>889.15658440618915</c:v>
                </c:pt>
                <c:pt idx="445">
                  <c:v>894.46560036438257</c:v>
                </c:pt>
                <c:pt idx="446">
                  <c:v>894.46560036438257</c:v>
                </c:pt>
                <c:pt idx="447">
                  <c:v>900.20507474894634</c:v>
                </c:pt>
                <c:pt idx="448">
                  <c:v>900.20507474894634</c:v>
                </c:pt>
                <c:pt idx="449">
                  <c:v>906.59403127000849</c:v>
                </c:pt>
                <c:pt idx="450">
                  <c:v>906.59403127000849</c:v>
                </c:pt>
                <c:pt idx="451">
                  <c:v>913.99289107753248</c:v>
                </c:pt>
                <c:pt idx="452">
                  <c:v>913.99289107753248</c:v>
                </c:pt>
                <c:pt idx="453">
                  <c:v>923.08478622921189</c:v>
                </c:pt>
                <c:pt idx="454">
                  <c:v>923.08478622921189</c:v>
                </c:pt>
                <c:pt idx="455">
                  <c:v>935.49406930082057</c:v>
                </c:pt>
                <c:pt idx="456">
                  <c:v>935.49406930082057</c:v>
                </c:pt>
                <c:pt idx="457">
                  <c:v>957.79371573232618</c:v>
                </c:pt>
                <c:pt idx="458">
                  <c:v>957.79371573232618</c:v>
                </c:pt>
                <c:pt idx="459">
                  <c:v>987.74053536481597</c:v>
                </c:pt>
                <c:pt idx="460">
                  <c:v>987.74053536481597</c:v>
                </c:pt>
                <c:pt idx="461">
                  <c:v>1187.740535364816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2.0753595302827892E-6</c:v>
                </c:pt>
                <c:pt idx="3">
                  <c:v>2.0753595302827892E-6</c:v>
                </c:pt>
                <c:pt idx="4">
                  <c:v>2.1141480010057634E-6</c:v>
                </c:pt>
                <c:pt idx="5">
                  <c:v>2.1141480010057634E-6</c:v>
                </c:pt>
                <c:pt idx="6">
                  <c:v>2.1702613482464512E-6</c:v>
                </c:pt>
                <c:pt idx="7">
                  <c:v>2.1702613482464512E-6</c:v>
                </c:pt>
                <c:pt idx="8">
                  <c:v>2.2337565362949153E-6</c:v>
                </c:pt>
                <c:pt idx="9">
                  <c:v>2.2337565362949153E-6</c:v>
                </c:pt>
                <c:pt idx="10">
                  <c:v>2.3007661947574838E-6</c:v>
                </c:pt>
                <c:pt idx="11">
                  <c:v>2.3007661947574838E-6</c:v>
                </c:pt>
                <c:pt idx="12">
                  <c:v>2.3695198721662014E-6</c:v>
                </c:pt>
                <c:pt idx="13">
                  <c:v>2.3695198721662014E-6</c:v>
                </c:pt>
                <c:pt idx="14">
                  <c:v>2.4391349780240453E-6</c:v>
                </c:pt>
                <c:pt idx="15">
                  <c:v>2.4391349780240453E-6</c:v>
                </c:pt>
                <c:pt idx="16">
                  <c:v>2.5091556373957901E-6</c:v>
                </c:pt>
                <c:pt idx="17">
                  <c:v>2.5091556373957901E-6</c:v>
                </c:pt>
                <c:pt idx="18">
                  <c:v>2.5793482334753735E-6</c:v>
                </c:pt>
                <c:pt idx="19">
                  <c:v>2.5793482334753735E-6</c:v>
                </c:pt>
                <c:pt idx="20">
                  <c:v>2.6496003878244729E-6</c:v>
                </c:pt>
                <c:pt idx="21">
                  <c:v>2.6496003878244729E-6</c:v>
                </c:pt>
                <c:pt idx="22">
                  <c:v>2.7198662854725101E-6</c:v>
                </c:pt>
                <c:pt idx="23">
                  <c:v>2.7198662854725101E-6</c:v>
                </c:pt>
                <c:pt idx="24">
                  <c:v>2.7729484968649535E-6</c:v>
                </c:pt>
                <c:pt idx="25">
                  <c:v>2.7729484968649535E-6</c:v>
                </c:pt>
                <c:pt idx="26">
                  <c:v>2.8940578400572229E-6</c:v>
                </c:pt>
                <c:pt idx="27">
                  <c:v>2.8940578400572229E-6</c:v>
                </c:pt>
                <c:pt idx="28">
                  <c:v>3.0384360731760849E-6</c:v>
                </c:pt>
                <c:pt idx="29">
                  <c:v>3.0384360731760849E-6</c:v>
                </c:pt>
                <c:pt idx="30">
                  <c:v>3.1524694663931443E-6</c:v>
                </c:pt>
                <c:pt idx="31">
                  <c:v>3.1524694663931443E-6</c:v>
                </c:pt>
                <c:pt idx="32">
                  <c:v>3.2309007952452858E-6</c:v>
                </c:pt>
                <c:pt idx="33">
                  <c:v>3.2309007952452858E-6</c:v>
                </c:pt>
                <c:pt idx="34">
                  <c:v>3.2750519701903315E-6</c:v>
                </c:pt>
                <c:pt idx="35">
                  <c:v>3.2750519701903315E-6</c:v>
                </c:pt>
                <c:pt idx="36">
                  <c:v>3.2904899653385658E-6</c:v>
                </c:pt>
                <c:pt idx="37">
                  <c:v>3.2904899653385658E-6</c:v>
                </c:pt>
                <c:pt idx="38">
                  <c:v>3.2841340973159043E-6</c:v>
                </c:pt>
                <c:pt idx="39">
                  <c:v>3.2841340973159043E-6</c:v>
                </c:pt>
                <c:pt idx="40">
                  <c:v>3.2620762149381051E-6</c:v>
                </c:pt>
                <c:pt idx="41">
                  <c:v>3.2620762149381051E-6</c:v>
                </c:pt>
                <c:pt idx="42">
                  <c:v>3.228602219196839E-6</c:v>
                </c:pt>
                <c:pt idx="43">
                  <c:v>3.228602219196839E-6</c:v>
                </c:pt>
                <c:pt idx="44">
                  <c:v>3.1861996687455645E-6</c:v>
                </c:pt>
                <c:pt idx="45">
                  <c:v>3.1861996687455645E-6</c:v>
                </c:pt>
                <c:pt idx="46">
                  <c:v>3.1360529137616047E-6</c:v>
                </c:pt>
                <c:pt idx="47">
                  <c:v>3.1360529137616047E-6</c:v>
                </c:pt>
                <c:pt idx="48">
                  <c:v>3.0786078399426882E-6</c:v>
                </c:pt>
                <c:pt idx="49">
                  <c:v>3.0786078399426882E-6</c:v>
                </c:pt>
                <c:pt idx="50">
                  <c:v>3.0140020360055879E-6</c:v>
                </c:pt>
                <c:pt idx="51">
                  <c:v>3.0140020360055879E-6</c:v>
                </c:pt>
                <c:pt idx="52">
                  <c:v>2.9423266333494046E-6</c:v>
                </c:pt>
                <c:pt idx="53">
                  <c:v>2.9423266333494046E-6</c:v>
                </c:pt>
                <c:pt idx="54">
                  <c:v>2.8637622350242467E-6</c:v>
                </c:pt>
                <c:pt idx="55">
                  <c:v>2.8637622350242467E-6</c:v>
                </c:pt>
                <c:pt idx="56">
                  <c:v>2.7786406114716381E-6</c:v>
                </c:pt>
                <c:pt idx="57">
                  <c:v>2.7786406114716381E-6</c:v>
                </c:pt>
                <c:pt idx="58">
                  <c:v>2.6874675197525567E-6</c:v>
                </c:pt>
                <c:pt idx="59">
                  <c:v>2.6874675197525567E-6</c:v>
                </c:pt>
                <c:pt idx="60">
                  <c:v>2.5909248667592145E-6</c:v>
                </c:pt>
                <c:pt idx="61">
                  <c:v>2.5909248667592145E-6</c:v>
                </c:pt>
                <c:pt idx="62">
                  <c:v>2.4898599774308446E-6</c:v>
                </c:pt>
                <c:pt idx="63">
                  <c:v>2.4898599774308446E-6</c:v>
                </c:pt>
                <c:pt idx="64">
                  <c:v>2.38526507326429E-6</c:v>
                </c:pt>
                <c:pt idx="65">
                  <c:v>2.38526507326429E-6</c:v>
                </c:pt>
                <c:pt idx="66">
                  <c:v>2.2782486104769875E-6</c:v>
                </c:pt>
                <c:pt idx="67">
                  <c:v>2.2782486104769875E-6</c:v>
                </c:pt>
                <c:pt idx="68">
                  <c:v>2.1971106880824975E-6</c:v>
                </c:pt>
                <c:pt idx="69">
                  <c:v>2.1971106880824975E-6</c:v>
                </c:pt>
                <c:pt idx="70">
                  <c:v>2.1344843538775002E-6</c:v>
                </c:pt>
                <c:pt idx="71">
                  <c:v>2.1344843538775002E-6</c:v>
                </c:pt>
                <c:pt idx="72">
                  <c:v>2.0468446290884951E-6</c:v>
                </c:pt>
                <c:pt idx="73">
                  <c:v>2.0468446290884951E-6</c:v>
                </c:pt>
                <c:pt idx="74">
                  <c:v>1.9308877906734488E-6</c:v>
                </c:pt>
                <c:pt idx="75">
                  <c:v>1.9308877906734488E-6</c:v>
                </c:pt>
                <c:pt idx="76">
                  <c:v>1.817140852590672E-6</c:v>
                </c:pt>
                <c:pt idx="77">
                  <c:v>1.817140852590672E-6</c:v>
                </c:pt>
                <c:pt idx="78">
                  <c:v>1.7067822207319974E-6</c:v>
                </c:pt>
                <c:pt idx="79">
                  <c:v>1.7067822207319974E-6</c:v>
                </c:pt>
                <c:pt idx="80">
                  <c:v>1.6008256752802576E-6</c:v>
                </c:pt>
                <c:pt idx="81">
                  <c:v>1.6008256752802576E-6</c:v>
                </c:pt>
                <c:pt idx="82">
                  <c:v>1.5000866498006774E-6</c:v>
                </c:pt>
                <c:pt idx="83">
                  <c:v>1.5000866498006774E-6</c:v>
                </c:pt>
                <c:pt idx="84">
                  <c:v>1.4051609488081975E-6</c:v>
                </c:pt>
                <c:pt idx="85">
                  <c:v>1.4051609488081975E-6</c:v>
                </c:pt>
                <c:pt idx="86">
                  <c:v>1.3164167358719595E-6</c:v>
                </c:pt>
                <c:pt idx="87">
                  <c:v>1.3164167358719595E-6</c:v>
                </c:pt>
                <c:pt idx="88">
                  <c:v>1.2339996143882232E-6</c:v>
                </c:pt>
                <c:pt idx="89">
                  <c:v>1.2339996143882232E-6</c:v>
                </c:pt>
                <c:pt idx="90">
                  <c:v>1.1578496675611085E-6</c:v>
                </c:pt>
                <c:pt idx="91">
                  <c:v>1.1578496675611085E-6</c:v>
                </c:pt>
                <c:pt idx="92">
                  <c:v>1.0877285116843854E-6</c:v>
                </c:pt>
                <c:pt idx="93">
                  <c:v>1.0877285116843854E-6</c:v>
                </c:pt>
                <c:pt idx="94">
                  <c:v>1.02325381544833E-6</c:v>
                </c:pt>
                <c:pt idx="95">
                  <c:v>1.02325381544833E-6</c:v>
                </c:pt>
                <c:pt idx="96">
                  <c:v>9.6393838859231798E-7</c:v>
                </c:pt>
                <c:pt idx="97">
                  <c:v>9.6393838859231798E-7</c:v>
                </c:pt>
                <c:pt idx="98">
                  <c:v>9.0923085743048854E-7</c:v>
                </c:pt>
                <c:pt idx="99">
                  <c:v>9.0923085743048854E-7</c:v>
                </c:pt>
                <c:pt idx="100">
                  <c:v>8.5855510663268249E-7</c:v>
                </c:pt>
                <c:pt idx="101">
                  <c:v>8.5855510663268249E-7</c:v>
                </c:pt>
                <c:pt idx="102">
                  <c:v>8.1134603737755964E-7</c:v>
                </c:pt>
                <c:pt idx="103">
                  <c:v>8.1134603737755964E-7</c:v>
                </c:pt>
                <c:pt idx="104">
                  <c:v>7.6707971693808278E-7</c:v>
                </c:pt>
                <c:pt idx="105">
                  <c:v>7.6707971693808278E-7</c:v>
                </c:pt>
                <c:pt idx="106">
                  <c:v>7.2529661114053775E-7</c:v>
                </c:pt>
                <c:pt idx="107">
                  <c:v>7.2529661114053775E-7</c:v>
                </c:pt>
                <c:pt idx="108">
                  <c:v>6.8561723565153181E-7</c:v>
                </c:pt>
                <c:pt idx="109">
                  <c:v>6.8561723565153181E-7</c:v>
                </c:pt>
                <c:pt idx="110">
                  <c:v>6.4775017727652383E-7</c:v>
                </c:pt>
                <c:pt idx="111">
                  <c:v>6.4775017727652383E-7</c:v>
                </c:pt>
                <c:pt idx="112">
                  <c:v>6.1149297557981102E-7</c:v>
                </c:pt>
                <c:pt idx="113">
                  <c:v>6.1149297557981102E-7</c:v>
                </c:pt>
                <c:pt idx="114">
                  <c:v>5.852821733942309E-7</c:v>
                </c:pt>
                <c:pt idx="115">
                  <c:v>5.852821733942309E-7</c:v>
                </c:pt>
                <c:pt idx="116">
                  <c:v>5.4347314932340678E-7</c:v>
                </c:pt>
                <c:pt idx="117">
                  <c:v>5.4347314932340678E-7</c:v>
                </c:pt>
                <c:pt idx="118">
                  <c:v>5.0868561099122929E-7</c:v>
                </c:pt>
                <c:pt idx="119">
                  <c:v>5.0868561099122929E-7</c:v>
                </c:pt>
                <c:pt idx="120">
                  <c:v>4.739048767497215E-7</c:v>
                </c:pt>
                <c:pt idx="121">
                  <c:v>4.739048767497215E-7</c:v>
                </c:pt>
                <c:pt idx="122">
                  <c:v>4.3915362886864107E-7</c:v>
                </c:pt>
                <c:pt idx="123">
                  <c:v>4.3915362886864107E-7</c:v>
                </c:pt>
                <c:pt idx="124">
                  <c:v>4.0448750414139255E-7</c:v>
                </c:pt>
                <c:pt idx="125">
                  <c:v>4.0448750414139255E-7</c:v>
                </c:pt>
                <c:pt idx="126">
                  <c:v>3.7002216256618264E-7</c:v>
                </c:pt>
                <c:pt idx="127">
                  <c:v>3.7002216256618264E-7</c:v>
                </c:pt>
                <c:pt idx="128">
                  <c:v>3.3598330063753632E-7</c:v>
                </c:pt>
                <c:pt idx="129">
                  <c:v>3.3598330063753632E-7</c:v>
                </c:pt>
                <c:pt idx="130">
                  <c:v>3.0280787499835545E-7</c:v>
                </c:pt>
                <c:pt idx="131">
                  <c:v>3.0280787499835545E-7</c:v>
                </c:pt>
                <c:pt idx="132">
                  <c:v>2.7137240826300005E-7</c:v>
                </c:pt>
                <c:pt idx="133">
                  <c:v>2.7137240826300005E-7</c:v>
                </c:pt>
                <c:pt idx="134">
                  <c:v>2.4359157455245608E-7</c:v>
                </c:pt>
                <c:pt idx="135">
                  <c:v>2.4359157455245608E-7</c:v>
                </c:pt>
                <c:pt idx="136">
                  <c:v>2.2438801411577104E-7</c:v>
                </c:pt>
                <c:pt idx="137">
                  <c:v>2.2438801411577104E-7</c:v>
                </c:pt>
                <c:pt idx="138">
                  <c:v>2.2173459515442931E-7</c:v>
                </c:pt>
                <c:pt idx="139">
                  <c:v>2.2173459515442931E-7</c:v>
                </c:pt>
                <c:pt idx="140">
                  <c:v>2.2574531340151285E-7</c:v>
                </c:pt>
                <c:pt idx="141">
                  <c:v>2.2574531340151285E-7</c:v>
                </c:pt>
                <c:pt idx="142">
                  <c:v>2.5477204132292728E-7</c:v>
                </c:pt>
                <c:pt idx="143">
                  <c:v>2.5477204132292728E-7</c:v>
                </c:pt>
                <c:pt idx="144">
                  <c:v>2.9676356181230197E-7</c:v>
                </c:pt>
                <c:pt idx="145">
                  <c:v>2.9676356181230197E-7</c:v>
                </c:pt>
                <c:pt idx="146">
                  <c:v>3.4427916408919643E-7</c:v>
                </c:pt>
                <c:pt idx="147">
                  <c:v>3.4427916408919643E-7</c:v>
                </c:pt>
                <c:pt idx="148">
                  <c:v>3.9442476374924757E-7</c:v>
                </c:pt>
                <c:pt idx="149">
                  <c:v>3.9442476374924757E-7</c:v>
                </c:pt>
                <c:pt idx="150">
                  <c:v>4.4587547192469264E-7</c:v>
                </c:pt>
                <c:pt idx="151">
                  <c:v>4.4587547192469264E-7</c:v>
                </c:pt>
                <c:pt idx="152">
                  <c:v>4.979708162188218E-7</c:v>
                </c:pt>
                <c:pt idx="153">
                  <c:v>4.979708162188218E-7</c:v>
                </c:pt>
                <c:pt idx="154">
                  <c:v>5.5036964995932937E-7</c:v>
                </c:pt>
                <c:pt idx="155">
                  <c:v>5.5036964995932937E-7</c:v>
                </c:pt>
                <c:pt idx="156">
                  <c:v>6.0289714976851925E-7</c:v>
                </c:pt>
                <c:pt idx="157">
                  <c:v>6.0289714976851925E-7</c:v>
                </c:pt>
                <c:pt idx="158">
                  <c:v>6.5546921905035161E-7</c:v>
                </c:pt>
                <c:pt idx="159">
                  <c:v>6.5546921905035161E-7</c:v>
                </c:pt>
                <c:pt idx="160">
                  <c:v>7.0805157290880042E-7</c:v>
                </c:pt>
                <c:pt idx="161">
                  <c:v>7.0805157290880042E-7</c:v>
                </c:pt>
                <c:pt idx="162">
                  <c:v>7.568556231456998E-7</c:v>
                </c:pt>
                <c:pt idx="163">
                  <c:v>7.568556231456998E-7</c:v>
                </c:pt>
                <c:pt idx="164">
                  <c:v>8.2371580320200136E-7</c:v>
                </c:pt>
                <c:pt idx="165">
                  <c:v>8.2371580320200136E-7</c:v>
                </c:pt>
                <c:pt idx="166">
                  <c:v>9.0886997260503141E-7</c:v>
                </c:pt>
                <c:pt idx="167">
                  <c:v>9.0886997260503141E-7</c:v>
                </c:pt>
                <c:pt idx="168">
                  <c:v>9.8617244836772938E-7</c:v>
                </c:pt>
                <c:pt idx="169">
                  <c:v>9.8617244836772938E-7</c:v>
                </c:pt>
                <c:pt idx="170">
                  <c:v>1.0530262210713681E-6</c:v>
                </c:pt>
                <c:pt idx="171">
                  <c:v>1.0530262210713681E-6</c:v>
                </c:pt>
                <c:pt idx="172">
                  <c:v>1.1080921965111455E-6</c:v>
                </c:pt>
                <c:pt idx="173">
                  <c:v>1.1080921965111455E-6</c:v>
                </c:pt>
                <c:pt idx="174">
                  <c:v>1.1512553662886629E-6</c:v>
                </c:pt>
                <c:pt idx="175">
                  <c:v>1.1512553662886629E-6</c:v>
                </c:pt>
                <c:pt idx="176">
                  <c:v>1.1833761909775078E-6</c:v>
                </c:pt>
                <c:pt idx="177">
                  <c:v>1.1833761909775078E-6</c:v>
                </c:pt>
                <c:pt idx="178">
                  <c:v>1.2059115784722921E-6</c:v>
                </c:pt>
                <c:pt idx="179">
                  <c:v>1.2059115784722921E-6</c:v>
                </c:pt>
                <c:pt idx="180">
                  <c:v>1.2205008419078152E-6</c:v>
                </c:pt>
                <c:pt idx="181">
                  <c:v>1.2205008419078152E-6</c:v>
                </c:pt>
                <c:pt idx="182">
                  <c:v>1.2285950711701119E-6</c:v>
                </c:pt>
                <c:pt idx="183">
                  <c:v>1.2285950711701119E-6</c:v>
                </c:pt>
                <c:pt idx="184">
                  <c:v>1.2311776485358678E-6</c:v>
                </c:pt>
                <c:pt idx="185">
                  <c:v>1.2311776485358678E-6</c:v>
                </c:pt>
                <c:pt idx="186">
                  <c:v>1.2285950711701119E-6</c:v>
                </c:pt>
                <c:pt idx="187">
                  <c:v>1.2285950711701119E-6</c:v>
                </c:pt>
                <c:pt idx="188">
                  <c:v>1.2205008419078152E-6</c:v>
                </c:pt>
                <c:pt idx="189">
                  <c:v>1.2205008419078152E-6</c:v>
                </c:pt>
                <c:pt idx="190">
                  <c:v>1.2059115784722921E-6</c:v>
                </c:pt>
                <c:pt idx="191">
                  <c:v>1.2059115784722921E-6</c:v>
                </c:pt>
                <c:pt idx="192">
                  <c:v>1.1833761909775076E-6</c:v>
                </c:pt>
                <c:pt idx="193">
                  <c:v>1.1833761909775076E-6</c:v>
                </c:pt>
                <c:pt idx="194">
                  <c:v>1.1512553662886627E-6</c:v>
                </c:pt>
                <c:pt idx="195">
                  <c:v>1.1512553662886627E-6</c:v>
                </c:pt>
                <c:pt idx="196">
                  <c:v>1.1080921965111453E-6</c:v>
                </c:pt>
                <c:pt idx="197">
                  <c:v>1.1080921965111453E-6</c:v>
                </c:pt>
                <c:pt idx="198">
                  <c:v>1.0530262210713679E-6</c:v>
                </c:pt>
                <c:pt idx="199">
                  <c:v>1.0530262210713679E-6</c:v>
                </c:pt>
                <c:pt idx="200">
                  <c:v>9.8617244836772896E-7</c:v>
                </c:pt>
                <c:pt idx="201">
                  <c:v>9.8617244836772896E-7</c:v>
                </c:pt>
                <c:pt idx="202">
                  <c:v>9.0886997260503099E-7</c:v>
                </c:pt>
                <c:pt idx="203">
                  <c:v>9.0886997260503099E-7</c:v>
                </c:pt>
                <c:pt idx="204">
                  <c:v>8.2371580320200094E-7</c:v>
                </c:pt>
                <c:pt idx="205">
                  <c:v>8.2371580320200094E-7</c:v>
                </c:pt>
                <c:pt idx="206">
                  <c:v>7.568556231456998E-7</c:v>
                </c:pt>
                <c:pt idx="207">
                  <c:v>7.568556231456998E-7</c:v>
                </c:pt>
                <c:pt idx="208">
                  <c:v>7.0805157290880042E-7</c:v>
                </c:pt>
                <c:pt idx="209">
                  <c:v>7.0805157290880042E-7</c:v>
                </c:pt>
                <c:pt idx="210">
                  <c:v>6.5546921905035161E-7</c:v>
                </c:pt>
                <c:pt idx="211">
                  <c:v>6.5546921905035161E-7</c:v>
                </c:pt>
                <c:pt idx="212">
                  <c:v>6.0289714976851925E-7</c:v>
                </c:pt>
                <c:pt idx="213">
                  <c:v>6.0289714976851925E-7</c:v>
                </c:pt>
                <c:pt idx="214">
                  <c:v>5.5036964995932937E-7</c:v>
                </c:pt>
                <c:pt idx="215">
                  <c:v>5.5036964995932937E-7</c:v>
                </c:pt>
                <c:pt idx="216">
                  <c:v>4.979708162188218E-7</c:v>
                </c:pt>
                <c:pt idx="217">
                  <c:v>4.979708162188218E-7</c:v>
                </c:pt>
                <c:pt idx="218">
                  <c:v>4.4587547192469264E-7</c:v>
                </c:pt>
                <c:pt idx="219">
                  <c:v>4.4587547192469264E-7</c:v>
                </c:pt>
                <c:pt idx="220">
                  <c:v>3.9442476374924757E-7</c:v>
                </c:pt>
                <c:pt idx="221">
                  <c:v>3.9442476374924757E-7</c:v>
                </c:pt>
                <c:pt idx="222">
                  <c:v>3.4427916408919643E-7</c:v>
                </c:pt>
                <c:pt idx="223">
                  <c:v>3.4427916408919643E-7</c:v>
                </c:pt>
                <c:pt idx="224">
                  <c:v>2.9676356181230197E-7</c:v>
                </c:pt>
                <c:pt idx="225">
                  <c:v>2.9676356181230197E-7</c:v>
                </c:pt>
                <c:pt idx="226">
                  <c:v>2.5477204132292728E-7</c:v>
                </c:pt>
                <c:pt idx="227">
                  <c:v>2.5477204132292728E-7</c:v>
                </c:pt>
                <c:pt idx="228">
                  <c:v>2.2574531340151285E-7</c:v>
                </c:pt>
                <c:pt idx="229">
                  <c:v>2.2574531340151285E-7</c:v>
                </c:pt>
                <c:pt idx="230">
                  <c:v>2.2173459515442931E-7</c:v>
                </c:pt>
                <c:pt idx="231">
                  <c:v>2.2173459515442931E-7</c:v>
                </c:pt>
                <c:pt idx="232">
                  <c:v>2.2574531340151285E-7</c:v>
                </c:pt>
                <c:pt idx="233">
                  <c:v>2.2574531340151285E-7</c:v>
                </c:pt>
                <c:pt idx="234">
                  <c:v>2.5477204132292728E-7</c:v>
                </c:pt>
                <c:pt idx="235">
                  <c:v>2.5477204132292728E-7</c:v>
                </c:pt>
                <c:pt idx="236">
                  <c:v>2.9676356181230197E-7</c:v>
                </c:pt>
                <c:pt idx="237">
                  <c:v>2.9676356181230197E-7</c:v>
                </c:pt>
                <c:pt idx="238">
                  <c:v>3.4427916408919643E-7</c:v>
                </c:pt>
                <c:pt idx="239">
                  <c:v>3.4427916408919643E-7</c:v>
                </c:pt>
                <c:pt idx="240">
                  <c:v>3.9442476374924757E-7</c:v>
                </c:pt>
                <c:pt idx="241">
                  <c:v>3.9442476374924757E-7</c:v>
                </c:pt>
                <c:pt idx="242">
                  <c:v>4.4587547192469264E-7</c:v>
                </c:pt>
                <c:pt idx="243">
                  <c:v>4.4587547192469264E-7</c:v>
                </c:pt>
                <c:pt idx="244">
                  <c:v>4.979708162188218E-7</c:v>
                </c:pt>
                <c:pt idx="245">
                  <c:v>4.979708162188218E-7</c:v>
                </c:pt>
                <c:pt idx="246">
                  <c:v>5.5036964995932937E-7</c:v>
                </c:pt>
                <c:pt idx="247">
                  <c:v>5.5036964995932937E-7</c:v>
                </c:pt>
                <c:pt idx="248">
                  <c:v>6.0289714976851925E-7</c:v>
                </c:pt>
                <c:pt idx="249">
                  <c:v>6.0289714976851925E-7</c:v>
                </c:pt>
                <c:pt idx="250">
                  <c:v>6.5546921905035161E-7</c:v>
                </c:pt>
                <c:pt idx="251">
                  <c:v>6.5546921905035161E-7</c:v>
                </c:pt>
                <c:pt idx="252">
                  <c:v>7.0805157290880042E-7</c:v>
                </c:pt>
                <c:pt idx="253">
                  <c:v>7.0805157290880042E-7</c:v>
                </c:pt>
                <c:pt idx="254">
                  <c:v>7.568556231456998E-7</c:v>
                </c:pt>
                <c:pt idx="255">
                  <c:v>7.568556231456998E-7</c:v>
                </c:pt>
                <c:pt idx="256">
                  <c:v>8.2371580320200136E-7</c:v>
                </c:pt>
                <c:pt idx="257">
                  <c:v>8.2371580320200136E-7</c:v>
                </c:pt>
                <c:pt idx="258">
                  <c:v>9.0886997260503141E-7</c:v>
                </c:pt>
                <c:pt idx="259">
                  <c:v>9.0886997260503141E-7</c:v>
                </c:pt>
                <c:pt idx="260">
                  <c:v>9.8617244836772938E-7</c:v>
                </c:pt>
                <c:pt idx="261">
                  <c:v>9.8617244836772938E-7</c:v>
                </c:pt>
                <c:pt idx="262">
                  <c:v>1.0530262210713681E-6</c:v>
                </c:pt>
                <c:pt idx="263">
                  <c:v>1.0530262210713681E-6</c:v>
                </c:pt>
                <c:pt idx="264">
                  <c:v>1.1080921965111455E-6</c:v>
                </c:pt>
                <c:pt idx="265">
                  <c:v>1.1080921965111455E-6</c:v>
                </c:pt>
                <c:pt idx="266">
                  <c:v>1.1512553662886629E-6</c:v>
                </c:pt>
                <c:pt idx="267">
                  <c:v>1.1512553662886629E-6</c:v>
                </c:pt>
                <c:pt idx="268">
                  <c:v>1.1833761909775078E-6</c:v>
                </c:pt>
                <c:pt idx="269">
                  <c:v>1.1833761909775078E-6</c:v>
                </c:pt>
                <c:pt idx="270">
                  <c:v>1.2059115784722921E-6</c:v>
                </c:pt>
                <c:pt idx="271">
                  <c:v>1.2059115784722921E-6</c:v>
                </c:pt>
                <c:pt idx="272">
                  <c:v>1.2205008419078152E-6</c:v>
                </c:pt>
                <c:pt idx="273">
                  <c:v>1.2205008419078152E-6</c:v>
                </c:pt>
                <c:pt idx="274">
                  <c:v>1.2285950711701119E-6</c:v>
                </c:pt>
                <c:pt idx="275">
                  <c:v>1.2285950711701119E-6</c:v>
                </c:pt>
                <c:pt idx="276">
                  <c:v>1.2311776485358678E-6</c:v>
                </c:pt>
                <c:pt idx="277">
                  <c:v>1.2311776485358678E-6</c:v>
                </c:pt>
                <c:pt idx="278">
                  <c:v>1.2285950711701119E-6</c:v>
                </c:pt>
                <c:pt idx="279">
                  <c:v>1.2285950711701119E-6</c:v>
                </c:pt>
                <c:pt idx="280">
                  <c:v>1.2205008419078152E-6</c:v>
                </c:pt>
                <c:pt idx="281">
                  <c:v>1.2205008419078152E-6</c:v>
                </c:pt>
                <c:pt idx="282">
                  <c:v>1.2059115784722921E-6</c:v>
                </c:pt>
                <c:pt idx="283">
                  <c:v>1.2059115784722921E-6</c:v>
                </c:pt>
                <c:pt idx="284">
                  <c:v>1.1833761909775076E-6</c:v>
                </c:pt>
                <c:pt idx="285">
                  <c:v>1.1833761909775076E-6</c:v>
                </c:pt>
                <c:pt idx="286">
                  <c:v>1.1512553662886627E-6</c:v>
                </c:pt>
                <c:pt idx="287">
                  <c:v>1.1512553662886627E-6</c:v>
                </c:pt>
                <c:pt idx="288">
                  <c:v>1.1080921965111453E-6</c:v>
                </c:pt>
                <c:pt idx="289">
                  <c:v>1.1080921965111453E-6</c:v>
                </c:pt>
                <c:pt idx="290">
                  <c:v>1.0530262210713679E-6</c:v>
                </c:pt>
                <c:pt idx="291">
                  <c:v>1.0530262210713679E-6</c:v>
                </c:pt>
                <c:pt idx="292">
                  <c:v>9.8617244836772896E-7</c:v>
                </c:pt>
                <c:pt idx="293">
                  <c:v>9.8617244836772896E-7</c:v>
                </c:pt>
                <c:pt idx="294">
                  <c:v>9.0886997260503099E-7</c:v>
                </c:pt>
                <c:pt idx="295">
                  <c:v>9.0886997260503099E-7</c:v>
                </c:pt>
                <c:pt idx="296">
                  <c:v>8.2371580320200094E-7</c:v>
                </c:pt>
                <c:pt idx="297">
                  <c:v>8.2371580320200094E-7</c:v>
                </c:pt>
                <c:pt idx="298">
                  <c:v>7.568556231456998E-7</c:v>
                </c:pt>
                <c:pt idx="299">
                  <c:v>7.568556231456998E-7</c:v>
                </c:pt>
                <c:pt idx="300">
                  <c:v>7.0805157290880042E-7</c:v>
                </c:pt>
                <c:pt idx="301">
                  <c:v>7.0805157290880042E-7</c:v>
                </c:pt>
                <c:pt idx="302">
                  <c:v>6.5546921905035161E-7</c:v>
                </c:pt>
                <c:pt idx="303">
                  <c:v>6.5546921905035161E-7</c:v>
                </c:pt>
                <c:pt idx="304">
                  <c:v>6.0289714976851925E-7</c:v>
                </c:pt>
                <c:pt idx="305">
                  <c:v>6.0289714976851925E-7</c:v>
                </c:pt>
                <c:pt idx="306">
                  <c:v>5.5036964995932937E-7</c:v>
                </c:pt>
                <c:pt idx="307">
                  <c:v>5.5036964995932937E-7</c:v>
                </c:pt>
                <c:pt idx="308">
                  <c:v>4.979708162188218E-7</c:v>
                </c:pt>
                <c:pt idx="309">
                  <c:v>4.979708162188218E-7</c:v>
                </c:pt>
                <c:pt idx="310">
                  <c:v>4.4587547192469264E-7</c:v>
                </c:pt>
                <c:pt idx="311">
                  <c:v>4.4587547192469264E-7</c:v>
                </c:pt>
                <c:pt idx="312">
                  <c:v>3.9442476374924757E-7</c:v>
                </c:pt>
                <c:pt idx="313">
                  <c:v>3.9442476374924757E-7</c:v>
                </c:pt>
                <c:pt idx="314">
                  <c:v>3.4427916408919643E-7</c:v>
                </c:pt>
                <c:pt idx="315">
                  <c:v>3.4427916408919643E-7</c:v>
                </c:pt>
                <c:pt idx="316">
                  <c:v>2.9676356181230197E-7</c:v>
                </c:pt>
                <c:pt idx="317">
                  <c:v>2.9676356181230197E-7</c:v>
                </c:pt>
                <c:pt idx="318">
                  <c:v>2.5477204132292728E-7</c:v>
                </c:pt>
                <c:pt idx="319">
                  <c:v>2.5477204132292728E-7</c:v>
                </c:pt>
                <c:pt idx="320">
                  <c:v>2.2574531339830788E-7</c:v>
                </c:pt>
                <c:pt idx="321">
                  <c:v>2.2574531339830788E-7</c:v>
                </c:pt>
                <c:pt idx="322">
                  <c:v>2.2173459482508426E-7</c:v>
                </c:pt>
                <c:pt idx="323">
                  <c:v>2.2173459482508426E-7</c:v>
                </c:pt>
                <c:pt idx="324">
                  <c:v>2.2574529218566177E-7</c:v>
                </c:pt>
                <c:pt idx="325">
                  <c:v>2.2574529218566177E-7</c:v>
                </c:pt>
                <c:pt idx="326">
                  <c:v>2.5477190630277344E-7</c:v>
                </c:pt>
                <c:pt idx="327">
                  <c:v>2.5477190630277344E-7</c:v>
                </c:pt>
                <c:pt idx="328">
                  <c:v>2.9676311520164868E-7</c:v>
                </c:pt>
                <c:pt idx="329">
                  <c:v>2.9676311520164868E-7</c:v>
                </c:pt>
                <c:pt idx="330">
                  <c:v>3.4427822784550631E-7</c:v>
                </c:pt>
                <c:pt idx="331">
                  <c:v>3.4427822784550631E-7</c:v>
                </c:pt>
                <c:pt idx="332">
                  <c:v>3.9442311151477799E-7</c:v>
                </c:pt>
                <c:pt idx="333">
                  <c:v>3.9442311151477799E-7</c:v>
                </c:pt>
                <c:pt idx="334">
                  <c:v>4.4587281743007019E-7</c:v>
                </c:pt>
                <c:pt idx="335">
                  <c:v>4.4587281743007019E-7</c:v>
                </c:pt>
                <c:pt idx="336">
                  <c:v>4.9796679538714411E-7</c:v>
                </c:pt>
                <c:pt idx="337">
                  <c:v>4.9796679538714411E-7</c:v>
                </c:pt>
                <c:pt idx="338">
                  <c:v>5.5036379612607664E-7</c:v>
                </c:pt>
                <c:pt idx="339">
                  <c:v>5.5036379612607664E-7</c:v>
                </c:pt>
                <c:pt idx="340">
                  <c:v>6.0288885878843522E-7</c:v>
                </c:pt>
                <c:pt idx="341">
                  <c:v>6.0288885878843522E-7</c:v>
                </c:pt>
                <c:pt idx="342">
                  <c:v>6.5545769906998174E-7</c:v>
                </c:pt>
                <c:pt idx="343">
                  <c:v>6.5545769906998174E-7</c:v>
                </c:pt>
                <c:pt idx="344">
                  <c:v>7.0803577024166061E-7</c:v>
                </c:pt>
                <c:pt idx="345">
                  <c:v>7.0803577024166061E-7</c:v>
                </c:pt>
                <c:pt idx="346">
                  <c:v>7.5683458816809581E-7</c:v>
                </c:pt>
                <c:pt idx="347">
                  <c:v>7.5683458816809581E-7</c:v>
                </c:pt>
                <c:pt idx="348">
                  <c:v>8.2368481976505957E-7</c:v>
                </c:pt>
                <c:pt idx="349">
                  <c:v>8.2368481976505957E-7</c:v>
                </c:pt>
                <c:pt idx="350">
                  <c:v>9.0881883567353065E-7</c:v>
                </c:pt>
                <c:pt idx="351">
                  <c:v>9.0881883567353065E-7</c:v>
                </c:pt>
                <c:pt idx="352">
                  <c:v>9.8608961126677417E-7</c:v>
                </c:pt>
                <c:pt idx="353">
                  <c:v>9.8608961126677417E-7</c:v>
                </c:pt>
                <c:pt idx="354">
                  <c:v>1.052894583474211E-6</c:v>
                </c:pt>
                <c:pt idx="355">
                  <c:v>1.052894583474211E-6</c:v>
                </c:pt>
                <c:pt idx="356">
                  <c:v>1.107886940716583E-6</c:v>
                </c:pt>
                <c:pt idx="357">
                  <c:v>1.107886940716583E-6</c:v>
                </c:pt>
                <c:pt idx="358">
                  <c:v>1.150941096744559E-6</c:v>
                </c:pt>
                <c:pt idx="359">
                  <c:v>1.150941096744559E-6</c:v>
                </c:pt>
                <c:pt idx="360">
                  <c:v>1.182903174301711E-6</c:v>
                </c:pt>
                <c:pt idx="361">
                  <c:v>1.182903174301711E-6</c:v>
                </c:pt>
                <c:pt idx="362">
                  <c:v>1.2052108510662763E-6</c:v>
                </c:pt>
                <c:pt idx="363">
                  <c:v>1.2052108510662763E-6</c:v>
                </c:pt>
                <c:pt idx="364">
                  <c:v>1.2194779589741243E-6</c:v>
                </c:pt>
                <c:pt idx="365">
                  <c:v>1.2194779589741243E-6</c:v>
                </c:pt>
                <c:pt idx="366">
                  <c:v>1.2271223492204417E-6</c:v>
                </c:pt>
                <c:pt idx="367">
                  <c:v>1.2271223492204417E-6</c:v>
                </c:pt>
                <c:pt idx="368">
                  <c:v>1.2290849477567747E-6</c:v>
                </c:pt>
                <c:pt idx="369">
                  <c:v>1.2290849477567747E-6</c:v>
                </c:pt>
                <c:pt idx="370">
                  <c:v>1.2256595227178984E-6</c:v>
                </c:pt>
                <c:pt idx="371">
                  <c:v>1.2256595227178984E-6</c:v>
                </c:pt>
                <c:pt idx="372">
                  <c:v>1.2164364804664599E-6</c:v>
                </c:pt>
                <c:pt idx="373">
                  <c:v>1.2164364804664599E-6</c:v>
                </c:pt>
                <c:pt idx="374">
                  <c:v>1.2003605642856876E-6</c:v>
                </c:pt>
                <c:pt idx="375">
                  <c:v>1.2003605642856876E-6</c:v>
                </c:pt>
                <c:pt idx="376">
                  <c:v>1.1759040457664672E-6</c:v>
                </c:pt>
                <c:pt idx="377">
                  <c:v>1.1759040457664672E-6</c:v>
                </c:pt>
                <c:pt idx="378">
                  <c:v>1.1413530728711484E-6</c:v>
                </c:pt>
                <c:pt idx="379">
                  <c:v>1.1413530728711484E-6</c:v>
                </c:pt>
                <c:pt idx="380">
                  <c:v>1.095187630129096E-6</c:v>
                </c:pt>
                <c:pt idx="381">
                  <c:v>1.095187630129096E-6</c:v>
                </c:pt>
                <c:pt idx="382">
                  <c:v>1.0365056967658638E-6</c:v>
                </c:pt>
                <c:pt idx="383">
                  <c:v>1.0365056967658638E-6</c:v>
                </c:pt>
                <c:pt idx="384">
                  <c:v>9.6541000409222429E-7</c:v>
                </c:pt>
                <c:pt idx="385">
                  <c:v>9.6541000409222429E-7</c:v>
                </c:pt>
                <c:pt idx="386">
                  <c:v>8.8325786981929625E-7</c:v>
                </c:pt>
                <c:pt idx="387">
                  <c:v>8.8325786981929625E-7</c:v>
                </c:pt>
                <c:pt idx="388">
                  <c:v>7.9268599586537668E-7</c:v>
                </c:pt>
                <c:pt idx="389">
                  <c:v>7.9268599586537668E-7</c:v>
                </c:pt>
                <c:pt idx="390">
                  <c:v>7.2141491718274502E-7</c:v>
                </c:pt>
                <c:pt idx="391">
                  <c:v>7.2141491718274502E-7</c:v>
                </c:pt>
                <c:pt idx="392">
                  <c:v>6.9212234524175375E-7</c:v>
                </c:pt>
                <c:pt idx="393">
                  <c:v>6.9212234524175375E-7</c:v>
                </c:pt>
                <c:pt idx="394">
                  <c:v>6.3256137855123567E-7</c:v>
                </c:pt>
                <c:pt idx="395">
                  <c:v>6.3256137855123567E-7</c:v>
                </c:pt>
                <c:pt idx="396">
                  <c:v>5.5476331807494684E-7</c:v>
                </c:pt>
                <c:pt idx="397">
                  <c:v>5.5476331807494684E-7</c:v>
                </c:pt>
                <c:pt idx="398">
                  <c:v>4.8075284422835262E-7</c:v>
                </c:pt>
                <c:pt idx="399">
                  <c:v>4.8075284422835262E-7</c:v>
                </c:pt>
                <c:pt idx="400">
                  <c:v>4.122211051784032E-7</c:v>
                </c:pt>
                <c:pt idx="401">
                  <c:v>4.122211051784032E-7</c:v>
                </c:pt>
                <c:pt idx="402">
                  <c:v>3.5028348924628922E-7</c:v>
                </c:pt>
                <c:pt idx="403">
                  <c:v>3.5028348924628922E-7</c:v>
                </c:pt>
                <c:pt idx="404">
                  <c:v>2.954334918985298E-7</c:v>
                </c:pt>
                <c:pt idx="405">
                  <c:v>2.954334918985298E-7</c:v>
                </c:pt>
                <c:pt idx="406">
                  <c:v>2.4757980309078613E-7</c:v>
                </c:pt>
                <c:pt idx="407">
                  <c:v>2.4757980309078613E-7</c:v>
                </c:pt>
                <c:pt idx="408">
                  <c:v>2.0614970264032272E-7</c:v>
                </c:pt>
                <c:pt idx="409">
                  <c:v>2.0614970264032272E-7</c:v>
                </c:pt>
                <c:pt idx="410">
                  <c:v>1.7023265107937952E-7</c:v>
                </c:pt>
                <c:pt idx="411">
                  <c:v>1.7023265107937952E-7</c:v>
                </c:pt>
                <c:pt idx="412">
                  <c:v>1.3873557398774398E-7</c:v>
                </c:pt>
                <c:pt idx="413">
                  <c:v>1.3873557398774398E-7</c:v>
                </c:pt>
                <c:pt idx="414">
                  <c:v>1.1052514285995357E-7</c:v>
                </c:pt>
                <c:pt idx="415">
                  <c:v>1.1052514285995357E-7</c:v>
                </c:pt>
                <c:pt idx="416">
                  <c:v>8.4540237793626621E-8</c:v>
                </c:pt>
                <c:pt idx="417">
                  <c:v>8.4540237793626621E-8</c:v>
                </c:pt>
                <c:pt idx="418">
                  <c:v>5.9867029308592091E-8</c:v>
                </c:pt>
                <c:pt idx="419">
                  <c:v>5.9867029308592091E-8</c:v>
                </c:pt>
                <c:pt idx="420">
                  <c:v>3.577733809712662E-8</c:v>
                </c:pt>
                <c:pt idx="421">
                  <c:v>3.577733809712662E-8</c:v>
                </c:pt>
                <c:pt idx="422">
                  <c:v>1.173661560353996E-8</c:v>
                </c:pt>
                <c:pt idx="423">
                  <c:v>1.173661560353996E-8</c:v>
                </c:pt>
                <c:pt idx="424">
                  <c:v>-1.2609416544043708E-8</c:v>
                </c:pt>
                <c:pt idx="425">
                  <c:v>-1.2609416544043708E-8</c:v>
                </c:pt>
                <c:pt idx="426">
                  <c:v>-3.7460317466338229E-8</c:v>
                </c:pt>
                <c:pt idx="427">
                  <c:v>-3.7460317466338229E-8</c:v>
                </c:pt>
                <c:pt idx="428">
                  <c:v>-6.2891107535910435E-8</c:v>
                </c:pt>
                <c:pt idx="429">
                  <c:v>-6.2891107535910435E-8</c:v>
                </c:pt>
                <c:pt idx="430">
                  <c:v>-8.8881849542275386E-8</c:v>
                </c:pt>
                <c:pt idx="431">
                  <c:v>-8.8881849542275386E-8</c:v>
                </c:pt>
                <c:pt idx="432">
                  <c:v>-1.1534370855834054E-7</c:v>
                </c:pt>
                <c:pt idx="433">
                  <c:v>-1.1534370855834054E-7</c:v>
                </c:pt>
                <c:pt idx="434">
                  <c:v>-1.4214039554799938E-7</c:v>
                </c:pt>
                <c:pt idx="435">
                  <c:v>-1.4214039554799938E-7</c:v>
                </c:pt>
                <c:pt idx="436">
                  <c:v>-1.623580479952204E-7</c:v>
                </c:pt>
                <c:pt idx="437">
                  <c:v>-1.623580479952204E-7</c:v>
                </c:pt>
                <c:pt idx="438">
                  <c:v>-1.8918032293549983E-7</c:v>
                </c:pt>
                <c:pt idx="439">
                  <c:v>-1.8918032293549983E-7</c:v>
                </c:pt>
                <c:pt idx="440">
                  <c:v>-2.2927469012604777E-7</c:v>
                </c:pt>
                <c:pt idx="441">
                  <c:v>-2.2927469012604777E-7</c:v>
                </c:pt>
                <c:pt idx="442">
                  <c:v>-2.6936121526387272E-7</c:v>
                </c:pt>
                <c:pt idx="443">
                  <c:v>-2.6936121526387272E-7</c:v>
                </c:pt>
                <c:pt idx="444">
                  <c:v>-3.0941375590555994E-7</c:v>
                </c:pt>
                <c:pt idx="445">
                  <c:v>-3.0941375590555994E-7</c:v>
                </c:pt>
                <c:pt idx="446">
                  <c:v>-3.4936818788104672E-7</c:v>
                </c:pt>
                <c:pt idx="447">
                  <c:v>-3.4936818788104672E-7</c:v>
                </c:pt>
                <c:pt idx="448">
                  <c:v>-3.8909120729302785E-7</c:v>
                </c:pt>
                <c:pt idx="449">
                  <c:v>-3.8909120729302785E-7</c:v>
                </c:pt>
                <c:pt idx="450">
                  <c:v>-4.2832268771235812E-7</c:v>
                </c:pt>
                <c:pt idx="451">
                  <c:v>-4.2832268771235812E-7</c:v>
                </c:pt>
                <c:pt idx="452">
                  <c:v>-4.6655901488730141E-7</c:v>
                </c:pt>
                <c:pt idx="453">
                  <c:v>-4.6655901488730141E-7</c:v>
                </c:pt>
                <c:pt idx="454">
                  <c:v>-5.02789952933521E-7</c:v>
                </c:pt>
                <c:pt idx="455">
                  <c:v>-5.02789952933521E-7</c:v>
                </c:pt>
                <c:pt idx="456">
                  <c:v>-5.348087447495491E-7</c:v>
                </c:pt>
                <c:pt idx="457">
                  <c:v>-5.348087447495491E-7</c:v>
                </c:pt>
                <c:pt idx="458">
                  <c:v>-5.5694180274756664E-7</c:v>
                </c:pt>
                <c:pt idx="459">
                  <c:v>-5.5694180274756664E-7</c:v>
                </c:pt>
                <c:pt idx="460">
                  <c:v>-5.6000000000000014E-7</c:v>
                </c:pt>
                <c:pt idx="461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0.103474585653</c:v>
                </c:pt>
                <c:pt idx="253">
                  <c:v>0.10450933151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1.4296804475995732E-2</c:v>
                </c:pt>
                <c:pt idx="1">
                  <c:v>1.3191278831859278E-2</c:v>
                </c:pt>
                <c:pt idx="2">
                  <c:v>1.2169144363614234E-2</c:v>
                </c:pt>
                <c:pt idx="3">
                  <c:v>1.1229263185911829E-2</c:v>
                </c:pt>
                <c:pt idx="4">
                  <c:v>1.0371802151148177E-2</c:v>
                </c:pt>
                <c:pt idx="5">
                  <c:v>9.5975122440512366E-3</c:v>
                </c:pt>
                <c:pt idx="6">
                  <c:v>8.9068324221921111E-3</c:v>
                </c:pt>
                <c:pt idx="7">
                  <c:v>8.2995560244912975E-3</c:v>
                </c:pt>
                <c:pt idx="8">
                  <c:v>7.7752548285223554E-3</c:v>
                </c:pt>
                <c:pt idx="9">
                  <c:v>7.3320829245588611E-3</c:v>
                </c:pt>
                <c:pt idx="10">
                  <c:v>6.9691280895655423E-3</c:v>
                </c:pt>
                <c:pt idx="11">
                  <c:v>6.6848120777691679E-3</c:v>
                </c:pt>
                <c:pt idx="12">
                  <c:v>6.4773381993637764E-3</c:v>
                </c:pt>
                <c:pt idx="13">
                  <c:v>6.3446898464850328E-3</c:v>
                </c:pt>
                <c:pt idx="14">
                  <c:v>6.2846300212679018E-3</c:v>
                </c:pt>
                <c:pt idx="15">
                  <c:v>6.2947019147425558E-3</c:v>
                </c:pt>
                <c:pt idx="16">
                  <c:v>6.372230578952206E-3</c:v>
                </c:pt>
                <c:pt idx="17">
                  <c:v>6.5143257299993792E-3</c:v>
                </c:pt>
                <c:pt idx="18">
                  <c:v>6.7178857138394006E-3</c:v>
                </c:pt>
                <c:pt idx="19">
                  <c:v>6.9796026604692458E-3</c:v>
                </c:pt>
                <c:pt idx="20">
                  <c:v>7.2959688461165292E-3</c:v>
                </c:pt>
                <c:pt idx="21">
                  <c:v>7.6632842770161264E-3</c:v>
                </c:pt>
                <c:pt idx="22">
                  <c:v>8.0776655006191567E-3</c:v>
                </c:pt>
                <c:pt idx="23">
                  <c:v>8.5355265466942679E-3</c:v>
                </c:pt>
                <c:pt idx="24">
                  <c:v>9.0317469221096649E-3</c:v>
                </c:pt>
                <c:pt idx="25">
                  <c:v>9.562377193512028E-3</c:v>
                </c:pt>
                <c:pt idx="26">
                  <c:v>1.0122913874295623E-2</c:v>
                </c:pt>
                <c:pt idx="27">
                  <c:v>1.0708732247387404E-2</c:v>
                </c:pt>
                <c:pt idx="28">
                  <c:v>1.1315102353821223E-2</c:v>
                </c:pt>
                <c:pt idx="29">
                  <c:v>1.1937206094563328E-2</c:v>
                </c:pt>
                <c:pt idx="30">
                  <c:v>1.2570155411070622E-2</c:v>
                </c:pt>
                <c:pt idx="31">
                  <c:v>1.3209011499444619E-2</c:v>
                </c:pt>
                <c:pt idx="32">
                  <c:v>1.384880501735645E-2</c:v>
                </c:pt>
                <c:pt idx="33">
                  <c:v>1.4484557234358252E-2</c:v>
                </c:pt>
                <c:pt idx="34">
                  <c:v>1.5111302077828143E-2</c:v>
                </c:pt>
                <c:pt idx="35">
                  <c:v>1.5724109011341404E-2</c:v>
                </c:pt>
                <c:pt idx="36">
                  <c:v>1.631810670205559E-2</c:v>
                </c:pt>
                <c:pt idx="37">
                  <c:v>1.6888507402197432E-2</c:v>
                </c:pt>
                <c:pt idx="38">
                  <c:v>1.743063198857335E-2</c:v>
                </c:pt>
                <c:pt idx="39">
                  <c:v>1.7939935588550358E-2</c:v>
                </c:pt>
                <c:pt idx="40">
                  <c:v>1.8412033714220195E-2</c:v>
                </c:pt>
                <c:pt idx="41">
                  <c:v>1.8842728829264226E-2</c:v>
                </c:pt>
                <c:pt idx="42">
                  <c:v>1.9228037256058834E-2</c:v>
                </c:pt>
                <c:pt idx="43">
                  <c:v>1.9564003730029096E-2</c:v>
                </c:pt>
                <c:pt idx="44">
                  <c:v>1.9847673511211823E-2</c:v>
                </c:pt>
                <c:pt idx="45">
                  <c:v>2.0075554255944379E-2</c:v>
                </c:pt>
                <c:pt idx="46">
                  <c:v>2.0244789718408606E-2</c:v>
                </c:pt>
                <c:pt idx="47">
                  <c:v>2.0352873413669658E-2</c:v>
                </c:pt>
                <c:pt idx="48">
                  <c:v>2.0397675074517084E-2</c:v>
                </c:pt>
                <c:pt idx="49">
                  <c:v>2.0377466472480871E-2</c:v>
                </c:pt>
                <c:pt idx="50">
                  <c:v>2.0290946384227997E-2</c:v>
                </c:pt>
                <c:pt idx="51">
                  <c:v>2.0137264460963554E-2</c:v>
                </c:pt>
                <c:pt idx="52">
                  <c:v>1.9916043730366807E-2</c:v>
                </c:pt>
                <c:pt idx="53">
                  <c:v>1.9627401430965998E-2</c:v>
                </c:pt>
                <c:pt idx="54">
                  <c:v>1.9271967845297992E-2</c:v>
                </c:pt>
                <c:pt idx="55">
                  <c:v>1.8850902776116327E-2</c:v>
                </c:pt>
                <c:pt idx="56">
                  <c:v>1.8365909263793192E-2</c:v>
                </c:pt>
                <c:pt idx="57">
                  <c:v>1.7819244133647591E-2</c:v>
                </c:pt>
                <c:pt idx="58">
                  <c:v>1.721372491863906E-2</c:v>
                </c:pt>
                <c:pt idx="59">
                  <c:v>1.6551966374279636E-2</c:v>
                </c:pt>
                <c:pt idx="60">
                  <c:v>1.5839397915226424E-2</c:v>
                </c:pt>
                <c:pt idx="61">
                  <c:v>1.5079807410381106E-2</c:v>
                </c:pt>
                <c:pt idx="62">
                  <c:v>1.4278234945328646E-2</c:v>
                </c:pt>
                <c:pt idx="63">
                  <c:v>1.3440244725669926E-2</c:v>
                </c:pt>
                <c:pt idx="64">
                  <c:v>1.2571900168260802E-2</c:v>
                </c:pt>
                <c:pt idx="65">
                  <c:v>1.1679732096380523E-2</c:v>
                </c:pt>
                <c:pt idx="66">
                  <c:v>1.0770699687085942E-2</c:v>
                </c:pt>
                <c:pt idx="67">
                  <c:v>9.8521438962344242E-3</c:v>
                </c:pt>
                <c:pt idx="68">
                  <c:v>8.9317332088345337E-3</c:v>
                </c:pt>
                <c:pt idx="69">
                  <c:v>8.017401655030407E-3</c:v>
                </c:pt>
                <c:pt idx="70">
                  <c:v>7.1172791910155886E-3</c:v>
                </c:pt>
                <c:pt idx="71">
                  <c:v>6.2396147012349547E-3</c:v>
                </c:pt>
                <c:pt idx="72">
                  <c:v>5.3926920545368882E-3</c:v>
                </c:pt>
                <c:pt idx="73">
                  <c:v>4.5847398512623228E-3</c:v>
                </c:pt>
                <c:pt idx="74">
                  <c:v>3.8238356813115396E-3</c:v>
                </c:pt>
                <c:pt idx="75">
                  <c:v>3.1178059449054199E-3</c:v>
                </c:pt>
                <c:pt idx="76">
                  <c:v>2.4741224865982652E-3</c:v>
                </c:pt>
                <c:pt idx="77">
                  <c:v>1.8997974888420432E-3</c:v>
                </c:pt>
                <c:pt idx="78">
                  <c:v>1.4012782660996694E-3</c:v>
                </c:pt>
                <c:pt idx="79">
                  <c:v>9.8434375208356268E-4</c:v>
                </c:pt>
                <c:pt idx="80">
                  <c:v>6.5400460747253454E-4</c:v>
                </c:pt>
                <c:pt idx="81">
                  <c:v>4.1440895355341262E-4</c:v>
                </c:pt>
                <c:pt idx="82">
                  <c:v>2.6843541536347612E-4</c:v>
                </c:pt>
                <c:pt idx="83">
                  <c:v>2.152470121556255E-4</c:v>
                </c:pt>
                <c:pt idx="84">
                  <c:v>2.4217924322004789E-4</c:v>
                </c:pt>
                <c:pt idx="85">
                  <c:v>3.2226415867609424E-4</c:v>
                </c:pt>
                <c:pt idx="86">
                  <c:v>4.6704397615455524E-4</c:v>
                </c:pt>
                <c:pt idx="87">
                  <c:v>2.2681175815426231E-3</c:v>
                </c:pt>
                <c:pt idx="88">
                  <c:v>2.7079597002550851E-3</c:v>
                </c:pt>
                <c:pt idx="89">
                  <c:v>3.2395051385245722E-3</c:v>
                </c:pt>
                <c:pt idx="90">
                  <c:v>3.907488849226746E-3</c:v>
                </c:pt>
                <c:pt idx="91">
                  <c:v>4.6718108372916563E-3</c:v>
                </c:pt>
                <c:pt idx="92">
                  <c:v>5.4932803169633346E-3</c:v>
                </c:pt>
                <c:pt idx="93">
                  <c:v>6.3512935567660387E-3</c:v>
                </c:pt>
                <c:pt idx="94">
                  <c:v>7.2326251020344672E-3</c:v>
                </c:pt>
                <c:pt idx="95">
                  <c:v>8.1245026359627482E-3</c:v>
                </c:pt>
                <c:pt idx="96">
                  <c:v>9.0177113117182774E-3</c:v>
                </c:pt>
                <c:pt idx="97">
                  <c:v>9.899042333483302E-3</c:v>
                </c:pt>
                <c:pt idx="98">
                  <c:v>1.0756680697480524E-2</c:v>
                </c:pt>
                <c:pt idx="99">
                  <c:v>1.157905403197333E-2</c:v>
                </c:pt>
                <c:pt idx="100">
                  <c:v>1.2355001623830519E-2</c:v>
                </c:pt>
                <c:pt idx="101">
                  <c:v>1.3073939882315899E-2</c:v>
                </c:pt>
                <c:pt idx="102">
                  <c:v>1.372602166064941E-2</c:v>
                </c:pt>
                <c:pt idx="103">
                  <c:v>1.4302286936255236E-2</c:v>
                </c:pt>
                <c:pt idx="104">
                  <c:v>1.4794802436415415E-2</c:v>
                </c:pt>
                <c:pt idx="105">
                  <c:v>1.5196787892558771E-2</c:v>
                </c:pt>
                <c:pt idx="106">
                  <c:v>1.5502726734505539E-2</c:v>
                </c:pt>
                <c:pt idx="107">
                  <c:v>1.5708459153328583E-2</c:v>
                </c:pt>
                <c:pt idx="108">
                  <c:v>1.5811255614649522E-2</c:v>
                </c:pt>
                <c:pt idx="109">
                  <c:v>1.5809869060422387E-2</c:v>
                </c:pt>
                <c:pt idx="110">
                  <c:v>1.5704564233440039E-2</c:v>
                </c:pt>
                <c:pt idx="111">
                  <c:v>1.5497122780384242E-2</c:v>
                </c:pt>
                <c:pt idx="112">
                  <c:v>1.5190823062356598E-2</c:v>
                </c:pt>
                <c:pt idx="113">
                  <c:v>1.4790393927256458E-2</c:v>
                </c:pt>
                <c:pt idx="114">
                  <c:v>1.4301464413036754E-2</c:v>
                </c:pt>
                <c:pt idx="115">
                  <c:v>1.3732257790997539E-2</c:v>
                </c:pt>
                <c:pt idx="116">
                  <c:v>1.3090970785925721E-2</c:v>
                </c:pt>
                <c:pt idx="117">
                  <c:v>1.2387149261703038E-2</c:v>
                </c:pt>
                <c:pt idx="118">
                  <c:v>1.1631172620839498E-2</c:v>
                </c:pt>
                <c:pt idx="119">
                  <c:v>1.0834062341446482E-2</c:v>
                </c:pt>
                <c:pt idx="120">
                  <c:v>1.0007273893685569E-2</c:v>
                </c:pt>
                <c:pt idx="121">
                  <c:v>9.1624760789001426E-3</c:v>
                </c:pt>
                <c:pt idx="122">
                  <c:v>8.3113224862384968E-3</c:v>
                </c:pt>
                <c:pt idx="123">
                  <c:v>7.4652203557731018E-3</c:v>
                </c:pt>
                <c:pt idx="124">
                  <c:v>6.635102592674978E-3</c:v>
                </c:pt>
                <c:pt idx="125">
                  <c:v>5.8312089626888818E-3</c:v>
                </c:pt>
                <c:pt idx="126">
                  <c:v>5.0628825847323722E-3</c:v>
                </c:pt>
                <c:pt idx="127">
                  <c:v>4.3383876971571584E-3</c:v>
                </c:pt>
                <c:pt idx="128">
                  <c:v>3.6647542756988736E-3</c:v>
                </c:pt>
                <c:pt idx="129">
                  <c:v>3.0476544503676931E-3</c:v>
                </c:pt>
                <c:pt idx="130">
                  <c:v>2.4913147897289495E-3</c:v>
                </c:pt>
                <c:pt idx="131">
                  <c:v>1.9984674390027411E-3</c:v>
                </c:pt>
                <c:pt idx="132">
                  <c:v>1.5703418597351872E-3</c:v>
                </c:pt>
                <c:pt idx="133">
                  <c:v>1.2066975535861228E-3</c:v>
                </c:pt>
                <c:pt idx="134">
                  <c:v>9.0589675945455697E-4</c:v>
                </c:pt>
                <c:pt idx="135">
                  <c:v>6.6501471655274315E-4</c:v>
                </c:pt>
                <c:pt idx="136">
                  <c:v>4.7998378876431402E-4</c:v>
                </c:pt>
                <c:pt idx="137">
                  <c:v>3.4576657337501035E-4</c:v>
                </c:pt>
                <c:pt idx="138">
                  <c:v>2.565521446754891E-4</c:v>
                </c:pt>
                <c:pt idx="139">
                  <c:v>2.0596882762322779E-4</c:v>
                </c:pt>
                <c:pt idx="140">
                  <c:v>1.8730639385093986E-4</c:v>
                </c:pt>
                <c:pt idx="141">
                  <c:v>1.937403252436433E-4</c:v>
                </c:pt>
                <c:pt idx="142">
                  <c:v>2.185507960962772E-4</c:v>
                </c:pt>
                <c:pt idx="143">
                  <c:v>2.5532927234218027E-4</c:v>
                </c:pt>
                <c:pt idx="144">
                  <c:v>2.9816609343832705E-4</c:v>
                </c:pt>
                <c:pt idx="145">
                  <c:v>3.4181306561411912E-4</c:v>
                </c:pt>
                <c:pt idx="146">
                  <c:v>3.8181592998304443E-4</c:v>
                </c:pt>
                <c:pt idx="147">
                  <c:v>4.1461255131248635E-4</c:v>
                </c:pt>
                <c:pt idx="148">
                  <c:v>4.3759378377945958E-4</c:v>
                </c:pt>
                <c:pt idx="149">
                  <c:v>4.4912519064949677E-4</c:v>
                </c:pt>
                <c:pt idx="150">
                  <c:v>4.4852911059950408E-4</c:v>
                </c:pt>
                <c:pt idx="151">
                  <c:v>4.3602795712460512E-4</c:v>
                </c:pt>
                <c:pt idx="152">
                  <c:v>4.1265109027586051E-4</c:v>
                </c:pt>
                <c:pt idx="153">
                  <c:v>3.8010908225801822E-4</c:v>
                </c:pt>
                <c:pt idx="154">
                  <c:v>3.4064067124650274E-4</c:v>
                </c:pt>
                <c:pt idx="155">
                  <c:v>2.9683910618364496E-4</c:v>
                </c:pt>
                <c:pt idx="156">
                  <c:v>2.5146585917065463E-4</c:v>
                </c:pt>
                <c:pt idx="157">
                  <c:v>2.072607341625223E-4</c:v>
                </c:pt>
                <c:pt idx="158">
                  <c:v>1.6675813535362526E-4</c:v>
                </c:pt>
                <c:pt idx="159">
                  <c:v>1.3211957069956314E-4</c:v>
                </c:pt>
                <c:pt idx="160">
                  <c:v>1.0499225845571909E-4</c:v>
                </c:pt>
                <c:pt idx="161">
                  <c:v>8.6402894688213574E-5</c:v>
                </c:pt>
                <c:pt idx="162">
                  <c:v>7.6694174885321388E-5</c:v>
                </c:pt>
                <c:pt idx="163">
                  <c:v>7.5509533129440752E-5</c:v>
                </c:pt>
                <c:pt idx="164">
                  <c:v>8.1828813064822477E-5</c:v>
                </c:pt>
                <c:pt idx="165">
                  <c:v>9.4054322165877151E-5</c:v>
                </c:pt>
                <c:pt idx="166">
                  <c:v>1.1014311764661138E-4</c:v>
                </c:pt>
                <c:pt idx="167">
                  <c:v>1.2777766245442425E-4</c:v>
                </c:pt>
                <c:pt idx="168">
                  <c:v>1.4456345913857577E-4</c:v>
                </c:pt>
                <c:pt idx="169">
                  <c:v>1.5823923867451035E-4</c:v>
                </c:pt>
                <c:pt idx="170">
                  <c:v>1.6688308141957491E-4</c:v>
                </c:pt>
                <c:pt idx="171">
                  <c:v>1.6909679163015396E-4</c:v>
                </c:pt>
                <c:pt idx="172">
                  <c:v>1.6415119593744983E-4</c:v>
                </c:pt>
                <c:pt idx="173">
                  <c:v>1.5207696386884147E-4</c:v>
                </c:pt>
                <c:pt idx="174">
                  <c:v>1.3368910568150084E-4</c:v>
                </c:pt>
                <c:pt idx="175">
                  <c:v>1.1053838667820377E-4</c:v>
                </c:pt>
                <c:pt idx="176">
                  <c:v>8.4789228665406276E-5</c:v>
                </c:pt>
                <c:pt idx="177">
                  <c:v>5.9030785550087309E-5</c:v>
                </c:pt>
                <c:pt idx="178">
                  <c:v>3.6035146749664785E-5</c:v>
                </c:pt>
                <c:pt idx="179">
                  <c:v>1.84832735090851E-5</c:v>
                </c:pt>
                <c:pt idx="180">
                  <c:v>8.6844797081067559E-6</c:v>
                </c:pt>
                <c:pt idx="181">
                  <c:v>8.318231340236024E-6</c:v>
                </c:pt>
                <c:pt idx="182">
                  <c:v>1.8227104700315604E-5</c:v>
                </c:pt>
                <c:pt idx="183">
                  <c:v>3.8286521654656611E-5</c:v>
                </c:pt>
                <c:pt idx="184">
                  <c:v>6.7370347599966484E-5</c:v>
                </c:pt>
                <c:pt idx="185">
                  <c:v>1.0342200197553188E-4</c:v>
                </c:pt>
                <c:pt idx="186">
                  <c:v>1.4362924387814903E-4</c:v>
                </c:pt>
                <c:pt idx="187">
                  <c:v>1.8468849407725775E-4</c:v>
                </c:pt>
                <c:pt idx="188">
                  <c:v>2.2313294047045118E-4</c:v>
                </c:pt>
                <c:pt idx="189">
                  <c:v>2.5568933005392063E-4</c:v>
                </c:pt>
                <c:pt idx="190">
                  <c:v>2.7962272819230191E-4</c:v>
                </c:pt>
                <c:pt idx="191">
                  <c:v>2.9302772332421683E-4</c:v>
                </c:pt>
                <c:pt idx="192">
                  <c:v>2.9502912086325418E-4</c:v>
                </c:pt>
                <c:pt idx="193">
                  <c:v>2.858649574671502E-4</c:v>
                </c:pt>
                <c:pt idx="194">
                  <c:v>2.6683877307924015E-4</c:v>
                </c:pt>
                <c:pt idx="195">
                  <c:v>2.4014487665763968E-4</c:v>
                </c:pt>
                <c:pt idx="196">
                  <c:v>2.0858763111142052E-4</c:v>
                </c:pt>
                <c:pt idx="197">
                  <c:v>1.7523104790801426E-4</c:v>
                </c:pt>
                <c:pt idx="198">
                  <c:v>1.4302574917363117E-4</c:v>
                </c:pt>
                <c:pt idx="199">
                  <c:v>1.1446460901600618E-4</c:v>
                </c:pt>
                <c:pt idx="200">
                  <c:v>9.1314973049128563E-5</c:v>
                </c:pt>
                <c:pt idx="201">
                  <c:v>7.4464304634044875E-5</c:v>
                </c:pt>
                <c:pt idx="202">
                  <c:v>6.3898770550605626E-5</c:v>
                </c:pt>
                <c:pt idx="203">
                  <c:v>5.8813243650438395E-5</c:v>
                </c:pt>
                <c:pt idx="204">
                  <c:v>5.7829930447194814E-5</c:v>
                </c:pt>
                <c:pt idx="205">
                  <c:v>5.9285100468176177E-5</c:v>
                </c:pt>
                <c:pt idx="206">
                  <c:v>6.1532576037596739E-5</c:v>
                </c:pt>
                <c:pt idx="207">
                  <c:v>6.3211013631832928E-5</c:v>
                </c:pt>
                <c:pt idx="208">
                  <c:v>6.3430202520869887E-5</c:v>
                </c:pt>
                <c:pt idx="209">
                  <c:v>6.1848343757595192E-5</c:v>
                </c:pt>
                <c:pt idx="210">
                  <c:v>5.8634467219040347E-5</c:v>
                </c:pt>
                <c:pt idx="211">
                  <c:v>5.4333401510056143E-5</c:v>
                </c:pt>
                <c:pt idx="212">
                  <c:v>4.9670159293293146E-5</c:v>
                </c:pt>
                <c:pt idx="213">
                  <c:v>4.5341921813979158E-5</c:v>
                </c:pt>
                <c:pt idx="214">
                  <c:v>4.1846264074329046E-5</c:v>
                </c:pt>
                <c:pt idx="215">
                  <c:v>3.9383475970838161E-5</c:v>
                </c:pt>
                <c:pt idx="216">
                  <c:v>3.7851079529149028E-5</c:v>
                </c:pt>
                <c:pt idx="217">
                  <c:v>3.6924520604327091E-5</c:v>
                </c:pt>
                <c:pt idx="218">
                  <c:v>3.6195494121551626E-5</c:v>
                </c:pt>
                <c:pt idx="219">
                  <c:v>3.5326221190349552E-5</c:v>
                </c:pt>
                <c:pt idx="220">
                  <c:v>3.4161298231553101E-5</c:v>
                </c:pt>
                <c:pt idx="221">
                  <c:v>3.2789835062024555E-5</c:v>
                </c:pt>
                <c:pt idx="222">
                  <c:v>3.1502439936528644E-5</c:v>
                </c:pt>
                <c:pt idx="223">
                  <c:v>3.0682190315045362E-5</c:v>
                </c:pt>
                <c:pt idx="224">
                  <c:v>3.0652728863203384E-5</c:v>
                </c:pt>
                <c:pt idx="225">
                  <c:v>3.1534474122158587E-5</c:v>
                </c:pt>
                <c:pt idx="226">
                  <c:v>3.3158197291525243E-5</c:v>
                </c:pt>
                <c:pt idx="227">
                  <c:v>3.5069600572565894E-5</c:v>
                </c:pt>
                <c:pt idx="228">
                  <c:v>3.6631000219750937E-5</c:v>
                </c:pt>
                <c:pt idx="229">
                  <c:v>3.719471847125124E-5</c:v>
                </c:pt>
                <c:pt idx="230">
                  <c:v>3.6297281457797039E-5</c:v>
                </c:pt>
                <c:pt idx="231">
                  <c:v>3.3812899898034129E-5</c:v>
                </c:pt>
                <c:pt idx="232">
                  <c:v>3.0013722014402678E-5</c:v>
                </c:pt>
                <c:pt idx="233">
                  <c:v>2.5511549765993675E-5</c:v>
                </c:pt>
                <c:pt idx="234">
                  <c:v>2.109331710103348E-5</c:v>
                </c:pt>
                <c:pt idx="235">
                  <c:v>1.7498568452078429E-5</c:v>
                </c:pt>
                <c:pt idx="236">
                  <c:v>1.5208893645652304E-5</c:v>
                </c:pt>
                <c:pt idx="237">
                  <c:v>1.4318169326560319E-5</c:v>
                </c:pt>
                <c:pt idx="238">
                  <c:v>1.4527375287810117E-5</c:v>
                </c:pt>
                <c:pt idx="239">
                  <c:v>1.5266129231341044E-5</c:v>
                </c:pt>
                <c:pt idx="240">
                  <c:v>1.5898965895145742E-5</c:v>
                </c:pt>
                <c:pt idx="241">
                  <c:v>1.5943758026920594E-5</c:v>
                </c:pt>
                <c:pt idx="242">
                  <c:v>1.5224556615803496E-5</c:v>
                </c:pt>
                <c:pt idx="243">
                  <c:v>1.3904655651897533E-5</c:v>
                </c:pt>
                <c:pt idx="244">
                  <c:v>1.2390230704675648E-5</c:v>
                </c:pt>
                <c:pt idx="245">
                  <c:v>1.1144246327626513E-5</c:v>
                </c:pt>
                <c:pt idx="246">
                  <c:v>1.0485460727757722E-5</c:v>
                </c:pt>
                <c:pt idx="247">
                  <c:v>1.0453839589339028E-5</c:v>
                </c:pt>
                <c:pt idx="248">
                  <c:v>1.0797769389411294E-5</c:v>
                </c:pt>
                <c:pt idx="249">
                  <c:v>1.1103928337642236E-5</c:v>
                </c:pt>
                <c:pt idx="250">
                  <c:v>1.1060181351203686E-5</c:v>
                </c:pt>
                <c:pt idx="251">
                  <c:v>1.0502251832651902E-5</c:v>
                </c:pt>
                <c:pt idx="252">
                  <c:v>6.7930502185611245E-6</c:v>
                </c:pt>
                <c:pt idx="253">
                  <c:v>6.0772737610371308E-6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4.2035880750008045E-3</c:v>
                  </c:pt>
                  <c:pt idx="1">
                    <c:v>3.6677271147076487E-3</c:v>
                  </c:pt>
                  <c:pt idx="2">
                    <c:v>3.4976689072813826E-3</c:v>
                  </c:pt>
                  <c:pt idx="3">
                    <c:v>3.2070262548454282E-3</c:v>
                  </c:pt>
                  <c:pt idx="4">
                    <c:v>3.101191171711292E-3</c:v>
                  </c:pt>
                  <c:pt idx="5">
                    <c:v>2.9191843946203022E-3</c:v>
                  </c:pt>
                  <c:pt idx="6">
                    <c:v>2.6764391835202104E-3</c:v>
                  </c:pt>
                  <c:pt idx="7">
                    <c:v>2.5544814286260777E-3</c:v>
                  </c:pt>
                  <c:pt idx="8">
                    <c:v>2.2844740030853595E-3</c:v>
                  </c:pt>
                  <c:pt idx="9">
                    <c:v>2.3642920951149359E-3</c:v>
                  </c:pt>
                  <c:pt idx="10">
                    <c:v>2.0253510639574954E-3</c:v>
                  </c:pt>
                  <c:pt idx="11">
                    <c:v>2.0279518645282281E-3</c:v>
                  </c:pt>
                  <c:pt idx="12">
                    <c:v>1.9079365762009227E-3</c:v>
                  </c:pt>
                  <c:pt idx="13">
                    <c:v>1.8891260536490798E-3</c:v>
                  </c:pt>
                  <c:pt idx="14">
                    <c:v>1.5447013247559468E-3</c:v>
                  </c:pt>
                  <c:pt idx="15">
                    <c:v>1.6141248713785581E-3</c:v>
                  </c:pt>
                  <c:pt idx="16">
                    <c:v>1.3963013342980649E-3</c:v>
                  </c:pt>
                  <c:pt idx="17">
                    <c:v>1.288615786223162E-3</c:v>
                  </c:pt>
                  <c:pt idx="18">
                    <c:v>1.3299056050294085E-3</c:v>
                  </c:pt>
                  <c:pt idx="19">
                    <c:v>2.6249010966298818E-3</c:v>
                  </c:pt>
                  <c:pt idx="20">
                    <c:v>3.560894737436213E-3</c:v>
                  </c:pt>
                  <c:pt idx="21">
                    <c:v>2.3695447730251898E-3</c:v>
                  </c:pt>
                  <c:pt idx="22">
                    <c:v>2.3849051465651902E-3</c:v>
                  </c:pt>
                  <c:pt idx="23">
                    <c:v>2.3510663947044503E-3</c:v>
                  </c:pt>
                  <c:pt idx="24">
                    <c:v>2.1647882827061267E-3</c:v>
                  </c:pt>
                  <c:pt idx="25">
                    <c:v>2.1930368378853407E-3</c:v>
                  </c:pt>
                  <c:pt idx="26">
                    <c:v>2.1395066705095847E-3</c:v>
                  </c:pt>
                  <c:pt idx="27">
                    <c:v>1.9910188287588213E-3</c:v>
                  </c:pt>
                  <c:pt idx="28">
                    <c:v>1.9932549981548971E-3</c:v>
                  </c:pt>
                  <c:pt idx="29">
                    <c:v>1.9097384725775028E-3</c:v>
                  </c:pt>
                  <c:pt idx="30">
                    <c:v>1.622392500089587E-3</c:v>
                  </c:pt>
                  <c:pt idx="31">
                    <c:v>1.7737144761138153E-3</c:v>
                  </c:pt>
                  <c:pt idx="32">
                    <c:v>1.7264051152489548E-3</c:v>
                  </c:pt>
                  <c:pt idx="33">
                    <c:v>1.6438123891714886E-3</c:v>
                  </c:pt>
                  <c:pt idx="34">
                    <c:v>1.5855680597700759E-3</c:v>
                  </c:pt>
                  <c:pt idx="35">
                    <c:v>1.5298532435075337E-3</c:v>
                  </c:pt>
                  <c:pt idx="36">
                    <c:v>1.4728736067929596E-3</c:v>
                  </c:pt>
                  <c:pt idx="37">
                    <c:v>1.4448851651897093E-3</c:v>
                  </c:pt>
                  <c:pt idx="38">
                    <c:v>1.4688417446217705E-3</c:v>
                  </c:pt>
                  <c:pt idx="39">
                    <c:v>1.3097144374357222E-3</c:v>
                  </c:pt>
                  <c:pt idx="40">
                    <c:v>3.147171927558352E-3</c:v>
                  </c:pt>
                  <c:pt idx="41">
                    <c:v>2.9048986574131005E-3</c:v>
                  </c:pt>
                  <c:pt idx="42">
                    <c:v>3.0587242216766506E-3</c:v>
                  </c:pt>
                  <c:pt idx="43">
                    <c:v>3.0828881298275677E-3</c:v>
                  </c:pt>
                  <c:pt idx="44">
                    <c:v>2.7207698965029865E-3</c:v>
                  </c:pt>
                  <c:pt idx="45">
                    <c:v>2.5886724151973823E-3</c:v>
                  </c:pt>
                  <c:pt idx="46">
                    <c:v>2.3720009486419415E-3</c:v>
                  </c:pt>
                  <c:pt idx="47">
                    <c:v>2.7936223966479583E-3</c:v>
                  </c:pt>
                  <c:pt idx="48">
                    <c:v>2.517372578125847E-3</c:v>
                  </c:pt>
                  <c:pt idx="49">
                    <c:v>2.5827230102373048E-3</c:v>
                  </c:pt>
                  <c:pt idx="50">
                    <c:v>2.701880622880072E-3</c:v>
                  </c:pt>
                  <c:pt idx="51">
                    <c:v>2.2284251061524501E-3</c:v>
                  </c:pt>
                  <c:pt idx="52">
                    <c:v>2.701537237524121E-3</c:v>
                  </c:pt>
                  <c:pt idx="53">
                    <c:v>2.1841144887692981E-3</c:v>
                  </c:pt>
                  <c:pt idx="54">
                    <c:v>2.1339053044581876E-3</c:v>
                  </c:pt>
                  <c:pt idx="55">
                    <c:v>1.9968897938457018E-3</c:v>
                  </c:pt>
                  <c:pt idx="56">
                    <c:v>1.7566311631237687E-3</c:v>
                  </c:pt>
                  <c:pt idx="57">
                    <c:v>1.6785719818259472E-3</c:v>
                  </c:pt>
                  <c:pt idx="58">
                    <c:v>1.638693749266437E-3</c:v>
                  </c:pt>
                  <c:pt idx="59">
                    <c:v>1.6287597445697657E-3</c:v>
                  </c:pt>
                  <c:pt idx="60">
                    <c:v>1.5494238299048066E-3</c:v>
                  </c:pt>
                  <c:pt idx="61">
                    <c:v>1.4896099625372359E-3</c:v>
                  </c:pt>
                  <c:pt idx="62">
                    <c:v>1.2086539180337799E-3</c:v>
                  </c:pt>
                  <c:pt idx="63">
                    <c:v>1.2690699094397857E-3</c:v>
                  </c:pt>
                  <c:pt idx="64">
                    <c:v>1.1289813067938814E-3</c:v>
                  </c:pt>
                  <c:pt idx="65">
                    <c:v>1.0508710132392488E-3</c:v>
                  </c:pt>
                  <c:pt idx="66">
                    <c:v>9.8033814371531729E-4</c:v>
                  </c:pt>
                  <c:pt idx="67">
                    <c:v>9.1440464194519162E-4</c:v>
                  </c:pt>
                  <c:pt idx="68">
                    <c:v>8.7221177299720261E-4</c:v>
                  </c:pt>
                  <c:pt idx="69">
                    <c:v>7.832239117891135E-4</c:v>
                  </c:pt>
                  <c:pt idx="70">
                    <c:v>6.1608592469342084E-4</c:v>
                  </c:pt>
                  <c:pt idx="71">
                    <c:v>6.298942166432451E-4</c:v>
                  </c:pt>
                  <c:pt idx="72">
                    <c:v>1.7753931051886116E-3</c:v>
                  </c:pt>
                  <c:pt idx="73">
                    <c:v>1.5779654041378833E-3</c:v>
                  </c:pt>
                  <c:pt idx="74">
                    <c:v>1.3282470601818669E-3</c:v>
                  </c:pt>
                  <c:pt idx="75">
                    <c:v>1.6637263371310157E-3</c:v>
                  </c:pt>
                  <c:pt idx="76">
                    <c:v>1.4011486418212295E-3</c:v>
                  </c:pt>
                  <c:pt idx="77">
                    <c:v>1.0990423143128769E-3</c:v>
                  </c:pt>
                  <c:pt idx="78">
                    <c:v>9.4985837972180146E-4</c:v>
                  </c:pt>
                  <c:pt idx="79">
                    <c:v>1.0100707849746661E-3</c:v>
                  </c:pt>
                  <c:pt idx="80">
                    <c:v>9.5232769064314759E-4</c:v>
                  </c:pt>
                  <c:pt idx="81">
                    <c:v>7.5718145789577848E-4</c:v>
                  </c:pt>
                  <c:pt idx="82">
                    <c:v>8.8656147903163566E-4</c:v>
                  </c:pt>
                  <c:pt idx="83">
                    <c:v>7.0701944386464537E-4</c:v>
                  </c:pt>
                  <c:pt idx="84">
                    <c:v>8.1600467535022242E-4</c:v>
                  </c:pt>
                  <c:pt idx="85">
                    <c:v>6.8266610461566613E-4</c:v>
                  </c:pt>
                  <c:pt idx="86">
                    <c:v>6.3489527381200758E-4</c:v>
                  </c:pt>
                  <c:pt idx="87">
                    <c:v>6.5359629779828104E-4</c:v>
                  </c:pt>
                  <c:pt idx="88">
                    <c:v>5.879706097284916E-4</c:v>
                  </c:pt>
                  <c:pt idx="89">
                    <c:v>6.9310772251373514E-4</c:v>
                  </c:pt>
                  <c:pt idx="90">
                    <c:v>6.3874384585652295E-4</c:v>
                  </c:pt>
                  <c:pt idx="91">
                    <c:v>6.6877988037004573E-4</c:v>
                  </c:pt>
                  <c:pt idx="92">
                    <c:v>6.4405172348366228E-4</c:v>
                  </c:pt>
                  <c:pt idx="93">
                    <c:v>7.7967723217214197E-4</c:v>
                  </c:pt>
                  <c:pt idx="94">
                    <c:v>7.1996672288065014E-4</c:v>
                  </c:pt>
                  <c:pt idx="95">
                    <c:v>7.9413787153413717E-4</c:v>
                  </c:pt>
                  <c:pt idx="96">
                    <c:v>8.0646844422215945E-4</c:v>
                  </c:pt>
                  <c:pt idx="97">
                    <c:v>8.2590496806549151E-4</c:v>
                  </c:pt>
                  <c:pt idx="98">
                    <c:v>8.7232503044861528E-4</c:v>
                  </c:pt>
                  <c:pt idx="99">
                    <c:v>8.525197475160736E-4</c:v>
                  </c:pt>
                  <c:pt idx="100">
                    <c:v>9.2161744197881033E-4</c:v>
                  </c:pt>
                  <c:pt idx="101">
                    <c:v>9.4332407762666968E-4</c:v>
                  </c:pt>
                  <c:pt idx="102">
                    <c:v>8.8937528774474652E-4</c:v>
                  </c:pt>
                  <c:pt idx="103">
                    <c:v>9.285517403362913E-4</c:v>
                  </c:pt>
                  <c:pt idx="104">
                    <c:v>9.166839031500149E-4</c:v>
                  </c:pt>
                  <c:pt idx="105">
                    <c:v>9.9102542540192504E-4</c:v>
                  </c:pt>
                  <c:pt idx="106">
                    <c:v>9.2397265630809989E-4</c:v>
                  </c:pt>
                  <c:pt idx="107">
                    <c:v>9.7149486631507658E-4</c:v>
                  </c:pt>
                  <c:pt idx="108">
                    <c:v>9.1098480646654469E-4</c:v>
                  </c:pt>
                  <c:pt idx="109">
                    <c:v>9.8671046916859787E-4</c:v>
                  </c:pt>
                  <c:pt idx="110">
                    <c:v>9.8592084075655589E-4</c:v>
                  </c:pt>
                  <c:pt idx="111">
                    <c:v>9.589049186039079E-4</c:v>
                  </c:pt>
                  <c:pt idx="112">
                    <c:v>1.048954395091489E-3</c:v>
                  </c:pt>
                  <c:pt idx="113">
                    <c:v>8.6994062566419649E-4</c:v>
                  </c:pt>
                  <c:pt idx="114">
                    <c:v>8.878052809337116E-4</c:v>
                  </c:pt>
                  <c:pt idx="115">
                    <c:v>7.9390037647377831E-4</c:v>
                  </c:pt>
                  <c:pt idx="116">
                    <c:v>4.0713802269286877E-4</c:v>
                  </c:pt>
                  <c:pt idx="117">
                    <c:v>4.643518535986778E-4</c:v>
                  </c:pt>
                  <c:pt idx="118">
                    <c:v>4.4516846263144478E-4</c:v>
                  </c:pt>
                  <c:pt idx="119">
                    <c:v>4.0115249036401653E-4</c:v>
                  </c:pt>
                  <c:pt idx="120">
                    <c:v>3.6108568637655122E-4</c:v>
                  </c:pt>
                  <c:pt idx="121">
                    <c:v>3.6965565834596003E-4</c:v>
                  </c:pt>
                  <c:pt idx="122">
                    <c:v>3.6252705590288949E-4</c:v>
                  </c:pt>
                  <c:pt idx="123">
                    <c:v>3.2675605608915983E-4</c:v>
                  </c:pt>
                  <c:pt idx="124">
                    <c:v>3.0685716825290196E-4</c:v>
                  </c:pt>
                  <c:pt idx="125">
                    <c:v>2.7549279215965597E-4</c:v>
                  </c:pt>
                  <c:pt idx="126">
                    <c:v>2.4473428054979447E-4</c:v>
                  </c:pt>
                  <c:pt idx="127">
                    <c:v>2.3001860625957395E-4</c:v>
                  </c:pt>
                  <c:pt idx="128">
                    <c:v>2.2372240430754546E-4</c:v>
                  </c:pt>
                  <c:pt idx="129">
                    <c:v>1.8384459734155855E-4</c:v>
                  </c:pt>
                  <c:pt idx="130">
                    <c:v>1.6627955392100599E-4</c:v>
                  </c:pt>
                  <c:pt idx="131">
                    <c:v>1.5008088497094903E-4</c:v>
                  </c:pt>
                  <c:pt idx="132">
                    <c:v>1.3687802613132977E-4</c:v>
                  </c:pt>
                  <c:pt idx="133">
                    <c:v>1.3208458128442511E-4</c:v>
                  </c:pt>
                  <c:pt idx="134">
                    <c:v>1.1761602337391087E-4</c:v>
                  </c:pt>
                  <c:pt idx="135">
                    <c:v>1.0862485014661737E-4</c:v>
                  </c:pt>
                  <c:pt idx="136">
                    <c:v>9.6708848450929356E-5</c:v>
                  </c:pt>
                  <c:pt idx="137">
                    <c:v>8.5629990422629465E-5</c:v>
                  </c:pt>
                  <c:pt idx="138">
                    <c:v>7.8706140519864721E-5</c:v>
                  </c:pt>
                  <c:pt idx="139">
                    <c:v>7.9857320066521875E-5</c:v>
                  </c:pt>
                  <c:pt idx="140">
                    <c:v>7.4643511885481075E-5</c:v>
                  </c:pt>
                  <c:pt idx="141">
                    <c:v>7.3383775359939799E-5</c:v>
                  </c:pt>
                  <c:pt idx="142">
                    <c:v>6.902372568937714E-5</c:v>
                  </c:pt>
                  <c:pt idx="143">
                    <c:v>7.167513308541909E-5</c:v>
                  </c:pt>
                  <c:pt idx="144">
                    <c:v>6.6461735818198201E-5</c:v>
                  </c:pt>
                  <c:pt idx="145">
                    <c:v>6.4393552247985235E-5</c:v>
                  </c:pt>
                  <c:pt idx="146">
                    <c:v>7.3862411621662596E-5</c:v>
                  </c:pt>
                  <c:pt idx="147">
                    <c:v>7.2829593857015988E-5</c:v>
                  </c:pt>
                  <c:pt idx="148">
                    <c:v>7.4144590743043689E-5</c:v>
                  </c:pt>
                  <c:pt idx="149">
                    <c:v>7.3489414350785576E-5</c:v>
                  </c:pt>
                  <c:pt idx="150">
                    <c:v>8.3090743683192508E-5</c:v>
                  </c:pt>
                  <c:pt idx="151">
                    <c:v>9.0469824744032661E-5</c:v>
                  </c:pt>
                  <c:pt idx="152">
                    <c:v>8.2359416913294566E-5</c:v>
                  </c:pt>
                  <c:pt idx="153">
                    <c:v>7.5500229163859715E-5</c:v>
                  </c:pt>
                  <c:pt idx="154">
                    <c:v>8.1288646801045054E-5</c:v>
                  </c:pt>
                  <c:pt idx="155">
                    <c:v>7.3486751432630699E-5</c:v>
                  </c:pt>
                  <c:pt idx="156">
                    <c:v>7.4605951541888653E-5</c:v>
                  </c:pt>
                  <c:pt idx="157">
                    <c:v>7.1434405760922428E-5</c:v>
                  </c:pt>
                  <c:pt idx="158">
                    <c:v>6.4708192495357129E-5</c:v>
                  </c:pt>
                  <c:pt idx="159">
                    <c:v>6.9461374839816837E-5</c:v>
                  </c:pt>
                  <c:pt idx="160">
                    <c:v>6.6738602841714736E-5</c:v>
                  </c:pt>
                  <c:pt idx="161">
                    <c:v>6.5332636130877104E-5</c:v>
                  </c:pt>
                  <c:pt idx="162">
                    <c:v>5.9464438970143809E-5</c:v>
                  </c:pt>
                  <c:pt idx="163">
                    <c:v>6.6799128619553696E-5</c:v>
                  </c:pt>
                  <c:pt idx="164">
                    <c:v>6.4985426043064897E-5</c:v>
                  </c:pt>
                  <c:pt idx="165">
                    <c:v>5.1402087769068523E-5</c:v>
                  </c:pt>
                  <c:pt idx="166">
                    <c:v>6.1864415214553267E-5</c:v>
                  </c:pt>
                  <c:pt idx="167">
                    <c:v>6.2793979492464425E-5</c:v>
                  </c:pt>
                  <c:pt idx="168">
                    <c:v>5.5072882870799767E-5</c:v>
                  </c:pt>
                  <c:pt idx="169">
                    <c:v>5.2655378259260445E-5</c:v>
                  </c:pt>
                  <c:pt idx="170">
                    <c:v>6.4875840507639242E-5</c:v>
                  </c:pt>
                  <c:pt idx="171">
                    <c:v>5.4473359523095843E-5</c:v>
                  </c:pt>
                  <c:pt idx="172">
                    <c:v>6.1153186310132797E-5</c:v>
                  </c:pt>
                  <c:pt idx="173">
                    <c:v>5.7021862387788969E-5</c:v>
                  </c:pt>
                  <c:pt idx="174">
                    <c:v>4.7203309208538699E-5</c:v>
                  </c:pt>
                  <c:pt idx="175">
                    <c:v>5.2293508100815195E-5</c:v>
                  </c:pt>
                  <c:pt idx="176">
                    <c:v>5.1558467407787059E-5</c:v>
                  </c:pt>
                  <c:pt idx="177">
                    <c:v>4.7035121236995052E-5</c:v>
                  </c:pt>
                  <c:pt idx="178">
                    <c:v>5.2325984013690176E-5</c:v>
                  </c:pt>
                  <c:pt idx="179">
                    <c:v>6.4516071823656577E-5</c:v>
                  </c:pt>
                  <c:pt idx="180">
                    <c:v>5.8869209943211126E-5</c:v>
                  </c:pt>
                  <c:pt idx="181">
                    <c:v>5.5218793425843586E-5</c:v>
                  </c:pt>
                  <c:pt idx="182">
                    <c:v>5.4353677602188829E-5</c:v>
                  </c:pt>
                  <c:pt idx="183">
                    <c:v>5.4402438950260172E-5</c:v>
                  </c:pt>
                  <c:pt idx="184">
                    <c:v>1.6092074055803622E-5</c:v>
                  </c:pt>
                  <c:pt idx="185">
                    <c:v>1.7941932925416576E-5</c:v>
                  </c:pt>
                  <c:pt idx="186">
                    <c:v>1.7123097749229553E-5</c:v>
                  </c:pt>
                  <c:pt idx="187">
                    <c:v>1.7799589130994287E-5</c:v>
                  </c:pt>
                  <c:pt idx="188">
                    <c:v>1.7881040613000691E-5</c:v>
                  </c:pt>
                  <c:pt idx="189">
                    <c:v>1.7811656287519422E-5</c:v>
                  </c:pt>
                  <c:pt idx="190">
                    <c:v>1.8346883859957466E-5</c:v>
                  </c:pt>
                  <c:pt idx="191">
                    <c:v>1.9052815752714171E-5</c:v>
                  </c:pt>
                  <c:pt idx="192">
                    <c:v>1.7684819068995854E-5</c:v>
                  </c:pt>
                  <c:pt idx="193">
                    <c:v>1.7157216591006596E-5</c:v>
                  </c:pt>
                  <c:pt idx="194">
                    <c:v>1.5277733199339485E-5</c:v>
                  </c:pt>
                  <c:pt idx="195">
                    <c:v>1.5808113970298827E-5</c:v>
                  </c:pt>
                  <c:pt idx="196">
                    <c:v>1.444973806701275E-5</c:v>
                  </c:pt>
                  <c:pt idx="197">
                    <c:v>1.3610860633222059E-5</c:v>
                  </c:pt>
                  <c:pt idx="198">
                    <c:v>1.0482624414248935E-5</c:v>
                  </c:pt>
                  <c:pt idx="199">
                    <c:v>1.1765626570727721E-5</c:v>
                  </c:pt>
                  <c:pt idx="200">
                    <c:v>1.0067348725721137E-5</c:v>
                  </c:pt>
                  <c:pt idx="201">
                    <c:v>8.4114760335127417E-6</c:v>
                  </c:pt>
                  <c:pt idx="202">
                    <c:v>8.7387748286007622E-6</c:v>
                  </c:pt>
                  <c:pt idx="203">
                    <c:v>7.5666030832734637E-6</c:v>
                  </c:pt>
                  <c:pt idx="204">
                    <c:v>7.6492571882711334E-6</c:v>
                  </c:pt>
                  <c:pt idx="205">
                    <c:v>7.7933788584139704E-6</c:v>
                  </c:pt>
                  <c:pt idx="206">
                    <c:v>8.0617137537205485E-6</c:v>
                  </c:pt>
                  <c:pt idx="207">
                    <c:v>8.3536232134808803E-6</c:v>
                  </c:pt>
                  <c:pt idx="208">
                    <c:v>7.3494901297217701E-6</c:v>
                  </c:pt>
                  <c:pt idx="209">
                    <c:v>7.6411176652909156E-6</c:v>
                  </c:pt>
                  <c:pt idx="210">
                    <c:v>8.0417515890652083E-6</c:v>
                  </c:pt>
                  <c:pt idx="211">
                    <c:v>8.2627692962011571E-6</c:v>
                  </c:pt>
                  <c:pt idx="212">
                    <c:v>7.2994878659185806E-6</c:v>
                  </c:pt>
                  <c:pt idx="213">
                    <c:v>7.5133502192719686E-6</c:v>
                  </c:pt>
                  <c:pt idx="214">
                    <c:v>6.5894163594952167E-6</c:v>
                  </c:pt>
                  <c:pt idx="215">
                    <c:v>6.7863300911985857E-6</c:v>
                  </c:pt>
                  <c:pt idx="216">
                    <c:v>6.1814356237398883E-6</c:v>
                  </c:pt>
                  <c:pt idx="217">
                    <c:v>6.1034924126605198E-6</c:v>
                  </c:pt>
                  <c:pt idx="218">
                    <c:v>6.4552362288616377E-6</c:v>
                  </c:pt>
                  <c:pt idx="219">
                    <c:v>7.3248174789332472E-6</c:v>
                  </c:pt>
                  <c:pt idx="220">
                    <c:v>6.3633281206607417E-6</c:v>
                  </c:pt>
                  <c:pt idx="221">
                    <c:v>7.3925299378282242E-6</c:v>
                  </c:pt>
                  <c:pt idx="222">
                    <c:v>7.3185839599621799E-6</c:v>
                  </c:pt>
                  <c:pt idx="223">
                    <c:v>7.434206110862301E-6</c:v>
                  </c:pt>
                  <c:pt idx="224">
                    <c:v>7.0357473294841804E-6</c:v>
                  </c:pt>
                  <c:pt idx="225">
                    <c:v>6.3516547315903336E-6</c:v>
                  </c:pt>
                  <c:pt idx="226">
                    <c:v>6.8315705349077017E-6</c:v>
                  </c:pt>
                  <c:pt idx="227">
                    <c:v>7.195491964860134E-6</c:v>
                  </c:pt>
                  <c:pt idx="228">
                    <c:v>6.8919940224186926E-6</c:v>
                  </c:pt>
                  <c:pt idx="229">
                    <c:v>6.67907564073881E-6</c:v>
                  </c:pt>
                  <c:pt idx="230">
                    <c:v>6.5909990034678391E-6</c:v>
                  </c:pt>
                  <c:pt idx="231">
                    <c:v>7.3241388210618597E-6</c:v>
                  </c:pt>
                  <c:pt idx="232">
                    <c:v>7.3380346386632636E-6</c:v>
                  </c:pt>
                  <c:pt idx="233">
                    <c:v>6.4451485964903652E-6</c:v>
                  </c:pt>
                  <c:pt idx="234">
                    <c:v>6.3589690255848815E-6</c:v>
                  </c:pt>
                  <c:pt idx="235">
                    <c:v>7.2954665049412369E-6</c:v>
                  </c:pt>
                  <c:pt idx="236">
                    <c:v>7.2292018510457671E-6</c:v>
                  </c:pt>
                  <c:pt idx="237">
                    <c:v>6.8758517676777049E-6</c:v>
                  </c:pt>
                  <c:pt idx="238">
                    <c:v>6.4861625528690426E-6</c:v>
                  </c:pt>
                  <c:pt idx="239">
                    <c:v>6.3209526053057984E-6</c:v>
                  </c:pt>
                  <c:pt idx="240">
                    <c:v>6.1730331826120485E-6</c:v>
                  </c:pt>
                  <c:pt idx="241">
                    <c:v>5.8599830797213044E-6</c:v>
                  </c:pt>
                  <c:pt idx="242">
                    <c:v>5.9363752774477785E-6</c:v>
                  </c:pt>
                  <c:pt idx="243">
                    <c:v>5.4295340971782443E-6</c:v>
                  </c:pt>
                  <c:pt idx="244">
                    <c:v>5.4912090351815953E-6</c:v>
                  </c:pt>
                  <c:pt idx="245">
                    <c:v>5.924035265411818E-6</c:v>
                  </c:pt>
                  <c:pt idx="246">
                    <c:v>5.7656498545295592E-6</c:v>
                  </c:pt>
                  <c:pt idx="247">
                    <c:v>5.5751945976261507E-6</c:v>
                  </c:pt>
                  <c:pt idx="248">
                    <c:v>5.8163941969683319E-6</c:v>
                  </c:pt>
                  <c:pt idx="249">
                    <c:v>5.740226748239029E-6</c:v>
                  </c:pt>
                  <c:pt idx="250">
                    <c:v>5.4539878236374857E-6</c:v>
                  </c:pt>
                  <c:pt idx="251">
                    <c:v>5.520391579358193E-6</c:v>
                  </c:pt>
                  <c:pt idx="252">
                    <c:v>2.6374560417712564E-6</c:v>
                  </c:pt>
                  <c:pt idx="253">
                    <c:v>2.6409354287290347E-6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4.2035880750008045E-3</c:v>
                  </c:pt>
                  <c:pt idx="1">
                    <c:v>3.6677271147076487E-3</c:v>
                  </c:pt>
                  <c:pt idx="2">
                    <c:v>3.4976689072813826E-3</c:v>
                  </c:pt>
                  <c:pt idx="3">
                    <c:v>3.2070262548454282E-3</c:v>
                  </c:pt>
                  <c:pt idx="4">
                    <c:v>3.101191171711292E-3</c:v>
                  </c:pt>
                  <c:pt idx="5">
                    <c:v>2.9191843946203022E-3</c:v>
                  </c:pt>
                  <c:pt idx="6">
                    <c:v>2.6764391835202104E-3</c:v>
                  </c:pt>
                  <c:pt idx="7">
                    <c:v>2.5544814286260777E-3</c:v>
                  </c:pt>
                  <c:pt idx="8">
                    <c:v>2.2844740030853595E-3</c:v>
                  </c:pt>
                  <c:pt idx="9">
                    <c:v>2.3642920951149359E-3</c:v>
                  </c:pt>
                  <c:pt idx="10">
                    <c:v>2.0253510639574954E-3</c:v>
                  </c:pt>
                  <c:pt idx="11">
                    <c:v>2.0279518645282281E-3</c:v>
                  </c:pt>
                  <c:pt idx="12">
                    <c:v>1.9079365762009227E-3</c:v>
                  </c:pt>
                  <c:pt idx="13">
                    <c:v>1.8891260536490798E-3</c:v>
                  </c:pt>
                  <c:pt idx="14">
                    <c:v>1.5447013247559468E-3</c:v>
                  </c:pt>
                  <c:pt idx="15">
                    <c:v>1.6141248713785581E-3</c:v>
                  </c:pt>
                  <c:pt idx="16">
                    <c:v>1.3963013342980649E-3</c:v>
                  </c:pt>
                  <c:pt idx="17">
                    <c:v>1.288615786223162E-3</c:v>
                  </c:pt>
                  <c:pt idx="18">
                    <c:v>1.3299056050294085E-3</c:v>
                  </c:pt>
                  <c:pt idx="19">
                    <c:v>2.6249010966298818E-3</c:v>
                  </c:pt>
                  <c:pt idx="20">
                    <c:v>3.560894737436213E-3</c:v>
                  </c:pt>
                  <c:pt idx="21">
                    <c:v>2.3695447730251898E-3</c:v>
                  </c:pt>
                  <c:pt idx="22">
                    <c:v>2.3849051465651902E-3</c:v>
                  </c:pt>
                  <c:pt idx="23">
                    <c:v>2.3510663947044503E-3</c:v>
                  </c:pt>
                  <c:pt idx="24">
                    <c:v>2.1647882827061267E-3</c:v>
                  </c:pt>
                  <c:pt idx="25">
                    <c:v>2.1930368378853407E-3</c:v>
                  </c:pt>
                  <c:pt idx="26">
                    <c:v>2.1395066705095847E-3</c:v>
                  </c:pt>
                  <c:pt idx="27">
                    <c:v>1.9910188287588213E-3</c:v>
                  </c:pt>
                  <c:pt idx="28">
                    <c:v>1.9932549981548971E-3</c:v>
                  </c:pt>
                  <c:pt idx="29">
                    <c:v>1.9097384725775028E-3</c:v>
                  </c:pt>
                  <c:pt idx="30">
                    <c:v>1.622392500089587E-3</c:v>
                  </c:pt>
                  <c:pt idx="31">
                    <c:v>1.7737144761138153E-3</c:v>
                  </c:pt>
                  <c:pt idx="32">
                    <c:v>1.7264051152489548E-3</c:v>
                  </c:pt>
                  <c:pt idx="33">
                    <c:v>1.6438123891714886E-3</c:v>
                  </c:pt>
                  <c:pt idx="34">
                    <c:v>1.5855680597700759E-3</c:v>
                  </c:pt>
                  <c:pt idx="35">
                    <c:v>1.5298532435075337E-3</c:v>
                  </c:pt>
                  <c:pt idx="36">
                    <c:v>1.4728736067929596E-3</c:v>
                  </c:pt>
                  <c:pt idx="37">
                    <c:v>1.4448851651897093E-3</c:v>
                  </c:pt>
                  <c:pt idx="38">
                    <c:v>1.4688417446217705E-3</c:v>
                  </c:pt>
                  <c:pt idx="39">
                    <c:v>1.3097144374357222E-3</c:v>
                  </c:pt>
                  <c:pt idx="40">
                    <c:v>3.147171927558352E-3</c:v>
                  </c:pt>
                  <c:pt idx="41">
                    <c:v>2.9048986574131005E-3</c:v>
                  </c:pt>
                  <c:pt idx="42">
                    <c:v>3.0587242216766506E-3</c:v>
                  </c:pt>
                  <c:pt idx="43">
                    <c:v>3.0828881298275677E-3</c:v>
                  </c:pt>
                  <c:pt idx="44">
                    <c:v>2.7207698965029865E-3</c:v>
                  </c:pt>
                  <c:pt idx="45">
                    <c:v>2.5886724151973823E-3</c:v>
                  </c:pt>
                  <c:pt idx="46">
                    <c:v>2.3720009486419415E-3</c:v>
                  </c:pt>
                  <c:pt idx="47">
                    <c:v>2.7936223966479583E-3</c:v>
                  </c:pt>
                  <c:pt idx="48">
                    <c:v>2.517372578125847E-3</c:v>
                  </c:pt>
                  <c:pt idx="49">
                    <c:v>2.5827230102373048E-3</c:v>
                  </c:pt>
                  <c:pt idx="50">
                    <c:v>2.701880622880072E-3</c:v>
                  </c:pt>
                  <c:pt idx="51">
                    <c:v>2.2284251061524501E-3</c:v>
                  </c:pt>
                  <c:pt idx="52">
                    <c:v>2.701537237524121E-3</c:v>
                  </c:pt>
                  <c:pt idx="53">
                    <c:v>2.1841144887692981E-3</c:v>
                  </c:pt>
                  <c:pt idx="54">
                    <c:v>2.1339053044581876E-3</c:v>
                  </c:pt>
                  <c:pt idx="55">
                    <c:v>1.9968897938457018E-3</c:v>
                  </c:pt>
                  <c:pt idx="56">
                    <c:v>1.7566311631237687E-3</c:v>
                  </c:pt>
                  <c:pt idx="57">
                    <c:v>1.6785719818259472E-3</c:v>
                  </c:pt>
                  <c:pt idx="58">
                    <c:v>1.638693749266437E-3</c:v>
                  </c:pt>
                  <c:pt idx="59">
                    <c:v>1.6287597445697657E-3</c:v>
                  </c:pt>
                  <c:pt idx="60">
                    <c:v>1.5494238299048066E-3</c:v>
                  </c:pt>
                  <c:pt idx="61">
                    <c:v>1.4896099625372359E-3</c:v>
                  </c:pt>
                  <c:pt idx="62">
                    <c:v>1.2086539180337799E-3</c:v>
                  </c:pt>
                  <c:pt idx="63">
                    <c:v>1.2690699094397857E-3</c:v>
                  </c:pt>
                  <c:pt idx="64">
                    <c:v>1.1289813067938814E-3</c:v>
                  </c:pt>
                  <c:pt idx="65">
                    <c:v>1.0508710132392488E-3</c:v>
                  </c:pt>
                  <c:pt idx="66">
                    <c:v>9.8033814371531729E-4</c:v>
                  </c:pt>
                  <c:pt idx="67">
                    <c:v>9.1440464194519162E-4</c:v>
                  </c:pt>
                  <c:pt idx="68">
                    <c:v>8.7221177299720261E-4</c:v>
                  </c:pt>
                  <c:pt idx="69">
                    <c:v>7.832239117891135E-4</c:v>
                  </c:pt>
                  <c:pt idx="70">
                    <c:v>6.1608592469342084E-4</c:v>
                  </c:pt>
                  <c:pt idx="71">
                    <c:v>6.298942166432451E-4</c:v>
                  </c:pt>
                  <c:pt idx="72">
                    <c:v>1.7753931051886116E-3</c:v>
                  </c:pt>
                  <c:pt idx="73">
                    <c:v>1.5779654041378833E-3</c:v>
                  </c:pt>
                  <c:pt idx="74">
                    <c:v>1.3282470601818669E-3</c:v>
                  </c:pt>
                  <c:pt idx="75">
                    <c:v>1.6637263371310157E-3</c:v>
                  </c:pt>
                  <c:pt idx="76">
                    <c:v>1.4011486418212295E-3</c:v>
                  </c:pt>
                  <c:pt idx="77">
                    <c:v>1.0990423143128769E-3</c:v>
                  </c:pt>
                  <c:pt idx="78">
                    <c:v>9.4985837972180146E-4</c:v>
                  </c:pt>
                  <c:pt idx="79">
                    <c:v>1.0100707849746661E-3</c:v>
                  </c:pt>
                  <c:pt idx="80">
                    <c:v>9.5232769064314759E-4</c:v>
                  </c:pt>
                  <c:pt idx="81">
                    <c:v>7.5718145789577848E-4</c:v>
                  </c:pt>
                  <c:pt idx="82">
                    <c:v>8.8656147903163566E-4</c:v>
                  </c:pt>
                  <c:pt idx="83">
                    <c:v>7.0701944386464537E-4</c:v>
                  </c:pt>
                  <c:pt idx="84">
                    <c:v>8.1600467535022242E-4</c:v>
                  </c:pt>
                  <c:pt idx="85">
                    <c:v>6.8266610461566613E-4</c:v>
                  </c:pt>
                  <c:pt idx="86">
                    <c:v>6.3489527381200758E-4</c:v>
                  </c:pt>
                  <c:pt idx="87">
                    <c:v>6.5359629779828104E-4</c:v>
                  </c:pt>
                  <c:pt idx="88">
                    <c:v>5.879706097284916E-4</c:v>
                  </c:pt>
                  <c:pt idx="89">
                    <c:v>6.9310772251373514E-4</c:v>
                  </c:pt>
                  <c:pt idx="90">
                    <c:v>6.3874384585652295E-4</c:v>
                  </c:pt>
                  <c:pt idx="91">
                    <c:v>6.6877988037004573E-4</c:v>
                  </c:pt>
                  <c:pt idx="92">
                    <c:v>6.4405172348366228E-4</c:v>
                  </c:pt>
                  <c:pt idx="93">
                    <c:v>7.7967723217214197E-4</c:v>
                  </c:pt>
                  <c:pt idx="94">
                    <c:v>7.1996672288065014E-4</c:v>
                  </c:pt>
                  <c:pt idx="95">
                    <c:v>7.9413787153413717E-4</c:v>
                  </c:pt>
                  <c:pt idx="96">
                    <c:v>8.0646844422215945E-4</c:v>
                  </c:pt>
                  <c:pt idx="97">
                    <c:v>8.2590496806549151E-4</c:v>
                  </c:pt>
                  <c:pt idx="98">
                    <c:v>8.7232503044861528E-4</c:v>
                  </c:pt>
                  <c:pt idx="99">
                    <c:v>8.525197475160736E-4</c:v>
                  </c:pt>
                  <c:pt idx="100">
                    <c:v>9.2161744197881033E-4</c:v>
                  </c:pt>
                  <c:pt idx="101">
                    <c:v>9.4332407762666968E-4</c:v>
                  </c:pt>
                  <c:pt idx="102">
                    <c:v>8.8937528774474652E-4</c:v>
                  </c:pt>
                  <c:pt idx="103">
                    <c:v>9.285517403362913E-4</c:v>
                  </c:pt>
                  <c:pt idx="104">
                    <c:v>9.166839031500149E-4</c:v>
                  </c:pt>
                  <c:pt idx="105">
                    <c:v>9.9102542540192504E-4</c:v>
                  </c:pt>
                  <c:pt idx="106">
                    <c:v>9.2397265630809989E-4</c:v>
                  </c:pt>
                  <c:pt idx="107">
                    <c:v>9.7149486631507658E-4</c:v>
                  </c:pt>
                  <c:pt idx="108">
                    <c:v>9.1098480646654469E-4</c:v>
                  </c:pt>
                  <c:pt idx="109">
                    <c:v>9.8671046916859787E-4</c:v>
                  </c:pt>
                  <c:pt idx="110">
                    <c:v>9.8592084075655589E-4</c:v>
                  </c:pt>
                  <c:pt idx="111">
                    <c:v>9.589049186039079E-4</c:v>
                  </c:pt>
                  <c:pt idx="112">
                    <c:v>1.048954395091489E-3</c:v>
                  </c:pt>
                  <c:pt idx="113">
                    <c:v>8.6994062566419649E-4</c:v>
                  </c:pt>
                  <c:pt idx="114">
                    <c:v>8.878052809337116E-4</c:v>
                  </c:pt>
                  <c:pt idx="115">
                    <c:v>7.9390037647377831E-4</c:v>
                  </c:pt>
                  <c:pt idx="116">
                    <c:v>4.0713802269286877E-4</c:v>
                  </c:pt>
                  <c:pt idx="117">
                    <c:v>4.643518535986778E-4</c:v>
                  </c:pt>
                  <c:pt idx="118">
                    <c:v>4.4516846263144478E-4</c:v>
                  </c:pt>
                  <c:pt idx="119">
                    <c:v>4.0115249036401653E-4</c:v>
                  </c:pt>
                  <c:pt idx="120">
                    <c:v>3.6108568637655122E-4</c:v>
                  </c:pt>
                  <c:pt idx="121">
                    <c:v>3.6965565834596003E-4</c:v>
                  </c:pt>
                  <c:pt idx="122">
                    <c:v>3.6252705590288949E-4</c:v>
                  </c:pt>
                  <c:pt idx="123">
                    <c:v>3.2675605608915983E-4</c:v>
                  </c:pt>
                  <c:pt idx="124">
                    <c:v>3.0685716825290196E-4</c:v>
                  </c:pt>
                  <c:pt idx="125">
                    <c:v>2.7549279215965597E-4</c:v>
                  </c:pt>
                  <c:pt idx="126">
                    <c:v>2.4473428054979447E-4</c:v>
                  </c:pt>
                  <c:pt idx="127">
                    <c:v>2.3001860625957395E-4</c:v>
                  </c:pt>
                  <c:pt idx="128">
                    <c:v>2.2372240430754546E-4</c:v>
                  </c:pt>
                  <c:pt idx="129">
                    <c:v>1.8384459734155855E-4</c:v>
                  </c:pt>
                  <c:pt idx="130">
                    <c:v>1.6627955392100599E-4</c:v>
                  </c:pt>
                  <c:pt idx="131">
                    <c:v>1.5008088497094903E-4</c:v>
                  </c:pt>
                  <c:pt idx="132">
                    <c:v>1.3687802613132977E-4</c:v>
                  </c:pt>
                  <c:pt idx="133">
                    <c:v>1.3208458128442511E-4</c:v>
                  </c:pt>
                  <c:pt idx="134">
                    <c:v>1.1761602337391087E-4</c:v>
                  </c:pt>
                  <c:pt idx="135">
                    <c:v>1.0862485014661737E-4</c:v>
                  </c:pt>
                  <c:pt idx="136">
                    <c:v>9.6708848450929356E-5</c:v>
                  </c:pt>
                  <c:pt idx="137">
                    <c:v>8.5629990422629465E-5</c:v>
                  </c:pt>
                  <c:pt idx="138">
                    <c:v>7.8706140519864721E-5</c:v>
                  </c:pt>
                  <c:pt idx="139">
                    <c:v>7.9857320066521875E-5</c:v>
                  </c:pt>
                  <c:pt idx="140">
                    <c:v>7.4643511885481075E-5</c:v>
                  </c:pt>
                  <c:pt idx="141">
                    <c:v>7.3383775359939799E-5</c:v>
                  </c:pt>
                  <c:pt idx="142">
                    <c:v>6.902372568937714E-5</c:v>
                  </c:pt>
                  <c:pt idx="143">
                    <c:v>7.167513308541909E-5</c:v>
                  </c:pt>
                  <c:pt idx="144">
                    <c:v>6.6461735818198201E-5</c:v>
                  </c:pt>
                  <c:pt idx="145">
                    <c:v>6.4393552247985235E-5</c:v>
                  </c:pt>
                  <c:pt idx="146">
                    <c:v>7.3862411621662596E-5</c:v>
                  </c:pt>
                  <c:pt idx="147">
                    <c:v>7.2829593857015988E-5</c:v>
                  </c:pt>
                  <c:pt idx="148">
                    <c:v>7.4144590743043689E-5</c:v>
                  </c:pt>
                  <c:pt idx="149">
                    <c:v>7.3489414350785576E-5</c:v>
                  </c:pt>
                  <c:pt idx="150">
                    <c:v>8.3090743683192508E-5</c:v>
                  </c:pt>
                  <c:pt idx="151">
                    <c:v>9.0469824744032661E-5</c:v>
                  </c:pt>
                  <c:pt idx="152">
                    <c:v>8.2359416913294566E-5</c:v>
                  </c:pt>
                  <c:pt idx="153">
                    <c:v>7.5500229163859715E-5</c:v>
                  </c:pt>
                  <c:pt idx="154">
                    <c:v>8.1288646801045054E-5</c:v>
                  </c:pt>
                  <c:pt idx="155">
                    <c:v>7.3486751432630699E-5</c:v>
                  </c:pt>
                  <c:pt idx="156">
                    <c:v>7.4605951541888653E-5</c:v>
                  </c:pt>
                  <c:pt idx="157">
                    <c:v>7.1434405760922428E-5</c:v>
                  </c:pt>
                  <c:pt idx="158">
                    <c:v>6.4708192495357129E-5</c:v>
                  </c:pt>
                  <c:pt idx="159">
                    <c:v>6.9461374839816837E-5</c:v>
                  </c:pt>
                  <c:pt idx="160">
                    <c:v>6.6738602841714736E-5</c:v>
                  </c:pt>
                  <c:pt idx="161">
                    <c:v>6.5332636130877104E-5</c:v>
                  </c:pt>
                  <c:pt idx="162">
                    <c:v>5.9464438970143809E-5</c:v>
                  </c:pt>
                  <c:pt idx="163">
                    <c:v>6.6799128619553696E-5</c:v>
                  </c:pt>
                  <c:pt idx="164">
                    <c:v>6.4985426043064897E-5</c:v>
                  </c:pt>
                  <c:pt idx="165">
                    <c:v>5.1402087769068523E-5</c:v>
                  </c:pt>
                  <c:pt idx="166">
                    <c:v>6.1864415214553267E-5</c:v>
                  </c:pt>
                  <c:pt idx="167">
                    <c:v>6.2793979492464425E-5</c:v>
                  </c:pt>
                  <c:pt idx="168">
                    <c:v>5.5072882870799767E-5</c:v>
                  </c:pt>
                  <c:pt idx="169">
                    <c:v>5.2655378259260445E-5</c:v>
                  </c:pt>
                  <c:pt idx="170">
                    <c:v>6.4875840507639242E-5</c:v>
                  </c:pt>
                  <c:pt idx="171">
                    <c:v>5.4473359523095843E-5</c:v>
                  </c:pt>
                  <c:pt idx="172">
                    <c:v>6.1153186310132797E-5</c:v>
                  </c:pt>
                  <c:pt idx="173">
                    <c:v>5.7021862387788969E-5</c:v>
                  </c:pt>
                  <c:pt idx="174">
                    <c:v>4.7203309208538699E-5</c:v>
                  </c:pt>
                  <c:pt idx="175">
                    <c:v>5.2293508100815195E-5</c:v>
                  </c:pt>
                  <c:pt idx="176">
                    <c:v>5.1558467407787059E-5</c:v>
                  </c:pt>
                  <c:pt idx="177">
                    <c:v>4.7035121236995052E-5</c:v>
                  </c:pt>
                  <c:pt idx="178">
                    <c:v>5.2325984013690176E-5</c:v>
                  </c:pt>
                  <c:pt idx="179">
                    <c:v>6.4516071823656577E-5</c:v>
                  </c:pt>
                  <c:pt idx="180">
                    <c:v>5.8869209943211126E-5</c:v>
                  </c:pt>
                  <c:pt idx="181">
                    <c:v>5.5218793425843586E-5</c:v>
                  </c:pt>
                  <c:pt idx="182">
                    <c:v>5.4353677602188829E-5</c:v>
                  </c:pt>
                  <c:pt idx="183">
                    <c:v>5.4402438950260172E-5</c:v>
                  </c:pt>
                  <c:pt idx="184">
                    <c:v>1.6092074055803622E-5</c:v>
                  </c:pt>
                  <c:pt idx="185">
                    <c:v>1.7941932925416576E-5</c:v>
                  </c:pt>
                  <c:pt idx="186">
                    <c:v>1.7123097749229553E-5</c:v>
                  </c:pt>
                  <c:pt idx="187">
                    <c:v>1.7799589130994287E-5</c:v>
                  </c:pt>
                  <c:pt idx="188">
                    <c:v>1.7881040613000691E-5</c:v>
                  </c:pt>
                  <c:pt idx="189">
                    <c:v>1.7811656287519422E-5</c:v>
                  </c:pt>
                  <c:pt idx="190">
                    <c:v>1.8346883859957466E-5</c:v>
                  </c:pt>
                  <c:pt idx="191">
                    <c:v>1.9052815752714171E-5</c:v>
                  </c:pt>
                  <c:pt idx="192">
                    <c:v>1.7684819068995854E-5</c:v>
                  </c:pt>
                  <c:pt idx="193">
                    <c:v>1.7157216591006596E-5</c:v>
                  </c:pt>
                  <c:pt idx="194">
                    <c:v>1.5277733199339485E-5</c:v>
                  </c:pt>
                  <c:pt idx="195">
                    <c:v>1.5808113970298827E-5</c:v>
                  </c:pt>
                  <c:pt idx="196">
                    <c:v>1.444973806701275E-5</c:v>
                  </c:pt>
                  <c:pt idx="197">
                    <c:v>1.3610860633222059E-5</c:v>
                  </c:pt>
                  <c:pt idx="198">
                    <c:v>1.0482624414248935E-5</c:v>
                  </c:pt>
                  <c:pt idx="199">
                    <c:v>1.1765626570727721E-5</c:v>
                  </c:pt>
                  <c:pt idx="200">
                    <c:v>1.0067348725721137E-5</c:v>
                  </c:pt>
                  <c:pt idx="201">
                    <c:v>8.4114760335127417E-6</c:v>
                  </c:pt>
                  <c:pt idx="202">
                    <c:v>8.7387748286007622E-6</c:v>
                  </c:pt>
                  <c:pt idx="203">
                    <c:v>7.5666030832734637E-6</c:v>
                  </c:pt>
                  <c:pt idx="204">
                    <c:v>7.6492571882711334E-6</c:v>
                  </c:pt>
                  <c:pt idx="205">
                    <c:v>7.7933788584139704E-6</c:v>
                  </c:pt>
                  <c:pt idx="206">
                    <c:v>8.0617137537205485E-6</c:v>
                  </c:pt>
                  <c:pt idx="207">
                    <c:v>8.3536232134808803E-6</c:v>
                  </c:pt>
                  <c:pt idx="208">
                    <c:v>7.3494901297217701E-6</c:v>
                  </c:pt>
                  <c:pt idx="209">
                    <c:v>7.6411176652909156E-6</c:v>
                  </c:pt>
                  <c:pt idx="210">
                    <c:v>8.0417515890652083E-6</c:v>
                  </c:pt>
                  <c:pt idx="211">
                    <c:v>8.2627692962011571E-6</c:v>
                  </c:pt>
                  <c:pt idx="212">
                    <c:v>7.2994878659185806E-6</c:v>
                  </c:pt>
                  <c:pt idx="213">
                    <c:v>7.5133502192719686E-6</c:v>
                  </c:pt>
                  <c:pt idx="214">
                    <c:v>6.5894163594952167E-6</c:v>
                  </c:pt>
                  <c:pt idx="215">
                    <c:v>6.7863300911985857E-6</c:v>
                  </c:pt>
                  <c:pt idx="216">
                    <c:v>6.1814356237398883E-6</c:v>
                  </c:pt>
                  <c:pt idx="217">
                    <c:v>6.1034924126605198E-6</c:v>
                  </c:pt>
                  <c:pt idx="218">
                    <c:v>6.4552362288616377E-6</c:v>
                  </c:pt>
                  <c:pt idx="219">
                    <c:v>7.3248174789332472E-6</c:v>
                  </c:pt>
                  <c:pt idx="220">
                    <c:v>6.3633281206607417E-6</c:v>
                  </c:pt>
                  <c:pt idx="221">
                    <c:v>7.3925299378282242E-6</c:v>
                  </c:pt>
                  <c:pt idx="222">
                    <c:v>7.3185839599621799E-6</c:v>
                  </c:pt>
                  <c:pt idx="223">
                    <c:v>7.434206110862301E-6</c:v>
                  </c:pt>
                  <c:pt idx="224">
                    <c:v>7.0357473294841804E-6</c:v>
                  </c:pt>
                  <c:pt idx="225">
                    <c:v>6.3516547315903336E-6</c:v>
                  </c:pt>
                  <c:pt idx="226">
                    <c:v>6.8315705349077017E-6</c:v>
                  </c:pt>
                  <c:pt idx="227">
                    <c:v>7.195491964860134E-6</c:v>
                  </c:pt>
                  <c:pt idx="228">
                    <c:v>6.8919940224186926E-6</c:v>
                  </c:pt>
                  <c:pt idx="229">
                    <c:v>6.67907564073881E-6</c:v>
                  </c:pt>
                  <c:pt idx="230">
                    <c:v>6.5909990034678391E-6</c:v>
                  </c:pt>
                  <c:pt idx="231">
                    <c:v>7.3241388210618597E-6</c:v>
                  </c:pt>
                  <c:pt idx="232">
                    <c:v>7.3380346386632636E-6</c:v>
                  </c:pt>
                  <c:pt idx="233">
                    <c:v>6.4451485964903652E-6</c:v>
                  </c:pt>
                  <c:pt idx="234">
                    <c:v>6.3589690255848815E-6</c:v>
                  </c:pt>
                  <c:pt idx="235">
                    <c:v>7.2954665049412369E-6</c:v>
                  </c:pt>
                  <c:pt idx="236">
                    <c:v>7.2292018510457671E-6</c:v>
                  </c:pt>
                  <c:pt idx="237">
                    <c:v>6.8758517676777049E-6</c:v>
                  </c:pt>
                  <c:pt idx="238">
                    <c:v>6.4861625528690426E-6</c:v>
                  </c:pt>
                  <c:pt idx="239">
                    <c:v>6.3209526053057984E-6</c:v>
                  </c:pt>
                  <c:pt idx="240">
                    <c:v>6.1730331826120485E-6</c:v>
                  </c:pt>
                  <c:pt idx="241">
                    <c:v>5.8599830797213044E-6</c:v>
                  </c:pt>
                  <c:pt idx="242">
                    <c:v>5.9363752774477785E-6</c:v>
                  </c:pt>
                  <c:pt idx="243">
                    <c:v>5.4295340971782443E-6</c:v>
                  </c:pt>
                  <c:pt idx="244">
                    <c:v>5.4912090351815953E-6</c:v>
                  </c:pt>
                  <c:pt idx="245">
                    <c:v>5.924035265411818E-6</c:v>
                  </c:pt>
                  <c:pt idx="246">
                    <c:v>5.7656498545295592E-6</c:v>
                  </c:pt>
                  <c:pt idx="247">
                    <c:v>5.5751945976261507E-6</c:v>
                  </c:pt>
                  <c:pt idx="248">
                    <c:v>5.8163941969683319E-6</c:v>
                  </c:pt>
                  <c:pt idx="249">
                    <c:v>5.740226748239029E-6</c:v>
                  </c:pt>
                  <c:pt idx="250">
                    <c:v>5.4539878236374857E-6</c:v>
                  </c:pt>
                  <c:pt idx="251">
                    <c:v>5.520391579358193E-6</c:v>
                  </c:pt>
                  <c:pt idx="252">
                    <c:v>2.6374560417712564E-6</c:v>
                  </c:pt>
                  <c:pt idx="253">
                    <c:v>2.6409354287290347E-6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0.103474585653</c:v>
                </c:pt>
                <c:pt idx="253">
                  <c:v>0.10450933151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2.7611596319454857E-2</c:v>
                </c:pt>
                <c:pt idx="1">
                  <c:v>2.7712166595055088E-2</c:v>
                </c:pt>
                <c:pt idx="2">
                  <c:v>2.2035718484101699E-2</c:v>
                </c:pt>
                <c:pt idx="3">
                  <c:v>2.0647426458854649E-2</c:v>
                </c:pt>
                <c:pt idx="4">
                  <c:v>2.1565381181011749E-2</c:v>
                </c:pt>
                <c:pt idx="5">
                  <c:v>1.8627282646485971E-2</c:v>
                </c:pt>
                <c:pt idx="6">
                  <c:v>1.8342231869864459E-2</c:v>
                </c:pt>
                <c:pt idx="7">
                  <c:v>1.6082737433594403E-2</c:v>
                </c:pt>
                <c:pt idx="8">
                  <c:v>1.3370744253692722E-2</c:v>
                </c:pt>
                <c:pt idx="9">
                  <c:v>1.8460316064596569E-2</c:v>
                </c:pt>
                <c:pt idx="10">
                  <c:v>1.5065074291724139E-2</c:v>
                </c:pt>
                <c:pt idx="11">
                  <c:v>1.3650032553808136E-2</c:v>
                </c:pt>
                <c:pt idx="12">
                  <c:v>1.6456661438738463E-2</c:v>
                </c:pt>
                <c:pt idx="13">
                  <c:v>1.5822088505373477E-2</c:v>
                </c:pt>
                <c:pt idx="14">
                  <c:v>1.0677035469070766E-2</c:v>
                </c:pt>
                <c:pt idx="15">
                  <c:v>1.2986244200938414E-2</c:v>
                </c:pt>
                <c:pt idx="16">
                  <c:v>1.2026131907156236E-2</c:v>
                </c:pt>
                <c:pt idx="17">
                  <c:v>1.223639494498035E-2</c:v>
                </c:pt>
                <c:pt idx="18">
                  <c:v>1.5055612884297834E-2</c:v>
                </c:pt>
                <c:pt idx="19">
                  <c:v>1.1792509499018604E-2</c:v>
                </c:pt>
                <c:pt idx="20">
                  <c:v>2.280845947024078E-2</c:v>
                </c:pt>
                <c:pt idx="21">
                  <c:v>9.9053726564971387E-3</c:v>
                </c:pt>
                <c:pt idx="22">
                  <c:v>1.5603689829952087E-2</c:v>
                </c:pt>
                <c:pt idx="23">
                  <c:v>1.4951229161861682E-2</c:v>
                </c:pt>
                <c:pt idx="24">
                  <c:v>1.3808242029589014E-2</c:v>
                </c:pt>
                <c:pt idx="25">
                  <c:v>1.638357690271177E-2</c:v>
                </c:pt>
                <c:pt idx="26">
                  <c:v>1.5224103695180269E-2</c:v>
                </c:pt>
                <c:pt idx="27">
                  <c:v>1.4211350000860868E-2</c:v>
                </c:pt>
                <c:pt idx="28">
                  <c:v>1.7481979257342174E-2</c:v>
                </c:pt>
                <c:pt idx="29">
                  <c:v>1.6688673959743806E-2</c:v>
                </c:pt>
                <c:pt idx="30">
                  <c:v>1.3294006089279803E-2</c:v>
                </c:pt>
                <c:pt idx="31">
                  <c:v>1.6447512678306821E-2</c:v>
                </c:pt>
                <c:pt idx="32">
                  <c:v>1.5347802901269796E-2</c:v>
                </c:pt>
                <c:pt idx="33">
                  <c:v>1.6208421778132438E-2</c:v>
                </c:pt>
                <c:pt idx="34">
                  <c:v>1.6057111247447575E-2</c:v>
                </c:pt>
                <c:pt idx="35">
                  <c:v>1.600074007277457E-2</c:v>
                </c:pt>
                <c:pt idx="36">
                  <c:v>1.5578434836380006E-2</c:v>
                </c:pt>
                <c:pt idx="37">
                  <c:v>1.7079039320148055E-2</c:v>
                </c:pt>
                <c:pt idx="38">
                  <c:v>1.9080070060938287E-2</c:v>
                </c:pt>
                <c:pt idx="39">
                  <c:v>1.5384360617322602E-2</c:v>
                </c:pt>
                <c:pt idx="40">
                  <c:v>1.7249458183716454E-2</c:v>
                </c:pt>
                <c:pt idx="41">
                  <c:v>1.7095212955607446E-2</c:v>
                </c:pt>
                <c:pt idx="42">
                  <c:v>2.1238812480450061E-2</c:v>
                </c:pt>
                <c:pt idx="43">
                  <c:v>2.3275860467988577E-2</c:v>
                </c:pt>
                <c:pt idx="44">
                  <c:v>1.8922230521890251E-2</c:v>
                </c:pt>
                <c:pt idx="45">
                  <c:v>1.9232317750146583E-2</c:v>
                </c:pt>
                <c:pt idx="46">
                  <c:v>1.6702249634255949E-2</c:v>
                </c:pt>
                <c:pt idx="47">
                  <c:v>2.3060797675710037E-2</c:v>
                </c:pt>
                <c:pt idx="48">
                  <c:v>2.2327557189892946E-2</c:v>
                </c:pt>
                <c:pt idx="49">
                  <c:v>2.3541859597327089E-2</c:v>
                </c:pt>
                <c:pt idx="50">
                  <c:v>2.6174253080438085E-2</c:v>
                </c:pt>
                <c:pt idx="51">
                  <c:v>1.8385506339841748E-2</c:v>
                </c:pt>
                <c:pt idx="52">
                  <c:v>3.1633239849804554E-2</c:v>
                </c:pt>
                <c:pt idx="53">
                  <c:v>2.0123286827735079E-2</c:v>
                </c:pt>
                <c:pt idx="54">
                  <c:v>2.0683404423673942E-2</c:v>
                </c:pt>
                <c:pt idx="55">
                  <c:v>2.0546425875234836E-2</c:v>
                </c:pt>
                <c:pt idx="56">
                  <c:v>1.7485825007003509E-2</c:v>
                </c:pt>
                <c:pt idx="57">
                  <c:v>1.5866827408322376E-2</c:v>
                </c:pt>
                <c:pt idx="58">
                  <c:v>1.7330966473251809E-2</c:v>
                </c:pt>
                <c:pt idx="59">
                  <c:v>1.7026416312626573E-2</c:v>
                </c:pt>
                <c:pt idx="60">
                  <c:v>1.6898675523223064E-2</c:v>
                </c:pt>
                <c:pt idx="61">
                  <c:v>1.7026759588787004E-2</c:v>
                </c:pt>
                <c:pt idx="62">
                  <c:v>1.3068490026008812E-2</c:v>
                </c:pt>
                <c:pt idx="63">
                  <c:v>1.5462619982147182E-2</c:v>
                </c:pt>
                <c:pt idx="64">
                  <c:v>1.3080629330506244E-2</c:v>
                </c:pt>
                <c:pt idx="65">
                  <c:v>1.2345344985557238E-2</c:v>
                </c:pt>
                <c:pt idx="66">
                  <c:v>1.1937453964750889E-2</c:v>
                </c:pt>
                <c:pt idx="67">
                  <c:v>1.1491365162334155E-2</c:v>
                </c:pt>
                <c:pt idx="68">
                  <c:v>1.1622596573983505E-2</c:v>
                </c:pt>
                <c:pt idx="69">
                  <c:v>9.3293769795160207E-3</c:v>
                </c:pt>
                <c:pt idx="70">
                  <c:v>7.5077561223143739E-3</c:v>
                </c:pt>
                <c:pt idx="71">
                  <c:v>8.4983841153499252E-3</c:v>
                </c:pt>
                <c:pt idx="72">
                  <c:v>6.7855351250637706E-3</c:v>
                </c:pt>
                <c:pt idx="73">
                  <c:v>7.1425393884247046E-3</c:v>
                </c:pt>
                <c:pt idx="74">
                  <c:v>5.5943927227180808E-3</c:v>
                </c:pt>
                <c:pt idx="75">
                  <c:v>8.17064218336855E-3</c:v>
                </c:pt>
                <c:pt idx="76">
                  <c:v>6.4160444320016862E-3</c:v>
                </c:pt>
                <c:pt idx="77">
                  <c:v>4.3028255966521276E-3</c:v>
                </c:pt>
                <c:pt idx="78">
                  <c:v>2.9505253999422007E-3</c:v>
                </c:pt>
                <c:pt idx="79">
                  <c:v>3.2698205899857366E-3</c:v>
                </c:pt>
                <c:pt idx="80">
                  <c:v>2.6893514822676889E-3</c:v>
                </c:pt>
                <c:pt idx="81">
                  <c:v>1.6851054375955903E-3</c:v>
                </c:pt>
                <c:pt idx="82">
                  <c:v>1.5887229654172573E-3</c:v>
                </c:pt>
                <c:pt idx="83">
                  <c:v>7.4161830592230722E-4</c:v>
                </c:pt>
                <c:pt idx="84">
                  <c:v>2.4543474056372945E-3</c:v>
                </c:pt>
                <c:pt idx="85">
                  <c:v>1.2978004731844228E-3</c:v>
                </c:pt>
                <c:pt idx="86">
                  <c:v>9.8892572132435277E-4</c:v>
                </c:pt>
                <c:pt idx="87">
                  <c:v>1.9487740092722769E-3</c:v>
                </c:pt>
                <c:pt idx="88">
                  <c:v>1.6838376287964891E-3</c:v>
                </c:pt>
                <c:pt idx="89">
                  <c:v>3.3302778558636868E-3</c:v>
                </c:pt>
                <c:pt idx="90">
                  <c:v>2.4494246101756482E-3</c:v>
                </c:pt>
                <c:pt idx="91">
                  <c:v>2.958969684690122E-3</c:v>
                </c:pt>
                <c:pt idx="92">
                  <c:v>2.7732190661645378E-3</c:v>
                </c:pt>
                <c:pt idx="93">
                  <c:v>4.8927103154731873E-3</c:v>
                </c:pt>
                <c:pt idx="94">
                  <c:v>4.4012400525397441E-3</c:v>
                </c:pt>
                <c:pt idx="95">
                  <c:v>5.8635399387065327E-3</c:v>
                </c:pt>
                <c:pt idx="96">
                  <c:v>5.9930723884611117E-3</c:v>
                </c:pt>
                <c:pt idx="97">
                  <c:v>7.22589670352238E-3</c:v>
                </c:pt>
                <c:pt idx="98">
                  <c:v>8.3449007558346125E-3</c:v>
                </c:pt>
                <c:pt idx="99">
                  <c:v>7.8360450837125298E-3</c:v>
                </c:pt>
                <c:pt idx="100">
                  <c:v>9.8830235148278985E-3</c:v>
                </c:pt>
                <c:pt idx="101">
                  <c:v>1.038910094168153E-2</c:v>
                </c:pt>
                <c:pt idx="102">
                  <c:v>1.0016022062454225E-2</c:v>
                </c:pt>
                <c:pt idx="103">
                  <c:v>1.0785182552247625E-2</c:v>
                </c:pt>
                <c:pt idx="104">
                  <c:v>1.0779453809408323E-2</c:v>
                </c:pt>
                <c:pt idx="105">
                  <c:v>1.2750972446870599E-2</c:v>
                </c:pt>
                <c:pt idx="106">
                  <c:v>1.1487963326823471E-2</c:v>
                </c:pt>
                <c:pt idx="107">
                  <c:v>1.3317280375473105E-2</c:v>
                </c:pt>
                <c:pt idx="108">
                  <c:v>1.1682440470169997E-2</c:v>
                </c:pt>
                <c:pt idx="109">
                  <c:v>1.3860081540378773E-2</c:v>
                </c:pt>
                <c:pt idx="110">
                  <c:v>1.4153726172176884E-2</c:v>
                </c:pt>
                <c:pt idx="111">
                  <c:v>1.3432918196397173E-2</c:v>
                </c:pt>
                <c:pt idx="112">
                  <c:v>1.5644502454298569E-2</c:v>
                </c:pt>
                <c:pt idx="113">
                  <c:v>1.1180234465607983E-2</c:v>
                </c:pt>
                <c:pt idx="114">
                  <c:v>1.2582890183524428E-2</c:v>
                </c:pt>
                <c:pt idx="115">
                  <c:v>1.0176501539848124E-2</c:v>
                </c:pt>
                <c:pt idx="116">
                  <c:v>1.1242871935074556E-2</c:v>
                </c:pt>
                <c:pt idx="117">
                  <c:v>1.1115649809106627E-2</c:v>
                </c:pt>
                <c:pt idx="118">
                  <c:v>1.0679256602875695E-2</c:v>
                </c:pt>
                <c:pt idx="119">
                  <c:v>9.571660907336842E-3</c:v>
                </c:pt>
                <c:pt idx="120">
                  <c:v>8.4182791368815207E-3</c:v>
                </c:pt>
                <c:pt idx="121">
                  <c:v>8.6456769285152973E-3</c:v>
                </c:pt>
                <c:pt idx="122">
                  <c:v>8.1300302189212786E-3</c:v>
                </c:pt>
                <c:pt idx="123">
                  <c:v>7.056523702852791E-3</c:v>
                </c:pt>
                <c:pt idx="124">
                  <c:v>6.6247590200022664E-3</c:v>
                </c:pt>
                <c:pt idx="125">
                  <c:v>5.4962128251140737E-3</c:v>
                </c:pt>
                <c:pt idx="126">
                  <c:v>4.7392154734376109E-3</c:v>
                </c:pt>
                <c:pt idx="127">
                  <c:v>4.3076395978499365E-3</c:v>
                </c:pt>
                <c:pt idx="128">
                  <c:v>3.9738635204934611E-3</c:v>
                </c:pt>
                <c:pt idx="129">
                  <c:v>3.0014633387406564E-3</c:v>
                </c:pt>
                <c:pt idx="130">
                  <c:v>2.4311271799382027E-3</c:v>
                </c:pt>
                <c:pt idx="131">
                  <c:v>2.0252838854509249E-3</c:v>
                </c:pt>
                <c:pt idx="132">
                  <c:v>1.6099215557334196E-3</c:v>
                </c:pt>
                <c:pt idx="133">
                  <c:v>1.4663773432301262E-3</c:v>
                </c:pt>
                <c:pt idx="134">
                  <c:v>1.2457014445335199E-3</c:v>
                </c:pt>
                <c:pt idx="135">
                  <c:v>9.8443546012587477E-4</c:v>
                </c:pt>
                <c:pt idx="136">
                  <c:v>7.3239627814489249E-4</c:v>
                </c:pt>
                <c:pt idx="137">
                  <c:v>5.959459418894131E-4</c:v>
                </c:pt>
                <c:pt idx="138">
                  <c:v>3.9622948452600266E-4</c:v>
                </c:pt>
                <c:pt idx="139">
                  <c:v>3.1448855267188322E-4</c:v>
                </c:pt>
                <c:pt idx="140">
                  <c:v>3.7554957522429401E-4</c:v>
                </c:pt>
                <c:pt idx="141">
                  <c:v>3.6964248220884815E-4</c:v>
                </c:pt>
                <c:pt idx="142">
                  <c:v>3.1732122693254173E-4</c:v>
                </c:pt>
                <c:pt idx="143">
                  <c:v>3.6565244359667122E-4</c:v>
                </c:pt>
                <c:pt idx="144">
                  <c:v>3.0686609968798019E-4</c:v>
                </c:pt>
                <c:pt idx="145">
                  <c:v>2.6141076319187434E-4</c:v>
                </c:pt>
                <c:pt idx="146">
                  <c:v>3.7374340585080999E-4</c:v>
                </c:pt>
                <c:pt idx="147">
                  <c:v>4.1272400716617987E-4</c:v>
                </c:pt>
                <c:pt idx="148">
                  <c:v>3.9674930295082378E-4</c:v>
                </c:pt>
                <c:pt idx="149">
                  <c:v>3.8319884292345924E-4</c:v>
                </c:pt>
                <c:pt idx="150">
                  <c:v>4.4883442413506995E-4</c:v>
                </c:pt>
                <c:pt idx="151">
                  <c:v>5.1388112077231771E-4</c:v>
                </c:pt>
                <c:pt idx="152">
                  <c:v>4.7721008417066468E-4</c:v>
                </c:pt>
                <c:pt idx="153">
                  <c:v>4.6947671863480458E-4</c:v>
                </c:pt>
                <c:pt idx="154">
                  <c:v>3.9101599045468212E-4</c:v>
                </c:pt>
                <c:pt idx="155">
                  <c:v>4.2537562980111314E-4</c:v>
                </c:pt>
                <c:pt idx="156">
                  <c:v>4.069632139504049E-4</c:v>
                </c:pt>
                <c:pt idx="157">
                  <c:v>3.7026733186048763E-4</c:v>
                </c:pt>
                <c:pt idx="158">
                  <c:v>2.6602329105554034E-4</c:v>
                </c:pt>
                <c:pt idx="159">
                  <c:v>3.2309446708807309E-4</c:v>
                </c:pt>
                <c:pt idx="160">
                  <c:v>2.6880911255692554E-4</c:v>
                </c:pt>
                <c:pt idx="161">
                  <c:v>1.5602464001023396E-4</c:v>
                </c:pt>
                <c:pt idx="162">
                  <c:v>2.7328961779758991E-4</c:v>
                </c:pt>
                <c:pt idx="163">
                  <c:v>2.9575074956998747E-4</c:v>
                </c:pt>
                <c:pt idx="164">
                  <c:v>2.4293543431119536E-4</c:v>
                </c:pt>
                <c:pt idx="165">
                  <c:v>1.7811772056161332E-4</c:v>
                </c:pt>
                <c:pt idx="166">
                  <c:v>2.2102212813567018E-4</c:v>
                </c:pt>
                <c:pt idx="167">
                  <c:v>2.5757006127970379E-4</c:v>
                </c:pt>
                <c:pt idx="168">
                  <c:v>1.3423512477437919E-4</c:v>
                </c:pt>
                <c:pt idx="169">
                  <c:v>1.8666316624802657E-4</c:v>
                </c:pt>
                <c:pt idx="170">
                  <c:v>2.6820912451427318E-4</c:v>
                </c:pt>
                <c:pt idx="171">
                  <c:v>2.1708397790452133E-4</c:v>
                </c:pt>
                <c:pt idx="172">
                  <c:v>2.83755449206304E-4</c:v>
                </c:pt>
                <c:pt idx="173">
                  <c:v>2.4628180034927914E-4</c:v>
                </c:pt>
                <c:pt idx="174">
                  <c:v>1.2600066726211012E-4</c:v>
                </c:pt>
                <c:pt idx="175">
                  <c:v>1.8496820646136049E-4</c:v>
                </c:pt>
                <c:pt idx="176">
                  <c:v>1.248449962927243E-4</c:v>
                </c:pt>
                <c:pt idx="177">
                  <c:v>1.564184627938744E-4</c:v>
                </c:pt>
                <c:pt idx="178">
                  <c:v>1.5540949404297541E-4</c:v>
                </c:pt>
                <c:pt idx="179">
                  <c:v>2.6327482974072521E-4</c:v>
                </c:pt>
                <c:pt idx="180">
                  <c:v>2.8875044412851516E-4</c:v>
                </c:pt>
                <c:pt idx="181">
                  <c:v>1.8763696550144518E-4</c:v>
                </c:pt>
                <c:pt idx="182">
                  <c:v>2.3792179362000217E-4</c:v>
                </c:pt>
                <c:pt idx="183">
                  <c:v>2.1407730388085799E-4</c:v>
                </c:pt>
                <c:pt idx="184">
                  <c:v>1.9340908665219149E-4</c:v>
                </c:pt>
                <c:pt idx="185">
                  <c:v>2.7617935425868569E-4</c:v>
                </c:pt>
                <c:pt idx="186">
                  <c:v>2.6400845602331626E-4</c:v>
                </c:pt>
                <c:pt idx="187">
                  <c:v>2.7666095932933214E-4</c:v>
                </c:pt>
                <c:pt idx="188">
                  <c:v>2.8195822880315699E-4</c:v>
                </c:pt>
                <c:pt idx="189">
                  <c:v>2.9911764325386961E-4</c:v>
                </c:pt>
                <c:pt idx="190">
                  <c:v>3.1158880440789957E-4</c:v>
                </c:pt>
                <c:pt idx="191">
                  <c:v>3.3321994005114239E-4</c:v>
                </c:pt>
                <c:pt idx="192">
                  <c:v>2.9285789784929691E-4</c:v>
                </c:pt>
                <c:pt idx="193">
                  <c:v>2.9999033986283376E-4</c:v>
                </c:pt>
                <c:pt idx="194">
                  <c:v>2.3586071426272306E-4</c:v>
                </c:pt>
                <c:pt idx="195">
                  <c:v>2.4739688216750196E-4</c:v>
                </c:pt>
                <c:pt idx="196">
                  <c:v>2.1063619192692072E-4</c:v>
                </c:pt>
                <c:pt idx="197">
                  <c:v>1.8202557877982817E-4</c:v>
                </c:pt>
                <c:pt idx="198">
                  <c:v>1.0592445148238156E-4</c:v>
                </c:pt>
                <c:pt idx="199">
                  <c:v>1.3429559131796057E-4</c:v>
                </c:pt>
                <c:pt idx="200">
                  <c:v>9.9881624698154508E-5</c:v>
                </c:pt>
                <c:pt idx="201">
                  <c:v>6.7912819662446257E-5</c:v>
                </c:pt>
                <c:pt idx="202">
                  <c:v>7.5505068334946022E-5</c:v>
                </c:pt>
                <c:pt idx="203">
                  <c:v>4.8487114949923046E-5</c:v>
                </c:pt>
                <c:pt idx="204">
                  <c:v>4.1120013257771921E-5</c:v>
                </c:pt>
                <c:pt idx="205">
                  <c:v>5.2689428163604469E-5</c:v>
                </c:pt>
                <c:pt idx="206">
                  <c:v>5.0929834318241847E-5</c:v>
                </c:pt>
                <c:pt idx="207">
                  <c:v>6.0403781219452224E-5</c:v>
                </c:pt>
                <c:pt idx="208">
                  <c:v>4.4140386214358991E-5</c:v>
                </c:pt>
                <c:pt idx="209">
                  <c:v>5.147779254228091E-5</c:v>
                </c:pt>
                <c:pt idx="210">
                  <c:v>5.938411253471428E-5</c:v>
                </c:pt>
                <c:pt idx="211">
                  <c:v>5.7507235050009035E-5</c:v>
                </c:pt>
                <c:pt idx="212">
                  <c:v>4.4859469524227981E-5</c:v>
                </c:pt>
                <c:pt idx="213">
                  <c:v>4.6436449051412239E-5</c:v>
                </c:pt>
                <c:pt idx="214">
                  <c:v>3.7924518134250916E-5</c:v>
                </c:pt>
                <c:pt idx="215">
                  <c:v>4.1314653115939238E-5</c:v>
                </c:pt>
                <c:pt idx="216">
                  <c:v>1.3300134225157754E-5</c:v>
                </c:pt>
                <c:pt idx="217">
                  <c:v>2.6362793994301116E-5</c:v>
                </c:pt>
                <c:pt idx="218">
                  <c:v>2.3259362757290066E-5</c:v>
                </c:pt>
                <c:pt idx="219">
                  <c:v>3.0646549627405008E-5</c:v>
                </c:pt>
                <c:pt idx="220">
                  <c:v>2.3015576396011364E-5</c:v>
                </c:pt>
                <c:pt idx="221">
                  <c:v>3.7568834727575069E-5</c:v>
                </c:pt>
                <c:pt idx="222">
                  <c:v>3.1738805514209784E-5</c:v>
                </c:pt>
                <c:pt idx="223">
                  <c:v>3.2019774006794387E-5</c:v>
                </c:pt>
                <c:pt idx="224">
                  <c:v>2.4416907698293514E-5</c:v>
                </c:pt>
                <c:pt idx="225">
                  <c:v>2.4013891778717297E-5</c:v>
                </c:pt>
                <c:pt idx="226">
                  <c:v>3.2271360124457954E-5</c:v>
                </c:pt>
                <c:pt idx="227">
                  <c:v>3.6549272946847028E-5</c:v>
                </c:pt>
                <c:pt idx="228">
                  <c:v>3.573382042435911E-5</c:v>
                </c:pt>
                <c:pt idx="229">
                  <c:v>3.0408991164997117E-5</c:v>
                </c:pt>
                <c:pt idx="230">
                  <c:v>3.2472695202475235E-5</c:v>
                </c:pt>
                <c:pt idx="231">
                  <c:v>4.0927672403293353E-5</c:v>
                </c:pt>
                <c:pt idx="232">
                  <c:v>3.462622075748505E-5</c:v>
                </c:pt>
                <c:pt idx="233">
                  <c:v>1.9955359090272967E-5</c:v>
                </c:pt>
                <c:pt idx="234">
                  <c:v>2.7698637874407254E-5</c:v>
                </c:pt>
                <c:pt idx="235">
                  <c:v>4.8289348704583354E-5</c:v>
                </c:pt>
                <c:pt idx="236">
                  <c:v>4.4604772770486973E-5</c:v>
                </c:pt>
                <c:pt idx="237">
                  <c:v>2.6933494845232043E-5</c:v>
                </c:pt>
                <c:pt idx="238">
                  <c:v>3.7944361527751144E-5</c:v>
                </c:pt>
                <c:pt idx="239">
                  <c:v>3.1082478285333876E-5</c:v>
                </c:pt>
                <c:pt idx="240">
                  <c:v>1.8387869908469279E-5</c:v>
                </c:pt>
                <c:pt idx="241">
                  <c:v>3.0236591073205802E-5</c:v>
                </c:pt>
                <c:pt idx="242">
                  <c:v>3.3546040041765809E-5</c:v>
                </c:pt>
                <c:pt idx="243">
                  <c:v>1.9343595592159184E-5</c:v>
                </c:pt>
                <c:pt idx="244">
                  <c:v>2.2993582769456741E-5</c:v>
                </c:pt>
                <c:pt idx="245">
                  <c:v>1.833665240437905E-5</c:v>
                </c:pt>
                <c:pt idx="246">
                  <c:v>2.4947762270716922E-5</c:v>
                </c:pt>
                <c:pt idx="247">
                  <c:v>1.9457026880258026E-5</c:v>
                </c:pt>
                <c:pt idx="248">
                  <c:v>2.7453811199218939E-5</c:v>
                </c:pt>
                <c:pt idx="249">
                  <c:v>2.0778987219510604E-5</c:v>
                </c:pt>
                <c:pt idx="250">
                  <c:v>1.853017497296388E-5</c:v>
                </c:pt>
                <c:pt idx="251">
                  <c:v>2.4492730356343209E-5</c:v>
                </c:pt>
                <c:pt idx="252">
                  <c:v>1.2452624940221983E-5</c:v>
                </c:pt>
                <c:pt idx="253">
                  <c:v>1.7892031047209709E-5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8.1825E-03</c:v>
                </c:pt>
                <c:pt idx="1">
                  <c:v>8.2643E-03</c:v>
                </c:pt>
                <c:pt idx="2">
                  <c:v>8.3469E-03</c:v>
                </c:pt>
                <c:pt idx="3">
                  <c:v>8.4304E-03</c:v>
                </c:pt>
                <c:pt idx="4">
                  <c:v>8.5147E-03</c:v>
                </c:pt>
                <c:pt idx="5">
                  <c:v>8.5998E-03</c:v>
                </c:pt>
                <c:pt idx="6">
                  <c:v>8.6858E-03</c:v>
                </c:pt>
                <c:pt idx="7">
                  <c:v>8.7727E-03</c:v>
                </c:pt>
                <c:pt idx="8">
                  <c:v>8.8604E-03</c:v>
                </c:pt>
                <c:pt idx="9">
                  <c:v>8.9490E-03</c:v>
                </c:pt>
                <c:pt idx="10">
                  <c:v>9.0385E-03</c:v>
                </c:pt>
                <c:pt idx="11">
                  <c:v>9.1289E-03</c:v>
                </c:pt>
                <c:pt idx="12">
                  <c:v>9.2202E-03</c:v>
                </c:pt>
                <c:pt idx="13">
                  <c:v>9.3124E-03</c:v>
                </c:pt>
                <c:pt idx="14">
                  <c:v>9.4055E-03</c:v>
                </c:pt>
                <c:pt idx="15">
                  <c:v>9.4996E-03</c:v>
                </c:pt>
                <c:pt idx="16">
                  <c:v>9.5946E-03</c:v>
                </c:pt>
                <c:pt idx="17">
                  <c:v>9.6905E-03</c:v>
                </c:pt>
                <c:pt idx="18">
                  <c:v>9.7874E-03</c:v>
                </c:pt>
                <c:pt idx="19">
                  <c:v>9.8853E-03</c:v>
                </c:pt>
                <c:pt idx="20">
                  <c:v>9.9841E-03</c:v>
                </c:pt>
                <c:pt idx="21">
                  <c:v>1.0084E-02</c:v>
                </c:pt>
                <c:pt idx="22">
                  <c:v>1.0185E-02</c:v>
                </c:pt>
                <c:pt idx="23">
                  <c:v>1.0287E-02</c:v>
                </c:pt>
                <c:pt idx="24">
                  <c:v>1.0390E-02</c:v>
                </c:pt>
                <c:pt idx="25">
                  <c:v>1.0493E-02</c:v>
                </c:pt>
                <c:pt idx="26">
                  <c:v>1.0598E-02</c:v>
                </c:pt>
                <c:pt idx="27">
                  <c:v>1.0704E-02</c:v>
                </c:pt>
                <c:pt idx="28">
                  <c:v>1.0811E-02</c:v>
                </c:pt>
                <c:pt idx="29">
                  <c:v>1.0920E-02</c:v>
                </c:pt>
                <c:pt idx="30">
                  <c:v>1.1029E-02</c:v>
                </c:pt>
                <c:pt idx="31">
                  <c:v>1.1139E-02</c:v>
                </c:pt>
                <c:pt idx="32">
                  <c:v>1.1250E-02</c:v>
                </c:pt>
                <c:pt idx="33">
                  <c:v>1.1363E-02</c:v>
                </c:pt>
                <c:pt idx="34">
                  <c:v>1.1477E-02</c:v>
                </c:pt>
                <c:pt idx="35">
                  <c:v>1.1591E-02</c:v>
                </c:pt>
                <c:pt idx="36">
                  <c:v>1.1707E-02</c:v>
                </c:pt>
                <c:pt idx="37">
                  <c:v>1.1824E-02</c:v>
                </c:pt>
                <c:pt idx="38">
                  <c:v>1.1943E-02</c:v>
                </c:pt>
                <c:pt idx="39">
                  <c:v>1.2062E-02</c:v>
                </c:pt>
                <c:pt idx="40">
                  <c:v>1.2183E-02</c:v>
                </c:pt>
                <c:pt idx="41">
                  <c:v>1.2304E-02</c:v>
                </c:pt>
                <c:pt idx="42">
                  <c:v>1.2427E-02</c:v>
                </c:pt>
                <c:pt idx="43">
                  <c:v>1.2552E-02</c:v>
                </c:pt>
                <c:pt idx="44">
                  <c:v>1.2677E-02</c:v>
                </c:pt>
                <c:pt idx="45">
                  <c:v>1.2804E-02</c:v>
                </c:pt>
                <c:pt idx="46">
                  <c:v>1.2932E-02</c:v>
                </c:pt>
                <c:pt idx="47">
                  <c:v>1.3061E-02</c:v>
                </c:pt>
                <c:pt idx="48">
                  <c:v>1.3192E-02</c:v>
                </c:pt>
                <c:pt idx="49">
                  <c:v>1.3324E-02</c:v>
                </c:pt>
                <c:pt idx="50">
                  <c:v>1.3457E-02</c:v>
                </c:pt>
                <c:pt idx="51">
                  <c:v>1.3592E-02</c:v>
                </c:pt>
                <c:pt idx="52">
                  <c:v>1.3728E-02</c:v>
                </c:pt>
                <c:pt idx="53">
                  <c:v>1.3865E-02</c:v>
                </c:pt>
                <c:pt idx="54">
                  <c:v>1.4004E-02</c:v>
                </c:pt>
                <c:pt idx="55">
                  <c:v>1.4144E-02</c:v>
                </c:pt>
                <c:pt idx="56">
                  <c:v>1.4285E-02</c:v>
                </c:pt>
                <c:pt idx="57">
                  <c:v>1.4428E-02</c:v>
                </c:pt>
                <c:pt idx="58">
                  <c:v>1.4572E-02</c:v>
                </c:pt>
                <c:pt idx="59">
                  <c:v>1.4718E-02</c:v>
                </c:pt>
                <c:pt idx="60">
                  <c:v>1.4865E-02</c:v>
                </c:pt>
                <c:pt idx="61">
                  <c:v>1.5014E-02</c:v>
                </c:pt>
                <c:pt idx="62">
                  <c:v>1.5164E-02</c:v>
                </c:pt>
                <c:pt idx="63">
                  <c:v>1.5315E-02</c:v>
                </c:pt>
                <c:pt idx="64">
                  <c:v>1.5469E-02</c:v>
                </c:pt>
                <c:pt idx="65">
                  <c:v>1.5623E-02</c:v>
                </c:pt>
                <c:pt idx="66">
                  <c:v>1.5780E-02</c:v>
                </c:pt>
                <c:pt idx="67">
                  <c:v>1.5937E-02</c:v>
                </c:pt>
                <c:pt idx="68">
                  <c:v>1.6097E-02</c:v>
                </c:pt>
                <c:pt idx="69">
                  <c:v>1.6258E-02</c:v>
                </c:pt>
                <c:pt idx="70">
                  <c:v>1.6420E-02</c:v>
                </c:pt>
                <c:pt idx="71">
                  <c:v>1.6584E-02</c:v>
                </c:pt>
                <c:pt idx="72">
                  <c:v>1.6750E-02</c:v>
                </c:pt>
                <c:pt idx="73">
                  <c:v>1.6918E-02</c:v>
                </c:pt>
                <c:pt idx="74">
                  <c:v>1.7087E-02</c:v>
                </c:pt>
                <c:pt idx="75">
                  <c:v>1.7258E-02</c:v>
                </c:pt>
                <c:pt idx="76">
                  <c:v>1.7430E-02</c:v>
                </c:pt>
                <c:pt idx="77">
                  <c:v>1.7605E-02</c:v>
                </c:pt>
                <c:pt idx="78">
                  <c:v>1.7781E-02</c:v>
                </c:pt>
                <c:pt idx="79">
                  <c:v>1.7959E-02</c:v>
                </c:pt>
                <c:pt idx="80">
                  <c:v>1.8138E-02</c:v>
                </c:pt>
                <c:pt idx="81">
                  <c:v>1.8320E-02</c:v>
                </c:pt>
                <c:pt idx="82">
                  <c:v>1.8503E-02</c:v>
                </c:pt>
                <c:pt idx="83">
                  <c:v>1.8688E-02</c:v>
                </c:pt>
                <c:pt idx="84">
                  <c:v>1.8875E-02</c:v>
                </c:pt>
                <c:pt idx="85">
                  <c:v>1.9063E-02</c:v>
                </c:pt>
                <c:pt idx="86">
                  <c:v>1.9254E-02</c:v>
                </c:pt>
                <c:pt idx="87">
                  <c:v>1.9837E-02</c:v>
                </c:pt>
                <c:pt idx="88">
                  <c:v>2.0036E-02</c:v>
                </c:pt>
                <c:pt idx="89">
                  <c:v>2.0236E-02</c:v>
                </c:pt>
                <c:pt idx="90">
                  <c:v>2.0439E-02</c:v>
                </c:pt>
                <c:pt idx="91">
                  <c:v>2.0643E-02</c:v>
                </c:pt>
                <c:pt idx="92">
                  <c:v>2.0849E-02</c:v>
                </c:pt>
                <c:pt idx="93">
                  <c:v>2.1058E-02</c:v>
                </c:pt>
                <c:pt idx="94">
                  <c:v>2.1268E-02</c:v>
                </c:pt>
                <c:pt idx="95">
                  <c:v>2.1481E-02</c:v>
                </c:pt>
                <c:pt idx="96">
                  <c:v>2.1696E-02</c:v>
                </c:pt>
                <c:pt idx="97">
                  <c:v>2.1913E-02</c:v>
                </c:pt>
                <c:pt idx="98">
                  <c:v>2.2132E-02</c:v>
                </c:pt>
                <c:pt idx="99">
                  <c:v>2.2353E-02</c:v>
                </c:pt>
                <c:pt idx="100">
                  <c:v>2.2577E-02</c:v>
                </c:pt>
                <c:pt idx="101">
                  <c:v>2.2803E-02</c:v>
                </c:pt>
                <c:pt idx="102">
                  <c:v>2.3031E-02</c:v>
                </c:pt>
                <c:pt idx="103">
                  <c:v>2.3261E-02</c:v>
                </c:pt>
                <c:pt idx="104">
                  <c:v>2.3494E-02</c:v>
                </c:pt>
                <c:pt idx="105">
                  <c:v>2.3729E-02</c:v>
                </c:pt>
                <c:pt idx="106">
                  <c:v>2.3966E-02</c:v>
                </c:pt>
                <c:pt idx="107">
                  <c:v>2.4205E-02</c:v>
                </c:pt>
                <c:pt idx="108">
                  <c:v>2.4448E-02</c:v>
                </c:pt>
                <c:pt idx="109">
                  <c:v>2.4692E-02</c:v>
                </c:pt>
                <c:pt idx="110">
                  <c:v>2.4939E-02</c:v>
                </c:pt>
                <c:pt idx="111">
                  <c:v>2.5188E-02</c:v>
                </c:pt>
                <c:pt idx="112">
                  <c:v>2.5440E-02</c:v>
                </c:pt>
                <c:pt idx="113">
                  <c:v>2.5695E-02</c:v>
                </c:pt>
                <c:pt idx="114">
                  <c:v>2.5952E-02</c:v>
                </c:pt>
                <c:pt idx="115">
                  <c:v>2.6211E-02</c:v>
                </c:pt>
                <c:pt idx="116">
                  <c:v>2.6473E-02</c:v>
                </c:pt>
                <c:pt idx="117">
                  <c:v>2.6738E-02</c:v>
                </c:pt>
                <c:pt idx="118">
                  <c:v>2.7005E-02</c:v>
                </c:pt>
                <c:pt idx="119">
                  <c:v>2.7275E-02</c:v>
                </c:pt>
                <c:pt idx="120">
                  <c:v>2.7548E-02</c:v>
                </c:pt>
                <c:pt idx="121">
                  <c:v>2.7824E-02</c:v>
                </c:pt>
                <c:pt idx="122">
                  <c:v>2.8102E-02</c:v>
                </c:pt>
                <c:pt idx="123">
                  <c:v>2.8383E-02</c:v>
                </c:pt>
                <c:pt idx="124">
                  <c:v>2.8667E-02</c:v>
                </c:pt>
                <c:pt idx="125">
                  <c:v>2.8953E-02</c:v>
                </c:pt>
                <c:pt idx="126">
                  <c:v>2.9243E-02</c:v>
                </c:pt>
                <c:pt idx="127">
                  <c:v>2.9535E-02</c:v>
                </c:pt>
                <c:pt idx="128">
                  <c:v>2.9831E-02</c:v>
                </c:pt>
                <c:pt idx="129">
                  <c:v>3.0129E-02</c:v>
                </c:pt>
                <c:pt idx="130">
                  <c:v>3.0430E-02</c:v>
                </c:pt>
                <c:pt idx="131">
                  <c:v>3.0734E-02</c:v>
                </c:pt>
                <c:pt idx="132">
                  <c:v>3.1042E-02</c:v>
                </c:pt>
                <c:pt idx="133">
                  <c:v>3.1352E-02</c:v>
                </c:pt>
                <c:pt idx="134">
                  <c:v>3.1666E-02</c:v>
                </c:pt>
                <c:pt idx="135">
                  <c:v>3.1982E-02</c:v>
                </c:pt>
                <c:pt idx="136">
                  <c:v>3.2302E-02</c:v>
                </c:pt>
                <c:pt idx="137">
                  <c:v>3.2625E-02</c:v>
                </c:pt>
                <c:pt idx="138">
                  <c:v>3.2952E-02</c:v>
                </c:pt>
                <c:pt idx="139">
                  <c:v>3.3281E-02</c:v>
                </c:pt>
                <c:pt idx="140">
                  <c:v>3.3614E-02</c:v>
                </c:pt>
                <c:pt idx="141">
                  <c:v>3.3950E-02</c:v>
                </c:pt>
                <c:pt idx="142">
                  <c:v>3.4290E-02</c:v>
                </c:pt>
                <c:pt idx="143">
                  <c:v>3.4632E-02</c:v>
                </c:pt>
                <c:pt idx="144">
                  <c:v>3.4979E-02</c:v>
                </c:pt>
                <c:pt idx="145">
                  <c:v>3.5329E-02</c:v>
                </c:pt>
                <c:pt idx="146">
                  <c:v>3.5682E-02</c:v>
                </c:pt>
                <c:pt idx="147">
                  <c:v>3.6039E-02</c:v>
                </c:pt>
                <c:pt idx="148">
                  <c:v>3.6399E-02</c:v>
                </c:pt>
                <c:pt idx="149">
                  <c:v>3.6763E-02</c:v>
                </c:pt>
                <c:pt idx="150">
                  <c:v>3.7131E-02</c:v>
                </c:pt>
                <c:pt idx="151">
                  <c:v>3.7502E-02</c:v>
                </c:pt>
                <c:pt idx="152">
                  <c:v>3.7877E-02</c:v>
                </c:pt>
                <c:pt idx="153">
                  <c:v>3.8256E-02</c:v>
                </c:pt>
                <c:pt idx="154">
                  <c:v>3.8638E-02</c:v>
                </c:pt>
                <c:pt idx="155">
                  <c:v>3.9025E-02</c:v>
                </c:pt>
                <c:pt idx="156">
                  <c:v>3.9415E-02</c:v>
                </c:pt>
                <c:pt idx="157">
                  <c:v>3.9809E-02</c:v>
                </c:pt>
                <c:pt idx="158">
                  <c:v>4.0207E-02</c:v>
                </c:pt>
                <c:pt idx="159">
                  <c:v>4.0609E-02</c:v>
                </c:pt>
                <c:pt idx="160">
                  <c:v>4.1015E-02</c:v>
                </c:pt>
                <c:pt idx="161">
                  <c:v>4.1425E-02</c:v>
                </c:pt>
                <c:pt idx="162">
                  <c:v>4.1840E-02</c:v>
                </c:pt>
                <c:pt idx="163">
                  <c:v>4.2258E-02</c:v>
                </c:pt>
                <c:pt idx="164">
                  <c:v>4.2681E-02</c:v>
                </c:pt>
                <c:pt idx="165">
                  <c:v>4.3107E-02</c:v>
                </c:pt>
                <c:pt idx="166">
                  <c:v>4.3539E-02</c:v>
                </c:pt>
                <c:pt idx="167">
                  <c:v>4.3974E-02</c:v>
                </c:pt>
                <c:pt idx="168">
                  <c:v>4.4414E-02</c:v>
                </c:pt>
                <c:pt idx="169">
                  <c:v>4.4858E-02</c:v>
                </c:pt>
                <c:pt idx="170">
                  <c:v>4.5306E-02</c:v>
                </c:pt>
                <c:pt idx="171">
                  <c:v>4.5759E-02</c:v>
                </c:pt>
                <c:pt idx="172">
                  <c:v>4.6217E-02</c:v>
                </c:pt>
                <c:pt idx="173">
                  <c:v>4.6679E-02</c:v>
                </c:pt>
                <c:pt idx="174">
                  <c:v>4.7146E-02</c:v>
                </c:pt>
                <c:pt idx="175">
                  <c:v>4.7617E-02</c:v>
                </c:pt>
                <c:pt idx="176">
                  <c:v>4.8094E-02</c:v>
                </c:pt>
                <c:pt idx="177">
                  <c:v>4.8575E-02</c:v>
                </c:pt>
                <c:pt idx="178">
                  <c:v>4.9060E-02</c:v>
                </c:pt>
                <c:pt idx="179">
                  <c:v>4.9551E-02</c:v>
                </c:pt>
                <c:pt idx="180">
                  <c:v>5.0046E-02</c:v>
                </c:pt>
                <c:pt idx="181">
                  <c:v>5.0547E-02</c:v>
                </c:pt>
                <c:pt idx="182">
                  <c:v>5.1052E-02</c:v>
                </c:pt>
                <c:pt idx="183">
                  <c:v>5.1563E-02</c:v>
                </c:pt>
                <c:pt idx="184">
                  <c:v>5.2079E-02</c:v>
                </c:pt>
                <c:pt idx="185">
                  <c:v>5.2599E-02</c:v>
                </c:pt>
                <c:pt idx="186">
                  <c:v>5.3125E-02</c:v>
                </c:pt>
                <c:pt idx="187">
                  <c:v>5.3657E-02</c:v>
                </c:pt>
                <c:pt idx="188">
                  <c:v>5.4193E-02</c:v>
                </c:pt>
                <c:pt idx="189">
                  <c:v>5.4735E-02</c:v>
                </c:pt>
                <c:pt idx="190">
                  <c:v>5.5282E-02</c:v>
                </c:pt>
                <c:pt idx="191">
                  <c:v>5.5835E-02</c:v>
                </c:pt>
                <c:pt idx="192">
                  <c:v>5.6394E-02</c:v>
                </c:pt>
                <c:pt idx="193">
                  <c:v>5.6958E-02</c:v>
                </c:pt>
                <c:pt idx="194">
                  <c:v>5.7527E-02</c:v>
                </c:pt>
                <c:pt idx="195">
                  <c:v>5.8102E-02</c:v>
                </c:pt>
                <c:pt idx="196">
                  <c:v>5.8683E-02</c:v>
                </c:pt>
                <c:pt idx="197">
                  <c:v>5.9270E-02</c:v>
                </c:pt>
                <c:pt idx="198">
                  <c:v>5.9863E-02</c:v>
                </c:pt>
                <c:pt idx="199">
                  <c:v>6.0462E-02</c:v>
                </c:pt>
                <c:pt idx="200">
                  <c:v>6.1066E-02</c:v>
                </c:pt>
                <c:pt idx="201">
                  <c:v>6.1677E-02</c:v>
                </c:pt>
                <c:pt idx="202">
                  <c:v>6.2294E-02</c:v>
                </c:pt>
                <c:pt idx="203">
                  <c:v>6.2917E-02</c:v>
                </c:pt>
                <c:pt idx="204">
                  <c:v>6.3546E-02</c:v>
                </c:pt>
                <c:pt idx="205">
                  <c:v>6.4181E-02</c:v>
                </c:pt>
                <c:pt idx="206">
                  <c:v>6.4823E-02</c:v>
                </c:pt>
                <c:pt idx="207">
                  <c:v>6.5471E-02</c:v>
                </c:pt>
                <c:pt idx="208">
                  <c:v>6.6126E-02</c:v>
                </c:pt>
                <c:pt idx="209">
                  <c:v>6.6787E-02</c:v>
                </c:pt>
                <c:pt idx="210">
                  <c:v>6.7455E-02</c:v>
                </c:pt>
                <c:pt idx="211">
                  <c:v>6.8130E-02</c:v>
                </c:pt>
                <c:pt idx="212">
                  <c:v>6.8811E-02</c:v>
                </c:pt>
                <c:pt idx="213">
                  <c:v>6.9499E-02</c:v>
                </c:pt>
                <c:pt idx="214">
                  <c:v>7.0194E-02</c:v>
                </c:pt>
                <c:pt idx="215">
                  <c:v>7.0896E-02</c:v>
                </c:pt>
                <c:pt idx="216">
                  <c:v>7.1605E-02</c:v>
                </c:pt>
                <c:pt idx="217">
                  <c:v>7.2321E-02</c:v>
                </c:pt>
                <c:pt idx="218">
                  <c:v>7.3044E-02</c:v>
                </c:pt>
                <c:pt idx="219">
                  <c:v>7.3775E-02</c:v>
                </c:pt>
                <c:pt idx="220">
                  <c:v>7.4512E-02</c:v>
                </c:pt>
                <c:pt idx="221">
                  <c:v>7.5257E-02</c:v>
                </c:pt>
                <c:pt idx="222">
                  <c:v>7.6010E-02</c:v>
                </c:pt>
                <c:pt idx="223">
                  <c:v>7.6770E-02</c:v>
                </c:pt>
                <c:pt idx="224">
                  <c:v>7.7538E-02</c:v>
                </c:pt>
                <c:pt idx="225">
                  <c:v>7.8313E-02</c:v>
                </c:pt>
                <c:pt idx="226">
                  <c:v>7.9096E-02</c:v>
                </c:pt>
                <c:pt idx="227">
                  <c:v>7.9887E-02</c:v>
                </c:pt>
                <c:pt idx="228">
                  <c:v>8.0686E-02</c:v>
                </c:pt>
                <c:pt idx="229">
                  <c:v>8.1493E-02</c:v>
                </c:pt>
                <c:pt idx="230">
                  <c:v>8.2308E-02</c:v>
                </c:pt>
                <c:pt idx="231">
                  <c:v>8.3131E-02</c:v>
                </c:pt>
                <c:pt idx="232">
                  <c:v>8.3962E-02</c:v>
                </c:pt>
                <c:pt idx="233">
                  <c:v>8.4802E-02</c:v>
                </c:pt>
                <c:pt idx="234">
                  <c:v>8.5650E-02</c:v>
                </c:pt>
                <c:pt idx="235">
                  <c:v>8.6507E-02</c:v>
                </c:pt>
                <c:pt idx="236">
                  <c:v>8.7372E-02</c:v>
                </c:pt>
                <c:pt idx="237">
                  <c:v>8.8245E-02</c:v>
                </c:pt>
                <c:pt idx="238">
                  <c:v>8.9128E-02</c:v>
                </c:pt>
                <c:pt idx="239">
                  <c:v>9.0019E-02</c:v>
                </c:pt>
                <c:pt idx="240">
                  <c:v>9.0919E-02</c:v>
                </c:pt>
                <c:pt idx="241">
                  <c:v>9.1828E-02</c:v>
                </c:pt>
                <c:pt idx="242">
                  <c:v>9.2747E-02</c:v>
                </c:pt>
                <c:pt idx="243">
                  <c:v>9.3674E-02</c:v>
                </c:pt>
                <c:pt idx="244">
                  <c:v>9.4611E-02</c:v>
                </c:pt>
                <c:pt idx="245">
                  <c:v>9.5557E-02</c:v>
                </c:pt>
                <c:pt idx="246">
                  <c:v>9.6513E-02</c:v>
                </c:pt>
                <c:pt idx="247">
                  <c:v>9.7478E-02</c:v>
                </c:pt>
                <c:pt idx="248">
                  <c:v>9.8453E-02</c:v>
                </c:pt>
                <c:pt idx="249">
                  <c:v>9.9437E-02</c:v>
                </c:pt>
                <c:pt idx="250">
                  <c:v>1.0043E-01</c:v>
                </c:pt>
                <c:pt idx="251">
                  <c:v>1.0144E-01</c:v>
                </c:pt>
                <c:pt idx="252">
                  <c:v>1.0347E-01</c:v>
                </c:pt>
                <c:pt idx="253">
                  <c:v>1.0451E-01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0.0000E+00</c:formatCode>
                <c:ptCount val="335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7.0194020548699998E-2</c:v>
                </c:pt>
                <c:pt idx="215">
                  <c:v>7.0895960754200002E-2</c:v>
                </c:pt>
                <c:pt idx="216">
                  <c:v>7.1604920361700006E-2</c:v>
                </c:pt>
                <c:pt idx="217">
                  <c:v>7.23209695653E-2</c:v>
                </c:pt>
                <c:pt idx="218">
                  <c:v>7.3044179261E-2</c:v>
                </c:pt>
                <c:pt idx="219">
                  <c:v>7.3774621053599998E-2</c:v>
                </c:pt>
                <c:pt idx="220">
                  <c:v>7.4512367264100002E-2</c:v>
                </c:pt>
                <c:pt idx="221">
                  <c:v>7.5257490936799995E-2</c:v>
                </c:pt>
                <c:pt idx="222">
                  <c:v>7.6010065846099997E-2</c:v>
                </c:pt>
                <c:pt idx="223">
                  <c:v>7.6770166504600001E-2</c:v>
                </c:pt>
                <c:pt idx="224">
                  <c:v>7.7537868169599997E-2</c:v>
                </c:pt>
                <c:pt idx="225">
                  <c:v>7.8313246851300006E-2</c:v>
                </c:pt>
                <c:pt idx="226">
                  <c:v>7.90963793198E-2</c:v>
                </c:pt>
                <c:pt idx="227">
                  <c:v>7.9887343112999998E-2</c:v>
                </c:pt>
                <c:pt idx="228">
                  <c:v>8.0686216544199996E-2</c:v>
                </c:pt>
                <c:pt idx="229">
                  <c:v>8.14930787096E-2</c:v>
                </c:pt>
                <c:pt idx="230">
                  <c:v>8.2308009496700002E-2</c:v>
                </c:pt>
                <c:pt idx="231">
                  <c:v>8.31310895917E-2</c:v>
                </c:pt>
                <c:pt idx="232">
                  <c:v>8.3962400487599995E-2</c:v>
                </c:pt>
                <c:pt idx="233">
                  <c:v>8.4802024492500003E-2</c:v>
                </c:pt>
                <c:pt idx="234">
                  <c:v>8.5650044737399997E-2</c:v>
                </c:pt>
                <c:pt idx="235">
                  <c:v>8.6506545184799999E-2</c:v>
                </c:pt>
                <c:pt idx="236">
                  <c:v>8.7371610636599997E-2</c:v>
                </c:pt>
                <c:pt idx="237">
                  <c:v>8.8245326742999994E-2</c:v>
                </c:pt>
                <c:pt idx="238">
                  <c:v>8.9127780010400004E-2</c:v>
                </c:pt>
                <c:pt idx="239">
                  <c:v>9.00190578105E-2</c:v>
                </c:pt>
                <c:pt idx="240">
                  <c:v>9.0919248388599994E-2</c:v>
                </c:pt>
                <c:pt idx="241">
                  <c:v>9.18284408725E-2</c:v>
                </c:pt>
                <c:pt idx="242">
                  <c:v>9.2746725281199996E-2</c:v>
                </c:pt>
                <c:pt idx="243">
                  <c:v>9.3674192534E-2</c:v>
                </c:pt>
                <c:pt idx="244">
                  <c:v>9.4610934459399998E-2</c:v>
                </c:pt>
                <c:pt idx="245">
                  <c:v>9.5557043804E-2</c:v>
                </c:pt>
                <c:pt idx="246">
                  <c:v>9.6512614242E-2</c:v>
                </c:pt>
                <c:pt idx="247">
                  <c:v>9.7477740384400005E-2</c:v>
                </c:pt>
                <c:pt idx="248">
                  <c:v>9.8452517788299998E-2</c:v>
                </c:pt>
                <c:pt idx="249">
                  <c:v>9.9437042966199998E-2</c:v>
                </c:pt>
                <c:pt idx="250">
                  <c:v>0.10043141339599999</c:v>
                </c:pt>
                <c:pt idx="251">
                  <c:v>0.10143572753000001</c:v>
                </c:pt>
                <c:pt idx="252">
                  <c:v>0.103474585653</c:v>
                </c:pt>
                <c:pt idx="253">
                  <c:v>0.10450933151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1.5234973103828242E-2</c:v>
                </c:pt>
                <c:pt idx="1">
                  <c:v>1.4147258060357014E-2</c:v>
                </c:pt>
                <c:pt idx="2">
                  <c:v>1.3140737170538475E-2</c:v>
                </c:pt>
                <c:pt idx="3">
                  <c:v>1.2214205046754602E-2</c:v>
                </c:pt>
                <c:pt idx="4">
                  <c:v>1.1367741702079269E-2</c:v>
                </c:pt>
                <c:pt idx="5">
                  <c:v>1.0602006509226419E-2</c:v>
                </c:pt>
                <c:pt idx="6">
                  <c:v>9.9173574825912741E-3</c:v>
                </c:pt>
                <c:pt idx="7">
                  <c:v>9.3135227384719636E-3</c:v>
                </c:pt>
                <c:pt idx="8">
                  <c:v>8.790035731032278E-3</c:v>
                </c:pt>
                <c:pt idx="9">
                  <c:v>8.3449865402102155E-3</c:v>
                </c:pt>
                <c:pt idx="10">
                  <c:v>7.9774424703814469E-3</c:v>
                </c:pt>
                <c:pt idx="11">
                  <c:v>7.6858045851575059E-3</c:v>
                </c:pt>
                <c:pt idx="12">
                  <c:v>7.4682656694129018E-3</c:v>
                </c:pt>
                <c:pt idx="13">
                  <c:v>7.3228091105522544E-3</c:v>
                </c:pt>
                <c:pt idx="14">
                  <c:v>7.2472087254579261E-3</c:v>
                </c:pt>
                <c:pt idx="15">
                  <c:v>7.2390295788251086E-3</c:v>
                </c:pt>
                <c:pt idx="16">
                  <c:v>7.2956298328553434E-3</c:v>
                </c:pt>
                <c:pt idx="17">
                  <c:v>7.4141636644901787E-3</c:v>
                </c:pt>
                <c:pt idx="18">
                  <c:v>7.5915852811645479E-3</c:v>
                </c:pt>
                <c:pt idx="19">
                  <c:v>7.8246540608791285E-3</c:v>
                </c:pt>
                <c:pt idx="20">
                  <c:v>8.1099408371085036E-3</c:v>
                </c:pt>
                <c:pt idx="21">
                  <c:v>8.4438353439070732E-3</c:v>
                </c:pt>
                <c:pt idx="22">
                  <c:v>8.8225548297767385E-3</c:v>
                </c:pt>
                <c:pt idx="23">
                  <c:v>9.2425791582739746E-3</c:v>
                </c:pt>
                <c:pt idx="24">
                  <c:v>9.6990003422456027E-3</c:v>
                </c:pt>
                <c:pt idx="25">
                  <c:v>1.0187956123167335E-2</c:v>
                </c:pt>
                <c:pt idx="26">
                  <c:v>1.0705084559739635E-2</c:v>
                </c:pt>
                <c:pt idx="27">
                  <c:v>1.1245911727238999E-2</c:v>
                </c:pt>
                <c:pt idx="28">
                  <c:v>1.1805867248907134E-2</c:v>
                </c:pt>
                <c:pt idx="29">
                  <c:v>1.2380300916643026E-2</c:v>
                </c:pt>
                <c:pt idx="30">
                  <c:v>1.296450037218674E-2</c:v>
                </c:pt>
                <c:pt idx="31">
                  <c:v>1.3553709809603624E-2</c:v>
                </c:pt>
                <c:pt idx="32">
                  <c:v>1.4143149663127462E-2</c:v>
                </c:pt>
                <c:pt idx="33">
                  <c:v>1.4728037235610624E-2</c:v>
                </c:pt>
                <c:pt idx="34">
                  <c:v>1.5303608223230371E-2</c:v>
                </c:pt>
                <c:pt idx="35">
                  <c:v>1.586513907659769E-2</c:v>
                </c:pt>
                <c:pt idx="36">
                  <c:v>1.6407970155126812E-2</c:v>
                </c:pt>
                <c:pt idx="37">
                  <c:v>1.6927529600880974E-2</c:v>
                </c:pt>
                <c:pt idx="38">
                  <c:v>1.7419357873528701E-2</c:v>
                </c:pt>
                <c:pt idx="39">
                  <c:v>1.7879132871714248E-2</c:v>
                </c:pt>
                <c:pt idx="40">
                  <c:v>1.830269555774932E-2</c:v>
                </c:pt>
                <c:pt idx="41">
                  <c:v>1.8686076002531506E-2</c:v>
                </c:pt>
                <c:pt idx="42">
                  <c:v>1.9025519749461435E-2</c:v>
                </c:pt>
                <c:pt idx="43">
                  <c:v>1.9317354400751191E-2</c:v>
                </c:pt>
                <c:pt idx="44">
                  <c:v>1.9558744369255442E-2</c:v>
                </c:pt>
                <c:pt idx="45">
                  <c:v>1.9746486851634576E-2</c:v>
                </c:pt>
                <c:pt idx="46">
                  <c:v>1.9877955004395223E-2</c:v>
                </c:pt>
                <c:pt idx="47">
                  <c:v>1.9950869861460312E-2</c:v>
                </c:pt>
                <c:pt idx="48">
                  <c:v>1.9963325819501908E-2</c:v>
                </c:pt>
                <c:pt idx="49">
                  <c:v>1.9913815350753278E-2</c:v>
                </c:pt>
                <c:pt idx="50">
                  <c:v>1.9801252704251739E-2</c:v>
                </c:pt>
                <c:pt idx="51">
                  <c:v>1.9624996332356537E-2</c:v>
                </c:pt>
                <c:pt idx="52">
                  <c:v>1.9384869753275434E-2</c:v>
                </c:pt>
                <c:pt idx="53">
                  <c:v>1.908118053211897E-2</c:v>
                </c:pt>
                <c:pt idx="54">
                  <c:v>1.8714737032954815E-2</c:v>
                </c:pt>
                <c:pt idx="55">
                  <c:v>1.8286862576913653E-2</c:v>
                </c:pt>
                <c:pt idx="56">
                  <c:v>1.7799406600273123E-2</c:v>
                </c:pt>
                <c:pt idx="57">
                  <c:v>1.7254752404946005E-2</c:v>
                </c:pt>
                <c:pt idx="58">
                  <c:v>1.665582105847737E-2</c:v>
                </c:pt>
                <c:pt idx="59">
                  <c:v>1.6005305953283942E-2</c:v>
                </c:pt>
                <c:pt idx="60">
                  <c:v>1.530868796186175E-2</c:v>
                </c:pt>
                <c:pt idx="61">
                  <c:v>1.4569764266273062E-2</c:v>
                </c:pt>
                <c:pt idx="62">
                  <c:v>1.3793552984180642E-2</c:v>
                </c:pt>
                <c:pt idx="63">
                  <c:v>1.2985556109385501E-2</c:v>
                </c:pt>
                <c:pt idx="64">
                  <c:v>1.2151731128589612E-2</c:v>
                </c:pt>
                <c:pt idx="65">
                  <c:v>1.1298455945582337E-2</c:v>
                </c:pt>
                <c:pt idx="66">
                  <c:v>1.0432486878377906E-2</c:v>
                </c:pt>
                <c:pt idx="67">
                  <c:v>9.5609095838778916E-3</c:v>
                </c:pt>
                <c:pt idx="68">
                  <c:v>8.6910828945801575E-3</c:v>
                </c:pt>
                <c:pt idx="69">
                  <c:v>7.8305756508823716E-3</c:v>
                </c:pt>
                <c:pt idx="70">
                  <c:v>6.987096771256994E-3</c:v>
                </c:pt>
                <c:pt idx="71">
                  <c:v>6.1684189547160477E-3</c:v>
                </c:pt>
                <c:pt idx="72">
                  <c:v>5.3822965750851947E-3</c:v>
                </c:pt>
                <c:pt idx="73">
                  <c:v>4.6363785118943403E-3</c:v>
                </c:pt>
                <c:pt idx="74">
                  <c:v>3.9381168217106407E-3</c:v>
                </c:pt>
                <c:pt idx="75">
                  <c:v>3.2946723513345086E-3</c:v>
                </c:pt>
                <c:pt idx="76">
                  <c:v>2.712818554425617E-3</c:v>
                </c:pt>
                <c:pt idx="77">
                  <c:v>2.1988449244000484E-3</c:v>
                </c:pt>
                <c:pt idx="78">
                  <c:v>1.758461601023633E-3</c:v>
                </c:pt>
                <c:pt idx="79">
                  <c:v>1.3967068088438588E-3</c:v>
                </c:pt>
                <c:pt idx="80">
                  <c:v>1.1178588678774169E-3</c:v>
                </c:pt>
                <c:pt idx="81">
                  <c:v>9.2535454691817999E-4</c:v>
                </c:pt>
                <c:pt idx="82">
                  <c:v>8.2133379375910471E-4</c:v>
                </c:pt>
                <c:pt idx="83">
                  <c:v>8.0404339954003674E-4</c:v>
                </c:pt>
                <c:pt idx="84">
                  <c:v>8.5950483907346292E-4</c:v>
                </c:pt>
                <c:pt idx="85">
                  <c:v>9.5984810052413634E-4</c:v>
                </c:pt>
                <c:pt idx="86">
                  <c:v>1.1177451236607302E-3</c:v>
                </c:pt>
                <c:pt idx="87">
                  <c:v>2.9220759367025659E-3</c:v>
                </c:pt>
                <c:pt idx="88">
                  <c:v>3.3494989624434602E-3</c:v>
                </c:pt>
                <c:pt idx="89">
                  <c:v>3.8612101234367256E-3</c:v>
                </c:pt>
                <c:pt idx="90">
                  <c:v>4.5006807134462846E-3</c:v>
                </c:pt>
                <c:pt idx="91">
                  <c:v>5.2283644662523658E-3</c:v>
                </c:pt>
                <c:pt idx="92">
                  <c:v>6.0061906119319493E-3</c:v>
                </c:pt>
                <c:pt idx="93">
                  <c:v>6.8144157306875858E-3</c:v>
                </c:pt>
                <c:pt idx="94">
                  <c:v>7.6405546067590552E-3</c:v>
                </c:pt>
                <c:pt idx="95">
                  <c:v>8.4726833204154632E-3</c:v>
                </c:pt>
                <c:pt idx="96">
                  <c:v>9.3022119233660914E-3</c:v>
                </c:pt>
                <c:pt idx="97">
                  <c:v>1.0116915313127216E-2</c:v>
                </c:pt>
                <c:pt idx="98">
                  <c:v>1.0905910648203034E-2</c:v>
                </c:pt>
                <c:pt idx="99">
                  <c:v>1.1658590821152271E-2</c:v>
                </c:pt>
                <c:pt idx="100">
                  <c:v>1.2364778829623425E-2</c:v>
                </c:pt>
                <c:pt idx="101">
                  <c:v>1.301487841578656E-2</c:v>
                </c:pt>
                <c:pt idx="102">
                  <c:v>1.3600018581296832E-2</c:v>
                </c:pt>
                <c:pt idx="103">
                  <c:v>1.4112189631391806E-2</c:v>
                </c:pt>
                <c:pt idx="104">
                  <c:v>1.454436845760341E-2</c:v>
                </c:pt>
                <c:pt idx="105">
                  <c:v>1.4890630842206919E-2</c:v>
                </c:pt>
                <c:pt idx="106">
                  <c:v>1.5146248679986759E-2</c:v>
                </c:pt>
                <c:pt idx="107">
                  <c:v>1.5307770128809645E-2</c:v>
                </c:pt>
                <c:pt idx="108">
                  <c:v>1.53730808625447E-2</c:v>
                </c:pt>
                <c:pt idx="109">
                  <c:v>1.5341444780341634E-2</c:v>
                </c:pt>
                <c:pt idx="110">
                  <c:v>1.5213522756463749E-2</c:v>
                </c:pt>
                <c:pt idx="111">
                  <c:v>1.4991368281715479E-2</c:v>
                </c:pt>
                <c:pt idx="112">
                  <c:v>1.4678399170454775E-2</c:v>
                </c:pt>
                <c:pt idx="113">
                  <c:v>1.4279344883424246E-2</c:v>
                </c:pt>
                <c:pt idx="114">
                  <c:v>1.3799684047333134E-2</c:v>
                </c:pt>
                <c:pt idx="115">
                  <c:v>1.3247379004880339E-2</c:v>
                </c:pt>
                <c:pt idx="116">
                  <c:v>1.2630173341616858E-2</c:v>
                </c:pt>
                <c:pt idx="117">
                  <c:v>1.1957039113208088E-2</c:v>
                </c:pt>
                <c:pt idx="118">
                  <c:v>1.1237648302316142E-2</c:v>
                </c:pt>
                <c:pt idx="119">
                  <c:v>1.048219234273183E-2</c:v>
                </c:pt>
                <c:pt idx="120">
                  <c:v>9.7011888763094759E-3</c:v>
                </c:pt>
                <c:pt idx="121">
                  <c:v>8.9052797717196919E-3</c:v>
                </c:pt>
                <c:pt idx="122">
                  <c:v>8.1050249070468445E-3</c:v>
                </c:pt>
                <c:pt idx="123">
                  <c:v>7.3106966124267796E-3</c:v>
                </c:pt>
                <c:pt idx="124">
                  <c:v>6.5320799171954547E-3</c:v>
                </c:pt>
                <c:pt idx="125">
                  <c:v>5.778283831671816E-3</c:v>
                </c:pt>
                <c:pt idx="126">
                  <c:v>5.0575688022895535E-3</c:v>
                </c:pt>
                <c:pt idx="127">
                  <c:v>4.3771952014099672E-3</c:v>
                </c:pt>
                <c:pt idx="128">
                  <c:v>3.7432972308614611E-3</c:v>
                </c:pt>
                <c:pt idx="129">
                  <c:v>3.1607859671043239E-3</c:v>
                </c:pt>
                <c:pt idx="130">
                  <c:v>2.6332844480860891E-3</c:v>
                </c:pt>
                <c:pt idx="131">
                  <c:v>2.1630967415360927E-3</c:v>
                </c:pt>
                <c:pt idx="132">
                  <c:v>1.7512118825170502E-3</c:v>
                </c:pt>
                <c:pt idx="133">
                  <c:v>1.3973424446626463E-3</c:v>
                </c:pt>
                <c:pt idx="134">
                  <c:v>1.0999963953848874E-3</c:v>
                </c:pt>
                <c:pt idx="135">
                  <c:v>8.5657978826342253E-4</c:v>
                </c:pt>
                <c:pt idx="136">
                  <c:v>6.6352684677620157E-4</c:v>
                </c:pt>
                <c:pt idx="137">
                  <c:v>5.1645310017675084E-4</c:v>
                </c:pt>
                <c:pt idx="138">
                  <c:v>4.1032650232017279E-4</c:v>
                </c:pt>
                <c:pt idx="139">
                  <c:v>3.3965090336675964E-4</c:v>
                </c:pt>
                <c:pt idx="140">
                  <c:v>2.9865588067269112E-4</c:v>
                </c:pt>
                <c:pt idx="141">
                  <c:v>2.8148677104611938E-4</c:v>
                </c:pt>
                <c:pt idx="142">
                  <c:v>2.8238878200648063E-4</c:v>
                </c:pt>
                <c:pt idx="143">
                  <c:v>2.9587929106719891E-4</c:v>
                </c:pt>
                <c:pt idx="144">
                  <c:v>3.1690285762463573E-4</c:v>
                </c:pt>
                <c:pt idx="145">
                  <c:v>3.409640578946625E-4</c:v>
                </c:pt>
                <c:pt idx="146">
                  <c:v>3.6423399524007703E-4</c:v>
                </c:pt>
                <c:pt idx="147">
                  <c:v>3.8362721899102761E-4</c:v>
                </c:pt>
                <c:pt idx="148">
                  <c:v>3.9684678805844973E-4</c:v>
                </c:pt>
                <c:pt idx="149">
                  <c:v>4.0239632251186011E-4</c:v>
                </c:pt>
                <c:pt idx="150">
                  <c:v>3.9955907629583886E-4</c:v>
                </c:pt>
                <c:pt idx="151">
                  <c:v>3.8834531181161484E-4</c:v>
                </c:pt>
                <c:pt idx="152">
                  <c:v>3.6941053186890902E-4</c:v>
                </c:pt>
                <c:pt idx="153">
                  <c:v>3.4394838673274035E-4</c:v>
                </c:pt>
                <c:pt idx="154">
                  <c:v>3.1356327588937644E-4</c:v>
                </c:pt>
                <c:pt idx="155">
                  <c:v>2.8012874784331162E-4</c:v>
                </c:pt>
                <c:pt idx="156">
                  <c:v>2.4563870089364608E-4</c:v>
                </c:pt>
                <c:pt idx="157">
                  <c:v>2.1205903060410067E-4</c:v>
                </c:pt>
                <c:pt idx="158">
                  <c:v>1.811876840908112E-4</c:v>
                </c:pt>
                <c:pt idx="159">
                  <c:v>1.545309975021114E-4</c:v>
                </c:pt>
                <c:pt idx="160">
                  <c:v>1.3320365698863581E-4</c:v>
                </c:pt>
                <c:pt idx="161">
                  <c:v>1.1785860046804487E-4</c:v>
                </c:pt>
                <c:pt idx="162">
                  <c:v>1.0865166306694025E-4</c:v>
                </c:pt>
                <c:pt idx="163">
                  <c:v>1.0524379568862388E-4</c:v>
                </c:pt>
                <c:pt idx="164">
                  <c:v>1.0684132947593406E-4</c:v>
                </c:pt>
                <c:pt idx="165">
                  <c:v>1.1227213856804252E-4</c:v>
                </c:pt>
                <c:pt idx="166">
                  <c:v>1.2009283393337348E-4</c:v>
                </c:pt>
                <c:pt idx="167">
                  <c:v>1.2871950276797055E-4</c:v>
                </c:pt>
                <c:pt idx="168">
                  <c:v>1.3657221773054505E-4</c:v>
                </c:pt>
                <c:pt idx="169">
                  <c:v>1.4222181407161941E-4</c:v>
                </c:pt>
                <c:pt idx="170">
                  <c:v>1.4452649398824182E-4</c:v>
                </c:pt>
                <c:pt idx="171">
                  <c:v>1.4274585337258159E-4</c:v>
                </c:pt>
                <c:pt idx="172">
                  <c:v>1.3662105992379034E-4</c:v>
                </c:pt>
                <c:pt idx="173">
                  <c:v>1.26412178709656E-4</c:v>
                </c:pt>
                <c:pt idx="174">
                  <c:v>1.1288696733054144E-4</c:v>
                </c:pt>
                <c:pt idx="175">
                  <c:v>9.7259651849888505E-5</c:v>
                </c:pt>
                <c:pt idx="176">
                  <c:v>8.1082927984476392E-5</c:v>
                </c:pt>
                <c:pt idx="177">
                  <c:v>6.6101284053966976E-5</c:v>
                </c:pt>
                <c:pt idx="178">
                  <c:v>5.4078210907689154E-5</c:v>
                </c:pt>
                <c:pt idx="179">
                  <c:v>4.6613420565535179E-5</c:v>
                </c:pt>
                <c:pt idx="180">
                  <c:v>4.4968343822687857E-5</c:v>
                </c:pt>
                <c:pt idx="181">
                  <c:v>4.9918522506200103E-5</c:v>
                </c:pt>
                <c:pt idx="182">
                  <c:v>6.1649826330864051E-5</c:v>
                </c:pt>
                <c:pt idx="183">
                  <c:v>7.9711698482421881E-5</c:v>
                </c:pt>
                <c:pt idx="184">
                  <c:v>1.0303511135483421E-4</c:v>
                </c:pt>
                <c:pt idx="185">
                  <c:v>1.3001609014977854E-4</c:v>
                </c:pt>
                <c:pt idx="186">
                  <c:v>1.5865825366403457E-4</c:v>
                </c:pt>
                <c:pt idx="187">
                  <c:v>1.8676069612466519E-4</c:v>
                </c:pt>
                <c:pt idx="188">
                  <c:v>2.1213161207634274E-4</c:v>
                </c:pt>
                <c:pt idx="189">
                  <c:v>2.3280420083979914E-4</c:v>
                </c:pt>
                <c:pt idx="190">
                  <c:v>2.4723023636225711E-4</c:v>
                </c:pt>
                <c:pt idx="191">
                  <c:v>2.544286003715305E-4</c:v>
                </c:pt>
                <c:pt idx="192">
                  <c:v>2.5407100458414657E-4</c:v>
                </c:pt>
                <c:pt idx="193">
                  <c:v>2.4649459117539812E-4</c:v>
                </c:pt>
                <c:pt idx="194">
                  <c:v>2.326402142870897E-4</c:v>
                </c:pt>
                <c:pt idx="195">
                  <c:v>2.1392477053115745E-4</c:v>
                </c:pt>
                <c:pt idx="196">
                  <c:v>1.9206460889606634E-4</c:v>
                </c:pt>
                <c:pt idx="197">
                  <c:v>1.6887350066880456E-4</c:v>
                </c:pt>
                <c:pt idx="198">
                  <c:v>1.4606183934256058E-4</c:v>
                </c:pt>
                <c:pt idx="199">
                  <c:v>1.2506307625748898E-4</c:v>
                </c:pt>
                <c:pt idx="200">
                  <c:v>1.069088773389135E-4</c:v>
                </c:pt>
                <c:pt idx="201">
                  <c:v>9.2166742444806899E-5</c:v>
                </c:pt>
                <c:pt idx="202">
                  <c:v>8.0944061091364433E-5</c:v>
                </c:pt>
                <c:pt idx="203">
                  <c:v>7.2952379181356007E-5</c:v>
                </c:pt>
                <c:pt idx="204">
                  <c:v>6.7616739360312853E-5</c:v>
                </c:pt>
                <c:pt idx="205">
                  <c:v>6.4208868986240583E-5</c:v>
                </c:pt>
                <c:pt idx="206">
                  <c:v>6.1980776598438849E-5</c:v>
                </c:pt>
                <c:pt idx="207">
                  <c:v>6.0277323281820875E-5</c:v>
                </c:pt>
                <c:pt idx="208">
                  <c:v>5.8612093884067527E-5</c:v>
                </c:pt>
                <c:pt idx="209">
                  <c:v>5.6699194433506378E-5</c:v>
                </c:pt>
                <c:pt idx="210">
                  <c:v>5.4442717091022485E-5</c:v>
                </c:pt>
                <c:pt idx="211">
                  <c:v>5.1893647506405589E-5</c:v>
                </c:pt>
                <c:pt idx="212">
                  <c:v>4.9189290533212715E-5</c:v>
                </c:pt>
                <c:pt idx="213">
                  <c:v>4.6491828726336347E-5</c:v>
                </c:pt>
                <c:pt idx="214">
                  <c:v>4.3940246222385691E-5</c:v>
                </c:pt>
                <c:pt idx="215">
                  <c:v>4.1624319630856064E-5</c:v>
                </c:pt>
                <c:pt idx="216">
                  <c:v>3.9582228539719404E-5</c:v>
                </c:pt>
                <c:pt idx="217">
                  <c:v>3.781649271980308E-5</c:v>
                </c:pt>
                <c:pt idx="218">
                  <c:v>3.6318221810488434E-5</c:v>
                </c:pt>
                <c:pt idx="219">
                  <c:v>3.5089004791541617E-5</c:v>
                </c:pt>
                <c:pt idx="220">
                  <c:v>3.4146581328241358E-5</c:v>
                </c:pt>
                <c:pt idx="221">
                  <c:v>3.3523442485529971E-5</c:v>
                </c:pt>
                <c:pt idx="222">
                  <c:v>3.3241485633681302E-5</c:v>
                </c:pt>
                <c:pt idx="223">
                  <c:v>3.3286307252153312E-5</c:v>
                </c:pt>
                <c:pt idx="224">
                  <c:v>3.3585202797580294E-5</c:v>
                </c:pt>
                <c:pt idx="225">
                  <c:v>3.4000105252413826E-5</c:v>
                </c:pt>
                <c:pt idx="226">
                  <c:v>3.434111805909004E-5</c:v>
                </c:pt>
                <c:pt idx="227">
                  <c:v>3.4399638489942795E-5</c:v>
                </c:pt>
                <c:pt idx="228">
                  <c:v>3.3993248208187813E-5</c:v>
                </c:pt>
                <c:pt idx="229">
                  <c:v>3.3009871498531634E-5</c:v>
                </c:pt>
                <c:pt idx="230">
                  <c:v>3.1437880141138997E-5</c:v>
                </c:pt>
                <c:pt idx="231">
                  <c:v>2.9372354668418809E-5</c:v>
                </c:pt>
                <c:pt idx="232">
                  <c:v>2.6994629726704135E-5</c:v>
                </c:pt>
                <c:pt idx="233">
                  <c:v>2.453037801985813E-5</c:v>
                </c:pt>
                <c:pt idx="234">
                  <c:v>2.2198128496289316E-5</c:v>
                </c:pt>
                <c:pt idx="235">
                  <c:v>2.0162985357358615E-5</c:v>
                </c:pt>
                <c:pt idx="236">
                  <c:v>1.8508370905439618E-5</c:v>
                </c:pt>
                <c:pt idx="237">
                  <c:v>1.7232478618536426E-5</c:v>
                </c:pt>
                <c:pt idx="238">
                  <c:v>1.6267917627910976E-5</c:v>
                </c:pt>
                <c:pt idx="239">
                  <c:v>1.5515655755193713E-5</c:v>
                </c:pt>
                <c:pt idx="240">
                  <c:v>1.488044563190786E-5</c:v>
                </c:pt>
                <c:pt idx="241">
                  <c:v>1.4295790177363887E-5</c:v>
                </c:pt>
                <c:pt idx="242">
                  <c:v>1.3731692711524781E-5</c:v>
                </c:pt>
                <c:pt idx="243">
                  <c:v>1.3185803096103674E-5</c:v>
                </c:pt>
                <c:pt idx="244">
                  <c:v>1.2665141656569089E-5</c:v>
                </c:pt>
                <c:pt idx="245">
                  <c:v>1.2168741614811346E-5</c:v>
                </c:pt>
                <c:pt idx="246">
                  <c:v>1.1680109529279093E-5</c:v>
                </c:pt>
                <c:pt idx="247">
                  <c:v>1.1173101391594105E-5</c:v>
                </c:pt>
                <c:pt idx="248">
                  <c:v>1.0628025787038348E-5</c:v>
                </c:pt>
                <c:pt idx="249">
                  <c:v>1.0059524400571147E-5</c:v>
                </c:pt>
                <c:pt idx="250">
                  <c:v>9.541625330460235E-6</c:v>
                </c:pt>
                <c:pt idx="251">
                  <c:v>9.1296645041068964E-6</c:v>
                </c:pt>
                <c:pt idx="252">
                  <c:v>8.5020348154512312E-6</c:v>
                </c:pt>
                <c:pt idx="253">
                  <c:v>8.6129937491169562E-6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swellRatioRich!$B$3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swellRatioRich!$A$4:$A$23</c:f>
              <c:numCache>
                <c:formatCode>0.000</c:formatCode>
                <c:ptCount val="20"/>
                <c:pt idx="0">
                  <c:v>1.77</c:v>
                </c:pt>
                <c:pt idx="1">
                  <c:v>1.81</c:v>
                </c:pt>
                <c:pt idx="2">
                  <c:v>1.85</c:v>
                </c:pt>
                <c:pt idx="3">
                  <c:v>1.89</c:v>
                </c:pt>
                <c:pt idx="4">
                  <c:v>1.93</c:v>
                </c:pt>
                <c:pt idx="5">
                  <c:v>1.97</c:v>
                </c:pt>
              </c:numCache>
            </c:numRef>
          </c:xVal>
          <c:yVal>
            <c:numRef>
              <c:f>swellRatioRich!$B$4:$B$23</c:f>
              <c:numCache>
                <c:formatCode>0.00</c:formatCode>
                <c:ptCount val="20"/>
                <c:pt idx="0">
                  <c:v>24.44533017182718</c:v>
                </c:pt>
                <c:pt idx="1">
                  <c:v>13.423936126362515</c:v>
                </c:pt>
                <c:pt idx="2">
                  <c:v>7.3055594736541858</c:v>
                </c:pt>
                <c:pt idx="3">
                  <c:v>5.414703269406683</c:v>
                </c:pt>
                <c:pt idx="4">
                  <c:v>7.1260216443889837</c:v>
                </c:pt>
                <c:pt idx="5">
                  <c:v>11.836694625722377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A-4DA4-8F7F-0CE40AA1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swellRatioPoor!$B$3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swellRatioPoor!$A$4:$A$23</c:f>
              <c:numCache>
                <c:formatCode>0.000</c:formatCode>
                <c:ptCount val="20"/>
                <c:pt idx="0">
                  <c:v>1.94</c:v>
                </c:pt>
                <c:pt idx="1">
                  <c:v>1.982</c:v>
                </c:pt>
                <c:pt idx="2">
                  <c:v>2.024</c:v>
                </c:pt>
                <c:pt idx="3">
                  <c:v>2.0659999999999998</c:v>
                </c:pt>
                <c:pt idx="4">
                  <c:v>2.1080000000000001</c:v>
                </c:pt>
                <c:pt idx="5">
                  <c:v>2.15</c:v>
                </c:pt>
              </c:numCache>
            </c:numRef>
          </c:xVal>
          <c:yVal>
            <c:numRef>
              <c:f>swellRatioPoor!$B$4:$B$23</c:f>
              <c:numCache>
                <c:formatCode>0.00</c:formatCode>
                <c:ptCount val="20"/>
                <c:pt idx="0">
                  <c:v>6.1853306114693138</c:v>
                </c:pt>
                <c:pt idx="1">
                  <c:v>5.5750650026163386</c:v>
                </c:pt>
                <c:pt idx="2">
                  <c:v>5.4270605572356843</c:v>
                </c:pt>
                <c:pt idx="3">
                  <c:v>5.7533606037261356</c:v>
                </c:pt>
                <c:pt idx="4">
                  <c:v>6.5609894665020896</c:v>
                </c:pt>
                <c:pt idx="5">
                  <c:v>7.85133157284832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F-405B-9D52-2CFD5BCCA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26</c:v>
                </c:pt>
                <c:pt idx="1">
                  <c:v>34</c:v>
                </c:pt>
                <c:pt idx="2">
                  <c:v>42</c:v>
                </c:pt>
                <c:pt idx="3">
                  <c:v>50</c:v>
                </c:pt>
                <c:pt idx="4">
                  <c:v>58</c:v>
                </c:pt>
                <c:pt idx="5">
                  <c:v>66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6.7727610181712716</c:v>
                </c:pt>
                <c:pt idx="1">
                  <c:v>5.6438298074035647</c:v>
                </c:pt>
                <c:pt idx="2">
                  <c:v>5.3794207396903131</c:v>
                </c:pt>
                <c:pt idx="3">
                  <c:v>5.9642426214863349</c:v>
                </c:pt>
                <c:pt idx="4">
                  <c:v>7.1832199723925489</c:v>
                </c:pt>
                <c:pt idx="5">
                  <c:v>8.870350934208119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7-4D56-A249-23C52929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deldod!$B$3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deldod!$A$4:$A$23</c:f>
              <c:numCache>
                <c:formatCode>0.000</c:formatCode>
                <c:ptCount val="20"/>
                <c:pt idx="0">
                  <c:v>0.01</c:v>
                </c:pt>
                <c:pt idx="1">
                  <c:v>2.6000000000000002E-2</c:v>
                </c:pt>
                <c:pt idx="2">
                  <c:v>4.2000000000000003E-2</c:v>
                </c:pt>
                <c:pt idx="3">
                  <c:v>5.8000000000000003E-2</c:v>
                </c:pt>
                <c:pt idx="4">
                  <c:v>7.3999999999999996E-2</c:v>
                </c:pt>
                <c:pt idx="5">
                  <c:v>0.09</c:v>
                </c:pt>
              </c:numCache>
            </c:numRef>
          </c:xVal>
          <c:yVal>
            <c:numRef>
              <c:f>deldod!$B$4:$B$23</c:f>
              <c:numCache>
                <c:formatCode>0.00</c:formatCode>
                <c:ptCount val="20"/>
                <c:pt idx="0">
                  <c:v>6.0704409398083419</c:v>
                </c:pt>
                <c:pt idx="1">
                  <c:v>5.7094630240027664</c:v>
                </c:pt>
                <c:pt idx="2">
                  <c:v>5.3882848233373943</c:v>
                </c:pt>
                <c:pt idx="3">
                  <c:v>5.49186628572535</c:v>
                </c:pt>
                <c:pt idx="4">
                  <c:v>6.2416743003976283</c:v>
                </c:pt>
                <c:pt idx="5">
                  <c:v>7.6878797943500796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9D5-A299-25EAEB1B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11808"/>
        <c:axId val="197538944"/>
      </c:scatterChart>
      <c:valAx>
        <c:axId val="19751180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 baseline="0"/>
                  <a:t>p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538944"/>
        <c:crosses val="autoZero"/>
        <c:crossBetween val="midCat"/>
      </c:valAx>
      <c:valAx>
        <c:axId val="197538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5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16</c:v>
                </c:pt>
                <c:pt idx="4">
                  <c:v>18</c:v>
                </c:pt>
                <c:pt idx="5">
                  <c:v>20</c:v>
                </c:pt>
                <c:pt idx="6">
                  <c:v>22</c:v>
                </c:pt>
                <c:pt idx="7">
                  <c:v>24</c:v>
                </c:pt>
                <c:pt idx="8">
                  <c:v>26</c:v>
                </c:pt>
                <c:pt idx="9">
                  <c:v>28</c:v>
                </c:pt>
                <c:pt idx="10">
                  <c:v>30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8.2363374601145569</c:v>
                </c:pt>
                <c:pt idx="1">
                  <c:v>7.200202313692265</c:v>
                </c:pt>
                <c:pt idx="2">
                  <c:v>6.1896119292071328</c:v>
                </c:pt>
                <c:pt idx="3">
                  <c:v>5.2795520114596073</c:v>
                </c:pt>
                <c:pt idx="4">
                  <c:v>4.5274990978782874</c:v>
                </c:pt>
                <c:pt idx="5">
                  <c:v>3.9723427037025005</c:v>
                </c:pt>
                <c:pt idx="6">
                  <c:v>3.6360371492242995</c:v>
                </c:pt>
                <c:pt idx="7">
                  <c:v>3.5260123110429795</c:v>
                </c:pt>
                <c:pt idx="8">
                  <c:v>3.6375474261246681</c:v>
                </c:pt>
                <c:pt idx="9">
                  <c:v>3.9317974819143138</c:v>
                </c:pt>
                <c:pt idx="10">
                  <c:v>4.4238358082915585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sigBuffer!$B$3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sigBuffer!$A$4:$A$23</c:f>
              <c:numCache>
                <c:formatCode>0.0</c:formatCode>
                <c:ptCount val="20"/>
                <c:pt idx="0">
                  <c:v>65</c:v>
                </c:pt>
                <c:pt idx="1">
                  <c:v>75.5</c:v>
                </c:pt>
                <c:pt idx="2">
                  <c:v>86</c:v>
                </c:pt>
                <c:pt idx="3">
                  <c:v>96.5</c:v>
                </c:pt>
                <c:pt idx="4">
                  <c:v>107</c:v>
                </c:pt>
                <c:pt idx="5">
                  <c:v>117.5</c:v>
                </c:pt>
                <c:pt idx="6">
                  <c:v>128</c:v>
                </c:pt>
                <c:pt idx="7">
                  <c:v>138.5</c:v>
                </c:pt>
                <c:pt idx="8">
                  <c:v>149</c:v>
                </c:pt>
                <c:pt idx="9">
                  <c:v>159.5</c:v>
                </c:pt>
                <c:pt idx="10">
                  <c:v>170</c:v>
                </c:pt>
              </c:numCache>
            </c:numRef>
          </c:xVal>
          <c:yVal>
            <c:numRef>
              <c:f>sigBuffer!$B$4:$B$23</c:f>
              <c:numCache>
                <c:formatCode>0.00</c:formatCode>
                <c:ptCount val="20"/>
                <c:pt idx="0">
                  <c:v>9.192625876010192</c:v>
                </c:pt>
                <c:pt idx="1">
                  <c:v>9.0851656327756647</c:v>
                </c:pt>
                <c:pt idx="2">
                  <c:v>8.983453020933462</c:v>
                </c:pt>
                <c:pt idx="3">
                  <c:v>8.8917527556596685</c:v>
                </c:pt>
                <c:pt idx="4">
                  <c:v>8.8120699435184182</c:v>
                </c:pt>
                <c:pt idx="5">
                  <c:v>8.7444088070338406</c:v>
                </c:pt>
                <c:pt idx="6">
                  <c:v>8.6874461989703153</c:v>
                </c:pt>
                <c:pt idx="7">
                  <c:v>8.6393149382053647</c:v>
                </c:pt>
                <c:pt idx="8">
                  <c:v>8.5980875897176787</c:v>
                </c:pt>
                <c:pt idx="9">
                  <c:v>8.5621160549168689</c:v>
                </c:pt>
                <c:pt idx="10">
                  <c:v>8.5304120024779859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4-495C-91AA-2442943F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461963</xdr:colOff>
      <xdr:row>4</xdr:row>
      <xdr:rowOff>0</xdr:rowOff>
    </xdr:from>
    <xdr:to>
      <xdr:col>15</xdr:col>
      <xdr:colOff>750093</xdr:colOff>
      <xdr:row>25</xdr:row>
      <xdr:rowOff>9525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340518</xdr:colOff>
      <xdr:row>34</xdr:row>
      <xdr:rowOff>218600</xdr:rowOff>
    </xdr:from>
    <xdr:to>
      <xdr:col>15</xdr:col>
      <xdr:colOff>387668</xdr:colOff>
      <xdr:row>61</xdr:row>
      <xdr:rowOff>207169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03062_UAB_0813_VK2x_pH4.6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swellRatioMarker"/>
      <sheetName val="swellRatioPoor"/>
      <sheetName val="sigMarker"/>
      <sheetName val="deldod"/>
      <sheetName val="dSiOx"/>
      <sheetName val="sigBuffer"/>
      <sheetName val="ScaledCombined"/>
      <sheetName val="ScatteringParameters"/>
      <sheetName val="AtomicParameters"/>
    </sheetNames>
    <sheetDataSet>
      <sheetData sheetId="0">
        <row r="13">
          <cell r="C13">
            <v>-5.6000000000000004E-7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zoomScale="80" workbookViewId="0">
      <selection activeCell="H12" sqref="H12"/>
    </sheetView>
  </sheetViews>
  <sheetFormatPr defaultRowHeight="15.75" x14ac:dyDescent="0.25"/>
  <cols>
    <col min="1" max="1" width="19.375" style="64" bestFit="1" customWidth="1"/>
    <col min="2" max="2" width="14.875" style="21" bestFit="1" customWidth="1"/>
    <col min="3" max="3" width="10.25" style="21" bestFit="1" customWidth="1"/>
    <col min="4" max="4" width="12.5" style="19" bestFit="1" customWidth="1"/>
    <col min="5" max="5" width="10" style="19" bestFit="1" customWidth="1"/>
    <col min="6" max="6" width="13.125" style="39" bestFit="1" customWidth="1"/>
    <col min="7" max="7" width="8.375" style="39" bestFit="1" customWidth="1"/>
    <col min="8" max="8" width="26.875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0" bestFit="1" customWidth="1"/>
    <col min="21" max="21" width="11.75" style="176" bestFit="1" customWidth="1"/>
    <col min="22" max="22" width="8.25" style="178" bestFit="1" customWidth="1"/>
    <col min="23" max="23" width="11.75" style="179" bestFit="1" customWidth="1"/>
    <col min="24" max="24" width="8.25" style="178" bestFit="1" customWidth="1"/>
    <col min="25" max="25" width="8.375" style="189" bestFit="1" customWidth="1"/>
    <col min="27" max="27" width="8.625" style="86" bestFit="1" customWidth="1"/>
    <col min="28" max="28" width="8.625" style="79" bestFit="1" customWidth="1"/>
    <col min="29" max="29" width="8.25" style="75" bestFit="1" customWidth="1"/>
    <col min="30" max="30" width="9" style="80"/>
    <col min="31" max="31" width="12.5" style="80" bestFit="1" customWidth="1"/>
    <col min="32" max="32" width="10" style="80" bestFit="1" customWidth="1"/>
    <col min="33" max="33" width="12.25" style="80" bestFit="1" customWidth="1"/>
    <col min="34" max="34" width="9" style="79"/>
    <col min="35" max="35" width="9" style="1"/>
  </cols>
  <sheetData>
    <row r="1" spans="1:36" ht="18.75" x14ac:dyDescent="0.25">
      <c r="A1" s="92" t="s">
        <v>525</v>
      </c>
      <c r="B1" s="197" t="s">
        <v>491</v>
      </c>
      <c r="C1" s="197"/>
      <c r="D1" s="197"/>
      <c r="E1" s="197"/>
      <c r="F1" s="197"/>
      <c r="G1" s="197"/>
      <c r="H1" s="197"/>
      <c r="I1" s="198" t="s">
        <v>507</v>
      </c>
      <c r="J1" s="198"/>
      <c r="K1" s="198"/>
      <c r="L1" s="68" t="s">
        <v>505</v>
      </c>
      <c r="M1" s="199" t="s">
        <v>489</v>
      </c>
      <c r="N1" s="199"/>
      <c r="O1" s="199"/>
      <c r="P1" s="199"/>
      <c r="Q1" s="199"/>
      <c r="R1" s="196" t="s">
        <v>490</v>
      </c>
      <c r="S1" s="196"/>
      <c r="T1" s="74"/>
      <c r="U1" s="195" t="s">
        <v>623</v>
      </c>
      <c r="V1" s="195"/>
      <c r="W1" s="195"/>
      <c r="X1" s="170" t="s">
        <v>624</v>
      </c>
      <c r="Y1" s="186" t="s">
        <v>536</v>
      </c>
      <c r="AA1" s="194" t="s">
        <v>634</v>
      </c>
      <c r="AB1" s="194"/>
      <c r="AC1" s="194"/>
      <c r="AD1" s="194"/>
      <c r="AE1" s="194"/>
      <c r="AF1" s="194"/>
      <c r="AG1" s="74"/>
      <c r="AH1" s="76"/>
    </row>
    <row r="2" spans="1:36" s="16" customFormat="1" ht="18.75" x14ac:dyDescent="0.25">
      <c r="A2" s="93" t="s">
        <v>526</v>
      </c>
      <c r="B2" s="129" t="s">
        <v>481</v>
      </c>
      <c r="C2" s="130" t="s">
        <v>607</v>
      </c>
      <c r="D2" s="131" t="s">
        <v>608</v>
      </c>
      <c r="E2" s="131" t="s">
        <v>609</v>
      </c>
      <c r="F2" s="132" t="s">
        <v>495</v>
      </c>
      <c r="G2" s="133" t="s">
        <v>496</v>
      </c>
      <c r="H2" s="134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77"/>
      <c r="U2" s="171" t="s">
        <v>625</v>
      </c>
      <c r="V2" s="172" t="s">
        <v>626</v>
      </c>
      <c r="W2" s="172" t="s">
        <v>627</v>
      </c>
      <c r="X2" s="170" t="s">
        <v>628</v>
      </c>
      <c r="Y2" s="187">
        <f>SUM(Y3:Y256)/253</f>
        <v>5.4042214507126705</v>
      </c>
      <c r="AA2" s="140" t="s">
        <v>601</v>
      </c>
      <c r="AB2" s="141" t="s">
        <v>0</v>
      </c>
      <c r="AC2" s="142" t="s">
        <v>500</v>
      </c>
      <c r="AD2" s="143" t="s">
        <v>506</v>
      </c>
      <c r="AE2" s="143" t="s">
        <v>602</v>
      </c>
      <c r="AF2" s="143" t="s">
        <v>603</v>
      </c>
      <c r="AG2" s="77"/>
      <c r="AH2" s="183"/>
      <c r="AI2" s="183"/>
      <c r="AJ2" s="184"/>
    </row>
    <row r="3" spans="1:36" ht="19.5" x14ac:dyDescent="0.3">
      <c r="A3" s="93" t="s">
        <v>527</v>
      </c>
      <c r="B3" s="154" t="s">
        <v>52</v>
      </c>
      <c r="C3" s="158">
        <v>2.0700000000000001E-6</v>
      </c>
      <c r="D3" s="158">
        <v>4.7498147887006942E-11</v>
      </c>
      <c r="E3" s="158">
        <v>1.9976998807213682E-12</v>
      </c>
      <c r="F3" s="139">
        <v>100</v>
      </c>
      <c r="G3" s="139">
        <v>0</v>
      </c>
      <c r="H3" s="147" t="s">
        <v>635</v>
      </c>
      <c r="I3" s="125">
        <v>8.1824504007600007E-3</v>
      </c>
      <c r="J3" s="50">
        <v>2.7611596319454857E-2</v>
      </c>
      <c r="K3" s="50">
        <v>4.2035880750008045E-3</v>
      </c>
      <c r="L3" s="67">
        <v>1.4296804475995732E-2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73">
        <v>2.2014500039358627E-2</v>
      </c>
      <c r="V3" s="173">
        <v>1.4296804475995732E-2</v>
      </c>
      <c r="W3" s="174">
        <v>1.0331783423962874E-2</v>
      </c>
      <c r="X3" s="174">
        <f t="shared" ref="X3:X66" si="0">(U3+2*V3+W3)/4</f>
        <v>1.5234973103828242E-2</v>
      </c>
      <c r="Y3" s="188">
        <f t="shared" ref="Y3:Y66" si="1">(J3-X3)*(J3-X3)/(K3*K3)</f>
        <v>8.6689008739809612</v>
      </c>
      <c r="AA3" s="144">
        <f t="shared" ref="AA3:AA66" si="2">I3*10</f>
        <v>8.182450400760001E-2</v>
      </c>
      <c r="AB3" s="145">
        <f t="shared" ref="AB3:AB66" si="3">J3</f>
        <v>2.7611596319454857E-2</v>
      </c>
      <c r="AC3" s="145">
        <f t="shared" ref="AC3:AC66" si="4">K3</f>
        <v>4.2035880750008045E-3</v>
      </c>
      <c r="AD3" s="145">
        <f>X3</f>
        <v>1.5234973103828242E-2</v>
      </c>
      <c r="AE3" s="146">
        <f t="shared" ref="AE3:AE66" si="5">(R3-129.85)/10</f>
        <v>-13.984999999999999</v>
      </c>
      <c r="AF3" s="146">
        <f t="shared" ref="AF3:AF66" si="6">S3*100</f>
        <v>2.0700000000000002E-4</v>
      </c>
      <c r="AH3" s="183"/>
      <c r="AI3" s="183"/>
      <c r="AJ3" s="183"/>
    </row>
    <row r="4" spans="1:36" ht="18.75" x14ac:dyDescent="0.25">
      <c r="A4" s="93" t="s">
        <v>528</v>
      </c>
      <c r="B4" s="154" t="s">
        <v>504</v>
      </c>
      <c r="C4" s="158">
        <v>3.4400000000000001E-6</v>
      </c>
      <c r="D4" s="158">
        <v>2.5307649463664093E-11</v>
      </c>
      <c r="E4" s="158">
        <v>1.486857631694136E-12</v>
      </c>
      <c r="F4" s="139">
        <v>14.8</v>
      </c>
      <c r="G4" s="139">
        <v>5</v>
      </c>
      <c r="H4" s="110">
        <f>H42*(H16*C13+(1-H16)*H32)+(1-H42)*(H20*C13+(1-H20)*H32)</f>
        <v>2.2173459515442925E-7</v>
      </c>
      <c r="I4" s="125">
        <v>8.2642749047700005E-3</v>
      </c>
      <c r="J4" s="50">
        <v>2.7712166595055088E-2</v>
      </c>
      <c r="K4" s="50">
        <v>3.6677271147076487E-3</v>
      </c>
      <c r="L4" s="67">
        <v>1.3191278831859278E-2</v>
      </c>
      <c r="M4" s="27"/>
      <c r="N4" s="18">
        <v>5.3595302827890901E-9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173">
        <v>2.041122368925552E-2</v>
      </c>
      <c r="V4" s="173">
        <v>1.3191278831859278E-2</v>
      </c>
      <c r="W4" s="174">
        <v>9.7952508884539859E-3</v>
      </c>
      <c r="X4" s="174">
        <f t="shared" si="0"/>
        <v>1.4147258060357014E-2</v>
      </c>
      <c r="Y4" s="188">
        <f t="shared" si="1"/>
        <v>13.678538830513157</v>
      </c>
      <c r="AA4" s="144">
        <f t="shared" si="2"/>
        <v>8.2642749047699998E-2</v>
      </c>
      <c r="AB4" s="145">
        <f t="shared" si="3"/>
        <v>2.7712166595055088E-2</v>
      </c>
      <c r="AC4" s="145">
        <f t="shared" si="4"/>
        <v>3.6677271147076487E-3</v>
      </c>
      <c r="AD4" s="145">
        <f t="shared" ref="AD4:AD67" si="7">X4</f>
        <v>1.4147258060357014E-2</v>
      </c>
      <c r="AE4" s="146">
        <f t="shared" si="5"/>
        <v>-2.9849999999999994</v>
      </c>
      <c r="AF4" s="146">
        <f t="shared" si="6"/>
        <v>2.0700000000000002E-4</v>
      </c>
      <c r="AH4" s="183"/>
      <c r="AI4" s="183"/>
      <c r="AJ4" s="183"/>
    </row>
    <row r="5" spans="1:36" ht="19.5" x14ac:dyDescent="0.3">
      <c r="A5" s="94"/>
      <c r="B5" s="155" t="s">
        <v>539</v>
      </c>
      <c r="C5" s="128">
        <v>8.9999999999999996E-7</v>
      </c>
      <c r="D5" s="128">
        <v>1.5392483148537927E-10</v>
      </c>
      <c r="E5" s="128">
        <v>5.0509225500401457E-8</v>
      </c>
      <c r="F5" s="159">
        <f>F39</f>
        <v>15.701245666991817</v>
      </c>
      <c r="G5" s="159">
        <f>F4</f>
        <v>14.8</v>
      </c>
      <c r="H5" s="147" t="s">
        <v>636</v>
      </c>
      <c r="I5" s="125">
        <v>8.3469176538099998E-3</v>
      </c>
      <c r="J5" s="50">
        <v>2.2035718484101699E-2</v>
      </c>
      <c r="K5" s="50">
        <v>3.4976689072813826E-3</v>
      </c>
      <c r="L5" s="67">
        <v>1.2169144363614234E-2</v>
      </c>
      <c r="M5" s="27"/>
      <c r="N5" s="18">
        <v>4.4148001005763255E-8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2.0753595302827892E-6</v>
      </c>
      <c r="U5" s="173">
        <v>1.8883025944574462E-2</v>
      </c>
      <c r="V5" s="173">
        <v>1.2169144363614234E-2</v>
      </c>
      <c r="W5" s="174">
        <v>9.3416340103509698E-3</v>
      </c>
      <c r="X5" s="174">
        <f t="shared" si="0"/>
        <v>1.3140737170538475E-2</v>
      </c>
      <c r="Y5" s="188">
        <f t="shared" si="1"/>
        <v>6.4674441557917035</v>
      </c>
      <c r="AA5" s="144">
        <f t="shared" si="2"/>
        <v>8.3469176538100001E-2</v>
      </c>
      <c r="AB5" s="145">
        <f t="shared" si="3"/>
        <v>2.2035718484101699E-2</v>
      </c>
      <c r="AC5" s="145">
        <f t="shared" si="4"/>
        <v>3.4976689072813826E-3</v>
      </c>
      <c r="AD5" s="145">
        <f t="shared" si="7"/>
        <v>1.3140737170538475E-2</v>
      </c>
      <c r="AE5" s="146">
        <f t="shared" si="5"/>
        <v>-2.9849999999999994</v>
      </c>
      <c r="AF5" s="146">
        <f t="shared" si="6"/>
        <v>2.0753595302827892E-4</v>
      </c>
      <c r="AH5" s="183"/>
      <c r="AI5" s="183"/>
      <c r="AJ5" s="183"/>
    </row>
    <row r="6" spans="1:36" x14ac:dyDescent="0.25">
      <c r="B6" s="107" t="s">
        <v>610</v>
      </c>
      <c r="C6" s="108">
        <f>H4</f>
        <v>2.2173459515442925E-7</v>
      </c>
      <c r="D6" s="108">
        <v>1.5392483148537927E-10</v>
      </c>
      <c r="E6" s="108">
        <v>5.0509225500401457E-8</v>
      </c>
      <c r="F6" s="109">
        <f>F38*H22*H28-(F7-H22*F33*H28)/2</f>
        <v>125.65449814684999</v>
      </c>
      <c r="G6" s="39">
        <f>F5</f>
        <v>15.701245666991817</v>
      </c>
      <c r="H6" s="110">
        <f>H16*C13+(1-H16)*H34</f>
        <v>1.2469520505253646E-6</v>
      </c>
      <c r="I6" s="125">
        <v>8.4303868303500003E-3</v>
      </c>
      <c r="J6" s="50">
        <v>2.0647426458854649E-2</v>
      </c>
      <c r="K6" s="50">
        <v>3.2070262548454282E-3</v>
      </c>
      <c r="L6" s="67">
        <v>1.1229263185911829E-2</v>
      </c>
      <c r="M6" s="27"/>
      <c r="N6" s="18">
        <v>1.0026134824645095E-7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2.0753595302827892E-6</v>
      </c>
      <c r="U6" s="173">
        <v>1.7429042840826074E-2</v>
      </c>
      <c r="V6" s="173">
        <v>1.1229263185911829E-2</v>
      </c>
      <c r="W6" s="174">
        <v>8.9692509743686828E-3</v>
      </c>
      <c r="X6" s="174">
        <f t="shared" si="0"/>
        <v>1.2214205046754602E-2</v>
      </c>
      <c r="Y6" s="188">
        <f t="shared" si="1"/>
        <v>6.9148374401938399</v>
      </c>
      <c r="AA6" s="144">
        <f t="shared" si="2"/>
        <v>8.4303868303500007E-2</v>
      </c>
      <c r="AB6" s="145">
        <f t="shared" si="3"/>
        <v>2.0647426458854649E-2</v>
      </c>
      <c r="AC6" s="145">
        <f t="shared" si="4"/>
        <v>3.2070262548454282E-3</v>
      </c>
      <c r="AD6" s="145">
        <f t="shared" si="7"/>
        <v>1.2214205046754602E-2</v>
      </c>
      <c r="AE6" s="146">
        <f t="shared" si="5"/>
        <v>-2.8128918411925867</v>
      </c>
      <c r="AF6" s="146">
        <f t="shared" si="6"/>
        <v>2.0753595302827892E-4</v>
      </c>
      <c r="AH6" s="183"/>
      <c r="AI6" s="183"/>
      <c r="AJ6" s="183"/>
    </row>
    <row r="7" spans="1:36" ht="19.5" x14ac:dyDescent="0.3">
      <c r="A7" s="72" t="s">
        <v>529</v>
      </c>
      <c r="B7" s="111" t="s">
        <v>611</v>
      </c>
      <c r="C7" s="112">
        <f>H6</f>
        <v>1.2469520505253646E-6</v>
      </c>
      <c r="D7" s="113">
        <v>7.9300000000000003E-12</v>
      </c>
      <c r="E7" s="113">
        <v>3.6399999999999998E-10</v>
      </c>
      <c r="F7" s="160">
        <f>H8</f>
        <v>84.348800475234555</v>
      </c>
      <c r="G7" s="123">
        <v>40.982374919254951</v>
      </c>
      <c r="H7" s="117" t="s">
        <v>674</v>
      </c>
      <c r="I7" s="125">
        <v>8.5146906986500008E-3</v>
      </c>
      <c r="J7" s="50">
        <v>2.1565381181011749E-2</v>
      </c>
      <c r="K7" s="50">
        <v>3.101191171711292E-3</v>
      </c>
      <c r="L7" s="67">
        <v>1.0371802151148177E-2</v>
      </c>
      <c r="M7" s="27"/>
      <c r="N7" s="18">
        <v>1.6375653629491505E-7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2.1141480010057634E-6</v>
      </c>
      <c r="U7" s="173">
        <v>1.6050410721900849E-2</v>
      </c>
      <c r="V7" s="173">
        <v>1.0371802151148177E-2</v>
      </c>
      <c r="W7" s="174">
        <v>8.6769517841198771E-3</v>
      </c>
      <c r="X7" s="174">
        <f t="shared" si="0"/>
        <v>1.1367741702079269E-2</v>
      </c>
      <c r="Y7" s="188">
        <f t="shared" si="1"/>
        <v>10.812901088888792</v>
      </c>
      <c r="AA7" s="144">
        <f t="shared" si="2"/>
        <v>8.5146906986500015E-2</v>
      </c>
      <c r="AB7" s="145">
        <f t="shared" si="3"/>
        <v>2.1565381181011749E-2</v>
      </c>
      <c r="AC7" s="145">
        <f t="shared" si="4"/>
        <v>3.101191171711292E-3</v>
      </c>
      <c r="AD7" s="145">
        <f t="shared" si="7"/>
        <v>1.1367741702079269E-2</v>
      </c>
      <c r="AE7" s="146">
        <f t="shared" si="5"/>
        <v>-2.8128918411925867</v>
      </c>
      <c r="AF7" s="146">
        <f t="shared" si="6"/>
        <v>2.1141480010057633E-4</v>
      </c>
      <c r="AH7" s="183"/>
      <c r="AI7" s="183"/>
      <c r="AJ7" s="183"/>
    </row>
    <row r="8" spans="1:36" x14ac:dyDescent="0.25">
      <c r="A8" s="95" t="b">
        <v>0</v>
      </c>
      <c r="B8" s="107" t="s">
        <v>610</v>
      </c>
      <c r="C8" s="108">
        <f>H4</f>
        <v>2.2173459515442925E-7</v>
      </c>
      <c r="D8" s="108">
        <v>1.5392483148537927E-10</v>
      </c>
      <c r="E8" s="108">
        <v>5.0509225500401457E-8</v>
      </c>
      <c r="F8" s="109">
        <f>(2*H$10-F$7-F$9)/2</f>
        <v>144.25289122937403</v>
      </c>
      <c r="G8" s="109">
        <f>G7</f>
        <v>40.982374919254951</v>
      </c>
      <c r="H8" s="118">
        <f>H14*F33*H28</f>
        <v>84.348800475234555</v>
      </c>
      <c r="I8" s="125">
        <v>8.5998376056400008E-3</v>
      </c>
      <c r="J8" s="50">
        <v>1.8627282646485971E-2</v>
      </c>
      <c r="K8" s="50">
        <v>2.9191843946203022E-3</v>
      </c>
      <c r="L8" s="67">
        <v>9.5975122440512366E-3</v>
      </c>
      <c r="M8" s="27"/>
      <c r="N8" s="18">
        <v>2.307661947574837E-7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2.1141480010057634E-6</v>
      </c>
      <c r="U8" s="173">
        <v>1.4749344717060188E-2</v>
      </c>
      <c r="V8" s="173">
        <v>9.5975122440512366E-3</v>
      </c>
      <c r="W8" s="174">
        <v>8.4636568317430147E-3</v>
      </c>
      <c r="X8" s="174">
        <f t="shared" si="0"/>
        <v>1.0602006509226419E-2</v>
      </c>
      <c r="Y8" s="188">
        <f t="shared" si="1"/>
        <v>7.5578263982813665</v>
      </c>
      <c r="AA8" s="144">
        <f t="shared" si="2"/>
        <v>8.5998376056400011E-2</v>
      </c>
      <c r="AB8" s="145">
        <f t="shared" si="3"/>
        <v>1.8627282646485971E-2</v>
      </c>
      <c r="AC8" s="145">
        <f t="shared" si="4"/>
        <v>2.9191843946203022E-3</v>
      </c>
      <c r="AD8" s="145">
        <f t="shared" si="7"/>
        <v>1.0602006509226419E-2</v>
      </c>
      <c r="AE8" s="146">
        <f t="shared" si="5"/>
        <v>-2.6847329536551983</v>
      </c>
      <c r="AF8" s="146">
        <f t="shared" si="6"/>
        <v>2.1141480010057633E-4</v>
      </c>
      <c r="AH8" s="183"/>
      <c r="AI8" s="183"/>
      <c r="AJ8" s="183"/>
    </row>
    <row r="9" spans="1:36" ht="19.5" x14ac:dyDescent="0.3">
      <c r="A9" s="72" t="s">
        <v>522</v>
      </c>
      <c r="B9" s="111" t="s">
        <v>611</v>
      </c>
      <c r="C9" s="112">
        <f>H6</f>
        <v>1.2469520505253646E-6</v>
      </c>
      <c r="D9" s="113">
        <v>7.9300000000000003E-12</v>
      </c>
      <c r="E9" s="113">
        <v>3.6399999999999998E-10</v>
      </c>
      <c r="F9" s="160">
        <f>F7</f>
        <v>84.348800475234555</v>
      </c>
      <c r="G9" s="115">
        <f>G7</f>
        <v>40.982374919254951</v>
      </c>
      <c r="H9" s="117" t="s">
        <v>676</v>
      </c>
      <c r="I9" s="125">
        <v>8.6858359817000002E-3</v>
      </c>
      <c r="J9" s="50">
        <v>1.8342231869864459E-2</v>
      </c>
      <c r="K9" s="50">
        <v>2.6764391835202104E-3</v>
      </c>
      <c r="L9" s="67">
        <v>8.9068324221921111E-3</v>
      </c>
      <c r="M9" s="27"/>
      <c r="N9" s="18">
        <v>2.995198721662014E-7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2.1702613482464512E-6</v>
      </c>
      <c r="U9" s="173">
        <v>1.352784387899472E-2</v>
      </c>
      <c r="V9" s="173">
        <v>8.9068324221921111E-3</v>
      </c>
      <c r="W9" s="174">
        <v>8.327921206986149E-3</v>
      </c>
      <c r="X9" s="174">
        <f t="shared" si="0"/>
        <v>9.9173574825912741E-3</v>
      </c>
      <c r="Y9" s="188">
        <f t="shared" si="1"/>
        <v>9.9085957381770893</v>
      </c>
      <c r="AA9" s="144">
        <f t="shared" si="2"/>
        <v>8.6858359817000005E-2</v>
      </c>
      <c r="AB9" s="145">
        <f t="shared" si="3"/>
        <v>1.8342231869864459E-2</v>
      </c>
      <c r="AC9" s="145">
        <f t="shared" si="4"/>
        <v>2.6764391835202104E-3</v>
      </c>
      <c r="AD9" s="145">
        <f t="shared" si="7"/>
        <v>9.9173574825912741E-3</v>
      </c>
      <c r="AE9" s="146">
        <f t="shared" si="5"/>
        <v>-2.6847329536551983</v>
      </c>
      <c r="AF9" s="146">
        <f t="shared" si="6"/>
        <v>2.1702613482464512E-4</v>
      </c>
      <c r="AH9" s="183"/>
      <c r="AI9" s="183"/>
      <c r="AJ9" s="183"/>
    </row>
    <row r="10" spans="1:36" x14ac:dyDescent="0.25">
      <c r="A10" s="73">
        <v>6.1257889959590637</v>
      </c>
      <c r="B10" s="107" t="s">
        <v>610</v>
      </c>
      <c r="C10" s="108">
        <f>H4</f>
        <v>2.2173459515442925E-7</v>
      </c>
      <c r="D10" s="108">
        <v>1.5392483148537927E-10</v>
      </c>
      <c r="E10" s="108">
        <v>5.0509225500401457E-8</v>
      </c>
      <c r="F10" s="109">
        <f>(2*H$10-F$7-F$9)/2</f>
        <v>144.25289122937403</v>
      </c>
      <c r="G10" s="109">
        <f>G7</f>
        <v>40.982374919254951</v>
      </c>
      <c r="H10" s="118">
        <f>H38*H22*H28</f>
        <v>228.60169170460858</v>
      </c>
      <c r="I10" s="125">
        <v>8.7726943415100001E-3</v>
      </c>
      <c r="J10" s="50">
        <v>1.6082737433594403E-2</v>
      </c>
      <c r="K10" s="50">
        <v>2.5544814286260777E-3</v>
      </c>
      <c r="L10" s="67">
        <v>8.2995560244912975E-3</v>
      </c>
      <c r="M10" s="27"/>
      <c r="N10" s="18">
        <v>3.6913497802404518E-7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2.1702613482464512E-6</v>
      </c>
      <c r="U10" s="173">
        <v>1.2387152446335875E-2</v>
      </c>
      <c r="V10" s="173">
        <v>8.2995560244912975E-3</v>
      </c>
      <c r="W10" s="174">
        <v>8.2678264585693845E-3</v>
      </c>
      <c r="X10" s="174">
        <f t="shared" si="0"/>
        <v>9.3135227384719636E-3</v>
      </c>
      <c r="Y10" s="188">
        <f t="shared" si="1"/>
        <v>7.0221657753170348</v>
      </c>
      <c r="AA10" s="144">
        <f t="shared" si="2"/>
        <v>8.7726943415099998E-2</v>
      </c>
      <c r="AB10" s="145">
        <f t="shared" si="3"/>
        <v>1.6082737433594403E-2</v>
      </c>
      <c r="AC10" s="145">
        <f t="shared" si="4"/>
        <v>2.5544814286260777E-3</v>
      </c>
      <c r="AD10" s="145">
        <f t="shared" si="7"/>
        <v>9.3135227384719636E-3</v>
      </c>
      <c r="AE10" s="146">
        <f t="shared" si="5"/>
        <v>-2.613415234852849</v>
      </c>
      <c r="AF10" s="146">
        <f t="shared" si="6"/>
        <v>2.1702613482464512E-4</v>
      </c>
      <c r="AH10" s="183"/>
      <c r="AI10" s="183"/>
      <c r="AJ10" s="183"/>
    </row>
    <row r="11" spans="1:36" ht="19.5" x14ac:dyDescent="0.3">
      <c r="B11" s="111" t="s">
        <v>611</v>
      </c>
      <c r="C11" s="112">
        <f>H6</f>
        <v>1.2469520505253646E-6</v>
      </c>
      <c r="D11" s="113">
        <v>7.9300000000000003E-12</v>
      </c>
      <c r="E11" s="113">
        <v>3.6399999999999998E-10</v>
      </c>
      <c r="F11" s="160">
        <f>F7</f>
        <v>84.348800475234555</v>
      </c>
      <c r="G11" s="115">
        <f>G7</f>
        <v>40.982374919254951</v>
      </c>
      <c r="H11" s="117" t="s">
        <v>675</v>
      </c>
      <c r="I11" s="125">
        <v>8.86042128493E-3</v>
      </c>
      <c r="J11" s="50">
        <v>1.3370744253692722E-2</v>
      </c>
      <c r="K11" s="50">
        <v>2.2844740030853595E-3</v>
      </c>
      <c r="L11" s="67">
        <v>7.7752548285223554E-3</v>
      </c>
      <c r="M11" s="27"/>
      <c r="N11" s="18">
        <v>4.3915563739579004E-7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2.2337565362949153E-6</v>
      </c>
      <c r="U11" s="173">
        <v>1.132892556309943E-2</v>
      </c>
      <c r="V11" s="173">
        <v>7.7752548285223554E-3</v>
      </c>
      <c r="W11" s="174">
        <v>8.280707703984971E-3</v>
      </c>
      <c r="X11" s="174">
        <f t="shared" si="0"/>
        <v>8.790035731032278E-3</v>
      </c>
      <c r="Y11" s="188">
        <f t="shared" si="1"/>
        <v>4.0206185797090894</v>
      </c>
      <c r="AA11" s="144">
        <f t="shared" si="2"/>
        <v>8.8604212849300007E-2</v>
      </c>
      <c r="AB11" s="145">
        <f t="shared" si="3"/>
        <v>1.3370744253692722E-2</v>
      </c>
      <c r="AC11" s="145">
        <f t="shared" si="4"/>
        <v>2.2844740030853595E-3</v>
      </c>
      <c r="AD11" s="145">
        <f t="shared" si="7"/>
        <v>8.790035731032278E-3</v>
      </c>
      <c r="AE11" s="146">
        <f t="shared" si="5"/>
        <v>-2.613415234852849</v>
      </c>
      <c r="AF11" s="146">
        <f t="shared" si="6"/>
        <v>2.2337565362949154E-4</v>
      </c>
      <c r="AH11" s="183"/>
      <c r="AI11" s="183"/>
      <c r="AJ11" s="183"/>
    </row>
    <row r="12" spans="1:36" ht="19.5" x14ac:dyDescent="0.3">
      <c r="A12" s="87" t="s">
        <v>515</v>
      </c>
      <c r="B12" s="107" t="s">
        <v>610</v>
      </c>
      <c r="C12" s="108">
        <f>H4</f>
        <v>2.2173459515442925E-7</v>
      </c>
      <c r="D12" s="108">
        <v>1.5392483148537927E-10</v>
      </c>
      <c r="E12" s="108">
        <v>5.0509225500401457E-8</v>
      </c>
      <c r="F12" s="109">
        <f>F32*H22*H28-(F11-H22*F33*H28)/2</f>
        <v>70.285620826868524</v>
      </c>
      <c r="G12" s="109">
        <f>G7</f>
        <v>40.982374919254951</v>
      </c>
      <c r="H12" s="118">
        <f>SUM(F6:F12)</f>
        <v>737.49230285817021</v>
      </c>
      <c r="I12" s="125">
        <v>8.9490254977800006E-3</v>
      </c>
      <c r="J12" s="50">
        <v>1.8460316064596569E-2</v>
      </c>
      <c r="K12" s="50">
        <v>2.3642920951149359E-3</v>
      </c>
      <c r="L12" s="67">
        <v>7.3320829245588611E-3</v>
      </c>
      <c r="M12" s="27"/>
      <c r="N12" s="18">
        <v>5.093482334753733E-7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2.2337565362949153E-6</v>
      </c>
      <c r="U12" s="173">
        <v>1.0351127080649723E-2</v>
      </c>
      <c r="V12" s="173">
        <v>7.3320829245588611E-3</v>
      </c>
      <c r="W12" s="174">
        <v>8.3646532310734188E-3</v>
      </c>
      <c r="X12" s="174">
        <f t="shared" si="0"/>
        <v>8.3449865402102155E-3</v>
      </c>
      <c r="Y12" s="188">
        <f t="shared" si="1"/>
        <v>18.304497461161045</v>
      </c>
      <c r="AA12" s="144">
        <f t="shared" si="2"/>
        <v>8.9490254977799999E-2</v>
      </c>
      <c r="AB12" s="145">
        <f t="shared" si="3"/>
        <v>1.8460316064596569E-2</v>
      </c>
      <c r="AC12" s="145">
        <f t="shared" si="4"/>
        <v>2.3642920951149359E-3</v>
      </c>
      <c r="AD12" s="145">
        <f t="shared" si="7"/>
        <v>8.3449865402102155E-3</v>
      </c>
      <c r="AE12" s="146">
        <f t="shared" si="5"/>
        <v>-2.5611629638661855</v>
      </c>
      <c r="AF12" s="146">
        <f t="shared" si="6"/>
        <v>2.2337565362949154E-4</v>
      </c>
      <c r="AH12" s="183"/>
      <c r="AI12" s="183"/>
      <c r="AJ12" s="183"/>
    </row>
    <row r="13" spans="1:36" ht="18.75" x14ac:dyDescent="0.25">
      <c r="A13" s="90">
        <v>2.0000000000000001E-4</v>
      </c>
      <c r="B13" s="155" t="s">
        <v>612</v>
      </c>
      <c r="C13" s="128">
        <v>-5.6000000000000004E-7</v>
      </c>
      <c r="D13" s="128">
        <v>1.2366419808836742E-10</v>
      </c>
      <c r="E13" s="128">
        <v>5.3639993783027661E-8</v>
      </c>
      <c r="F13" s="139">
        <v>200</v>
      </c>
      <c r="G13" s="139">
        <v>87</v>
      </c>
      <c r="H13" s="185" t="s">
        <v>694</v>
      </c>
      <c r="I13" s="125">
        <v>9.0385157527600006E-3</v>
      </c>
      <c r="J13" s="50">
        <v>1.5065074291724139E-2</v>
      </c>
      <c r="K13" s="50">
        <v>2.0253510639574954E-3</v>
      </c>
      <c r="L13" s="67">
        <v>6.9691280895655423E-3</v>
      </c>
      <c r="M13" s="27"/>
      <c r="N13" s="18">
        <v>5.7960038782447302E-7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2.3007661947574838E-6</v>
      </c>
      <c r="U13" s="173">
        <v>9.4549663396989499E-3</v>
      </c>
      <c r="V13" s="173">
        <v>6.9691280895655423E-3</v>
      </c>
      <c r="W13" s="174">
        <v>8.516547362695753E-3</v>
      </c>
      <c r="X13" s="174">
        <f t="shared" si="0"/>
        <v>7.9774424703814469E-3</v>
      </c>
      <c r="Y13" s="188">
        <f t="shared" si="1"/>
        <v>12.246209188802382</v>
      </c>
      <c r="AA13" s="144">
        <f t="shared" si="2"/>
        <v>9.0385157527600013E-2</v>
      </c>
      <c r="AB13" s="145">
        <f t="shared" si="3"/>
        <v>1.5065074291724139E-2</v>
      </c>
      <c r="AC13" s="145">
        <f t="shared" si="4"/>
        <v>2.0253510639574954E-3</v>
      </c>
      <c r="AD13" s="145">
        <f t="shared" si="7"/>
        <v>7.9774424703814469E-3</v>
      </c>
      <c r="AE13" s="146">
        <f t="shared" si="5"/>
        <v>-2.5611629638661855</v>
      </c>
      <c r="AF13" s="146">
        <f t="shared" si="6"/>
        <v>2.3007661947574838E-4</v>
      </c>
      <c r="AH13" s="183"/>
      <c r="AI13" s="183"/>
      <c r="AJ13" s="183"/>
    </row>
    <row r="14" spans="1:36" ht="17.25" x14ac:dyDescent="0.3">
      <c r="A14" s="87" t="s">
        <v>517</v>
      </c>
      <c r="C14" s="19"/>
      <c r="H14" s="156">
        <v>1.8943908933859539</v>
      </c>
      <c r="I14" s="125">
        <v>9.1289009102799995E-3</v>
      </c>
      <c r="J14" s="50">
        <v>1.3650032553808136E-2</v>
      </c>
      <c r="K14" s="50">
        <v>2.0279518645282281E-3</v>
      </c>
      <c r="L14" s="67">
        <v>6.6848120777691679E-3</v>
      </c>
      <c r="M14" s="27"/>
      <c r="N14" s="18">
        <v>6.4986628547250992E-7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2.3007661947574838E-6</v>
      </c>
      <c r="U14" s="173">
        <v>8.6402381912267789E-3</v>
      </c>
      <c r="V14" s="173">
        <v>6.6848120777691679E-3</v>
      </c>
      <c r="W14" s="174">
        <v>8.7333559938649087E-3</v>
      </c>
      <c r="X14" s="174">
        <f t="shared" si="0"/>
        <v>7.6858045851575059E-3</v>
      </c>
      <c r="Y14" s="188">
        <f t="shared" si="1"/>
        <v>8.6495434618024412</v>
      </c>
      <c r="AA14" s="144">
        <f t="shared" si="2"/>
        <v>9.1289009102799995E-2</v>
      </c>
      <c r="AB14" s="145">
        <f t="shared" si="3"/>
        <v>1.3650032553808136E-2</v>
      </c>
      <c r="AC14" s="145">
        <f t="shared" si="4"/>
        <v>2.0279518645282281E-3</v>
      </c>
      <c r="AD14" s="145">
        <f t="shared" si="7"/>
        <v>7.6858045851575059E-3</v>
      </c>
      <c r="AE14" s="146">
        <f t="shared" si="5"/>
        <v>-2.518640781064323</v>
      </c>
      <c r="AF14" s="146">
        <f t="shared" si="6"/>
        <v>2.3007661947574838E-4</v>
      </c>
      <c r="AH14" s="183"/>
      <c r="AI14" s="183"/>
      <c r="AJ14" s="183"/>
    </row>
    <row r="15" spans="1:36" ht="18.75" x14ac:dyDescent="0.25">
      <c r="A15" s="138">
        <v>2.3E-2</v>
      </c>
      <c r="C15" s="19"/>
      <c r="H15" s="116" t="s">
        <v>695</v>
      </c>
      <c r="I15" s="125">
        <v>9.2201899193900001E-3</v>
      </c>
      <c r="J15" s="50">
        <v>1.6456661438738463E-2</v>
      </c>
      <c r="K15" s="50">
        <v>1.9079365762009227E-3</v>
      </c>
      <c r="L15" s="67">
        <v>6.4773381993637764E-3</v>
      </c>
      <c r="M15" s="27"/>
      <c r="N15" s="18">
        <v>7.0294849686495344E-7</v>
      </c>
      <c r="O15" s="18">
        <v>3.6983302919706933E-11</v>
      </c>
      <c r="P15" s="18">
        <v>5.0470603752656034E-10</v>
      </c>
      <c r="Q15" s="28">
        <v>0.33636363636363636</v>
      </c>
      <c r="R15" s="61">
        <v>104.66359218935676</v>
      </c>
      <c r="S15" s="58">
        <v>2.3695198721662014E-6</v>
      </c>
      <c r="U15" s="173">
        <v>7.9065508887942535E-3</v>
      </c>
      <c r="V15" s="173">
        <v>6.4773381993637764E-3</v>
      </c>
      <c r="W15" s="174">
        <v>9.011835390129801E-3</v>
      </c>
      <c r="X15" s="174">
        <f t="shared" si="0"/>
        <v>7.4682656694129018E-3</v>
      </c>
      <c r="Y15" s="188">
        <f t="shared" si="1"/>
        <v>22.194047224709326</v>
      </c>
      <c r="AA15" s="144">
        <f t="shared" si="2"/>
        <v>9.2201899193899997E-2</v>
      </c>
      <c r="AB15" s="145">
        <f t="shared" si="3"/>
        <v>1.6456661438738463E-2</v>
      </c>
      <c r="AC15" s="145">
        <f t="shared" si="4"/>
        <v>1.9079365762009227E-3</v>
      </c>
      <c r="AD15" s="145">
        <f t="shared" si="7"/>
        <v>7.4682656694129018E-3</v>
      </c>
      <c r="AE15" s="146">
        <f t="shared" si="5"/>
        <v>-2.518640781064323</v>
      </c>
      <c r="AF15" s="146">
        <f t="shared" si="6"/>
        <v>2.3695198721662014E-4</v>
      </c>
      <c r="AH15" s="183"/>
      <c r="AI15" s="183"/>
      <c r="AJ15" s="183"/>
    </row>
    <row r="16" spans="1:36" x14ac:dyDescent="0.25">
      <c r="A16" s="88" t="s">
        <v>516</v>
      </c>
      <c r="C16" s="19"/>
      <c r="H16" s="157">
        <f>1-1/H14</f>
        <v>0.47212584082230125</v>
      </c>
      <c r="I16" s="125">
        <v>9.3123918185800004E-3</v>
      </c>
      <c r="J16" s="50">
        <v>1.5822088505373477E-2</v>
      </c>
      <c r="K16" s="50">
        <v>1.8891260536490798E-3</v>
      </c>
      <c r="L16" s="67">
        <v>6.3446898464850328E-3</v>
      </c>
      <c r="M16" s="27"/>
      <c r="N16" s="18">
        <v>8.2405784005722283E-7</v>
      </c>
      <c r="O16" s="18">
        <v>3.5226440516024389E-11</v>
      </c>
      <c r="P16" s="18">
        <v>6.2290816718689221E-10</v>
      </c>
      <c r="Q16" s="28">
        <v>0.67272727272727273</v>
      </c>
      <c r="R16" s="61">
        <v>105.03077359861321</v>
      </c>
      <c r="S16" s="58">
        <v>2.3695198721662014E-6</v>
      </c>
      <c r="U16" s="173">
        <v>7.2533194954367275E-3</v>
      </c>
      <c r="V16" s="173">
        <v>6.3446898464850328E-3</v>
      </c>
      <c r="W16" s="174">
        <v>9.3485372538022245E-3</v>
      </c>
      <c r="X16" s="174">
        <f t="shared" si="0"/>
        <v>7.3228091105522544E-3</v>
      </c>
      <c r="Y16" s="188">
        <f t="shared" si="1"/>
        <v>20.241483401878487</v>
      </c>
      <c r="AA16" s="144">
        <f t="shared" si="2"/>
        <v>9.31239181858E-2</v>
      </c>
      <c r="AB16" s="145">
        <f t="shared" si="3"/>
        <v>1.5822088505373477E-2</v>
      </c>
      <c r="AC16" s="145">
        <f t="shared" si="4"/>
        <v>1.8891260536490798E-3</v>
      </c>
      <c r="AD16" s="145">
        <f t="shared" si="7"/>
        <v>7.3228091105522544E-3</v>
      </c>
      <c r="AE16" s="146">
        <f t="shared" si="5"/>
        <v>-2.4819226401386785</v>
      </c>
      <c r="AF16" s="146">
        <f t="shared" si="6"/>
        <v>2.3695198721662014E-4</v>
      </c>
      <c r="AH16" s="183"/>
      <c r="AI16" s="183"/>
      <c r="AJ16" s="183"/>
    </row>
    <row r="17" spans="1:36" ht="18.75" x14ac:dyDescent="0.25">
      <c r="A17" s="89">
        <v>4.25</v>
      </c>
      <c r="B17" s="119"/>
      <c r="C17" s="120"/>
      <c r="D17" s="120"/>
      <c r="E17" s="120"/>
      <c r="F17" s="120"/>
      <c r="G17" s="120"/>
      <c r="H17" s="185" t="s">
        <v>678</v>
      </c>
      <c r="I17" s="125">
        <v>9.4055157367700006E-3</v>
      </c>
      <c r="J17" s="50">
        <v>1.0677035469070766E-2</v>
      </c>
      <c r="K17" s="50">
        <v>1.5447013247559468E-3</v>
      </c>
      <c r="L17" s="67">
        <v>6.2846300212679018E-3</v>
      </c>
      <c r="M17" s="27"/>
      <c r="N17" s="18">
        <v>9.6843607317608502E-7</v>
      </c>
      <c r="O17" s="18">
        <v>3.3224943856902097E-11</v>
      </c>
      <c r="P17" s="18">
        <v>8.1746735191254606E-10</v>
      </c>
      <c r="Q17" s="28">
        <v>0.67272727272727273</v>
      </c>
      <c r="R17" s="61">
        <v>105.03077359861321</v>
      </c>
      <c r="S17" s="58">
        <v>2.4391349780240453E-6</v>
      </c>
      <c r="U17" s="173">
        <v>6.6797599296328008E-3</v>
      </c>
      <c r="V17" s="173">
        <v>6.2846300212679018E-3</v>
      </c>
      <c r="W17" s="174">
        <v>9.7398149296630977E-3</v>
      </c>
      <c r="X17" s="174">
        <f t="shared" si="0"/>
        <v>7.2472087254579261E-3</v>
      </c>
      <c r="Y17" s="188">
        <f t="shared" si="1"/>
        <v>4.9300954403708346</v>
      </c>
      <c r="AA17" s="144">
        <f t="shared" si="2"/>
        <v>9.405515736770001E-2</v>
      </c>
      <c r="AB17" s="145">
        <f t="shared" si="3"/>
        <v>1.0677035469070766E-2</v>
      </c>
      <c r="AC17" s="145">
        <f t="shared" si="4"/>
        <v>1.5447013247559468E-3</v>
      </c>
      <c r="AD17" s="145">
        <f t="shared" si="7"/>
        <v>7.2472087254579261E-3</v>
      </c>
      <c r="AE17" s="146">
        <f t="shared" si="5"/>
        <v>-2.4819226401386785</v>
      </c>
      <c r="AF17" s="146">
        <f t="shared" si="6"/>
        <v>2.4391349780240453E-4</v>
      </c>
      <c r="AH17" s="183"/>
      <c r="AI17" s="183"/>
      <c r="AJ17" s="183"/>
    </row>
    <row r="18" spans="1:36" x14ac:dyDescent="0.25">
      <c r="B18" s="119"/>
      <c r="C18" s="120"/>
      <c r="D18" s="120"/>
      <c r="E18" s="120"/>
      <c r="F18" s="120"/>
      <c r="G18" s="120"/>
      <c r="H18" s="156">
        <v>2.0157154758991935</v>
      </c>
      <c r="I18" s="125">
        <v>9.4995708941299998E-3</v>
      </c>
      <c r="J18" s="50">
        <v>1.2986244200938414E-2</v>
      </c>
      <c r="K18" s="50">
        <v>1.6141248713785581E-3</v>
      </c>
      <c r="L18" s="67">
        <v>6.2947019147425558E-3</v>
      </c>
      <c r="N18" s="18">
        <v>1.0824694663931442E-6</v>
      </c>
      <c r="O18" s="18">
        <v>3.1801651114376499E-11</v>
      </c>
      <c r="P18" s="18">
        <v>1.0620939362608109E-9</v>
      </c>
      <c r="Q18" s="28">
        <v>0.67272727272727273</v>
      </c>
      <c r="R18" s="61">
        <v>105.36062844830079</v>
      </c>
      <c r="S18" s="58">
        <v>2.4391349780240453E-6</v>
      </c>
      <c r="U18" s="173">
        <v>6.1848837240401728E-3</v>
      </c>
      <c r="V18" s="173">
        <v>6.2947019147425558E-3</v>
      </c>
      <c r="W18" s="174">
        <v>1.0181830761775149E-2</v>
      </c>
      <c r="X18" s="174">
        <f t="shared" si="0"/>
        <v>7.2390295788251086E-3</v>
      </c>
      <c r="Y18" s="188">
        <f t="shared" si="1"/>
        <v>12.677702969777574</v>
      </c>
      <c r="AA18" s="144">
        <f t="shared" si="2"/>
        <v>9.4995708941299994E-2</v>
      </c>
      <c r="AB18" s="145">
        <f t="shared" si="3"/>
        <v>1.2986244200938414E-2</v>
      </c>
      <c r="AC18" s="145">
        <f t="shared" si="4"/>
        <v>1.6141248713785581E-3</v>
      </c>
      <c r="AD18" s="145">
        <f t="shared" si="7"/>
        <v>7.2390295788251086E-3</v>
      </c>
      <c r="AE18" s="146">
        <f t="shared" si="5"/>
        <v>-2.4489371551699208</v>
      </c>
      <c r="AF18" s="146">
        <f t="shared" si="6"/>
        <v>2.4391349780240453E-4</v>
      </c>
      <c r="AH18" s="183"/>
      <c r="AI18" s="183"/>
      <c r="AJ18" s="183"/>
    </row>
    <row r="19" spans="1:36" ht="18.75" x14ac:dyDescent="0.25">
      <c r="B19" s="124"/>
      <c r="C19" s="120"/>
      <c r="D19" s="120"/>
      <c r="E19" s="120"/>
      <c r="F19" s="120"/>
      <c r="G19" s="120"/>
      <c r="H19" s="116" t="s">
        <v>679</v>
      </c>
      <c r="I19" s="125">
        <v>9.5945666030799997E-3</v>
      </c>
      <c r="J19" s="50">
        <v>1.2026131907156236E-2</v>
      </c>
      <c r="K19" s="50">
        <v>1.3963013342980649E-3</v>
      </c>
      <c r="L19" s="67">
        <v>6.372230578952206E-3</v>
      </c>
      <c r="N19" s="18">
        <v>1.1609007952452855E-6</v>
      </c>
      <c r="O19" s="18">
        <v>3.1057952027809529E-11</v>
      </c>
      <c r="P19" s="18">
        <v>1.3661643191574863E-9</v>
      </c>
      <c r="Q19" s="28">
        <v>0.67272727272727273</v>
      </c>
      <c r="R19" s="61">
        <v>105.36062844830079</v>
      </c>
      <c r="S19" s="58">
        <v>2.5091556373957901E-6</v>
      </c>
      <c r="U19" s="173">
        <v>5.7674935636589661E-3</v>
      </c>
      <c r="V19" s="173">
        <v>6.372230578952206E-3</v>
      </c>
      <c r="W19" s="174">
        <v>1.0670564609857996E-2</v>
      </c>
      <c r="X19" s="174">
        <f t="shared" si="0"/>
        <v>7.2956298328553434E-3</v>
      </c>
      <c r="Y19" s="188">
        <f t="shared" si="1"/>
        <v>11.477734339097484</v>
      </c>
      <c r="AA19" s="144">
        <f t="shared" si="2"/>
        <v>9.59456660308E-2</v>
      </c>
      <c r="AB19" s="145">
        <f t="shared" si="3"/>
        <v>1.2026131907156236E-2</v>
      </c>
      <c r="AC19" s="145">
        <f t="shared" si="4"/>
        <v>1.3963013342980649E-3</v>
      </c>
      <c r="AD19" s="145">
        <f t="shared" si="7"/>
        <v>7.2956298328553434E-3</v>
      </c>
      <c r="AE19" s="146">
        <f t="shared" si="5"/>
        <v>-2.4489371551699208</v>
      </c>
      <c r="AF19" s="146">
        <f t="shared" si="6"/>
        <v>2.5091556373957899E-4</v>
      </c>
      <c r="AH19" s="183"/>
      <c r="AI19" s="183"/>
      <c r="AJ19" s="183"/>
    </row>
    <row r="20" spans="1:36" x14ac:dyDescent="0.25">
      <c r="H20" s="157">
        <f>1-1/H18</f>
        <v>0.50389823764491937</v>
      </c>
      <c r="I20" s="125">
        <v>9.69051226911E-3</v>
      </c>
      <c r="J20" s="50">
        <v>1.223639494498035E-2</v>
      </c>
      <c r="K20" s="50">
        <v>1.288615786223162E-3</v>
      </c>
      <c r="L20" s="67">
        <v>6.5143257299993792E-3</v>
      </c>
      <c r="N20" s="18">
        <v>1.2050519701903314E-6</v>
      </c>
      <c r="O20" s="18">
        <v>3.0989987665824604E-11</v>
      </c>
      <c r="P20" s="18">
        <v>1.7398125680478673E-9</v>
      </c>
      <c r="Q20" s="28">
        <v>0.67272727272727273</v>
      </c>
      <c r="R20" s="61">
        <v>105.66574430796707</v>
      </c>
      <c r="S20" s="58">
        <v>2.5091556373957901E-6</v>
      </c>
      <c r="U20" s="173">
        <v>5.4261796724526549E-3</v>
      </c>
      <c r="V20" s="173">
        <v>6.5143257299993792E-3</v>
      </c>
      <c r="W20" s="174">
        <v>1.1201823525509302E-2</v>
      </c>
      <c r="X20" s="174">
        <f t="shared" si="0"/>
        <v>7.4141636644901787E-3</v>
      </c>
      <c r="Y20" s="188">
        <f t="shared" si="1"/>
        <v>14.003905678892357</v>
      </c>
      <c r="AA20" s="144">
        <f t="shared" si="2"/>
        <v>9.6905122691099993E-2</v>
      </c>
      <c r="AB20" s="145">
        <f t="shared" si="3"/>
        <v>1.223639494498035E-2</v>
      </c>
      <c r="AC20" s="145">
        <f t="shared" si="4"/>
        <v>1.288615786223162E-3</v>
      </c>
      <c r="AD20" s="145">
        <f t="shared" si="7"/>
        <v>7.4141636644901787E-3</v>
      </c>
      <c r="AE20" s="146">
        <f t="shared" si="5"/>
        <v>-2.4184255692032921</v>
      </c>
      <c r="AF20" s="146">
        <f t="shared" si="6"/>
        <v>2.5091556373957899E-4</v>
      </c>
      <c r="AH20" s="183"/>
      <c r="AI20" s="183"/>
      <c r="AJ20" s="183"/>
    </row>
    <row r="21" spans="1:36" s="17" customFormat="1" ht="18.75" x14ac:dyDescent="0.25">
      <c r="A21" s="64"/>
      <c r="B21" s="120"/>
      <c r="C21" s="120"/>
      <c r="D21" s="120"/>
      <c r="E21" s="120"/>
      <c r="F21" s="120"/>
      <c r="G21" s="120"/>
      <c r="H21" s="185" t="s">
        <v>672</v>
      </c>
      <c r="I21" s="125">
        <v>9.7874173918000001E-3</v>
      </c>
      <c r="J21" s="50">
        <v>1.5055612884297834E-2</v>
      </c>
      <c r="K21" s="50">
        <v>1.3299056050294085E-3</v>
      </c>
      <c r="L21" s="67">
        <v>6.7178857138394006E-3</v>
      </c>
      <c r="M21" s="31"/>
      <c r="N21" s="18">
        <v>1.2204899653385656E-6</v>
      </c>
      <c r="O21" s="18">
        <v>3.1526099309720329E-11</v>
      </c>
      <c r="P21" s="30">
        <v>2.1937251032949351E-9</v>
      </c>
      <c r="Q21" s="66">
        <v>0.67272727272727273</v>
      </c>
      <c r="R21" s="63">
        <v>105.66574430796707</v>
      </c>
      <c r="S21" s="62">
        <v>2.5793482334753735E-6</v>
      </c>
      <c r="T21" s="80"/>
      <c r="U21" s="173">
        <v>5.1593171103336555E-3</v>
      </c>
      <c r="V21" s="173">
        <v>6.7178857138394006E-3</v>
      </c>
      <c r="W21" s="174">
        <v>1.1771252586645735E-2</v>
      </c>
      <c r="X21" s="174">
        <f t="shared" si="0"/>
        <v>7.5915852811645479E-3</v>
      </c>
      <c r="Y21" s="188">
        <f t="shared" si="1"/>
        <v>31.499585635255894</v>
      </c>
      <c r="AA21" s="144">
        <f t="shared" si="2"/>
        <v>9.7874173918000004E-2</v>
      </c>
      <c r="AB21" s="145">
        <f t="shared" si="3"/>
        <v>1.5055612884297834E-2</v>
      </c>
      <c r="AC21" s="145">
        <f t="shared" si="4"/>
        <v>1.3299056050294085E-3</v>
      </c>
      <c r="AD21" s="145">
        <f t="shared" si="7"/>
        <v>7.5915852811645479E-3</v>
      </c>
      <c r="AE21" s="146">
        <f t="shared" si="5"/>
        <v>-2.4184255692032921</v>
      </c>
      <c r="AF21" s="146">
        <f t="shared" si="6"/>
        <v>2.5793482334753737E-4</v>
      </c>
      <c r="AG21" s="80"/>
      <c r="AH21" s="183"/>
      <c r="AI21" s="183"/>
      <c r="AJ21" s="183"/>
    </row>
    <row r="22" spans="1:36" x14ac:dyDescent="0.25">
      <c r="H22" s="164">
        <f>H42*H14+(1-H42)*H18</f>
        <v>1.927255002695746</v>
      </c>
      <c r="I22" s="125">
        <v>9.8852915657199995E-3</v>
      </c>
      <c r="J22" s="50">
        <v>1.1792509499018604E-2</v>
      </c>
      <c r="K22" s="50">
        <v>2.6249010966298818E-3</v>
      </c>
      <c r="L22" s="67">
        <v>6.9796026604692458E-3</v>
      </c>
      <c r="N22" s="18">
        <v>1.2141340973159044E-6</v>
      </c>
      <c r="O22" s="18">
        <v>3.2573196386843887E-11</v>
      </c>
      <c r="P22" s="18">
        <v>2.7388607334068322E-9</v>
      </c>
      <c r="Q22" s="28">
        <v>0.67272727272727273</v>
      </c>
      <c r="R22" s="61">
        <v>105.95463979083682</v>
      </c>
      <c r="S22" s="58">
        <v>2.5793482334753735E-6</v>
      </c>
      <c r="U22" s="173">
        <v>4.9650640424505482E-3</v>
      </c>
      <c r="V22" s="173">
        <v>6.9796026604692458E-3</v>
      </c>
      <c r="W22" s="174">
        <v>1.2374346880127469E-2</v>
      </c>
      <c r="X22" s="174">
        <f t="shared" si="0"/>
        <v>7.8246540608791285E-3</v>
      </c>
      <c r="Y22" s="188">
        <f t="shared" si="1"/>
        <v>2.2849978375041973</v>
      </c>
      <c r="AA22" s="144">
        <f t="shared" si="2"/>
        <v>9.8852915657200002E-2</v>
      </c>
      <c r="AB22" s="145">
        <f t="shared" si="3"/>
        <v>1.1792509499018604E-2</v>
      </c>
      <c r="AC22" s="145">
        <f t="shared" si="4"/>
        <v>2.6249010966298818E-3</v>
      </c>
      <c r="AD22" s="145">
        <f t="shared" si="7"/>
        <v>7.8246540608791285E-3</v>
      </c>
      <c r="AE22" s="146">
        <f t="shared" si="5"/>
        <v>-2.3895360209163172</v>
      </c>
      <c r="AF22" s="146">
        <f t="shared" si="6"/>
        <v>2.5793482334753737E-4</v>
      </c>
      <c r="AH22" s="183"/>
      <c r="AI22" s="183"/>
      <c r="AJ22" s="183"/>
    </row>
    <row r="23" spans="1:36" ht="18.75" x14ac:dyDescent="0.25">
      <c r="H23" s="116" t="s">
        <v>673</v>
      </c>
      <c r="I23" s="125">
        <v>9.9841444813699998E-3</v>
      </c>
      <c r="J23" s="50">
        <v>2.280845947024078E-2</v>
      </c>
      <c r="K23" s="50">
        <v>3.560894737436213E-3</v>
      </c>
      <c r="L23" s="67">
        <v>7.2959688461165292E-3</v>
      </c>
      <c r="N23" s="18">
        <v>1.1920762149381052E-6</v>
      </c>
      <c r="O23" s="18">
        <v>3.4051449339708748E-11</v>
      </c>
      <c r="P23" s="18">
        <v>3.3860966748443518E-9</v>
      </c>
      <c r="Q23" s="28">
        <v>0.67272727272727273</v>
      </c>
      <c r="R23" s="61">
        <v>105.95463979083682</v>
      </c>
      <c r="S23" s="58">
        <v>2.6496003878244729E-6</v>
      </c>
      <c r="U23" s="173">
        <v>4.8413610360474174E-3</v>
      </c>
      <c r="V23" s="173">
        <v>7.2959688461165292E-3</v>
      </c>
      <c r="W23" s="174">
        <v>1.3006464620153542E-2</v>
      </c>
      <c r="X23" s="174">
        <f t="shared" si="0"/>
        <v>8.1099408371085036E-3</v>
      </c>
      <c r="Y23" s="188">
        <f t="shared" si="1"/>
        <v>17.038402088388544</v>
      </c>
      <c r="AA23" s="144">
        <f t="shared" si="2"/>
        <v>9.9841444813699998E-2</v>
      </c>
      <c r="AB23" s="145">
        <f t="shared" si="3"/>
        <v>2.280845947024078E-2</v>
      </c>
      <c r="AC23" s="145">
        <f t="shared" si="4"/>
        <v>3.560894737436213E-3</v>
      </c>
      <c r="AD23" s="145">
        <f t="shared" si="7"/>
        <v>8.1099408371085036E-3</v>
      </c>
      <c r="AE23" s="146">
        <f t="shared" si="5"/>
        <v>-2.3895360209163172</v>
      </c>
      <c r="AF23" s="146">
        <f t="shared" si="6"/>
        <v>2.6496003878244726E-4</v>
      </c>
      <c r="AH23" s="183"/>
      <c r="AI23" s="183"/>
      <c r="AJ23" s="183"/>
    </row>
    <row r="24" spans="1:36" x14ac:dyDescent="0.25">
      <c r="H24" s="157">
        <f>1-1/H22</f>
        <v>0.48112730354766187</v>
      </c>
      <c r="I24" s="125">
        <v>1.0083985926200001E-2</v>
      </c>
      <c r="J24" s="50">
        <v>9.9053726564971387E-3</v>
      </c>
      <c r="K24" s="50">
        <v>2.3695447730251898E-3</v>
      </c>
      <c r="L24" s="67">
        <v>7.6632842770161264E-3</v>
      </c>
      <c r="N24" s="18">
        <v>1.1586022191968389E-6</v>
      </c>
      <c r="O24" s="18">
        <v>3.5909408164641431E-11</v>
      </c>
      <c r="P24" s="18">
        <v>4.1458072343528407E-9</v>
      </c>
      <c r="Q24" s="28">
        <v>0.67272727272727273</v>
      </c>
      <c r="R24" s="61">
        <v>106.23365761646924</v>
      </c>
      <c r="S24" s="58">
        <v>2.6496003878244729E-6</v>
      </c>
      <c r="U24" s="173">
        <v>4.7859314364148515E-3</v>
      </c>
      <c r="V24" s="173">
        <v>7.6632842770161264E-3</v>
      </c>
      <c r="W24" s="174">
        <v>1.3662841385181184E-2</v>
      </c>
      <c r="X24" s="174">
        <f t="shared" si="0"/>
        <v>8.4438353439070732E-3</v>
      </c>
      <c r="Y24" s="188">
        <f t="shared" si="1"/>
        <v>0.38044333149782689</v>
      </c>
      <c r="AA24" s="144">
        <f t="shared" si="2"/>
        <v>0.10083985926200001</v>
      </c>
      <c r="AB24" s="145">
        <f t="shared" si="3"/>
        <v>9.9053726564971387E-3</v>
      </c>
      <c r="AC24" s="145">
        <f t="shared" si="4"/>
        <v>2.3695447730251898E-3</v>
      </c>
      <c r="AD24" s="145">
        <f t="shared" si="7"/>
        <v>8.4438353439070732E-3</v>
      </c>
      <c r="AE24" s="146">
        <f t="shared" si="5"/>
        <v>-2.3616342383530751</v>
      </c>
      <c r="AF24" s="146">
        <f t="shared" si="6"/>
        <v>2.6496003878244726E-4</v>
      </c>
      <c r="AH24" s="183"/>
      <c r="AI24" s="183"/>
      <c r="AJ24" s="183"/>
    </row>
    <row r="25" spans="1:36" x14ac:dyDescent="0.25">
      <c r="H25" s="130" t="s">
        <v>629</v>
      </c>
      <c r="I25" s="125">
        <v>1.01848257854E-2</v>
      </c>
      <c r="J25" s="50">
        <v>1.5603689829952087E-2</v>
      </c>
      <c r="K25" s="50">
        <v>2.3849051465651902E-3</v>
      </c>
      <c r="L25" s="67">
        <v>8.0776655006191567E-3</v>
      </c>
      <c r="N25" s="18">
        <v>1.1161996687455644E-6</v>
      </c>
      <c r="O25" s="18">
        <v>3.8123055897146559E-11</v>
      </c>
      <c r="P25" s="18">
        <v>5.0273884338030565E-9</v>
      </c>
      <c r="Q25" s="28">
        <v>0.67272727272727273</v>
      </c>
      <c r="R25" s="61">
        <v>106.23365761646924</v>
      </c>
      <c r="S25" s="58">
        <v>2.7198662854725101E-6</v>
      </c>
      <c r="U25" s="173">
        <v>4.796282868186846E-3</v>
      </c>
      <c r="V25" s="173">
        <v>8.0776655006191567E-3</v>
      </c>
      <c r="W25" s="174">
        <v>1.4338605449681794E-2</v>
      </c>
      <c r="X25" s="174">
        <f t="shared" si="0"/>
        <v>8.8225548297767385E-3</v>
      </c>
      <c r="Y25" s="188">
        <f t="shared" si="1"/>
        <v>8.084674874175672</v>
      </c>
      <c r="AA25" s="144">
        <f t="shared" si="2"/>
        <v>0.10184825785400001</v>
      </c>
      <c r="AB25" s="145">
        <f t="shared" si="3"/>
        <v>1.5603689829952087E-2</v>
      </c>
      <c r="AC25" s="145">
        <f t="shared" si="4"/>
        <v>2.3849051465651902E-3</v>
      </c>
      <c r="AD25" s="145">
        <f t="shared" si="7"/>
        <v>8.8225548297767385E-3</v>
      </c>
      <c r="AE25" s="146">
        <f t="shared" si="5"/>
        <v>-2.3616342383530751</v>
      </c>
      <c r="AF25" s="146">
        <f t="shared" si="6"/>
        <v>2.7198662854725103E-4</v>
      </c>
      <c r="AH25" s="183"/>
      <c r="AI25" s="183"/>
      <c r="AJ25" s="183"/>
    </row>
    <row r="26" spans="1:36" x14ac:dyDescent="0.25">
      <c r="H26" s="180">
        <v>4.0594583992840202E-2</v>
      </c>
      <c r="I26" s="125">
        <v>1.02866740433E-2</v>
      </c>
      <c r="J26" s="50">
        <v>1.4951229161861682E-2</v>
      </c>
      <c r="K26" s="50">
        <v>2.3510663947044503E-3</v>
      </c>
      <c r="L26" s="67">
        <v>8.5355265466942679E-3</v>
      </c>
      <c r="N26" s="18">
        <v>1.0660529137616046E-6</v>
      </c>
      <c r="O26" s="18">
        <v>4.0686906371477618E-11</v>
      </c>
      <c r="P26" s="18">
        <v>6.0387483807375662E-9</v>
      </c>
      <c r="Q26" s="28">
        <v>0.67272727272727273</v>
      </c>
      <c r="R26" s="61">
        <v>106.50798841519858</v>
      </c>
      <c r="S26" s="58">
        <v>2.7198662854725101E-6</v>
      </c>
      <c r="U26" s="173">
        <v>4.8695553832981712E-3</v>
      </c>
      <c r="V26" s="173">
        <v>8.5355265466942679E-3</v>
      </c>
      <c r="W26" s="174">
        <v>1.502970815640919E-2</v>
      </c>
      <c r="X26" s="174">
        <f t="shared" si="0"/>
        <v>9.2425791582739746E-3</v>
      </c>
      <c r="Y26" s="188">
        <f t="shared" si="1"/>
        <v>5.8957226748564606</v>
      </c>
      <c r="AA26" s="144">
        <f t="shared" si="2"/>
        <v>0.102866740433</v>
      </c>
      <c r="AB26" s="145">
        <f t="shared" si="3"/>
        <v>1.4951229161861682E-2</v>
      </c>
      <c r="AC26" s="145">
        <f t="shared" si="4"/>
        <v>2.3510663947044503E-3</v>
      </c>
      <c r="AD26" s="145">
        <f t="shared" si="7"/>
        <v>9.2425791582739746E-3</v>
      </c>
      <c r="AE26" s="146">
        <f t="shared" si="5"/>
        <v>-2.3342011584801412</v>
      </c>
      <c r="AF26" s="146">
        <f t="shared" si="6"/>
        <v>2.7198662854725103E-4</v>
      </c>
      <c r="AH26" s="183"/>
      <c r="AI26" s="183"/>
      <c r="AJ26" s="183"/>
    </row>
    <row r="27" spans="1:36" x14ac:dyDescent="0.25">
      <c r="H27" s="181" t="s">
        <v>630</v>
      </c>
      <c r="I27" s="125">
        <v>1.03895407837E-2</v>
      </c>
      <c r="J27" s="50">
        <v>1.3808242029589014E-2</v>
      </c>
      <c r="K27" s="50">
        <v>2.1647882827061267E-3</v>
      </c>
      <c r="L27" s="67">
        <v>9.0317469221096649E-3</v>
      </c>
      <c r="N27" s="18">
        <v>1.0086078399426881E-6</v>
      </c>
      <c r="O27" s="18">
        <v>4.3603959622566884E-11</v>
      </c>
      <c r="P27" s="18">
        <v>7.1857890380572453E-9</v>
      </c>
      <c r="Q27" s="28">
        <v>0.67272727272727273</v>
      </c>
      <c r="R27" s="61">
        <v>106.50798841519858</v>
      </c>
      <c r="S27" s="58">
        <v>2.7729484968649535E-6</v>
      </c>
      <c r="U27" s="173">
        <v>5.0032435412198234E-3</v>
      </c>
      <c r="V27" s="173">
        <v>9.0317469221096649E-3</v>
      </c>
      <c r="W27" s="174">
        <v>1.5729263983543261E-2</v>
      </c>
      <c r="X27" s="174">
        <f t="shared" si="0"/>
        <v>9.6990003422456027E-3</v>
      </c>
      <c r="Y27" s="188">
        <f t="shared" si="1"/>
        <v>3.6032343866027197</v>
      </c>
      <c r="AA27" s="144">
        <f t="shared" si="2"/>
        <v>0.10389540783699999</v>
      </c>
      <c r="AB27" s="145">
        <f t="shared" si="3"/>
        <v>1.3808242029589014E-2</v>
      </c>
      <c r="AC27" s="145">
        <f t="shared" si="4"/>
        <v>2.1647882827061267E-3</v>
      </c>
      <c r="AD27" s="145">
        <f t="shared" si="7"/>
        <v>9.6990003422456027E-3</v>
      </c>
      <c r="AE27" s="146">
        <f t="shared" si="5"/>
        <v>-2.3342011584801412</v>
      </c>
      <c r="AF27" s="146">
        <f t="shared" si="6"/>
        <v>2.7729484968649535E-4</v>
      </c>
      <c r="AH27" s="183"/>
      <c r="AI27" s="183"/>
      <c r="AJ27" s="183"/>
    </row>
    <row r="28" spans="1:36" x14ac:dyDescent="0.25">
      <c r="H28" s="182">
        <v>1</v>
      </c>
      <c r="I28" s="125">
        <v>1.04934361916E-2</v>
      </c>
      <c r="J28" s="50">
        <v>1.638357690271177E-2</v>
      </c>
      <c r="K28" s="50">
        <v>2.1930368378853407E-3</v>
      </c>
      <c r="L28" s="67">
        <v>9.562377193512028E-3</v>
      </c>
      <c r="N28" s="18">
        <v>9.4400203600558794E-7</v>
      </c>
      <c r="O28" s="18">
        <v>4.6877874495658318E-11</v>
      </c>
      <c r="P28" s="18">
        <v>8.4719096450972706E-9</v>
      </c>
      <c r="Q28" s="28">
        <v>0.67272727272727273</v>
      </c>
      <c r="R28" s="61">
        <v>106.84435205156223</v>
      </c>
      <c r="S28" s="58">
        <v>2.7729484968649535E-6</v>
      </c>
      <c r="U28" s="173">
        <v>5.1939597458970982E-3</v>
      </c>
      <c r="V28" s="173">
        <v>9.562377193512028E-3</v>
      </c>
      <c r="W28" s="174">
        <v>1.6433110359748183E-2</v>
      </c>
      <c r="X28" s="174">
        <f t="shared" si="0"/>
        <v>1.0187956123167335E-2</v>
      </c>
      <c r="Y28" s="188">
        <f t="shared" si="1"/>
        <v>7.9813765671889731</v>
      </c>
      <c r="AA28" s="144">
        <f t="shared" si="2"/>
        <v>0.104934361916</v>
      </c>
      <c r="AB28" s="145">
        <f t="shared" si="3"/>
        <v>1.638357690271177E-2</v>
      </c>
      <c r="AC28" s="145">
        <f t="shared" si="4"/>
        <v>2.1930368378853407E-3</v>
      </c>
      <c r="AD28" s="145">
        <f t="shared" si="7"/>
        <v>1.0187956123167335E-2</v>
      </c>
      <c r="AE28" s="146">
        <f t="shared" si="5"/>
        <v>-2.3005647948437771</v>
      </c>
      <c r="AF28" s="146">
        <f t="shared" si="6"/>
        <v>2.7729484968649535E-4</v>
      </c>
      <c r="AH28" s="183"/>
      <c r="AI28" s="183"/>
      <c r="AJ28" s="183"/>
    </row>
    <row r="29" spans="1:36" x14ac:dyDescent="0.25">
      <c r="I29" s="125">
        <v>1.05983705535E-2</v>
      </c>
      <c r="J29" s="50">
        <v>1.5224103695180269E-2</v>
      </c>
      <c r="K29" s="50">
        <v>2.1395066705095847E-3</v>
      </c>
      <c r="L29" s="67">
        <v>1.0122913874295623E-2</v>
      </c>
      <c r="N29" s="18">
        <v>8.7232663334940463E-7</v>
      </c>
      <c r="O29" s="18">
        <v>5.0507962324294901E-11</v>
      </c>
      <c r="P29" s="18">
        <v>9.897564814580078E-9</v>
      </c>
      <c r="Q29" s="28">
        <v>0.67272727272727273</v>
      </c>
      <c r="R29" s="61">
        <v>106.84435205156223</v>
      </c>
      <c r="S29" s="58">
        <v>2.8940578400572229E-6</v>
      </c>
      <c r="U29" s="173">
        <v>5.4383887126372094E-3</v>
      </c>
      <c r="V29" s="173">
        <v>1.0122913874295623E-2</v>
      </c>
      <c r="W29" s="174">
        <v>1.7136121777730086E-2</v>
      </c>
      <c r="X29" s="174">
        <f t="shared" si="0"/>
        <v>1.0705084559739635E-2</v>
      </c>
      <c r="Y29" s="188">
        <f t="shared" si="1"/>
        <v>4.4612963284620477</v>
      </c>
      <c r="AA29" s="144">
        <f t="shared" si="2"/>
        <v>0.105983705535</v>
      </c>
      <c r="AB29" s="145">
        <f t="shared" si="3"/>
        <v>1.5224103695180269E-2</v>
      </c>
      <c r="AC29" s="145">
        <f t="shared" si="4"/>
        <v>2.1395066705095847E-3</v>
      </c>
      <c r="AD29" s="145">
        <f t="shared" si="7"/>
        <v>1.0705084559739635E-2</v>
      </c>
      <c r="AE29" s="146">
        <f t="shared" si="5"/>
        <v>-2.3005647948437771</v>
      </c>
      <c r="AF29" s="146">
        <f t="shared" si="6"/>
        <v>2.8940578400572228E-4</v>
      </c>
      <c r="AH29" s="183"/>
      <c r="AI29" s="183"/>
      <c r="AJ29" s="183"/>
    </row>
    <row r="30" spans="1:36" x14ac:dyDescent="0.25">
      <c r="B30" s="193" t="s">
        <v>600</v>
      </c>
      <c r="C30" s="193"/>
      <c r="D30" s="193"/>
      <c r="E30" s="193"/>
      <c r="F30" s="193"/>
      <c r="G30" s="193"/>
      <c r="H30" s="166"/>
      <c r="I30" s="125">
        <v>1.0704354259E-2</v>
      </c>
      <c r="J30" s="50">
        <v>1.4211350000860868E-2</v>
      </c>
      <c r="K30" s="50">
        <v>1.9910188287588213E-3</v>
      </c>
      <c r="L30" s="67">
        <v>1.0708732247387404E-2</v>
      </c>
      <c r="N30" s="18">
        <v>7.9376223502424647E-7</v>
      </c>
      <c r="O30" s="18">
        <v>5.4486372595158089E-11</v>
      </c>
      <c r="P30" s="18">
        <v>1.1459910759114108E-8</v>
      </c>
      <c r="Q30" s="28">
        <v>0.67272727272727273</v>
      </c>
      <c r="R30" s="61">
        <v>107.5170793242895</v>
      </c>
      <c r="S30" s="58">
        <v>2.8940578400572229E-6</v>
      </c>
      <c r="U30" s="173">
        <v>5.7330249567248718E-3</v>
      </c>
      <c r="V30" s="173">
        <v>1.0708732247387404E-2</v>
      </c>
      <c r="W30" s="174">
        <v>1.7833157457456311E-2</v>
      </c>
      <c r="X30" s="174">
        <f t="shared" si="0"/>
        <v>1.1245911727238999E-2</v>
      </c>
      <c r="Y30" s="188">
        <f t="shared" si="1"/>
        <v>2.2183345475945186</v>
      </c>
      <c r="AA30" s="144">
        <f t="shared" si="2"/>
        <v>0.10704354259</v>
      </c>
      <c r="AB30" s="145">
        <f t="shared" si="3"/>
        <v>1.4211350000860868E-2</v>
      </c>
      <c r="AC30" s="145">
        <f t="shared" si="4"/>
        <v>1.9910188287588213E-3</v>
      </c>
      <c r="AD30" s="145">
        <f t="shared" si="7"/>
        <v>1.1245911727238999E-2</v>
      </c>
      <c r="AE30" s="146">
        <f t="shared" si="5"/>
        <v>-2.2332920675710497</v>
      </c>
      <c r="AF30" s="146">
        <f t="shared" si="6"/>
        <v>2.8940578400572228E-4</v>
      </c>
      <c r="AH30" s="183"/>
      <c r="AI30" s="183"/>
      <c r="AJ30" s="183"/>
    </row>
    <row r="31" spans="1:36" ht="19.5" x14ac:dyDescent="0.3">
      <c r="B31" s="154" t="s">
        <v>613</v>
      </c>
      <c r="C31" s="161">
        <v>0</v>
      </c>
      <c r="D31" s="161">
        <v>0</v>
      </c>
      <c r="E31" s="161">
        <v>0</v>
      </c>
      <c r="F31" s="139">
        <v>100</v>
      </c>
      <c r="G31" s="139">
        <v>0</v>
      </c>
      <c r="H31" s="147" t="s">
        <v>650</v>
      </c>
      <c r="I31" s="125">
        <v>1.08113978016E-2</v>
      </c>
      <c r="J31" s="50">
        <v>1.7481979257342174E-2</v>
      </c>
      <c r="K31" s="50">
        <v>1.9932549981548971E-3</v>
      </c>
      <c r="L31" s="67">
        <v>1.1315102353821223E-2</v>
      </c>
      <c r="N31" s="18">
        <v>7.0864061147163781E-7</v>
      </c>
      <c r="O31" s="18">
        <v>5.8796687592267471E-11</v>
      </c>
      <c r="P31" s="18">
        <v>1.3152570826970628E-8</v>
      </c>
      <c r="Q31" s="28">
        <v>0.67272727272727273</v>
      </c>
      <c r="R31" s="61">
        <v>107.5170793242895</v>
      </c>
      <c r="S31" s="58">
        <v>3.0384360731760849E-6</v>
      </c>
      <c r="U31" s="173">
        <v>6.0741816662059555E-3</v>
      </c>
      <c r="V31" s="173">
        <v>1.1315102353821223E-2</v>
      </c>
      <c r="W31" s="174">
        <v>1.8519082621780134E-2</v>
      </c>
      <c r="X31" s="174">
        <f t="shared" si="0"/>
        <v>1.1805867248907134E-2</v>
      </c>
      <c r="Y31" s="188">
        <f t="shared" si="1"/>
        <v>8.1091659909182727</v>
      </c>
      <c r="AA31" s="144">
        <f t="shared" si="2"/>
        <v>0.10811397801600001</v>
      </c>
      <c r="AB31" s="145">
        <f t="shared" si="3"/>
        <v>1.7481979257342174E-2</v>
      </c>
      <c r="AC31" s="145">
        <f t="shared" si="4"/>
        <v>1.9932549981548971E-3</v>
      </c>
      <c r="AD31" s="145">
        <f t="shared" si="7"/>
        <v>1.1805867248907134E-2</v>
      </c>
      <c r="AE31" s="146">
        <f t="shared" si="5"/>
        <v>-2.2332920675710497</v>
      </c>
      <c r="AF31" s="146">
        <f t="shared" si="6"/>
        <v>3.0384360731760851E-4</v>
      </c>
      <c r="AH31" s="183"/>
      <c r="AI31" s="183"/>
      <c r="AJ31" s="183"/>
    </row>
    <row r="32" spans="1:36" x14ac:dyDescent="0.25">
      <c r="B32" s="107" t="s">
        <v>614</v>
      </c>
      <c r="C32" s="108">
        <f>H32</f>
        <v>9.4545576236162603E-7</v>
      </c>
      <c r="D32" s="108">
        <v>1.5392483148537927E-10</v>
      </c>
      <c r="E32" s="108">
        <v>5.0509225500401457E-8</v>
      </c>
      <c r="F32" s="109">
        <f>F63*H42-(F33-F64*H42)/2</f>
        <v>36.089658308560537</v>
      </c>
      <c r="G32" s="123">
        <v>36.724059660049043</v>
      </c>
      <c r="H32" s="110">
        <f>0.0000000000000001*H44*H50</f>
        <v>9.4545576236162603E-7</v>
      </c>
      <c r="I32" s="125">
        <v>1.0919511779600001E-2</v>
      </c>
      <c r="J32" s="50">
        <v>1.6688673959743806E-2</v>
      </c>
      <c r="K32" s="50">
        <v>1.9097384725775028E-3</v>
      </c>
      <c r="L32" s="67">
        <v>1.1937206094563328E-2</v>
      </c>
      <c r="N32" s="18">
        <v>6.1746751975255662E-7</v>
      </c>
      <c r="O32" s="18">
        <v>6.3413398541205574E-11</v>
      </c>
      <c r="P32" s="18">
        <v>1.4965546436826737E-8</v>
      </c>
      <c r="Q32" s="28">
        <v>0.67272727272727273</v>
      </c>
      <c r="R32" s="61">
        <v>108.18980659701677</v>
      </c>
      <c r="S32" s="58">
        <v>3.0384360731760849E-6</v>
      </c>
      <c r="U32" s="173">
        <v>6.4580008439520265E-3</v>
      </c>
      <c r="V32" s="173">
        <v>1.1937206094563328E-2</v>
      </c>
      <c r="W32" s="174">
        <v>1.9188790633493425E-2</v>
      </c>
      <c r="X32" s="174">
        <f t="shared" si="0"/>
        <v>1.2380300916643026E-2</v>
      </c>
      <c r="Y32" s="188">
        <f t="shared" si="1"/>
        <v>5.0895432035723012</v>
      </c>
      <c r="AA32" s="144">
        <f t="shared" si="2"/>
        <v>0.10919511779600001</v>
      </c>
      <c r="AB32" s="145">
        <f t="shared" si="3"/>
        <v>1.6688673959743806E-2</v>
      </c>
      <c r="AC32" s="145">
        <f t="shared" si="4"/>
        <v>1.9097384725775028E-3</v>
      </c>
      <c r="AD32" s="145">
        <f t="shared" si="7"/>
        <v>1.2380300916643026E-2</v>
      </c>
      <c r="AE32" s="146">
        <f t="shared" si="5"/>
        <v>-2.1660193402983223</v>
      </c>
      <c r="AF32" s="146">
        <f t="shared" si="6"/>
        <v>3.0384360731760851E-4</v>
      </c>
      <c r="AH32" s="183"/>
      <c r="AI32" s="183"/>
      <c r="AJ32" s="183"/>
    </row>
    <row r="33" spans="2:36" ht="18.75" x14ac:dyDescent="0.25">
      <c r="B33" s="111" t="s">
        <v>615</v>
      </c>
      <c r="C33" s="112">
        <f>H34</f>
        <v>2.8630735093003271E-6</v>
      </c>
      <c r="D33" s="113">
        <v>7.9300000000000003E-12</v>
      </c>
      <c r="E33" s="113">
        <v>3.6399999999999998E-10</v>
      </c>
      <c r="F33" s="114">
        <v>44.525552128511919</v>
      </c>
      <c r="G33" s="115">
        <f>F32</f>
        <v>36.089658308560537</v>
      </c>
      <c r="H33" s="116" t="s">
        <v>651</v>
      </c>
      <c r="I33" s="125">
        <v>1.1028706897400001E-2</v>
      </c>
      <c r="J33" s="50">
        <v>1.3294006089279803E-2</v>
      </c>
      <c r="K33" s="50">
        <v>1.622392500089587E-3</v>
      </c>
      <c r="L33" s="67">
        <v>1.2570155411070622E-2</v>
      </c>
      <c r="N33" s="18">
        <v>5.2092486675921432E-7</v>
      </c>
      <c r="O33" s="18">
        <v>6.8301999956952982E-11</v>
      </c>
      <c r="P33" s="18">
        <v>1.6885291782170518E-8</v>
      </c>
      <c r="Q33" s="28">
        <v>0.67272727272727273</v>
      </c>
      <c r="R33" s="61">
        <v>108.18980659701677</v>
      </c>
      <c r="S33" s="58">
        <v>3.1524694663931443E-6</v>
      </c>
      <c r="U33" s="173">
        <v>6.8804647138220928E-3</v>
      </c>
      <c r="V33" s="173">
        <v>1.2570155411070622E-2</v>
      </c>
      <c r="W33" s="174">
        <v>1.9837225952783623E-2</v>
      </c>
      <c r="X33" s="174">
        <f t="shared" si="0"/>
        <v>1.296450037218674E-2</v>
      </c>
      <c r="Y33" s="188">
        <f t="shared" si="1"/>
        <v>4.1249059267019952E-2</v>
      </c>
      <c r="AA33" s="144">
        <f t="shared" si="2"/>
        <v>0.11028706897400001</v>
      </c>
      <c r="AB33" s="145">
        <f t="shared" si="3"/>
        <v>1.3294006089279803E-2</v>
      </c>
      <c r="AC33" s="145">
        <f t="shared" si="4"/>
        <v>1.622392500089587E-3</v>
      </c>
      <c r="AD33" s="145">
        <f t="shared" si="7"/>
        <v>1.296450037218674E-2</v>
      </c>
      <c r="AE33" s="146">
        <f t="shared" si="5"/>
        <v>-2.1660193402983223</v>
      </c>
      <c r="AF33" s="146">
        <f t="shared" si="6"/>
        <v>3.1524694663931445E-4</v>
      </c>
      <c r="AH33" s="183"/>
      <c r="AI33" s="183"/>
      <c r="AJ33" s="183"/>
    </row>
    <row r="34" spans="2:36" x14ac:dyDescent="0.25">
      <c r="B34" s="107" t="s">
        <v>614</v>
      </c>
      <c r="C34" s="108">
        <f>H32</f>
        <v>9.4545576236162603E-7</v>
      </c>
      <c r="D34" s="108">
        <v>1.5392483148537927E-10</v>
      </c>
      <c r="E34" s="108">
        <v>5.0509225500401457E-8</v>
      </c>
      <c r="F34" s="109">
        <f>(2*H38-F35-F33)/2</f>
        <v>74.089624059824445</v>
      </c>
      <c r="G34" s="109">
        <f>G35</f>
        <v>44.5</v>
      </c>
      <c r="H34" s="110">
        <f>0.0000000000000001*(H52*H44*(H48/H46))</f>
        <v>2.8630735093003271E-6</v>
      </c>
      <c r="I34" s="125">
        <v>1.11389939664E-2</v>
      </c>
      <c r="J34" s="50">
        <v>1.6447512678306821E-2</v>
      </c>
      <c r="K34" s="50">
        <v>1.7737144761138153E-3</v>
      </c>
      <c r="L34" s="67">
        <v>1.3209011499444619E-2</v>
      </c>
      <c r="N34" s="18">
        <v>4.1985997743084476E-7</v>
      </c>
      <c r="O34" s="18">
        <v>7.3419591244609153E-11</v>
      </c>
      <c r="P34" s="18">
        <v>1.8894960823444293E-8</v>
      </c>
      <c r="Q34" s="28">
        <v>0.67272727272727273</v>
      </c>
      <c r="R34" s="61">
        <v>108.86253386974404</v>
      </c>
      <c r="S34" s="58">
        <v>3.1524694663931443E-6</v>
      </c>
      <c r="U34" s="173">
        <v>7.3374083747747383E-3</v>
      </c>
      <c r="V34" s="173">
        <v>1.3209011499444619E-2</v>
      </c>
      <c r="W34" s="174">
        <v>2.0459407864750524E-2</v>
      </c>
      <c r="X34" s="174">
        <f t="shared" si="0"/>
        <v>1.3553709809603624E-2</v>
      </c>
      <c r="Y34" s="188">
        <f t="shared" si="1"/>
        <v>2.6617696241479516</v>
      </c>
      <c r="AA34" s="144">
        <f t="shared" si="2"/>
        <v>0.111389939664</v>
      </c>
      <c r="AB34" s="145">
        <f t="shared" si="3"/>
        <v>1.6447512678306821E-2</v>
      </c>
      <c r="AC34" s="145">
        <f t="shared" si="4"/>
        <v>1.7737144761138153E-3</v>
      </c>
      <c r="AD34" s="145">
        <f t="shared" si="7"/>
        <v>1.3553709809603624E-2</v>
      </c>
      <c r="AE34" s="146">
        <f t="shared" si="5"/>
        <v>-2.0987466130255954</v>
      </c>
      <c r="AF34" s="146">
        <f t="shared" si="6"/>
        <v>3.1524694663931445E-4</v>
      </c>
      <c r="AH34" s="183"/>
      <c r="AI34" s="183"/>
      <c r="AJ34" s="183"/>
    </row>
    <row r="35" spans="2:36" ht="19.5" x14ac:dyDescent="0.3">
      <c r="B35" s="111" t="s">
        <v>615</v>
      </c>
      <c r="C35" s="112">
        <f>H34</f>
        <v>2.8630735093003271E-6</v>
      </c>
      <c r="D35" s="113">
        <v>7.9300000000000003E-12</v>
      </c>
      <c r="E35" s="113">
        <v>3.6399999999999998E-10</v>
      </c>
      <c r="F35" s="160">
        <f>F33</f>
        <v>44.525552128511919</v>
      </c>
      <c r="G35" s="123">
        <f>44.5</f>
        <v>44.5</v>
      </c>
      <c r="H35" s="117" t="s">
        <v>639</v>
      </c>
      <c r="I35" s="125">
        <v>1.12503839061E-2</v>
      </c>
      <c r="J35" s="50">
        <v>1.5347802901269796E-2</v>
      </c>
      <c r="K35" s="50">
        <v>1.7264051152489548E-3</v>
      </c>
      <c r="L35" s="67">
        <v>1.384880501735645E-2</v>
      </c>
      <c r="N35" s="18">
        <v>3.1526507326428975E-7</v>
      </c>
      <c r="O35" s="18">
        <v>7.8715930582739698E-11</v>
      </c>
      <c r="P35" s="18">
        <v>2.0974823868963845E-8</v>
      </c>
      <c r="Q35" s="28">
        <v>0.67272727272727273</v>
      </c>
      <c r="R35" s="61">
        <v>108.86253386974404</v>
      </c>
      <c r="S35" s="58">
        <v>3.2309007952452858E-6</v>
      </c>
      <c r="U35" s="173">
        <v>7.8245336847384932E-3</v>
      </c>
      <c r="V35" s="173">
        <v>1.384880501735645E-2</v>
      </c>
      <c r="W35" s="174">
        <v>2.1050454933058453E-2</v>
      </c>
      <c r="X35" s="174">
        <f t="shared" si="0"/>
        <v>1.4143149663127462E-2</v>
      </c>
      <c r="Y35" s="188">
        <f t="shared" si="1"/>
        <v>0.48689876889929073</v>
      </c>
      <c r="AA35" s="144">
        <f t="shared" si="2"/>
        <v>0.112503839061</v>
      </c>
      <c r="AB35" s="145">
        <f t="shared" si="3"/>
        <v>1.5347802901269796E-2</v>
      </c>
      <c r="AC35" s="145">
        <f t="shared" si="4"/>
        <v>1.7264051152489548E-3</v>
      </c>
      <c r="AD35" s="145">
        <f t="shared" si="7"/>
        <v>1.4143149663127462E-2</v>
      </c>
      <c r="AE35" s="146">
        <f t="shared" si="5"/>
        <v>-2.0987466130255954</v>
      </c>
      <c r="AF35" s="146">
        <f t="shared" si="6"/>
        <v>3.2309007952452856E-4</v>
      </c>
      <c r="AH35" s="183"/>
      <c r="AI35" s="183"/>
      <c r="AJ35" s="183"/>
    </row>
    <row r="36" spans="2:36" x14ac:dyDescent="0.25">
      <c r="B36" s="107" t="s">
        <v>614</v>
      </c>
      <c r="C36" s="108">
        <f>H32</f>
        <v>9.4545576236162603E-7</v>
      </c>
      <c r="D36" s="108">
        <v>1.5392483148537927E-10</v>
      </c>
      <c r="E36" s="108">
        <v>5.0509225500401457E-8</v>
      </c>
      <c r="F36" s="109">
        <f>(2*H38-F37-F35)/2</f>
        <v>74.089624059824445</v>
      </c>
      <c r="G36" s="109">
        <f>G35</f>
        <v>44.5</v>
      </c>
      <c r="H36" s="118">
        <f>H38/5</f>
        <v>23.723035237667272</v>
      </c>
      <c r="I36" s="125">
        <v>1.1362887745099999E-2</v>
      </c>
      <c r="J36" s="50">
        <v>1.6208421778132438E-2</v>
      </c>
      <c r="K36" s="50">
        <v>1.6438123891714886E-3</v>
      </c>
      <c r="L36" s="67">
        <v>1.4484557234358252E-2</v>
      </c>
      <c r="N36" s="18">
        <v>2.0824861047698764E-7</v>
      </c>
      <c r="O36" s="18">
        <v>8.4134889593007302E-11</v>
      </c>
      <c r="P36" s="18">
        <v>2.3102839435940359E-8</v>
      </c>
      <c r="Q36" s="28">
        <v>0.67272727272727273</v>
      </c>
      <c r="R36" s="61">
        <v>109.53526114247131</v>
      </c>
      <c r="S36" s="58">
        <v>3.2309007952452858E-6</v>
      </c>
      <c r="U36" s="173">
        <v>8.3374243468579759E-3</v>
      </c>
      <c r="V36" s="173">
        <v>1.4484557234358252E-2</v>
      </c>
      <c r="W36" s="174">
        <v>2.160561012686801E-2</v>
      </c>
      <c r="X36" s="174">
        <f t="shared" si="0"/>
        <v>1.4728037235610624E-2</v>
      </c>
      <c r="Y36" s="188">
        <f t="shared" si="1"/>
        <v>0.8110443156708782</v>
      </c>
      <c r="AA36" s="144">
        <f t="shared" si="2"/>
        <v>0.11362887745099999</v>
      </c>
      <c r="AB36" s="145">
        <f t="shared" si="3"/>
        <v>1.6208421778132438E-2</v>
      </c>
      <c r="AC36" s="145">
        <f t="shared" si="4"/>
        <v>1.6438123891714886E-3</v>
      </c>
      <c r="AD36" s="145">
        <f t="shared" si="7"/>
        <v>1.4728037235610624E-2</v>
      </c>
      <c r="AE36" s="146">
        <f t="shared" si="5"/>
        <v>-2.031473885752868</v>
      </c>
      <c r="AF36" s="146">
        <f t="shared" si="6"/>
        <v>3.2309007952452856E-4</v>
      </c>
      <c r="AH36" s="183"/>
      <c r="AI36" s="183"/>
      <c r="AJ36" s="183"/>
    </row>
    <row r="37" spans="2:36" ht="19.5" x14ac:dyDescent="0.3">
      <c r="B37" s="111" t="s">
        <v>615</v>
      </c>
      <c r="C37" s="112">
        <f>H34</f>
        <v>2.8630735093003271E-6</v>
      </c>
      <c r="D37" s="113">
        <v>7.9300000000000003E-12</v>
      </c>
      <c r="E37" s="113">
        <v>3.6399999999999998E-10</v>
      </c>
      <c r="F37" s="160">
        <f>F33</f>
        <v>44.525552128511919</v>
      </c>
      <c r="G37" s="115">
        <f>G36</f>
        <v>44.5</v>
      </c>
      <c r="H37" s="117" t="s">
        <v>652</v>
      </c>
      <c r="I37" s="125">
        <v>1.14765166226E-2</v>
      </c>
      <c r="J37" s="50">
        <v>1.6057111247447575E-2</v>
      </c>
      <c r="K37" s="50">
        <v>1.5855680597700759E-3</v>
      </c>
      <c r="L37" s="67">
        <v>1.5111302077828143E-2</v>
      </c>
      <c r="N37" s="18">
        <v>1.2711068808249742E-7</v>
      </c>
      <c r="O37" s="18">
        <v>8.8243445079177019E-11</v>
      </c>
      <c r="P37" s="18">
        <v>2.4716261868666253E-8</v>
      </c>
      <c r="Q37" s="28">
        <v>0.33636363636363636</v>
      </c>
      <c r="R37" s="61">
        <v>109.53526114247131</v>
      </c>
      <c r="S37" s="58">
        <v>3.2750519701903315E-6</v>
      </c>
      <c r="U37" s="173">
        <v>8.8715621684122177E-3</v>
      </c>
      <c r="V37" s="173">
        <v>1.5111302077828143E-2</v>
      </c>
      <c r="W37" s="174">
        <v>2.2120266568852982E-2</v>
      </c>
      <c r="X37" s="174">
        <f t="shared" si="0"/>
        <v>1.5303608223230371E-2</v>
      </c>
      <c r="Y37" s="188">
        <f t="shared" si="1"/>
        <v>0.22583966562286725</v>
      </c>
      <c r="AA37" s="144">
        <f t="shared" si="2"/>
        <v>0.114765166226</v>
      </c>
      <c r="AB37" s="145">
        <f t="shared" si="3"/>
        <v>1.6057111247447575E-2</v>
      </c>
      <c r="AC37" s="145">
        <f t="shared" si="4"/>
        <v>1.5855680597700759E-3</v>
      </c>
      <c r="AD37" s="145">
        <f t="shared" si="7"/>
        <v>1.5303608223230371E-2</v>
      </c>
      <c r="AE37" s="146">
        <f t="shared" si="5"/>
        <v>-2.031473885752868</v>
      </c>
      <c r="AF37" s="146">
        <f t="shared" si="6"/>
        <v>3.2750519701903316E-4</v>
      </c>
      <c r="AH37" s="183"/>
      <c r="AI37" s="183"/>
      <c r="AJ37" s="183"/>
    </row>
    <row r="38" spans="2:36" x14ac:dyDescent="0.25">
      <c r="B38" s="107" t="s">
        <v>614</v>
      </c>
      <c r="C38" s="108">
        <f>H32</f>
        <v>9.4545576236162603E-7</v>
      </c>
      <c r="D38" s="108">
        <v>1.5392483148537927E-10</v>
      </c>
      <c r="E38" s="108">
        <v>5.0509225500401457E-8</v>
      </c>
      <c r="F38" s="109">
        <f>F69*H42-(F37-F68*H42)/2</f>
        <v>64.819056983118031</v>
      </c>
      <c r="G38" s="109">
        <f>G37</f>
        <v>44.5</v>
      </c>
      <c r="H38" s="118">
        <f>H69*H42</f>
        <v>118.61517618833636</v>
      </c>
      <c r="I38" s="125">
        <v>1.1591281788799999E-2</v>
      </c>
      <c r="J38" s="50">
        <v>1.600074007277457E-2</v>
      </c>
      <c r="K38" s="50">
        <v>1.5298532435075337E-3</v>
      </c>
      <c r="L38" s="67">
        <v>1.5724109011341404E-2</v>
      </c>
      <c r="N38" s="18">
        <v>6.4484353877500134E-8</v>
      </c>
      <c r="O38" s="18">
        <v>9.1072610263260333E-11</v>
      </c>
      <c r="P38" s="18">
        <v>2.5827270004989196E-8</v>
      </c>
      <c r="Q38" s="28">
        <v>0.35684649243163219</v>
      </c>
      <c r="R38" s="61">
        <v>110.20798841519859</v>
      </c>
      <c r="S38" s="58">
        <v>3.2750519701903315E-6</v>
      </c>
      <c r="U38" s="173">
        <v>9.4223444470003283E-3</v>
      </c>
      <c r="V38" s="173">
        <v>1.5724109011341404E-2</v>
      </c>
      <c r="W38" s="174">
        <v>2.2589993836707623E-2</v>
      </c>
      <c r="X38" s="174">
        <f t="shared" si="0"/>
        <v>1.586513907659769E-2</v>
      </c>
      <c r="Y38" s="188">
        <f t="shared" si="1"/>
        <v>7.8564475749086527E-3</v>
      </c>
      <c r="AA38" s="144">
        <f t="shared" si="2"/>
        <v>0.11591281788799999</v>
      </c>
      <c r="AB38" s="145">
        <f t="shared" si="3"/>
        <v>1.600074007277457E-2</v>
      </c>
      <c r="AC38" s="145">
        <f t="shared" si="4"/>
        <v>1.5298532435075337E-3</v>
      </c>
      <c r="AD38" s="145">
        <f t="shared" si="7"/>
        <v>1.586513907659769E-2</v>
      </c>
      <c r="AE38" s="146">
        <f t="shared" si="5"/>
        <v>-1.9642011584801409</v>
      </c>
      <c r="AF38" s="146">
        <f t="shared" si="6"/>
        <v>3.2750519701903316E-4</v>
      </c>
      <c r="AH38" s="183"/>
      <c r="AI38" s="183"/>
      <c r="AJ38" s="183"/>
    </row>
    <row r="39" spans="2:36" ht="19.5" x14ac:dyDescent="0.3">
      <c r="B39" s="155" t="s">
        <v>539</v>
      </c>
      <c r="C39" s="128">
        <v>8.9999999999999996E-7</v>
      </c>
      <c r="D39" s="128">
        <v>1.5392483148537927E-10</v>
      </c>
      <c r="E39" s="128">
        <v>5.0509225500401457E-8</v>
      </c>
      <c r="F39" s="123">
        <v>15.701245666991817</v>
      </c>
      <c r="G39" s="159">
        <f>F39</f>
        <v>15.701245666991817</v>
      </c>
      <c r="H39" s="117" t="s">
        <v>653</v>
      </c>
      <c r="I39" s="125">
        <v>1.17071946067E-2</v>
      </c>
      <c r="J39" s="50">
        <v>1.5578434836380006E-2</v>
      </c>
      <c r="K39" s="50">
        <v>1.4728736067929596E-3</v>
      </c>
      <c r="L39" s="67">
        <v>1.631810670205559E-2</v>
      </c>
      <c r="N39" s="18">
        <v>-2.3155370911505151E-8</v>
      </c>
      <c r="O39" s="18">
        <v>9.5429986161374994E-11</v>
      </c>
      <c r="P39" s="18">
        <v>2.7538403770881407E-8</v>
      </c>
      <c r="Q39" s="28">
        <v>0.71369298486326438</v>
      </c>
      <c r="R39" s="61">
        <v>110.20798841519859</v>
      </c>
      <c r="S39" s="58">
        <v>3.2904899653385658E-6</v>
      </c>
      <c r="U39" s="173">
        <v>9.9851024522797805E-3</v>
      </c>
      <c r="V39" s="173">
        <v>1.631810670205559E-2</v>
      </c>
      <c r="W39" s="174">
        <v>2.3010564764116288E-2</v>
      </c>
      <c r="X39" s="174">
        <f t="shared" si="0"/>
        <v>1.6407970155126812E-2</v>
      </c>
      <c r="Y39" s="188">
        <f t="shared" si="1"/>
        <v>0.31720410812709166</v>
      </c>
      <c r="AA39" s="144">
        <f t="shared" si="2"/>
        <v>0.117071946067</v>
      </c>
      <c r="AB39" s="145">
        <f t="shared" si="3"/>
        <v>1.5578434836380006E-2</v>
      </c>
      <c r="AC39" s="145">
        <f t="shared" si="4"/>
        <v>1.4728736067929596E-3</v>
      </c>
      <c r="AD39" s="145">
        <f t="shared" si="7"/>
        <v>1.6407970155126812E-2</v>
      </c>
      <c r="AE39" s="146">
        <f t="shared" si="5"/>
        <v>-1.9642011584801409</v>
      </c>
      <c r="AF39" s="146">
        <f t="shared" si="6"/>
        <v>3.290489965338566E-4</v>
      </c>
      <c r="AH39" s="183"/>
      <c r="AI39" s="183"/>
      <c r="AJ39" s="183"/>
    </row>
    <row r="40" spans="2:36" x14ac:dyDescent="0.25">
      <c r="B40" s="154" t="s">
        <v>504</v>
      </c>
      <c r="C40" s="158">
        <v>3.4400000000000001E-6</v>
      </c>
      <c r="D40" s="158">
        <v>2.5307649463664093E-11</v>
      </c>
      <c r="E40" s="158">
        <v>1.486857631694136E-12</v>
      </c>
      <c r="F40" s="139">
        <v>14.8</v>
      </c>
      <c r="G40" s="139">
        <f>F40</f>
        <v>14.8</v>
      </c>
      <c r="H40" s="118">
        <f>SUM(F32:F38)</f>
        <v>382.66461979686312</v>
      </c>
      <c r="I40" s="125">
        <v>1.18242665528E-2</v>
      </c>
      <c r="J40" s="50">
        <v>1.7079039320148055E-2</v>
      </c>
      <c r="K40" s="50">
        <v>1.4448851651897093E-3</v>
      </c>
      <c r="L40" s="67">
        <v>1.6888507402197432E-2</v>
      </c>
      <c r="N40" s="18">
        <v>-1.3911220932655113E-7</v>
      </c>
      <c r="O40" s="18">
        <v>1.0116931740158012E-10</v>
      </c>
      <c r="P40" s="18">
        <v>2.9792228941888666E-8</v>
      </c>
      <c r="Q40" s="28">
        <v>0.71369298486326438</v>
      </c>
      <c r="R40" s="61">
        <v>110.88071568792586</v>
      </c>
      <c r="S40" s="58">
        <v>3.2904899653385658E-6</v>
      </c>
      <c r="U40" s="173">
        <v>1.0555120943340971E-2</v>
      </c>
      <c r="V40" s="173">
        <v>1.6888507402197432E-2</v>
      </c>
      <c r="W40" s="174">
        <v>2.3377982655788068E-2</v>
      </c>
      <c r="X40" s="174">
        <f t="shared" si="0"/>
        <v>1.6927529600880974E-2</v>
      </c>
      <c r="Y40" s="188">
        <f t="shared" si="1"/>
        <v>1.0995483285419095E-2</v>
      </c>
      <c r="AA40" s="144">
        <f t="shared" si="2"/>
        <v>0.118242665528</v>
      </c>
      <c r="AB40" s="145">
        <f t="shared" si="3"/>
        <v>1.7079039320148055E-2</v>
      </c>
      <c r="AC40" s="145">
        <f t="shared" si="4"/>
        <v>1.4448851651897093E-3</v>
      </c>
      <c r="AD40" s="145">
        <f t="shared" si="7"/>
        <v>1.6927529600880974E-2</v>
      </c>
      <c r="AE40" s="146">
        <f t="shared" si="5"/>
        <v>-1.8969284312074137</v>
      </c>
      <c r="AF40" s="146">
        <f t="shared" si="6"/>
        <v>3.290489965338566E-4</v>
      </c>
      <c r="AH40" s="183"/>
      <c r="AI40" s="183"/>
      <c r="AJ40" s="183"/>
    </row>
    <row r="41" spans="2:36" ht="18.75" x14ac:dyDescent="0.25">
      <c r="B41" s="154" t="s">
        <v>52</v>
      </c>
      <c r="C41" s="158">
        <v>2.0700000000000001E-6</v>
      </c>
      <c r="D41" s="158">
        <v>4.7498147887006942E-11</v>
      </c>
      <c r="E41" s="158">
        <v>1.9976998807213682E-12</v>
      </c>
      <c r="F41" s="139">
        <v>100</v>
      </c>
      <c r="G41" s="139">
        <v>5</v>
      </c>
      <c r="H41" s="162" t="s">
        <v>642</v>
      </c>
      <c r="I41" s="126">
        <v>1.19425092183E-2</v>
      </c>
      <c r="J41" s="127">
        <v>1.9080070060938287E-2</v>
      </c>
      <c r="K41" s="127">
        <v>1.4688417446217705E-3</v>
      </c>
      <c r="L41" s="67">
        <v>1.743063198857335E-2</v>
      </c>
      <c r="N41" s="18">
        <v>-2.5285914740932802E-7</v>
      </c>
      <c r="O41" s="18">
        <v>1.0676270798576089E-10</v>
      </c>
      <c r="P41" s="18">
        <v>3.1988743476820975E-8</v>
      </c>
      <c r="Q41" s="28">
        <v>0.71369298486326438</v>
      </c>
      <c r="R41" s="61">
        <v>110.88071568792586</v>
      </c>
      <c r="S41" s="58">
        <v>3.2841340973159043E-6</v>
      </c>
      <c r="U41" s="173">
        <v>1.1127658676057289E-2</v>
      </c>
      <c r="V41" s="173">
        <v>1.743063198857335E-2</v>
      </c>
      <c r="W41" s="174">
        <v>2.3688508840910807E-2</v>
      </c>
      <c r="X41" s="174">
        <f t="shared" si="0"/>
        <v>1.7419357873528701E-2</v>
      </c>
      <c r="Y41" s="188">
        <f t="shared" si="1"/>
        <v>1.2783174935100898</v>
      </c>
      <c r="AA41" s="144">
        <f t="shared" si="2"/>
        <v>0.119425092183</v>
      </c>
      <c r="AB41" s="145">
        <f t="shared" si="3"/>
        <v>1.9080070060938287E-2</v>
      </c>
      <c r="AC41" s="145">
        <f t="shared" si="4"/>
        <v>1.4688417446217705E-3</v>
      </c>
      <c r="AD41" s="145">
        <f t="shared" si="7"/>
        <v>1.7419357873528701E-2</v>
      </c>
      <c r="AE41" s="146">
        <f t="shared" si="5"/>
        <v>-1.8969284312074137</v>
      </c>
      <c r="AF41" s="146">
        <f t="shared" si="6"/>
        <v>3.284134097315904E-4</v>
      </c>
      <c r="AH41" s="183"/>
      <c r="AI41" s="183"/>
      <c r="AJ41" s="183"/>
    </row>
    <row r="42" spans="2:36" x14ac:dyDescent="0.25">
      <c r="B42" s="119"/>
      <c r="C42" s="120"/>
      <c r="D42" s="120"/>
      <c r="E42" s="120"/>
      <c r="F42" s="120"/>
      <c r="G42" s="120"/>
      <c r="H42" s="163">
        <v>0.72912241996624438</v>
      </c>
      <c r="I42" s="126">
        <v>1.2061934310500001E-2</v>
      </c>
      <c r="J42" s="127">
        <v>1.5384360617322602E-2</v>
      </c>
      <c r="K42" s="127">
        <v>1.3097144374357222E-3</v>
      </c>
      <c r="L42" s="67">
        <v>1.7939935588550358E-2</v>
      </c>
      <c r="N42" s="18">
        <v>-3.6321777926800264E-7</v>
      </c>
      <c r="O42" s="18">
        <v>1.1214411263503572E-10</v>
      </c>
      <c r="P42" s="18">
        <v>3.4102011512118691E-8</v>
      </c>
      <c r="Q42" s="28">
        <v>0.71369298486326438</v>
      </c>
      <c r="R42" s="61">
        <v>111.55344296065313</v>
      </c>
      <c r="S42" s="58">
        <v>3.2841340973159043E-6</v>
      </c>
      <c r="U42" s="173">
        <v>1.1697969841395357E-2</v>
      </c>
      <c r="V42" s="173">
        <v>1.7939935588550358E-2</v>
      </c>
      <c r="W42" s="174">
        <v>2.3938690468360922E-2</v>
      </c>
      <c r="X42" s="174">
        <f t="shared" si="0"/>
        <v>1.7879132871714248E-2</v>
      </c>
      <c r="Y42" s="188">
        <f t="shared" si="1"/>
        <v>3.6283450489703704</v>
      </c>
      <c r="AA42" s="144">
        <f t="shared" si="2"/>
        <v>0.120619343105</v>
      </c>
      <c r="AB42" s="145">
        <f t="shared" si="3"/>
        <v>1.5384360617322602E-2</v>
      </c>
      <c r="AC42" s="145">
        <f t="shared" si="4"/>
        <v>1.3097144374357222E-3</v>
      </c>
      <c r="AD42" s="145">
        <f t="shared" si="7"/>
        <v>1.7879132871714248E-2</v>
      </c>
      <c r="AE42" s="146">
        <f t="shared" si="5"/>
        <v>-1.8296557039346866</v>
      </c>
      <c r="AF42" s="146">
        <f t="shared" si="6"/>
        <v>3.284134097315904E-4</v>
      </c>
      <c r="AH42" s="183"/>
      <c r="AI42" s="183"/>
      <c r="AJ42" s="183"/>
    </row>
    <row r="43" spans="2:36" ht="18.75" x14ac:dyDescent="0.25">
      <c r="B43" s="119"/>
      <c r="C43" s="120"/>
      <c r="D43" s="120"/>
      <c r="E43" s="120"/>
      <c r="F43" s="120"/>
      <c r="G43" s="120"/>
      <c r="H43" s="116" t="s">
        <v>654</v>
      </c>
      <c r="I43" s="126">
        <v>1.2182553653599999E-2</v>
      </c>
      <c r="J43" s="127">
        <v>1.7249458183716454E-2</v>
      </c>
      <c r="K43" s="127">
        <v>3.147171927558352E-3</v>
      </c>
      <c r="L43" s="67">
        <v>1.8412033714220195E-2</v>
      </c>
      <c r="N43" s="18">
        <v>-4.691743247197424E-7</v>
      </c>
      <c r="O43" s="18">
        <v>1.1725530528061856E-10</v>
      </c>
      <c r="P43" s="18">
        <v>3.6109167774120748E-8</v>
      </c>
      <c r="Q43" s="28">
        <v>0.71369298486326438</v>
      </c>
      <c r="R43" s="61">
        <v>111.55344296065313</v>
      </c>
      <c r="S43" s="58">
        <v>3.2620762149381051E-6</v>
      </c>
      <c r="U43" s="173">
        <v>1.2261326368717471E-2</v>
      </c>
      <c r="V43" s="173">
        <v>1.8412033714220195E-2</v>
      </c>
      <c r="W43" s="174">
        <v>2.4125388433839424E-2</v>
      </c>
      <c r="X43" s="174">
        <f t="shared" si="0"/>
        <v>1.830269555774932E-2</v>
      </c>
      <c r="Y43" s="188">
        <f t="shared" si="1"/>
        <v>0.111998339998634</v>
      </c>
      <c r="AA43" s="144">
        <f t="shared" si="2"/>
        <v>0.12182553653599999</v>
      </c>
      <c r="AB43" s="145">
        <f t="shared" si="3"/>
        <v>1.7249458183716454E-2</v>
      </c>
      <c r="AC43" s="145">
        <f t="shared" si="4"/>
        <v>3.147171927558352E-3</v>
      </c>
      <c r="AD43" s="145">
        <f t="shared" si="7"/>
        <v>1.830269555774932E-2</v>
      </c>
      <c r="AE43" s="146">
        <f t="shared" si="5"/>
        <v>-1.8296557039346866</v>
      </c>
      <c r="AF43" s="146">
        <f t="shared" si="6"/>
        <v>3.2620762149381053E-4</v>
      </c>
      <c r="AH43" s="183"/>
      <c r="AI43" s="183"/>
      <c r="AJ43" s="183"/>
    </row>
    <row r="44" spans="2:36" x14ac:dyDescent="0.25">
      <c r="B44" s="119"/>
      <c r="C44" s="120"/>
      <c r="D44" s="120"/>
      <c r="E44" s="120"/>
      <c r="F44" s="120"/>
      <c r="G44" s="120"/>
      <c r="H44" s="164">
        <f>H75*(H46/B46)*(H40/H71)/H42</f>
        <v>0.92714465541713764</v>
      </c>
      <c r="I44" s="126">
        <v>1.2304379190100001E-2</v>
      </c>
      <c r="J44" s="127">
        <v>1.7095212955607446E-2</v>
      </c>
      <c r="K44" s="127">
        <v>2.9048986574131005E-3</v>
      </c>
      <c r="L44" s="67">
        <v>1.8842728829264226E-2</v>
      </c>
      <c r="N44" s="18">
        <v>-5.699133501993226E-7</v>
      </c>
      <c r="O44" s="18">
        <v>1.2204772678731945E-10</v>
      </c>
      <c r="P44" s="18">
        <v>3.7991143176797285E-8</v>
      </c>
      <c r="Q44" s="28">
        <v>0.71369298486326438</v>
      </c>
      <c r="R44" s="61">
        <v>112.2261702333804</v>
      </c>
      <c r="S44" s="58">
        <v>3.2620762149381051E-6</v>
      </c>
      <c r="U44" s="173">
        <v>1.2813041033516848E-2</v>
      </c>
      <c r="V44" s="173">
        <v>1.8842728829264226E-2</v>
      </c>
      <c r="W44" s="174">
        <v>2.424580531808072E-2</v>
      </c>
      <c r="X44" s="174">
        <f t="shared" si="0"/>
        <v>1.8686076002531506E-2</v>
      </c>
      <c r="Y44" s="188">
        <f t="shared" si="1"/>
        <v>0.29991874929589124</v>
      </c>
      <c r="AA44" s="144">
        <f t="shared" si="2"/>
        <v>0.12304379190100001</v>
      </c>
      <c r="AB44" s="145">
        <f t="shared" si="3"/>
        <v>1.7095212955607446E-2</v>
      </c>
      <c r="AC44" s="145">
        <f t="shared" si="4"/>
        <v>2.9048986574131005E-3</v>
      </c>
      <c r="AD44" s="145">
        <f t="shared" si="7"/>
        <v>1.8686076002531506E-2</v>
      </c>
      <c r="AE44" s="146">
        <f t="shared" si="5"/>
        <v>-1.7623829766619594</v>
      </c>
      <c r="AF44" s="146">
        <f t="shared" si="6"/>
        <v>3.2620762149381053E-4</v>
      </c>
      <c r="AH44" s="183"/>
      <c r="AI44" s="183"/>
      <c r="AJ44" s="183"/>
    </row>
    <row r="45" spans="2:36" ht="19.5" x14ac:dyDescent="0.3">
      <c r="B45" s="117" t="s">
        <v>644</v>
      </c>
      <c r="C45" s="117" t="s">
        <v>645</v>
      </c>
      <c r="D45" s="117" t="s">
        <v>655</v>
      </c>
      <c r="E45" s="117" t="s">
        <v>656</v>
      </c>
      <c r="F45" s="117" t="s">
        <v>657</v>
      </c>
      <c r="G45" s="120"/>
      <c r="H45" s="117" t="s">
        <v>658</v>
      </c>
      <c r="I45" s="126">
        <v>1.2427422981999999E-2</v>
      </c>
      <c r="J45" s="127">
        <v>2.1238812480450061E-2</v>
      </c>
      <c r="K45" s="127">
        <v>3.0587242216766506E-3</v>
      </c>
      <c r="L45" s="67">
        <v>1.9228037256058834E-2</v>
      </c>
      <c r="N45" s="18">
        <v>-6.6483905119180263E-7</v>
      </c>
      <c r="O45" s="18">
        <v>1.2648375373766481E-10</v>
      </c>
      <c r="P45" s="18">
        <v>3.9733163071017153E-8</v>
      </c>
      <c r="Q45" s="28">
        <v>0.71369298486326438</v>
      </c>
      <c r="R45" s="61">
        <v>112.2261702333804</v>
      </c>
      <c r="S45" s="58">
        <v>3.228602219196839E-6</v>
      </c>
      <c r="U45" s="173">
        <v>1.3348491294734394E-2</v>
      </c>
      <c r="V45" s="173">
        <v>1.9228037256058834E-2</v>
      </c>
      <c r="W45" s="174">
        <v>2.4297513190993679E-2</v>
      </c>
      <c r="X45" s="174">
        <f t="shared" si="0"/>
        <v>1.9025519749461435E-2</v>
      </c>
      <c r="Y45" s="188">
        <f t="shared" si="1"/>
        <v>0.52359690520271707</v>
      </c>
      <c r="AA45" s="144">
        <f t="shared" si="2"/>
        <v>0.12427422982</v>
      </c>
      <c r="AB45" s="145">
        <f t="shared" si="3"/>
        <v>2.1238812480450061E-2</v>
      </c>
      <c r="AC45" s="145">
        <f t="shared" si="4"/>
        <v>3.0587242216766506E-3</v>
      </c>
      <c r="AD45" s="145">
        <f t="shared" si="7"/>
        <v>1.9025519749461435E-2</v>
      </c>
      <c r="AE45" s="146">
        <f t="shared" si="5"/>
        <v>-1.7623829766619594</v>
      </c>
      <c r="AF45" s="146">
        <f t="shared" si="6"/>
        <v>3.2286022191968392E-4</v>
      </c>
      <c r="AH45" s="183"/>
      <c r="AI45" s="183"/>
      <c r="AJ45" s="183"/>
    </row>
    <row r="46" spans="2:36" x14ac:dyDescent="0.25">
      <c r="B46" s="164">
        <v>86.1</v>
      </c>
      <c r="C46" s="164">
        <v>92.1</v>
      </c>
      <c r="D46" s="164">
        <v>196.28</v>
      </c>
      <c r="E46" s="164">
        <v>208.28</v>
      </c>
      <c r="F46" s="164">
        <v>202.28</v>
      </c>
      <c r="G46" s="120"/>
      <c r="H46" s="164">
        <f>(2*(1-H54)*B46+H54*D46)/2</f>
        <v>87.905999999999992</v>
      </c>
      <c r="I46" s="126">
        <v>1.25516972118E-2</v>
      </c>
      <c r="J46" s="127">
        <v>2.3275860467988577E-2</v>
      </c>
      <c r="K46" s="127">
        <v>3.0828881298275677E-3</v>
      </c>
      <c r="L46" s="67">
        <v>1.9564003730029096E-2</v>
      </c>
      <c r="N46" s="18">
        <v>-7.5358326412804071E-7</v>
      </c>
      <c r="O46" s="18">
        <v>1.3053734539043988E-10</v>
      </c>
      <c r="P46" s="18">
        <v>4.1325001304017077E-8</v>
      </c>
      <c r="Q46" s="28">
        <v>0.71369298486326438</v>
      </c>
      <c r="R46" s="61">
        <v>112.89889750610767</v>
      </c>
      <c r="S46" s="58">
        <v>3.228602219196839E-6</v>
      </c>
      <c r="U46" s="173">
        <v>1.3862554841537344E-2</v>
      </c>
      <c r="V46" s="173">
        <v>1.9564003730029096E-2</v>
      </c>
      <c r="W46" s="174">
        <v>2.4278855301409222E-2</v>
      </c>
      <c r="X46" s="174">
        <f t="shared" si="0"/>
        <v>1.9317354400751191E-2</v>
      </c>
      <c r="Y46" s="188">
        <f t="shared" si="1"/>
        <v>1.6487207306934151</v>
      </c>
      <c r="AA46" s="144">
        <f t="shared" si="2"/>
        <v>0.125516972118</v>
      </c>
      <c r="AB46" s="145">
        <f t="shared" si="3"/>
        <v>2.3275860467988577E-2</v>
      </c>
      <c r="AC46" s="145">
        <f t="shared" si="4"/>
        <v>3.0828881298275677E-3</v>
      </c>
      <c r="AD46" s="145">
        <f t="shared" si="7"/>
        <v>1.9317354400751191E-2</v>
      </c>
      <c r="AE46" s="146">
        <f t="shared" si="5"/>
        <v>-1.695110249389232</v>
      </c>
      <c r="AF46" s="146">
        <f t="shared" si="6"/>
        <v>3.2286022191968392E-4</v>
      </c>
      <c r="AH46" s="183"/>
      <c r="AI46" s="183"/>
      <c r="AJ46" s="183"/>
    </row>
    <row r="47" spans="2:36" ht="19.5" x14ac:dyDescent="0.3">
      <c r="B47" s="117" t="s">
        <v>648</v>
      </c>
      <c r="C47" s="117" t="s">
        <v>659</v>
      </c>
      <c r="D47" s="117" t="s">
        <v>660</v>
      </c>
      <c r="E47" s="117" t="s">
        <v>661</v>
      </c>
      <c r="F47" s="117" t="s">
        <v>662</v>
      </c>
      <c r="H47" s="117" t="s">
        <v>663</v>
      </c>
      <c r="I47" s="126">
        <v>1.26772141839E-2</v>
      </c>
      <c r="J47" s="127">
        <v>1.8922230521890251E-2</v>
      </c>
      <c r="K47" s="127">
        <v>2.7207698965029865E-3</v>
      </c>
      <c r="L47" s="67">
        <v>1.9847673511211823E-2</v>
      </c>
      <c r="N47" s="18">
        <v>-8.3600038561177679E-7</v>
      </c>
      <c r="O47" s="18">
        <v>1.341940731554256E-10</v>
      </c>
      <c r="P47" s="18">
        <v>4.2760991794078315E-8</v>
      </c>
      <c r="Q47" s="28">
        <v>0.71369298486326438</v>
      </c>
      <c r="R47" s="61">
        <v>112.89889750610767</v>
      </c>
      <c r="S47" s="58">
        <v>3.1861996687455645E-6</v>
      </c>
      <c r="U47" s="173">
        <v>1.4352072852855292E-2</v>
      </c>
      <c r="V47" s="173">
        <v>1.9847673511211823E-2</v>
      </c>
      <c r="W47" s="174">
        <v>2.4187557601742828E-2</v>
      </c>
      <c r="X47" s="174">
        <f t="shared" si="0"/>
        <v>1.9558744369255442E-2</v>
      </c>
      <c r="Y47" s="188">
        <f t="shared" si="1"/>
        <v>5.4730836361085916E-2</v>
      </c>
      <c r="AA47" s="144">
        <f t="shared" si="2"/>
        <v>0.12677214183900001</v>
      </c>
      <c r="AB47" s="145">
        <f t="shared" si="3"/>
        <v>1.8922230521890251E-2</v>
      </c>
      <c r="AC47" s="145">
        <f t="shared" si="4"/>
        <v>2.7207698965029865E-3</v>
      </c>
      <c r="AD47" s="145">
        <f t="shared" si="7"/>
        <v>1.9558744369255442E-2</v>
      </c>
      <c r="AE47" s="146">
        <f t="shared" si="5"/>
        <v>-1.695110249389232</v>
      </c>
      <c r="AF47" s="146">
        <f t="shared" si="6"/>
        <v>3.1861996687455646E-4</v>
      </c>
      <c r="AH47" s="183"/>
      <c r="AI47" s="183"/>
      <c r="AJ47" s="183"/>
    </row>
    <row r="48" spans="2:36" x14ac:dyDescent="0.25">
      <c r="B48" s="110">
        <v>11000000000</v>
      </c>
      <c r="C48" s="110">
        <v>51100000000</v>
      </c>
      <c r="D48" s="110">
        <v>11300000000</v>
      </c>
      <c r="E48" s="110">
        <v>46800000000</v>
      </c>
      <c r="F48" s="110">
        <v>29600000000</v>
      </c>
      <c r="H48" s="164">
        <f>(2*(1-H54)*(H56*C46+(1-H56)*B46)+H54*(B50*E46+2*C50*F46+E50*D46))/2</f>
        <v>91.102775887588763</v>
      </c>
      <c r="I48" s="126">
        <v>1.28039863258E-2</v>
      </c>
      <c r="J48" s="127">
        <v>1.9232317750146583E-2</v>
      </c>
      <c r="K48" s="127">
        <v>2.5886724151973823E-3</v>
      </c>
      <c r="L48" s="67">
        <v>2.0075554255944379E-2</v>
      </c>
      <c r="N48" s="18">
        <v>-9.1215033243889156E-7</v>
      </c>
      <c r="O48" s="18">
        <v>1.3745058100307623E-10</v>
      </c>
      <c r="P48" s="18">
        <v>4.4039816634366728E-8</v>
      </c>
      <c r="Q48" s="28">
        <v>0.71369298486326438</v>
      </c>
      <c r="R48" s="61">
        <v>113.57162477883494</v>
      </c>
      <c r="S48" s="58">
        <v>3.1861996687455645E-6</v>
      </c>
      <c r="U48" s="173">
        <v>1.4812092475413789E-2</v>
      </c>
      <c r="V48" s="173">
        <v>2.0075554255944379E-2</v>
      </c>
      <c r="W48" s="174">
        <v>2.4022746419235748E-2</v>
      </c>
      <c r="X48" s="174">
        <f t="shared" si="0"/>
        <v>1.9746486851634576E-2</v>
      </c>
      <c r="Y48" s="188">
        <f t="shared" si="1"/>
        <v>3.9450976489701875E-2</v>
      </c>
      <c r="AA48" s="144">
        <f t="shared" si="2"/>
        <v>0.12803986325799999</v>
      </c>
      <c r="AB48" s="145">
        <f t="shared" si="3"/>
        <v>1.9232317750146583E-2</v>
      </c>
      <c r="AC48" s="145">
        <f t="shared" si="4"/>
        <v>2.5886724151973823E-3</v>
      </c>
      <c r="AD48" s="145">
        <f t="shared" si="7"/>
        <v>1.9746486851634576E-2</v>
      </c>
      <c r="AE48" s="146">
        <f t="shared" si="5"/>
        <v>-1.6278375221165049</v>
      </c>
      <c r="AF48" s="146">
        <f t="shared" si="6"/>
        <v>3.1861996687455646E-4</v>
      </c>
      <c r="AH48" s="183"/>
      <c r="AI48" s="183"/>
      <c r="AJ48" s="183"/>
    </row>
    <row r="49" spans="2:36" ht="19.5" x14ac:dyDescent="0.3">
      <c r="B49" s="147" t="s">
        <v>664</v>
      </c>
      <c r="C49" s="147" t="s">
        <v>665</v>
      </c>
      <c r="D49" s="147" t="s">
        <v>666</v>
      </c>
      <c r="E49" s="147" t="s">
        <v>667</v>
      </c>
      <c r="F49" s="120"/>
      <c r="G49" s="120"/>
      <c r="H49" s="117" t="s">
        <v>668</v>
      </c>
      <c r="I49" s="126">
        <v>1.2932026189000001E-2</v>
      </c>
      <c r="J49" s="127">
        <v>1.6702249634255949E-2</v>
      </c>
      <c r="K49" s="127">
        <v>2.3720009486419415E-3</v>
      </c>
      <c r="L49" s="67">
        <v>2.0244789718408606E-2</v>
      </c>
      <c r="N49" s="18">
        <v>-9.8227148831561466E-7</v>
      </c>
      <c r="O49" s="18">
        <v>1.4031356200345485E-10</v>
      </c>
      <c r="P49" s="18">
        <v>4.5164104181592932E-8</v>
      </c>
      <c r="Q49" s="28">
        <v>0.71369298486326438</v>
      </c>
      <c r="R49" s="61">
        <v>113.57162477883494</v>
      </c>
      <c r="S49" s="58">
        <v>3.1360529137616047E-6</v>
      </c>
      <c r="U49" s="173">
        <v>1.5238499555679167E-2</v>
      </c>
      <c r="V49" s="173">
        <v>2.0244789718408606E-2</v>
      </c>
      <c r="W49" s="174">
        <v>2.3783741025084515E-2</v>
      </c>
      <c r="X49" s="174">
        <f t="shared" si="0"/>
        <v>1.9877955004395223E-2</v>
      </c>
      <c r="Y49" s="188">
        <f t="shared" si="1"/>
        <v>1.7924650239295135</v>
      </c>
      <c r="AA49" s="144">
        <f t="shared" si="2"/>
        <v>0.12932026189000001</v>
      </c>
      <c r="AB49" s="145">
        <f t="shared" si="3"/>
        <v>1.6702249634255949E-2</v>
      </c>
      <c r="AC49" s="145">
        <f t="shared" si="4"/>
        <v>2.3720009486419415E-3</v>
      </c>
      <c r="AD49" s="145">
        <f t="shared" si="7"/>
        <v>1.9877955004395223E-2</v>
      </c>
      <c r="AE49" s="146">
        <f t="shared" si="5"/>
        <v>-1.6278375221165049</v>
      </c>
      <c r="AF49" s="146">
        <f t="shared" si="6"/>
        <v>3.1360529137616045E-4</v>
      </c>
      <c r="AH49" s="183"/>
      <c r="AI49" s="183"/>
      <c r="AJ49" s="183"/>
    </row>
    <row r="50" spans="2:36" x14ac:dyDescent="0.25">
      <c r="B50" s="165">
        <f>H56*H56</f>
        <v>0.28387155765191541</v>
      </c>
      <c r="C50" s="165">
        <f>H56*(1-H56)</f>
        <v>0.24892442361287923</v>
      </c>
      <c r="D50" s="165">
        <f>C50</f>
        <v>0.24892442361287923</v>
      </c>
      <c r="E50" s="165">
        <f>(1-H56)*(1-H56)</f>
        <v>0.21827959512232611</v>
      </c>
      <c r="H50" s="110">
        <f>(2*(1-H54)*B48+H54*D48)/2</f>
        <v>10197500000</v>
      </c>
      <c r="I50" s="126">
        <v>1.3061346450899999E-2</v>
      </c>
      <c r="J50" s="127">
        <v>2.3060797675710037E-2</v>
      </c>
      <c r="K50" s="127">
        <v>2.7936223966479583E-3</v>
      </c>
      <c r="L50" s="67">
        <v>2.0352873413669658E-2</v>
      </c>
      <c r="N50" s="18">
        <v>-1.0467461845516701E-6</v>
      </c>
      <c r="O50" s="18">
        <v>1.4279836264142212E-10</v>
      </c>
      <c r="P50" s="18">
        <v>4.6139880973068971E-8</v>
      </c>
      <c r="Q50" s="28">
        <v>0.71369298486326438</v>
      </c>
      <c r="R50" s="61">
        <v>114.24435205156222</v>
      </c>
      <c r="S50" s="58">
        <v>3.1360529137616047E-6</v>
      </c>
      <c r="U50" s="173">
        <v>1.5627372009715639E-2</v>
      </c>
      <c r="V50" s="173">
        <v>2.0352873413669658E-2</v>
      </c>
      <c r="W50" s="174">
        <v>2.3470360608786298E-2</v>
      </c>
      <c r="X50" s="174">
        <f t="shared" si="0"/>
        <v>1.9950869861460312E-2</v>
      </c>
      <c r="Y50" s="188">
        <f t="shared" si="1"/>
        <v>1.2392679255130856</v>
      </c>
      <c r="AA50" s="144">
        <f t="shared" si="2"/>
        <v>0.13061346450899999</v>
      </c>
      <c r="AB50" s="145">
        <f t="shared" si="3"/>
        <v>2.3060797675710037E-2</v>
      </c>
      <c r="AC50" s="145">
        <f t="shared" si="4"/>
        <v>2.7936223966479583E-3</v>
      </c>
      <c r="AD50" s="145">
        <f t="shared" si="7"/>
        <v>1.9950869861460312E-2</v>
      </c>
      <c r="AE50" s="146">
        <f t="shared" si="5"/>
        <v>-1.5605647948437777</v>
      </c>
      <c r="AF50" s="146">
        <f t="shared" si="6"/>
        <v>3.1360529137616045E-4</v>
      </c>
      <c r="AH50" s="183"/>
      <c r="AI50" s="183"/>
      <c r="AJ50" s="183"/>
    </row>
    <row r="51" spans="2:36" ht="19.5" x14ac:dyDescent="0.3">
      <c r="H51" s="117" t="s">
        <v>669</v>
      </c>
      <c r="I51" s="126">
        <v>1.31919599154E-2</v>
      </c>
      <c r="J51" s="127">
        <v>2.2327557189892946E-2</v>
      </c>
      <c r="K51" s="127">
        <v>2.517372578125847E-3</v>
      </c>
      <c r="L51" s="67">
        <v>2.0397675074517084E-2</v>
      </c>
      <c r="N51" s="18">
        <v>-1.1060616114076821E-6</v>
      </c>
      <c r="O51" s="18">
        <v>1.4492734106626647E-10</v>
      </c>
      <c r="P51" s="18">
        <v>4.6975927014257917E-8</v>
      </c>
      <c r="Q51" s="28">
        <v>0.71369298486326438</v>
      </c>
      <c r="R51" s="61">
        <v>114.24435205156222</v>
      </c>
      <c r="S51" s="58">
        <v>3.0786078399426882E-6</v>
      </c>
      <c r="U51" s="173">
        <v>1.5975006247349963E-2</v>
      </c>
      <c r="V51" s="173">
        <v>2.0397675074517084E-2</v>
      </c>
      <c r="W51" s="174">
        <v>2.3082946881623496E-2</v>
      </c>
      <c r="X51" s="174">
        <f t="shared" si="0"/>
        <v>1.9963325819501908E-2</v>
      </c>
      <c r="Y51" s="188">
        <f t="shared" si="1"/>
        <v>0.88203324986945797</v>
      </c>
      <c r="AA51" s="144">
        <f t="shared" si="2"/>
        <v>0.13191959915400001</v>
      </c>
      <c r="AB51" s="145">
        <f t="shared" si="3"/>
        <v>2.2327557189892946E-2</v>
      </c>
      <c r="AC51" s="145">
        <f t="shared" si="4"/>
        <v>2.517372578125847E-3</v>
      </c>
      <c r="AD51" s="145">
        <f t="shared" si="7"/>
        <v>1.9963325819501908E-2</v>
      </c>
      <c r="AE51" s="146">
        <f t="shared" si="5"/>
        <v>-1.5605647948437777</v>
      </c>
      <c r="AF51" s="146">
        <f t="shared" si="6"/>
        <v>3.0786078399426883E-4</v>
      </c>
      <c r="AH51" s="183"/>
      <c r="AI51" s="183"/>
      <c r="AJ51" s="183"/>
    </row>
    <row r="52" spans="2:36" x14ac:dyDescent="0.25">
      <c r="H52" s="110">
        <f>(2*(1-H54)*((1-H56)*B48+H56*C48)+H54*(B50*E48+C50*F48+D50*F48+D48*E50))/2</f>
        <v>29796956586.476105</v>
      </c>
      <c r="I52" s="126">
        <v>1.33238795146E-2</v>
      </c>
      <c r="J52" s="127">
        <v>2.3541859597327089E-2</v>
      </c>
      <c r="K52" s="127">
        <v>2.5827230102373048E-3</v>
      </c>
      <c r="L52" s="67">
        <v>2.0377466472480871E-2</v>
      </c>
      <c r="N52" s="18">
        <v>-1.1607691425695115E-6</v>
      </c>
      <c r="O52" s="18">
        <v>1.4672810784989186E-10</v>
      </c>
      <c r="P52" s="18">
        <v>4.76830849276429E-8</v>
      </c>
      <c r="Q52" s="28">
        <v>0.71369298486326438</v>
      </c>
      <c r="R52" s="61">
        <v>114.91707932428949</v>
      </c>
      <c r="S52" s="58">
        <v>3.0786078399426882E-6</v>
      </c>
      <c r="U52" s="173">
        <v>1.6277943667109798E-2</v>
      </c>
      <c r="V52" s="173">
        <v>2.0377466472480871E-2</v>
      </c>
      <c r="W52" s="174">
        <v>2.2622384790941568E-2</v>
      </c>
      <c r="X52" s="174">
        <f t="shared" si="0"/>
        <v>1.9913815350753278E-2</v>
      </c>
      <c r="Y52" s="188">
        <f t="shared" si="1"/>
        <v>1.9732835082422284</v>
      </c>
      <c r="AA52" s="144">
        <f t="shared" si="2"/>
        <v>0.13323879514600001</v>
      </c>
      <c r="AB52" s="145">
        <f t="shared" si="3"/>
        <v>2.3541859597327089E-2</v>
      </c>
      <c r="AC52" s="145">
        <f t="shared" si="4"/>
        <v>2.5827230102373048E-3</v>
      </c>
      <c r="AD52" s="145">
        <f t="shared" si="7"/>
        <v>1.9913815350753278E-2</v>
      </c>
      <c r="AE52" s="146">
        <f t="shared" si="5"/>
        <v>-1.4932920675710506</v>
      </c>
      <c r="AF52" s="146">
        <f t="shared" si="6"/>
        <v>3.0786078399426883E-4</v>
      </c>
      <c r="AH52" s="183"/>
      <c r="AI52" s="183"/>
      <c r="AJ52" s="183"/>
    </row>
    <row r="53" spans="2:36" ht="17.25" x14ac:dyDescent="0.25">
      <c r="H53" s="116" t="s">
        <v>670</v>
      </c>
      <c r="I53" s="126">
        <v>1.3457118309700001E-2</v>
      </c>
      <c r="J53" s="127">
        <v>2.6174253080438085E-2</v>
      </c>
      <c r="K53" s="127">
        <v>2.701880622880072E-3</v>
      </c>
      <c r="L53" s="67">
        <v>2.0290946384227997E-2</v>
      </c>
      <c r="N53" s="18">
        <v>-1.2114448933673176E-6</v>
      </c>
      <c r="O53" s="18">
        <v>1.4823176932072222E-10</v>
      </c>
      <c r="P53" s="18">
        <v>4.8273570113075439E-8</v>
      </c>
      <c r="Q53" s="28">
        <v>0.71369298486326438</v>
      </c>
      <c r="R53" s="61">
        <v>114.91707932428949</v>
      </c>
      <c r="S53" s="58">
        <v>3.0140020360055879E-6</v>
      </c>
      <c r="U53" s="173">
        <v>1.6532997086062599E-2</v>
      </c>
      <c r="V53" s="173">
        <v>2.0290946384227997E-2</v>
      </c>
      <c r="W53" s="174">
        <v>2.2090120962488351E-2</v>
      </c>
      <c r="X53" s="174">
        <f t="shared" si="0"/>
        <v>1.9801252704251739E-2</v>
      </c>
      <c r="Y53" s="188">
        <f t="shared" si="1"/>
        <v>5.5635958544999795</v>
      </c>
      <c r="AA53" s="144">
        <f t="shared" si="2"/>
        <v>0.134571183097</v>
      </c>
      <c r="AB53" s="145">
        <f t="shared" si="3"/>
        <v>2.6174253080438085E-2</v>
      </c>
      <c r="AC53" s="145">
        <f t="shared" si="4"/>
        <v>2.701880622880072E-3</v>
      </c>
      <c r="AD53" s="145">
        <f t="shared" si="7"/>
        <v>1.9801252704251739E-2</v>
      </c>
      <c r="AE53" s="146">
        <f t="shared" si="5"/>
        <v>-1.4932920675710506</v>
      </c>
      <c r="AF53" s="146">
        <f t="shared" si="6"/>
        <v>3.0140020360055878E-4</v>
      </c>
      <c r="AH53" s="183"/>
      <c r="AI53" s="183"/>
      <c r="AJ53" s="183"/>
    </row>
    <row r="54" spans="2:36" x14ac:dyDescent="0.25">
      <c r="H54" s="164">
        <v>0.15</v>
      </c>
      <c r="I54" s="126">
        <v>1.3591689492799999E-2</v>
      </c>
      <c r="J54" s="127">
        <v>1.8385506339841748E-2</v>
      </c>
      <c r="K54" s="127">
        <v>2.2284251061524501E-3</v>
      </c>
      <c r="L54" s="67">
        <v>2.0137264460963554E-2</v>
      </c>
      <c r="N54" s="18">
        <v>-1.2586539626224405E-6</v>
      </c>
      <c r="O54" s="18">
        <v>1.4947127631165742E-10</v>
      </c>
      <c r="P54" s="18">
        <v>4.8760322304034421E-8</v>
      </c>
      <c r="Q54" s="28">
        <v>0.71369298486326438</v>
      </c>
      <c r="R54" s="61">
        <v>115.58980659701676</v>
      </c>
      <c r="S54" s="58">
        <v>3.0140020360055879E-6</v>
      </c>
      <c r="U54" s="173">
        <v>1.6737276965684753E-2</v>
      </c>
      <c r="V54" s="173">
        <v>2.0137264460963554E-2</v>
      </c>
      <c r="W54" s="174">
        <v>2.148817944181429E-2</v>
      </c>
      <c r="X54" s="174">
        <f t="shared" si="0"/>
        <v>1.9624996332356537E-2</v>
      </c>
      <c r="Y54" s="188">
        <f t="shared" si="1"/>
        <v>0.30937838206453833</v>
      </c>
      <c r="AA54" s="144">
        <f t="shared" si="2"/>
        <v>0.13591689492799999</v>
      </c>
      <c r="AB54" s="145">
        <f t="shared" si="3"/>
        <v>1.8385506339841748E-2</v>
      </c>
      <c r="AC54" s="145">
        <f t="shared" si="4"/>
        <v>2.2284251061524501E-3</v>
      </c>
      <c r="AD54" s="145">
        <f t="shared" si="7"/>
        <v>1.9624996332356537E-2</v>
      </c>
      <c r="AE54" s="146">
        <f t="shared" si="5"/>
        <v>-1.4260193402983234</v>
      </c>
      <c r="AF54" s="146">
        <f t="shared" si="6"/>
        <v>3.0140020360055878E-4</v>
      </c>
      <c r="AH54" s="183"/>
      <c r="AI54" s="183"/>
      <c r="AJ54" s="183"/>
    </row>
    <row r="55" spans="2:36" ht="18.75" x14ac:dyDescent="0.25">
      <c r="H55" s="116" t="s">
        <v>671</v>
      </c>
      <c r="I55" s="126">
        <v>1.37276063878E-2</v>
      </c>
      <c r="J55" s="127">
        <v>3.1633239849804554E-2</v>
      </c>
      <c r="K55" s="127">
        <v>2.701537237524121E-3</v>
      </c>
      <c r="L55" s="67">
        <v>1.9916043730366807E-2</v>
      </c>
      <c r="N55" s="18">
        <v>-1.3029202830619173E-6</v>
      </c>
      <c r="O55" s="18">
        <v>1.5047995804444472E-10</v>
      </c>
      <c r="P55" s="18">
        <v>4.9156429826626198E-8</v>
      </c>
      <c r="Q55" s="28">
        <v>0.71369298486326438</v>
      </c>
      <c r="R55" s="61">
        <v>115.58980659701676</v>
      </c>
      <c r="S55" s="58">
        <v>2.9423266333494046E-6</v>
      </c>
      <c r="U55" s="173">
        <v>1.6888217271730201E-2</v>
      </c>
      <c r="V55" s="173">
        <v>1.9916043730366807E-2</v>
      </c>
      <c r="W55" s="174">
        <v>2.0819174280637922E-2</v>
      </c>
      <c r="X55" s="174">
        <f t="shared" si="0"/>
        <v>1.9384869753275434E-2</v>
      </c>
      <c r="Y55" s="188">
        <f t="shared" si="1"/>
        <v>20.555814256987794</v>
      </c>
      <c r="AA55" s="144">
        <f t="shared" si="2"/>
        <v>0.13727606387800001</v>
      </c>
      <c r="AB55" s="145">
        <f t="shared" si="3"/>
        <v>3.1633239849804554E-2</v>
      </c>
      <c r="AC55" s="145">
        <f t="shared" si="4"/>
        <v>2.701537237524121E-3</v>
      </c>
      <c r="AD55" s="145">
        <f t="shared" si="7"/>
        <v>1.9384869753275434E-2</v>
      </c>
      <c r="AE55" s="146">
        <f t="shared" si="5"/>
        <v>-1.4260193402983234</v>
      </c>
      <c r="AF55" s="146">
        <f t="shared" si="6"/>
        <v>2.9423266333494048E-4</v>
      </c>
      <c r="AH55" s="183"/>
      <c r="AI55" s="183"/>
      <c r="AJ55" s="183"/>
    </row>
    <row r="56" spans="2:36" x14ac:dyDescent="0.25">
      <c r="H56" s="164">
        <f>H36/F33</f>
        <v>0.53279598126479466</v>
      </c>
      <c r="I56" s="126">
        <v>1.3864882451600001E-2</v>
      </c>
      <c r="J56" s="127">
        <v>2.0123286827735079E-2</v>
      </c>
      <c r="K56" s="127">
        <v>2.1841144887692981E-3</v>
      </c>
      <c r="L56" s="67">
        <v>1.9627401430965998E-2</v>
      </c>
      <c r="N56" s="18">
        <v>-1.3447033888594623E-6</v>
      </c>
      <c r="O56" s="18">
        <v>1.5129029491467559E-10</v>
      </c>
      <c r="P56" s="18">
        <v>4.9474647674435301E-8</v>
      </c>
      <c r="Q56" s="28">
        <v>0.71369298486326438</v>
      </c>
      <c r="R56" s="61">
        <v>116.26253386974403</v>
      </c>
      <c r="S56" s="58">
        <v>2.9423266333494046E-6</v>
      </c>
      <c r="U56" s="173">
        <v>1.6983600796808558E-2</v>
      </c>
      <c r="V56" s="173">
        <v>1.9627401430965998E-2</v>
      </c>
      <c r="W56" s="174">
        <v>2.0086318469735319E-2</v>
      </c>
      <c r="X56" s="174">
        <f t="shared" si="0"/>
        <v>1.908118053211897E-2</v>
      </c>
      <c r="Y56" s="188">
        <f t="shared" si="1"/>
        <v>0.22765292749337887</v>
      </c>
      <c r="AA56" s="144">
        <f t="shared" si="2"/>
        <v>0.138648824516</v>
      </c>
      <c r="AB56" s="145">
        <f t="shared" si="3"/>
        <v>2.0123286827735079E-2</v>
      </c>
      <c r="AC56" s="145">
        <f t="shared" si="4"/>
        <v>2.1841144887692981E-3</v>
      </c>
      <c r="AD56" s="145">
        <f t="shared" si="7"/>
        <v>1.908118053211897E-2</v>
      </c>
      <c r="AE56" s="146">
        <f t="shared" si="5"/>
        <v>-1.3587466130255961</v>
      </c>
      <c r="AF56" s="146">
        <f t="shared" si="6"/>
        <v>2.9423266333494048E-4</v>
      </c>
      <c r="AH56" s="183"/>
      <c r="AI56" s="183"/>
      <c r="AJ56" s="183"/>
    </row>
    <row r="57" spans="2:36" x14ac:dyDescent="0.25">
      <c r="I57" s="126">
        <v>1.40035312762E-2</v>
      </c>
      <c r="J57" s="127">
        <v>2.0683404423673942E-2</v>
      </c>
      <c r="K57" s="127">
        <v>2.1339053044581876E-3</v>
      </c>
      <c r="L57" s="67">
        <v>1.9271967845297992E-2</v>
      </c>
      <c r="N57" s="18">
        <v>-1.3843827643484683E-6</v>
      </c>
      <c r="O57" s="18">
        <v>1.5193295800813124E-10</v>
      </c>
      <c r="P57" s="18">
        <v>4.9727020328301492E-8</v>
      </c>
      <c r="Q57" s="28">
        <v>0.71369298486326438</v>
      </c>
      <c r="R57" s="61">
        <v>116.26253386974403</v>
      </c>
      <c r="S57" s="58">
        <v>2.8637622350242467E-6</v>
      </c>
      <c r="U57" s="173">
        <v>1.7021583751843289E-2</v>
      </c>
      <c r="V57" s="173">
        <v>1.9271967845297992E-2</v>
      </c>
      <c r="W57" s="174">
        <v>1.9293428689379985E-2</v>
      </c>
      <c r="X57" s="174">
        <f t="shared" si="0"/>
        <v>1.8714737032954815E-2</v>
      </c>
      <c r="Y57" s="188">
        <f t="shared" si="1"/>
        <v>0.85112708152144911</v>
      </c>
      <c r="AA57" s="144">
        <f t="shared" si="2"/>
        <v>0.14003531276199999</v>
      </c>
      <c r="AB57" s="145">
        <f t="shared" si="3"/>
        <v>2.0683404423673942E-2</v>
      </c>
      <c r="AC57" s="145">
        <f t="shared" si="4"/>
        <v>2.1339053044581876E-3</v>
      </c>
      <c r="AD57" s="145">
        <f t="shared" si="7"/>
        <v>1.8714737032954815E-2</v>
      </c>
      <c r="AE57" s="146">
        <f t="shared" si="5"/>
        <v>-1.3587466130255961</v>
      </c>
      <c r="AF57" s="146">
        <f t="shared" si="6"/>
        <v>2.8637622350242465E-4</v>
      </c>
      <c r="AH57" s="183"/>
      <c r="AI57" s="183"/>
      <c r="AJ57" s="183"/>
    </row>
    <row r="58" spans="2:36" x14ac:dyDescent="0.25">
      <c r="I58" s="126">
        <v>1.41435665889E-2</v>
      </c>
      <c r="J58" s="127">
        <v>2.0546425875234836E-2</v>
      </c>
      <c r="K58" s="127">
        <v>1.9968897938457018E-3</v>
      </c>
      <c r="L58" s="67">
        <v>1.8850902776116327E-2</v>
      </c>
      <c r="N58" s="18">
        <v>-1.4222498227234763E-6</v>
      </c>
      <c r="O58" s="18">
        <v>1.5243611965491276E-10</v>
      </c>
      <c r="P58" s="18">
        <v>4.9924611012152855E-8</v>
      </c>
      <c r="Q58" s="28">
        <v>0.71369298486326438</v>
      </c>
      <c r="R58" s="61">
        <v>116.9352611424713</v>
      </c>
      <c r="S58" s="58">
        <v>2.8637622350242467E-6</v>
      </c>
      <c r="U58" s="173">
        <v>1.7000719411340751E-2</v>
      </c>
      <c r="V58" s="173">
        <v>1.8850902776116327E-2</v>
      </c>
      <c r="W58" s="174">
        <v>1.8444925344081209E-2</v>
      </c>
      <c r="X58" s="174">
        <f t="shared" si="0"/>
        <v>1.8286862576913653E-2</v>
      </c>
      <c r="Y58" s="188">
        <f t="shared" si="1"/>
        <v>1.2803857419794054</v>
      </c>
      <c r="AA58" s="144">
        <f t="shared" si="2"/>
        <v>0.141435665889</v>
      </c>
      <c r="AB58" s="145">
        <f t="shared" si="3"/>
        <v>2.0546425875234836E-2</v>
      </c>
      <c r="AC58" s="145">
        <f t="shared" si="4"/>
        <v>1.9968897938457018E-3</v>
      </c>
      <c r="AD58" s="145">
        <f t="shared" si="7"/>
        <v>1.8286862576913653E-2</v>
      </c>
      <c r="AE58" s="146">
        <f t="shared" si="5"/>
        <v>-1.2914738857528689</v>
      </c>
      <c r="AF58" s="146">
        <f t="shared" si="6"/>
        <v>2.8637622350242465E-4</v>
      </c>
      <c r="AH58" s="183"/>
      <c r="AI58" s="183"/>
      <c r="AJ58" s="183"/>
    </row>
    <row r="59" spans="2:36" x14ac:dyDescent="0.25">
      <c r="I59" s="126">
        <v>1.42850022548E-2</v>
      </c>
      <c r="J59" s="127">
        <v>1.7485825007003509E-2</v>
      </c>
      <c r="K59" s="127">
        <v>1.7566311631237687E-3</v>
      </c>
      <c r="L59" s="67">
        <v>1.8365909263793192E-2</v>
      </c>
      <c r="N59" s="18">
        <v>-1.4585070244201891E-6</v>
      </c>
      <c r="O59" s="18">
        <v>1.5282501992330663E-10</v>
      </c>
      <c r="P59" s="18">
        <v>5.0077331455917709E-8</v>
      </c>
      <c r="Q59" s="28">
        <v>0.71369298486326438</v>
      </c>
      <c r="R59" s="61">
        <v>116.9352611424713</v>
      </c>
      <c r="S59" s="58">
        <v>2.7786406114716381E-6</v>
      </c>
      <c r="U59" s="173">
        <v>1.6919980579555644E-2</v>
      </c>
      <c r="V59" s="173">
        <v>1.8365909263793192E-2</v>
      </c>
      <c r="W59" s="174">
        <v>1.7545827293950458E-2</v>
      </c>
      <c r="X59" s="174">
        <f t="shared" si="0"/>
        <v>1.7799406600273123E-2</v>
      </c>
      <c r="Y59" s="188">
        <f t="shared" si="1"/>
        <v>3.1866910364836354E-2</v>
      </c>
      <c r="AA59" s="144">
        <f t="shared" si="2"/>
        <v>0.142850022548</v>
      </c>
      <c r="AB59" s="145">
        <f t="shared" si="3"/>
        <v>1.7485825007003509E-2</v>
      </c>
      <c r="AC59" s="145">
        <f t="shared" si="4"/>
        <v>1.7566311631237687E-3</v>
      </c>
      <c r="AD59" s="145">
        <f t="shared" si="7"/>
        <v>1.7799406600273123E-2</v>
      </c>
      <c r="AE59" s="146">
        <f t="shared" si="5"/>
        <v>-1.2914738857528689</v>
      </c>
      <c r="AF59" s="146">
        <f t="shared" si="6"/>
        <v>2.7786406114716378E-4</v>
      </c>
      <c r="AH59" s="183"/>
      <c r="AI59" s="183"/>
      <c r="AJ59" s="183"/>
    </row>
    <row r="60" spans="2:36" x14ac:dyDescent="0.25">
      <c r="I60" s="126">
        <v>1.44278522774E-2</v>
      </c>
      <c r="J60" s="127">
        <v>1.5866827408322376E-2</v>
      </c>
      <c r="K60" s="127">
        <v>1.6785719818259472E-3</v>
      </c>
      <c r="L60" s="67">
        <v>1.7819244133647591E-2</v>
      </c>
      <c r="N60" s="18">
        <v>-1.4847178266057692E-6</v>
      </c>
      <c r="O60" s="18">
        <v>1.5305512561830875E-10</v>
      </c>
      <c r="P60" s="18">
        <v>5.0167693553117274E-8</v>
      </c>
      <c r="Q60" s="28">
        <v>0.35684649243163219</v>
      </c>
      <c r="R60" s="61">
        <v>117.60798841519858</v>
      </c>
      <c r="S60" s="58">
        <v>2.7786406114716381E-6</v>
      </c>
      <c r="U60" s="173">
        <v>1.6778780617193151E-2</v>
      </c>
      <c r="V60" s="173">
        <v>1.7819244133647591E-2</v>
      </c>
      <c r="W60" s="174">
        <v>1.6601740735295693E-2</v>
      </c>
      <c r="X60" s="174">
        <f t="shared" si="0"/>
        <v>1.7254752404946005E-2</v>
      </c>
      <c r="Y60" s="188">
        <f t="shared" si="1"/>
        <v>0.68367870924053253</v>
      </c>
      <c r="AA60" s="144">
        <f t="shared" si="2"/>
        <v>0.144278522774</v>
      </c>
      <c r="AB60" s="145">
        <f t="shared" si="3"/>
        <v>1.5866827408322376E-2</v>
      </c>
      <c r="AC60" s="145">
        <f t="shared" si="4"/>
        <v>1.6785719818259472E-3</v>
      </c>
      <c r="AD60" s="145">
        <f t="shared" si="7"/>
        <v>1.7254752404946005E-2</v>
      </c>
      <c r="AE60" s="146">
        <f t="shared" si="5"/>
        <v>-1.2242011584801418</v>
      </c>
      <c r="AF60" s="146">
        <f t="shared" si="6"/>
        <v>2.7786406114716378E-4</v>
      </c>
      <c r="AH60" s="183"/>
      <c r="AI60" s="183"/>
      <c r="AJ60" s="183"/>
    </row>
    <row r="61" spans="2:36" x14ac:dyDescent="0.25">
      <c r="B61" s="193" t="s">
        <v>616</v>
      </c>
      <c r="C61" s="193"/>
      <c r="D61" s="193"/>
      <c r="E61" s="193"/>
      <c r="F61" s="193"/>
      <c r="G61" s="193"/>
      <c r="H61" s="193"/>
      <c r="I61" s="126">
        <v>1.4572130800099999E-2</v>
      </c>
      <c r="J61" s="127">
        <v>1.7330966473251809E-2</v>
      </c>
      <c r="K61" s="127">
        <v>1.638693749266437E-3</v>
      </c>
      <c r="L61" s="67">
        <v>1.721372491863906E-2</v>
      </c>
      <c r="N61" s="18">
        <v>-1.5265268506765933E-6</v>
      </c>
      <c r="O61" s="18">
        <v>1.5392483148537927E-10</v>
      </c>
      <c r="P61" s="18">
        <v>5.0509225500401457E-8</v>
      </c>
      <c r="Q61" s="28">
        <v>0.86146705297430537</v>
      </c>
      <c r="R61" s="61">
        <v>117.60798841519858</v>
      </c>
      <c r="S61" s="58">
        <v>2.6874675197525567E-6</v>
      </c>
      <c r="U61" s="173">
        <v>1.6576992746624396E-2</v>
      </c>
      <c r="V61" s="173">
        <v>1.721372491863906E-2</v>
      </c>
      <c r="W61" s="174">
        <v>1.5618841650006959E-2</v>
      </c>
      <c r="X61" s="174">
        <f t="shared" si="0"/>
        <v>1.665582105847737E-2</v>
      </c>
      <c r="Y61" s="188">
        <f t="shared" si="1"/>
        <v>0.1697458052372752</v>
      </c>
      <c r="AA61" s="144">
        <f t="shared" si="2"/>
        <v>0.145721308001</v>
      </c>
      <c r="AB61" s="145">
        <f t="shared" si="3"/>
        <v>1.7330966473251809E-2</v>
      </c>
      <c r="AC61" s="145">
        <f t="shared" si="4"/>
        <v>1.638693749266437E-3</v>
      </c>
      <c r="AD61" s="145">
        <f t="shared" si="7"/>
        <v>1.665582105847737E-2</v>
      </c>
      <c r="AE61" s="146">
        <f t="shared" si="5"/>
        <v>-1.2242011584801418</v>
      </c>
      <c r="AF61" s="146">
        <f t="shared" si="6"/>
        <v>2.6874675197525566E-4</v>
      </c>
      <c r="AH61" s="183"/>
      <c r="AI61" s="183"/>
      <c r="AJ61" s="183"/>
    </row>
    <row r="62" spans="2:36" ht="19.5" x14ac:dyDescent="0.3">
      <c r="B62" s="154" t="s">
        <v>613</v>
      </c>
      <c r="C62" s="161">
        <v>0</v>
      </c>
      <c r="D62" s="161">
        <v>0</v>
      </c>
      <c r="E62" s="161">
        <v>0</v>
      </c>
      <c r="F62" s="139">
        <v>0</v>
      </c>
      <c r="G62" s="139">
        <v>0</v>
      </c>
      <c r="H62" s="147" t="s">
        <v>637</v>
      </c>
      <c r="I62" s="126">
        <v>1.4717852108099999E-2</v>
      </c>
      <c r="J62" s="127">
        <v>1.7026416312626573E-2</v>
      </c>
      <c r="K62" s="127">
        <v>1.6287597445697657E-3</v>
      </c>
      <c r="L62" s="67">
        <v>1.6551966374279636E-2</v>
      </c>
      <c r="N62" s="18">
        <v>-1.5613143890087708E-6</v>
      </c>
      <c r="O62" s="18">
        <v>1.5392483148537927E-10</v>
      </c>
      <c r="P62" s="18">
        <v>5.0509225500401457E-8</v>
      </c>
      <c r="Q62" s="28">
        <v>0.87618548514490913</v>
      </c>
      <c r="R62" s="61">
        <v>118.28071568792585</v>
      </c>
      <c r="S62" s="58">
        <v>2.6874675197525567E-6</v>
      </c>
      <c r="U62" s="173">
        <v>1.6314786029787261E-2</v>
      </c>
      <c r="V62" s="173">
        <v>1.6551966374279636E-2</v>
      </c>
      <c r="W62" s="174">
        <v>1.4602505034789234E-2</v>
      </c>
      <c r="X62" s="174">
        <f t="shared" si="0"/>
        <v>1.6005305953283942E-2</v>
      </c>
      <c r="Y62" s="188">
        <f t="shared" si="1"/>
        <v>0.39303507608490501</v>
      </c>
      <c r="AA62" s="144">
        <f t="shared" si="2"/>
        <v>0.14717852108099999</v>
      </c>
      <c r="AB62" s="145">
        <f t="shared" si="3"/>
        <v>1.7026416312626573E-2</v>
      </c>
      <c r="AC62" s="145">
        <f t="shared" si="4"/>
        <v>1.6287597445697657E-3</v>
      </c>
      <c r="AD62" s="145">
        <f t="shared" si="7"/>
        <v>1.6005305953283942E-2</v>
      </c>
      <c r="AE62" s="146">
        <f t="shared" si="5"/>
        <v>-1.1569284312074146</v>
      </c>
      <c r="AF62" s="146">
        <f t="shared" si="6"/>
        <v>2.6874675197525566E-4</v>
      </c>
      <c r="AH62" s="183"/>
      <c r="AI62" s="183"/>
      <c r="AJ62" s="183"/>
    </row>
    <row r="63" spans="2:36" x14ac:dyDescent="0.25">
      <c r="B63" s="107" t="s">
        <v>617</v>
      </c>
      <c r="C63" s="108">
        <f>H63</f>
        <v>1.0136721026109248E-6</v>
      </c>
      <c r="D63" s="108">
        <v>1.5392483148537927E-10</v>
      </c>
      <c r="E63" s="108">
        <v>5.0509225500401457E-8</v>
      </c>
      <c r="F63" s="123">
        <v>61.774063156716643</v>
      </c>
      <c r="G63" s="123">
        <v>44.340579166116143</v>
      </c>
      <c r="H63" s="110">
        <f>0.0000000000000001*H75*(H73*B79+(1-H73)*D79)</f>
        <v>1.0136721026109248E-6</v>
      </c>
      <c r="I63" s="126">
        <v>1.4865030629200001E-2</v>
      </c>
      <c r="J63" s="127">
        <v>1.6898675523223064E-2</v>
      </c>
      <c r="K63" s="127">
        <v>1.5494238299048066E-3</v>
      </c>
      <c r="L63" s="67">
        <v>1.5839397915226424E-2</v>
      </c>
      <c r="N63" s="18">
        <v>-1.5960951232502786E-6</v>
      </c>
      <c r="O63" s="18">
        <v>1.5392483148537927E-10</v>
      </c>
      <c r="P63" s="18">
        <v>5.0509225500401457E-8</v>
      </c>
      <c r="Q63" s="28">
        <v>0.90720378972442595</v>
      </c>
      <c r="R63" s="61">
        <v>118.28071568792585</v>
      </c>
      <c r="S63" s="58">
        <v>2.5909248667592145E-6</v>
      </c>
      <c r="U63" s="173">
        <v>1.5993290732240865E-2</v>
      </c>
      <c r="V63" s="173">
        <v>1.5839397915226424E-2</v>
      </c>
      <c r="W63" s="174">
        <v>1.3562665284753283E-2</v>
      </c>
      <c r="X63" s="174">
        <f t="shared" si="0"/>
        <v>1.530868796186175E-2</v>
      </c>
      <c r="Y63" s="188">
        <f t="shared" si="1"/>
        <v>1.0530451481308081</v>
      </c>
      <c r="AA63" s="144">
        <f t="shared" si="2"/>
        <v>0.14865030629200002</v>
      </c>
      <c r="AB63" s="145">
        <f t="shared" si="3"/>
        <v>1.6898675523223064E-2</v>
      </c>
      <c r="AC63" s="145">
        <f t="shared" si="4"/>
        <v>1.5494238299048066E-3</v>
      </c>
      <c r="AD63" s="145">
        <f t="shared" si="7"/>
        <v>1.530868796186175E-2</v>
      </c>
      <c r="AE63" s="146">
        <f t="shared" si="5"/>
        <v>-1.1569284312074146</v>
      </c>
      <c r="AF63" s="146">
        <f t="shared" si="6"/>
        <v>2.5909248667592145E-4</v>
      </c>
      <c r="AH63" s="183"/>
      <c r="AI63" s="183"/>
      <c r="AJ63" s="183"/>
    </row>
    <row r="64" spans="2:36" ht="18.75" x14ac:dyDescent="0.25">
      <c r="B64" s="111" t="s">
        <v>540</v>
      </c>
      <c r="C64" s="112">
        <f>H65</f>
        <v>3.2243909411123124E-6</v>
      </c>
      <c r="D64" s="113">
        <v>7.9300000000000003E-12</v>
      </c>
      <c r="E64" s="113">
        <v>3.6399999999999998E-10</v>
      </c>
      <c r="F64" s="114">
        <v>36.513977867968762</v>
      </c>
      <c r="G64" s="123">
        <v>21.368981921742197</v>
      </c>
      <c r="H64" s="116" t="s">
        <v>638</v>
      </c>
      <c r="I64" s="126">
        <v>1.50136809355E-2</v>
      </c>
      <c r="J64" s="127">
        <v>1.7026759588787004E-2</v>
      </c>
      <c r="K64" s="127">
        <v>1.4896099625372359E-3</v>
      </c>
      <c r="L64" s="67">
        <v>1.5079807410381106E-2</v>
      </c>
      <c r="N64" s="18">
        <v>-1.630846371131359E-6</v>
      </c>
      <c r="O64" s="18">
        <v>1.5392483148537927E-10</v>
      </c>
      <c r="P64" s="18">
        <v>5.0509225500401457E-8</v>
      </c>
      <c r="Q64" s="28">
        <v>0.95813981390315928</v>
      </c>
      <c r="R64" s="61">
        <v>118.95344296065312</v>
      </c>
      <c r="S64" s="58">
        <v>2.5909248667592145E-6</v>
      </c>
      <c r="U64" s="173">
        <v>1.5613754632061988E-2</v>
      </c>
      <c r="V64" s="173">
        <v>1.5079807410381106E-2</v>
      </c>
      <c r="W64" s="174">
        <v>1.2505687612268047E-2</v>
      </c>
      <c r="X64" s="174">
        <f t="shared" si="0"/>
        <v>1.4569764266273062E-2</v>
      </c>
      <c r="Y64" s="188">
        <f t="shared" si="1"/>
        <v>2.7205926658683683</v>
      </c>
      <c r="AA64" s="144">
        <f t="shared" si="2"/>
        <v>0.15013680935500001</v>
      </c>
      <c r="AB64" s="145">
        <f t="shared" si="3"/>
        <v>1.7026759588787004E-2</v>
      </c>
      <c r="AC64" s="145">
        <f t="shared" si="4"/>
        <v>1.4896099625372359E-3</v>
      </c>
      <c r="AD64" s="145">
        <f t="shared" si="7"/>
        <v>1.4569764266273062E-2</v>
      </c>
      <c r="AE64" s="146">
        <f t="shared" si="5"/>
        <v>-1.0896557039346875</v>
      </c>
      <c r="AF64" s="146">
        <f t="shared" si="6"/>
        <v>2.5909248667592145E-4</v>
      </c>
      <c r="AH64" s="183"/>
      <c r="AI64" s="183"/>
      <c r="AJ64" s="183"/>
    </row>
    <row r="65" spans="2:36" x14ac:dyDescent="0.25">
      <c r="B65" s="107" t="s">
        <v>618</v>
      </c>
      <c r="C65" s="108">
        <f>H63</f>
        <v>1.0136721026109248E-6</v>
      </c>
      <c r="D65" s="108">
        <v>1.5392483148537927E-10</v>
      </c>
      <c r="E65" s="108">
        <v>5.0509225500401457E-8</v>
      </c>
      <c r="F65" s="109">
        <f>H69-(F66+F64)/2</f>
        <v>126.16813550584273</v>
      </c>
      <c r="G65" s="109">
        <f>G64</f>
        <v>21.368981921742197</v>
      </c>
      <c r="H65" s="110">
        <f>0.0000000000000001*(H75*(C77/B77)*H77*C79+(1-H77)*H63)</f>
        <v>3.2243909411123124E-6</v>
      </c>
      <c r="I65" s="126">
        <v>1.5163817744900001E-2</v>
      </c>
      <c r="J65" s="127">
        <v>1.3068490026008812E-2</v>
      </c>
      <c r="K65" s="127">
        <v>1.2086539180337799E-3</v>
      </c>
      <c r="L65" s="67">
        <v>1.4278234945328646E-2</v>
      </c>
      <c r="N65" s="18">
        <v>-1.6655124958586075E-6</v>
      </c>
      <c r="O65" s="18">
        <v>1.5392483148537927E-10</v>
      </c>
      <c r="P65" s="18">
        <v>5.0509225500401457E-8</v>
      </c>
      <c r="Q65" s="28">
        <v>1.0358264058786453</v>
      </c>
      <c r="R65" s="61">
        <v>118.95344296065312</v>
      </c>
      <c r="S65" s="58">
        <v>2.4898599774308446E-6</v>
      </c>
      <c r="U65" s="173">
        <v>1.5178037766487434E-2</v>
      </c>
      <c r="V65" s="173">
        <v>1.4278234945328646E-2</v>
      </c>
      <c r="W65" s="174">
        <v>1.1439704279577842E-2</v>
      </c>
      <c r="X65" s="174">
        <f t="shared" si="0"/>
        <v>1.3793552984180642E-2</v>
      </c>
      <c r="Y65" s="188">
        <f t="shared" si="1"/>
        <v>0.35987154525902176</v>
      </c>
      <c r="AA65" s="144">
        <f t="shared" si="2"/>
        <v>0.15163817744900002</v>
      </c>
      <c r="AB65" s="145">
        <f t="shared" si="3"/>
        <v>1.3068490026008812E-2</v>
      </c>
      <c r="AC65" s="145">
        <f t="shared" si="4"/>
        <v>1.2086539180337799E-3</v>
      </c>
      <c r="AD65" s="145">
        <f t="shared" si="7"/>
        <v>1.3793552984180642E-2</v>
      </c>
      <c r="AE65" s="146">
        <f t="shared" si="5"/>
        <v>-1.0896557039346875</v>
      </c>
      <c r="AF65" s="146">
        <f t="shared" si="6"/>
        <v>2.4898599774308446E-4</v>
      </c>
      <c r="AH65" s="183"/>
      <c r="AI65" s="183"/>
      <c r="AJ65" s="183"/>
    </row>
    <row r="66" spans="2:36" ht="19.5" x14ac:dyDescent="0.3">
      <c r="B66" s="111" t="s">
        <v>540</v>
      </c>
      <c r="C66" s="112">
        <f>H65</f>
        <v>3.2243909411123124E-6</v>
      </c>
      <c r="D66" s="113">
        <v>7.9300000000000003E-12</v>
      </c>
      <c r="E66" s="113">
        <v>3.6399999999999998E-10</v>
      </c>
      <c r="F66" s="160">
        <f>F64</f>
        <v>36.513977867968762</v>
      </c>
      <c r="G66" s="115">
        <f>G64</f>
        <v>21.368981921742197</v>
      </c>
      <c r="H66" s="117" t="s">
        <v>692</v>
      </c>
      <c r="I66" s="126">
        <v>1.5315455922300001E-2</v>
      </c>
      <c r="J66" s="127">
        <v>1.5462619982147182E-2</v>
      </c>
      <c r="K66" s="127">
        <v>1.2690699094397857E-3</v>
      </c>
      <c r="L66" s="67">
        <v>1.3440244725669926E-2</v>
      </c>
      <c r="N66" s="18">
        <v>-1.6999778374338174E-6</v>
      </c>
      <c r="O66" s="18">
        <v>1.5392483148537927E-10</v>
      </c>
      <c r="P66" s="18">
        <v>5.0509225500401457E-8</v>
      </c>
      <c r="Q66" s="28">
        <v>1.1530411022175422</v>
      </c>
      <c r="R66" s="61">
        <v>119.62617023338039</v>
      </c>
      <c r="S66" s="58">
        <v>2.4898599774308446E-6</v>
      </c>
      <c r="U66" s="173">
        <v>1.4688519040328451E-2</v>
      </c>
      <c r="V66" s="173">
        <v>1.3440244725669926E-2</v>
      </c>
      <c r="W66" s="174">
        <v>1.0373215945873704E-2</v>
      </c>
      <c r="X66" s="174">
        <f t="shared" si="0"/>
        <v>1.2985556109385501E-2</v>
      </c>
      <c r="Y66" s="188">
        <f t="shared" si="1"/>
        <v>3.8098099965976449</v>
      </c>
      <c r="AA66" s="144">
        <f t="shared" si="2"/>
        <v>0.153154559223</v>
      </c>
      <c r="AB66" s="145">
        <f t="shared" si="3"/>
        <v>1.5462619982147182E-2</v>
      </c>
      <c r="AC66" s="145">
        <f t="shared" si="4"/>
        <v>1.2690699094397857E-3</v>
      </c>
      <c r="AD66" s="145">
        <f t="shared" si="7"/>
        <v>1.2985556109385501E-2</v>
      </c>
      <c r="AE66" s="146">
        <f t="shared" si="5"/>
        <v>-1.0223829766619601</v>
      </c>
      <c r="AF66" s="146">
        <f t="shared" si="6"/>
        <v>2.4898599774308446E-4</v>
      </c>
      <c r="AH66" s="183"/>
      <c r="AI66" s="183"/>
      <c r="AJ66" s="183"/>
    </row>
    <row r="67" spans="2:36" x14ac:dyDescent="0.25">
      <c r="B67" s="107" t="s">
        <v>618</v>
      </c>
      <c r="C67" s="108">
        <f>H63</f>
        <v>1.0136721026109248E-6</v>
      </c>
      <c r="D67" s="108">
        <v>1.5392483148537927E-10</v>
      </c>
      <c r="E67" s="108">
        <v>5.0509225500401457E-8</v>
      </c>
      <c r="F67" s="109">
        <f>(2*H69-F68-F66)/2</f>
        <v>126.16813550584271</v>
      </c>
      <c r="G67" s="109">
        <f>G64</f>
        <v>21.368981921742197</v>
      </c>
      <c r="H67" s="118">
        <f>H73*H69/5</f>
        <v>23.719052129901716</v>
      </c>
      <c r="I67" s="126">
        <v>1.54686104815E-2</v>
      </c>
      <c r="J67" s="127">
        <v>1.3080629330506244E-2</v>
      </c>
      <c r="K67" s="127">
        <v>1.1289813067938814E-3</v>
      </c>
      <c r="L67" s="67">
        <v>1.2571900168260802E-2</v>
      </c>
      <c r="N67" s="18">
        <v>-1.7340166993624638E-6</v>
      </c>
      <c r="O67" s="18">
        <v>1.5392483148537927E-10</v>
      </c>
      <c r="P67" s="18">
        <v>5.0509225500401457E-8</v>
      </c>
      <c r="Q67" s="28">
        <v>1.3353024769375388</v>
      </c>
      <c r="R67" s="61">
        <v>119.62617023338039</v>
      </c>
      <c r="S67" s="58">
        <v>2.38526507326429E-6</v>
      </c>
      <c r="U67" s="173">
        <v>1.4148097917509173E-2</v>
      </c>
      <c r="V67" s="173">
        <v>1.2571900168260802E-2</v>
      </c>
      <c r="W67" s="174">
        <v>9.3150262603276732E-3</v>
      </c>
      <c r="X67" s="174">
        <f t="shared" ref="X67:X130" si="8">(U67+2*V67+W67)/4</f>
        <v>1.2151731128589612E-2</v>
      </c>
      <c r="Y67" s="188">
        <f t="shared" ref="Y67:Y130" si="9">(J67-X67)*(J67-X67)/(K67*K67)</f>
        <v>0.67695958567954728</v>
      </c>
      <c r="AA67" s="144">
        <f t="shared" ref="AA67:AA130" si="10">I67*10</f>
        <v>0.154686104815</v>
      </c>
      <c r="AB67" s="145">
        <f t="shared" ref="AB67:AB130" si="11">J67</f>
        <v>1.3080629330506244E-2</v>
      </c>
      <c r="AC67" s="145">
        <f t="shared" ref="AC67:AC130" si="12">K67</f>
        <v>1.1289813067938814E-3</v>
      </c>
      <c r="AD67" s="145">
        <f t="shared" si="7"/>
        <v>1.2151731128589612E-2</v>
      </c>
      <c r="AE67" s="146">
        <f t="shared" ref="AE67:AE130" si="13">(R67-129.85)/10</f>
        <v>-1.0223829766619601</v>
      </c>
      <c r="AF67" s="146">
        <f t="shared" ref="AF67:AF130" si="14">S67*100</f>
        <v>2.3852650732642899E-4</v>
      </c>
      <c r="AH67" s="183"/>
      <c r="AI67" s="183"/>
      <c r="AJ67" s="183"/>
    </row>
    <row r="68" spans="2:36" ht="19.5" x14ac:dyDescent="0.3">
      <c r="B68" s="111" t="s">
        <v>540</v>
      </c>
      <c r="C68" s="112">
        <f>H65</f>
        <v>3.2243909411123124E-6</v>
      </c>
      <c r="D68" s="113">
        <v>7.9300000000000003E-12</v>
      </c>
      <c r="E68" s="113">
        <v>3.6399999999999998E-10</v>
      </c>
      <c r="F68" s="160">
        <f>F64</f>
        <v>36.513977867968762</v>
      </c>
      <c r="G68" s="115">
        <f>G64</f>
        <v>21.368981921742197</v>
      </c>
      <c r="H68" s="117" t="s">
        <v>640</v>
      </c>
      <c r="I68" s="126">
        <v>1.56232965864E-2</v>
      </c>
      <c r="J68" s="127">
        <v>1.2345344985557238E-2</v>
      </c>
      <c r="K68" s="127">
        <v>1.0508710132392488E-3</v>
      </c>
      <c r="L68" s="67">
        <v>1.1679732096380523E-2</v>
      </c>
      <c r="N68" s="18">
        <v>-1.7671921250016446E-6</v>
      </c>
      <c r="O68" s="18">
        <v>1.5392483148537927E-10</v>
      </c>
      <c r="P68" s="18">
        <v>5.0509225500401457E-8</v>
      </c>
      <c r="Q68" s="28">
        <v>1.640851486839652</v>
      </c>
      <c r="R68" s="61">
        <v>120.29889750610766</v>
      </c>
      <c r="S68" s="58">
        <v>2.38526507326429E-6</v>
      </c>
      <c r="U68" s="173">
        <v>1.3560191783622111E-2</v>
      </c>
      <c r="V68" s="173">
        <v>1.1679732096380523E-2</v>
      </c>
      <c r="W68" s="174">
        <v>8.2741678059461889E-3</v>
      </c>
      <c r="X68" s="174">
        <f t="shared" si="8"/>
        <v>1.1298455945582337E-2</v>
      </c>
      <c r="Y68" s="188">
        <f t="shared" si="9"/>
        <v>0.99243593372842231</v>
      </c>
      <c r="AA68" s="144">
        <f t="shared" si="10"/>
        <v>0.15623296586399998</v>
      </c>
      <c r="AB68" s="145">
        <f t="shared" si="11"/>
        <v>1.2345344985557238E-2</v>
      </c>
      <c r="AC68" s="145">
        <f t="shared" si="12"/>
        <v>1.0508710132392488E-3</v>
      </c>
      <c r="AD68" s="145">
        <f t="shared" ref="AD68:AD131" si="15">X68</f>
        <v>1.1298455945582337E-2</v>
      </c>
      <c r="AE68" s="146">
        <f t="shared" si="13"/>
        <v>-0.95511024938923295</v>
      </c>
      <c r="AF68" s="146">
        <f t="shared" si="14"/>
        <v>2.3852650732642899E-4</v>
      </c>
      <c r="AH68" s="183"/>
      <c r="AI68" s="183"/>
      <c r="AJ68" s="183"/>
    </row>
    <row r="69" spans="2:36" x14ac:dyDescent="0.25">
      <c r="B69" s="107" t="s">
        <v>619</v>
      </c>
      <c r="C69" s="108">
        <f>H63</f>
        <v>1.0136721026109248E-6</v>
      </c>
      <c r="D69" s="108">
        <v>1.5392483148537927E-10</v>
      </c>
      <c r="E69" s="108">
        <v>5.0509225500401457E-8</v>
      </c>
      <c r="F69" s="123">
        <v>101.17677234221604</v>
      </c>
      <c r="G69" s="109">
        <f>G64</f>
        <v>21.368981921742197</v>
      </c>
      <c r="H69" s="123">
        <v>162.68211337381149</v>
      </c>
      <c r="I69" s="126">
        <v>1.5779529552200001E-2</v>
      </c>
      <c r="J69" s="127">
        <v>1.1937453964750889E-2</v>
      </c>
      <c r="K69" s="127">
        <v>9.8033814371531729E-4</v>
      </c>
      <c r="L69" s="67">
        <v>1.0770699687085942E-2</v>
      </c>
      <c r="N69" s="18">
        <v>-1.798627591737E-6</v>
      </c>
      <c r="O69" s="18">
        <v>1.5392483148537927E-10</v>
      </c>
      <c r="P69" s="18">
        <v>5.0509225500401457E-8</v>
      </c>
      <c r="Q69" s="28">
        <v>2.2395540466502442</v>
      </c>
      <c r="R69" s="61">
        <v>120.29889750610766</v>
      </c>
      <c r="S69" s="58">
        <v>2.2782486104769875E-6</v>
      </c>
      <c r="U69" s="173">
        <v>1.2928728553699788E-2</v>
      </c>
      <c r="V69" s="173">
        <v>1.0770699687085942E-2</v>
      </c>
      <c r="W69" s="174">
        <v>7.2598195856399522E-3</v>
      </c>
      <c r="X69" s="174">
        <f t="shared" si="8"/>
        <v>1.0432486878377906E-2</v>
      </c>
      <c r="Y69" s="188">
        <f t="shared" si="9"/>
        <v>2.3566886075530022</v>
      </c>
      <c r="AA69" s="144">
        <f t="shared" si="10"/>
        <v>0.157795295522</v>
      </c>
      <c r="AB69" s="145">
        <f t="shared" si="11"/>
        <v>1.1937453964750889E-2</v>
      </c>
      <c r="AC69" s="145">
        <f t="shared" si="12"/>
        <v>9.8033814371531729E-4</v>
      </c>
      <c r="AD69" s="145">
        <f t="shared" si="15"/>
        <v>1.0432486878377906E-2</v>
      </c>
      <c r="AE69" s="146">
        <f t="shared" si="13"/>
        <v>-0.95511024938923295</v>
      </c>
      <c r="AF69" s="146">
        <f t="shared" si="14"/>
        <v>2.2782486104769875E-4</v>
      </c>
      <c r="AH69" s="183"/>
      <c r="AI69" s="183"/>
      <c r="AJ69" s="183"/>
    </row>
    <row r="70" spans="2:36" ht="19.5" x14ac:dyDescent="0.3">
      <c r="B70" s="155" t="s">
        <v>539</v>
      </c>
      <c r="C70" s="128">
        <v>8.9999999999999996E-7</v>
      </c>
      <c r="D70" s="128">
        <v>1.5392483148537927E-10</v>
      </c>
      <c r="E70" s="128">
        <v>5.0509225500401457E-8</v>
      </c>
      <c r="F70" s="159">
        <v>15.7</v>
      </c>
      <c r="G70" s="159">
        <f>F70</f>
        <v>15.7</v>
      </c>
      <c r="H70" s="117" t="s">
        <v>641</v>
      </c>
      <c r="I70" s="126">
        <v>1.59373248477E-2</v>
      </c>
      <c r="J70" s="127">
        <v>1.1491365162334155E-2</v>
      </c>
      <c r="K70" s="127">
        <v>9.1440464194519162E-4</v>
      </c>
      <c r="L70" s="67">
        <v>9.8521438962344242E-3</v>
      </c>
      <c r="N70" s="18">
        <v>-1.826408425447544E-6</v>
      </c>
      <c r="O70" s="18">
        <v>1.5392483148537927E-10</v>
      </c>
      <c r="P70" s="18">
        <v>5.0509225500401457E-8</v>
      </c>
      <c r="Q70" s="28">
        <v>4.0245083552658345</v>
      </c>
      <c r="R70" s="61">
        <v>120.97162477883494</v>
      </c>
      <c r="S70" s="58">
        <v>2.2782486104769875E-6</v>
      </c>
      <c r="U70" s="173">
        <v>1.2258134103289641E-2</v>
      </c>
      <c r="V70" s="173">
        <v>9.8521438962344242E-3</v>
      </c>
      <c r="W70" s="174">
        <v>6.2812164397530812E-3</v>
      </c>
      <c r="X70" s="174">
        <f t="shared" si="8"/>
        <v>9.5609095838778916E-3</v>
      </c>
      <c r="Y70" s="188">
        <f t="shared" si="9"/>
        <v>4.4570015074821425</v>
      </c>
      <c r="AA70" s="144">
        <f t="shared" si="10"/>
        <v>0.15937324847699999</v>
      </c>
      <c r="AB70" s="145">
        <f t="shared" si="11"/>
        <v>1.1491365162334155E-2</v>
      </c>
      <c r="AC70" s="145">
        <f t="shared" si="12"/>
        <v>9.1440464194519162E-4</v>
      </c>
      <c r="AD70" s="145">
        <f t="shared" si="15"/>
        <v>9.5609095838778916E-3</v>
      </c>
      <c r="AE70" s="146">
        <f t="shared" si="13"/>
        <v>-0.8878375221165058</v>
      </c>
      <c r="AF70" s="146">
        <f t="shared" si="14"/>
        <v>2.2782486104769875E-4</v>
      </c>
      <c r="AH70" s="183"/>
      <c r="AI70" s="183"/>
      <c r="AJ70" s="183"/>
    </row>
    <row r="71" spans="2:36" ht="18.75" x14ac:dyDescent="0.35">
      <c r="B71" s="155" t="s">
        <v>620</v>
      </c>
      <c r="C71" s="158">
        <v>3.4400000000000001E-6</v>
      </c>
      <c r="D71" s="158">
        <v>2.5307649463664093E-11</v>
      </c>
      <c r="E71" s="158">
        <v>1.486857631694136E-12</v>
      </c>
      <c r="F71" s="139">
        <v>14.8</v>
      </c>
      <c r="G71" s="139">
        <f>F71</f>
        <v>14.8</v>
      </c>
      <c r="H71" s="118">
        <f>SUM(F63:F69)</f>
        <v>524.82904011452445</v>
      </c>
      <c r="I71" s="126">
        <v>1.6096698096199999E-2</v>
      </c>
      <c r="J71" s="127">
        <v>1.1622596573983505E-2</v>
      </c>
      <c r="K71" s="127">
        <v>8.7221177299720261E-4</v>
      </c>
      <c r="L71" s="67">
        <v>8.9317332088345337E-3</v>
      </c>
      <c r="N71" s="18">
        <v>-1.845611985884229E-6</v>
      </c>
      <c r="O71" s="18">
        <v>1.5392483148537927E-10</v>
      </c>
      <c r="P71" s="18">
        <v>5.0509225500401457E-8</v>
      </c>
      <c r="Q71" s="28">
        <v>5.4046249654576455</v>
      </c>
      <c r="R71" s="61">
        <v>120.97162477883494</v>
      </c>
      <c r="S71" s="58">
        <v>2.1971106880824975E-6</v>
      </c>
      <c r="U71" s="173">
        <v>1.1553314133867473E-2</v>
      </c>
      <c r="V71" s="173">
        <v>8.9317332088345337E-3</v>
      </c>
      <c r="W71" s="174">
        <v>5.347551026784087E-3</v>
      </c>
      <c r="X71" s="174">
        <f t="shared" si="8"/>
        <v>8.6910828945801575E-3</v>
      </c>
      <c r="Y71" s="188">
        <f t="shared" si="9"/>
        <v>11.29639737772489</v>
      </c>
      <c r="AA71" s="144">
        <f t="shared" si="10"/>
        <v>0.16096698096199999</v>
      </c>
      <c r="AB71" s="145">
        <f t="shared" si="11"/>
        <v>1.1622596573983505E-2</v>
      </c>
      <c r="AC71" s="145">
        <f t="shared" si="12"/>
        <v>8.7221177299720261E-4</v>
      </c>
      <c r="AD71" s="145">
        <f t="shared" si="15"/>
        <v>8.6910828945801575E-3</v>
      </c>
      <c r="AE71" s="146">
        <f t="shared" si="13"/>
        <v>-0.8878375221165058</v>
      </c>
      <c r="AF71" s="146">
        <f t="shared" si="14"/>
        <v>2.1971106880824974E-4</v>
      </c>
      <c r="AH71" s="183"/>
      <c r="AI71" s="183"/>
      <c r="AJ71" s="183"/>
    </row>
    <row r="72" spans="2:36" ht="17.25" x14ac:dyDescent="0.3">
      <c r="B72" s="154" t="s">
        <v>52</v>
      </c>
      <c r="C72" s="158">
        <v>2.108515049501502E-6</v>
      </c>
      <c r="D72" s="158">
        <v>4.7498147887006942E-11</v>
      </c>
      <c r="E72" s="158">
        <v>1.9976998807213682E-12</v>
      </c>
      <c r="F72" s="139">
        <v>100</v>
      </c>
      <c r="G72" s="139">
        <v>5</v>
      </c>
      <c r="H72" s="117" t="s">
        <v>693</v>
      </c>
      <c r="I72" s="126">
        <v>1.6257665077200001E-2</v>
      </c>
      <c r="J72" s="127">
        <v>9.3293769795160207E-3</v>
      </c>
      <c r="K72" s="127">
        <v>7.832239117891135E-4</v>
      </c>
      <c r="L72" s="67">
        <v>8.017401655030407E-3</v>
      </c>
      <c r="N72" s="18">
        <v>-1.8482654048455708E-6</v>
      </c>
      <c r="O72" s="18">
        <v>1.5392483148537927E-10</v>
      </c>
      <c r="P72" s="18">
        <v>5.0509225500401457E-8</v>
      </c>
      <c r="Q72" s="28">
        <v>51.875228925488948</v>
      </c>
      <c r="R72" s="61">
        <v>121.30798841519858</v>
      </c>
      <c r="S72" s="58">
        <v>2.1971106880824975E-6</v>
      </c>
      <c r="U72" s="173">
        <v>1.0819630094647429E-2</v>
      </c>
      <c r="V72" s="173">
        <v>8.017401655030407E-3</v>
      </c>
      <c r="W72" s="174">
        <v>4.4678691988212418E-3</v>
      </c>
      <c r="X72" s="174">
        <f t="shared" si="8"/>
        <v>7.8305756508823716E-3</v>
      </c>
      <c r="Y72" s="188">
        <f t="shared" si="9"/>
        <v>3.6619824855945304</v>
      </c>
      <c r="AA72" s="144">
        <f t="shared" si="10"/>
        <v>0.16257665077200001</v>
      </c>
      <c r="AB72" s="145">
        <f t="shared" si="11"/>
        <v>9.3293769795160207E-3</v>
      </c>
      <c r="AC72" s="145">
        <f t="shared" si="12"/>
        <v>7.832239117891135E-4</v>
      </c>
      <c r="AD72" s="145">
        <f t="shared" si="15"/>
        <v>7.8305756508823716E-3</v>
      </c>
      <c r="AE72" s="146">
        <f t="shared" si="13"/>
        <v>-0.85420115848014144</v>
      </c>
      <c r="AF72" s="146">
        <f t="shared" si="14"/>
        <v>2.1971106880824974E-4</v>
      </c>
      <c r="AH72" s="183"/>
      <c r="AI72" s="183"/>
      <c r="AJ72" s="183"/>
    </row>
    <row r="73" spans="2:36" x14ac:dyDescent="0.25">
      <c r="B73" s="119"/>
      <c r="C73" s="120"/>
      <c r="D73" s="120"/>
      <c r="E73" s="120"/>
      <c r="F73" s="120"/>
      <c r="G73" s="120"/>
      <c r="H73" s="165">
        <v>0.72899999999999998</v>
      </c>
      <c r="I73" s="126">
        <v>1.6420241727999999E-2</v>
      </c>
      <c r="J73" s="127">
        <v>7.5077561223143739E-3</v>
      </c>
      <c r="K73" s="127">
        <v>6.1608592469342084E-4</v>
      </c>
      <c r="L73" s="67">
        <v>7.1172791910155886E-3</v>
      </c>
      <c r="N73" s="18">
        <v>-1.8442546865984872E-6</v>
      </c>
      <c r="O73" s="18">
        <v>1.5335369008357155E-10</v>
      </c>
      <c r="P73" s="18">
        <v>5.0313054073681245E-8</v>
      </c>
      <c r="Q73" s="28">
        <v>14.106802181816089</v>
      </c>
      <c r="R73" s="61">
        <v>121.30798841519858</v>
      </c>
      <c r="S73" s="58">
        <v>2.1344843538775002E-6</v>
      </c>
      <c r="U73" s="173">
        <v>1.0062868837858417E-2</v>
      </c>
      <c r="V73" s="173">
        <v>7.1172791910155886E-3</v>
      </c>
      <c r="W73" s="174">
        <v>3.6509598651383807E-3</v>
      </c>
      <c r="X73" s="174">
        <f t="shared" si="8"/>
        <v>6.987096771256994E-3</v>
      </c>
      <c r="Y73" s="188">
        <f t="shared" si="9"/>
        <v>0.7142081006924651</v>
      </c>
      <c r="AA73" s="144">
        <f t="shared" si="10"/>
        <v>0.16420241727999998</v>
      </c>
      <c r="AB73" s="145">
        <f t="shared" si="11"/>
        <v>7.5077561223143739E-3</v>
      </c>
      <c r="AC73" s="145">
        <f t="shared" si="12"/>
        <v>6.1608592469342084E-4</v>
      </c>
      <c r="AD73" s="145">
        <f t="shared" si="15"/>
        <v>6.987096771256994E-3</v>
      </c>
      <c r="AE73" s="146">
        <f t="shared" si="13"/>
        <v>-0.85420115848014144</v>
      </c>
      <c r="AF73" s="146">
        <f t="shared" si="14"/>
        <v>2.1344843538775003E-4</v>
      </c>
      <c r="AH73" s="183"/>
      <c r="AI73" s="183"/>
      <c r="AJ73" s="183"/>
    </row>
    <row r="74" spans="2:36" ht="18.75" x14ac:dyDescent="0.25">
      <c r="B74" s="119"/>
      <c r="C74" s="120"/>
      <c r="D74" s="120"/>
      <c r="E74" s="120"/>
      <c r="F74" s="120"/>
      <c r="G74" s="120"/>
      <c r="H74" s="116" t="s">
        <v>643</v>
      </c>
      <c r="I74" s="126">
        <v>1.6584444145200002E-2</v>
      </c>
      <c r="J74" s="127">
        <v>8.4983841153499252E-3</v>
      </c>
      <c r="K74" s="127">
        <v>6.298942166432451E-4</v>
      </c>
      <c r="L74" s="67">
        <v>6.2396147012349547E-3</v>
      </c>
      <c r="N74" s="18">
        <v>-1.8152279586770728E-6</v>
      </c>
      <c r="O74" s="18">
        <v>1.4922017457497579E-10</v>
      </c>
      <c r="P74" s="18">
        <v>4.8893304722426312E-8</v>
      </c>
      <c r="Q74" s="28">
        <v>10.504511156583797</v>
      </c>
      <c r="R74" s="61">
        <v>121.66483490763021</v>
      </c>
      <c r="S74" s="58">
        <v>2.1344843538775002E-6</v>
      </c>
      <c r="U74" s="173">
        <v>9.2892057411303342E-3</v>
      </c>
      <c r="V74" s="173">
        <v>6.2396147012349547E-3</v>
      </c>
      <c r="W74" s="174">
        <v>2.9052406752639462E-3</v>
      </c>
      <c r="X74" s="174">
        <f t="shared" si="8"/>
        <v>6.1684189547160477E-3</v>
      </c>
      <c r="Y74" s="188">
        <f t="shared" si="9"/>
        <v>13.682441896438243</v>
      </c>
      <c r="AA74" s="144">
        <f t="shared" si="10"/>
        <v>0.165844441452</v>
      </c>
      <c r="AB74" s="145">
        <f t="shared" si="11"/>
        <v>8.4983841153499252E-3</v>
      </c>
      <c r="AC74" s="145">
        <f t="shared" si="12"/>
        <v>6.298942166432451E-4</v>
      </c>
      <c r="AD74" s="145">
        <f t="shared" si="15"/>
        <v>6.1684189547160477E-3</v>
      </c>
      <c r="AE74" s="146">
        <f t="shared" si="13"/>
        <v>-0.81851650923697861</v>
      </c>
      <c r="AF74" s="146">
        <f t="shared" si="14"/>
        <v>2.1344843538775003E-4</v>
      </c>
      <c r="AH74" s="183"/>
      <c r="AI74" s="183"/>
      <c r="AJ74" s="183"/>
    </row>
    <row r="75" spans="2:36" x14ac:dyDescent="0.25">
      <c r="B75" s="119"/>
      <c r="C75" s="120"/>
      <c r="D75" s="120"/>
      <c r="E75" s="120"/>
      <c r="F75" s="120"/>
      <c r="G75" s="120"/>
      <c r="H75" s="156">
        <v>0.90809677190880689</v>
      </c>
      <c r="I75" s="126">
        <v>1.67502885867E-2</v>
      </c>
      <c r="J75" s="127">
        <v>6.7855351250637706E-3</v>
      </c>
      <c r="K75" s="127">
        <v>1.7753931051886116E-3</v>
      </c>
      <c r="L75" s="67">
        <v>5.3926920545368882E-3</v>
      </c>
      <c r="N75" s="18">
        <v>-1.7732364381876981E-6</v>
      </c>
      <c r="O75" s="18">
        <v>1.4324042371768765E-10</v>
      </c>
      <c r="P75" s="18">
        <v>4.6839424101282796E-8</v>
      </c>
      <c r="Q75" s="28">
        <v>5.8455389806877252</v>
      </c>
      <c r="R75" s="61">
        <v>121.66483490763021</v>
      </c>
      <c r="S75" s="58">
        <v>2.0468446290884951E-6</v>
      </c>
      <c r="U75" s="173">
        <v>8.5051611036097863E-3</v>
      </c>
      <c r="V75" s="173">
        <v>5.3926920545368882E-3</v>
      </c>
      <c r="W75" s="174">
        <v>2.2386410876572148E-3</v>
      </c>
      <c r="X75" s="174">
        <f t="shared" si="8"/>
        <v>5.3822965750851947E-3</v>
      </c>
      <c r="Y75" s="188">
        <f t="shared" si="9"/>
        <v>0.62470352492288561</v>
      </c>
      <c r="AA75" s="144">
        <f t="shared" si="10"/>
        <v>0.16750288586699999</v>
      </c>
      <c r="AB75" s="145">
        <f t="shared" si="11"/>
        <v>6.7855351250637706E-3</v>
      </c>
      <c r="AC75" s="145">
        <f t="shared" si="12"/>
        <v>1.7753931051886116E-3</v>
      </c>
      <c r="AD75" s="145">
        <f t="shared" si="15"/>
        <v>5.3822965750851947E-3</v>
      </c>
      <c r="AE75" s="146">
        <f t="shared" si="13"/>
        <v>-0.81851650923697861</v>
      </c>
      <c r="AF75" s="146">
        <f t="shared" si="14"/>
        <v>2.046844629088495E-4</v>
      </c>
      <c r="AH75" s="183"/>
      <c r="AI75" s="183"/>
      <c r="AJ75" s="183"/>
    </row>
    <row r="76" spans="2:36" ht="19.5" x14ac:dyDescent="0.3">
      <c r="B76" s="117" t="s">
        <v>644</v>
      </c>
      <c r="C76" s="117" t="s">
        <v>645</v>
      </c>
      <c r="D76" s="117" t="s">
        <v>646</v>
      </c>
      <c r="E76" s="136"/>
      <c r="F76" s="136"/>
      <c r="H76" s="116" t="s">
        <v>647</v>
      </c>
      <c r="I76" s="126">
        <v>1.6917791472599999E-2</v>
      </c>
      <c r="J76" s="127">
        <v>7.1425393884247046E-3</v>
      </c>
      <c r="K76" s="127">
        <v>1.5779654041378833E-3</v>
      </c>
      <c r="L76" s="67">
        <v>4.5847398512623228E-3</v>
      </c>
      <c r="N76" s="18">
        <v>-1.7257208359108037E-6</v>
      </c>
      <c r="O76" s="18">
        <v>1.364740227839154E-10</v>
      </c>
      <c r="P76" s="18">
        <v>4.4515350726917373E-8</v>
      </c>
      <c r="Q76" s="28">
        <v>4.2828443199158688</v>
      </c>
      <c r="R76" s="61">
        <v>122.37852789249347</v>
      </c>
      <c r="S76" s="58">
        <v>2.0468446290884951E-6</v>
      </c>
      <c r="U76" s="173">
        <v>7.7175497247317969E-3</v>
      </c>
      <c r="V76" s="173">
        <v>4.5847398512623228E-3</v>
      </c>
      <c r="W76" s="174">
        <v>1.6584846203209179E-3</v>
      </c>
      <c r="X76" s="174">
        <f t="shared" si="8"/>
        <v>4.6363785118943403E-3</v>
      </c>
      <c r="Y76" s="188">
        <f t="shared" si="9"/>
        <v>2.522452153747659</v>
      </c>
      <c r="AA76" s="144">
        <f t="shared" si="10"/>
        <v>0.16917791472599999</v>
      </c>
      <c r="AB76" s="145">
        <f t="shared" si="11"/>
        <v>7.1425393884247046E-3</v>
      </c>
      <c r="AC76" s="145">
        <f t="shared" si="12"/>
        <v>1.5779654041378833E-3</v>
      </c>
      <c r="AD76" s="145">
        <f t="shared" si="15"/>
        <v>4.6363785118943403E-3</v>
      </c>
      <c r="AE76" s="146">
        <f t="shared" si="13"/>
        <v>-0.74714721075065282</v>
      </c>
      <c r="AF76" s="146">
        <f t="shared" si="14"/>
        <v>2.046844629088495E-4</v>
      </c>
      <c r="AH76" s="183"/>
      <c r="AI76" s="183"/>
      <c r="AJ76" s="183"/>
    </row>
    <row r="77" spans="2:36" x14ac:dyDescent="0.25">
      <c r="B77" s="164">
        <v>86.1</v>
      </c>
      <c r="C77" s="164">
        <v>92.1</v>
      </c>
      <c r="D77" s="164">
        <v>111.16</v>
      </c>
      <c r="E77" s="124"/>
      <c r="F77" s="124"/>
      <c r="H77" s="164">
        <f>H67/F64</f>
        <v>0.64958828138823055</v>
      </c>
      <c r="I77" s="126">
        <v>1.7086969387300002E-2</v>
      </c>
      <c r="J77" s="127">
        <v>5.5943927227180808E-3</v>
      </c>
      <c r="K77" s="127">
        <v>1.3282470601818669E-3</v>
      </c>
      <c r="L77" s="67">
        <v>3.8238356813115396E-3</v>
      </c>
      <c r="N77" s="18">
        <v>-1.6755752362507525E-6</v>
      </c>
      <c r="O77" s="18">
        <v>1.2933310030571428E-10</v>
      </c>
      <c r="P77" s="18">
        <v>4.2062639460997382E-8</v>
      </c>
      <c r="Q77" s="28">
        <v>3.4853200759420058</v>
      </c>
      <c r="R77" s="61">
        <v>122.37852789249347</v>
      </c>
      <c r="S77" s="58">
        <v>1.9308877906734488E-6</v>
      </c>
      <c r="U77" s="173">
        <v>6.9334236657651125E-3</v>
      </c>
      <c r="V77" s="173">
        <v>3.8238356813115396E-3</v>
      </c>
      <c r="W77" s="174">
        <v>1.1713722584543722E-3</v>
      </c>
      <c r="X77" s="174">
        <f t="shared" si="8"/>
        <v>3.9381168217106407E-3</v>
      </c>
      <c r="Y77" s="188">
        <f t="shared" si="9"/>
        <v>1.5549185298187629</v>
      </c>
      <c r="AA77" s="144">
        <f t="shared" si="10"/>
        <v>0.17086969387300002</v>
      </c>
      <c r="AB77" s="145">
        <f t="shared" si="11"/>
        <v>5.5943927227180808E-3</v>
      </c>
      <c r="AC77" s="145">
        <f t="shared" si="12"/>
        <v>1.3282470601818669E-3</v>
      </c>
      <c r="AD77" s="145">
        <f t="shared" si="15"/>
        <v>3.9381168217106407E-3</v>
      </c>
      <c r="AE77" s="146">
        <f t="shared" si="13"/>
        <v>-0.74714721075065282</v>
      </c>
      <c r="AF77" s="146">
        <f t="shared" si="14"/>
        <v>1.9308877906734488E-4</v>
      </c>
      <c r="AH77" s="183"/>
      <c r="AI77" s="183"/>
      <c r="AJ77" s="183"/>
    </row>
    <row r="78" spans="2:36" ht="19.5" x14ac:dyDescent="0.3">
      <c r="B78" s="117" t="s">
        <v>648</v>
      </c>
      <c r="C78" s="117" t="s">
        <v>659</v>
      </c>
      <c r="D78" s="117" t="s">
        <v>649</v>
      </c>
      <c r="H78" s="152"/>
      <c r="I78" s="126">
        <v>1.7257839081199999E-2</v>
      </c>
      <c r="J78" s="127">
        <v>8.17064218336855E-3</v>
      </c>
      <c r="K78" s="127">
        <v>1.6637263371310157E-3</v>
      </c>
      <c r="L78" s="67">
        <v>3.1178059449054199E-3</v>
      </c>
      <c r="N78" s="18">
        <v>-1.6241245280753075E-6</v>
      </c>
      <c r="O78" s="18">
        <v>1.220063254536808E-10</v>
      </c>
      <c r="P78" s="18">
        <v>3.9546092995565262E-8</v>
      </c>
      <c r="Q78" s="28">
        <v>3.0095932355056063</v>
      </c>
      <c r="R78" s="61">
        <v>123.09222087735672</v>
      </c>
      <c r="S78" s="58">
        <v>1.9308877906734488E-6</v>
      </c>
      <c r="U78" s="173">
        <v>6.1600083407443596E-3</v>
      </c>
      <c r="V78" s="173">
        <v>3.1178059449054199E-3</v>
      </c>
      <c r="W78" s="174">
        <v>7.8306917478283475E-4</v>
      </c>
      <c r="X78" s="174">
        <f t="shared" si="8"/>
        <v>3.2946723513345086E-3</v>
      </c>
      <c r="Y78" s="188">
        <f t="shared" si="9"/>
        <v>8.5893091951560461</v>
      </c>
      <c r="AA78" s="144">
        <f t="shared" si="10"/>
        <v>0.17257839081199999</v>
      </c>
      <c r="AB78" s="145">
        <f t="shared" si="11"/>
        <v>8.17064218336855E-3</v>
      </c>
      <c r="AC78" s="145">
        <f t="shared" si="12"/>
        <v>1.6637263371310157E-3</v>
      </c>
      <c r="AD78" s="145">
        <f t="shared" si="15"/>
        <v>3.2946723513345086E-3</v>
      </c>
      <c r="AE78" s="146">
        <f t="shared" si="13"/>
        <v>-0.67577791226432704</v>
      </c>
      <c r="AF78" s="146">
        <f t="shared" si="14"/>
        <v>1.9308877906734488E-4</v>
      </c>
      <c r="AH78" s="183"/>
      <c r="AI78" s="183"/>
      <c r="AJ78" s="183"/>
    </row>
    <row r="79" spans="2:36" x14ac:dyDescent="0.25">
      <c r="B79" s="110">
        <v>11000000000</v>
      </c>
      <c r="C79" s="110">
        <v>51100000000</v>
      </c>
      <c r="D79" s="110">
        <v>11600000000</v>
      </c>
      <c r="H79" s="108"/>
      <c r="I79" s="126">
        <v>1.7430417472000002E-2</v>
      </c>
      <c r="J79" s="127">
        <v>6.4160444320016862E-3</v>
      </c>
      <c r="K79" s="127">
        <v>1.4011486418212295E-3</v>
      </c>
      <c r="L79" s="67">
        <v>2.4741224865982652E-3</v>
      </c>
      <c r="N79" s="18">
        <v>-1.5720291837811783E-6</v>
      </c>
      <c r="O79" s="18">
        <v>1.145877519875839E-10</v>
      </c>
      <c r="P79" s="18">
        <v>3.6998016220765337E-8</v>
      </c>
      <c r="Q79" s="28">
        <v>2.7036470237661123</v>
      </c>
      <c r="R79" s="61">
        <v>123.09222087735672</v>
      </c>
      <c r="S79" s="58">
        <v>1.817140852590672E-6</v>
      </c>
      <c r="U79" s="173">
        <v>5.4046322188694611E-3</v>
      </c>
      <c r="V79" s="173">
        <v>2.4741224865982652E-3</v>
      </c>
      <c r="W79" s="174">
        <v>4.9839702563647702E-4</v>
      </c>
      <c r="X79" s="174">
        <f t="shared" si="8"/>
        <v>2.712818554425617E-3</v>
      </c>
      <c r="Y79" s="188">
        <f t="shared" si="9"/>
        <v>6.9854113389102839</v>
      </c>
      <c r="AA79" s="144">
        <f t="shared" si="10"/>
        <v>0.17430417472000001</v>
      </c>
      <c r="AB79" s="145">
        <f t="shared" si="11"/>
        <v>6.4160444320016862E-3</v>
      </c>
      <c r="AC79" s="145">
        <f t="shared" si="12"/>
        <v>1.4011486418212295E-3</v>
      </c>
      <c r="AD79" s="145">
        <f t="shared" si="15"/>
        <v>2.712818554425617E-3</v>
      </c>
      <c r="AE79" s="146">
        <f t="shared" si="13"/>
        <v>-0.67577791226432704</v>
      </c>
      <c r="AF79" s="146">
        <f t="shared" si="14"/>
        <v>1.817140852590672E-4</v>
      </c>
      <c r="AH79" s="183"/>
      <c r="AI79" s="183"/>
      <c r="AJ79" s="183"/>
    </row>
    <row r="80" spans="2:36" x14ac:dyDescent="0.25">
      <c r="I80" s="126">
        <v>1.7604721646699999E-2</v>
      </c>
      <c r="J80" s="127">
        <v>4.3028255966521276E-3</v>
      </c>
      <c r="K80" s="127">
        <v>1.0990423143128769E-3</v>
      </c>
      <c r="L80" s="67">
        <v>1.8997974888420432E-3</v>
      </c>
      <c r="N80" s="18">
        <v>-1.5196303500406707E-6</v>
      </c>
      <c r="O80" s="18">
        <v>1.0712596047993935E-10</v>
      </c>
      <c r="P80" s="18">
        <v>3.4435095232529613E-8</v>
      </c>
      <c r="Q80" s="28">
        <v>2.5008745109309234</v>
      </c>
      <c r="R80" s="61">
        <v>123.80591386221998</v>
      </c>
      <c r="S80" s="58">
        <v>1.817140852590672E-6</v>
      </c>
      <c r="U80" s="173">
        <v>4.674650571809694E-3</v>
      </c>
      <c r="V80" s="173">
        <v>1.8997974888420432E-3</v>
      </c>
      <c r="W80" s="174">
        <v>3.2113414810641281E-4</v>
      </c>
      <c r="X80" s="174">
        <f t="shared" si="8"/>
        <v>2.1988449244000484E-3</v>
      </c>
      <c r="Y80" s="188">
        <f t="shared" si="9"/>
        <v>3.6648370117814326</v>
      </c>
      <c r="AA80" s="144">
        <f t="shared" si="10"/>
        <v>0.176047216467</v>
      </c>
      <c r="AB80" s="145">
        <f t="shared" si="11"/>
        <v>4.3028255966521276E-3</v>
      </c>
      <c r="AC80" s="145">
        <f t="shared" si="12"/>
        <v>1.0990423143128769E-3</v>
      </c>
      <c r="AD80" s="145">
        <f t="shared" si="15"/>
        <v>2.1988449244000484E-3</v>
      </c>
      <c r="AE80" s="146">
        <f t="shared" si="13"/>
        <v>-0.60440861377800137</v>
      </c>
      <c r="AF80" s="146">
        <f t="shared" si="14"/>
        <v>1.817140852590672E-4</v>
      </c>
      <c r="AH80" s="183"/>
      <c r="AI80" s="183"/>
      <c r="AJ80" s="183"/>
    </row>
    <row r="81" spans="2:36" x14ac:dyDescent="0.25">
      <c r="I81" s="126">
        <v>1.77807688631E-2</v>
      </c>
      <c r="J81" s="127">
        <v>2.9505253999422007E-3</v>
      </c>
      <c r="K81" s="127">
        <v>9.4985837972180146E-4</v>
      </c>
      <c r="L81" s="67">
        <v>1.4012782660996694E-3</v>
      </c>
      <c r="N81" s="18">
        <v>-1.4671028502314808E-6</v>
      </c>
      <c r="O81" s="18">
        <v>9.9645846438946616E-11</v>
      </c>
      <c r="P81" s="18">
        <v>3.1865880955982683E-8</v>
      </c>
      <c r="Q81" s="28">
        <v>2.367924598289437</v>
      </c>
      <c r="R81" s="61">
        <v>123.80591386221998</v>
      </c>
      <c r="S81" s="58">
        <v>1.7067822207319974E-6</v>
      </c>
      <c r="U81" s="173">
        <v>3.9773638787198532E-3</v>
      </c>
      <c r="V81" s="173">
        <v>1.4012782660996694E-3</v>
      </c>
      <c r="W81" s="174">
        <v>2.5392599317534037E-4</v>
      </c>
      <c r="X81" s="174">
        <f t="shared" si="8"/>
        <v>1.758461601023633E-3</v>
      </c>
      <c r="Y81" s="188">
        <f t="shared" si="9"/>
        <v>1.5750026243679862</v>
      </c>
      <c r="AA81" s="144">
        <f t="shared" si="10"/>
        <v>0.17780768863099999</v>
      </c>
      <c r="AB81" s="145">
        <f t="shared" si="11"/>
        <v>2.9505253999422007E-3</v>
      </c>
      <c r="AC81" s="145">
        <f t="shared" si="12"/>
        <v>9.4985837972180146E-4</v>
      </c>
      <c r="AD81" s="145">
        <f t="shared" si="15"/>
        <v>1.758461601023633E-3</v>
      </c>
      <c r="AE81" s="146">
        <f t="shared" si="13"/>
        <v>-0.60440861377800137</v>
      </c>
      <c r="AF81" s="146">
        <f t="shared" si="14"/>
        <v>1.7067822207319974E-4</v>
      </c>
      <c r="AH81" s="183"/>
      <c r="AI81" s="183"/>
      <c r="AJ81" s="183"/>
    </row>
    <row r="82" spans="2:36" x14ac:dyDescent="0.25">
      <c r="I82" s="126">
        <v>1.7958576551799998E-2</v>
      </c>
      <c r="J82" s="127">
        <v>3.2698205899857366E-3</v>
      </c>
      <c r="K82" s="127">
        <v>1.0100707849746661E-3</v>
      </c>
      <c r="L82" s="67">
        <v>9.8434375208356268E-4</v>
      </c>
      <c r="N82" s="18">
        <v>-1.4145307809496485E-6</v>
      </c>
      <c r="O82" s="18">
        <v>9.2159385536989183E-11</v>
      </c>
      <c r="P82" s="18">
        <v>2.9294486706548655E-8</v>
      </c>
      <c r="Q82" s="28">
        <v>2.2869626278446455</v>
      </c>
      <c r="R82" s="61">
        <v>124.51960684708324</v>
      </c>
      <c r="S82" s="58">
        <v>1.7067822207319974E-6</v>
      </c>
      <c r="U82" s="173">
        <v>3.3199316681948171E-3</v>
      </c>
      <c r="V82" s="173">
        <v>9.8434375208356268E-4</v>
      </c>
      <c r="W82" s="174">
        <v>2.9820806301349319E-4</v>
      </c>
      <c r="X82" s="174">
        <f t="shared" si="8"/>
        <v>1.3967068088438588E-3</v>
      </c>
      <c r="Y82" s="188">
        <f t="shared" si="9"/>
        <v>3.438940790797492</v>
      </c>
      <c r="AA82" s="144">
        <f t="shared" si="10"/>
        <v>0.17958576551799998</v>
      </c>
      <c r="AB82" s="145">
        <f t="shared" si="11"/>
        <v>3.2698205899857366E-3</v>
      </c>
      <c r="AC82" s="145">
        <f t="shared" si="12"/>
        <v>1.0100707849746661E-3</v>
      </c>
      <c r="AD82" s="145">
        <f t="shared" si="15"/>
        <v>1.3967068088438588E-3</v>
      </c>
      <c r="AE82" s="146">
        <f t="shared" si="13"/>
        <v>-0.53303931529167559</v>
      </c>
      <c r="AF82" s="146">
        <f t="shared" si="14"/>
        <v>1.7067822207319974E-4</v>
      </c>
      <c r="AH82" s="183"/>
      <c r="AI82" s="183"/>
      <c r="AJ82" s="183"/>
    </row>
    <row r="83" spans="2:36" x14ac:dyDescent="0.25">
      <c r="I83" s="126">
        <v>1.8138162317300002E-2</v>
      </c>
      <c r="J83" s="127">
        <v>2.6893514822676889E-3</v>
      </c>
      <c r="K83" s="127">
        <v>9.5232769064314759E-4</v>
      </c>
      <c r="L83" s="67">
        <v>6.5400460747253454E-4</v>
      </c>
      <c r="N83" s="18">
        <v>-1.3619484270911997E-6</v>
      </c>
      <c r="O83" s="18">
        <v>8.467146007254098E-11</v>
      </c>
      <c r="P83" s="18">
        <v>2.6722589420016585E-8</v>
      </c>
      <c r="Q83" s="28">
        <v>2.2485455290849345</v>
      </c>
      <c r="R83" s="61">
        <v>124.51960684708324</v>
      </c>
      <c r="S83" s="58">
        <v>1.6008256752802576E-6</v>
      </c>
      <c r="U83" s="173">
        <v>2.7092827643094624E-3</v>
      </c>
      <c r="V83" s="173">
        <v>6.5400460747253454E-4</v>
      </c>
      <c r="W83" s="174">
        <v>4.5414349225513542E-4</v>
      </c>
      <c r="X83" s="174">
        <f t="shared" si="8"/>
        <v>1.1178588678774169E-3</v>
      </c>
      <c r="Y83" s="188">
        <f t="shared" si="9"/>
        <v>2.7230264744241421</v>
      </c>
      <c r="AA83" s="144">
        <f t="shared" si="10"/>
        <v>0.18138162317300002</v>
      </c>
      <c r="AB83" s="145">
        <f t="shared" si="11"/>
        <v>2.6893514822676889E-3</v>
      </c>
      <c r="AC83" s="145">
        <f t="shared" si="12"/>
        <v>9.5232769064314759E-4</v>
      </c>
      <c r="AD83" s="145">
        <f t="shared" si="15"/>
        <v>1.1178588678774169E-3</v>
      </c>
      <c r="AE83" s="146">
        <f t="shared" si="13"/>
        <v>-0.53303931529167559</v>
      </c>
      <c r="AF83" s="146">
        <f t="shared" si="14"/>
        <v>1.6008256752802577E-4</v>
      </c>
      <c r="AH83" s="183"/>
      <c r="AI83" s="183"/>
      <c r="AJ83" s="183"/>
    </row>
    <row r="84" spans="2:36" x14ac:dyDescent="0.25">
      <c r="I84" s="126">
        <v>1.8319543940500001E-2</v>
      </c>
      <c r="J84" s="127">
        <v>1.6851054375955903E-3</v>
      </c>
      <c r="K84" s="127">
        <v>7.5718145789577848E-4</v>
      </c>
      <c r="L84" s="67">
        <v>4.1440895355341262E-4</v>
      </c>
      <c r="N84" s="18">
        <v>-1.3131443768543003E-6</v>
      </c>
      <c r="O84" s="18">
        <v>7.7721579290846556E-11</v>
      </c>
      <c r="P84" s="18">
        <v>2.4335495743800557E-8</v>
      </c>
      <c r="Q84" s="28">
        <v>1.9170181926189671</v>
      </c>
      <c r="R84" s="61">
        <v>125.2332998319465</v>
      </c>
      <c r="S84" s="58">
        <v>1.6008256752802576E-6</v>
      </c>
      <c r="U84" s="173">
        <v>2.1520230662905276E-3</v>
      </c>
      <c r="V84" s="173">
        <v>4.1440895355341262E-4</v>
      </c>
      <c r="W84" s="174">
        <v>7.2057721427536679E-4</v>
      </c>
      <c r="X84" s="174">
        <f t="shared" si="8"/>
        <v>9.2535454691817999E-4</v>
      </c>
      <c r="Y84" s="188">
        <f t="shared" si="9"/>
        <v>1.0067983502074116</v>
      </c>
      <c r="AA84" s="144">
        <f t="shared" si="10"/>
        <v>0.18319543940500002</v>
      </c>
      <c r="AB84" s="145">
        <f t="shared" si="11"/>
        <v>1.6851054375955903E-3</v>
      </c>
      <c r="AC84" s="145">
        <f t="shared" si="12"/>
        <v>7.5718145789577848E-4</v>
      </c>
      <c r="AD84" s="145">
        <f t="shared" si="15"/>
        <v>9.2535454691817999E-4</v>
      </c>
      <c r="AE84" s="146">
        <f t="shared" si="13"/>
        <v>-0.4616700168053498</v>
      </c>
      <c r="AF84" s="146">
        <f t="shared" si="14"/>
        <v>1.6008256752802577E-4</v>
      </c>
      <c r="AH84" s="183"/>
      <c r="AI84" s="183"/>
      <c r="AJ84" s="183"/>
    </row>
    <row r="85" spans="2:36" x14ac:dyDescent="0.25">
      <c r="I85" s="126">
        <v>1.8502739379900001E-2</v>
      </c>
      <c r="J85" s="127">
        <v>1.5887229654172573E-3</v>
      </c>
      <c r="K85" s="127">
        <v>8.8656147903163566E-4</v>
      </c>
      <c r="L85" s="67">
        <v>2.6843541536347612E-4</v>
      </c>
      <c r="N85" s="18">
        <v>-1.2462841967979987E-6</v>
      </c>
      <c r="O85" s="18">
        <v>6.8200437537685384E-11</v>
      </c>
      <c r="P85" s="18">
        <v>2.1065244356296007E-8</v>
      </c>
      <c r="Q85" s="28">
        <v>3.8340363852379342</v>
      </c>
      <c r="R85" s="61">
        <v>125.2332998319465</v>
      </c>
      <c r="S85" s="58">
        <v>1.5000866498006774E-6</v>
      </c>
      <c r="U85" s="173">
        <v>1.6550981887613985E-3</v>
      </c>
      <c r="V85" s="173">
        <v>2.6843541536347612E-4</v>
      </c>
      <c r="W85" s="174">
        <v>1.0933661555480678E-3</v>
      </c>
      <c r="X85" s="174">
        <f t="shared" si="8"/>
        <v>8.2133379375910471E-4</v>
      </c>
      <c r="Y85" s="188">
        <f t="shared" si="9"/>
        <v>0.74922734344158404</v>
      </c>
      <c r="AA85" s="144">
        <f t="shared" si="10"/>
        <v>0.18502739379900002</v>
      </c>
      <c r="AB85" s="145">
        <f t="shared" si="11"/>
        <v>1.5887229654172573E-3</v>
      </c>
      <c r="AC85" s="145">
        <f t="shared" si="12"/>
        <v>8.8656147903163566E-4</v>
      </c>
      <c r="AD85" s="145">
        <f t="shared" si="15"/>
        <v>8.2133379375910471E-4</v>
      </c>
      <c r="AE85" s="146">
        <f t="shared" si="13"/>
        <v>-0.4616700168053498</v>
      </c>
      <c r="AF85" s="146">
        <f t="shared" si="14"/>
        <v>1.5000866498006773E-4</v>
      </c>
      <c r="AH85" s="183"/>
      <c r="AI85" s="183"/>
      <c r="AJ85" s="183"/>
    </row>
    <row r="86" spans="2:36" x14ac:dyDescent="0.25">
      <c r="I86" s="126">
        <v>1.8687766773700001E-2</v>
      </c>
      <c r="J86" s="127">
        <v>7.4161830592230722E-4</v>
      </c>
      <c r="K86" s="127">
        <v>7.0701944386464537E-4</v>
      </c>
      <c r="L86" s="67">
        <v>2.152470121556255E-4</v>
      </c>
      <c r="N86" s="18">
        <v>-1.1611300273949687E-6</v>
      </c>
      <c r="O86" s="18">
        <v>5.6074162719456951E-11</v>
      </c>
      <c r="P86" s="18">
        <v>1.6900201121181206E-8</v>
      </c>
      <c r="Q86" s="28">
        <v>3.8340363852379342</v>
      </c>
      <c r="R86" s="61">
        <v>125.94699281680975</v>
      </c>
      <c r="S86" s="58">
        <v>1.5000866498006774E-6</v>
      </c>
      <c r="U86" s="173">
        <v>1.2278114346520876E-3</v>
      </c>
      <c r="V86" s="173">
        <v>2.152470121556255E-4</v>
      </c>
      <c r="W86" s="174">
        <v>1.5578681391968084E-3</v>
      </c>
      <c r="X86" s="174">
        <f t="shared" si="8"/>
        <v>8.0404339954003674E-4</v>
      </c>
      <c r="Y86" s="188">
        <f t="shared" si="9"/>
        <v>7.7957102603057413E-3</v>
      </c>
      <c r="AA86" s="144">
        <f t="shared" si="10"/>
        <v>0.18687766773700001</v>
      </c>
      <c r="AB86" s="145">
        <f t="shared" si="11"/>
        <v>7.4161830592230722E-4</v>
      </c>
      <c r="AC86" s="145">
        <f t="shared" si="12"/>
        <v>7.0701944386464537E-4</v>
      </c>
      <c r="AD86" s="145">
        <f t="shared" si="15"/>
        <v>8.0404339954003674E-4</v>
      </c>
      <c r="AE86" s="146">
        <f t="shared" si="13"/>
        <v>-0.39030071831902402</v>
      </c>
      <c r="AF86" s="146">
        <f t="shared" si="14"/>
        <v>1.5000866498006773E-4</v>
      </c>
      <c r="AH86" s="183"/>
      <c r="AI86" s="183"/>
      <c r="AJ86" s="183"/>
    </row>
    <row r="87" spans="2:36" x14ac:dyDescent="0.25">
      <c r="I87" s="126">
        <v>1.8874644441399999E-2</v>
      </c>
      <c r="J87" s="127">
        <v>2.4543474056372945E-3</v>
      </c>
      <c r="K87" s="127">
        <v>8.1600467535022242E-4</v>
      </c>
      <c r="L87" s="67">
        <v>2.4217924322004789E-4</v>
      </c>
      <c r="N87" s="18">
        <v>-1.0838275516322707E-6</v>
      </c>
      <c r="O87" s="18">
        <v>4.5065998682399677E-11</v>
      </c>
      <c r="P87" s="18">
        <v>1.3119198311921292E-8</v>
      </c>
      <c r="Q87" s="28">
        <v>3.8340363852379342</v>
      </c>
      <c r="R87" s="61">
        <v>125.94699281680975</v>
      </c>
      <c r="S87" s="58">
        <v>1.4051609488081975E-6</v>
      </c>
      <c r="U87" s="173">
        <v>8.8508838242034834E-4</v>
      </c>
      <c r="V87" s="173">
        <v>2.4217924322004789E-4</v>
      </c>
      <c r="W87" s="174">
        <v>2.0685724874334077E-3</v>
      </c>
      <c r="X87" s="174">
        <f t="shared" si="8"/>
        <v>8.5950483907346292E-4</v>
      </c>
      <c r="Y87" s="188">
        <f t="shared" si="9"/>
        <v>3.8198854792310248</v>
      </c>
      <c r="AA87" s="144">
        <f t="shared" si="10"/>
        <v>0.18874644441399999</v>
      </c>
      <c r="AB87" s="145">
        <f t="shared" si="11"/>
        <v>2.4543474056372945E-3</v>
      </c>
      <c r="AC87" s="145">
        <f t="shared" si="12"/>
        <v>8.1600467535022242E-4</v>
      </c>
      <c r="AD87" s="145">
        <f t="shared" si="15"/>
        <v>8.5950483907346292E-4</v>
      </c>
      <c r="AE87" s="146">
        <f t="shared" si="13"/>
        <v>-0.39030071831902402</v>
      </c>
      <c r="AF87" s="146">
        <f t="shared" si="14"/>
        <v>1.4051609488081973E-4</v>
      </c>
      <c r="AH87" s="183"/>
      <c r="AI87" s="183"/>
      <c r="AJ87" s="183"/>
    </row>
    <row r="88" spans="2:36" x14ac:dyDescent="0.25">
      <c r="B88" s="42"/>
      <c r="C88" s="42"/>
      <c r="D88" s="20"/>
      <c r="E88" s="20"/>
      <c r="F88" s="43"/>
      <c r="G88" s="43"/>
      <c r="I88" s="126">
        <v>1.9063390885799999E-2</v>
      </c>
      <c r="J88" s="127">
        <v>1.2978004731844228E-3</v>
      </c>
      <c r="K88" s="127">
        <v>6.8266610461566613E-4</v>
      </c>
      <c r="L88" s="67">
        <v>3.2226415867609424E-4</v>
      </c>
      <c r="N88" s="18">
        <v>-1.016973778928632E-6</v>
      </c>
      <c r="O88" s="18">
        <v>3.5545769360418228E-11</v>
      </c>
      <c r="P88" s="18">
        <v>9.8492603195335075E-9</v>
      </c>
      <c r="Q88" s="28">
        <v>3.8340363852379342</v>
      </c>
      <c r="R88" s="61">
        <v>126.66068580167301</v>
      </c>
      <c r="S88" s="58">
        <v>1.4051609488081975E-6</v>
      </c>
      <c r="U88" s="173">
        <v>6.3814131768885054E-4</v>
      </c>
      <c r="V88" s="173">
        <v>3.2226415867609424E-4</v>
      </c>
      <c r="W88" s="174">
        <v>2.5567227670555063E-3</v>
      </c>
      <c r="X88" s="174">
        <f t="shared" si="8"/>
        <v>9.5984810052413634E-4</v>
      </c>
      <c r="Y88" s="188">
        <f t="shared" si="9"/>
        <v>0.24507235247319195</v>
      </c>
      <c r="AA88" s="144">
        <f t="shared" si="10"/>
        <v>0.190633908858</v>
      </c>
      <c r="AB88" s="145">
        <f t="shared" si="11"/>
        <v>1.2978004731844228E-3</v>
      </c>
      <c r="AC88" s="145">
        <f t="shared" si="12"/>
        <v>6.8266610461566613E-4</v>
      </c>
      <c r="AD88" s="145">
        <f t="shared" si="15"/>
        <v>9.5984810052413634E-4</v>
      </c>
      <c r="AE88" s="146">
        <f t="shared" si="13"/>
        <v>-0.31893141983269829</v>
      </c>
      <c r="AF88" s="146">
        <f t="shared" si="14"/>
        <v>1.4051609488081973E-4</v>
      </c>
      <c r="AH88" s="183"/>
      <c r="AI88" s="183"/>
      <c r="AJ88" s="183"/>
    </row>
    <row r="89" spans="2:36" x14ac:dyDescent="0.25">
      <c r="I89" s="126">
        <v>1.9254024794699998E-2</v>
      </c>
      <c r="J89" s="127">
        <v>9.8892572132435277E-4</v>
      </c>
      <c r="K89" s="127">
        <v>6.3489527381200758E-4</v>
      </c>
      <c r="L89" s="67">
        <v>4.6704397615455524E-4</v>
      </c>
      <c r="N89" s="18">
        <v>-9.6190780348885457E-7</v>
      </c>
      <c r="O89" s="18">
        <v>2.7704166817668307E-11</v>
      </c>
      <c r="P89" s="18">
        <v>7.1558846445864447E-9</v>
      </c>
      <c r="Q89" s="28">
        <v>3.8340363852379342</v>
      </c>
      <c r="R89" s="61">
        <v>126.66068580167301</v>
      </c>
      <c r="S89" s="58">
        <v>1.3164167358719595E-6</v>
      </c>
      <c r="U89" s="173">
        <v>4.7133074774667632E-4</v>
      </c>
      <c r="V89" s="173">
        <v>4.6704397615455524E-4</v>
      </c>
      <c r="W89" s="174">
        <v>3.065561794587134E-3</v>
      </c>
      <c r="X89" s="174">
        <f t="shared" si="8"/>
        <v>1.1177451236607302E-3</v>
      </c>
      <c r="Y89" s="188">
        <f t="shared" si="9"/>
        <v>4.1167867533411125E-2</v>
      </c>
      <c r="AA89" s="144">
        <f t="shared" si="10"/>
        <v>0.19254024794699998</v>
      </c>
      <c r="AB89" s="145">
        <f t="shared" si="11"/>
        <v>9.8892572132435277E-4</v>
      </c>
      <c r="AC89" s="145">
        <f t="shared" si="12"/>
        <v>6.3489527381200758E-4</v>
      </c>
      <c r="AD89" s="145">
        <f t="shared" si="15"/>
        <v>1.1177451236607302E-3</v>
      </c>
      <c r="AE89" s="146">
        <f t="shared" si="13"/>
        <v>-0.31893141983269829</v>
      </c>
      <c r="AF89" s="146">
        <f t="shared" si="14"/>
        <v>1.3164167358719594E-4</v>
      </c>
      <c r="AH89" s="183"/>
      <c r="AI89" s="183"/>
      <c r="AJ89" s="183"/>
    </row>
    <row r="90" spans="2:36" x14ac:dyDescent="0.25">
      <c r="I90" s="126">
        <v>1.9837441000000001E-2</v>
      </c>
      <c r="J90" s="127">
        <v>1.9487740092722769E-3</v>
      </c>
      <c r="K90" s="127">
        <v>6.5359629779828104E-4</v>
      </c>
      <c r="L90" s="67">
        <v>2.2681175815426231E-3</v>
      </c>
      <c r="N90" s="18">
        <v>-9.1874463371133721E-7</v>
      </c>
      <c r="O90" s="18">
        <v>2.1557568683749995E-11</v>
      </c>
      <c r="P90" s="18">
        <v>5.0446965542289608E-9</v>
      </c>
      <c r="Q90" s="28">
        <v>3.8340363852379342</v>
      </c>
      <c r="R90" s="61">
        <v>127.37437878653627</v>
      </c>
      <c r="S90" s="58">
        <v>1.3164167358719595E-6</v>
      </c>
      <c r="U90" s="173">
        <v>2.8287549105324497E-4</v>
      </c>
      <c r="V90" s="173">
        <v>2.2681175815426231E-3</v>
      </c>
      <c r="W90" s="174">
        <v>6.8691930926717722E-3</v>
      </c>
      <c r="X90" s="174">
        <f t="shared" si="8"/>
        <v>2.9220759367025659E-3</v>
      </c>
      <c r="Y90" s="188">
        <f t="shared" si="9"/>
        <v>2.2175631682839136</v>
      </c>
      <c r="AA90" s="144">
        <f t="shared" si="10"/>
        <v>0.19837441</v>
      </c>
      <c r="AB90" s="145">
        <f t="shared" si="11"/>
        <v>1.9487740092722769E-3</v>
      </c>
      <c r="AC90" s="145">
        <f t="shared" si="12"/>
        <v>6.5359629779828104E-4</v>
      </c>
      <c r="AD90" s="145">
        <f t="shared" si="15"/>
        <v>2.9220759367025659E-3</v>
      </c>
      <c r="AE90" s="146">
        <f t="shared" si="13"/>
        <v>-0.24756212134637251</v>
      </c>
      <c r="AF90" s="146">
        <f t="shared" si="14"/>
        <v>1.3164167358719594E-4</v>
      </c>
      <c r="AH90" s="183"/>
      <c r="AI90" s="183"/>
      <c r="AJ90" s="183"/>
    </row>
    <row r="91" spans="2:36" x14ac:dyDescent="0.25">
      <c r="I91" s="126">
        <v>2.0035815410000001E-2</v>
      </c>
      <c r="J91" s="127">
        <v>1.6838376287964891E-3</v>
      </c>
      <c r="K91" s="127">
        <v>5.879706097284916E-4</v>
      </c>
      <c r="L91" s="67">
        <v>2.7079597002550851E-3</v>
      </c>
      <c r="N91" s="18">
        <v>-8.8662380902249231E-7</v>
      </c>
      <c r="O91" s="18">
        <v>1.6983442128401194E-11</v>
      </c>
      <c r="P91" s="18">
        <v>3.4736093777057927E-9</v>
      </c>
      <c r="Q91" s="28">
        <v>3.8340363852379342</v>
      </c>
      <c r="R91" s="61">
        <v>127.37437878653627</v>
      </c>
      <c r="S91" s="58">
        <v>1.2339996143882232E-6</v>
      </c>
      <c r="U91" s="173">
        <v>3.8996142669213597E-4</v>
      </c>
      <c r="V91" s="173">
        <v>2.7079597002550851E-3</v>
      </c>
      <c r="W91" s="174">
        <v>7.5921150225715358E-3</v>
      </c>
      <c r="X91" s="174">
        <f t="shared" si="8"/>
        <v>3.3494989624434602E-3</v>
      </c>
      <c r="Y91" s="188">
        <f t="shared" si="9"/>
        <v>8.0253165641751174</v>
      </c>
      <c r="AA91" s="144">
        <f t="shared" si="10"/>
        <v>0.20035815410000002</v>
      </c>
      <c r="AB91" s="145">
        <f t="shared" si="11"/>
        <v>1.6838376287964891E-3</v>
      </c>
      <c r="AC91" s="145">
        <f t="shared" si="12"/>
        <v>5.879706097284916E-4</v>
      </c>
      <c r="AD91" s="145">
        <f t="shared" si="15"/>
        <v>3.3494989624434602E-3</v>
      </c>
      <c r="AE91" s="146">
        <f t="shared" si="13"/>
        <v>-0.24756212134637251</v>
      </c>
      <c r="AF91" s="146">
        <f t="shared" si="14"/>
        <v>1.2339996143882233E-4</v>
      </c>
      <c r="AH91" s="183"/>
      <c r="AI91" s="183"/>
      <c r="AJ91" s="183"/>
    </row>
    <row r="92" spans="2:36" x14ac:dyDescent="0.25">
      <c r="I92" s="126">
        <v>2.0236173564099999E-2</v>
      </c>
      <c r="J92" s="127">
        <v>3.3302778558636868E-3</v>
      </c>
      <c r="K92" s="127">
        <v>6.9310772251373514E-4</v>
      </c>
      <c r="L92" s="67">
        <v>3.2395051385245722E-3</v>
      </c>
      <c r="N92" s="18">
        <v>-8.6408842152770803E-7</v>
      </c>
      <c r="O92" s="18">
        <v>1.3774317973791102E-11</v>
      </c>
      <c r="P92" s="18">
        <v>2.371363135462458E-9</v>
      </c>
      <c r="Q92" s="28">
        <v>3.8340363852379342</v>
      </c>
      <c r="R92" s="61">
        <v>128.08807177139954</v>
      </c>
      <c r="S92" s="58">
        <v>1.2339996143882232E-6</v>
      </c>
      <c r="U92" s="173">
        <v>5.7485666499920978E-4</v>
      </c>
      <c r="V92" s="173">
        <v>3.2395051385245722E-3</v>
      </c>
      <c r="W92" s="174">
        <v>8.3909735516985492E-3</v>
      </c>
      <c r="X92" s="174">
        <f t="shared" si="8"/>
        <v>3.8612101234367256E-3</v>
      </c>
      <c r="Y92" s="188">
        <f t="shared" si="9"/>
        <v>0.58678197642190077</v>
      </c>
      <c r="AA92" s="144">
        <f t="shared" si="10"/>
        <v>0.20236173564099999</v>
      </c>
      <c r="AB92" s="145">
        <f t="shared" si="11"/>
        <v>3.3302778558636868E-3</v>
      </c>
      <c r="AC92" s="145">
        <f t="shared" si="12"/>
        <v>6.9310772251373514E-4</v>
      </c>
      <c r="AD92" s="145">
        <f t="shared" si="15"/>
        <v>3.8612101234367256E-3</v>
      </c>
      <c r="AE92" s="146">
        <f t="shared" si="13"/>
        <v>-0.17619282286004534</v>
      </c>
      <c r="AF92" s="146">
        <f t="shared" si="14"/>
        <v>1.2339996143882233E-4</v>
      </c>
      <c r="AH92" s="183"/>
      <c r="AI92" s="183"/>
      <c r="AJ92" s="183"/>
    </row>
    <row r="93" spans="2:36" x14ac:dyDescent="0.25">
      <c r="I93" s="126">
        <v>2.0438535299700002E-2</v>
      </c>
      <c r="J93" s="127">
        <v>2.4494246101756482E-3</v>
      </c>
      <c r="K93" s="127">
        <v>6.3874384585652295E-4</v>
      </c>
      <c r="L93" s="67">
        <v>3.907488849226746E-3</v>
      </c>
      <c r="N93" s="18">
        <v>-8.4949915809218502E-7</v>
      </c>
      <c r="O93" s="18">
        <v>1.1696751848081367E-11</v>
      </c>
      <c r="P93" s="18">
        <v>1.6577760803197338E-9</v>
      </c>
      <c r="Q93" s="28">
        <v>3.8340363852379342</v>
      </c>
      <c r="R93" s="61">
        <v>128.08807177139954</v>
      </c>
      <c r="S93" s="58">
        <v>1.1578496675611085E-6</v>
      </c>
      <c r="U93" s="173">
        <v>8.4834373819984814E-4</v>
      </c>
      <c r="V93" s="173">
        <v>3.907488849226746E-3</v>
      </c>
      <c r="W93" s="174">
        <v>9.3394014171318002E-3</v>
      </c>
      <c r="X93" s="174">
        <f t="shared" si="8"/>
        <v>4.5006807134462846E-3</v>
      </c>
      <c r="Y93" s="188">
        <f t="shared" si="9"/>
        <v>10.313030801248335</v>
      </c>
      <c r="AA93" s="144">
        <f t="shared" si="10"/>
        <v>0.204385352997</v>
      </c>
      <c r="AB93" s="145">
        <f t="shared" si="11"/>
        <v>2.4494246101756482E-3</v>
      </c>
      <c r="AC93" s="145">
        <f t="shared" si="12"/>
        <v>6.3874384585652295E-4</v>
      </c>
      <c r="AD93" s="145">
        <f t="shared" si="15"/>
        <v>4.5006807134462846E-3</v>
      </c>
      <c r="AE93" s="146">
        <f t="shared" si="13"/>
        <v>-0.17619282286004534</v>
      </c>
      <c r="AF93" s="146">
        <f t="shared" si="14"/>
        <v>1.1578496675611085E-4</v>
      </c>
      <c r="AH93" s="183"/>
      <c r="AI93" s="183"/>
      <c r="AJ93" s="183"/>
    </row>
    <row r="94" spans="2:36" x14ac:dyDescent="0.25">
      <c r="I94" s="126">
        <v>2.06429206527E-2</v>
      </c>
      <c r="J94" s="127">
        <v>2.958969684690122E-3</v>
      </c>
      <c r="K94" s="127">
        <v>6.6877988037004573E-4</v>
      </c>
      <c r="L94" s="67">
        <v>4.6718108372916563E-3</v>
      </c>
      <c r="N94" s="18">
        <v>-8.4140492882988814E-7</v>
      </c>
      <c r="O94" s="18">
        <v>1.0544103079800796E-11</v>
      </c>
      <c r="P94" s="18">
        <v>1.2618728019630776E-9</v>
      </c>
      <c r="Q94" s="28">
        <v>3.8340363852379342</v>
      </c>
      <c r="R94" s="61">
        <v>128.8017647562628</v>
      </c>
      <c r="S94" s="58">
        <v>1.1578496675611085E-6</v>
      </c>
      <c r="U94" s="173">
        <v>1.2073654789508689E-3</v>
      </c>
      <c r="V94" s="173">
        <v>4.6718108372916563E-3</v>
      </c>
      <c r="W94" s="174">
        <v>1.0362470711475282E-2</v>
      </c>
      <c r="X94" s="174">
        <f t="shared" si="8"/>
        <v>5.2283644662523658E-3</v>
      </c>
      <c r="Y94" s="188">
        <f t="shared" si="9"/>
        <v>11.514728573913867</v>
      </c>
      <c r="AA94" s="144">
        <f t="shared" si="10"/>
        <v>0.206429206527</v>
      </c>
      <c r="AB94" s="145">
        <f t="shared" si="11"/>
        <v>2.958969684690122E-3</v>
      </c>
      <c r="AC94" s="145">
        <f t="shared" si="12"/>
        <v>6.6877988037004573E-4</v>
      </c>
      <c r="AD94" s="145">
        <f t="shared" si="15"/>
        <v>5.2283644662523658E-3</v>
      </c>
      <c r="AE94" s="146">
        <f t="shared" si="13"/>
        <v>-0.10482352437371958</v>
      </c>
      <c r="AF94" s="146">
        <f t="shared" si="14"/>
        <v>1.1578496675611085E-4</v>
      </c>
      <c r="AH94" s="183"/>
      <c r="AI94" s="183"/>
      <c r="AJ94" s="183"/>
    </row>
    <row r="95" spans="2:36" x14ac:dyDescent="0.25">
      <c r="I95" s="126">
        <v>2.0849349859299999E-2</v>
      </c>
      <c r="J95" s="127">
        <v>2.7732190661645378E-3</v>
      </c>
      <c r="K95" s="127">
        <v>6.4405172348366228E-4</v>
      </c>
      <c r="L95" s="67">
        <v>5.4932803169633346E-3</v>
      </c>
      <c r="N95" s="18">
        <v>-8.3882235146413233E-7</v>
      </c>
      <c r="O95" s="18">
        <v>1.0176334324658927E-11</v>
      </c>
      <c r="P95" s="18">
        <v>1.1355543085550574E-9</v>
      </c>
      <c r="Q95" s="28">
        <v>3.8340363852379342</v>
      </c>
      <c r="R95" s="61">
        <v>128.8017647562628</v>
      </c>
      <c r="S95" s="58">
        <v>1.0877285116843854E-6</v>
      </c>
      <c r="U95" s="173">
        <v>1.6424579540344018E-3</v>
      </c>
      <c r="V95" s="173">
        <v>5.4932803169633346E-3</v>
      </c>
      <c r="W95" s="174">
        <v>1.1395743859766726E-2</v>
      </c>
      <c r="X95" s="174">
        <f t="shared" si="8"/>
        <v>6.0061906119319493E-3</v>
      </c>
      <c r="Y95" s="188">
        <f t="shared" si="9"/>
        <v>25.197779493740846</v>
      </c>
      <c r="AA95" s="144">
        <f t="shared" si="10"/>
        <v>0.20849349859299998</v>
      </c>
      <c r="AB95" s="145">
        <f t="shared" si="11"/>
        <v>2.7732190661645378E-3</v>
      </c>
      <c r="AC95" s="145">
        <f t="shared" si="12"/>
        <v>6.4405172348366228E-4</v>
      </c>
      <c r="AD95" s="145">
        <f t="shared" si="15"/>
        <v>6.0061906119319493E-3</v>
      </c>
      <c r="AE95" s="146">
        <f t="shared" si="13"/>
        <v>-0.10482352437371958</v>
      </c>
      <c r="AF95" s="146">
        <f t="shared" si="14"/>
        <v>1.0877285116843854E-4</v>
      </c>
      <c r="AH95" s="183"/>
      <c r="AI95" s="183"/>
      <c r="AJ95" s="183"/>
    </row>
    <row r="96" spans="2:36" x14ac:dyDescent="0.25">
      <c r="I96" s="126">
        <v>2.1057843357800001E-2</v>
      </c>
      <c r="J96" s="127">
        <v>4.8927103154731873E-3</v>
      </c>
      <c r="K96" s="127">
        <v>7.7967723217214197E-4</v>
      </c>
      <c r="L96" s="67">
        <v>6.3512935567660387E-3</v>
      </c>
      <c r="N96" s="18">
        <v>-8.4140492882988814E-7</v>
      </c>
      <c r="O96" s="18">
        <v>1.0544103079800796E-11</v>
      </c>
      <c r="P96" s="18">
        <v>1.2618728019630776E-9</v>
      </c>
      <c r="Q96" s="28">
        <v>3.8340363852379342</v>
      </c>
      <c r="R96" s="61">
        <v>129.51545774112606</v>
      </c>
      <c r="S96" s="58">
        <v>1.0877285116843854E-6</v>
      </c>
      <c r="U96" s="173">
        <v>2.1457802549877695E-3</v>
      </c>
      <c r="V96" s="173">
        <v>6.3512935567660387E-3</v>
      </c>
      <c r="W96" s="174">
        <v>1.2409295554230494E-2</v>
      </c>
      <c r="X96" s="174">
        <f t="shared" si="8"/>
        <v>6.8144157306875858E-3</v>
      </c>
      <c r="Y96" s="188">
        <f t="shared" si="9"/>
        <v>6.0749670020866224</v>
      </c>
      <c r="AA96" s="144">
        <f t="shared" si="10"/>
        <v>0.21057843357800002</v>
      </c>
      <c r="AB96" s="145">
        <f t="shared" si="11"/>
        <v>4.8927103154731873E-3</v>
      </c>
      <c r="AC96" s="145">
        <f t="shared" si="12"/>
        <v>7.7967723217214197E-4</v>
      </c>
      <c r="AD96" s="145">
        <f t="shared" si="15"/>
        <v>6.8144157306875858E-3</v>
      </c>
      <c r="AE96" s="146">
        <f t="shared" si="13"/>
        <v>-3.3454225887393815E-2</v>
      </c>
      <c r="AF96" s="146">
        <f t="shared" si="14"/>
        <v>1.0877285116843854E-4</v>
      </c>
      <c r="AH96" s="183"/>
      <c r="AI96" s="183"/>
      <c r="AJ96" s="183"/>
    </row>
    <row r="97" spans="9:36" x14ac:dyDescent="0.25">
      <c r="I97" s="126">
        <v>2.12684217914E-2</v>
      </c>
      <c r="J97" s="127">
        <v>4.4012400525397441E-3</v>
      </c>
      <c r="K97" s="127">
        <v>7.1996672288065014E-4</v>
      </c>
      <c r="L97" s="67">
        <v>7.2326251020344672E-3</v>
      </c>
      <c r="N97" s="18">
        <v>-8.4949915809218502E-7</v>
      </c>
      <c r="O97" s="18">
        <v>1.1696751848081367E-11</v>
      </c>
      <c r="P97" s="18">
        <v>1.6577760803197338E-9</v>
      </c>
      <c r="Q97" s="28">
        <v>3.8340363852379342</v>
      </c>
      <c r="R97" s="61">
        <v>129.51545774112606</v>
      </c>
      <c r="S97" s="58">
        <v>1.02325381544833E-6</v>
      </c>
      <c r="U97" s="173">
        <v>2.7103732476412836E-3</v>
      </c>
      <c r="V97" s="173">
        <v>7.2326251020344672E-3</v>
      </c>
      <c r="W97" s="174">
        <v>1.3386594975326E-2</v>
      </c>
      <c r="X97" s="174">
        <f t="shared" si="8"/>
        <v>7.6405546067590552E-3</v>
      </c>
      <c r="Y97" s="188">
        <f t="shared" si="9"/>
        <v>20.243304009828389</v>
      </c>
      <c r="AA97" s="144">
        <f t="shared" si="10"/>
        <v>0.212684217914</v>
      </c>
      <c r="AB97" s="145">
        <f t="shared" si="11"/>
        <v>4.4012400525397441E-3</v>
      </c>
      <c r="AC97" s="145">
        <f t="shared" si="12"/>
        <v>7.1996672288065014E-4</v>
      </c>
      <c r="AD97" s="145">
        <f t="shared" si="15"/>
        <v>7.6405546067590552E-3</v>
      </c>
      <c r="AE97" s="146">
        <f t="shared" si="13"/>
        <v>-3.3454225887393815E-2</v>
      </c>
      <c r="AF97" s="146">
        <f t="shared" si="14"/>
        <v>1.0232538154483299E-4</v>
      </c>
      <c r="AH97" s="183"/>
      <c r="AI97" s="183"/>
      <c r="AJ97" s="183"/>
    </row>
    <row r="98" spans="9:36" x14ac:dyDescent="0.25">
      <c r="I98" s="126">
        <v>2.1481106009300002E-2</v>
      </c>
      <c r="J98" s="127">
        <v>5.8635399387065327E-3</v>
      </c>
      <c r="K98" s="127">
        <v>7.9413787153413717E-4</v>
      </c>
      <c r="L98" s="67">
        <v>8.1245026359627482E-3</v>
      </c>
      <c r="N98" s="18">
        <v>-8.6408842152770803E-7</v>
      </c>
      <c r="O98" s="18">
        <v>1.3774317973791102E-11</v>
      </c>
      <c r="P98" s="18">
        <v>2.371363135462458E-9</v>
      </c>
      <c r="Q98" s="28">
        <v>3.8340363852379342</v>
      </c>
      <c r="R98" s="61">
        <v>130.22915072598931</v>
      </c>
      <c r="S98" s="58">
        <v>1.02325381544833E-6</v>
      </c>
      <c r="U98" s="173">
        <v>3.328042122416055E-3</v>
      </c>
      <c r="V98" s="173">
        <v>8.1245026359627482E-3</v>
      </c>
      <c r="W98" s="174">
        <v>1.4313685887320302E-2</v>
      </c>
      <c r="X98" s="174">
        <f t="shared" si="8"/>
        <v>8.4726833204154632E-3</v>
      </c>
      <c r="Y98" s="188">
        <f t="shared" si="9"/>
        <v>10.794538422497405</v>
      </c>
      <c r="AA98" s="144">
        <f t="shared" si="10"/>
        <v>0.21481106009300002</v>
      </c>
      <c r="AB98" s="145">
        <f t="shared" si="11"/>
        <v>5.8635399387065327E-3</v>
      </c>
      <c r="AC98" s="145">
        <f t="shared" si="12"/>
        <v>7.9413787153413717E-4</v>
      </c>
      <c r="AD98" s="145">
        <f t="shared" si="15"/>
        <v>8.4726833204154632E-3</v>
      </c>
      <c r="AE98" s="146">
        <f t="shared" si="13"/>
        <v>3.791507259893194E-2</v>
      </c>
      <c r="AF98" s="146">
        <f t="shared" si="14"/>
        <v>1.0232538154483299E-4</v>
      </c>
      <c r="AH98" s="183"/>
      <c r="AI98" s="183"/>
      <c r="AJ98" s="183"/>
    </row>
    <row r="99" spans="9:36" x14ac:dyDescent="0.25">
      <c r="I99" s="126">
        <v>2.1695917069400002E-2</v>
      </c>
      <c r="J99" s="127">
        <v>5.9930723884611117E-3</v>
      </c>
      <c r="K99" s="127">
        <v>8.0646844422215945E-4</v>
      </c>
      <c r="L99" s="67">
        <v>9.0177113117182774E-3</v>
      </c>
      <c r="N99" s="18">
        <v>-8.8662380902249241E-7</v>
      </c>
      <c r="O99" s="18">
        <v>1.69834421284012E-11</v>
      </c>
      <c r="P99" s="18">
        <v>3.4736093777057952E-9</v>
      </c>
      <c r="Q99" s="28">
        <v>3.8340363852379342</v>
      </c>
      <c r="R99" s="61">
        <v>130.22915072598931</v>
      </c>
      <c r="S99" s="58">
        <v>9.6393838859231798E-7</v>
      </c>
      <c r="U99" s="173">
        <v>3.9929381415291206E-3</v>
      </c>
      <c r="V99" s="173">
        <v>9.0177113117182774E-3</v>
      </c>
      <c r="W99" s="174">
        <v>1.5180486928498691E-2</v>
      </c>
      <c r="X99" s="174">
        <f t="shared" si="8"/>
        <v>9.3022119233660914E-3</v>
      </c>
      <c r="Y99" s="188">
        <f t="shared" si="9"/>
        <v>16.83663910317469</v>
      </c>
      <c r="AA99" s="144">
        <f t="shared" si="10"/>
        <v>0.216959170694</v>
      </c>
      <c r="AB99" s="145">
        <f t="shared" si="11"/>
        <v>5.9930723884611117E-3</v>
      </c>
      <c r="AC99" s="145">
        <f t="shared" si="12"/>
        <v>8.0646844422215945E-4</v>
      </c>
      <c r="AD99" s="145">
        <f t="shared" si="15"/>
        <v>9.3022119233660914E-3</v>
      </c>
      <c r="AE99" s="146">
        <f t="shared" si="13"/>
        <v>3.791507259893194E-2</v>
      </c>
      <c r="AF99" s="146">
        <f t="shared" si="14"/>
        <v>9.6393838859231803E-5</v>
      </c>
      <c r="AH99" s="183"/>
      <c r="AI99" s="183"/>
      <c r="AJ99" s="183"/>
    </row>
    <row r="100" spans="9:36" x14ac:dyDescent="0.25">
      <c r="I100" s="126">
        <v>2.19128762401E-2</v>
      </c>
      <c r="J100" s="127">
        <v>7.22589670352238E-3</v>
      </c>
      <c r="K100" s="127">
        <v>8.2590496806549151E-4</v>
      </c>
      <c r="L100" s="67">
        <v>9.899042333483302E-3</v>
      </c>
      <c r="N100" s="18">
        <v>-9.1874463371133743E-7</v>
      </c>
      <c r="O100" s="18">
        <v>2.1557568683750021E-11</v>
      </c>
      <c r="P100" s="18">
        <v>5.044696554228969E-9</v>
      </c>
      <c r="Q100" s="28">
        <v>3.8340363852379342</v>
      </c>
      <c r="R100" s="61">
        <v>130.94284371085257</v>
      </c>
      <c r="S100" s="58">
        <v>9.6393838859231798E-7</v>
      </c>
      <c r="U100" s="173">
        <v>4.6953599624099127E-3</v>
      </c>
      <c r="V100" s="173">
        <v>9.899042333483302E-3</v>
      </c>
      <c r="W100" s="174">
        <v>1.5974216623132347E-2</v>
      </c>
      <c r="X100" s="174">
        <f t="shared" si="8"/>
        <v>1.0116915313127216E-2</v>
      </c>
      <c r="Y100" s="188">
        <f t="shared" si="9"/>
        <v>12.252976975661264</v>
      </c>
      <c r="AA100" s="144">
        <f t="shared" si="10"/>
        <v>0.21912876240099999</v>
      </c>
      <c r="AB100" s="145">
        <f t="shared" si="11"/>
        <v>7.22589670352238E-3</v>
      </c>
      <c r="AC100" s="145">
        <f t="shared" si="12"/>
        <v>8.2590496806549151E-4</v>
      </c>
      <c r="AD100" s="145">
        <f t="shared" si="15"/>
        <v>1.0116915313127216E-2</v>
      </c>
      <c r="AE100" s="146">
        <f t="shared" si="13"/>
        <v>0.10928437108525771</v>
      </c>
      <c r="AF100" s="146">
        <f t="shared" si="14"/>
        <v>9.6393838859231803E-5</v>
      </c>
      <c r="AH100" s="183"/>
      <c r="AI100" s="183"/>
      <c r="AJ100" s="183"/>
    </row>
    <row r="101" spans="9:36" x14ac:dyDescent="0.25">
      <c r="I101" s="126">
        <v>2.21320050025E-2</v>
      </c>
      <c r="J101" s="127">
        <v>8.3449007558346125E-3</v>
      </c>
      <c r="K101" s="127">
        <v>8.7232503044861528E-4</v>
      </c>
      <c r="L101" s="67">
        <v>1.0756680697480524E-2</v>
      </c>
      <c r="N101" s="18">
        <v>-9.6190780348885478E-7</v>
      </c>
      <c r="O101" s="18">
        <v>2.7704166817668332E-11</v>
      </c>
      <c r="P101" s="18">
        <v>7.1558846445864529E-9</v>
      </c>
      <c r="Q101" s="28">
        <v>3.8340363852379342</v>
      </c>
      <c r="R101" s="61">
        <v>130.94284371085257</v>
      </c>
      <c r="S101" s="58">
        <v>9.0923085743048854E-7</v>
      </c>
      <c r="U101" s="173">
        <v>5.4260517910804306E-3</v>
      </c>
      <c r="V101" s="173">
        <v>1.0756680697480524E-2</v>
      </c>
      <c r="W101" s="174">
        <v>1.6684229406770654E-2</v>
      </c>
      <c r="X101" s="174">
        <f t="shared" si="8"/>
        <v>1.0905910648203034E-2</v>
      </c>
      <c r="Y101" s="188">
        <f t="shared" si="9"/>
        <v>8.6191778765969538</v>
      </c>
      <c r="AA101" s="144">
        <f t="shared" si="10"/>
        <v>0.22132005002499999</v>
      </c>
      <c r="AB101" s="145">
        <f t="shared" si="11"/>
        <v>8.3449007558346125E-3</v>
      </c>
      <c r="AC101" s="145">
        <f t="shared" si="12"/>
        <v>8.7232503044861528E-4</v>
      </c>
      <c r="AD101" s="145">
        <f t="shared" si="15"/>
        <v>1.0905910648203034E-2</v>
      </c>
      <c r="AE101" s="146">
        <f t="shared" si="13"/>
        <v>0.10928437108525771</v>
      </c>
      <c r="AF101" s="146">
        <f t="shared" si="14"/>
        <v>9.0923085743048861E-5</v>
      </c>
      <c r="AH101" s="183"/>
      <c r="AI101" s="183"/>
      <c r="AJ101" s="183"/>
    </row>
    <row r="102" spans="9:36" x14ac:dyDescent="0.25">
      <c r="I102" s="126">
        <v>2.2353325052600001E-2</v>
      </c>
      <c r="J102" s="127">
        <v>7.8360450837125298E-3</v>
      </c>
      <c r="K102" s="127">
        <v>8.525197475160736E-4</v>
      </c>
      <c r="L102" s="67">
        <v>1.157905403197333E-2</v>
      </c>
      <c r="N102" s="18">
        <v>-1.0169737789286322E-6</v>
      </c>
      <c r="O102" s="18">
        <v>3.5545769360418267E-11</v>
      </c>
      <c r="P102" s="18">
        <v>9.8492603195335224E-9</v>
      </c>
      <c r="Q102" s="28">
        <v>3.8340363852379342</v>
      </c>
      <c r="R102" s="61">
        <v>131.65653669571583</v>
      </c>
      <c r="S102" s="58">
        <v>9.0923085743048854E-7</v>
      </c>
      <c r="U102" s="173">
        <v>6.1752845581528083E-3</v>
      </c>
      <c r="V102" s="173">
        <v>1.157905403197333E-2</v>
      </c>
      <c r="W102" s="174">
        <v>1.7300970662509612E-2</v>
      </c>
      <c r="X102" s="174">
        <f t="shared" si="8"/>
        <v>1.1658590821152271E-2</v>
      </c>
      <c r="Y102" s="188">
        <f t="shared" si="9"/>
        <v>20.104648557496908</v>
      </c>
      <c r="AA102" s="144">
        <f t="shared" si="10"/>
        <v>0.22353325052600001</v>
      </c>
      <c r="AB102" s="145">
        <f t="shared" si="11"/>
        <v>7.8360450837125298E-3</v>
      </c>
      <c r="AC102" s="145">
        <f t="shared" si="12"/>
        <v>8.525197475160736E-4</v>
      </c>
      <c r="AD102" s="145">
        <f t="shared" si="15"/>
        <v>1.1658590821152271E-2</v>
      </c>
      <c r="AE102" s="146">
        <f t="shared" si="13"/>
        <v>0.18065366957158346</v>
      </c>
      <c r="AF102" s="146">
        <f t="shared" si="14"/>
        <v>9.0923085743048861E-5</v>
      </c>
      <c r="AH102" s="183"/>
      <c r="AI102" s="183"/>
      <c r="AJ102" s="183"/>
    </row>
    <row r="103" spans="9:36" x14ac:dyDescent="0.25">
      <c r="I103" s="126">
        <v>2.2576858303100002E-2</v>
      </c>
      <c r="J103" s="127">
        <v>9.8830235148278985E-3</v>
      </c>
      <c r="K103" s="127">
        <v>9.2161744197881033E-4</v>
      </c>
      <c r="L103" s="67">
        <v>1.2355001623830519E-2</v>
      </c>
      <c r="N103" s="18">
        <v>-1.0838275516322711E-6</v>
      </c>
      <c r="O103" s="18">
        <v>4.5065998682399729E-11</v>
      </c>
      <c r="P103" s="18">
        <v>1.3119198311921311E-8</v>
      </c>
      <c r="Q103" s="28">
        <v>3.8340363852379342</v>
      </c>
      <c r="R103" s="61">
        <v>131.65653669571583</v>
      </c>
      <c r="S103" s="58">
        <v>8.5855510663268249E-7</v>
      </c>
      <c r="U103" s="173">
        <v>6.9329885989071766E-3</v>
      </c>
      <c r="V103" s="173">
        <v>1.2355001623830519E-2</v>
      </c>
      <c r="W103" s="174">
        <v>1.7816123471925491E-2</v>
      </c>
      <c r="X103" s="174">
        <f t="shared" si="8"/>
        <v>1.2364778829623425E-2</v>
      </c>
      <c r="Y103" s="188">
        <f t="shared" si="9"/>
        <v>7.25131131101677</v>
      </c>
      <c r="AA103" s="144">
        <f t="shared" si="10"/>
        <v>0.225768583031</v>
      </c>
      <c r="AB103" s="145">
        <f t="shared" si="11"/>
        <v>9.8830235148278985E-3</v>
      </c>
      <c r="AC103" s="145">
        <f t="shared" si="12"/>
        <v>9.2161744197881033E-4</v>
      </c>
      <c r="AD103" s="145">
        <f t="shared" si="15"/>
        <v>1.2364778829623425E-2</v>
      </c>
      <c r="AE103" s="146">
        <f t="shared" si="13"/>
        <v>0.18065366957158346</v>
      </c>
      <c r="AF103" s="146">
        <f t="shared" si="14"/>
        <v>8.5855510663268247E-5</v>
      </c>
      <c r="AH103" s="183"/>
      <c r="AI103" s="183"/>
      <c r="AJ103" s="183"/>
    </row>
    <row r="104" spans="9:36" x14ac:dyDescent="0.25">
      <c r="I104" s="126">
        <v>2.2802626886099998E-2</v>
      </c>
      <c r="J104" s="127">
        <v>1.038910094168153E-2</v>
      </c>
      <c r="K104" s="127">
        <v>9.4332407762666968E-4</v>
      </c>
      <c r="L104" s="67">
        <v>1.3073939882315899E-2</v>
      </c>
      <c r="N104" s="18">
        <v>-1.1611300273949691E-6</v>
      </c>
      <c r="O104" s="18">
        <v>5.6074162719457009E-11</v>
      </c>
      <c r="P104" s="18">
        <v>1.6900201121181226E-8</v>
      </c>
      <c r="Q104" s="28">
        <v>3.8340363852379342</v>
      </c>
      <c r="R104" s="61">
        <v>132.37022968057909</v>
      </c>
      <c r="S104" s="58">
        <v>8.5855510663268249E-7</v>
      </c>
      <c r="U104" s="173">
        <v>7.6888943150011909E-3</v>
      </c>
      <c r="V104" s="173">
        <v>1.3073939882315899E-2</v>
      </c>
      <c r="W104" s="174">
        <v>1.8222739583513253E-2</v>
      </c>
      <c r="X104" s="174">
        <f t="shared" si="8"/>
        <v>1.301487841578656E-2</v>
      </c>
      <c r="Y104" s="188">
        <f t="shared" si="9"/>
        <v>7.748078236508519</v>
      </c>
      <c r="AA104" s="144">
        <f t="shared" si="10"/>
        <v>0.22802626886099997</v>
      </c>
      <c r="AB104" s="145">
        <f t="shared" si="11"/>
        <v>1.038910094168153E-2</v>
      </c>
      <c r="AC104" s="145">
        <f t="shared" si="12"/>
        <v>9.4332407762666968E-4</v>
      </c>
      <c r="AD104" s="145">
        <f t="shared" si="15"/>
        <v>1.301487841578656E-2</v>
      </c>
      <c r="AE104" s="146">
        <f t="shared" si="13"/>
        <v>0.25202296805790925</v>
      </c>
      <c r="AF104" s="146">
        <f t="shared" si="14"/>
        <v>8.5855510663268247E-5</v>
      </c>
      <c r="AH104" s="183"/>
      <c r="AI104" s="183"/>
      <c r="AJ104" s="183"/>
    </row>
    <row r="105" spans="9:36" x14ac:dyDescent="0.25">
      <c r="I105" s="126">
        <v>2.3030653155000001E-2</v>
      </c>
      <c r="J105" s="127">
        <v>1.0016022062454225E-2</v>
      </c>
      <c r="K105" s="127">
        <v>8.8937528774474652E-4</v>
      </c>
      <c r="L105" s="67">
        <v>1.372602166064941E-2</v>
      </c>
      <c r="N105" s="18">
        <v>-1.2462841967979992E-6</v>
      </c>
      <c r="O105" s="18">
        <v>6.8200437537685449E-11</v>
      </c>
      <c r="P105" s="18">
        <v>2.1065244356296027E-8</v>
      </c>
      <c r="Q105" s="28">
        <v>3.8340363852379342</v>
      </c>
      <c r="R105" s="61">
        <v>132.37022968057909</v>
      </c>
      <c r="S105" s="58">
        <v>8.1134603737755964E-7</v>
      </c>
      <c r="U105" s="173">
        <v>8.4326786263274143E-3</v>
      </c>
      <c r="V105" s="173">
        <v>1.372602166064941E-2</v>
      </c>
      <c r="W105" s="174">
        <v>1.8515352377561089E-2</v>
      </c>
      <c r="X105" s="174">
        <f t="shared" si="8"/>
        <v>1.3600018581296832E-2</v>
      </c>
      <c r="Y105" s="188">
        <f t="shared" si="9"/>
        <v>16.239215400975265</v>
      </c>
      <c r="AA105" s="144">
        <f t="shared" si="10"/>
        <v>0.23030653155</v>
      </c>
      <c r="AB105" s="145">
        <f t="shared" si="11"/>
        <v>1.0016022062454225E-2</v>
      </c>
      <c r="AC105" s="145">
        <f t="shared" si="12"/>
        <v>8.8937528774474652E-4</v>
      </c>
      <c r="AD105" s="145">
        <f t="shared" si="15"/>
        <v>1.3600018581296832E-2</v>
      </c>
      <c r="AE105" s="146">
        <f t="shared" si="13"/>
        <v>0.25202296805790925</v>
      </c>
      <c r="AF105" s="146">
        <f t="shared" si="14"/>
        <v>8.1134603737755969E-5</v>
      </c>
      <c r="AH105" s="183"/>
      <c r="AI105" s="183"/>
      <c r="AJ105" s="183"/>
    </row>
    <row r="106" spans="9:36" x14ac:dyDescent="0.25">
      <c r="I106" s="126">
        <v>2.32609596865E-2</v>
      </c>
      <c r="J106" s="127">
        <v>1.0785182552247625E-2</v>
      </c>
      <c r="K106" s="127">
        <v>9.285517403362913E-4</v>
      </c>
      <c r="L106" s="67">
        <v>1.4302286936255236E-2</v>
      </c>
      <c r="N106" s="18">
        <v>-1.3131443768543003E-6</v>
      </c>
      <c r="O106" s="18">
        <v>7.7721579290846556E-11</v>
      </c>
      <c r="P106" s="18">
        <v>2.4335495743800557E-8</v>
      </c>
      <c r="Q106" s="28">
        <v>1.9170181926189671</v>
      </c>
      <c r="R106" s="61">
        <v>133.08392266544234</v>
      </c>
      <c r="S106" s="58">
        <v>8.1134603737755964E-7</v>
      </c>
      <c r="U106" s="173">
        <v>9.154114916171267E-3</v>
      </c>
      <c r="V106" s="173">
        <v>1.4302286936255236E-2</v>
      </c>
      <c r="W106" s="174">
        <v>1.8690069736885487E-2</v>
      </c>
      <c r="X106" s="174">
        <f t="shared" si="8"/>
        <v>1.4112189631391806E-2</v>
      </c>
      <c r="Y106" s="188">
        <f t="shared" si="9"/>
        <v>12.837936797875253</v>
      </c>
      <c r="AA106" s="144">
        <f t="shared" si="10"/>
        <v>0.23260959686499999</v>
      </c>
      <c r="AB106" s="145">
        <f t="shared" si="11"/>
        <v>1.0785182552247625E-2</v>
      </c>
      <c r="AC106" s="145">
        <f t="shared" si="12"/>
        <v>9.285517403362913E-4</v>
      </c>
      <c r="AD106" s="145">
        <f t="shared" si="15"/>
        <v>1.4112189631391806E-2</v>
      </c>
      <c r="AE106" s="146">
        <f t="shared" si="13"/>
        <v>0.32339226654423497</v>
      </c>
      <c r="AF106" s="146">
        <f t="shared" si="14"/>
        <v>8.1134603737755969E-5</v>
      </c>
      <c r="AH106" s="183"/>
      <c r="AI106" s="183"/>
      <c r="AJ106" s="183"/>
    </row>
    <row r="107" spans="9:36" x14ac:dyDescent="0.25">
      <c r="I107" s="126">
        <v>2.34935692834E-2</v>
      </c>
      <c r="J107" s="127">
        <v>1.0779453809408323E-2</v>
      </c>
      <c r="K107" s="127">
        <v>9.166839031500149E-4</v>
      </c>
      <c r="L107" s="67">
        <v>1.4794802436415415E-2</v>
      </c>
      <c r="N107" s="18">
        <v>-1.3619484270911997E-6</v>
      </c>
      <c r="O107" s="18">
        <v>8.467146007254098E-11</v>
      </c>
      <c r="P107" s="18">
        <v>2.6722589420016585E-8</v>
      </c>
      <c r="Q107" s="28">
        <v>2.2485455290849345</v>
      </c>
      <c r="R107" s="61">
        <v>133.08392266544234</v>
      </c>
      <c r="S107" s="58">
        <v>7.6707971693808278E-7</v>
      </c>
      <c r="U107" s="173">
        <v>9.8432240979348141E-3</v>
      </c>
      <c r="V107" s="173">
        <v>1.4794802436415415E-2</v>
      </c>
      <c r="W107" s="174">
        <v>1.8744644859647996E-2</v>
      </c>
      <c r="X107" s="174">
        <f t="shared" si="8"/>
        <v>1.454436845760341E-2</v>
      </c>
      <c r="Y107" s="188">
        <f t="shared" si="9"/>
        <v>16.868290030233158</v>
      </c>
      <c r="AA107" s="144">
        <f t="shared" si="10"/>
        <v>0.23493569283400001</v>
      </c>
      <c r="AB107" s="145">
        <f t="shared" si="11"/>
        <v>1.0779453809408323E-2</v>
      </c>
      <c r="AC107" s="145">
        <f t="shared" si="12"/>
        <v>9.166839031500149E-4</v>
      </c>
      <c r="AD107" s="145">
        <f t="shared" si="15"/>
        <v>1.454436845760341E-2</v>
      </c>
      <c r="AE107" s="146">
        <f t="shared" si="13"/>
        <v>0.32339226654423497</v>
      </c>
      <c r="AF107" s="146">
        <f t="shared" si="14"/>
        <v>7.6707971693808284E-5</v>
      </c>
      <c r="AH107" s="183"/>
      <c r="AI107" s="183"/>
      <c r="AJ107" s="183"/>
    </row>
    <row r="108" spans="9:36" x14ac:dyDescent="0.25">
      <c r="I108" s="126">
        <v>2.37285049762E-2</v>
      </c>
      <c r="J108" s="127">
        <v>1.2750972446870599E-2</v>
      </c>
      <c r="K108" s="127">
        <v>9.9102542540192504E-4</v>
      </c>
      <c r="L108" s="67">
        <v>1.5196787892558771E-2</v>
      </c>
      <c r="N108" s="18">
        <v>-1.4145307809496485E-6</v>
      </c>
      <c r="O108" s="18">
        <v>9.2159385536989183E-11</v>
      </c>
      <c r="P108" s="18">
        <v>2.9294486706548655E-8</v>
      </c>
      <c r="Q108" s="28">
        <v>2.2869626278446455</v>
      </c>
      <c r="R108" s="61">
        <v>133.7976156503056</v>
      </c>
      <c r="S108" s="58">
        <v>7.6707971693808278E-7</v>
      </c>
      <c r="U108" s="173">
        <v>1.0490424387535467E-2</v>
      </c>
      <c r="V108" s="173">
        <v>1.5196787892558771E-2</v>
      </c>
      <c r="W108" s="174">
        <v>1.8678523196174669E-2</v>
      </c>
      <c r="X108" s="174">
        <f t="shared" si="8"/>
        <v>1.4890630842206919E-2</v>
      </c>
      <c r="Y108" s="188">
        <f t="shared" si="9"/>
        <v>4.6614313295210703</v>
      </c>
      <c r="AA108" s="144">
        <f t="shared" si="10"/>
        <v>0.23728504976199999</v>
      </c>
      <c r="AB108" s="145">
        <f t="shared" si="11"/>
        <v>1.2750972446870599E-2</v>
      </c>
      <c r="AC108" s="145">
        <f t="shared" si="12"/>
        <v>9.9102542540192504E-4</v>
      </c>
      <c r="AD108" s="145">
        <f t="shared" si="15"/>
        <v>1.4890630842206919E-2</v>
      </c>
      <c r="AE108" s="146">
        <f t="shared" si="13"/>
        <v>0.39476156503056076</v>
      </c>
      <c r="AF108" s="146">
        <f t="shared" si="14"/>
        <v>7.6707971693808284E-5</v>
      </c>
      <c r="AH108" s="183"/>
      <c r="AI108" s="183"/>
      <c r="AJ108" s="183"/>
    </row>
    <row r="109" spans="9:36" x14ac:dyDescent="0.25">
      <c r="I109" s="126">
        <v>2.3965790026000001E-2</v>
      </c>
      <c r="J109" s="127">
        <v>1.1487963326823471E-2</v>
      </c>
      <c r="K109" s="127">
        <v>9.2397265630809989E-4</v>
      </c>
      <c r="L109" s="67">
        <v>1.5502726734505539E-2</v>
      </c>
      <c r="N109" s="18">
        <v>-1.4671028502314808E-6</v>
      </c>
      <c r="O109" s="18">
        <v>9.9645846438946616E-11</v>
      </c>
      <c r="P109" s="18">
        <v>3.1865880955982683E-8</v>
      </c>
      <c r="Q109" s="28">
        <v>2.367924598289437</v>
      </c>
      <c r="R109" s="61">
        <v>133.7976156503056</v>
      </c>
      <c r="S109" s="58">
        <v>7.2529661114053775E-7</v>
      </c>
      <c r="U109" s="173">
        <v>1.1086677379995302E-2</v>
      </c>
      <c r="V109" s="173">
        <v>1.5502726734505539E-2</v>
      </c>
      <c r="W109" s="174">
        <v>1.8492863870940648E-2</v>
      </c>
      <c r="X109" s="174">
        <f t="shared" si="8"/>
        <v>1.5146248679986759E-2</v>
      </c>
      <c r="Y109" s="188">
        <f t="shared" si="9"/>
        <v>15.676060046984848</v>
      </c>
      <c r="AA109" s="144">
        <f t="shared" si="10"/>
        <v>0.23965790026</v>
      </c>
      <c r="AB109" s="145">
        <f t="shared" si="11"/>
        <v>1.1487963326823471E-2</v>
      </c>
      <c r="AC109" s="145">
        <f t="shared" si="12"/>
        <v>9.2397265630809989E-4</v>
      </c>
      <c r="AD109" s="145">
        <f t="shared" si="15"/>
        <v>1.5146248679986759E-2</v>
      </c>
      <c r="AE109" s="146">
        <f t="shared" si="13"/>
        <v>0.39476156503056076</v>
      </c>
      <c r="AF109" s="146">
        <f t="shared" si="14"/>
        <v>7.252966111405377E-5</v>
      </c>
      <c r="AH109" s="183"/>
      <c r="AI109" s="183"/>
      <c r="AJ109" s="183"/>
    </row>
    <row r="110" spans="9:36" x14ac:dyDescent="0.25">
      <c r="I110" s="126">
        <v>2.42054479262E-2</v>
      </c>
      <c r="J110" s="127">
        <v>1.3317280375473105E-2</v>
      </c>
      <c r="K110" s="127">
        <v>9.7149486631507658E-4</v>
      </c>
      <c r="L110" s="67">
        <v>1.5708459153328583E-2</v>
      </c>
      <c r="N110" s="18">
        <v>-1.5196303500406707E-6</v>
      </c>
      <c r="O110" s="18">
        <v>1.0712596047993935E-10</v>
      </c>
      <c r="P110" s="18">
        <v>3.4435095232529613E-8</v>
      </c>
      <c r="Q110" s="28">
        <v>2.5008745109309234</v>
      </c>
      <c r="R110" s="61">
        <v>134.51130863516886</v>
      </c>
      <c r="S110" s="58">
        <v>7.2529661114053775E-7</v>
      </c>
      <c r="U110" s="173">
        <v>1.1623628044140483E-2</v>
      </c>
      <c r="V110" s="173">
        <v>1.5708459153328583E-2</v>
      </c>
      <c r="W110" s="174">
        <v>1.8190534164440931E-2</v>
      </c>
      <c r="X110" s="174">
        <f t="shared" si="8"/>
        <v>1.5307770128809645E-2</v>
      </c>
      <c r="Y110" s="188">
        <f t="shared" si="9"/>
        <v>4.1979655717367512</v>
      </c>
      <c r="AA110" s="144">
        <f t="shared" si="10"/>
        <v>0.24205447926199999</v>
      </c>
      <c r="AB110" s="145">
        <f t="shared" si="11"/>
        <v>1.3317280375473105E-2</v>
      </c>
      <c r="AC110" s="145">
        <f t="shared" si="12"/>
        <v>9.7149486631507658E-4</v>
      </c>
      <c r="AD110" s="145">
        <f t="shared" si="15"/>
        <v>1.5307770128809645E-2</v>
      </c>
      <c r="AE110" s="146">
        <f t="shared" si="13"/>
        <v>0.46613086351688648</v>
      </c>
      <c r="AF110" s="146">
        <f t="shared" si="14"/>
        <v>7.252966111405377E-5</v>
      </c>
      <c r="AH110" s="183"/>
      <c r="AI110" s="183"/>
      <c r="AJ110" s="183"/>
    </row>
    <row r="111" spans="9:36" x14ac:dyDescent="0.25">
      <c r="I111" s="126">
        <v>2.4447502405500001E-2</v>
      </c>
      <c r="J111" s="127">
        <v>1.1682440470169997E-2</v>
      </c>
      <c r="K111" s="127">
        <v>9.1098480646654469E-4</v>
      </c>
      <c r="L111" s="67">
        <v>1.5811255614649522E-2</v>
      </c>
      <c r="N111" s="18">
        <v>-1.5720291837811783E-6</v>
      </c>
      <c r="O111" s="18">
        <v>1.1458775198758391E-10</v>
      </c>
      <c r="P111" s="18">
        <v>3.6998016220765344E-8</v>
      </c>
      <c r="Q111" s="28">
        <v>2.7036470237661123</v>
      </c>
      <c r="R111" s="61">
        <v>134.51130863516886</v>
      </c>
      <c r="S111" s="58">
        <v>6.8561723565153181E-7</v>
      </c>
      <c r="U111" s="173">
        <v>1.2093736320259025E-2</v>
      </c>
      <c r="V111" s="173">
        <v>1.5811255614649522E-2</v>
      </c>
      <c r="W111" s="174">
        <v>1.7776075900620733E-2</v>
      </c>
      <c r="X111" s="174">
        <f t="shared" si="8"/>
        <v>1.53730808625447E-2</v>
      </c>
      <c r="Y111" s="188">
        <f t="shared" si="9"/>
        <v>16.412743923528339</v>
      </c>
      <c r="AA111" s="144">
        <f t="shared" si="10"/>
        <v>0.24447502405500002</v>
      </c>
      <c r="AB111" s="145">
        <f t="shared" si="11"/>
        <v>1.1682440470169997E-2</v>
      </c>
      <c r="AC111" s="145">
        <f t="shared" si="12"/>
        <v>9.1098480646654469E-4</v>
      </c>
      <c r="AD111" s="145">
        <f t="shared" si="15"/>
        <v>1.53730808625447E-2</v>
      </c>
      <c r="AE111" s="146">
        <f t="shared" si="13"/>
        <v>0.46613086351688648</v>
      </c>
      <c r="AF111" s="146">
        <f t="shared" si="14"/>
        <v>6.8561723565153184E-5</v>
      </c>
      <c r="AH111" s="183"/>
      <c r="AI111" s="183"/>
      <c r="AJ111" s="183"/>
    </row>
    <row r="112" spans="9:36" x14ac:dyDescent="0.25">
      <c r="I112" s="126">
        <v>2.4691977429599998E-2</v>
      </c>
      <c r="J112" s="127">
        <v>1.3860081540378773E-2</v>
      </c>
      <c r="K112" s="127">
        <v>9.8671046916859787E-4</v>
      </c>
      <c r="L112" s="67">
        <v>1.5809869060422387E-2</v>
      </c>
      <c r="N112" s="18">
        <v>-1.6241245280753075E-6</v>
      </c>
      <c r="O112" s="18">
        <v>1.220063254536808E-10</v>
      </c>
      <c r="P112" s="18">
        <v>3.9546092995565262E-8</v>
      </c>
      <c r="Q112" s="28">
        <v>3.0095932355056063</v>
      </c>
      <c r="R112" s="61">
        <v>135.22500162003212</v>
      </c>
      <c r="S112" s="58">
        <v>6.8561723565153181E-7</v>
      </c>
      <c r="U112" s="173">
        <v>1.2490398072418842E-2</v>
      </c>
      <c r="V112" s="173">
        <v>1.5809869060422387E-2</v>
      </c>
      <c r="W112" s="174">
        <v>1.7255642928102922E-2</v>
      </c>
      <c r="X112" s="174">
        <f t="shared" si="8"/>
        <v>1.5341444780341634E-2</v>
      </c>
      <c r="Y112" s="188">
        <f t="shared" si="9"/>
        <v>2.2539467655684211</v>
      </c>
      <c r="AA112" s="144">
        <f t="shared" si="10"/>
        <v>0.24691977429599998</v>
      </c>
      <c r="AB112" s="145">
        <f t="shared" si="11"/>
        <v>1.3860081540378773E-2</v>
      </c>
      <c r="AC112" s="145">
        <f t="shared" si="12"/>
        <v>9.8671046916859787E-4</v>
      </c>
      <c r="AD112" s="145">
        <f t="shared" si="15"/>
        <v>1.5341444780341634E-2</v>
      </c>
      <c r="AE112" s="146">
        <f t="shared" si="13"/>
        <v>0.53750016200321227</v>
      </c>
      <c r="AF112" s="146">
        <f t="shared" si="14"/>
        <v>6.8561723565153184E-5</v>
      </c>
      <c r="AH112" s="183"/>
      <c r="AI112" s="183"/>
      <c r="AJ112" s="183"/>
    </row>
    <row r="113" spans="9:36" x14ac:dyDescent="0.25">
      <c r="I113" s="126">
        <v>2.4938897203899999E-2</v>
      </c>
      <c r="J113" s="127">
        <v>1.4153726172176884E-2</v>
      </c>
      <c r="K113" s="127">
        <v>9.8592084075655589E-4</v>
      </c>
      <c r="L113" s="67">
        <v>1.5704564233440039E-2</v>
      </c>
      <c r="N113" s="18">
        <v>-1.6755752362507525E-6</v>
      </c>
      <c r="O113" s="18">
        <v>1.2933310030571428E-10</v>
      </c>
      <c r="P113" s="18">
        <v>4.2062639460997382E-8</v>
      </c>
      <c r="Q113" s="28">
        <v>3.4853200759420058</v>
      </c>
      <c r="R113" s="61">
        <v>135.22500162003212</v>
      </c>
      <c r="S113" s="58">
        <v>6.4775017727652383E-7</v>
      </c>
      <c r="U113" s="173">
        <v>1.2808053259855994E-2</v>
      </c>
      <c r="V113" s="173">
        <v>1.5704564233440039E-2</v>
      </c>
      <c r="W113" s="174">
        <v>1.6636909299118929E-2</v>
      </c>
      <c r="X113" s="174">
        <f t="shared" si="8"/>
        <v>1.5213522756463749E-2</v>
      </c>
      <c r="Y113" s="188">
        <f t="shared" si="9"/>
        <v>1.1554760202426546</v>
      </c>
      <c r="AA113" s="144">
        <f t="shared" si="10"/>
        <v>0.24938897203899998</v>
      </c>
      <c r="AB113" s="145">
        <f t="shared" si="11"/>
        <v>1.4153726172176884E-2</v>
      </c>
      <c r="AC113" s="145">
        <f t="shared" si="12"/>
        <v>9.8592084075655589E-4</v>
      </c>
      <c r="AD113" s="145">
        <f t="shared" si="15"/>
        <v>1.5213522756463749E-2</v>
      </c>
      <c r="AE113" s="146">
        <f t="shared" si="13"/>
        <v>0.53750016200321227</v>
      </c>
      <c r="AF113" s="146">
        <f t="shared" si="14"/>
        <v>6.4775017727652383E-5</v>
      </c>
      <c r="AH113" s="183"/>
      <c r="AI113" s="183"/>
      <c r="AJ113" s="183"/>
    </row>
    <row r="114" spans="9:36" x14ac:dyDescent="0.25">
      <c r="I114" s="126">
        <v>2.51882861759E-2</v>
      </c>
      <c r="J114" s="127">
        <v>1.3432918196397173E-2</v>
      </c>
      <c r="K114" s="127">
        <v>9.589049186039079E-4</v>
      </c>
      <c r="L114" s="67">
        <v>1.5497122780384242E-2</v>
      </c>
      <c r="N114" s="18">
        <v>-1.7257208359108037E-6</v>
      </c>
      <c r="O114" s="18">
        <v>1.364740227839154E-10</v>
      </c>
      <c r="P114" s="18">
        <v>4.4515350726917373E-8</v>
      </c>
      <c r="Q114" s="28">
        <v>4.2828443199158688</v>
      </c>
      <c r="R114" s="61">
        <v>135.93869460489537</v>
      </c>
      <c r="S114" s="58">
        <v>6.4775017727652383E-7</v>
      </c>
      <c r="U114" s="173">
        <v>1.3042279302413693E-2</v>
      </c>
      <c r="V114" s="173">
        <v>1.5497122780384242E-2</v>
      </c>
      <c r="W114" s="174">
        <v>1.5928948263679733E-2</v>
      </c>
      <c r="X114" s="174">
        <f t="shared" si="8"/>
        <v>1.4991368281715479E-2</v>
      </c>
      <c r="Y114" s="188">
        <f t="shared" si="9"/>
        <v>2.6414032115462698</v>
      </c>
      <c r="AA114" s="144">
        <f t="shared" si="10"/>
        <v>0.25188286175899999</v>
      </c>
      <c r="AB114" s="145">
        <f t="shared" si="11"/>
        <v>1.3432918196397173E-2</v>
      </c>
      <c r="AC114" s="145">
        <f t="shared" si="12"/>
        <v>9.589049186039079E-4</v>
      </c>
      <c r="AD114" s="145">
        <f t="shared" si="15"/>
        <v>1.4991368281715479E-2</v>
      </c>
      <c r="AE114" s="146">
        <f t="shared" si="13"/>
        <v>0.60886946048953805</v>
      </c>
      <c r="AF114" s="146">
        <f t="shared" si="14"/>
        <v>6.4775017727652383E-5</v>
      </c>
      <c r="AH114" s="183"/>
      <c r="AI114" s="183"/>
      <c r="AJ114" s="183"/>
    </row>
    <row r="115" spans="9:36" x14ac:dyDescent="0.25">
      <c r="I115" s="126">
        <v>2.5440169037600002E-2</v>
      </c>
      <c r="J115" s="50">
        <v>1.5644502454298569E-2</v>
      </c>
      <c r="K115" s="50">
        <v>1.048954395091489E-3</v>
      </c>
      <c r="L115" s="67">
        <v>1.5190823062356598E-2</v>
      </c>
      <c r="N115" s="18">
        <v>-1.7732364381876981E-6</v>
      </c>
      <c r="O115" s="18">
        <v>1.4324042371768765E-10</v>
      </c>
      <c r="P115" s="18">
        <v>4.6839424101282796E-8</v>
      </c>
      <c r="Q115" s="28">
        <v>5.8455389806877252</v>
      </c>
      <c r="R115" s="61">
        <v>135.93869460489537</v>
      </c>
      <c r="S115" s="58">
        <v>6.1149297557981102E-7</v>
      </c>
      <c r="U115" s="173">
        <v>1.3189867758275121E-2</v>
      </c>
      <c r="V115" s="173">
        <v>1.5190823062356598E-2</v>
      </c>
      <c r="W115" s="174">
        <v>1.5142082798830787E-2</v>
      </c>
      <c r="X115" s="174">
        <f t="shared" si="8"/>
        <v>1.4678399170454775E-2</v>
      </c>
      <c r="Y115" s="188">
        <f t="shared" si="9"/>
        <v>0.84826959895498089</v>
      </c>
      <c r="AA115" s="144">
        <f t="shared" si="10"/>
        <v>0.25440169037600002</v>
      </c>
      <c r="AB115" s="145">
        <f t="shared" si="11"/>
        <v>1.5644502454298569E-2</v>
      </c>
      <c r="AC115" s="145">
        <f t="shared" si="12"/>
        <v>1.048954395091489E-3</v>
      </c>
      <c r="AD115" s="145">
        <f t="shared" si="15"/>
        <v>1.4678399170454775E-2</v>
      </c>
      <c r="AE115" s="146">
        <f t="shared" si="13"/>
        <v>0.60886946048953805</v>
      </c>
      <c r="AF115" s="146">
        <f t="shared" si="14"/>
        <v>6.1149297557981097E-5</v>
      </c>
      <c r="AH115" s="183"/>
      <c r="AI115" s="183"/>
      <c r="AJ115" s="183"/>
    </row>
    <row r="116" spans="9:36" x14ac:dyDescent="0.25">
      <c r="I116" s="126">
        <v>2.5694570728E-2</v>
      </c>
      <c r="J116" s="50">
        <v>1.1180234465607983E-2</v>
      </c>
      <c r="K116" s="50">
        <v>8.6994062566419649E-4</v>
      </c>
      <c r="L116" s="67">
        <v>1.4790393927256458E-2</v>
      </c>
      <c r="N116" s="18">
        <v>-1.8152279586770728E-6</v>
      </c>
      <c r="O116" s="18">
        <v>1.4922017457497579E-10</v>
      </c>
      <c r="P116" s="18">
        <v>4.8893304722426312E-8</v>
      </c>
      <c r="Q116" s="28">
        <v>10.504511156583797</v>
      </c>
      <c r="R116" s="61">
        <v>136.65238758975863</v>
      </c>
      <c r="S116" s="58">
        <v>6.1149297557981102E-7</v>
      </c>
      <c r="U116" s="173">
        <v>1.3248882593194128E-2</v>
      </c>
      <c r="V116" s="173">
        <v>1.4790393927256458E-2</v>
      </c>
      <c r="W116" s="174">
        <v>1.4287709085989942E-2</v>
      </c>
      <c r="X116" s="174">
        <f t="shared" si="8"/>
        <v>1.4279344883424246E-2</v>
      </c>
      <c r="Y116" s="188">
        <f t="shared" si="9"/>
        <v>12.690971671847706</v>
      </c>
      <c r="AA116" s="144">
        <f t="shared" si="10"/>
        <v>0.25694570727999999</v>
      </c>
      <c r="AB116" s="145">
        <f t="shared" si="11"/>
        <v>1.1180234465607983E-2</v>
      </c>
      <c r="AC116" s="145">
        <f t="shared" si="12"/>
        <v>8.6994062566419649E-4</v>
      </c>
      <c r="AD116" s="145">
        <f t="shared" si="15"/>
        <v>1.4279344883424246E-2</v>
      </c>
      <c r="AE116" s="146">
        <f t="shared" si="13"/>
        <v>0.68023875897586383</v>
      </c>
      <c r="AF116" s="146">
        <f t="shared" si="14"/>
        <v>6.1149297557981097E-5</v>
      </c>
      <c r="AH116" s="183"/>
      <c r="AI116" s="183"/>
      <c r="AJ116" s="183"/>
    </row>
    <row r="117" spans="9:36" x14ac:dyDescent="0.25">
      <c r="I117" s="126">
        <v>2.5951516435299998E-2</v>
      </c>
      <c r="J117" s="50">
        <v>1.2582890183524428E-2</v>
      </c>
      <c r="K117" s="50">
        <v>8.878052809337116E-4</v>
      </c>
      <c r="L117" s="67">
        <v>1.4301464413036754E-2</v>
      </c>
      <c r="N117" s="18">
        <v>-1.8442546865984872E-6</v>
      </c>
      <c r="O117" s="18">
        <v>1.5335369008357155E-10</v>
      </c>
      <c r="P117" s="18">
        <v>5.0313054073681245E-8</v>
      </c>
      <c r="Q117" s="28">
        <v>14.106802181816089</v>
      </c>
      <c r="R117" s="61">
        <v>136.65238758975863</v>
      </c>
      <c r="S117" s="58">
        <v>5.852821733942309E-7</v>
      </c>
      <c r="U117" s="173">
        <v>1.32188923356966E-2</v>
      </c>
      <c r="V117" s="173">
        <v>1.4301464413036754E-2</v>
      </c>
      <c r="W117" s="174">
        <v>1.3376915027562429E-2</v>
      </c>
      <c r="X117" s="174">
        <f t="shared" si="8"/>
        <v>1.3799684047333134E-2</v>
      </c>
      <c r="Y117" s="188">
        <f t="shared" si="9"/>
        <v>1.8784453901868865</v>
      </c>
      <c r="AA117" s="144">
        <f t="shared" si="10"/>
        <v>0.25951516435299998</v>
      </c>
      <c r="AB117" s="145">
        <f t="shared" si="11"/>
        <v>1.2582890183524428E-2</v>
      </c>
      <c r="AC117" s="145">
        <f t="shared" si="12"/>
        <v>8.878052809337116E-4</v>
      </c>
      <c r="AD117" s="145">
        <f t="shared" si="15"/>
        <v>1.3799684047333134E-2</v>
      </c>
      <c r="AE117" s="146">
        <f t="shared" si="13"/>
        <v>0.68023875897586383</v>
      </c>
      <c r="AF117" s="146">
        <f t="shared" si="14"/>
        <v>5.852821733942309E-5</v>
      </c>
      <c r="AH117" s="183"/>
      <c r="AI117" s="183"/>
      <c r="AJ117" s="183"/>
    </row>
    <row r="118" spans="9:36" x14ac:dyDescent="0.25">
      <c r="I118" s="126">
        <v>2.6211031599700001E-2</v>
      </c>
      <c r="J118" s="50">
        <v>1.0176501539848124E-2</v>
      </c>
      <c r="K118" s="50">
        <v>7.9390037647377831E-4</v>
      </c>
      <c r="L118" s="67">
        <v>1.3732257790997539E-2</v>
      </c>
      <c r="N118" s="18">
        <v>-1.8482654048455708E-6</v>
      </c>
      <c r="O118" s="18">
        <v>1.5392483148537927E-10</v>
      </c>
      <c r="P118" s="18">
        <v>5.0509225500401457E-8</v>
      </c>
      <c r="Q118" s="28">
        <v>37.567762748639751</v>
      </c>
      <c r="R118" s="61">
        <v>137.00923408219026</v>
      </c>
      <c r="S118" s="58">
        <v>5.852821733942309E-7</v>
      </c>
      <c r="U118" s="173">
        <v>1.3100079069854874E-2</v>
      </c>
      <c r="V118" s="173">
        <v>1.3732257790997539E-2</v>
      </c>
      <c r="W118" s="174">
        <v>1.2424921367671404E-2</v>
      </c>
      <c r="X118" s="174">
        <f t="shared" si="8"/>
        <v>1.3247379004880339E-2</v>
      </c>
      <c r="Y118" s="188">
        <f t="shared" si="9"/>
        <v>14.962113990146527</v>
      </c>
      <c r="AA118" s="144">
        <f t="shared" si="10"/>
        <v>0.26211031599700002</v>
      </c>
      <c r="AB118" s="145">
        <f t="shared" si="11"/>
        <v>1.0176501539848124E-2</v>
      </c>
      <c r="AC118" s="145">
        <f t="shared" si="12"/>
        <v>7.9390037647377831E-4</v>
      </c>
      <c r="AD118" s="145">
        <f t="shared" si="15"/>
        <v>1.3247379004880339E-2</v>
      </c>
      <c r="AE118" s="146">
        <f t="shared" si="13"/>
        <v>0.71592340821902667</v>
      </c>
      <c r="AF118" s="146">
        <f t="shared" si="14"/>
        <v>5.852821733942309E-5</v>
      </c>
      <c r="AH118" s="183"/>
      <c r="AI118" s="183"/>
      <c r="AJ118" s="183"/>
    </row>
    <row r="119" spans="9:36" x14ac:dyDescent="0.25">
      <c r="I119" s="126">
        <v>2.6473141915700001E-2</v>
      </c>
      <c r="J119" s="50">
        <v>1.1242871935074556E-2</v>
      </c>
      <c r="K119" s="50">
        <v>4.0713802269286877E-4</v>
      </c>
      <c r="L119" s="67">
        <v>1.3090970785925721E-2</v>
      </c>
      <c r="N119" s="18">
        <v>-1.8442546865984872E-6</v>
      </c>
      <c r="O119" s="18">
        <v>1.5335369008357155E-10</v>
      </c>
      <c r="P119" s="18">
        <v>5.0313054073681245E-8</v>
      </c>
      <c r="Q119" s="28">
        <v>14.106802181816089</v>
      </c>
      <c r="R119" s="61">
        <v>137.00923408219026</v>
      </c>
      <c r="S119" s="58">
        <v>5.4347314932340678E-7</v>
      </c>
      <c r="U119" s="173">
        <v>1.289480211623615E-2</v>
      </c>
      <c r="V119" s="173">
        <v>1.3090970785925721E-2</v>
      </c>
      <c r="W119" s="174">
        <v>1.1443949678379837E-2</v>
      </c>
      <c r="X119" s="174">
        <f t="shared" si="8"/>
        <v>1.2630173341616858E-2</v>
      </c>
      <c r="Y119" s="188">
        <f t="shared" si="9"/>
        <v>11.610697945734623</v>
      </c>
      <c r="AA119" s="144">
        <f t="shared" si="10"/>
        <v>0.26473141915699999</v>
      </c>
      <c r="AB119" s="145">
        <f t="shared" si="11"/>
        <v>1.1242871935074556E-2</v>
      </c>
      <c r="AC119" s="145">
        <f t="shared" si="12"/>
        <v>4.0713802269286877E-4</v>
      </c>
      <c r="AD119" s="145">
        <f t="shared" si="15"/>
        <v>1.2630173341616858E-2</v>
      </c>
      <c r="AE119" s="146">
        <f t="shared" si="13"/>
        <v>0.71592340821902667</v>
      </c>
      <c r="AF119" s="146">
        <f t="shared" si="14"/>
        <v>5.4347314932340677E-5</v>
      </c>
      <c r="AH119" s="183"/>
      <c r="AI119" s="183"/>
      <c r="AJ119" s="183"/>
    </row>
    <row r="120" spans="9:36" x14ac:dyDescent="0.25">
      <c r="I120" s="126">
        <v>2.6737873334799999E-2</v>
      </c>
      <c r="J120" s="50">
        <v>1.1115649809106627E-2</v>
      </c>
      <c r="K120" s="50">
        <v>4.643518535986778E-4</v>
      </c>
      <c r="L120" s="67">
        <v>1.2387149261703038E-2</v>
      </c>
      <c r="N120" s="18">
        <v>-1.8152279586770728E-6</v>
      </c>
      <c r="O120" s="18">
        <v>1.4922017457497579E-10</v>
      </c>
      <c r="P120" s="18">
        <v>4.8893304722426312E-8</v>
      </c>
      <c r="Q120" s="28">
        <v>10.504511156583797</v>
      </c>
      <c r="R120" s="61">
        <v>137.87070113516458</v>
      </c>
      <c r="S120" s="58">
        <v>5.4347314932340678E-7</v>
      </c>
      <c r="U120" s="173">
        <v>1.2606382189750449E-2</v>
      </c>
      <c r="V120" s="173">
        <v>1.2387149261703038E-2</v>
      </c>
      <c r="W120" s="174">
        <v>1.0447475739675822E-2</v>
      </c>
      <c r="X120" s="174">
        <f t="shared" si="8"/>
        <v>1.1957039113208088E-2</v>
      </c>
      <c r="Y120" s="188">
        <f t="shared" si="9"/>
        <v>3.2832171432402997</v>
      </c>
      <c r="AA120" s="144">
        <f t="shared" si="10"/>
        <v>0.267378733348</v>
      </c>
      <c r="AB120" s="145">
        <f t="shared" si="11"/>
        <v>1.1115649809106627E-2</v>
      </c>
      <c r="AC120" s="145">
        <f t="shared" si="12"/>
        <v>4.643518535986778E-4</v>
      </c>
      <c r="AD120" s="145">
        <f t="shared" si="15"/>
        <v>1.1957039113208088E-2</v>
      </c>
      <c r="AE120" s="146">
        <f t="shared" si="13"/>
        <v>0.80207011351645863</v>
      </c>
      <c r="AF120" s="146">
        <f t="shared" si="14"/>
        <v>5.4347314932340677E-5</v>
      </c>
      <c r="AH120" s="183"/>
      <c r="AI120" s="183"/>
      <c r="AJ120" s="183"/>
    </row>
    <row r="121" spans="9:36" x14ac:dyDescent="0.25">
      <c r="I121" s="126">
        <v>2.7005252068200002E-2</v>
      </c>
      <c r="J121" s="50">
        <v>1.0679256602875695E-2</v>
      </c>
      <c r="K121" s="50">
        <v>4.4516846263144478E-4</v>
      </c>
      <c r="L121" s="67">
        <v>1.1631172620839498E-2</v>
      </c>
      <c r="N121" s="18">
        <v>-1.7732364381876981E-6</v>
      </c>
      <c r="O121" s="18">
        <v>1.4324042371768765E-10</v>
      </c>
      <c r="P121" s="18">
        <v>4.6839424101282796E-8</v>
      </c>
      <c r="Q121" s="28">
        <v>5.8455389806877252</v>
      </c>
      <c r="R121" s="61">
        <v>137.87070113516458</v>
      </c>
      <c r="S121" s="58">
        <v>5.0868561099122929E-7</v>
      </c>
      <c r="U121" s="173">
        <v>1.2239382215931688E-2</v>
      </c>
      <c r="V121" s="173">
        <v>1.1631172620839498E-2</v>
      </c>
      <c r="W121" s="174">
        <v>9.4488657516538857E-3</v>
      </c>
      <c r="X121" s="174">
        <f t="shared" si="8"/>
        <v>1.1237648302316142E-2</v>
      </c>
      <c r="Y121" s="188">
        <f t="shared" si="9"/>
        <v>1.5733637075672919</v>
      </c>
      <c r="AA121" s="144">
        <f t="shared" si="10"/>
        <v>0.27005252068200003</v>
      </c>
      <c r="AB121" s="145">
        <f t="shared" si="11"/>
        <v>1.0679256602875695E-2</v>
      </c>
      <c r="AC121" s="145">
        <f t="shared" si="12"/>
        <v>4.4516846263144478E-4</v>
      </c>
      <c r="AD121" s="145">
        <f t="shared" si="15"/>
        <v>1.1237648302316142E-2</v>
      </c>
      <c r="AE121" s="146">
        <f t="shared" si="13"/>
        <v>0.80207011351645863</v>
      </c>
      <c r="AF121" s="146">
        <f t="shared" si="14"/>
        <v>5.0868561099122929E-5</v>
      </c>
      <c r="AH121" s="183"/>
      <c r="AI121" s="183"/>
      <c r="AJ121" s="183"/>
    </row>
    <row r="122" spans="9:36" x14ac:dyDescent="0.25">
      <c r="I122" s="126">
        <v>2.7275304588799999E-2</v>
      </c>
      <c r="J122" s="50">
        <v>9.571660907336842E-3</v>
      </c>
      <c r="K122" s="50">
        <v>4.0115249036401653E-4</v>
      </c>
      <c r="L122" s="67">
        <v>1.0834062341446482E-2</v>
      </c>
      <c r="N122" s="18">
        <v>-1.7257208359108037E-6</v>
      </c>
      <c r="O122" s="18">
        <v>1.364740227839154E-10</v>
      </c>
      <c r="P122" s="18">
        <v>4.4515350726917373E-8</v>
      </c>
      <c r="Q122" s="28">
        <v>4.2828443199158688</v>
      </c>
      <c r="R122" s="61">
        <v>138.74688662030948</v>
      </c>
      <c r="S122" s="58">
        <v>5.0868561099122929E-7</v>
      </c>
      <c r="U122" s="173">
        <v>1.1799532022725129E-2</v>
      </c>
      <c r="V122" s="173">
        <v>1.0834062341446482E-2</v>
      </c>
      <c r="W122" s="174">
        <v>8.4611126653092329E-3</v>
      </c>
      <c r="X122" s="174">
        <f t="shared" si="8"/>
        <v>1.048219234273183E-2</v>
      </c>
      <c r="Y122" s="188">
        <f t="shared" si="9"/>
        <v>5.151941260821542</v>
      </c>
      <c r="AA122" s="144">
        <f t="shared" si="10"/>
        <v>0.27275304588799998</v>
      </c>
      <c r="AB122" s="145">
        <f t="shared" si="11"/>
        <v>9.571660907336842E-3</v>
      </c>
      <c r="AC122" s="145">
        <f t="shared" si="12"/>
        <v>4.0115249036401653E-4</v>
      </c>
      <c r="AD122" s="145">
        <f t="shared" si="15"/>
        <v>1.048219234273183E-2</v>
      </c>
      <c r="AE122" s="146">
        <f t="shared" si="13"/>
        <v>0.88968866203094876</v>
      </c>
      <c r="AF122" s="146">
        <f t="shared" si="14"/>
        <v>5.0868561099122929E-5</v>
      </c>
      <c r="AH122" s="183"/>
      <c r="AI122" s="183"/>
      <c r="AJ122" s="183"/>
    </row>
    <row r="123" spans="9:36" x14ac:dyDescent="0.25">
      <c r="I123" s="126">
        <v>2.7548057634700002E-2</v>
      </c>
      <c r="J123" s="50">
        <v>8.4182791368815207E-3</v>
      </c>
      <c r="K123" s="50">
        <v>3.6108568637655122E-4</v>
      </c>
      <c r="L123" s="67">
        <v>1.0007273893685569E-2</v>
      </c>
      <c r="N123" s="18">
        <v>-1.6755752362507525E-6</v>
      </c>
      <c r="O123" s="18">
        <v>1.2933310030571428E-10</v>
      </c>
      <c r="P123" s="18">
        <v>4.2062639460997382E-8</v>
      </c>
      <c r="Q123" s="28">
        <v>3.4853200759420058</v>
      </c>
      <c r="R123" s="61">
        <v>138.74688662030948</v>
      </c>
      <c r="S123" s="58">
        <v>4.739048767497215E-7</v>
      </c>
      <c r="U123" s="173">
        <v>1.1293629990634579E-2</v>
      </c>
      <c r="V123" s="173">
        <v>1.0007273893685569E-2</v>
      </c>
      <c r="W123" s="174">
        <v>7.4965777272321902E-3</v>
      </c>
      <c r="X123" s="174">
        <f t="shared" si="8"/>
        <v>9.7011888763094759E-3</v>
      </c>
      <c r="Y123" s="188">
        <f t="shared" si="9"/>
        <v>12.623263798653781</v>
      </c>
      <c r="AA123" s="144">
        <f t="shared" si="10"/>
        <v>0.27548057634700002</v>
      </c>
      <c r="AB123" s="145">
        <f t="shared" si="11"/>
        <v>8.4182791368815207E-3</v>
      </c>
      <c r="AC123" s="145">
        <f t="shared" si="12"/>
        <v>3.6108568637655122E-4</v>
      </c>
      <c r="AD123" s="145">
        <f t="shared" si="15"/>
        <v>9.7011888763094759E-3</v>
      </c>
      <c r="AE123" s="146">
        <f t="shared" si="13"/>
        <v>0.88968866203094876</v>
      </c>
      <c r="AF123" s="146">
        <f t="shared" si="14"/>
        <v>4.7390487674972147E-5</v>
      </c>
      <c r="AH123" s="183"/>
      <c r="AI123" s="183"/>
      <c r="AJ123" s="183"/>
    </row>
    <row r="124" spans="9:36" x14ac:dyDescent="0.25">
      <c r="I124" s="126">
        <v>2.78235382111E-2</v>
      </c>
      <c r="J124" s="50">
        <v>8.6456769285152973E-3</v>
      </c>
      <c r="K124" s="50">
        <v>3.6965565834596003E-4</v>
      </c>
      <c r="L124" s="67">
        <v>9.1624760789001426E-3</v>
      </c>
      <c r="N124" s="18">
        <v>-1.6241245280753075E-6</v>
      </c>
      <c r="O124" s="18">
        <v>1.220063254536808E-10</v>
      </c>
      <c r="P124" s="18">
        <v>3.9546092995565262E-8</v>
      </c>
      <c r="Q124" s="28">
        <v>3.0095932355056063</v>
      </c>
      <c r="R124" s="61">
        <v>139.65409041003392</v>
      </c>
      <c r="S124" s="58">
        <v>4.739048767497215E-7</v>
      </c>
      <c r="U124" s="173">
        <v>1.0729422626520881E-2</v>
      </c>
      <c r="V124" s="173">
        <v>9.1624760789001426E-3</v>
      </c>
      <c r="W124" s="174">
        <v>6.5667443025576033E-3</v>
      </c>
      <c r="X124" s="174">
        <f t="shared" si="8"/>
        <v>8.9052797717196919E-3</v>
      </c>
      <c r="Y124" s="188">
        <f t="shared" si="9"/>
        <v>0.49320125438113538</v>
      </c>
      <c r="AA124" s="144">
        <f t="shared" si="10"/>
        <v>0.27823538211100002</v>
      </c>
      <c r="AB124" s="145">
        <f t="shared" si="11"/>
        <v>8.6456769285152973E-3</v>
      </c>
      <c r="AC124" s="145">
        <f t="shared" si="12"/>
        <v>3.6965565834596003E-4</v>
      </c>
      <c r="AD124" s="145">
        <f t="shared" si="15"/>
        <v>8.9052797717196919E-3</v>
      </c>
      <c r="AE124" s="146">
        <f t="shared" si="13"/>
        <v>0.98040904100339221</v>
      </c>
      <c r="AF124" s="146">
        <f t="shared" si="14"/>
        <v>4.7390487674972147E-5</v>
      </c>
      <c r="AH124" s="183"/>
      <c r="AI124" s="183"/>
      <c r="AJ124" s="183"/>
    </row>
    <row r="125" spans="9:36" x14ac:dyDescent="0.25">
      <c r="I125" s="126">
        <v>2.81017735932E-2</v>
      </c>
      <c r="J125" s="50">
        <v>8.1300302189212786E-3</v>
      </c>
      <c r="K125" s="50">
        <v>3.6252705590288949E-4</v>
      </c>
      <c r="L125" s="67">
        <v>8.3113224862384968E-3</v>
      </c>
      <c r="N125" s="18">
        <v>-1.5720291837811783E-6</v>
      </c>
      <c r="O125" s="18">
        <v>1.145877519875839E-10</v>
      </c>
      <c r="P125" s="18">
        <v>3.6998016220765337E-8</v>
      </c>
      <c r="Q125" s="28">
        <v>2.7036470237661123</v>
      </c>
      <c r="R125" s="61">
        <v>139.65409041003392</v>
      </c>
      <c r="S125" s="58">
        <v>4.3915362886864107E-7</v>
      </c>
      <c r="U125" s="173">
        <v>1.01154635742096E-2</v>
      </c>
      <c r="V125" s="173">
        <v>8.3113224862384968E-3</v>
      </c>
      <c r="W125" s="174">
        <v>5.6819910815007844E-3</v>
      </c>
      <c r="X125" s="174">
        <f t="shared" si="8"/>
        <v>8.1050249070468445E-3</v>
      </c>
      <c r="Y125" s="188">
        <f t="shared" si="9"/>
        <v>4.7575537428306419E-3</v>
      </c>
      <c r="AA125" s="144">
        <f t="shared" si="10"/>
        <v>0.28101773593199997</v>
      </c>
      <c r="AB125" s="145">
        <f t="shared" si="11"/>
        <v>8.1300302189212786E-3</v>
      </c>
      <c r="AC125" s="145">
        <f t="shared" si="12"/>
        <v>3.6252705590288949E-4</v>
      </c>
      <c r="AD125" s="145">
        <f t="shared" si="15"/>
        <v>8.1050249070468445E-3</v>
      </c>
      <c r="AE125" s="146">
        <f t="shared" si="13"/>
        <v>0.98040904100339221</v>
      </c>
      <c r="AF125" s="146">
        <f t="shared" si="14"/>
        <v>4.3915362886864108E-5</v>
      </c>
      <c r="AH125" s="183"/>
      <c r="AI125" s="183"/>
      <c r="AJ125" s="183"/>
    </row>
    <row r="126" spans="9:36" x14ac:dyDescent="0.25">
      <c r="I126" s="126">
        <v>2.8382791329100002E-2</v>
      </c>
      <c r="J126" s="50">
        <v>7.056523702852791E-3</v>
      </c>
      <c r="K126" s="50">
        <v>3.2675605608915983E-4</v>
      </c>
      <c r="L126" s="67">
        <v>7.4652203557731018E-3</v>
      </c>
      <c r="N126" s="18">
        <v>-1.5196303500406707E-6</v>
      </c>
      <c r="O126" s="18">
        <v>1.0712596047993935E-10</v>
      </c>
      <c r="P126" s="18">
        <v>3.4435095232529613E-8</v>
      </c>
      <c r="Q126" s="28">
        <v>2.5008745109309234</v>
      </c>
      <c r="R126" s="61">
        <v>140.61223022393708</v>
      </c>
      <c r="S126" s="58">
        <v>4.3915362886864107E-7</v>
      </c>
      <c r="U126" s="173">
        <v>9.4609541710331726E-3</v>
      </c>
      <c r="V126" s="173">
        <v>7.4652203557731018E-3</v>
      </c>
      <c r="W126" s="174">
        <v>4.8513915671277432E-3</v>
      </c>
      <c r="X126" s="174">
        <f t="shared" si="8"/>
        <v>7.3106966124267796E-3</v>
      </c>
      <c r="Y126" s="188">
        <f t="shared" si="9"/>
        <v>0.60507781477122047</v>
      </c>
      <c r="AA126" s="144">
        <f t="shared" si="10"/>
        <v>0.28382791329099999</v>
      </c>
      <c r="AB126" s="145">
        <f t="shared" si="11"/>
        <v>7.056523702852791E-3</v>
      </c>
      <c r="AC126" s="145">
        <f t="shared" si="12"/>
        <v>3.2675605608915983E-4</v>
      </c>
      <c r="AD126" s="145">
        <f t="shared" si="15"/>
        <v>7.3106966124267796E-3</v>
      </c>
      <c r="AE126" s="146">
        <f t="shared" si="13"/>
        <v>1.0762230223937082</v>
      </c>
      <c r="AF126" s="146">
        <f t="shared" si="14"/>
        <v>4.3915362886864108E-5</v>
      </c>
      <c r="AH126" s="183"/>
      <c r="AI126" s="183"/>
      <c r="AJ126" s="183"/>
    </row>
    <row r="127" spans="9:36" x14ac:dyDescent="0.25">
      <c r="I127" s="126">
        <v>2.86666192424E-2</v>
      </c>
      <c r="J127" s="50">
        <v>6.6247590200022664E-3</v>
      </c>
      <c r="K127" s="50">
        <v>3.0685716825290196E-4</v>
      </c>
      <c r="L127" s="67">
        <v>6.635102592674978E-3</v>
      </c>
      <c r="N127" s="18">
        <v>-1.4671028502314808E-6</v>
      </c>
      <c r="O127" s="18">
        <v>9.9645846438946616E-11</v>
      </c>
      <c r="P127" s="18">
        <v>3.1865880955982683E-8</v>
      </c>
      <c r="Q127" s="28">
        <v>2.367924598289437</v>
      </c>
      <c r="R127" s="61">
        <v>140.61223022393708</v>
      </c>
      <c r="S127" s="58">
        <v>4.0448750414139255E-7</v>
      </c>
      <c r="U127" s="173">
        <v>8.7755682679887051E-3</v>
      </c>
      <c r="V127" s="173">
        <v>6.635102592674978E-3</v>
      </c>
      <c r="W127" s="174">
        <v>4.0825462154431549E-3</v>
      </c>
      <c r="X127" s="174">
        <f t="shared" si="8"/>
        <v>6.5320799171954547E-3</v>
      </c>
      <c r="Y127" s="188">
        <f t="shared" si="9"/>
        <v>9.1220215915135128E-2</v>
      </c>
      <c r="AA127" s="144">
        <f t="shared" si="10"/>
        <v>0.28666619242399999</v>
      </c>
      <c r="AB127" s="145">
        <f t="shared" si="11"/>
        <v>6.6247590200022664E-3</v>
      </c>
      <c r="AC127" s="145">
        <f t="shared" si="12"/>
        <v>3.0685716825290196E-4</v>
      </c>
      <c r="AD127" s="145">
        <f t="shared" si="15"/>
        <v>6.5320799171954547E-3</v>
      </c>
      <c r="AE127" s="146">
        <f t="shared" si="13"/>
        <v>1.0762230223937082</v>
      </c>
      <c r="AF127" s="146">
        <f t="shared" si="14"/>
        <v>4.0448750414139258E-5</v>
      </c>
      <c r="AH127" s="183"/>
      <c r="AI127" s="183"/>
      <c r="AJ127" s="183"/>
    </row>
    <row r="128" spans="9:36" x14ac:dyDescent="0.25">
      <c r="I128" s="126">
        <v>2.89532854348E-2</v>
      </c>
      <c r="J128" s="50">
        <v>5.4962128251140737E-3</v>
      </c>
      <c r="K128" s="50">
        <v>2.7549279215965597E-4</v>
      </c>
      <c r="L128" s="67">
        <v>5.8312089626888818E-3</v>
      </c>
      <c r="N128" s="18">
        <v>-1.4145307809496485E-6</v>
      </c>
      <c r="O128" s="18">
        <v>9.2159385536989183E-11</v>
      </c>
      <c r="P128" s="18">
        <v>2.9294486706548655E-8</v>
      </c>
      <c r="Q128" s="28">
        <v>2.2869626278446455</v>
      </c>
      <c r="R128" s="61">
        <v>141.64805662981573</v>
      </c>
      <c r="S128" s="58">
        <v>4.0448750414139255E-7</v>
      </c>
      <c r="U128" s="173">
        <v>8.0692646317660002E-3</v>
      </c>
      <c r="V128" s="173">
        <v>5.8312089626888818E-3</v>
      </c>
      <c r="W128" s="174">
        <v>3.3814527695435032E-3</v>
      </c>
      <c r="X128" s="174">
        <f t="shared" si="8"/>
        <v>5.778283831671816E-3</v>
      </c>
      <c r="Y128" s="188">
        <f t="shared" si="9"/>
        <v>1.0483261403526094</v>
      </c>
      <c r="AA128" s="144">
        <f t="shared" si="10"/>
        <v>0.28953285434800002</v>
      </c>
      <c r="AB128" s="145">
        <f t="shared" si="11"/>
        <v>5.4962128251140737E-3</v>
      </c>
      <c r="AC128" s="145">
        <f t="shared" si="12"/>
        <v>2.7549279215965597E-4</v>
      </c>
      <c r="AD128" s="145">
        <f t="shared" si="15"/>
        <v>5.778283831671816E-3</v>
      </c>
      <c r="AE128" s="146">
        <f t="shared" si="13"/>
        <v>1.1798056629815732</v>
      </c>
      <c r="AF128" s="146">
        <f t="shared" si="14"/>
        <v>4.0448750414139258E-5</v>
      </c>
      <c r="AH128" s="183"/>
      <c r="AI128" s="183"/>
      <c r="AJ128" s="183"/>
    </row>
    <row r="129" spans="9:36" x14ac:dyDescent="0.25">
      <c r="I129" s="126">
        <v>2.9242818289200001E-2</v>
      </c>
      <c r="J129" s="50">
        <v>4.7392154734376109E-3</v>
      </c>
      <c r="K129" s="50">
        <v>2.4473428054979447E-4</v>
      </c>
      <c r="L129" s="67">
        <v>5.0628825847323722E-3</v>
      </c>
      <c r="N129" s="18">
        <v>-1.3619484270911997E-6</v>
      </c>
      <c r="O129" s="18">
        <v>8.467146007254098E-11</v>
      </c>
      <c r="P129" s="18">
        <v>2.6722589420016585E-8</v>
      </c>
      <c r="Q129" s="28">
        <v>2.2485455290849345</v>
      </c>
      <c r="R129" s="61">
        <v>141.64805662981573</v>
      </c>
      <c r="S129" s="58">
        <v>3.7002216256618264E-7</v>
      </c>
      <c r="U129" s="173">
        <v>7.3520908162338543E-3</v>
      </c>
      <c r="V129" s="173">
        <v>5.0628825847323722E-3</v>
      </c>
      <c r="W129" s="174">
        <v>2.7524192234596153E-3</v>
      </c>
      <c r="X129" s="174">
        <f t="shared" si="8"/>
        <v>5.0575688022895535E-3</v>
      </c>
      <c r="Y129" s="188">
        <f t="shared" si="9"/>
        <v>1.6921122835120195</v>
      </c>
      <c r="AA129" s="144">
        <f t="shared" si="10"/>
        <v>0.29242818289200001</v>
      </c>
      <c r="AB129" s="145">
        <f t="shared" si="11"/>
        <v>4.7392154734376109E-3</v>
      </c>
      <c r="AC129" s="145">
        <f t="shared" si="12"/>
        <v>2.4473428054979447E-4</v>
      </c>
      <c r="AD129" s="145">
        <f t="shared" si="15"/>
        <v>5.0575688022895535E-3</v>
      </c>
      <c r="AE129" s="146">
        <f t="shared" si="13"/>
        <v>1.1798056629815732</v>
      </c>
      <c r="AF129" s="146">
        <f t="shared" si="14"/>
        <v>3.7002216256618267E-5</v>
      </c>
      <c r="AH129" s="183"/>
      <c r="AI129" s="183"/>
      <c r="AJ129" s="183"/>
    </row>
    <row r="130" spans="9:36" x14ac:dyDescent="0.25">
      <c r="I130" s="126">
        <v>2.9535246472099999E-2</v>
      </c>
      <c r="J130" s="50">
        <v>4.3076395978499365E-3</v>
      </c>
      <c r="K130" s="50">
        <v>2.3001860625957395E-4</v>
      </c>
      <c r="L130" s="67">
        <v>4.3383876971571584E-3</v>
      </c>
      <c r="N130" s="18">
        <v>-1.3131443768543003E-6</v>
      </c>
      <c r="O130" s="18">
        <v>7.7721579290846556E-11</v>
      </c>
      <c r="P130" s="18">
        <v>2.4335495743800557E-8</v>
      </c>
      <c r="Q130" s="28">
        <v>1.9170181926189671</v>
      </c>
      <c r="R130" s="61">
        <v>142.80109773203327</v>
      </c>
      <c r="S130" s="58">
        <v>3.7002216256618264E-7</v>
      </c>
      <c r="U130" s="173">
        <v>6.633982902131721E-3</v>
      </c>
      <c r="V130" s="173">
        <v>4.3383876971571584E-3</v>
      </c>
      <c r="W130" s="173">
        <v>2.1980225091938295E-3</v>
      </c>
      <c r="X130" s="174">
        <f t="shared" si="8"/>
        <v>4.3771952014099672E-3</v>
      </c>
      <c r="Y130" s="188">
        <f t="shared" si="9"/>
        <v>9.1440440968567668E-2</v>
      </c>
      <c r="AA130" s="144">
        <f t="shared" si="10"/>
        <v>0.29535246472099996</v>
      </c>
      <c r="AB130" s="145">
        <f t="shared" si="11"/>
        <v>4.3076395978499365E-3</v>
      </c>
      <c r="AC130" s="145">
        <f t="shared" si="12"/>
        <v>2.3001860625957395E-4</v>
      </c>
      <c r="AD130" s="145">
        <f t="shared" si="15"/>
        <v>4.3771952014099672E-3</v>
      </c>
      <c r="AE130" s="146">
        <f t="shared" si="13"/>
        <v>1.2951097732033277</v>
      </c>
      <c r="AF130" s="146">
        <f t="shared" si="14"/>
        <v>3.7002216256618267E-5</v>
      </c>
      <c r="AH130" s="183"/>
      <c r="AI130" s="183"/>
      <c r="AJ130" s="183"/>
    </row>
    <row r="131" spans="9:36" x14ac:dyDescent="0.25">
      <c r="I131" s="126">
        <v>2.9830598936799999E-2</v>
      </c>
      <c r="J131" s="50">
        <v>3.9738635204934611E-3</v>
      </c>
      <c r="K131" s="50">
        <v>2.2372240430754546E-4</v>
      </c>
      <c r="L131" s="67">
        <v>3.6647542756988736E-3</v>
      </c>
      <c r="N131" s="18">
        <v>-1.2462841967979987E-6</v>
      </c>
      <c r="O131" s="18">
        <v>6.8200437537685384E-11</v>
      </c>
      <c r="P131" s="18">
        <v>2.1065244356296007E-8</v>
      </c>
      <c r="Q131" s="28">
        <v>3.8340363852379342</v>
      </c>
      <c r="R131" s="61">
        <v>142.80109773203327</v>
      </c>
      <c r="S131" s="58">
        <v>3.3598330063753632E-7</v>
      </c>
      <c r="U131" s="173">
        <v>5.9245659075764807E-3</v>
      </c>
      <c r="V131" s="173">
        <v>3.6647542756988736E-3</v>
      </c>
      <c r="W131" s="173">
        <v>1.7191144644716162E-3</v>
      </c>
      <c r="X131" s="174">
        <f t="shared" ref="X131:X194" si="16">(U131+2*V131+W131)/4</f>
        <v>3.7432972308614611E-3</v>
      </c>
      <c r="Y131" s="188">
        <f t="shared" ref="Y131:Y194" si="17">(J131-X131)*(J131-X131)/(K131*K131)</f>
        <v>1.0621177471318759</v>
      </c>
      <c r="AA131" s="144">
        <f t="shared" ref="AA131:AA194" si="18">I131*10</f>
        <v>0.29830598936800001</v>
      </c>
      <c r="AB131" s="145">
        <f t="shared" ref="AB131:AB194" si="19">J131</f>
        <v>3.9738635204934611E-3</v>
      </c>
      <c r="AC131" s="145">
        <f t="shared" ref="AC131:AC194" si="20">K131</f>
        <v>2.2372240430754546E-4</v>
      </c>
      <c r="AD131" s="145">
        <f t="shared" si="15"/>
        <v>3.7432972308614611E-3</v>
      </c>
      <c r="AE131" s="146">
        <f t="shared" ref="AE131:AE194" si="21">(R131-129.85)/10</f>
        <v>1.2951097732033277</v>
      </c>
      <c r="AF131" s="146">
        <f t="shared" ref="AF131:AF194" si="22">S131*100</f>
        <v>3.3598330063753631E-5</v>
      </c>
      <c r="AH131" s="183"/>
      <c r="AI131" s="183"/>
      <c r="AJ131" s="183"/>
    </row>
    <row r="132" spans="9:36" x14ac:dyDescent="0.25">
      <c r="I132" s="126">
        <v>3.01289049262E-2</v>
      </c>
      <c r="J132" s="50">
        <v>3.0014633387406564E-3</v>
      </c>
      <c r="K132" s="50">
        <v>1.8384459734155855E-4</v>
      </c>
      <c r="L132" s="67">
        <v>3.0476544503676931E-3</v>
      </c>
      <c r="N132" s="18">
        <v>-1.1611300273949687E-6</v>
      </c>
      <c r="O132" s="18">
        <v>5.6074162719456951E-11</v>
      </c>
      <c r="P132" s="18">
        <v>1.6900201121181206E-8</v>
      </c>
      <c r="Q132" s="28">
        <v>3.8340363852379342</v>
      </c>
      <c r="R132" s="61">
        <v>144.1364002089708</v>
      </c>
      <c r="S132" s="58">
        <v>3.3598330063753632E-7</v>
      </c>
      <c r="U132" s="173">
        <v>5.2329599620172746E-3</v>
      </c>
      <c r="V132" s="173">
        <v>3.0476544503676931E-3</v>
      </c>
      <c r="W132" s="173">
        <v>1.3148750056646351E-3</v>
      </c>
      <c r="X132" s="174">
        <f t="shared" si="16"/>
        <v>3.1607859671043239E-3</v>
      </c>
      <c r="Y132" s="188">
        <f t="shared" si="17"/>
        <v>0.75102290297738106</v>
      </c>
      <c r="AA132" s="144">
        <f t="shared" si="18"/>
        <v>0.30128904926200001</v>
      </c>
      <c r="AB132" s="145">
        <f t="shared" si="19"/>
        <v>3.0014633387406564E-3</v>
      </c>
      <c r="AC132" s="145">
        <f t="shared" si="20"/>
        <v>1.8384459734155855E-4</v>
      </c>
      <c r="AD132" s="145">
        <f t="shared" ref="AD132:AD195" si="23">X132</f>
        <v>3.1607859671043239E-3</v>
      </c>
      <c r="AE132" s="146">
        <f t="shared" si="21"/>
        <v>1.4286400208970804</v>
      </c>
      <c r="AF132" s="146">
        <f t="shared" si="22"/>
        <v>3.3598330063753631E-5</v>
      </c>
      <c r="AH132" s="183"/>
      <c r="AI132" s="183"/>
      <c r="AJ132" s="183"/>
    </row>
    <row r="133" spans="9:36" x14ac:dyDescent="0.25">
      <c r="I133" s="126">
        <v>3.0430193975400002E-2</v>
      </c>
      <c r="J133" s="50">
        <v>2.4311271799382027E-3</v>
      </c>
      <c r="K133" s="50">
        <v>1.6627955392100599E-4</v>
      </c>
      <c r="L133" s="67">
        <v>2.4913147897289495E-3</v>
      </c>
      <c r="N133" s="18">
        <v>-1.0838275516322707E-6</v>
      </c>
      <c r="O133" s="18">
        <v>4.5065998682399677E-11</v>
      </c>
      <c r="P133" s="18">
        <v>1.3119198311921292E-8</v>
      </c>
      <c r="Q133" s="28">
        <v>3.8340363852379342</v>
      </c>
      <c r="R133" s="61">
        <v>144.1364002089708</v>
      </c>
      <c r="S133" s="58">
        <v>3.0280787499835545E-7</v>
      </c>
      <c r="U133" s="173">
        <v>4.5675974579954069E-3</v>
      </c>
      <c r="V133" s="173">
        <v>2.4913147897289495E-3</v>
      </c>
      <c r="W133" s="173">
        <v>9.8291075489105074E-4</v>
      </c>
      <c r="X133" s="174">
        <f t="shared" si="16"/>
        <v>2.6332844480860891E-3</v>
      </c>
      <c r="Y133" s="188">
        <f t="shared" si="17"/>
        <v>1.4780904762508127</v>
      </c>
      <c r="AA133" s="144">
        <f t="shared" si="18"/>
        <v>0.30430193975399999</v>
      </c>
      <c r="AB133" s="145">
        <f t="shared" si="19"/>
        <v>2.4311271799382027E-3</v>
      </c>
      <c r="AC133" s="145">
        <f t="shared" si="20"/>
        <v>1.6627955392100599E-4</v>
      </c>
      <c r="AD133" s="145">
        <f t="shared" si="23"/>
        <v>2.6332844480860891E-3</v>
      </c>
      <c r="AE133" s="146">
        <f t="shared" si="21"/>
        <v>1.4286400208970804</v>
      </c>
      <c r="AF133" s="146">
        <f t="shared" si="22"/>
        <v>3.0280787499835546E-5</v>
      </c>
      <c r="AH133" s="183"/>
      <c r="AI133" s="183"/>
      <c r="AJ133" s="183"/>
    </row>
    <row r="134" spans="9:36" x14ac:dyDescent="0.25">
      <c r="I134" s="126">
        <v>3.07344959152E-2</v>
      </c>
      <c r="J134" s="50">
        <v>2.0252838854509249E-3</v>
      </c>
      <c r="K134" s="50">
        <v>1.5008088497094903E-4</v>
      </c>
      <c r="L134" s="67">
        <v>1.9984674390027411E-3</v>
      </c>
      <c r="N134" s="18">
        <v>-1.016973778928632E-6</v>
      </c>
      <c r="O134" s="18">
        <v>3.5545769360418228E-11</v>
      </c>
      <c r="P134" s="18">
        <v>9.8492603195335075E-9</v>
      </c>
      <c r="Q134" s="28">
        <v>3.8340363852379342</v>
      </c>
      <c r="R134" s="61">
        <v>145.77725169581046</v>
      </c>
      <c r="S134" s="58">
        <v>3.0280787499835545E-7</v>
      </c>
      <c r="U134" s="173">
        <v>3.9360563380998722E-3</v>
      </c>
      <c r="V134" s="173">
        <v>1.9984674390027411E-3</v>
      </c>
      <c r="W134" s="173">
        <v>7.193957500390162E-4</v>
      </c>
      <c r="X134" s="174">
        <f t="shared" si="16"/>
        <v>2.1630967415360927E-3</v>
      </c>
      <c r="Y134" s="188">
        <f t="shared" si="17"/>
        <v>0.84319632057215654</v>
      </c>
      <c r="AA134" s="144">
        <f t="shared" si="18"/>
        <v>0.307344959152</v>
      </c>
      <c r="AB134" s="145">
        <f t="shared" si="19"/>
        <v>2.0252838854509249E-3</v>
      </c>
      <c r="AC134" s="145">
        <f t="shared" si="20"/>
        <v>1.5008088497094903E-4</v>
      </c>
      <c r="AD134" s="145">
        <f t="shared" si="23"/>
        <v>2.1630967415360927E-3</v>
      </c>
      <c r="AE134" s="146">
        <f t="shared" si="21"/>
        <v>1.5927251695810469</v>
      </c>
      <c r="AF134" s="146">
        <f t="shared" si="22"/>
        <v>3.0280787499835546E-5</v>
      </c>
      <c r="AH134" s="183"/>
      <c r="AI134" s="183"/>
      <c r="AJ134" s="183"/>
    </row>
    <row r="135" spans="9:36" x14ac:dyDescent="0.25">
      <c r="I135" s="126">
        <v>3.1041840874300002E-2</v>
      </c>
      <c r="J135" s="50">
        <v>1.6099215557334196E-3</v>
      </c>
      <c r="K135" s="50">
        <v>1.3687802613132977E-4</v>
      </c>
      <c r="L135" s="67">
        <v>1.5703418597351872E-3</v>
      </c>
      <c r="N135" s="18">
        <v>-9.6190780348885457E-7</v>
      </c>
      <c r="O135" s="18">
        <v>2.7704166817668307E-11</v>
      </c>
      <c r="P135" s="18">
        <v>7.1558846445864447E-9</v>
      </c>
      <c r="Q135" s="28">
        <v>3.8340363852379342</v>
      </c>
      <c r="R135" s="61">
        <v>145.77725169581046</v>
      </c>
      <c r="S135" s="58">
        <v>2.7137240826300005E-7</v>
      </c>
      <c r="U135" s="173">
        <v>3.3449144305684928E-3</v>
      </c>
      <c r="V135" s="173">
        <v>1.5703418597351872E-3</v>
      </c>
      <c r="W135" s="173">
        <v>5.192493800293338E-4</v>
      </c>
      <c r="X135" s="174">
        <f t="shared" si="16"/>
        <v>1.7512118825170502E-3</v>
      </c>
      <c r="Y135" s="188">
        <f t="shared" si="17"/>
        <v>1.0655096605184966</v>
      </c>
      <c r="AA135" s="144">
        <f t="shared" si="18"/>
        <v>0.31041840874300003</v>
      </c>
      <c r="AB135" s="145">
        <f t="shared" si="19"/>
        <v>1.6099215557334196E-3</v>
      </c>
      <c r="AC135" s="145">
        <f t="shared" si="20"/>
        <v>1.3687802613132977E-4</v>
      </c>
      <c r="AD135" s="145">
        <f t="shared" si="23"/>
        <v>1.7512118825170502E-3</v>
      </c>
      <c r="AE135" s="146">
        <f t="shared" si="21"/>
        <v>1.5927251695810469</v>
      </c>
      <c r="AF135" s="146">
        <f t="shared" si="22"/>
        <v>2.7137240826300004E-5</v>
      </c>
      <c r="AH135" s="183"/>
      <c r="AI135" s="183"/>
      <c r="AJ135" s="183"/>
    </row>
    <row r="136" spans="9:36" x14ac:dyDescent="0.25">
      <c r="I136" s="126">
        <v>3.1352259283100002E-2</v>
      </c>
      <c r="J136" s="50">
        <v>1.4663773432301262E-3</v>
      </c>
      <c r="K136" s="50">
        <v>1.3208458128442511E-4</v>
      </c>
      <c r="L136" s="67">
        <v>1.2066975535861228E-3</v>
      </c>
      <c r="N136" s="18">
        <v>-9.1874463371133721E-7</v>
      </c>
      <c r="O136" s="18">
        <v>2.1557568683749995E-11</v>
      </c>
      <c r="P136" s="18">
        <v>5.0446965542289608E-9</v>
      </c>
      <c r="Q136" s="28">
        <v>3.8340363852379342</v>
      </c>
      <c r="R136" s="61">
        <v>148.01680574246072</v>
      </c>
      <c r="S136" s="58">
        <v>2.7137240826300005E-7</v>
      </c>
      <c r="U136" s="173">
        <v>2.7996292814910441E-3</v>
      </c>
      <c r="V136" s="173">
        <v>1.2066975535861228E-3</v>
      </c>
      <c r="W136" s="173">
        <v>3.7634538998729624E-4</v>
      </c>
      <c r="X136" s="174">
        <f t="shared" si="16"/>
        <v>1.3973424446626463E-3</v>
      </c>
      <c r="Y136" s="188">
        <f t="shared" si="17"/>
        <v>0.27317008297596723</v>
      </c>
      <c r="AA136" s="144">
        <f t="shared" si="18"/>
        <v>0.31352259283100004</v>
      </c>
      <c r="AB136" s="145">
        <f t="shared" si="19"/>
        <v>1.4663773432301262E-3</v>
      </c>
      <c r="AC136" s="145">
        <f t="shared" si="20"/>
        <v>1.3208458128442511E-4</v>
      </c>
      <c r="AD136" s="145">
        <f t="shared" si="23"/>
        <v>1.3973424446626463E-3</v>
      </c>
      <c r="AE136" s="146">
        <f t="shared" si="21"/>
        <v>1.8166805742460723</v>
      </c>
      <c r="AF136" s="146">
        <f t="shared" si="22"/>
        <v>2.7137240826300004E-5</v>
      </c>
      <c r="AH136" s="183"/>
      <c r="AI136" s="183"/>
      <c r="AJ136" s="183"/>
    </row>
    <row r="137" spans="9:36" x14ac:dyDescent="0.25">
      <c r="I137" s="126">
        <v>3.1665781875900002E-2</v>
      </c>
      <c r="J137" s="50">
        <v>1.2457014445335199E-3</v>
      </c>
      <c r="K137" s="50">
        <v>1.1761602337391087E-4</v>
      </c>
      <c r="L137" s="67">
        <v>9.0589675945455697E-4</v>
      </c>
      <c r="N137" s="18">
        <v>-8.8662380902249231E-7</v>
      </c>
      <c r="O137" s="18">
        <v>1.6983442128401194E-11</v>
      </c>
      <c r="P137" s="18">
        <v>3.4736093777057927E-9</v>
      </c>
      <c r="Q137" s="28">
        <v>3.8340363852379342</v>
      </c>
      <c r="R137" s="61">
        <v>148.01680574246072</v>
      </c>
      <c r="S137" s="58">
        <v>2.4359157455245608E-7</v>
      </c>
      <c r="U137" s="173">
        <v>2.3044472939568053E-3</v>
      </c>
      <c r="V137" s="173">
        <v>9.0589675945455697E-4</v>
      </c>
      <c r="W137" s="173">
        <v>2.8374476867363028E-4</v>
      </c>
      <c r="X137" s="174">
        <f t="shared" si="16"/>
        <v>1.0999963953848874E-3</v>
      </c>
      <c r="Y137" s="188">
        <f t="shared" si="17"/>
        <v>1.5346742987672761</v>
      </c>
      <c r="AA137" s="144">
        <f t="shared" si="18"/>
        <v>0.31665781875900001</v>
      </c>
      <c r="AB137" s="145">
        <f t="shared" si="19"/>
        <v>1.2457014445335199E-3</v>
      </c>
      <c r="AC137" s="145">
        <f t="shared" si="20"/>
        <v>1.1761602337391087E-4</v>
      </c>
      <c r="AD137" s="145">
        <f t="shared" si="23"/>
        <v>1.0999963953848874E-3</v>
      </c>
      <c r="AE137" s="146">
        <f t="shared" si="21"/>
        <v>1.8166805742460723</v>
      </c>
      <c r="AF137" s="146">
        <f t="shared" si="22"/>
        <v>2.4359157455245607E-5</v>
      </c>
      <c r="AH137" s="183"/>
      <c r="AI137" s="183"/>
      <c r="AJ137" s="183"/>
    </row>
    <row r="138" spans="9:36" x14ac:dyDescent="0.25">
      <c r="I138" s="126">
        <v>3.19824396947E-2</v>
      </c>
      <c r="J138" s="50">
        <v>9.8443546012587477E-4</v>
      </c>
      <c r="K138" s="50">
        <v>1.0862485014661737E-4</v>
      </c>
      <c r="L138" s="67">
        <v>6.6501471655274315E-4</v>
      </c>
      <c r="N138" s="18">
        <v>-8.6408842152770803E-7</v>
      </c>
      <c r="O138" s="18">
        <v>1.3774317973791102E-11</v>
      </c>
      <c r="P138" s="18">
        <v>2.371363135462458E-9</v>
      </c>
      <c r="Q138" s="28">
        <v>3.8340363852379342</v>
      </c>
      <c r="R138" s="61">
        <v>152.04131409772654</v>
      </c>
      <c r="S138" s="58">
        <v>2.4359157455245608E-7</v>
      </c>
      <c r="U138" s="173">
        <v>1.8623451414311149E-3</v>
      </c>
      <c r="V138" s="173">
        <v>6.6501471655274315E-4</v>
      </c>
      <c r="W138" s="173">
        <v>2.3394457851708903E-4</v>
      </c>
      <c r="X138" s="174">
        <f t="shared" si="16"/>
        <v>8.5657978826342253E-4</v>
      </c>
      <c r="Y138" s="188">
        <f t="shared" si="17"/>
        <v>1.3854205229882341</v>
      </c>
      <c r="AA138" s="144">
        <f t="shared" si="18"/>
        <v>0.31982439694699999</v>
      </c>
      <c r="AB138" s="145">
        <f t="shared" si="19"/>
        <v>9.8443546012587477E-4</v>
      </c>
      <c r="AC138" s="145">
        <f t="shared" si="20"/>
        <v>1.0862485014661737E-4</v>
      </c>
      <c r="AD138" s="145">
        <f t="shared" si="23"/>
        <v>8.5657978826342253E-4</v>
      </c>
      <c r="AE138" s="146">
        <f t="shared" si="21"/>
        <v>2.2191314097726549</v>
      </c>
      <c r="AF138" s="146">
        <f t="shared" si="22"/>
        <v>2.4359157455245607E-5</v>
      </c>
      <c r="AH138" s="183"/>
      <c r="AI138" s="183"/>
      <c r="AJ138" s="183"/>
    </row>
    <row r="139" spans="9:36" x14ac:dyDescent="0.25">
      <c r="I139" s="126">
        <v>3.2302264091600003E-2</v>
      </c>
      <c r="J139" s="50">
        <v>7.3239627814489249E-4</v>
      </c>
      <c r="K139" s="50">
        <v>9.6708848450929356E-5</v>
      </c>
      <c r="L139" s="67">
        <v>4.7998378876431402E-4</v>
      </c>
      <c r="N139" s="18">
        <v>-8.4949915809218502E-7</v>
      </c>
      <c r="O139" s="18">
        <v>1.1696751848081367E-11</v>
      </c>
      <c r="P139" s="18">
        <v>1.6577760803197338E-9</v>
      </c>
      <c r="Q139" s="28">
        <v>3.8340363852379342</v>
      </c>
      <c r="R139" s="61">
        <v>152.04131409772654</v>
      </c>
      <c r="S139" s="58">
        <v>2.2438801411577104E-7</v>
      </c>
      <c r="U139" s="173">
        <v>1.475005453542519E-3</v>
      </c>
      <c r="V139" s="173">
        <v>4.7998378876431402E-4</v>
      </c>
      <c r="W139" s="173">
        <v>2.1913435603365916E-4</v>
      </c>
      <c r="X139" s="174">
        <f t="shared" si="16"/>
        <v>6.6352684677620157E-4</v>
      </c>
      <c r="Y139" s="188">
        <f t="shared" si="17"/>
        <v>0.50713148032991118</v>
      </c>
      <c r="AA139" s="144">
        <f t="shared" si="18"/>
        <v>0.32302264091600003</v>
      </c>
      <c r="AB139" s="145">
        <f t="shared" si="19"/>
        <v>7.3239627814489249E-4</v>
      </c>
      <c r="AC139" s="145">
        <f t="shared" si="20"/>
        <v>9.6708848450929356E-5</v>
      </c>
      <c r="AD139" s="145">
        <f t="shared" si="23"/>
        <v>6.6352684677620157E-4</v>
      </c>
      <c r="AE139" s="146">
        <f t="shared" si="21"/>
        <v>2.2191314097726549</v>
      </c>
      <c r="AF139" s="146">
        <f t="shared" si="22"/>
        <v>2.2438801411577106E-5</v>
      </c>
      <c r="AH139" s="183"/>
      <c r="AI139" s="183"/>
      <c r="AJ139" s="183"/>
    </row>
    <row r="140" spans="9:36" x14ac:dyDescent="0.25">
      <c r="I140" s="126">
        <v>3.2625286732500001E-2</v>
      </c>
      <c r="J140" s="50">
        <v>5.959459418894131E-4</v>
      </c>
      <c r="K140" s="50">
        <v>8.5629990422629465E-5</v>
      </c>
      <c r="L140" s="67">
        <v>3.4576657337501035E-4</v>
      </c>
      <c r="N140" s="18">
        <v>-8.4140492882988814E-7</v>
      </c>
      <c r="O140" s="18">
        <v>1.0544103079800796E-11</v>
      </c>
      <c r="P140" s="18">
        <v>1.2618728019630776E-9</v>
      </c>
      <c r="Q140" s="28">
        <v>3.8340363852379342</v>
      </c>
      <c r="R140" s="61">
        <v>157.4459390631842</v>
      </c>
      <c r="S140" s="58">
        <v>2.2438801411577104E-7</v>
      </c>
      <c r="U140" s="173">
        <v>1.1428276700129814E-3</v>
      </c>
      <c r="V140" s="173">
        <v>3.4576657337501035E-4</v>
      </c>
      <c r="W140" s="173">
        <v>2.3145158394400158E-4</v>
      </c>
      <c r="X140" s="174">
        <f t="shared" si="16"/>
        <v>5.1645310017675084E-4</v>
      </c>
      <c r="Y140" s="188">
        <f t="shared" si="17"/>
        <v>0.86179556340337882</v>
      </c>
      <c r="AA140" s="144">
        <f t="shared" si="18"/>
        <v>0.32625286732500003</v>
      </c>
      <c r="AB140" s="145">
        <f t="shared" si="19"/>
        <v>5.959459418894131E-4</v>
      </c>
      <c r="AC140" s="145">
        <f t="shared" si="20"/>
        <v>8.5629990422629465E-5</v>
      </c>
      <c r="AD140" s="145">
        <f t="shared" si="23"/>
        <v>5.1645310017675084E-4</v>
      </c>
      <c r="AE140" s="146">
        <f t="shared" si="21"/>
        <v>2.7595939063184205</v>
      </c>
      <c r="AF140" s="146">
        <f t="shared" si="22"/>
        <v>2.2438801411577106E-5</v>
      </c>
      <c r="AH140" s="183"/>
      <c r="AI140" s="183"/>
      <c r="AJ140" s="183"/>
    </row>
    <row r="141" spans="9:36" x14ac:dyDescent="0.25">
      <c r="I141" s="126">
        <v>3.29515395999E-2</v>
      </c>
      <c r="J141" s="50">
        <v>3.9622948452600266E-4</v>
      </c>
      <c r="K141" s="50">
        <v>7.8706140519864721E-5</v>
      </c>
      <c r="L141" s="67">
        <v>2.565521446754891E-4</v>
      </c>
      <c r="N141" s="18">
        <v>-8.3882235146413233E-7</v>
      </c>
      <c r="O141" s="18">
        <v>1.0176334324658927E-11</v>
      </c>
      <c r="P141" s="18">
        <v>1.1355543085550574E-9</v>
      </c>
      <c r="Q141" s="28">
        <v>3.8340363852379342</v>
      </c>
      <c r="R141" s="61">
        <v>157.4459390631842</v>
      </c>
      <c r="S141" s="58">
        <v>2.2173459515442931E-7</v>
      </c>
      <c r="U141" s="173">
        <v>8.6497380769532544E-4</v>
      </c>
      <c r="V141" s="173">
        <v>2.565521446754891E-4</v>
      </c>
      <c r="W141" s="173">
        <v>2.6322791223438747E-4</v>
      </c>
      <c r="X141" s="174">
        <f t="shared" si="16"/>
        <v>4.1032650232017279E-4</v>
      </c>
      <c r="Y141" s="188">
        <f t="shared" si="17"/>
        <v>3.2080214440889293E-2</v>
      </c>
      <c r="AA141" s="144">
        <f t="shared" si="18"/>
        <v>0.32951539599899998</v>
      </c>
      <c r="AB141" s="145">
        <f t="shared" si="19"/>
        <v>3.9622948452600266E-4</v>
      </c>
      <c r="AC141" s="145">
        <f t="shared" si="20"/>
        <v>7.8706140519864721E-5</v>
      </c>
      <c r="AD141" s="145">
        <f t="shared" si="23"/>
        <v>4.1032650232017279E-4</v>
      </c>
      <c r="AE141" s="146">
        <f t="shared" si="21"/>
        <v>2.7595939063184205</v>
      </c>
      <c r="AF141" s="146">
        <f t="shared" si="22"/>
        <v>2.2173459515442931E-5</v>
      </c>
      <c r="AH141" s="183"/>
      <c r="AI141" s="183"/>
      <c r="AJ141" s="183"/>
    </row>
    <row r="142" spans="9:36" x14ac:dyDescent="0.25">
      <c r="I142" s="126">
        <v>3.3281054995899999E-2</v>
      </c>
      <c r="J142" s="50">
        <v>3.1448855267188322E-4</v>
      </c>
      <c r="K142" s="50">
        <v>7.9857320066521875E-5</v>
      </c>
      <c r="L142" s="67">
        <v>2.0596882762322779E-4</v>
      </c>
      <c r="N142" s="18">
        <v>-8.4140492882988814E-7</v>
      </c>
      <c r="O142" s="18">
        <v>1.0544103079800796E-11</v>
      </c>
      <c r="P142" s="18">
        <v>1.2618728019630776E-9</v>
      </c>
      <c r="Q142" s="28">
        <v>3.8340363852379342</v>
      </c>
      <c r="R142" s="61">
        <v>209.32116798867315</v>
      </c>
      <c r="S142" s="58">
        <v>2.2173459515442931E-7</v>
      </c>
      <c r="U142" s="173">
        <v>6.3944770631948588E-4</v>
      </c>
      <c r="V142" s="173">
        <v>2.0596882762322779E-4</v>
      </c>
      <c r="W142" s="173">
        <v>3.0721825190109709E-4</v>
      </c>
      <c r="X142" s="174">
        <f t="shared" si="16"/>
        <v>3.3965090336675964E-4</v>
      </c>
      <c r="Y142" s="188">
        <f t="shared" si="17"/>
        <v>9.9282558116718073E-2</v>
      </c>
      <c r="AA142" s="144">
        <f t="shared" si="18"/>
        <v>0.332810549959</v>
      </c>
      <c r="AB142" s="145">
        <f t="shared" si="19"/>
        <v>3.1448855267188322E-4</v>
      </c>
      <c r="AC142" s="145">
        <f t="shared" si="20"/>
        <v>7.9857320066521875E-5</v>
      </c>
      <c r="AD142" s="145">
        <f t="shared" si="23"/>
        <v>3.3965090336675964E-4</v>
      </c>
      <c r="AE142" s="146">
        <f t="shared" si="21"/>
        <v>7.9471167988673157</v>
      </c>
      <c r="AF142" s="146">
        <f t="shared" si="22"/>
        <v>2.2173459515442931E-5</v>
      </c>
      <c r="AH142" s="183"/>
      <c r="AI142" s="183"/>
      <c r="AJ142" s="183"/>
    </row>
    <row r="143" spans="9:36" x14ac:dyDescent="0.25">
      <c r="I143" s="126">
        <v>3.3613865545800002E-2</v>
      </c>
      <c r="J143" s="50">
        <v>3.7554957522429401E-4</v>
      </c>
      <c r="K143" s="50">
        <v>7.4643511885481075E-5</v>
      </c>
      <c r="L143" s="67">
        <v>1.8730639385093986E-4</v>
      </c>
      <c r="N143" s="18">
        <v>-8.4949915809218502E-7</v>
      </c>
      <c r="O143" s="18">
        <v>1.1696751848081367E-11</v>
      </c>
      <c r="P143" s="18">
        <v>1.6577760803197338E-9</v>
      </c>
      <c r="Q143" s="28">
        <v>3.8340363852379342</v>
      </c>
      <c r="R143" s="61">
        <v>209.32116798867315</v>
      </c>
      <c r="S143" s="58">
        <v>2.2574531340151285E-7</v>
      </c>
      <c r="U143" s="173">
        <v>4.6320518260207203E-4</v>
      </c>
      <c r="V143" s="173">
        <v>1.8730639385093986E-4</v>
      </c>
      <c r="W143" s="173">
        <v>3.5680555238681269E-4</v>
      </c>
      <c r="X143" s="174">
        <f t="shared" si="16"/>
        <v>2.9865588067269112E-4</v>
      </c>
      <c r="Y143" s="188">
        <f t="shared" si="17"/>
        <v>1.0612002115281176</v>
      </c>
      <c r="AA143" s="144">
        <f t="shared" si="18"/>
        <v>0.33613865545800004</v>
      </c>
      <c r="AB143" s="145">
        <f t="shared" si="19"/>
        <v>3.7554957522429401E-4</v>
      </c>
      <c r="AC143" s="145">
        <f t="shared" si="20"/>
        <v>7.4643511885481075E-5</v>
      </c>
      <c r="AD143" s="145">
        <f t="shared" si="23"/>
        <v>2.9865588067269112E-4</v>
      </c>
      <c r="AE143" s="146">
        <f t="shared" si="21"/>
        <v>7.9471167988673157</v>
      </c>
      <c r="AF143" s="146">
        <f t="shared" si="22"/>
        <v>2.2574531340151285E-5</v>
      </c>
      <c r="AH143" s="183"/>
      <c r="AI143" s="183"/>
      <c r="AJ143" s="183"/>
    </row>
    <row r="144" spans="9:36" x14ac:dyDescent="0.25">
      <c r="I144" s="126">
        <v>3.3950004201300003E-2</v>
      </c>
      <c r="J144" s="50">
        <v>3.6964248220884815E-4</v>
      </c>
      <c r="K144" s="50">
        <v>7.3383775359939799E-5</v>
      </c>
      <c r="L144" s="67">
        <v>1.937403252436433E-4</v>
      </c>
      <c r="N144" s="18">
        <v>-8.6408842152770803E-7</v>
      </c>
      <c r="O144" s="30">
        <v>1.3774317973791102E-11</v>
      </c>
      <c r="P144" s="18">
        <v>2.371363135462458E-9</v>
      </c>
      <c r="Q144" s="28">
        <v>3.8340363852379342</v>
      </c>
      <c r="R144" s="61">
        <v>223.42797017048923</v>
      </c>
      <c r="S144" s="58">
        <v>2.2574531340151285E-7</v>
      </c>
      <c r="U144" s="173">
        <v>3.3229147089115145E-4</v>
      </c>
      <c r="V144" s="173">
        <v>1.937403252436433E-4</v>
      </c>
      <c r="W144" s="173">
        <v>4.0617496280603935E-4</v>
      </c>
      <c r="X144" s="174">
        <f t="shared" si="16"/>
        <v>2.8148677104611938E-4</v>
      </c>
      <c r="Y144" s="188">
        <f t="shared" si="17"/>
        <v>1.4431145468432194</v>
      </c>
      <c r="AA144" s="144">
        <f t="shared" si="18"/>
        <v>0.33950004201300005</v>
      </c>
      <c r="AB144" s="145">
        <f t="shared" si="19"/>
        <v>3.6964248220884815E-4</v>
      </c>
      <c r="AC144" s="145">
        <f t="shared" si="20"/>
        <v>7.3383775359939799E-5</v>
      </c>
      <c r="AD144" s="145">
        <f t="shared" si="23"/>
        <v>2.8148677104611938E-4</v>
      </c>
      <c r="AE144" s="146">
        <f t="shared" si="21"/>
        <v>9.3577970170489237</v>
      </c>
      <c r="AF144" s="146">
        <f t="shared" si="22"/>
        <v>2.2574531340151285E-5</v>
      </c>
      <c r="AH144" s="183"/>
      <c r="AI144" s="183"/>
      <c r="AJ144" s="183"/>
    </row>
    <row r="145" spans="9:36" x14ac:dyDescent="0.25">
      <c r="I145" s="126">
        <v>3.4289504243299997E-2</v>
      </c>
      <c r="J145" s="50">
        <v>3.1732122693254173E-4</v>
      </c>
      <c r="K145" s="50">
        <v>6.902372568937714E-5</v>
      </c>
      <c r="L145" s="67">
        <v>2.185507960962772E-4</v>
      </c>
      <c r="N145" s="18">
        <v>-8.8662380902249241E-7</v>
      </c>
      <c r="O145" s="18">
        <v>1.69834421284012E-11</v>
      </c>
      <c r="P145" s="18">
        <v>3.4736093777057952E-9</v>
      </c>
      <c r="Q145" s="28">
        <v>3.8340363852379342</v>
      </c>
      <c r="R145" s="61">
        <v>223.42797017048923</v>
      </c>
      <c r="S145" s="58">
        <v>2.5477204132292728E-7</v>
      </c>
      <c r="U145" s="173">
        <v>2.4200140235375653E-4</v>
      </c>
      <c r="V145" s="173">
        <v>2.185507960962772E-4</v>
      </c>
      <c r="W145" s="173">
        <v>4.5045213347961159E-4</v>
      </c>
      <c r="X145" s="174">
        <f t="shared" si="16"/>
        <v>2.8238878200648063E-4</v>
      </c>
      <c r="Y145" s="188">
        <f t="shared" si="17"/>
        <v>0.25613042557189103</v>
      </c>
      <c r="AA145" s="144">
        <f t="shared" si="18"/>
        <v>0.34289504243299995</v>
      </c>
      <c r="AB145" s="145">
        <f t="shared" si="19"/>
        <v>3.1732122693254173E-4</v>
      </c>
      <c r="AC145" s="145">
        <f t="shared" si="20"/>
        <v>6.902372568937714E-5</v>
      </c>
      <c r="AD145" s="145">
        <f t="shared" si="23"/>
        <v>2.8238878200648063E-4</v>
      </c>
      <c r="AE145" s="146">
        <f t="shared" si="21"/>
        <v>9.3577970170489237</v>
      </c>
      <c r="AF145" s="146">
        <f t="shared" si="22"/>
        <v>2.5477204132292728E-5</v>
      </c>
      <c r="AH145" s="183"/>
      <c r="AI145" s="183"/>
      <c r="AJ145" s="183"/>
    </row>
    <row r="146" spans="9:36" x14ac:dyDescent="0.25">
      <c r="I146" s="126">
        <v>3.46323992857E-2</v>
      </c>
      <c r="J146" s="50">
        <v>3.6565244359667122E-4</v>
      </c>
      <c r="K146" s="50">
        <v>7.167513308541909E-5</v>
      </c>
      <c r="L146" s="67">
        <v>2.5532927234218027E-4</v>
      </c>
      <c r="N146" s="18">
        <v>-9.1874463371133743E-7</v>
      </c>
      <c r="O146" s="18">
        <v>2.1557568683750021E-11</v>
      </c>
      <c r="P146" s="18">
        <v>5.044696554228969E-9</v>
      </c>
      <c r="Q146" s="28">
        <v>3.8340363852379342</v>
      </c>
      <c r="R146" s="61">
        <v>233.93248132707302</v>
      </c>
      <c r="S146" s="58">
        <v>2.5477204132292728E-7</v>
      </c>
      <c r="U146" s="173">
        <v>1.870570141172754E-4</v>
      </c>
      <c r="V146" s="173">
        <v>2.5532927234218027E-4</v>
      </c>
      <c r="W146" s="173">
        <v>4.8580160546715965E-4</v>
      </c>
      <c r="X146" s="174">
        <f t="shared" si="16"/>
        <v>2.9587929106719891E-4</v>
      </c>
      <c r="Y146" s="188">
        <f t="shared" si="17"/>
        <v>0.94763190873174852</v>
      </c>
      <c r="AA146" s="144">
        <f t="shared" si="18"/>
        <v>0.346323992857</v>
      </c>
      <c r="AB146" s="145">
        <f t="shared" si="19"/>
        <v>3.6565244359667122E-4</v>
      </c>
      <c r="AC146" s="145">
        <f t="shared" si="20"/>
        <v>7.167513308541909E-5</v>
      </c>
      <c r="AD146" s="145">
        <f t="shared" si="23"/>
        <v>2.9587929106719891E-4</v>
      </c>
      <c r="AE146" s="146">
        <f t="shared" si="21"/>
        <v>10.408248132707303</v>
      </c>
      <c r="AF146" s="146">
        <f t="shared" si="22"/>
        <v>2.5477204132292728E-5</v>
      </c>
      <c r="AH146" s="183"/>
      <c r="AI146" s="183"/>
      <c r="AJ146" s="183"/>
    </row>
    <row r="147" spans="9:36" x14ac:dyDescent="0.25">
      <c r="I147" s="126">
        <v>3.49787232786E-2</v>
      </c>
      <c r="J147" s="50">
        <v>3.0686609968798019E-4</v>
      </c>
      <c r="K147" s="50">
        <v>6.6461735818198201E-5</v>
      </c>
      <c r="L147" s="67">
        <v>2.9816609343832705E-4</v>
      </c>
      <c r="N147" s="18">
        <v>-9.6190780348885478E-7</v>
      </c>
      <c r="O147" s="18">
        <v>2.7704166817668332E-11</v>
      </c>
      <c r="P147" s="18">
        <v>7.1558846445864529E-9</v>
      </c>
      <c r="Q147" s="28">
        <v>3.8340363852379342</v>
      </c>
      <c r="R147" s="61">
        <v>233.93248132707302</v>
      </c>
      <c r="S147" s="58">
        <v>2.9676356181230197E-7</v>
      </c>
      <c r="U147" s="173">
        <v>1.617967101102719E-4</v>
      </c>
      <c r="V147" s="173">
        <v>2.9816609343832705E-4</v>
      </c>
      <c r="W147" s="173">
        <v>5.0948253351161695E-4</v>
      </c>
      <c r="X147" s="174">
        <f t="shared" si="16"/>
        <v>3.1690285762463573E-4</v>
      </c>
      <c r="Y147" s="188">
        <f t="shared" si="17"/>
        <v>2.2805707012664846E-2</v>
      </c>
      <c r="AA147" s="144">
        <f t="shared" si="18"/>
        <v>0.34978723278599999</v>
      </c>
      <c r="AB147" s="145">
        <f t="shared" si="19"/>
        <v>3.0686609968798019E-4</v>
      </c>
      <c r="AC147" s="145">
        <f t="shared" si="20"/>
        <v>6.6461735818198201E-5</v>
      </c>
      <c r="AD147" s="145">
        <f t="shared" si="23"/>
        <v>3.1690285762463573E-4</v>
      </c>
      <c r="AE147" s="146">
        <f t="shared" si="21"/>
        <v>10.408248132707303</v>
      </c>
      <c r="AF147" s="146">
        <f t="shared" si="22"/>
        <v>2.9676356181230196E-5</v>
      </c>
      <c r="AH147" s="183"/>
      <c r="AI147" s="183"/>
      <c r="AJ147" s="183"/>
    </row>
    <row r="148" spans="9:36" x14ac:dyDescent="0.25">
      <c r="I148" s="126">
        <v>3.5328510511399999E-2</v>
      </c>
      <c r="J148" s="50">
        <v>2.6141076319187434E-4</v>
      </c>
      <c r="K148" s="50">
        <v>6.4393552247985235E-5</v>
      </c>
      <c r="L148" s="67">
        <v>3.4181306561411912E-4</v>
      </c>
      <c r="N148" s="18">
        <v>-1.0169737789286322E-6</v>
      </c>
      <c r="O148" s="18">
        <v>3.5545769360418267E-11</v>
      </c>
      <c r="P148" s="18">
        <v>9.8492603195335224E-9</v>
      </c>
      <c r="Q148" s="28">
        <v>3.8340363852379342</v>
      </c>
      <c r="R148" s="61">
        <v>239.77802030776076</v>
      </c>
      <c r="S148" s="58">
        <v>2.9676356181230197E-7</v>
      </c>
      <c r="U148" s="173">
        <v>1.603697278061165E-4</v>
      </c>
      <c r="V148" s="173">
        <v>3.4181306561411912E-4</v>
      </c>
      <c r="W148" s="173">
        <v>5.1986037254429524E-4</v>
      </c>
      <c r="X148" s="174">
        <f t="shared" si="16"/>
        <v>3.409640578946625E-4</v>
      </c>
      <c r="Y148" s="188">
        <f t="shared" si="17"/>
        <v>1.5262707258032147</v>
      </c>
      <c r="AA148" s="144">
        <f t="shared" si="18"/>
        <v>0.35328510511400002</v>
      </c>
      <c r="AB148" s="145">
        <f t="shared" si="19"/>
        <v>2.6141076319187434E-4</v>
      </c>
      <c r="AC148" s="145">
        <f t="shared" si="20"/>
        <v>6.4393552247985235E-5</v>
      </c>
      <c r="AD148" s="145">
        <f t="shared" si="23"/>
        <v>3.409640578946625E-4</v>
      </c>
      <c r="AE148" s="146">
        <f t="shared" si="21"/>
        <v>10.992802030776076</v>
      </c>
      <c r="AF148" s="146">
        <f t="shared" si="22"/>
        <v>2.9676356181230196E-5</v>
      </c>
      <c r="AH148" s="183"/>
      <c r="AI148" s="183"/>
      <c r="AJ148" s="183"/>
    </row>
    <row r="149" spans="9:36" x14ac:dyDescent="0.25">
      <c r="I149" s="126">
        <v>3.5681795616499999E-2</v>
      </c>
      <c r="J149" s="50">
        <v>3.7374340585080999E-4</v>
      </c>
      <c r="K149" s="50">
        <v>7.3862411621662596E-5</v>
      </c>
      <c r="L149" s="67">
        <v>3.8181592998304443E-4</v>
      </c>
      <c r="N149" s="18">
        <v>-1.0838275516322711E-6</v>
      </c>
      <c r="O149" s="18">
        <v>4.5065998682399729E-11</v>
      </c>
      <c r="P149" s="18">
        <v>1.3119198311921311E-8</v>
      </c>
      <c r="Q149" s="28">
        <v>3.8340363852379342</v>
      </c>
      <c r="R149" s="61">
        <v>239.77802030776076</v>
      </c>
      <c r="S149" s="58">
        <v>3.4427916408919643E-7</v>
      </c>
      <c r="U149" s="173">
        <v>1.7692951028822323E-4</v>
      </c>
      <c r="V149" s="173">
        <v>3.8181592998304443E-4</v>
      </c>
      <c r="W149" s="173">
        <v>5.1637461070599608E-4</v>
      </c>
      <c r="X149" s="174">
        <f t="shared" si="16"/>
        <v>3.6423399524007703E-4</v>
      </c>
      <c r="Y149" s="188">
        <f t="shared" si="17"/>
        <v>1.6575255595366645E-2</v>
      </c>
      <c r="AA149" s="144">
        <f t="shared" si="18"/>
        <v>0.35681795616500001</v>
      </c>
      <c r="AB149" s="145">
        <f t="shared" si="19"/>
        <v>3.7374340585080999E-4</v>
      </c>
      <c r="AC149" s="145">
        <f t="shared" si="20"/>
        <v>7.3862411621662596E-5</v>
      </c>
      <c r="AD149" s="145">
        <f t="shared" si="23"/>
        <v>3.6423399524007703E-4</v>
      </c>
      <c r="AE149" s="146">
        <f t="shared" si="21"/>
        <v>10.992802030776076</v>
      </c>
      <c r="AF149" s="146">
        <f t="shared" si="22"/>
        <v>3.4427916408919643E-5</v>
      </c>
      <c r="AH149" s="183"/>
      <c r="AI149" s="183"/>
      <c r="AJ149" s="183"/>
    </row>
    <row r="150" spans="9:36" x14ac:dyDescent="0.25">
      <c r="I150" s="126">
        <v>3.6038613572599999E-2</v>
      </c>
      <c r="J150" s="50">
        <v>4.1272400716617987E-4</v>
      </c>
      <c r="K150" s="50">
        <v>7.2829593857015988E-5</v>
      </c>
      <c r="L150" s="67">
        <v>4.1461255131248635E-4</v>
      </c>
      <c r="N150" s="18">
        <v>-1.1611300273949691E-6</v>
      </c>
      <c r="O150" s="18">
        <v>5.6074162719457009E-11</v>
      </c>
      <c r="P150" s="18">
        <v>1.6900201121181226E-8</v>
      </c>
      <c r="Q150" s="28">
        <v>3.8340363852379342</v>
      </c>
      <c r="R150" s="61">
        <v>244.06086462767664</v>
      </c>
      <c r="S150" s="58">
        <v>3.4427916408919643E-7</v>
      </c>
      <c r="U150" s="173">
        <v>2.0581963643005134E-4</v>
      </c>
      <c r="V150" s="173">
        <v>4.1461255131248635E-4</v>
      </c>
      <c r="W150" s="173">
        <v>4.9946413690908653E-4</v>
      </c>
      <c r="X150" s="174">
        <f t="shared" si="16"/>
        <v>3.8362721899102761E-4</v>
      </c>
      <c r="Y150" s="188">
        <f t="shared" si="17"/>
        <v>0.15961523022344878</v>
      </c>
      <c r="AA150" s="144">
        <f t="shared" si="18"/>
        <v>0.36038613572599998</v>
      </c>
      <c r="AB150" s="145">
        <f t="shared" si="19"/>
        <v>4.1272400716617987E-4</v>
      </c>
      <c r="AC150" s="145">
        <f t="shared" si="20"/>
        <v>7.2829593857015988E-5</v>
      </c>
      <c r="AD150" s="145">
        <f t="shared" si="23"/>
        <v>3.8362721899102761E-4</v>
      </c>
      <c r="AE150" s="146">
        <f t="shared" si="21"/>
        <v>11.421086462767665</v>
      </c>
      <c r="AF150" s="146">
        <f t="shared" si="22"/>
        <v>3.4427916408919643E-5</v>
      </c>
      <c r="AH150" s="183"/>
      <c r="AI150" s="183"/>
      <c r="AJ150" s="183"/>
    </row>
    <row r="151" spans="9:36" x14ac:dyDescent="0.25">
      <c r="I151" s="126">
        <v>3.63989997084E-2</v>
      </c>
      <c r="J151" s="50">
        <v>3.9674930295082378E-4</v>
      </c>
      <c r="K151" s="50">
        <v>7.4144590743043689E-5</v>
      </c>
      <c r="L151" s="67">
        <v>4.3759378377945958E-4</v>
      </c>
      <c r="N151" s="18">
        <v>-1.2462841967979992E-6</v>
      </c>
      <c r="O151" s="18">
        <v>6.8200437537685449E-11</v>
      </c>
      <c r="P151" s="18">
        <v>2.1065244356296027E-8</v>
      </c>
      <c r="Q151" s="28">
        <v>3.8340363852379342</v>
      </c>
      <c r="R151" s="61">
        <v>244.06086462767664</v>
      </c>
      <c r="S151" s="58">
        <v>3.9442476374924757E-7</v>
      </c>
      <c r="U151" s="173">
        <v>2.4174621479261784E-4</v>
      </c>
      <c r="V151" s="173">
        <v>4.3759378377945958E-4</v>
      </c>
      <c r="W151" s="173">
        <v>4.7045336988226204E-4</v>
      </c>
      <c r="X151" s="174">
        <f t="shared" si="16"/>
        <v>3.9684678805844973E-4</v>
      </c>
      <c r="Y151" s="188">
        <f t="shared" si="17"/>
        <v>1.7286919368029796E-6</v>
      </c>
      <c r="AA151" s="144">
        <f t="shared" si="18"/>
        <v>0.36398999708399998</v>
      </c>
      <c r="AB151" s="145">
        <f t="shared" si="19"/>
        <v>3.9674930295082378E-4</v>
      </c>
      <c r="AC151" s="145">
        <f t="shared" si="20"/>
        <v>7.4144590743043689E-5</v>
      </c>
      <c r="AD151" s="145">
        <f t="shared" si="23"/>
        <v>3.9684678805844973E-4</v>
      </c>
      <c r="AE151" s="146">
        <f t="shared" si="21"/>
        <v>11.421086462767665</v>
      </c>
      <c r="AF151" s="146">
        <f t="shared" si="22"/>
        <v>3.9442476374924756E-5</v>
      </c>
      <c r="AH151" s="183"/>
      <c r="AI151" s="183"/>
      <c r="AJ151" s="183"/>
    </row>
    <row r="152" spans="9:36" x14ac:dyDescent="0.25">
      <c r="I152" s="126">
        <v>3.6762989705399998E-2</v>
      </c>
      <c r="J152" s="50">
        <v>3.8319884292345924E-4</v>
      </c>
      <c r="K152" s="50">
        <v>7.3489414350785576E-5</v>
      </c>
      <c r="L152" s="67">
        <v>4.4912519064949677E-4</v>
      </c>
      <c r="N152" s="18">
        <v>-1.3131443768543003E-6</v>
      </c>
      <c r="O152" s="18">
        <v>7.7721579290846556E-11</v>
      </c>
      <c r="P152" s="18">
        <v>2.4335495743800557E-8</v>
      </c>
      <c r="Q152" s="28">
        <v>1.9170181926189671</v>
      </c>
      <c r="R152" s="61">
        <v>247.54618470361865</v>
      </c>
      <c r="S152" s="58">
        <v>3.9442476374924757E-7</v>
      </c>
      <c r="U152" s="173">
        <v>2.7993108679047251E-4</v>
      </c>
      <c r="V152" s="173">
        <v>4.4912519064949677E-4</v>
      </c>
      <c r="W152" s="173">
        <v>4.3140382195797441E-4</v>
      </c>
      <c r="X152" s="174">
        <f t="shared" si="16"/>
        <v>4.0239632251186011E-4</v>
      </c>
      <c r="Y152" s="188">
        <f t="shared" si="17"/>
        <v>6.8239974542460891E-2</v>
      </c>
      <c r="AA152" s="144">
        <f t="shared" si="18"/>
        <v>0.36762989705399995</v>
      </c>
      <c r="AB152" s="145">
        <f t="shared" si="19"/>
        <v>3.8319884292345924E-4</v>
      </c>
      <c r="AC152" s="145">
        <f t="shared" si="20"/>
        <v>7.3489414350785576E-5</v>
      </c>
      <c r="AD152" s="145">
        <f t="shared" si="23"/>
        <v>4.0239632251186011E-4</v>
      </c>
      <c r="AE152" s="146">
        <f t="shared" si="21"/>
        <v>11.769618470361866</v>
      </c>
      <c r="AF152" s="146">
        <f t="shared" si="22"/>
        <v>3.9442476374924756E-5</v>
      </c>
      <c r="AH152" s="183"/>
      <c r="AI152" s="183"/>
      <c r="AJ152" s="183"/>
    </row>
    <row r="153" spans="9:36" x14ac:dyDescent="0.25">
      <c r="I153" s="126">
        <v>3.7130619602499998E-2</v>
      </c>
      <c r="J153" s="50">
        <v>4.4883442413506995E-4</v>
      </c>
      <c r="K153" s="50">
        <v>8.3090743683192508E-5</v>
      </c>
      <c r="L153" s="67">
        <v>4.4852911059950408E-4</v>
      </c>
      <c r="N153" s="18">
        <v>-1.3619484270911997E-6</v>
      </c>
      <c r="O153" s="18">
        <v>8.467146007254098E-11</v>
      </c>
      <c r="P153" s="18">
        <v>2.6722589420016585E-8</v>
      </c>
      <c r="Q153" s="28">
        <v>2.2485455290849345</v>
      </c>
      <c r="R153" s="61">
        <v>247.54618470361865</v>
      </c>
      <c r="S153" s="58">
        <v>4.4587547192469264E-7</v>
      </c>
      <c r="U153" s="173">
        <v>3.162407972321281E-4</v>
      </c>
      <c r="V153" s="173">
        <v>4.4852911059950408E-4</v>
      </c>
      <c r="W153" s="173">
        <v>3.8493728675221921E-4</v>
      </c>
      <c r="X153" s="174">
        <f t="shared" si="16"/>
        <v>3.9955907629583886E-4</v>
      </c>
      <c r="Y153" s="188">
        <f t="shared" si="17"/>
        <v>0.35168521057827434</v>
      </c>
      <c r="AA153" s="144">
        <f t="shared" si="18"/>
        <v>0.37130619602499998</v>
      </c>
      <c r="AB153" s="145">
        <f t="shared" si="19"/>
        <v>4.4883442413506995E-4</v>
      </c>
      <c r="AC153" s="145">
        <f t="shared" si="20"/>
        <v>8.3090743683192508E-5</v>
      </c>
      <c r="AD153" s="145">
        <f t="shared" si="23"/>
        <v>3.9955907629583886E-4</v>
      </c>
      <c r="AE153" s="146">
        <f t="shared" si="21"/>
        <v>11.769618470361866</v>
      </c>
      <c r="AF153" s="146">
        <f t="shared" si="22"/>
        <v>4.4587547192469265E-5</v>
      </c>
      <c r="AH153" s="183"/>
      <c r="AI153" s="183"/>
      <c r="AJ153" s="183"/>
    </row>
    <row r="154" spans="9:36" x14ac:dyDescent="0.25">
      <c r="I154" s="126">
        <v>3.7501925798500001E-2</v>
      </c>
      <c r="J154" s="50">
        <v>5.1388112077231771E-4</v>
      </c>
      <c r="K154" s="50">
        <v>9.0469824744032661E-5</v>
      </c>
      <c r="L154" s="67">
        <v>4.3602795712460512E-4</v>
      </c>
      <c r="N154" s="18">
        <v>-1.4145307809496485E-6</v>
      </c>
      <c r="O154" s="18">
        <v>9.2159385536989183E-11</v>
      </c>
      <c r="P154" s="18">
        <v>2.9294486706548655E-8</v>
      </c>
      <c r="Q154" s="28">
        <v>2.2869626278446455</v>
      </c>
      <c r="R154" s="61">
        <v>250.55577793912425</v>
      </c>
      <c r="S154" s="58">
        <v>4.4587547192469264E-7</v>
      </c>
      <c r="U154" s="173">
        <v>3.4728705914100974E-4</v>
      </c>
      <c r="V154" s="173">
        <v>4.3602795712460512E-4</v>
      </c>
      <c r="W154" s="173">
        <v>3.3403827385623943E-4</v>
      </c>
      <c r="X154" s="174">
        <f t="shared" si="16"/>
        <v>3.8834531181161484E-4</v>
      </c>
      <c r="Y154" s="188">
        <f t="shared" si="17"/>
        <v>1.9254300834262112</v>
      </c>
      <c r="AA154" s="144">
        <f t="shared" si="18"/>
        <v>0.37501925798500002</v>
      </c>
      <c r="AB154" s="145">
        <f t="shared" si="19"/>
        <v>5.1388112077231771E-4</v>
      </c>
      <c r="AC154" s="145">
        <f t="shared" si="20"/>
        <v>9.0469824744032661E-5</v>
      </c>
      <c r="AD154" s="145">
        <f t="shared" si="23"/>
        <v>3.8834531181161484E-4</v>
      </c>
      <c r="AE154" s="146">
        <f t="shared" si="21"/>
        <v>12.070577793912426</v>
      </c>
      <c r="AF154" s="146">
        <f t="shared" si="22"/>
        <v>4.4587547192469265E-5</v>
      </c>
      <c r="AH154" s="183"/>
      <c r="AI154" s="183"/>
      <c r="AJ154" s="183"/>
    </row>
    <row r="155" spans="9:36" x14ac:dyDescent="0.25">
      <c r="I155" s="126">
        <v>3.7876945056500001E-2</v>
      </c>
      <c r="J155" s="50">
        <v>4.7721008417066468E-4</v>
      </c>
      <c r="K155" s="50">
        <v>8.2359416913294566E-5</v>
      </c>
      <c r="L155" s="67">
        <v>4.1265109027586051E-4</v>
      </c>
      <c r="N155" s="18">
        <v>-1.4671028502314808E-6</v>
      </c>
      <c r="O155" s="18">
        <v>9.9645846438946616E-11</v>
      </c>
      <c r="P155" s="18">
        <v>3.1865880955982683E-8</v>
      </c>
      <c r="Q155" s="28">
        <v>2.367924598289437</v>
      </c>
      <c r="R155" s="61">
        <v>250.55577793912425</v>
      </c>
      <c r="S155" s="58">
        <v>4.979708162188218E-7</v>
      </c>
      <c r="U155" s="173">
        <v>3.7049535342458027E-4</v>
      </c>
      <c r="V155" s="173">
        <v>4.1265109027586051E-4</v>
      </c>
      <c r="W155" s="173">
        <v>2.8184459349933481E-4</v>
      </c>
      <c r="X155" s="174">
        <f t="shared" si="16"/>
        <v>3.6941053186890902E-4</v>
      </c>
      <c r="Y155" s="188">
        <f t="shared" si="17"/>
        <v>1.7131973261731552</v>
      </c>
      <c r="AA155" s="144">
        <f t="shared" si="18"/>
        <v>0.378769450565</v>
      </c>
      <c r="AB155" s="145">
        <f t="shared" si="19"/>
        <v>4.7721008417066468E-4</v>
      </c>
      <c r="AC155" s="145">
        <f t="shared" si="20"/>
        <v>8.2359416913294566E-5</v>
      </c>
      <c r="AD155" s="145">
        <f t="shared" si="23"/>
        <v>3.6941053186890902E-4</v>
      </c>
      <c r="AE155" s="146">
        <f t="shared" si="21"/>
        <v>12.070577793912426</v>
      </c>
      <c r="AF155" s="146">
        <f t="shared" si="22"/>
        <v>4.9797081621882184E-5</v>
      </c>
      <c r="AH155" s="183"/>
      <c r="AI155" s="183"/>
      <c r="AJ155" s="183"/>
    </row>
    <row r="156" spans="9:36" x14ac:dyDescent="0.25">
      <c r="I156" s="126">
        <v>3.8255714507099997E-2</v>
      </c>
      <c r="J156" s="50">
        <v>4.6947671863480458E-4</v>
      </c>
      <c r="K156" s="50">
        <v>7.5500229163859715E-5</v>
      </c>
      <c r="L156" s="67">
        <v>3.8010908225801822E-4</v>
      </c>
      <c r="N156" s="18">
        <v>-1.5196303500406707E-6</v>
      </c>
      <c r="O156" s="18">
        <v>1.0712596047993935E-10</v>
      </c>
      <c r="P156" s="18">
        <v>3.4435095232529613E-8</v>
      </c>
      <c r="Q156" s="28">
        <v>2.5008745109309234</v>
      </c>
      <c r="R156" s="61">
        <v>253.25942496289036</v>
      </c>
      <c r="S156" s="58">
        <v>4.979708162188218E-7</v>
      </c>
      <c r="U156" s="173">
        <v>3.8413934627808984E-4</v>
      </c>
      <c r="V156" s="173">
        <v>3.8010908225801822E-4</v>
      </c>
      <c r="W156" s="173">
        <v>2.314360361368351E-4</v>
      </c>
      <c r="X156" s="174">
        <f t="shared" si="16"/>
        <v>3.4394838673274035E-4</v>
      </c>
      <c r="Y156" s="188">
        <f t="shared" si="17"/>
        <v>2.7643114695752757</v>
      </c>
      <c r="AA156" s="144">
        <f t="shared" si="18"/>
        <v>0.38255714507099997</v>
      </c>
      <c r="AB156" s="145">
        <f t="shared" si="19"/>
        <v>4.6947671863480458E-4</v>
      </c>
      <c r="AC156" s="145">
        <f t="shared" si="20"/>
        <v>7.5500229163859715E-5</v>
      </c>
      <c r="AD156" s="145">
        <f t="shared" si="23"/>
        <v>3.4394838673274035E-4</v>
      </c>
      <c r="AE156" s="146">
        <f t="shared" si="21"/>
        <v>12.340942496289037</v>
      </c>
      <c r="AF156" s="146">
        <f t="shared" si="22"/>
        <v>4.9797081621882184E-5</v>
      </c>
      <c r="AH156" s="183"/>
      <c r="AI156" s="183"/>
      <c r="AJ156" s="183"/>
    </row>
    <row r="157" spans="9:36" x14ac:dyDescent="0.25">
      <c r="I157" s="126">
        <v>3.8638271652100001E-2</v>
      </c>
      <c r="J157" s="50">
        <v>3.9101599045468212E-4</v>
      </c>
      <c r="K157" s="50">
        <v>8.1288646801045054E-5</v>
      </c>
      <c r="L157" s="67">
        <v>3.4064067124650274E-4</v>
      </c>
      <c r="N157" s="18">
        <v>-1.5720291837811783E-6</v>
      </c>
      <c r="O157" s="18">
        <v>1.1458775198758391E-10</v>
      </c>
      <c r="P157" s="18">
        <v>3.6998016220765344E-8</v>
      </c>
      <c r="Q157" s="28">
        <v>2.7036470237661123</v>
      </c>
      <c r="R157" s="61">
        <v>253.25942496289036</v>
      </c>
      <c r="S157" s="58">
        <v>5.5036964995932937E-7</v>
      </c>
      <c r="U157" s="173">
        <v>3.8733996791374508E-4</v>
      </c>
      <c r="V157" s="173">
        <v>3.4064067124650274E-4</v>
      </c>
      <c r="W157" s="173">
        <v>1.8563179315075524E-4</v>
      </c>
      <c r="X157" s="174">
        <f t="shared" si="16"/>
        <v>3.1356327588937644E-4</v>
      </c>
      <c r="Y157" s="188">
        <f t="shared" si="17"/>
        <v>0.9078487482284906</v>
      </c>
      <c r="AA157" s="144">
        <f t="shared" si="18"/>
        <v>0.38638271652099998</v>
      </c>
      <c r="AB157" s="145">
        <f t="shared" si="19"/>
        <v>3.9101599045468212E-4</v>
      </c>
      <c r="AC157" s="145">
        <f t="shared" si="20"/>
        <v>8.1288646801045054E-5</v>
      </c>
      <c r="AD157" s="145">
        <f t="shared" si="23"/>
        <v>3.1356327588937644E-4</v>
      </c>
      <c r="AE157" s="146">
        <f t="shared" si="21"/>
        <v>12.340942496289037</v>
      </c>
      <c r="AF157" s="146">
        <f t="shared" si="22"/>
        <v>5.503696499593294E-5</v>
      </c>
      <c r="AH157" s="183"/>
      <c r="AI157" s="183"/>
      <c r="AJ157" s="183"/>
    </row>
    <row r="158" spans="9:36" x14ac:dyDescent="0.25">
      <c r="I158" s="126">
        <v>3.90246543687E-2</v>
      </c>
      <c r="J158" s="50">
        <v>4.2537562980111314E-4</v>
      </c>
      <c r="K158" s="50">
        <v>7.3486751432630699E-5</v>
      </c>
      <c r="L158" s="67">
        <v>2.9683910618364496E-4</v>
      </c>
      <c r="N158" s="18">
        <v>-1.6241245280753075E-6</v>
      </c>
      <c r="O158" s="18">
        <v>1.220063254536808E-10</v>
      </c>
      <c r="P158" s="18">
        <v>3.9546092995565262E-8</v>
      </c>
      <c r="Q158" s="28">
        <v>3.0095932355056063</v>
      </c>
      <c r="R158" s="61">
        <v>255.76029947382128</v>
      </c>
      <c r="S158" s="58">
        <v>5.5036964995932937E-7</v>
      </c>
      <c r="U158" s="173">
        <v>3.8002925816736107E-4</v>
      </c>
      <c r="V158" s="173">
        <v>2.9683910618364496E-4</v>
      </c>
      <c r="W158" s="173">
        <v>1.4680752083859536E-4</v>
      </c>
      <c r="X158" s="174">
        <f t="shared" si="16"/>
        <v>2.8012874784331162E-4</v>
      </c>
      <c r="Y158" s="188">
        <f t="shared" si="17"/>
        <v>3.906569342494504</v>
      </c>
      <c r="AA158" s="144">
        <f t="shared" si="18"/>
        <v>0.39024654368700001</v>
      </c>
      <c r="AB158" s="145">
        <f t="shared" si="19"/>
        <v>4.2537562980111314E-4</v>
      </c>
      <c r="AC158" s="145">
        <f t="shared" si="20"/>
        <v>7.3486751432630699E-5</v>
      </c>
      <c r="AD158" s="145">
        <f t="shared" si="23"/>
        <v>2.8012874784331162E-4</v>
      </c>
      <c r="AE158" s="146">
        <f t="shared" si="21"/>
        <v>12.591029947382129</v>
      </c>
      <c r="AF158" s="146">
        <f t="shared" si="22"/>
        <v>5.503696499593294E-5</v>
      </c>
      <c r="AH158" s="183"/>
      <c r="AI158" s="183"/>
      <c r="AJ158" s="183"/>
    </row>
    <row r="159" spans="9:36" x14ac:dyDescent="0.25">
      <c r="I159" s="126">
        <v>3.9414900912399999E-2</v>
      </c>
      <c r="J159" s="50">
        <v>4.069632139504049E-4</v>
      </c>
      <c r="K159" s="50">
        <v>7.4605951541888653E-5</v>
      </c>
      <c r="L159" s="67">
        <v>2.5146585917065463E-4</v>
      </c>
      <c r="N159" s="18">
        <v>-1.6755752362507525E-6</v>
      </c>
      <c r="O159" s="18">
        <v>1.2933310030571428E-10</v>
      </c>
      <c r="P159" s="18">
        <v>4.2062639460997382E-8</v>
      </c>
      <c r="Q159" s="28">
        <v>3.4853200759420058</v>
      </c>
      <c r="R159" s="61">
        <v>255.76029947382128</v>
      </c>
      <c r="S159" s="58">
        <v>6.0289714976851925E-7</v>
      </c>
      <c r="U159" s="173">
        <v>3.6288042888695015E-4</v>
      </c>
      <c r="V159" s="173">
        <v>2.5146585917065463E-4</v>
      </c>
      <c r="W159" s="173">
        <v>1.1674265634632495E-4</v>
      </c>
      <c r="X159" s="174">
        <f t="shared" si="16"/>
        <v>2.4563870089364608E-4</v>
      </c>
      <c r="Y159" s="188">
        <f t="shared" si="17"/>
        <v>4.6757768685108116</v>
      </c>
      <c r="AA159" s="144">
        <f t="shared" si="18"/>
        <v>0.39414900912399997</v>
      </c>
      <c r="AB159" s="145">
        <f t="shared" si="19"/>
        <v>4.069632139504049E-4</v>
      </c>
      <c r="AC159" s="145">
        <f t="shared" si="20"/>
        <v>7.4605951541888653E-5</v>
      </c>
      <c r="AD159" s="145">
        <f t="shared" si="23"/>
        <v>2.4563870089364608E-4</v>
      </c>
      <c r="AE159" s="146">
        <f t="shared" si="21"/>
        <v>12.591029947382129</v>
      </c>
      <c r="AF159" s="146">
        <f t="shared" si="22"/>
        <v>6.0289714976851925E-5</v>
      </c>
      <c r="AH159" s="183"/>
      <c r="AI159" s="183"/>
      <c r="AJ159" s="183"/>
    </row>
    <row r="160" spans="9:36" x14ac:dyDescent="0.25">
      <c r="I160" s="126">
        <v>3.98090499215E-2</v>
      </c>
      <c r="J160" s="50">
        <v>3.7026733186048763E-4</v>
      </c>
      <c r="K160" s="50">
        <v>7.1434405760922428E-5</v>
      </c>
      <c r="L160" s="70">
        <v>2.072607341625223E-4</v>
      </c>
      <c r="M160" s="32"/>
      <c r="N160" s="18">
        <v>-1.7257208359108037E-6</v>
      </c>
      <c r="O160" s="18">
        <v>1.364740227839154E-10</v>
      </c>
      <c r="P160" s="18">
        <v>4.4515350726917373E-8</v>
      </c>
      <c r="Q160" s="28">
        <v>4.2828443199158688</v>
      </c>
      <c r="R160" s="61">
        <v>258.1282240721107</v>
      </c>
      <c r="S160" s="58">
        <v>6.0289714976851925E-7</v>
      </c>
      <c r="U160" s="173">
        <v>3.3720699127430862E-4</v>
      </c>
      <c r="V160" s="173">
        <v>2.072607341625223E-4</v>
      </c>
      <c r="W160" s="173">
        <v>9.6507662817049445E-5</v>
      </c>
      <c r="X160" s="174">
        <f t="shared" si="16"/>
        <v>2.1205903060410067E-4</v>
      </c>
      <c r="Y160" s="188">
        <f t="shared" si="17"/>
        <v>4.9050525224302115</v>
      </c>
      <c r="AA160" s="144">
        <f t="shared" si="18"/>
        <v>0.398090499215</v>
      </c>
      <c r="AB160" s="145">
        <f t="shared" si="19"/>
        <v>3.7026733186048763E-4</v>
      </c>
      <c r="AC160" s="145">
        <f t="shared" si="20"/>
        <v>7.1434405760922428E-5</v>
      </c>
      <c r="AD160" s="145">
        <f t="shared" si="23"/>
        <v>2.1205903060410067E-4</v>
      </c>
      <c r="AE160" s="146">
        <f t="shared" si="21"/>
        <v>12.82782240721107</v>
      </c>
      <c r="AF160" s="146">
        <f t="shared" si="22"/>
        <v>6.0289714976851925E-5</v>
      </c>
      <c r="AH160" s="183"/>
      <c r="AI160" s="183"/>
      <c r="AJ160" s="183"/>
    </row>
    <row r="161" spans="1:36" x14ac:dyDescent="0.25">
      <c r="I161" s="126">
        <v>4.0207140420699998E-2</v>
      </c>
      <c r="J161" s="50">
        <v>2.6602329105554034E-4</v>
      </c>
      <c r="K161" s="50">
        <v>6.4708192495357129E-5</v>
      </c>
      <c r="L161" s="70">
        <v>1.6675813535362526E-4</v>
      </c>
      <c r="M161" s="32"/>
      <c r="N161" s="18">
        <v>-1.7732364381876981E-6</v>
      </c>
      <c r="O161" s="18">
        <v>1.4324042371768765E-10</v>
      </c>
      <c r="P161" s="18">
        <v>4.6839424101282796E-8</v>
      </c>
      <c r="Q161" s="28">
        <v>5.8455389806877252</v>
      </c>
      <c r="R161" s="61">
        <v>258.1282240721107</v>
      </c>
      <c r="S161" s="58">
        <v>6.5546921905035161E-7</v>
      </c>
      <c r="U161" s="173">
        <v>3.0483520931226234E-4</v>
      </c>
      <c r="V161" s="173">
        <v>1.6675813535362526E-4</v>
      </c>
      <c r="W161" s="173">
        <v>8.639925634373191E-5</v>
      </c>
      <c r="X161" s="174">
        <f t="shared" si="16"/>
        <v>1.811876840908112E-4</v>
      </c>
      <c r="Y161" s="188">
        <f t="shared" si="17"/>
        <v>1.7188493143376011</v>
      </c>
      <c r="AA161" s="144">
        <f t="shared" si="18"/>
        <v>0.40207140420699999</v>
      </c>
      <c r="AB161" s="145">
        <f t="shared" si="19"/>
        <v>2.6602329105554034E-4</v>
      </c>
      <c r="AC161" s="145">
        <f t="shared" si="20"/>
        <v>6.4708192495357129E-5</v>
      </c>
      <c r="AD161" s="145">
        <f t="shared" si="23"/>
        <v>1.811876840908112E-4</v>
      </c>
      <c r="AE161" s="146">
        <f t="shared" si="21"/>
        <v>12.82782240721107</v>
      </c>
      <c r="AF161" s="146">
        <f t="shared" si="22"/>
        <v>6.5546921905035166E-5</v>
      </c>
      <c r="AH161" s="183"/>
      <c r="AI161" s="183"/>
      <c r="AJ161" s="183"/>
    </row>
    <row r="162" spans="1:36" x14ac:dyDescent="0.25">
      <c r="I162" s="126">
        <v>4.0609211824900002E-2</v>
      </c>
      <c r="J162" s="50">
        <v>3.2309446708807309E-4</v>
      </c>
      <c r="K162" s="50">
        <v>6.9461374839816837E-5</v>
      </c>
      <c r="L162" s="70">
        <v>1.3211957069956314E-4</v>
      </c>
      <c r="M162" s="32"/>
      <c r="N162" s="18">
        <v>-1.8152279586770728E-6</v>
      </c>
      <c r="O162" s="18">
        <v>1.4922017457497579E-10</v>
      </c>
      <c r="P162" s="18">
        <v>4.8893304722426312E-8</v>
      </c>
      <c r="Q162" s="28">
        <v>10.504511156583797</v>
      </c>
      <c r="R162" s="61">
        <v>260.41518669995537</v>
      </c>
      <c r="S162" s="58">
        <v>6.5546921905035161E-7</v>
      </c>
      <c r="U162" s="173">
        <v>2.6795551500205614E-4</v>
      </c>
      <c r="V162" s="175">
        <v>1.3211957069956314E-4</v>
      </c>
      <c r="W162" s="173">
        <v>8.5929333607263081E-5</v>
      </c>
      <c r="X162" s="174">
        <f t="shared" si="16"/>
        <v>1.545309975021114E-4</v>
      </c>
      <c r="Y162" s="188">
        <f t="shared" si="17"/>
        <v>5.8889812801739181</v>
      </c>
      <c r="AA162" s="144">
        <f t="shared" si="18"/>
        <v>0.40609211824900004</v>
      </c>
      <c r="AB162" s="145">
        <f t="shared" si="19"/>
        <v>3.2309446708807309E-4</v>
      </c>
      <c r="AC162" s="145">
        <f t="shared" si="20"/>
        <v>6.9461374839816837E-5</v>
      </c>
      <c r="AD162" s="145">
        <f t="shared" si="23"/>
        <v>1.545309975021114E-4</v>
      </c>
      <c r="AE162" s="146">
        <f t="shared" si="21"/>
        <v>13.056518669995537</v>
      </c>
      <c r="AF162" s="146">
        <f t="shared" si="22"/>
        <v>6.5546921905035166E-5</v>
      </c>
      <c r="AH162" s="183"/>
      <c r="AI162" s="183"/>
      <c r="AJ162" s="183"/>
    </row>
    <row r="163" spans="1:36" x14ac:dyDescent="0.25">
      <c r="I163" s="126">
        <v>4.1015303943099997E-2</v>
      </c>
      <c r="J163" s="50">
        <v>2.6880911255692554E-4</v>
      </c>
      <c r="K163" s="50">
        <v>6.6738602841714736E-5</v>
      </c>
      <c r="L163" s="70">
        <v>1.0499225845571909E-4</v>
      </c>
      <c r="M163" s="32"/>
      <c r="N163" s="18">
        <v>-1.8442546866016922E-6</v>
      </c>
      <c r="O163" s="18">
        <v>1.5335369008345044E-10</v>
      </c>
      <c r="P163" s="18">
        <v>5.0313054073694817E-8</v>
      </c>
      <c r="Q163" s="28">
        <v>14.106802181816089</v>
      </c>
      <c r="R163" s="61">
        <v>260.41518669995537</v>
      </c>
      <c r="S163" s="58">
        <v>7.0805157290880042E-7</v>
      </c>
      <c r="U163" s="173">
        <v>2.2895978909603365E-4</v>
      </c>
      <c r="V163" s="175">
        <v>1.0499225845571909E-4</v>
      </c>
      <c r="W163" s="173">
        <v>9.3870321947071386E-5</v>
      </c>
      <c r="X163" s="174">
        <f t="shared" si="16"/>
        <v>1.3320365698863581E-4</v>
      </c>
      <c r="Y163" s="188">
        <f t="shared" si="17"/>
        <v>4.1285742831685432</v>
      </c>
      <c r="AA163" s="144">
        <f t="shared" si="18"/>
        <v>0.41015303943099995</v>
      </c>
      <c r="AB163" s="145">
        <f t="shared" si="19"/>
        <v>2.6880911255692554E-4</v>
      </c>
      <c r="AC163" s="145">
        <f t="shared" si="20"/>
        <v>6.6738602841714736E-5</v>
      </c>
      <c r="AD163" s="145">
        <f t="shared" si="23"/>
        <v>1.3320365698863581E-4</v>
      </c>
      <c r="AE163" s="146">
        <f t="shared" si="21"/>
        <v>13.056518669995537</v>
      </c>
      <c r="AF163" s="146">
        <f t="shared" si="22"/>
        <v>7.0805157290880038E-5</v>
      </c>
      <c r="AH163" s="183"/>
      <c r="AI163" s="183"/>
      <c r="AJ163" s="183"/>
    </row>
    <row r="164" spans="1:36" x14ac:dyDescent="0.25">
      <c r="I164" s="126">
        <v>4.1425456982600001E-2</v>
      </c>
      <c r="J164" s="50">
        <v>1.5602464001023396E-4</v>
      </c>
      <c r="K164" s="50">
        <v>6.5332636130877104E-5</v>
      </c>
      <c r="L164" s="70">
        <v>8.6402894688213574E-5</v>
      </c>
      <c r="M164" s="32"/>
      <c r="N164" s="18">
        <v>-1.8482654051749158E-6</v>
      </c>
      <c r="O164" s="18">
        <v>1.5392483147263045E-10</v>
      </c>
      <c r="P164" s="18">
        <v>5.0509225501720453E-8</v>
      </c>
      <c r="Q164" s="28">
        <v>37.567762748639751</v>
      </c>
      <c r="R164" s="61">
        <v>262.66373222904031</v>
      </c>
      <c r="S164" s="58">
        <v>7.0805157290880042E-7</v>
      </c>
      <c r="U164" s="173">
        <v>1.9027249020675633E-4</v>
      </c>
      <c r="V164" s="175">
        <v>8.6402894688213574E-5</v>
      </c>
      <c r="W164" s="173">
        <v>1.0835612228899599E-4</v>
      </c>
      <c r="X164" s="174">
        <f t="shared" si="16"/>
        <v>1.1785860046804487E-4</v>
      </c>
      <c r="Y164" s="188">
        <f t="shared" si="17"/>
        <v>0.34126663305616955</v>
      </c>
      <c r="AA164" s="144">
        <f t="shared" si="18"/>
        <v>0.41425456982600001</v>
      </c>
      <c r="AB164" s="145">
        <f t="shared" si="19"/>
        <v>1.5602464001023396E-4</v>
      </c>
      <c r="AC164" s="145">
        <f t="shared" si="20"/>
        <v>6.5332636130877104E-5</v>
      </c>
      <c r="AD164" s="145">
        <f t="shared" si="23"/>
        <v>1.1785860046804487E-4</v>
      </c>
      <c r="AE164" s="146">
        <f t="shared" si="21"/>
        <v>13.281373222904032</v>
      </c>
      <c r="AF164" s="146">
        <f t="shared" si="22"/>
        <v>7.0805157290880038E-5</v>
      </c>
      <c r="AH164" s="183"/>
      <c r="AI164" s="183"/>
      <c r="AJ164" s="183"/>
    </row>
    <row r="165" spans="1:36" x14ac:dyDescent="0.25">
      <c r="I165" s="126">
        <v>4.1839711552400002E-2</v>
      </c>
      <c r="J165" s="50">
        <v>2.7328961779758991E-4</v>
      </c>
      <c r="K165" s="50">
        <v>5.9464438970143809E-5</v>
      </c>
      <c r="L165" s="70">
        <v>7.6694174885321388E-5</v>
      </c>
      <c r="M165" s="32"/>
      <c r="N165" s="18">
        <v>-1.8442547078143383E-6</v>
      </c>
      <c r="O165" s="18">
        <v>1.5335368928192778E-10</v>
      </c>
      <c r="P165" s="18">
        <v>5.0313054163511696E-8</v>
      </c>
      <c r="Q165" s="28">
        <v>14.106802181816089</v>
      </c>
      <c r="R165" s="61">
        <v>262.66373222904031</v>
      </c>
      <c r="S165" s="58">
        <v>7.568556231456998E-7</v>
      </c>
      <c r="U165" s="173">
        <v>1.5418441242258019E-4</v>
      </c>
      <c r="V165" s="175">
        <v>7.6694174885321388E-5</v>
      </c>
      <c r="W165" s="173">
        <v>1.2703389007453806E-4</v>
      </c>
      <c r="X165" s="174">
        <f t="shared" si="16"/>
        <v>1.0865166306694025E-4</v>
      </c>
      <c r="Y165" s="188">
        <f t="shared" si="17"/>
        <v>7.6655844579759727</v>
      </c>
      <c r="AA165" s="144">
        <f t="shared" si="18"/>
        <v>0.41839711552400005</v>
      </c>
      <c r="AB165" s="145">
        <f t="shared" si="19"/>
        <v>2.7328961779758991E-4</v>
      </c>
      <c r="AC165" s="145">
        <f t="shared" si="20"/>
        <v>5.9464438970143809E-5</v>
      </c>
      <c r="AD165" s="145">
        <f t="shared" si="23"/>
        <v>1.0865166306694025E-4</v>
      </c>
      <c r="AE165" s="146">
        <f t="shared" si="21"/>
        <v>13.281373222904032</v>
      </c>
      <c r="AF165" s="146">
        <f t="shared" si="22"/>
        <v>7.568556231456998E-5</v>
      </c>
      <c r="AH165" s="183"/>
      <c r="AI165" s="183"/>
      <c r="AJ165" s="183"/>
    </row>
    <row r="166" spans="1:36" x14ac:dyDescent="0.25">
      <c r="I166" s="126">
        <v>4.2258108667900002E-2</v>
      </c>
      <c r="J166" s="50">
        <v>2.9575074956998747E-4</v>
      </c>
      <c r="K166" s="50">
        <v>6.6799128619553696E-5</v>
      </c>
      <c r="L166" s="70">
        <v>7.5509533129440752E-5</v>
      </c>
      <c r="M166" s="32"/>
      <c r="N166" s="18">
        <v>-1.8152280936972266E-6</v>
      </c>
      <c r="O166" s="18">
        <v>1.4922017033996072E-10</v>
      </c>
      <c r="P166" s="18">
        <v>4.8893305509025086E-8</v>
      </c>
      <c r="Q166" s="28">
        <v>10.504511156583797</v>
      </c>
      <c r="R166" s="61">
        <v>264.58075042165927</v>
      </c>
      <c r="S166" s="58">
        <v>7.568556231456998E-7</v>
      </c>
      <c r="U166" s="173">
        <v>1.2269826823774088E-4</v>
      </c>
      <c r="V166" s="175">
        <v>7.5509533129440752E-5</v>
      </c>
      <c r="W166" s="173">
        <v>1.4725784825787318E-4</v>
      </c>
      <c r="X166" s="174">
        <f t="shared" si="16"/>
        <v>1.0524379568862388E-4</v>
      </c>
      <c r="Y166" s="188">
        <f t="shared" si="17"/>
        <v>8.1335486996808104</v>
      </c>
      <c r="AA166" s="144">
        <f t="shared" si="18"/>
        <v>0.42258108667900002</v>
      </c>
      <c r="AB166" s="145">
        <f t="shared" si="19"/>
        <v>2.9575074956998747E-4</v>
      </c>
      <c r="AC166" s="145">
        <f t="shared" si="20"/>
        <v>6.6799128619553696E-5</v>
      </c>
      <c r="AD166" s="145">
        <f t="shared" si="23"/>
        <v>1.0524379568862388E-4</v>
      </c>
      <c r="AE166" s="146">
        <f t="shared" si="21"/>
        <v>13.473075042165927</v>
      </c>
      <c r="AF166" s="146">
        <f t="shared" si="22"/>
        <v>7.568556231456998E-5</v>
      </c>
      <c r="AH166" s="183"/>
      <c r="AI166" s="183"/>
      <c r="AJ166" s="183"/>
    </row>
    <row r="167" spans="1:36" x14ac:dyDescent="0.25">
      <c r="I167" s="126">
        <v>4.2680689754600001E-2</v>
      </c>
      <c r="J167" s="50">
        <v>2.4293543431119536E-4</v>
      </c>
      <c r="K167" s="50">
        <v>6.4985426043064897E-5</v>
      </c>
      <c r="L167" s="70">
        <v>8.1828813064822477E-5</v>
      </c>
      <c r="M167" s="32"/>
      <c r="N167" s="18">
        <v>-1.7732368847983514E-6</v>
      </c>
      <c r="O167" s="18">
        <v>1.4324041351306259E-10</v>
      </c>
      <c r="P167" s="18">
        <v>4.6839427646259504E-8</v>
      </c>
      <c r="Q167" s="28">
        <v>5.8455389806877252</v>
      </c>
      <c r="R167" s="61">
        <v>264.58075042165927</v>
      </c>
      <c r="S167" s="58">
        <v>8.2371580320200136E-7</v>
      </c>
      <c r="U167" s="173">
        <v>9.7395236780249838E-5</v>
      </c>
      <c r="V167" s="175">
        <v>8.1828813064822477E-5</v>
      </c>
      <c r="W167" s="173">
        <v>1.6631245499384143E-4</v>
      </c>
      <c r="X167" s="174">
        <f t="shared" si="16"/>
        <v>1.0684132947593406E-4</v>
      </c>
      <c r="Y167" s="188">
        <f t="shared" si="17"/>
        <v>4.3857784138025204</v>
      </c>
      <c r="AA167" s="144">
        <f t="shared" si="18"/>
        <v>0.42680689754599999</v>
      </c>
      <c r="AB167" s="145">
        <f t="shared" si="19"/>
        <v>2.4293543431119536E-4</v>
      </c>
      <c r="AC167" s="145">
        <f t="shared" si="20"/>
        <v>6.4985426043064897E-5</v>
      </c>
      <c r="AD167" s="145">
        <f t="shared" si="23"/>
        <v>1.0684132947593406E-4</v>
      </c>
      <c r="AE167" s="146">
        <f t="shared" si="21"/>
        <v>13.473075042165927</v>
      </c>
      <c r="AF167" s="146">
        <f t="shared" si="22"/>
        <v>8.2371580320200139E-5</v>
      </c>
      <c r="AH167" s="183"/>
      <c r="AI167" s="183"/>
      <c r="AJ167" s="183"/>
    </row>
    <row r="168" spans="1:36" x14ac:dyDescent="0.25">
      <c r="I168" s="126">
        <v>4.3107496652199997E-2</v>
      </c>
      <c r="J168" s="50">
        <v>1.7811772056161332E-4</v>
      </c>
      <c r="K168" s="50">
        <v>5.1402087769068523E-5</v>
      </c>
      <c r="L168" s="70">
        <v>9.4054322165877151E-5</v>
      </c>
      <c r="M168" s="32"/>
      <c r="N168" s="18">
        <v>-1.7257217721544938E-6</v>
      </c>
      <c r="O168" s="18">
        <v>1.3647400952128809E-10</v>
      </c>
      <c r="P168" s="18">
        <v>4.4515360174098981E-8</v>
      </c>
      <c r="Q168" s="28">
        <v>4.2828443199158688</v>
      </c>
      <c r="R168" s="61">
        <v>268.41478680689721</v>
      </c>
      <c r="S168" s="58">
        <v>8.2371580320200136E-7</v>
      </c>
      <c r="U168" s="173">
        <v>7.9331005929739735E-5</v>
      </c>
      <c r="V168" s="175">
        <v>9.4054322165877151E-5</v>
      </c>
      <c r="W168" s="173">
        <v>1.8164890401067604E-4</v>
      </c>
      <c r="X168" s="174">
        <f t="shared" si="16"/>
        <v>1.1227213856804252E-4</v>
      </c>
      <c r="Y168" s="188">
        <f t="shared" si="17"/>
        <v>1.640936455802563</v>
      </c>
      <c r="AA168" s="144">
        <f t="shared" si="18"/>
        <v>0.43107496652199995</v>
      </c>
      <c r="AB168" s="145">
        <f t="shared" si="19"/>
        <v>1.7811772056161332E-4</v>
      </c>
      <c r="AC168" s="145">
        <f t="shared" si="20"/>
        <v>5.1402087769068523E-5</v>
      </c>
      <c r="AD168" s="145">
        <f t="shared" si="23"/>
        <v>1.1227213856804252E-4</v>
      </c>
      <c r="AE168" s="146">
        <f t="shared" si="21"/>
        <v>13.856478680689722</v>
      </c>
      <c r="AF168" s="146">
        <f t="shared" si="22"/>
        <v>8.2371580320200139E-5</v>
      </c>
      <c r="AH168" s="183"/>
      <c r="AI168" s="183"/>
      <c r="AJ168" s="183"/>
    </row>
    <row r="169" spans="1:36" x14ac:dyDescent="0.25">
      <c r="I169" s="126">
        <v>4.3538571618699999E-2</v>
      </c>
      <c r="J169" s="50">
        <v>2.2102212813567018E-4</v>
      </c>
      <c r="K169" s="50">
        <v>6.1864415214553267E-5</v>
      </c>
      <c r="L169" s="70">
        <v>1.1014311764661138E-4</v>
      </c>
      <c r="M169" s="32"/>
      <c r="N169" s="18">
        <v>-1.6755768884852221E-6</v>
      </c>
      <c r="O169" s="18">
        <v>1.2933309049210088E-10</v>
      </c>
      <c r="P169" s="18">
        <v>4.2062659502916453E-8</v>
      </c>
      <c r="Q169" s="28">
        <v>3.4853200759420058</v>
      </c>
      <c r="R169" s="61">
        <v>268.41478680689721</v>
      </c>
      <c r="S169" s="58">
        <v>9.0886997260503141E-7</v>
      </c>
      <c r="U169" s="173">
        <v>6.8968620051368005E-5</v>
      </c>
      <c r="V169" s="175">
        <v>1.1014311764661138E-4</v>
      </c>
      <c r="W169" s="173">
        <v>1.9111648038890307E-4</v>
      </c>
      <c r="X169" s="174">
        <f t="shared" si="16"/>
        <v>1.2009283393337348E-4</v>
      </c>
      <c r="Y169" s="188">
        <f t="shared" si="17"/>
        <v>2.6616604318186896</v>
      </c>
      <c r="AA169" s="144">
        <f t="shared" si="18"/>
        <v>0.435385716187</v>
      </c>
      <c r="AB169" s="145">
        <f t="shared" si="19"/>
        <v>2.2102212813567018E-4</v>
      </c>
      <c r="AC169" s="145">
        <f t="shared" si="20"/>
        <v>6.1864415214553267E-5</v>
      </c>
      <c r="AD169" s="145">
        <f t="shared" si="23"/>
        <v>1.2009283393337348E-4</v>
      </c>
      <c r="AE169" s="146">
        <f t="shared" si="21"/>
        <v>13.856478680689722</v>
      </c>
      <c r="AF169" s="146">
        <f t="shared" si="22"/>
        <v>9.0886997260503137E-5</v>
      </c>
      <c r="AH169" s="183"/>
      <c r="AI169" s="183"/>
      <c r="AJ169" s="183"/>
    </row>
    <row r="170" spans="1:36" x14ac:dyDescent="0.25">
      <c r="I170" s="126">
        <v>4.3973957334899998E-2</v>
      </c>
      <c r="J170" s="50">
        <v>2.5757006127970379E-4</v>
      </c>
      <c r="K170" s="50">
        <v>6.2793979492464425E-5</v>
      </c>
      <c r="L170" s="70">
        <v>1.2777766245442425E-4</v>
      </c>
      <c r="M170" s="32"/>
      <c r="N170" s="18">
        <v>-1.6241271825699299E-6</v>
      </c>
      <c r="O170" s="18">
        <v>1.2200632982878896E-10</v>
      </c>
      <c r="P170" s="18">
        <v>3.9546130189218846E-8</v>
      </c>
      <c r="Q170" s="28">
        <v>3.0095932355056063</v>
      </c>
      <c r="R170" s="61">
        <v>272.24882319213515</v>
      </c>
      <c r="S170" s="58">
        <v>9.0886997260503141E-7</v>
      </c>
      <c r="U170" s="173">
        <v>6.6153608838346968E-5</v>
      </c>
      <c r="V170" s="175">
        <v>1.2777766245442425E-4</v>
      </c>
      <c r="W170" s="173">
        <v>1.9316907732468675E-4</v>
      </c>
      <c r="X170" s="174">
        <f t="shared" si="16"/>
        <v>1.2871950276797055E-4</v>
      </c>
      <c r="Y170" s="188">
        <f t="shared" si="17"/>
        <v>4.2105283621028917</v>
      </c>
      <c r="AA170" s="144">
        <f t="shared" si="18"/>
        <v>0.43973957334899999</v>
      </c>
      <c r="AB170" s="145">
        <f t="shared" si="19"/>
        <v>2.5757006127970379E-4</v>
      </c>
      <c r="AC170" s="145">
        <f t="shared" si="20"/>
        <v>6.2793979492464425E-5</v>
      </c>
      <c r="AD170" s="145">
        <f t="shared" si="23"/>
        <v>1.2871950276797055E-4</v>
      </c>
      <c r="AE170" s="146">
        <f t="shared" si="21"/>
        <v>14.239882319213516</v>
      </c>
      <c r="AF170" s="146">
        <f t="shared" si="22"/>
        <v>9.0886997260503137E-5</v>
      </c>
      <c r="AH170" s="183"/>
      <c r="AI170" s="183"/>
      <c r="AJ170" s="183"/>
    </row>
    <row r="171" spans="1:36" x14ac:dyDescent="0.25">
      <c r="I171" s="126">
        <v>4.4413696908199997E-2</v>
      </c>
      <c r="J171" s="50">
        <v>1.3423512477437919E-4</v>
      </c>
      <c r="K171" s="50">
        <v>5.5072882870799767E-5</v>
      </c>
      <c r="L171" s="70">
        <v>1.4456345913857577E-4</v>
      </c>
      <c r="M171" s="32"/>
      <c r="N171" s="18">
        <v>-1.572033204612856E-6</v>
      </c>
      <c r="O171" s="18">
        <v>1.145877864827339E-10</v>
      </c>
      <c r="P171" s="18">
        <v>3.6998079468814843E-8</v>
      </c>
      <c r="Q171" s="28">
        <v>2.7036470237661123</v>
      </c>
      <c r="R171" s="61">
        <v>272.24882319213515</v>
      </c>
      <c r="S171" s="58">
        <v>9.8617244836772938E-7</v>
      </c>
      <c r="U171" s="173">
        <v>7.0134454002276138E-5</v>
      </c>
      <c r="V171" s="175">
        <v>1.4456345913857577E-4</v>
      </c>
      <c r="W171" s="173">
        <v>1.8702749864275253E-4</v>
      </c>
      <c r="X171" s="174">
        <f t="shared" si="16"/>
        <v>1.3657221773054505E-4</v>
      </c>
      <c r="Y171" s="188">
        <f t="shared" si="17"/>
        <v>1.8008450698798653E-3</v>
      </c>
      <c r="AA171" s="144">
        <f t="shared" si="18"/>
        <v>0.44413696908199995</v>
      </c>
      <c r="AB171" s="145">
        <f t="shared" si="19"/>
        <v>1.3423512477437919E-4</v>
      </c>
      <c r="AC171" s="145">
        <f t="shared" si="20"/>
        <v>5.5072882870799767E-5</v>
      </c>
      <c r="AD171" s="145">
        <f t="shared" si="23"/>
        <v>1.3657221773054505E-4</v>
      </c>
      <c r="AE171" s="146">
        <f t="shared" si="21"/>
        <v>14.239882319213516</v>
      </c>
      <c r="AF171" s="146">
        <f t="shared" si="22"/>
        <v>9.8617244836772934E-5</v>
      </c>
      <c r="AH171" s="183"/>
      <c r="AI171" s="183"/>
      <c r="AJ171" s="183"/>
    </row>
    <row r="172" spans="1:36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26">
        <v>4.4857833877300003E-2</v>
      </c>
      <c r="J172" s="50">
        <v>1.8666316624802657E-4</v>
      </c>
      <c r="K172" s="50">
        <v>5.2655378259260445E-5</v>
      </c>
      <c r="L172" s="70">
        <v>1.5823923867451035E-4</v>
      </c>
      <c r="M172" s="32"/>
      <c r="N172" s="18">
        <v>-1.5196362038739234E-6</v>
      </c>
      <c r="O172" s="18">
        <v>1.0712604766899864E-10</v>
      </c>
      <c r="P172" s="30">
        <v>3.4435196480140044E-8</v>
      </c>
      <c r="Q172" s="66">
        <v>2.5008745109309234</v>
      </c>
      <c r="R172" s="63">
        <v>276.08285957737309</v>
      </c>
      <c r="S172" s="62">
        <v>9.8617244836772938E-7</v>
      </c>
      <c r="T172" s="80"/>
      <c r="U172" s="173">
        <v>7.9628543059991647E-5</v>
      </c>
      <c r="V172" s="175">
        <v>1.5823923867451035E-4</v>
      </c>
      <c r="W172" s="173">
        <v>1.7278023587746533E-4</v>
      </c>
      <c r="X172" s="174">
        <f t="shared" si="16"/>
        <v>1.4222181407161941E-4</v>
      </c>
      <c r="Y172" s="188">
        <f t="shared" si="17"/>
        <v>0.71234282587935183</v>
      </c>
      <c r="AA172" s="144">
        <f t="shared" si="18"/>
        <v>0.44857833877300002</v>
      </c>
      <c r="AB172" s="145">
        <f t="shared" si="19"/>
        <v>1.8666316624802657E-4</v>
      </c>
      <c r="AC172" s="145">
        <f t="shared" si="20"/>
        <v>5.2655378259260445E-5</v>
      </c>
      <c r="AD172" s="145">
        <f t="shared" si="23"/>
        <v>1.4222181407161941E-4</v>
      </c>
      <c r="AE172" s="146">
        <f t="shared" si="21"/>
        <v>14.623285957737309</v>
      </c>
      <c r="AF172" s="146">
        <f t="shared" si="22"/>
        <v>9.8617244836772934E-5</v>
      </c>
      <c r="AG172" s="80"/>
      <c r="AH172" s="183"/>
      <c r="AI172" s="183"/>
      <c r="AJ172" s="183"/>
    </row>
    <row r="173" spans="1:36" x14ac:dyDescent="0.25">
      <c r="I173" s="126">
        <v>4.5306412216100003E-2</v>
      </c>
      <c r="J173" s="50">
        <v>2.6820912451427318E-4</v>
      </c>
      <c r="K173" s="50">
        <v>6.4875840507639242E-5</v>
      </c>
      <c r="L173" s="70">
        <v>1.6688308141957491E-4</v>
      </c>
      <c r="M173" s="32"/>
      <c r="N173" s="18">
        <v>-1.4671111412115649E-6</v>
      </c>
      <c r="O173" s="18">
        <v>9.9646017679950355E-11</v>
      </c>
      <c r="P173" s="18">
        <v>3.1866036196483388E-8</v>
      </c>
      <c r="Q173" s="28">
        <v>2.367924598289437</v>
      </c>
      <c r="R173" s="61">
        <v>276.08285957737309</v>
      </c>
      <c r="S173" s="58">
        <v>1.0530262210713681E-6</v>
      </c>
      <c r="U173" s="173">
        <v>9.2930517293929879E-5</v>
      </c>
      <c r="V173" s="175">
        <v>1.6688308141957491E-4</v>
      </c>
      <c r="W173" s="173">
        <v>1.5140929581988757E-4</v>
      </c>
      <c r="X173" s="174">
        <f t="shared" si="16"/>
        <v>1.4452649398824182E-4</v>
      </c>
      <c r="Y173" s="188">
        <f t="shared" si="17"/>
        <v>3.6345565623072718</v>
      </c>
      <c r="AA173" s="144">
        <f t="shared" si="18"/>
        <v>0.453064122161</v>
      </c>
      <c r="AB173" s="145">
        <f t="shared" si="19"/>
        <v>2.6820912451427318E-4</v>
      </c>
      <c r="AC173" s="145">
        <f t="shared" si="20"/>
        <v>6.4875840507639242E-5</v>
      </c>
      <c r="AD173" s="145">
        <f t="shared" si="23"/>
        <v>1.4452649398824182E-4</v>
      </c>
      <c r="AE173" s="146">
        <f t="shared" si="21"/>
        <v>14.623285957737309</v>
      </c>
      <c r="AF173" s="146">
        <f t="shared" si="22"/>
        <v>1.053026221071368E-4</v>
      </c>
      <c r="AH173" s="183"/>
      <c r="AI173" s="183"/>
      <c r="AJ173" s="183"/>
    </row>
    <row r="174" spans="1:36" x14ac:dyDescent="0.25">
      <c r="I174" s="126">
        <v>4.5759476338200003E-2</v>
      </c>
      <c r="J174" s="50">
        <v>2.1708397790452133E-4</v>
      </c>
      <c r="K174" s="50">
        <v>5.4473359523095843E-5</v>
      </c>
      <c r="L174" s="70">
        <v>1.6909679163015396E-4</v>
      </c>
      <c r="M174" s="32"/>
      <c r="N174" s="18">
        <v>-1.4145423009300183E-6</v>
      </c>
      <c r="O174" s="18">
        <v>9.2159684133462432E-11</v>
      </c>
      <c r="P174" s="18">
        <v>2.9294717448519918E-8</v>
      </c>
      <c r="Q174" s="28">
        <v>2.2869626278446455</v>
      </c>
      <c r="R174" s="61">
        <v>279.91689596261102</v>
      </c>
      <c r="S174" s="58">
        <v>1.0530262210713681E-6</v>
      </c>
      <c r="U174" s="173">
        <v>1.0805655471077285E-4</v>
      </c>
      <c r="V174" s="175">
        <v>1.6909679163015396E-4</v>
      </c>
      <c r="W174" s="173">
        <v>1.2473327551924555E-4</v>
      </c>
      <c r="X174" s="174">
        <f t="shared" si="16"/>
        <v>1.4274585337258159E-4</v>
      </c>
      <c r="Y174" s="188">
        <f t="shared" si="17"/>
        <v>1.8623224548329953</v>
      </c>
      <c r="AA174" s="144">
        <f t="shared" si="18"/>
        <v>0.457594763382</v>
      </c>
      <c r="AB174" s="145">
        <f t="shared" si="19"/>
        <v>2.1708397790452133E-4</v>
      </c>
      <c r="AC174" s="145">
        <f t="shared" si="20"/>
        <v>5.4473359523095843E-5</v>
      </c>
      <c r="AD174" s="145">
        <f t="shared" si="23"/>
        <v>1.4274585337258159E-4</v>
      </c>
      <c r="AE174" s="146">
        <f t="shared" si="21"/>
        <v>15.006689596261102</v>
      </c>
      <c r="AF174" s="146">
        <f t="shared" si="22"/>
        <v>1.053026221071368E-4</v>
      </c>
      <c r="AH174" s="183"/>
      <c r="AI174" s="183"/>
      <c r="AJ174" s="183"/>
    </row>
    <row r="175" spans="1:36" x14ac:dyDescent="0.25">
      <c r="I175" s="126">
        <v>4.6217071101599998E-2</v>
      </c>
      <c r="J175" s="50">
        <v>2.83755449206304E-4</v>
      </c>
      <c r="K175" s="50">
        <v>6.1153186310132797E-5</v>
      </c>
      <c r="L175" s="70">
        <v>1.6415119593744983E-4</v>
      </c>
      <c r="M175" s="32"/>
      <c r="N175" s="18">
        <v>-1.3619642297583395E-6</v>
      </c>
      <c r="O175" s="18">
        <v>8.4671946006451636E-11</v>
      </c>
      <c r="P175" s="18">
        <v>2.6722924869134356E-8</v>
      </c>
      <c r="Q175" s="28">
        <v>2.2485455290849345</v>
      </c>
      <c r="R175" s="61">
        <v>279.91689596261102</v>
      </c>
      <c r="S175" s="58">
        <v>1.1080921965111455E-6</v>
      </c>
      <c r="U175" s="173">
        <v>1.2291489684105407E-4</v>
      </c>
      <c r="V175" s="175">
        <v>1.6415119593744983E-4</v>
      </c>
      <c r="W175" s="173">
        <v>9.5266950979207646E-5</v>
      </c>
      <c r="X175" s="174">
        <f t="shared" si="16"/>
        <v>1.3662105992379034E-4</v>
      </c>
      <c r="Y175" s="188">
        <f t="shared" si="17"/>
        <v>5.7888220738958784</v>
      </c>
      <c r="AA175" s="144">
        <f t="shared" si="18"/>
        <v>0.46217071101599999</v>
      </c>
      <c r="AB175" s="145">
        <f t="shared" si="19"/>
        <v>2.83755449206304E-4</v>
      </c>
      <c r="AC175" s="145">
        <f t="shared" si="20"/>
        <v>6.1153186310132797E-5</v>
      </c>
      <c r="AD175" s="145">
        <f t="shared" si="23"/>
        <v>1.3662105992379034E-4</v>
      </c>
      <c r="AE175" s="146">
        <f t="shared" si="21"/>
        <v>15.006689596261102</v>
      </c>
      <c r="AF175" s="146">
        <f t="shared" si="22"/>
        <v>1.1080921965111455E-4</v>
      </c>
      <c r="AH175" s="183"/>
      <c r="AI175" s="183"/>
      <c r="AJ175" s="183"/>
    </row>
    <row r="176" spans="1:36" x14ac:dyDescent="0.25">
      <c r="I176" s="126">
        <v>4.6679241812599997E-2</v>
      </c>
      <c r="J176" s="50">
        <v>2.4628180034927914E-4</v>
      </c>
      <c r="K176" s="50">
        <v>5.7021862387788969E-5</v>
      </c>
      <c r="L176" s="70">
        <v>1.5207696386884147E-4</v>
      </c>
      <c r="M176" s="32"/>
      <c r="N176" s="18">
        <v>-1.3131654118319043E-6</v>
      </c>
      <c r="O176" s="18">
        <v>7.7722313161698069E-11</v>
      </c>
      <c r="P176" s="18">
        <v>2.4335963843301458E-8</v>
      </c>
      <c r="Q176" s="28">
        <v>1.9170181926189671</v>
      </c>
      <c r="R176" s="61">
        <v>283.75093234784896</v>
      </c>
      <c r="S176" s="58">
        <v>1.1080921965111455E-6</v>
      </c>
      <c r="U176" s="173">
        <v>1.3549012031637727E-4</v>
      </c>
      <c r="V176" s="175">
        <v>1.5207696386884147E-4</v>
      </c>
      <c r="W176" s="173">
        <v>6.6004666784563761E-5</v>
      </c>
      <c r="X176" s="174">
        <f t="shared" si="16"/>
        <v>1.26412178709656E-4</v>
      </c>
      <c r="Y176" s="188">
        <f t="shared" si="17"/>
        <v>4.4191167316925144</v>
      </c>
      <c r="AA176" s="144">
        <f t="shared" si="18"/>
        <v>0.46679241812599997</v>
      </c>
      <c r="AB176" s="145">
        <f t="shared" si="19"/>
        <v>2.4628180034927914E-4</v>
      </c>
      <c r="AC176" s="145">
        <f t="shared" si="20"/>
        <v>5.7021862387788969E-5</v>
      </c>
      <c r="AD176" s="145">
        <f t="shared" si="23"/>
        <v>1.26412178709656E-4</v>
      </c>
      <c r="AE176" s="146">
        <f t="shared" si="21"/>
        <v>15.390093234784896</v>
      </c>
      <c r="AF176" s="146">
        <f t="shared" si="22"/>
        <v>1.1080921965111455E-4</v>
      </c>
      <c r="AH176" s="183"/>
      <c r="AI176" s="183"/>
      <c r="AJ176" s="183"/>
    </row>
    <row r="177" spans="9:36" x14ac:dyDescent="0.25">
      <c r="I177" s="126">
        <v>4.71460342308E-2</v>
      </c>
      <c r="J177" s="50">
        <v>1.2600066726211012E-4</v>
      </c>
      <c r="K177" s="50">
        <v>4.7203309208538699E-5</v>
      </c>
      <c r="L177" s="67">
        <v>1.3368910568150084E-4</v>
      </c>
      <c r="M177" s="33"/>
      <c r="N177" s="18">
        <v>-1.2463151802349405E-6</v>
      </c>
      <c r="O177" s="18">
        <v>6.8201679453058183E-11</v>
      </c>
      <c r="P177" s="18">
        <v>2.106597375296288E-8</v>
      </c>
      <c r="Q177" s="28">
        <v>3.8340363852379342</v>
      </c>
      <c r="R177" s="61">
        <v>283.75093234784896</v>
      </c>
      <c r="S177" s="58">
        <v>1.1512553662886629E-6</v>
      </c>
      <c r="U177" s="173">
        <v>1.4402657024605161E-4</v>
      </c>
      <c r="V177" s="175">
        <v>1.3368910568150084E-4</v>
      </c>
      <c r="W177" s="173">
        <v>4.0143087713112481E-5</v>
      </c>
      <c r="X177" s="174">
        <f t="shared" si="16"/>
        <v>1.1288696733054144E-4</v>
      </c>
      <c r="Y177" s="188">
        <f t="shared" si="17"/>
        <v>7.7180145252604568E-2</v>
      </c>
      <c r="AA177" s="144">
        <f t="shared" si="18"/>
        <v>0.47146034230799999</v>
      </c>
      <c r="AB177" s="145">
        <f t="shared" si="19"/>
        <v>1.2600066726211012E-4</v>
      </c>
      <c r="AC177" s="145">
        <f t="shared" si="20"/>
        <v>4.7203309208538699E-5</v>
      </c>
      <c r="AD177" s="145">
        <f t="shared" si="23"/>
        <v>1.1288696733054144E-4</v>
      </c>
      <c r="AE177" s="146">
        <f t="shared" si="21"/>
        <v>15.390093234784896</v>
      </c>
      <c r="AF177" s="146">
        <f t="shared" si="22"/>
        <v>1.1512553662886628E-4</v>
      </c>
      <c r="AH177" s="183"/>
      <c r="AI177" s="183"/>
      <c r="AJ177" s="183"/>
    </row>
    <row r="178" spans="9:36" x14ac:dyDescent="0.25">
      <c r="I178" s="126">
        <v>4.7617494573100001E-2</v>
      </c>
      <c r="J178" s="50">
        <v>1.8496820646136049E-4</v>
      </c>
      <c r="K178" s="50">
        <v>5.2293508100815195E-5</v>
      </c>
      <c r="L178" s="67">
        <v>1.1053838667820377E-4</v>
      </c>
      <c r="M178" s="33"/>
      <c r="N178" s="18">
        <v>-1.1611811643264694E-6</v>
      </c>
      <c r="O178" s="18">
        <v>5.6076515784788297E-11</v>
      </c>
      <c r="P178" s="18">
        <v>1.6901480172626017E-8</v>
      </c>
      <c r="Q178" s="28">
        <v>3.8340363852379342</v>
      </c>
      <c r="R178" s="61">
        <v>287.5849687330869</v>
      </c>
      <c r="S178" s="58">
        <v>1.1512553662886629E-6</v>
      </c>
      <c r="U178" s="173">
        <v>1.4719529473085043E-4</v>
      </c>
      <c r="V178" s="175">
        <v>1.1053838667820377E-4</v>
      </c>
      <c r="W178" s="173">
        <v>2.0766539312296066E-5</v>
      </c>
      <c r="X178" s="174">
        <f t="shared" si="16"/>
        <v>9.7259651849888505E-5</v>
      </c>
      <c r="Y178" s="188">
        <f t="shared" si="17"/>
        <v>2.8131206162775593</v>
      </c>
      <c r="AA178" s="144">
        <f t="shared" si="18"/>
        <v>0.476174945731</v>
      </c>
      <c r="AB178" s="145">
        <f t="shared" si="19"/>
        <v>1.8496820646136049E-4</v>
      </c>
      <c r="AC178" s="145">
        <f t="shared" si="20"/>
        <v>5.2293508100815195E-5</v>
      </c>
      <c r="AD178" s="145">
        <f t="shared" si="23"/>
        <v>9.7259651849888505E-5</v>
      </c>
      <c r="AE178" s="146">
        <f t="shared" si="21"/>
        <v>15.773496873308691</v>
      </c>
      <c r="AF178" s="146">
        <f t="shared" si="22"/>
        <v>1.1512553662886628E-4</v>
      </c>
      <c r="AH178" s="183"/>
      <c r="AI178" s="183"/>
      <c r="AJ178" s="183"/>
    </row>
    <row r="179" spans="9:36" x14ac:dyDescent="0.25">
      <c r="I179" s="126">
        <v>4.8093669518800002E-2</v>
      </c>
      <c r="J179" s="50">
        <v>1.248449962927243E-4</v>
      </c>
      <c r="K179" s="50">
        <v>5.1558467407787059E-5</v>
      </c>
      <c r="L179" s="67">
        <v>8.4789228665406276E-5</v>
      </c>
      <c r="M179" s="33"/>
      <c r="N179" s="18">
        <v>-1.0839103887332259E-6</v>
      </c>
      <c r="O179" s="18">
        <v>4.5070209627295219E-11</v>
      </c>
      <c r="P179" s="18">
        <v>1.3121369237440477E-8</v>
      </c>
      <c r="Q179" s="28">
        <v>3.8340363852379342</v>
      </c>
      <c r="R179" s="61">
        <v>287.5849687330869</v>
      </c>
      <c r="S179" s="58">
        <v>1.1833761909775078E-6</v>
      </c>
      <c r="U179" s="173">
        <v>1.4422898439862383E-4</v>
      </c>
      <c r="V179" s="175">
        <v>8.4789228665406276E-5</v>
      </c>
      <c r="W179" s="173">
        <v>1.0524270208469179E-5</v>
      </c>
      <c r="X179" s="174">
        <f t="shared" si="16"/>
        <v>8.1082927984476392E-5</v>
      </c>
      <c r="Y179" s="188">
        <f t="shared" si="17"/>
        <v>0.72043645527043965</v>
      </c>
      <c r="AA179" s="144">
        <f t="shared" si="18"/>
        <v>0.48093669518800003</v>
      </c>
      <c r="AB179" s="145">
        <f t="shared" si="19"/>
        <v>1.248449962927243E-4</v>
      </c>
      <c r="AC179" s="145">
        <f t="shared" si="20"/>
        <v>5.1558467407787059E-5</v>
      </c>
      <c r="AD179" s="145">
        <f t="shared" si="23"/>
        <v>8.1082927984476392E-5</v>
      </c>
      <c r="AE179" s="146">
        <f t="shared" si="21"/>
        <v>15.773496873308691</v>
      </c>
      <c r="AF179" s="146">
        <f t="shared" si="22"/>
        <v>1.1833761909775078E-4</v>
      </c>
      <c r="AH179" s="183"/>
      <c r="AI179" s="183"/>
      <c r="AJ179" s="183"/>
    </row>
    <row r="180" spans="9:36" x14ac:dyDescent="0.25">
      <c r="I180" s="126">
        <v>4.8574606213999998E-2</v>
      </c>
      <c r="J180" s="50">
        <v>1.564184627938744E-4</v>
      </c>
      <c r="K180" s="50">
        <v>4.7035121236995052E-5</v>
      </c>
      <c r="L180" s="67">
        <v>5.9030785550087309E-5</v>
      </c>
      <c r="M180" s="33"/>
      <c r="N180" s="18">
        <v>-1.0171054165257891E-6</v>
      </c>
      <c r="O180" s="18">
        <v>3.5552960624931766E-11</v>
      </c>
      <c r="P180" s="18">
        <v>9.8528340413091208E-9</v>
      </c>
      <c r="Q180" s="28">
        <v>3.8340363852379342</v>
      </c>
      <c r="R180" s="61">
        <v>291.41900511832483</v>
      </c>
      <c r="S180" s="58">
        <v>1.1833761909775078E-6</v>
      </c>
      <c r="U180" s="173">
        <v>1.3501098375858663E-4</v>
      </c>
      <c r="V180" s="175">
        <v>5.9030785550087309E-5</v>
      </c>
      <c r="W180" s="173">
        <v>1.1332581357106616E-5</v>
      </c>
      <c r="X180" s="174">
        <f t="shared" si="16"/>
        <v>6.6101284053966976E-5</v>
      </c>
      <c r="Y180" s="188">
        <f t="shared" si="17"/>
        <v>3.6871957144271477</v>
      </c>
      <c r="AA180" s="144">
        <f t="shared" si="18"/>
        <v>0.48574606213999999</v>
      </c>
      <c r="AB180" s="145">
        <f t="shared" si="19"/>
        <v>1.564184627938744E-4</v>
      </c>
      <c r="AC180" s="145">
        <f t="shared" si="20"/>
        <v>4.7035121236995052E-5</v>
      </c>
      <c r="AD180" s="145">
        <f t="shared" si="23"/>
        <v>6.6101284053966976E-5</v>
      </c>
      <c r="AE180" s="146">
        <f t="shared" si="21"/>
        <v>16.156900511832482</v>
      </c>
      <c r="AF180" s="146">
        <f t="shared" si="22"/>
        <v>1.1833761909775078E-4</v>
      </c>
      <c r="AH180" s="183"/>
      <c r="AI180" s="183"/>
      <c r="AJ180" s="183"/>
    </row>
    <row r="181" spans="9:36" x14ac:dyDescent="0.25">
      <c r="I181" s="126">
        <v>4.9060352276099999E-2</v>
      </c>
      <c r="J181" s="50">
        <v>1.5540949404297541E-4</v>
      </c>
      <c r="K181" s="50">
        <v>5.2325984013690176E-5</v>
      </c>
      <c r="L181" s="67">
        <v>3.6035146749664785E-5</v>
      </c>
      <c r="M181" s="33"/>
      <c r="N181" s="18">
        <v>-9.6211305928341713E-7</v>
      </c>
      <c r="O181" s="18">
        <v>2.771597452979951E-11</v>
      </c>
      <c r="P181" s="18">
        <v>7.161604432003289E-9</v>
      </c>
      <c r="Q181" s="28">
        <v>3.8340363852379342</v>
      </c>
      <c r="R181" s="61">
        <v>291.41900511832483</v>
      </c>
      <c r="S181" s="58">
        <v>1.2059115784722921E-6</v>
      </c>
      <c r="U181" s="173">
        <v>1.2010744981749091E-4</v>
      </c>
      <c r="V181" s="175">
        <v>3.6035146749664785E-5</v>
      </c>
      <c r="W181" s="173">
        <v>2.4135100313936135E-5</v>
      </c>
      <c r="X181" s="174">
        <f t="shared" si="16"/>
        <v>5.4078210907689154E-5</v>
      </c>
      <c r="Y181" s="188">
        <f t="shared" si="17"/>
        <v>3.7501814021290532</v>
      </c>
      <c r="AA181" s="144">
        <f t="shared" si="18"/>
        <v>0.490603522761</v>
      </c>
      <c r="AB181" s="145">
        <f t="shared" si="19"/>
        <v>1.5540949404297541E-4</v>
      </c>
      <c r="AC181" s="145">
        <f t="shared" si="20"/>
        <v>5.2325984013690176E-5</v>
      </c>
      <c r="AD181" s="145">
        <f t="shared" si="23"/>
        <v>5.4078210907689154E-5</v>
      </c>
      <c r="AE181" s="146">
        <f t="shared" si="21"/>
        <v>16.156900511832482</v>
      </c>
      <c r="AF181" s="146">
        <f t="shared" si="22"/>
        <v>1.2059115784722921E-4</v>
      </c>
      <c r="AH181" s="183"/>
      <c r="AI181" s="183"/>
      <c r="AJ181" s="183"/>
    </row>
    <row r="182" spans="9:36" x14ac:dyDescent="0.25">
      <c r="I182" s="126">
        <v>4.9550955798900002E-2</v>
      </c>
      <c r="J182" s="50">
        <v>2.6327482974072521E-4</v>
      </c>
      <c r="K182" s="50">
        <v>6.4516071823656577E-5</v>
      </c>
      <c r="L182" s="67">
        <v>1.84832735090851E-5</v>
      </c>
      <c r="M182" s="33"/>
      <c r="N182" s="18">
        <v>-9.1905890325544112E-7</v>
      </c>
      <c r="O182" s="18">
        <v>2.1576320416837368E-11</v>
      </c>
      <c r="P182" s="18">
        <v>5.0536210094602166E-9</v>
      </c>
      <c r="Q182" s="28">
        <v>3.8340363852379342</v>
      </c>
      <c r="R182" s="61">
        <v>295.25304150356277</v>
      </c>
      <c r="S182" s="58">
        <v>1.2059115784722921E-6</v>
      </c>
      <c r="U182" s="173">
        <v>1.0073609836055659E-4</v>
      </c>
      <c r="V182" s="175">
        <v>1.84832735090851E-5</v>
      </c>
      <c r="W182" s="173">
        <v>4.875103688341392E-5</v>
      </c>
      <c r="X182" s="174">
        <f t="shared" si="16"/>
        <v>4.6613420565535179E-5</v>
      </c>
      <c r="Y182" s="188">
        <f t="shared" si="17"/>
        <v>11.277875436670492</v>
      </c>
      <c r="AA182" s="144">
        <f t="shared" si="18"/>
        <v>0.49550955798900004</v>
      </c>
      <c r="AB182" s="145">
        <f t="shared" si="19"/>
        <v>2.6327482974072521E-4</v>
      </c>
      <c r="AC182" s="145">
        <f t="shared" si="20"/>
        <v>6.4516071823656577E-5</v>
      </c>
      <c r="AD182" s="145">
        <f t="shared" si="23"/>
        <v>4.6613420565535179E-5</v>
      </c>
      <c r="AE182" s="146">
        <f t="shared" si="21"/>
        <v>16.540304150356278</v>
      </c>
      <c r="AF182" s="146">
        <f t="shared" si="22"/>
        <v>1.2059115784722921E-4</v>
      </c>
      <c r="AH182" s="183"/>
      <c r="AI182" s="183"/>
      <c r="AJ182" s="183"/>
    </row>
    <row r="183" spans="9:36" x14ac:dyDescent="0.25">
      <c r="I183" s="126">
        <v>5.0046465356900001E-2</v>
      </c>
      <c r="J183" s="50">
        <v>2.8875044412851516E-4</v>
      </c>
      <c r="K183" s="50">
        <v>5.8869209943211126E-5</v>
      </c>
      <c r="L183" s="67">
        <v>8.6844797081067559E-6</v>
      </c>
      <c r="M183" s="33"/>
      <c r="N183" s="18">
        <v>-8.8709682569828906E-7</v>
      </c>
      <c r="O183" s="18">
        <v>1.7012386986554486E-11</v>
      </c>
      <c r="P183" s="18">
        <v>3.4872206318407039E-9</v>
      </c>
      <c r="Q183" s="28">
        <v>3.8340363852379342</v>
      </c>
      <c r="R183" s="61">
        <v>295.25304150356277</v>
      </c>
      <c r="S183" s="58">
        <v>1.2205008419078152E-6</v>
      </c>
      <c r="U183" s="173">
        <v>7.8670456521471183E-5</v>
      </c>
      <c r="V183" s="175">
        <v>8.6844797081067559E-6</v>
      </c>
      <c r="W183" s="173">
        <v>8.3833959353066736E-5</v>
      </c>
      <c r="X183" s="174">
        <f t="shared" si="16"/>
        <v>4.4968343822687857E-5</v>
      </c>
      <c r="Y183" s="188">
        <f t="shared" si="17"/>
        <v>17.14854249635852</v>
      </c>
      <c r="AA183" s="144">
        <f t="shared" si="18"/>
        <v>0.50046465356900005</v>
      </c>
      <c r="AB183" s="145">
        <f t="shared" si="19"/>
        <v>2.8875044412851516E-4</v>
      </c>
      <c r="AC183" s="145">
        <f t="shared" si="20"/>
        <v>5.8869209943211126E-5</v>
      </c>
      <c r="AD183" s="145">
        <f t="shared" si="23"/>
        <v>4.4968343822687857E-5</v>
      </c>
      <c r="AE183" s="146">
        <f t="shared" si="21"/>
        <v>16.540304150356278</v>
      </c>
      <c r="AF183" s="146">
        <f t="shared" si="22"/>
        <v>1.2205008419078152E-4</v>
      </c>
      <c r="AH183" s="183"/>
      <c r="AI183" s="183"/>
      <c r="AJ183" s="183"/>
    </row>
    <row r="184" spans="9:36" x14ac:dyDescent="0.25">
      <c r="I184" s="126">
        <v>5.0546930010399997E-2</v>
      </c>
      <c r="J184" s="50">
        <v>1.8763696550144518E-4</v>
      </c>
      <c r="K184" s="50">
        <v>5.5218793425843586E-5</v>
      </c>
      <c r="L184" s="67">
        <v>8.318231340236024E-6</v>
      </c>
      <c r="M184" s="33"/>
      <c r="N184" s="18">
        <v>-8.6478914893372379E-7</v>
      </c>
      <c r="O184" s="18">
        <v>1.3817923130231998E-11</v>
      </c>
      <c r="P184" s="18">
        <v>2.3917069256055236E-9</v>
      </c>
      <c r="Q184" s="28">
        <v>3.8340363852379342</v>
      </c>
      <c r="R184" s="61">
        <v>299.08707788880071</v>
      </c>
      <c r="S184" s="58">
        <v>1.2205008419078152E-6</v>
      </c>
      <c r="U184" s="173">
        <v>5.6084728752361164E-5</v>
      </c>
      <c r="V184" s="175">
        <v>8.318231340236024E-6</v>
      </c>
      <c r="W184" s="173">
        <v>1.2695289859196719E-4</v>
      </c>
      <c r="X184" s="174">
        <f t="shared" si="16"/>
        <v>4.9918522506200103E-5</v>
      </c>
      <c r="Y184" s="188">
        <f t="shared" si="17"/>
        <v>6.2202864188878122</v>
      </c>
      <c r="AA184" s="144">
        <f t="shared" si="18"/>
        <v>0.50546930010399993</v>
      </c>
      <c r="AB184" s="145">
        <f t="shared" si="19"/>
        <v>1.8763696550144518E-4</v>
      </c>
      <c r="AC184" s="145">
        <f t="shared" si="20"/>
        <v>5.5218793425843586E-5</v>
      </c>
      <c r="AD184" s="145">
        <f t="shared" si="23"/>
        <v>4.9918522506200103E-5</v>
      </c>
      <c r="AE184" s="146">
        <f t="shared" si="21"/>
        <v>16.923707788880073</v>
      </c>
      <c r="AF184" s="146">
        <f t="shared" si="22"/>
        <v>1.2205008419078152E-4</v>
      </c>
      <c r="AH184" s="183"/>
      <c r="AI184" s="183"/>
      <c r="AJ184" s="183"/>
    </row>
    <row r="185" spans="9:36" x14ac:dyDescent="0.25">
      <c r="I185" s="126">
        <v>5.1052399310499999E-2</v>
      </c>
      <c r="J185" s="50">
        <v>2.3792179362000217E-4</v>
      </c>
      <c r="K185" s="50">
        <v>5.4353677602188829E-5</v>
      </c>
      <c r="L185" s="67">
        <v>1.8227104700315604E-5</v>
      </c>
      <c r="M185" s="33"/>
      <c r="N185" s="18">
        <v>-8.5052204102587576E-7</v>
      </c>
      <c r="O185" s="18">
        <v>1.1761076215243928E-11</v>
      </c>
      <c r="P185" s="18">
        <v>1.68763943230025E-9</v>
      </c>
      <c r="Q185" s="28">
        <v>3.8340363852379342</v>
      </c>
      <c r="R185" s="61">
        <v>299.08707788880071</v>
      </c>
      <c r="S185" s="58">
        <v>1.2285950711701119E-6</v>
      </c>
      <c r="U185" s="173">
        <v>3.5350733136148543E-5</v>
      </c>
      <c r="V185" s="175">
        <v>1.8227104700315604E-5</v>
      </c>
      <c r="W185" s="173">
        <v>1.7479436278667644E-4</v>
      </c>
      <c r="X185" s="174">
        <f t="shared" si="16"/>
        <v>6.1649826330864051E-5</v>
      </c>
      <c r="Y185" s="188">
        <f t="shared" si="17"/>
        <v>10.517405896863869</v>
      </c>
      <c r="AA185" s="144">
        <f t="shared" si="18"/>
        <v>0.51052399310499996</v>
      </c>
      <c r="AB185" s="145">
        <f t="shared" si="19"/>
        <v>2.3792179362000217E-4</v>
      </c>
      <c r="AC185" s="145">
        <f t="shared" si="20"/>
        <v>5.4353677602188829E-5</v>
      </c>
      <c r="AD185" s="145">
        <f t="shared" si="23"/>
        <v>6.1649826330864051E-5</v>
      </c>
      <c r="AE185" s="146">
        <f t="shared" si="21"/>
        <v>16.923707788880073</v>
      </c>
      <c r="AF185" s="146">
        <f t="shared" si="22"/>
        <v>1.2285950711701118E-4</v>
      </c>
      <c r="AH185" s="183"/>
      <c r="AI185" s="183"/>
      <c r="AJ185" s="183"/>
    </row>
    <row r="186" spans="9:36" x14ac:dyDescent="0.25">
      <c r="I186" s="126">
        <v>5.1562923303600003E-2</v>
      </c>
      <c r="J186" s="50">
        <v>2.1407730388085799E-4</v>
      </c>
      <c r="K186" s="50">
        <v>5.4402438950260172E-5</v>
      </c>
      <c r="L186" s="67">
        <v>3.8286521654656611E-5</v>
      </c>
      <c r="M186" s="33"/>
      <c r="N186" s="18">
        <v>-8.4287765077955845E-7</v>
      </c>
      <c r="O186" s="18">
        <v>1.0637245708645745E-11</v>
      </c>
      <c r="P186" s="18">
        <v>1.3050007349953622E-9</v>
      </c>
      <c r="Q186" s="28">
        <v>3.8340363852379342</v>
      </c>
      <c r="R186" s="61">
        <v>302.92111427403864</v>
      </c>
      <c r="S186" s="58">
        <v>1.2285950711701119E-6</v>
      </c>
      <c r="U186" s="173">
        <v>1.880421483848918E-5</v>
      </c>
      <c r="V186" s="175">
        <v>3.8286521654656611E-5</v>
      </c>
      <c r="W186" s="173">
        <v>2.2346953578188512E-4</v>
      </c>
      <c r="X186" s="174">
        <f t="shared" si="16"/>
        <v>7.9711698482421881E-5</v>
      </c>
      <c r="Y186" s="188">
        <f t="shared" si="17"/>
        <v>6.1001355561074631</v>
      </c>
      <c r="AA186" s="144">
        <f t="shared" si="18"/>
        <v>0.51562923303600006</v>
      </c>
      <c r="AB186" s="145">
        <f t="shared" si="19"/>
        <v>2.1407730388085799E-4</v>
      </c>
      <c r="AC186" s="145">
        <f t="shared" si="20"/>
        <v>5.4402438950260172E-5</v>
      </c>
      <c r="AD186" s="145">
        <f t="shared" si="23"/>
        <v>7.9711698482421881E-5</v>
      </c>
      <c r="AE186" s="146">
        <f t="shared" si="21"/>
        <v>17.307111427403864</v>
      </c>
      <c r="AF186" s="146">
        <f t="shared" si="22"/>
        <v>1.2285950711701118E-4</v>
      </c>
      <c r="AH186" s="183"/>
      <c r="AI186" s="183"/>
      <c r="AJ186" s="183"/>
    </row>
    <row r="187" spans="9:36" x14ac:dyDescent="0.25">
      <c r="I187" s="126">
        <v>5.2078552536699997E-2</v>
      </c>
      <c r="J187" s="50">
        <v>1.9340908665219149E-4</v>
      </c>
      <c r="K187" s="50">
        <v>1.6092074055803622E-5</v>
      </c>
      <c r="L187" s="67">
        <v>6.7370347599966484E-5</v>
      </c>
      <c r="M187" s="33"/>
      <c r="N187" s="18">
        <v>-8.4091505224322544E-7</v>
      </c>
      <c r="O187" s="18">
        <v>1.030892650004145E-11</v>
      </c>
      <c r="P187" s="18">
        <v>1.1968972364795369E-9</v>
      </c>
      <c r="Q187" s="28">
        <v>3.8340363852379342</v>
      </c>
      <c r="R187" s="61">
        <v>302.92111427403864</v>
      </c>
      <c r="S187" s="58">
        <v>1.2311776485358678E-6</v>
      </c>
      <c r="U187" s="173">
        <v>8.5024791590979795E-6</v>
      </c>
      <c r="V187" s="175">
        <v>6.7370347599966484E-5</v>
      </c>
      <c r="W187" s="173">
        <v>2.6889727106030591E-4</v>
      </c>
      <c r="X187" s="174">
        <f t="shared" si="16"/>
        <v>1.0303511135483421E-4</v>
      </c>
      <c r="Y187" s="188">
        <f t="shared" si="17"/>
        <v>31.540075393454099</v>
      </c>
      <c r="AA187" s="144">
        <f t="shared" si="18"/>
        <v>0.52078552536699996</v>
      </c>
      <c r="AB187" s="145">
        <f t="shared" si="19"/>
        <v>1.9340908665219149E-4</v>
      </c>
      <c r="AC187" s="145">
        <f t="shared" si="20"/>
        <v>1.6092074055803622E-5</v>
      </c>
      <c r="AD187" s="145">
        <f t="shared" si="23"/>
        <v>1.0303511135483421E-4</v>
      </c>
      <c r="AE187" s="146">
        <f t="shared" si="21"/>
        <v>17.307111427403864</v>
      </c>
      <c r="AF187" s="146">
        <f t="shared" si="22"/>
        <v>1.2311776485358678E-4</v>
      </c>
      <c r="AH187" s="183"/>
      <c r="AI187" s="183"/>
      <c r="AJ187" s="183"/>
    </row>
    <row r="188" spans="9:36" x14ac:dyDescent="0.25">
      <c r="I188" s="126">
        <v>5.2599338062100001E-2</v>
      </c>
      <c r="J188" s="50">
        <v>2.7617935425868569E-4</v>
      </c>
      <c r="K188" s="50">
        <v>1.7941932925416576E-5</v>
      </c>
      <c r="L188" s="67">
        <v>1.0342200197553188E-4</v>
      </c>
      <c r="M188" s="33"/>
      <c r="N188" s="18">
        <v>-8.4434047728210156E-7</v>
      </c>
      <c r="O188" s="18">
        <v>1.0729762497725607E-11</v>
      </c>
      <c r="P188" s="18">
        <v>1.3478388847585647E-9</v>
      </c>
      <c r="Q188" s="28">
        <v>3.8340363852379342</v>
      </c>
      <c r="R188" s="61">
        <v>306.75515065927658</v>
      </c>
      <c r="S188" s="58">
        <v>1.2311776485358678E-6</v>
      </c>
      <c r="U188" s="173">
        <v>5.9980217071336085E-6</v>
      </c>
      <c r="V188" s="175">
        <v>1.0342200197553188E-4</v>
      </c>
      <c r="W188" s="173">
        <v>3.0722233494091681E-4</v>
      </c>
      <c r="X188" s="174">
        <f t="shared" si="16"/>
        <v>1.3001609014977854E-4</v>
      </c>
      <c r="Y188" s="188">
        <f t="shared" si="17"/>
        <v>66.36483342397392</v>
      </c>
      <c r="AA188" s="144">
        <f t="shared" si="18"/>
        <v>0.52599338062099998</v>
      </c>
      <c r="AB188" s="145">
        <f t="shared" si="19"/>
        <v>2.7617935425868569E-4</v>
      </c>
      <c r="AC188" s="145">
        <f t="shared" si="20"/>
        <v>1.7941932925416576E-5</v>
      </c>
      <c r="AD188" s="145">
        <f t="shared" si="23"/>
        <v>1.3001609014977854E-4</v>
      </c>
      <c r="AE188" s="146">
        <f t="shared" si="21"/>
        <v>17.690515065927659</v>
      </c>
      <c r="AF188" s="146">
        <f t="shared" si="22"/>
        <v>1.2311776485358678E-4</v>
      </c>
      <c r="AH188" s="183"/>
      <c r="AI188" s="183"/>
      <c r="AJ188" s="183"/>
    </row>
    <row r="189" spans="9:36" x14ac:dyDescent="0.25">
      <c r="I189" s="126">
        <v>5.31253314427E-2</v>
      </c>
      <c r="J189" s="50">
        <v>2.6400845602331626E-4</v>
      </c>
      <c r="K189" s="50">
        <v>1.7123097749229553E-5</v>
      </c>
      <c r="L189" s="67">
        <v>1.4362924387814903E-4</v>
      </c>
      <c r="M189" s="33"/>
      <c r="N189" s="18">
        <v>-8.5356351953354021E-7</v>
      </c>
      <c r="O189" s="18">
        <v>1.1952340702899546E-11</v>
      </c>
      <c r="P189" s="18">
        <v>1.7764362439625844E-9</v>
      </c>
      <c r="Q189" s="28">
        <v>3.8340363852379342</v>
      </c>
      <c r="R189" s="61">
        <v>306.75515065927658</v>
      </c>
      <c r="S189" s="58">
        <v>1.2285950711701119E-6</v>
      </c>
      <c r="U189" s="173">
        <v>1.2153103641420696E-5</v>
      </c>
      <c r="V189" s="175">
        <v>1.4362924387814903E-4</v>
      </c>
      <c r="W189" s="173">
        <v>3.3522142325841955E-4</v>
      </c>
      <c r="X189" s="174">
        <f t="shared" si="16"/>
        <v>1.5865825366403457E-4</v>
      </c>
      <c r="Y189" s="188">
        <f t="shared" si="17"/>
        <v>37.853503065567082</v>
      </c>
      <c r="AA189" s="144">
        <f t="shared" si="18"/>
        <v>0.53125331442699997</v>
      </c>
      <c r="AB189" s="145">
        <f t="shared" si="19"/>
        <v>2.6400845602331626E-4</v>
      </c>
      <c r="AC189" s="145">
        <f t="shared" si="20"/>
        <v>1.7123097749229553E-5</v>
      </c>
      <c r="AD189" s="145">
        <f t="shared" si="23"/>
        <v>1.5865825366403457E-4</v>
      </c>
      <c r="AE189" s="146">
        <f t="shared" si="21"/>
        <v>17.690515065927659</v>
      </c>
      <c r="AF189" s="146">
        <f t="shared" si="22"/>
        <v>1.2285950711701118E-4</v>
      </c>
      <c r="AH189" s="183"/>
      <c r="AI189" s="183"/>
      <c r="AJ189" s="183"/>
    </row>
    <row r="190" spans="9:36" x14ac:dyDescent="0.25">
      <c r="I190" s="126">
        <v>5.3656584757100001E-2</v>
      </c>
      <c r="J190" s="50">
        <v>2.7666095932933214E-4</v>
      </c>
      <c r="K190" s="50">
        <v>1.7799589130994287E-5</v>
      </c>
      <c r="L190" s="67">
        <v>1.8468849407725775E-4</v>
      </c>
      <c r="M190" s="33"/>
      <c r="N190" s="18">
        <v>-8.6963943571431253E-7</v>
      </c>
      <c r="O190" s="18">
        <v>1.4119748793157495E-11</v>
      </c>
      <c r="P190" s="18">
        <v>2.5325223347801424E-9</v>
      </c>
      <c r="Q190" s="28">
        <v>3.8340363852379342</v>
      </c>
      <c r="R190" s="61">
        <v>310.58918704451452</v>
      </c>
      <c r="S190" s="58">
        <v>1.2285950711701119E-6</v>
      </c>
      <c r="U190" s="173">
        <v>2.7017684606567548E-5</v>
      </c>
      <c r="V190" s="175">
        <v>1.8468849407725775E-4</v>
      </c>
      <c r="W190" s="173">
        <v>3.5064811173757775E-4</v>
      </c>
      <c r="X190" s="174">
        <f t="shared" si="16"/>
        <v>1.8676069612466519E-4</v>
      </c>
      <c r="Y190" s="188">
        <f t="shared" si="17"/>
        <v>25.50950147021474</v>
      </c>
      <c r="AA190" s="144">
        <f t="shared" si="18"/>
        <v>0.53656584757100001</v>
      </c>
      <c r="AB190" s="145">
        <f t="shared" si="19"/>
        <v>2.7666095932933214E-4</v>
      </c>
      <c r="AC190" s="145">
        <f t="shared" si="20"/>
        <v>1.7799589130994287E-5</v>
      </c>
      <c r="AD190" s="145">
        <f t="shared" si="23"/>
        <v>1.8676069612466519E-4</v>
      </c>
      <c r="AE190" s="146">
        <f t="shared" si="21"/>
        <v>18.073918704451451</v>
      </c>
      <c r="AF190" s="146">
        <f t="shared" si="22"/>
        <v>1.2285950711701118E-4</v>
      </c>
      <c r="AH190" s="183"/>
      <c r="AI190" s="183"/>
      <c r="AJ190" s="183"/>
    </row>
    <row r="191" spans="9:36" x14ac:dyDescent="0.25">
      <c r="I191" s="126">
        <v>5.4193150604700001E-2</v>
      </c>
      <c r="J191" s="50">
        <v>2.8195822880315699E-4</v>
      </c>
      <c r="K191" s="50">
        <v>1.7881040613000691E-5</v>
      </c>
      <c r="L191" s="67">
        <v>2.2313294047045118E-4</v>
      </c>
      <c r="M191" s="33"/>
      <c r="N191" s="18">
        <v>-8.9409595423353279E-7</v>
      </c>
      <c r="O191" s="18">
        <v>1.7440677981386828E-11</v>
      </c>
      <c r="P191" s="18">
        <v>3.6886235042777888E-9</v>
      </c>
      <c r="Q191" s="28">
        <v>3.8340363852379342</v>
      </c>
      <c r="R191" s="61">
        <v>310.58918704451452</v>
      </c>
      <c r="S191" s="58">
        <v>1.2205008419078152E-6</v>
      </c>
      <c r="U191" s="173">
        <v>4.9787751477147094E-5</v>
      </c>
      <c r="V191" s="175">
        <v>2.2313294047045118E-4</v>
      </c>
      <c r="W191" s="173">
        <v>3.5247281588732151E-4</v>
      </c>
      <c r="X191" s="174">
        <f t="shared" si="16"/>
        <v>2.1213161207634274E-4</v>
      </c>
      <c r="Y191" s="188">
        <f t="shared" si="17"/>
        <v>15.249528664392527</v>
      </c>
      <c r="AA191" s="144">
        <f t="shared" si="18"/>
        <v>0.54193150604700002</v>
      </c>
      <c r="AB191" s="145">
        <f t="shared" si="19"/>
        <v>2.8195822880315699E-4</v>
      </c>
      <c r="AC191" s="145">
        <f t="shared" si="20"/>
        <v>1.7881040613000691E-5</v>
      </c>
      <c r="AD191" s="145">
        <f t="shared" si="23"/>
        <v>2.1213161207634274E-4</v>
      </c>
      <c r="AE191" s="146">
        <f t="shared" si="21"/>
        <v>18.073918704451451</v>
      </c>
      <c r="AF191" s="146">
        <f t="shared" si="22"/>
        <v>1.2205008419078152E-4</v>
      </c>
      <c r="AH191" s="183"/>
      <c r="AI191" s="183"/>
      <c r="AJ191" s="183"/>
    </row>
    <row r="192" spans="9:36" x14ac:dyDescent="0.25">
      <c r="I192" s="126">
        <v>5.4735082110700002E-2</v>
      </c>
      <c r="J192" s="50">
        <v>2.9911764325386961E-4</v>
      </c>
      <c r="K192" s="50">
        <v>1.7811656287519422E-5</v>
      </c>
      <c r="L192" s="67">
        <v>2.5568933005392063E-4</v>
      </c>
      <c r="M192" s="33"/>
      <c r="N192" s="18">
        <v>-9.2864692712885167E-7</v>
      </c>
      <c r="O192" s="18">
        <v>2.2148415511263989E-11</v>
      </c>
      <c r="P192" s="18">
        <v>5.3258964857824404E-9</v>
      </c>
      <c r="Q192" s="28">
        <v>3.8340363852379342</v>
      </c>
      <c r="R192" s="61">
        <v>314.42322342975245</v>
      </c>
      <c r="S192" s="58">
        <v>1.2205008419078152E-6</v>
      </c>
      <c r="U192" s="173">
        <v>7.885319848760958E-5</v>
      </c>
      <c r="V192" s="175">
        <v>2.5568933005392063E-4</v>
      </c>
      <c r="W192" s="173">
        <v>3.4098494476374571E-4</v>
      </c>
      <c r="X192" s="174">
        <f t="shared" si="16"/>
        <v>2.3280420083979914E-4</v>
      </c>
      <c r="Y192" s="188">
        <f t="shared" si="17"/>
        <v>13.860999078965081</v>
      </c>
      <c r="AA192" s="144">
        <f t="shared" si="18"/>
        <v>0.54735082110700006</v>
      </c>
      <c r="AB192" s="145">
        <f t="shared" si="19"/>
        <v>2.9911764325386961E-4</v>
      </c>
      <c r="AC192" s="145">
        <f t="shared" si="20"/>
        <v>1.7811656287519422E-5</v>
      </c>
      <c r="AD192" s="145">
        <f t="shared" si="23"/>
        <v>2.3280420083979914E-4</v>
      </c>
      <c r="AE192" s="146">
        <f t="shared" si="21"/>
        <v>18.457322342975246</v>
      </c>
      <c r="AF192" s="146">
        <f t="shared" si="22"/>
        <v>1.2205008419078152E-4</v>
      </c>
      <c r="AH192" s="183"/>
      <c r="AI192" s="183"/>
      <c r="AJ192" s="183"/>
    </row>
    <row r="193" spans="9:36" x14ac:dyDescent="0.25">
      <c r="I193" s="126">
        <v>5.5282432931799998E-2</v>
      </c>
      <c r="J193" s="50">
        <v>3.1158880440789957E-4</v>
      </c>
      <c r="K193" s="50">
        <v>1.8346883859957466E-5</v>
      </c>
      <c r="L193" s="67">
        <v>2.7962272819230191E-4</v>
      </c>
      <c r="M193" s="33"/>
      <c r="N193" s="18">
        <v>-9.7481236987090408E-7</v>
      </c>
      <c r="O193" s="18">
        <v>2.8446525421195311E-11</v>
      </c>
      <c r="P193" s="18">
        <v>7.5154914297162295E-9</v>
      </c>
      <c r="Q193" s="28">
        <v>3.8340363852379342</v>
      </c>
      <c r="R193" s="61">
        <v>314.42322342975245</v>
      </c>
      <c r="S193" s="58">
        <v>1.2059115784722921E-6</v>
      </c>
      <c r="U193" s="173">
        <v>1.1193472911318616E-4</v>
      </c>
      <c r="V193" s="175">
        <v>2.7962272819230191E-4</v>
      </c>
      <c r="W193" s="173">
        <v>3.177407599512385E-4</v>
      </c>
      <c r="X193" s="174">
        <f t="shared" si="16"/>
        <v>2.4723023636225711E-4</v>
      </c>
      <c r="Y193" s="188">
        <f t="shared" si="17"/>
        <v>12.305184272094358</v>
      </c>
      <c r="AA193" s="144">
        <f t="shared" si="18"/>
        <v>0.55282432931799996</v>
      </c>
      <c r="AB193" s="145">
        <f t="shared" si="19"/>
        <v>3.1158880440789957E-4</v>
      </c>
      <c r="AC193" s="145">
        <f t="shared" si="20"/>
        <v>1.8346883859957466E-5</v>
      </c>
      <c r="AD193" s="145">
        <f t="shared" si="23"/>
        <v>2.4723023636225711E-4</v>
      </c>
      <c r="AE193" s="146">
        <f t="shared" si="21"/>
        <v>18.457322342975246</v>
      </c>
      <c r="AF193" s="146">
        <f t="shared" si="22"/>
        <v>1.2059115784722921E-4</v>
      </c>
      <c r="AH193" s="183"/>
      <c r="AI193" s="183"/>
      <c r="AJ193" s="183"/>
    </row>
    <row r="194" spans="9:36" x14ac:dyDescent="0.25">
      <c r="I194" s="126">
        <v>5.5835257261100002E-2</v>
      </c>
      <c r="J194" s="50">
        <v>3.3321994005114239E-4</v>
      </c>
      <c r="K194" s="50">
        <v>1.9052815752714171E-5</v>
      </c>
      <c r="L194" s="67">
        <v>2.9302772332421683E-4</v>
      </c>
      <c r="M194" s="33"/>
      <c r="N194" s="18">
        <v>-1.0334943032341363E-6</v>
      </c>
      <c r="O194" s="18">
        <v>3.6448273377120487E-11</v>
      </c>
      <c r="P194" s="18">
        <v>1.0297762561523733E-8</v>
      </c>
      <c r="Q194" s="28">
        <v>3.8340363852379342</v>
      </c>
      <c r="R194" s="61">
        <v>318.25725981499039</v>
      </c>
      <c r="S194" s="58">
        <v>1.2059115784722921E-6</v>
      </c>
      <c r="U194" s="173">
        <v>1.4629879636487547E-4</v>
      </c>
      <c r="V194" s="175">
        <v>2.9302772332421683E-4</v>
      </c>
      <c r="W194" s="173">
        <v>2.8536015847281285E-4</v>
      </c>
      <c r="X194" s="174">
        <f t="shared" si="16"/>
        <v>2.544286003715305E-4</v>
      </c>
      <c r="Y194" s="188">
        <f t="shared" si="17"/>
        <v>17.101674422840279</v>
      </c>
      <c r="AA194" s="144">
        <f t="shared" si="18"/>
        <v>0.55835257261100002</v>
      </c>
      <c r="AB194" s="145">
        <f t="shared" si="19"/>
        <v>3.3321994005114239E-4</v>
      </c>
      <c r="AC194" s="145">
        <f t="shared" si="20"/>
        <v>1.9052815752714171E-5</v>
      </c>
      <c r="AD194" s="145">
        <f t="shared" si="23"/>
        <v>2.544286003715305E-4</v>
      </c>
      <c r="AE194" s="146">
        <f t="shared" si="21"/>
        <v>18.840725981499041</v>
      </c>
      <c r="AF194" s="146">
        <f t="shared" si="22"/>
        <v>1.2059115784722921E-4</v>
      </c>
      <c r="AH194" s="183"/>
      <c r="AI194" s="183"/>
      <c r="AJ194" s="183"/>
    </row>
    <row r="195" spans="9:36" x14ac:dyDescent="0.25">
      <c r="I195" s="125">
        <v>5.6393609833799999E-2</v>
      </c>
      <c r="J195" s="50">
        <v>2.9285789784929691E-4</v>
      </c>
      <c r="K195" s="50">
        <v>1.7684819068995854E-5</v>
      </c>
      <c r="L195" s="67">
        <v>2.9502912086325418E-4</v>
      </c>
      <c r="M195" s="33"/>
      <c r="N195" s="18">
        <v>-1.1045899959077758E-6</v>
      </c>
      <c r="O195" s="18">
        <v>4.6121437703476689E-11</v>
      </c>
      <c r="P195" s="18">
        <v>1.3663323101401375E-8</v>
      </c>
      <c r="Q195" s="28">
        <v>3.8340363852379342</v>
      </c>
      <c r="R195" s="61">
        <v>318.25725981499039</v>
      </c>
      <c r="S195" s="58">
        <v>1.1833761909775076E-6</v>
      </c>
      <c r="U195" s="173">
        <v>1.7902963827274839E-4</v>
      </c>
      <c r="V195" s="175">
        <v>2.9502912086325418E-4</v>
      </c>
      <c r="W195" s="173">
        <v>2.4719613833732964E-4</v>
      </c>
      <c r="X195" s="174">
        <f t="shared" ref="X195:X256" si="24">(U195+2*V195+W195)/4</f>
        <v>2.5407100458414657E-4</v>
      </c>
      <c r="Y195" s="188">
        <f t="shared" ref="Y195:Y256" si="25">(J195-X195)*(J195-X195)/(K195*K195)</f>
        <v>4.8102621830579118</v>
      </c>
      <c r="AA195" s="144">
        <f t="shared" ref="AA195:AA256" si="26">I195*10</f>
        <v>0.56393609833799996</v>
      </c>
      <c r="AB195" s="145">
        <f t="shared" ref="AB195:AB256" si="27">J195</f>
        <v>2.9285789784929691E-4</v>
      </c>
      <c r="AC195" s="145">
        <f t="shared" ref="AC195:AC256" si="28">K195</f>
        <v>1.7684819068995854E-5</v>
      </c>
      <c r="AD195" s="145">
        <f t="shared" si="23"/>
        <v>2.5407100458414657E-4</v>
      </c>
      <c r="AE195" s="146">
        <f t="shared" ref="AE195:AE258" si="29">(R195-129.85)/10</f>
        <v>18.840725981499041</v>
      </c>
      <c r="AF195" s="146">
        <f t="shared" ref="AF195:AF258" si="30">S195*100</f>
        <v>1.1833761909775076E-4</v>
      </c>
      <c r="AH195" s="183"/>
      <c r="AI195" s="183"/>
      <c r="AJ195" s="183"/>
    </row>
    <row r="196" spans="9:36" x14ac:dyDescent="0.25">
      <c r="I196" s="125">
        <v>5.69575459321E-2</v>
      </c>
      <c r="J196" s="50">
        <v>2.9999033986283376E-4</v>
      </c>
      <c r="K196" s="50">
        <v>1.7157216591006596E-5</v>
      </c>
      <c r="L196" s="67">
        <v>2.858649574671502E-4</v>
      </c>
      <c r="M196" s="33"/>
      <c r="N196" s="18">
        <v>-1.1867421301807038E-6</v>
      </c>
      <c r="O196" s="18">
        <v>5.7252703342824674E-11</v>
      </c>
      <c r="P196" s="18">
        <v>1.7540818305500792E-8</v>
      </c>
      <c r="Q196" s="28">
        <v>3.8340363852379342</v>
      </c>
      <c r="R196" s="61">
        <v>322.09129620022833</v>
      </c>
      <c r="S196" s="58">
        <v>1.1833761909775076E-6</v>
      </c>
      <c r="U196" s="173">
        <v>2.0732933822746675E-4</v>
      </c>
      <c r="V196" s="175">
        <v>2.858649574671502E-4</v>
      </c>
      <c r="W196" s="173">
        <v>2.0691911153982535E-4</v>
      </c>
      <c r="X196" s="174">
        <f t="shared" si="24"/>
        <v>2.4649459117539812E-4</v>
      </c>
      <c r="Y196" s="188">
        <f t="shared" si="25"/>
        <v>9.7217594819498192</v>
      </c>
      <c r="AA196" s="144">
        <f t="shared" si="26"/>
        <v>0.56957545932099996</v>
      </c>
      <c r="AB196" s="145">
        <f t="shared" si="27"/>
        <v>2.9999033986283376E-4</v>
      </c>
      <c r="AC196" s="145">
        <f t="shared" si="28"/>
        <v>1.7157216591006596E-5</v>
      </c>
      <c r="AD196" s="145">
        <f t="shared" ref="AD196:AD256" si="31">X196</f>
        <v>2.4649459117539812E-4</v>
      </c>
      <c r="AE196" s="146">
        <f t="shared" si="29"/>
        <v>19.224129620022833</v>
      </c>
      <c r="AF196" s="146">
        <f t="shared" si="30"/>
        <v>1.1833761909775076E-4</v>
      </c>
      <c r="AH196" s="183"/>
      <c r="AI196" s="183"/>
      <c r="AJ196" s="183"/>
    </row>
    <row r="197" spans="9:36" x14ac:dyDescent="0.25">
      <c r="I197" s="125">
        <v>5.7527121391400003E-2</v>
      </c>
      <c r="J197" s="50">
        <v>2.3586071426272306E-4</v>
      </c>
      <c r="K197" s="50">
        <v>1.5277733199339485E-5</v>
      </c>
      <c r="L197" s="67">
        <v>2.6683877307924015E-4</v>
      </c>
      <c r="M197" s="33"/>
      <c r="N197" s="18">
        <v>-1.2773140041346234E-6</v>
      </c>
      <c r="O197" s="18">
        <v>6.9444211584400649E-11</v>
      </c>
      <c r="P197" s="18">
        <v>2.179573265194985E-8</v>
      </c>
      <c r="Q197" s="28">
        <v>3.8340363852379342</v>
      </c>
      <c r="R197" s="61">
        <v>322.09129620022833</v>
      </c>
      <c r="S197" s="58">
        <v>1.1512553662886627E-6</v>
      </c>
      <c r="U197" s="173">
        <v>2.2881178357780913E-4</v>
      </c>
      <c r="V197" s="175">
        <v>2.6683877307924015E-4</v>
      </c>
      <c r="W197" s="173">
        <v>1.6807152741206947E-4</v>
      </c>
      <c r="X197" s="174">
        <f t="shared" si="24"/>
        <v>2.326402142870897E-4</v>
      </c>
      <c r="Y197" s="188">
        <f t="shared" si="25"/>
        <v>4.443536556201181E-2</v>
      </c>
      <c r="AA197" s="144">
        <f t="shared" si="26"/>
        <v>0.57527121391400005</v>
      </c>
      <c r="AB197" s="145">
        <f t="shared" si="27"/>
        <v>2.3586071426272306E-4</v>
      </c>
      <c r="AC197" s="145">
        <f t="shared" si="28"/>
        <v>1.5277733199339485E-5</v>
      </c>
      <c r="AD197" s="145">
        <f t="shared" si="31"/>
        <v>2.326402142870897E-4</v>
      </c>
      <c r="AE197" s="146">
        <f t="shared" si="29"/>
        <v>19.224129620022833</v>
      </c>
      <c r="AF197" s="146">
        <f t="shared" si="30"/>
        <v>1.1512553662886627E-4</v>
      </c>
      <c r="AH197" s="183"/>
      <c r="AI197" s="183"/>
      <c r="AJ197" s="183"/>
    </row>
    <row r="198" spans="9:36" x14ac:dyDescent="0.25">
      <c r="I198" s="125">
        <v>5.81023926053E-2</v>
      </c>
      <c r="J198" s="50">
        <v>2.4739688216750196E-4</v>
      </c>
      <c r="K198" s="50">
        <v>1.5808113970298827E-5</v>
      </c>
      <c r="L198" s="67">
        <v>2.4014487665763968E-4</v>
      </c>
      <c r="M198" s="33"/>
      <c r="N198" s="18">
        <v>-1.3485850828172551E-6</v>
      </c>
      <c r="O198" s="18">
        <v>7.8958038941663491E-11</v>
      </c>
      <c r="P198" s="18">
        <v>2.512417149545152E-8</v>
      </c>
      <c r="Q198" s="28">
        <v>1.9170181926189671</v>
      </c>
      <c r="R198" s="61">
        <v>325.92533258546626</v>
      </c>
      <c r="S198" s="58">
        <v>1.1512553662886627E-6</v>
      </c>
      <c r="U198" s="173">
        <v>2.4175535777758462E-4</v>
      </c>
      <c r="V198" s="175">
        <v>2.4014487665763968E-4</v>
      </c>
      <c r="W198" s="173">
        <v>1.3365397103176578E-4</v>
      </c>
      <c r="X198" s="174">
        <f t="shared" si="24"/>
        <v>2.1392477053115745E-4</v>
      </c>
      <c r="Y198" s="188">
        <f t="shared" si="25"/>
        <v>4.4833857377425561</v>
      </c>
      <c r="AA198" s="144">
        <f t="shared" si="26"/>
        <v>0.58102392605300002</v>
      </c>
      <c r="AB198" s="145">
        <f t="shared" si="27"/>
        <v>2.4739688216750196E-4</v>
      </c>
      <c r="AC198" s="145">
        <f t="shared" si="28"/>
        <v>1.5808113970298827E-5</v>
      </c>
      <c r="AD198" s="145">
        <f t="shared" si="31"/>
        <v>2.1392477053115745E-4</v>
      </c>
      <c r="AE198" s="146">
        <f t="shared" si="29"/>
        <v>19.607533258546628</v>
      </c>
      <c r="AF198" s="146">
        <f t="shared" si="30"/>
        <v>1.1512553662886627E-4</v>
      </c>
      <c r="AH198" s="183"/>
      <c r="AI198" s="183"/>
      <c r="AJ198" s="183"/>
    </row>
    <row r="199" spans="9:36" x14ac:dyDescent="0.25">
      <c r="I199" s="125">
        <v>5.8683416531400003E-2</v>
      </c>
      <c r="J199" s="50">
        <v>2.1063619192692072E-4</v>
      </c>
      <c r="K199" s="50">
        <v>1.444973806701275E-5</v>
      </c>
      <c r="L199" s="67">
        <v>2.0858763111142052E-4</v>
      </c>
      <c r="M199" s="33"/>
      <c r="N199" s="18">
        <v>-1.3778776547582463E-6</v>
      </c>
      <c r="O199" s="18">
        <v>8.269120153968536E-11</v>
      </c>
      <c r="P199" s="18">
        <v>2.6448269959297896E-8</v>
      </c>
      <c r="Q199" s="28">
        <v>1.597400473337921</v>
      </c>
      <c r="R199" s="61">
        <v>325.92533258546626</v>
      </c>
      <c r="S199" s="58">
        <v>1.1080921965111453E-6</v>
      </c>
      <c r="U199" s="173">
        <v>2.4528267371219133E-4</v>
      </c>
      <c r="V199" s="175">
        <v>2.0858763111142052E-4</v>
      </c>
      <c r="W199" s="173">
        <v>1.0580049964923298E-4</v>
      </c>
      <c r="X199" s="174">
        <f t="shared" si="24"/>
        <v>1.9206460889606634E-4</v>
      </c>
      <c r="Y199" s="188">
        <f t="shared" si="25"/>
        <v>1.6518777344489421</v>
      </c>
      <c r="AA199" s="144">
        <f t="shared" si="26"/>
        <v>0.58683416531400001</v>
      </c>
      <c r="AB199" s="145">
        <f t="shared" si="27"/>
        <v>2.1063619192692072E-4</v>
      </c>
      <c r="AC199" s="145">
        <f t="shared" si="28"/>
        <v>1.444973806701275E-5</v>
      </c>
      <c r="AD199" s="145">
        <f t="shared" si="31"/>
        <v>1.9206460889606634E-4</v>
      </c>
      <c r="AE199" s="146">
        <f t="shared" si="29"/>
        <v>19.607533258546628</v>
      </c>
      <c r="AF199" s="146">
        <f t="shared" si="30"/>
        <v>1.1080921965111453E-4</v>
      </c>
      <c r="AH199" s="183"/>
      <c r="AI199" s="183"/>
      <c r="AJ199" s="183"/>
    </row>
    <row r="200" spans="9:36" x14ac:dyDescent="0.25">
      <c r="I200" s="125">
        <v>5.92702506967E-2</v>
      </c>
      <c r="J200" s="50">
        <v>1.8202557877982817E-4</v>
      </c>
      <c r="K200" s="50">
        <v>1.3610860633222059E-5</v>
      </c>
      <c r="L200" s="67">
        <v>1.7523104790801426E-4</v>
      </c>
      <c r="M200" s="33"/>
      <c r="N200" s="18">
        <v>-1.4374386214487644E-6</v>
      </c>
      <c r="O200" s="18">
        <v>9.0508795871647905E-11</v>
      </c>
      <c r="P200" s="18">
        <v>2.9196837778386953E-8</v>
      </c>
      <c r="Q200" s="28">
        <v>3.194800946675842</v>
      </c>
      <c r="R200" s="61">
        <v>329.7593689707042</v>
      </c>
      <c r="S200" s="58">
        <v>1.1080921965111453E-6</v>
      </c>
      <c r="U200" s="173">
        <v>2.3944354844912828E-4</v>
      </c>
      <c r="V200" s="175">
        <v>1.7523104790801426E-4</v>
      </c>
      <c r="W200" s="173">
        <v>8.5588358410061457E-5</v>
      </c>
      <c r="X200" s="174">
        <f t="shared" si="24"/>
        <v>1.6887350066880456E-4</v>
      </c>
      <c r="Y200" s="188">
        <f t="shared" si="25"/>
        <v>0.93372198538078344</v>
      </c>
      <c r="AA200" s="144">
        <f t="shared" si="26"/>
        <v>0.592702506967</v>
      </c>
      <c r="AB200" s="145">
        <f t="shared" si="27"/>
        <v>1.8202557877982817E-4</v>
      </c>
      <c r="AC200" s="145">
        <f t="shared" si="28"/>
        <v>1.3610860633222059E-5</v>
      </c>
      <c r="AD200" s="145">
        <f t="shared" si="31"/>
        <v>1.6887350066880456E-4</v>
      </c>
      <c r="AE200" s="146">
        <f t="shared" si="29"/>
        <v>19.990936897070419</v>
      </c>
      <c r="AF200" s="146">
        <f t="shared" si="30"/>
        <v>1.1080921965111453E-4</v>
      </c>
      <c r="AH200" s="183"/>
      <c r="AI200" s="183"/>
      <c r="AJ200" s="183"/>
    </row>
    <row r="201" spans="9:36" x14ac:dyDescent="0.25">
      <c r="I201" s="125">
        <v>5.9862953203699998E-2</v>
      </c>
      <c r="J201" s="50">
        <v>1.0592445148238156E-4</v>
      </c>
      <c r="K201" s="50">
        <v>1.0482624414248935E-5</v>
      </c>
      <c r="L201" s="67">
        <v>1.4302574917363117E-4</v>
      </c>
      <c r="M201" s="33"/>
      <c r="N201" s="18">
        <v>-1.5152366819250532E-6</v>
      </c>
      <c r="O201" s="18">
        <v>1.0057181425851654E-10</v>
      </c>
      <c r="P201" s="18">
        <v>3.2750233978530859E-8</v>
      </c>
      <c r="Q201" s="28">
        <v>3.194800946675842</v>
      </c>
      <c r="R201" s="61">
        <v>329.7593689707042</v>
      </c>
      <c r="S201" s="58">
        <v>1.0530262210713679E-6</v>
      </c>
      <c r="U201" s="173">
        <v>2.2518900760569029E-4</v>
      </c>
      <c r="V201" s="175">
        <v>1.4302574917363117E-4</v>
      </c>
      <c r="W201" s="173">
        <v>7.3006851417289724E-5</v>
      </c>
      <c r="X201" s="174">
        <f t="shared" si="24"/>
        <v>1.4606183934256058E-4</v>
      </c>
      <c r="Y201" s="188">
        <f t="shared" si="25"/>
        <v>14.660816541968902</v>
      </c>
      <c r="AA201" s="144">
        <f t="shared" si="26"/>
        <v>0.59862953203699998</v>
      </c>
      <c r="AB201" s="145">
        <f t="shared" si="27"/>
        <v>1.0592445148238156E-4</v>
      </c>
      <c r="AC201" s="145">
        <f t="shared" si="28"/>
        <v>1.0482624414248935E-5</v>
      </c>
      <c r="AD201" s="145">
        <f t="shared" si="31"/>
        <v>1.4606183934256058E-4</v>
      </c>
      <c r="AE201" s="146">
        <f t="shared" si="29"/>
        <v>19.990936897070419</v>
      </c>
      <c r="AF201" s="146">
        <f t="shared" si="30"/>
        <v>1.0530262210713679E-4</v>
      </c>
      <c r="AH201" s="183"/>
      <c r="AI201" s="183"/>
      <c r="AJ201" s="183"/>
    </row>
    <row r="202" spans="9:36" x14ac:dyDescent="0.25">
      <c r="I202" s="125">
        <v>6.0461582735700001E-2</v>
      </c>
      <c r="J202" s="50">
        <v>1.3429559131796057E-4</v>
      </c>
      <c r="K202" s="50">
        <v>1.1765626570727721E-5</v>
      </c>
      <c r="L202" s="67">
        <v>1.1446460901600618E-4</v>
      </c>
      <c r="M202" s="33"/>
      <c r="N202" s="18">
        <v>-1.5892471557716475E-6</v>
      </c>
      <c r="O202" s="18">
        <v>1.0993174817206953E-10</v>
      </c>
      <c r="P202" s="18">
        <v>3.6077778826710029E-8</v>
      </c>
      <c r="Q202" s="28">
        <v>3.194800946675842</v>
      </c>
      <c r="R202" s="61">
        <v>333.59340535594214</v>
      </c>
      <c r="S202" s="58">
        <v>1.0530262210713679E-6</v>
      </c>
      <c r="U202" s="173">
        <v>2.0423805637354448E-4</v>
      </c>
      <c r="V202" s="175">
        <v>1.1446460901600618E-4</v>
      </c>
      <c r="W202" s="173">
        <v>6.7085030624399012E-5</v>
      </c>
      <c r="X202" s="174">
        <f t="shared" si="24"/>
        <v>1.2506307625748898E-4</v>
      </c>
      <c r="Y202" s="188">
        <f t="shared" si="25"/>
        <v>0.61575781026882104</v>
      </c>
      <c r="AA202" s="144">
        <f t="shared" si="26"/>
        <v>0.60461582735700004</v>
      </c>
      <c r="AB202" s="145">
        <f t="shared" si="27"/>
        <v>1.3429559131796057E-4</v>
      </c>
      <c r="AC202" s="145">
        <f t="shared" si="28"/>
        <v>1.1765626570727721E-5</v>
      </c>
      <c r="AD202" s="145">
        <f t="shared" si="31"/>
        <v>1.2506307625748898E-4</v>
      </c>
      <c r="AE202" s="146">
        <f t="shared" si="29"/>
        <v>20.374340535594214</v>
      </c>
      <c r="AF202" s="146">
        <f t="shared" si="30"/>
        <v>1.0530262210713679E-4</v>
      </c>
      <c r="AH202" s="183"/>
      <c r="AI202" s="183"/>
      <c r="AJ202" s="183"/>
    </row>
    <row r="203" spans="9:36" x14ac:dyDescent="0.25">
      <c r="I203" s="125">
        <v>6.1066198563099999E-2</v>
      </c>
      <c r="J203" s="50">
        <v>9.9881624698154508E-5</v>
      </c>
      <c r="K203" s="50">
        <v>1.0067348725721137E-5</v>
      </c>
      <c r="L203" s="67">
        <v>9.1314973049128563E-5</v>
      </c>
      <c r="M203" s="33"/>
      <c r="N203" s="18">
        <v>-1.6577788948215969E-6</v>
      </c>
      <c r="O203" s="18">
        <v>1.1833157865669687E-10</v>
      </c>
      <c r="P203" s="18">
        <v>3.9092740171934527E-8</v>
      </c>
      <c r="Q203" s="28">
        <v>3.194800946675842</v>
      </c>
      <c r="R203" s="61">
        <v>333.59340535594214</v>
      </c>
      <c r="S203" s="58">
        <v>9.8617244836772896E-7</v>
      </c>
      <c r="U203" s="173">
        <v>1.7885344378871677E-4</v>
      </c>
      <c r="V203" s="175">
        <v>9.1314973049128563E-5</v>
      </c>
      <c r="W203" s="173">
        <v>6.6152119468680133E-5</v>
      </c>
      <c r="X203" s="174">
        <f t="shared" si="24"/>
        <v>1.069088773389135E-4</v>
      </c>
      <c r="Y203" s="188">
        <f t="shared" si="25"/>
        <v>0.48723772836809764</v>
      </c>
      <c r="AA203" s="144">
        <f t="shared" si="26"/>
        <v>0.61066198563100005</v>
      </c>
      <c r="AB203" s="145">
        <f t="shared" si="27"/>
        <v>9.9881624698154508E-5</v>
      </c>
      <c r="AC203" s="145">
        <f t="shared" si="28"/>
        <v>1.0067348725721137E-5</v>
      </c>
      <c r="AD203" s="145">
        <f t="shared" si="31"/>
        <v>1.069088773389135E-4</v>
      </c>
      <c r="AE203" s="146">
        <f t="shared" si="29"/>
        <v>20.374340535594214</v>
      </c>
      <c r="AF203" s="146">
        <f t="shared" si="30"/>
        <v>9.8617244836772893E-5</v>
      </c>
      <c r="AH203" s="183"/>
      <c r="AI203" s="183"/>
      <c r="AJ203" s="183"/>
    </row>
    <row r="204" spans="9:36" x14ac:dyDescent="0.25">
      <c r="I204" s="125">
        <v>6.1676860548700002E-2</v>
      </c>
      <c r="J204" s="50">
        <v>6.7912819662446257E-5</v>
      </c>
      <c r="K204" s="50">
        <v>8.4114760335127417E-6</v>
      </c>
      <c r="L204" s="67">
        <v>7.4464304634044875E-5</v>
      </c>
      <c r="M204" s="33"/>
      <c r="N204" s="18">
        <v>-1.7197165107537109E-6</v>
      </c>
      <c r="O204" s="18">
        <v>1.2559668996607843E-10</v>
      </c>
      <c r="P204" s="18">
        <v>4.1736649672835945E-8</v>
      </c>
      <c r="Q204" s="28">
        <v>3.194800946675842</v>
      </c>
      <c r="R204" s="61">
        <v>337.42744174118008</v>
      </c>
      <c r="S204" s="58">
        <v>9.8617244836772896E-7</v>
      </c>
      <c r="U204" s="173">
        <v>1.5155558730580601E-4</v>
      </c>
      <c r="V204" s="175">
        <v>7.4464304634044875E-5</v>
      </c>
      <c r="W204" s="173">
        <v>6.8182773205331798E-5</v>
      </c>
      <c r="X204" s="174">
        <f t="shared" si="24"/>
        <v>9.2166742444806899E-5</v>
      </c>
      <c r="Y204" s="188">
        <f t="shared" si="25"/>
        <v>8.3141825805437168</v>
      </c>
      <c r="AA204" s="144">
        <f t="shared" si="26"/>
        <v>0.61676860548700008</v>
      </c>
      <c r="AB204" s="145">
        <f t="shared" si="27"/>
        <v>6.7912819662446257E-5</v>
      </c>
      <c r="AC204" s="145">
        <f t="shared" si="28"/>
        <v>8.4114760335127417E-6</v>
      </c>
      <c r="AD204" s="145">
        <f t="shared" si="31"/>
        <v>9.2166742444806899E-5</v>
      </c>
      <c r="AE204" s="146">
        <f t="shared" si="29"/>
        <v>20.75774417411801</v>
      </c>
      <c r="AF204" s="146">
        <f t="shared" si="30"/>
        <v>9.8617244836772893E-5</v>
      </c>
      <c r="AH204" s="183"/>
      <c r="AI204" s="183"/>
      <c r="AJ204" s="183"/>
    </row>
    <row r="205" spans="9:36" x14ac:dyDescent="0.25">
      <c r="I205" s="126">
        <v>6.2293629154200003E-2</v>
      </c>
      <c r="J205" s="50">
        <v>7.5505068334946022E-5</v>
      </c>
      <c r="K205" s="50">
        <v>8.7387748286007622E-6</v>
      </c>
      <c r="L205" s="67">
        <v>6.3898770550605626E-5</v>
      </c>
      <c r="M205" s="33"/>
      <c r="N205" s="18">
        <v>-1.7745665081014703E-6</v>
      </c>
      <c r="O205" s="18">
        <v>1.3164187773162609E-10</v>
      </c>
      <c r="P205" s="18">
        <v>4.3981668009783068E-8</v>
      </c>
      <c r="Q205" s="28">
        <v>3.194800946675842</v>
      </c>
      <c r="R205" s="61">
        <v>337.42744174118008</v>
      </c>
      <c r="S205" s="58">
        <v>9.0886997260503099E-7</v>
      </c>
      <c r="U205" s="173">
        <v>1.2481315159702141E-4</v>
      </c>
      <c r="V205" s="175">
        <v>6.3898770550605626E-5</v>
      </c>
      <c r="W205" s="173">
        <v>7.1165551667225059E-5</v>
      </c>
      <c r="X205" s="174">
        <f t="shared" si="24"/>
        <v>8.0944061091364433E-5</v>
      </c>
      <c r="Y205" s="188">
        <f t="shared" si="25"/>
        <v>0.38737881182294176</v>
      </c>
      <c r="AA205" s="144">
        <f t="shared" si="26"/>
        <v>0.62293629154200003</v>
      </c>
      <c r="AB205" s="145">
        <f t="shared" si="27"/>
        <v>7.5505068334946022E-5</v>
      </c>
      <c r="AC205" s="145">
        <f t="shared" si="28"/>
        <v>8.7387748286007622E-6</v>
      </c>
      <c r="AD205" s="145">
        <f t="shared" si="31"/>
        <v>8.0944061091364433E-5</v>
      </c>
      <c r="AE205" s="146">
        <f t="shared" si="29"/>
        <v>20.75774417411801</v>
      </c>
      <c r="AF205" s="146">
        <f t="shared" si="30"/>
        <v>9.0886997260503097E-5</v>
      </c>
      <c r="AH205" s="183"/>
      <c r="AI205" s="183"/>
      <c r="AJ205" s="183"/>
    </row>
    <row r="206" spans="9:36" x14ac:dyDescent="0.25">
      <c r="I206" s="126">
        <v>6.2916565445699998E-2</v>
      </c>
      <c r="J206" s="50">
        <v>4.8487114949923046E-5</v>
      </c>
      <c r="K206" s="50">
        <v>7.5666030832734637E-6</v>
      </c>
      <c r="L206" s="67">
        <v>5.8813243650438395E-5</v>
      </c>
      <c r="M206" s="33"/>
      <c r="N206" s="18">
        <v>-1.822420196909214E-6</v>
      </c>
      <c r="O206" s="18">
        <v>1.3646654211519041E-10</v>
      </c>
      <c r="P206" s="18">
        <v>4.5828888535701405E-8</v>
      </c>
      <c r="Q206" s="28">
        <v>3.194800946675842</v>
      </c>
      <c r="R206" s="61">
        <v>341.26147812641801</v>
      </c>
      <c r="S206" s="58">
        <v>9.0886997260503099E-7</v>
      </c>
      <c r="U206" s="173">
        <v>1.0075279136269583E-4</v>
      </c>
      <c r="V206" s="175">
        <v>5.8813243650438395E-5</v>
      </c>
      <c r="W206" s="173">
        <v>7.3430238061851434E-5</v>
      </c>
      <c r="X206" s="174">
        <f t="shared" si="24"/>
        <v>7.2952379181356007E-5</v>
      </c>
      <c r="Y206" s="188">
        <f t="shared" si="25"/>
        <v>10.454371170227269</v>
      </c>
      <c r="AA206" s="144">
        <f t="shared" si="26"/>
        <v>0.62916565445700001</v>
      </c>
      <c r="AB206" s="145">
        <f t="shared" si="27"/>
        <v>4.8487114949923046E-5</v>
      </c>
      <c r="AC206" s="145">
        <f t="shared" si="28"/>
        <v>7.5666030832734637E-6</v>
      </c>
      <c r="AD206" s="145">
        <f t="shared" si="31"/>
        <v>7.2952379181356007E-5</v>
      </c>
      <c r="AE206" s="146">
        <f t="shared" si="29"/>
        <v>21.141147812641801</v>
      </c>
      <c r="AF206" s="146">
        <f t="shared" si="30"/>
        <v>9.0886997260503097E-5</v>
      </c>
      <c r="AH206" s="183"/>
      <c r="AI206" s="183"/>
      <c r="AJ206" s="183"/>
    </row>
    <row r="207" spans="9:36" x14ac:dyDescent="0.25">
      <c r="I207" s="126">
        <v>6.3545731100199995E-2</v>
      </c>
      <c r="J207" s="50">
        <v>4.1120013257771921E-5</v>
      </c>
      <c r="K207" s="50">
        <v>7.6492571882711334E-6</v>
      </c>
      <c r="L207" s="67">
        <v>5.7829930447194814E-5</v>
      </c>
      <c r="M207" s="33"/>
      <c r="N207" s="18">
        <v>-1.8638502973596774E-6</v>
      </c>
      <c r="O207" s="18">
        <v>1.4014046052235567E-10</v>
      </c>
      <c r="P207" s="18">
        <v>4.7303403155424487E-8</v>
      </c>
      <c r="Q207" s="28">
        <v>3.194800946675842</v>
      </c>
      <c r="R207" s="61">
        <v>341.26147812641801</v>
      </c>
      <c r="S207" s="58">
        <v>8.2371580320200094E-7</v>
      </c>
      <c r="U207" s="173">
        <v>8.0928274635763345E-5</v>
      </c>
      <c r="V207" s="175">
        <v>5.7829930447194814E-5</v>
      </c>
      <c r="W207" s="173">
        <v>7.3878821911098412E-5</v>
      </c>
      <c r="X207" s="174">
        <f t="shared" si="24"/>
        <v>6.7616739360312853E-5</v>
      </c>
      <c r="Y207" s="188">
        <f t="shared" si="25"/>
        <v>11.99902356646786</v>
      </c>
      <c r="AA207" s="144">
        <f t="shared" si="26"/>
        <v>0.63545731100199998</v>
      </c>
      <c r="AB207" s="145">
        <f t="shared" si="27"/>
        <v>4.1120013257771921E-5</v>
      </c>
      <c r="AC207" s="145">
        <f t="shared" si="28"/>
        <v>7.6492571882711334E-6</v>
      </c>
      <c r="AD207" s="145">
        <f t="shared" si="31"/>
        <v>6.7616739360312853E-5</v>
      </c>
      <c r="AE207" s="146">
        <f t="shared" si="29"/>
        <v>21.141147812641801</v>
      </c>
      <c r="AF207" s="146">
        <f t="shared" si="30"/>
        <v>8.2371580320200099E-5</v>
      </c>
      <c r="AH207" s="183"/>
      <c r="AI207" s="183"/>
      <c r="AJ207" s="183"/>
    </row>
    <row r="208" spans="9:36" x14ac:dyDescent="0.25">
      <c r="I208" s="126">
        <v>6.4181188411200005E-2</v>
      </c>
      <c r="J208" s="50">
        <v>5.2689428163604469E-5</v>
      </c>
      <c r="K208" s="50">
        <v>7.7933788584139704E-6</v>
      </c>
      <c r="L208" s="67">
        <v>5.9285100468176177E-5</v>
      </c>
      <c r="M208" s="33"/>
      <c r="N208" s="18">
        <v>-1.8997673489206206E-6</v>
      </c>
      <c r="O208" s="18">
        <v>1.4278384169751905E-10</v>
      </c>
      <c r="P208" s="18">
        <v>4.8447403503388018E-8</v>
      </c>
      <c r="Q208" s="28">
        <v>3.194800946675842</v>
      </c>
      <c r="R208" s="61">
        <v>345.09551451165595</v>
      </c>
      <c r="S208" s="58">
        <v>8.2371580320200094E-7</v>
      </c>
      <c r="U208" s="173">
        <v>6.6180565872240064E-5</v>
      </c>
      <c r="V208" s="175">
        <v>5.9285100468176177E-5</v>
      </c>
      <c r="W208" s="173">
        <v>7.2084709136369915E-5</v>
      </c>
      <c r="X208" s="174">
        <f t="shared" si="24"/>
        <v>6.4208868986240583E-5</v>
      </c>
      <c r="Y208" s="188">
        <f t="shared" si="25"/>
        <v>2.1847976399756366</v>
      </c>
      <c r="AA208" s="144">
        <f t="shared" si="26"/>
        <v>0.64181188411200008</v>
      </c>
      <c r="AB208" s="145">
        <f t="shared" si="27"/>
        <v>5.2689428163604469E-5</v>
      </c>
      <c r="AC208" s="145">
        <f t="shared" si="28"/>
        <v>7.7933788584139704E-6</v>
      </c>
      <c r="AD208" s="145">
        <f t="shared" si="31"/>
        <v>6.4208868986240583E-5</v>
      </c>
      <c r="AE208" s="146">
        <f t="shared" si="29"/>
        <v>21.524551451165596</v>
      </c>
      <c r="AF208" s="146">
        <f t="shared" si="30"/>
        <v>8.2371580320200099E-5</v>
      </c>
      <c r="AH208" s="183"/>
      <c r="AI208" s="183"/>
      <c r="AJ208" s="183"/>
    </row>
    <row r="209" spans="9:36" x14ac:dyDescent="0.25">
      <c r="I209" s="125">
        <v>6.4823000295299998E-2</v>
      </c>
      <c r="J209" s="50">
        <v>5.0929834318241847E-5</v>
      </c>
      <c r="K209" s="50">
        <v>8.0617137537205485E-6</v>
      </c>
      <c r="L209" s="67">
        <v>6.1532576037596739E-5</v>
      </c>
      <c r="M209" s="33"/>
      <c r="N209" s="18">
        <v>-1.9312644260122561E-6</v>
      </c>
      <c r="O209" s="18">
        <v>1.4454570092968303E-10</v>
      </c>
      <c r="P209" s="18">
        <v>4.9312706776918199E-8</v>
      </c>
      <c r="Q209" s="28">
        <v>3.194800946675842</v>
      </c>
      <c r="R209" s="61">
        <v>345.09551451165595</v>
      </c>
      <c r="S209" s="58">
        <v>7.568556231456998E-7</v>
      </c>
      <c r="U209" s="173">
        <v>5.6606515659317255E-5</v>
      </c>
      <c r="V209" s="175">
        <v>6.1532576037596739E-5</v>
      </c>
      <c r="W209" s="173">
        <v>6.8251438659244692E-5</v>
      </c>
      <c r="X209" s="174">
        <f t="shared" si="24"/>
        <v>6.1980776598438849E-5</v>
      </c>
      <c r="Y209" s="188">
        <f t="shared" si="25"/>
        <v>1.8790739584828577</v>
      </c>
      <c r="AA209" s="144">
        <f t="shared" si="26"/>
        <v>0.64823000295299993</v>
      </c>
      <c r="AB209" s="145">
        <f t="shared" si="27"/>
        <v>5.0929834318241847E-5</v>
      </c>
      <c r="AC209" s="145">
        <f t="shared" si="28"/>
        <v>8.0617137537205485E-6</v>
      </c>
      <c r="AD209" s="145">
        <f t="shared" si="31"/>
        <v>6.1980776598438849E-5</v>
      </c>
      <c r="AE209" s="146">
        <f t="shared" si="29"/>
        <v>21.524551451165596</v>
      </c>
      <c r="AF209" s="146">
        <f t="shared" si="30"/>
        <v>7.568556231456998E-5</v>
      </c>
      <c r="AH209" s="183"/>
      <c r="AI209" s="183"/>
      <c r="AJ209" s="183"/>
    </row>
    <row r="210" spans="9:36" x14ac:dyDescent="0.25">
      <c r="I210" s="125">
        <v>6.5471230298199998E-2</v>
      </c>
      <c r="J210" s="50">
        <v>6.0403781219452224E-5</v>
      </c>
      <c r="K210" s="50">
        <v>8.3536232134808803E-6</v>
      </c>
      <c r="L210" s="70">
        <v>6.3211013631832928E-5</v>
      </c>
      <c r="M210" s="18"/>
      <c r="N210" s="18">
        <v>-1.9594748571400465E-6</v>
      </c>
      <c r="O210" s="18">
        <v>1.4558405264120633E-10</v>
      </c>
      <c r="P210" s="18">
        <v>4.9953909072928643E-8</v>
      </c>
      <c r="Q210" s="28">
        <v>3.194800946675842</v>
      </c>
      <c r="R210" s="61">
        <v>347.01253270427492</v>
      </c>
      <c r="S210" s="58">
        <v>7.568556231456998E-7</v>
      </c>
      <c r="U210" s="173">
        <v>5.163664295600579E-5</v>
      </c>
      <c r="V210" s="175">
        <v>6.3211013631832928E-5</v>
      </c>
      <c r="W210" s="173">
        <v>6.3050622907611831E-5</v>
      </c>
      <c r="X210" s="174">
        <f t="shared" si="24"/>
        <v>6.0277323281820875E-5</v>
      </c>
      <c r="Y210" s="188">
        <f t="shared" si="25"/>
        <v>2.2916190512094707E-4</v>
      </c>
      <c r="AA210" s="144">
        <f t="shared" si="26"/>
        <v>0.65471230298200001</v>
      </c>
      <c r="AB210" s="145">
        <f t="shared" si="27"/>
        <v>6.0403781219452224E-5</v>
      </c>
      <c r="AC210" s="145">
        <f t="shared" si="28"/>
        <v>8.3536232134808803E-6</v>
      </c>
      <c r="AD210" s="145">
        <f t="shared" si="31"/>
        <v>6.0277323281820875E-5</v>
      </c>
      <c r="AE210" s="146">
        <f t="shared" si="29"/>
        <v>21.716253270427494</v>
      </c>
      <c r="AF210" s="146">
        <f t="shared" si="30"/>
        <v>7.568556231456998E-5</v>
      </c>
      <c r="AH210" s="183"/>
      <c r="AI210" s="183"/>
      <c r="AJ210" s="183"/>
    </row>
    <row r="211" spans="9:36" x14ac:dyDescent="0.25">
      <c r="I211" s="125">
        <v>6.61259426012E-2</v>
      </c>
      <c r="J211" s="50">
        <v>4.4140386214358991E-5</v>
      </c>
      <c r="K211" s="50">
        <v>7.3494901297217701E-6</v>
      </c>
      <c r="L211" s="70">
        <v>6.3430202520869887E-5</v>
      </c>
      <c r="M211" s="18"/>
      <c r="N211" s="18">
        <v>-1.9854597622063735E-6</v>
      </c>
      <c r="O211" s="18">
        <v>1.460502935147993E-10</v>
      </c>
      <c r="P211" s="18">
        <v>5.0422983378739419E-8</v>
      </c>
      <c r="Q211" s="28">
        <v>3.194800946675842</v>
      </c>
      <c r="R211" s="61">
        <v>347.01253270427492</v>
      </c>
      <c r="S211" s="58">
        <v>7.0805157290880042E-7</v>
      </c>
      <c r="U211" s="173">
        <v>5.0204912733909024E-5</v>
      </c>
      <c r="V211" s="175">
        <v>6.3430202520869887E-5</v>
      </c>
      <c r="W211" s="173">
        <v>5.7383057760621314E-5</v>
      </c>
      <c r="X211" s="174">
        <f t="shared" si="24"/>
        <v>5.8612093884067527E-5</v>
      </c>
      <c r="Y211" s="188">
        <f t="shared" si="25"/>
        <v>3.8772619243573563</v>
      </c>
      <c r="AA211" s="144">
        <f t="shared" si="26"/>
        <v>0.66125942601199994</v>
      </c>
      <c r="AB211" s="145">
        <f t="shared" si="27"/>
        <v>4.4140386214358991E-5</v>
      </c>
      <c r="AC211" s="145">
        <f t="shared" si="28"/>
        <v>7.3494901297217701E-6</v>
      </c>
      <c r="AD211" s="145">
        <f t="shared" si="31"/>
        <v>5.8612093884067527E-5</v>
      </c>
      <c r="AE211" s="146">
        <f t="shared" si="29"/>
        <v>21.716253270427494</v>
      </c>
      <c r="AF211" s="146">
        <f t="shared" si="30"/>
        <v>7.0805157290880038E-5</v>
      </c>
      <c r="AH211" s="183"/>
      <c r="AI211" s="183"/>
      <c r="AJ211" s="183"/>
    </row>
    <row r="212" spans="9:36" x14ac:dyDescent="0.25">
      <c r="I212" s="125">
        <v>6.6787202027199996E-2</v>
      </c>
      <c r="J212" s="50">
        <v>5.147779254228091E-5</v>
      </c>
      <c r="K212" s="50">
        <v>7.6411176652909156E-6</v>
      </c>
      <c r="L212" s="70">
        <v>6.1848343757595192E-5</v>
      </c>
      <c r="M212" s="18"/>
      <c r="N212" s="18">
        <v>-2.010132970691408E-6</v>
      </c>
      <c r="O212" s="18">
        <v>1.4607883221968769E-10</v>
      </c>
      <c r="P212" s="18">
        <v>5.0765686940952766E-8</v>
      </c>
      <c r="Q212" s="28">
        <v>3.194800946675842</v>
      </c>
      <c r="R212" s="61">
        <v>349.26107823335985</v>
      </c>
      <c r="S212" s="58">
        <v>7.0805157290880042E-7</v>
      </c>
      <c r="U212" s="173">
        <v>5.097849611272995E-5</v>
      </c>
      <c r="V212" s="175">
        <v>6.1848343757595192E-5</v>
      </c>
      <c r="W212" s="173">
        <v>5.2121594106105191E-5</v>
      </c>
      <c r="X212" s="174">
        <f t="shared" si="24"/>
        <v>5.6699194433506378E-5</v>
      </c>
      <c r="Y212" s="188">
        <f t="shared" si="25"/>
        <v>0.46693934464164577</v>
      </c>
      <c r="AA212" s="144">
        <f t="shared" si="26"/>
        <v>0.66787202027199999</v>
      </c>
      <c r="AB212" s="145">
        <f t="shared" si="27"/>
        <v>5.147779254228091E-5</v>
      </c>
      <c r="AC212" s="145">
        <f t="shared" si="28"/>
        <v>7.6411176652909156E-6</v>
      </c>
      <c r="AD212" s="145">
        <f t="shared" si="31"/>
        <v>5.6699194433506378E-5</v>
      </c>
      <c r="AE212" s="146">
        <f t="shared" si="29"/>
        <v>21.941107823335987</v>
      </c>
      <c r="AF212" s="146">
        <f t="shared" si="30"/>
        <v>7.0805157290880038E-5</v>
      </c>
      <c r="AH212" s="183"/>
      <c r="AI212" s="183"/>
      <c r="AJ212" s="183"/>
    </row>
    <row r="213" spans="9:36" x14ac:dyDescent="0.25">
      <c r="I213" s="125">
        <v>6.7455074047499994E-2</v>
      </c>
      <c r="J213" s="50">
        <v>5.938411253471428E-5</v>
      </c>
      <c r="K213" s="50">
        <v>8.0417515890652083E-6</v>
      </c>
      <c r="L213" s="70">
        <v>5.8634467219040347E-5</v>
      </c>
      <c r="M213" s="18"/>
      <c r="N213" s="18">
        <v>-2.0342226619028735E-6</v>
      </c>
      <c r="O213" s="18">
        <v>1.4578185262096179E-10</v>
      </c>
      <c r="P213" s="18">
        <v>5.101974100377953E-8</v>
      </c>
      <c r="Q213" s="28">
        <v>3.194800946675842</v>
      </c>
      <c r="R213" s="61">
        <v>349.26107823335985</v>
      </c>
      <c r="S213" s="58">
        <v>6.5546921905035161E-7</v>
      </c>
      <c r="U213" s="173">
        <v>5.2606053562500617E-5</v>
      </c>
      <c r="V213" s="175">
        <v>5.8634467219040347E-5</v>
      </c>
      <c r="W213" s="173">
        <v>4.7895880363508616E-5</v>
      </c>
      <c r="X213" s="174">
        <f t="shared" si="24"/>
        <v>5.4442717091022485E-5</v>
      </c>
      <c r="Y213" s="188">
        <f t="shared" si="25"/>
        <v>0.37757037719319636</v>
      </c>
      <c r="AA213" s="144">
        <f t="shared" si="26"/>
        <v>0.67455074047499997</v>
      </c>
      <c r="AB213" s="145">
        <f t="shared" si="27"/>
        <v>5.938411253471428E-5</v>
      </c>
      <c r="AC213" s="145">
        <f t="shared" si="28"/>
        <v>8.0417515890652083E-6</v>
      </c>
      <c r="AD213" s="145">
        <f t="shared" si="31"/>
        <v>5.4442717091022485E-5</v>
      </c>
      <c r="AE213" s="146">
        <f t="shared" si="29"/>
        <v>21.941107823335987</v>
      </c>
      <c r="AF213" s="146">
        <f t="shared" si="30"/>
        <v>6.5546921905035166E-5</v>
      </c>
      <c r="AH213" s="183"/>
      <c r="AI213" s="183"/>
      <c r="AJ213" s="183"/>
    </row>
    <row r="214" spans="9:36" x14ac:dyDescent="0.25">
      <c r="I214" s="125">
        <v>6.8129624787999998E-2</v>
      </c>
      <c r="J214" s="50">
        <v>5.7507235050009035E-5</v>
      </c>
      <c r="K214" s="50">
        <v>8.2627692962011571E-6</v>
      </c>
      <c r="L214" s="70">
        <v>5.4333401510056143E-5</v>
      </c>
      <c r="M214" s="18"/>
      <c r="N214" s="18">
        <v>-2.0582633843964601E-6</v>
      </c>
      <c r="O214" s="18">
        <v>1.4524829068442715E-10</v>
      </c>
      <c r="P214" s="18">
        <v>5.1214468574428841E-8</v>
      </c>
      <c r="Q214" s="28">
        <v>3.194800946675842</v>
      </c>
      <c r="R214" s="61">
        <v>351.54804086120453</v>
      </c>
      <c r="S214" s="58">
        <v>6.5546921905035161E-7</v>
      </c>
      <c r="U214" s="173">
        <v>5.3941046287459343E-5</v>
      </c>
      <c r="V214" s="175">
        <v>5.4333401510056143E-5</v>
      </c>
      <c r="W214" s="173">
        <v>4.4966740718050721E-5</v>
      </c>
      <c r="X214" s="174">
        <f t="shared" si="24"/>
        <v>5.1893647506405589E-5</v>
      </c>
      <c r="Y214" s="188">
        <f t="shared" si="25"/>
        <v>0.46156168016080273</v>
      </c>
      <c r="AA214" s="144">
        <f t="shared" si="26"/>
        <v>0.68129624787999998</v>
      </c>
      <c r="AB214" s="145">
        <f t="shared" si="27"/>
        <v>5.7507235050009035E-5</v>
      </c>
      <c r="AC214" s="145">
        <f t="shared" si="28"/>
        <v>8.2627692962011571E-6</v>
      </c>
      <c r="AD214" s="145">
        <f t="shared" si="31"/>
        <v>5.1893647506405589E-5</v>
      </c>
      <c r="AE214" s="146">
        <f t="shared" si="29"/>
        <v>22.169804086120454</v>
      </c>
      <c r="AF214" s="146">
        <f t="shared" si="30"/>
        <v>6.5546921905035166E-5</v>
      </c>
      <c r="AH214" s="183"/>
      <c r="AI214" s="183"/>
      <c r="AJ214" s="183"/>
    </row>
    <row r="215" spans="9:36" x14ac:dyDescent="0.25">
      <c r="I215" s="125">
        <v>6.8810921035900002E-2</v>
      </c>
      <c r="J215" s="50">
        <v>4.4859469524227981E-5</v>
      </c>
      <c r="K215" s="50">
        <v>7.2994878659185806E-6</v>
      </c>
      <c r="L215" s="70">
        <v>4.9670159293293146E-5</v>
      </c>
      <c r="M215" s="18"/>
      <c r="N215" s="18">
        <v>-2.0826094165440438E-6</v>
      </c>
      <c r="O215" s="18">
        <v>1.4454572535312114E-10</v>
      </c>
      <c r="P215" s="18">
        <v>5.137144500681525E-8</v>
      </c>
      <c r="Q215" s="28">
        <v>3.194800946675842</v>
      </c>
      <c r="R215" s="61">
        <v>351.54804086120453</v>
      </c>
      <c r="S215" s="58">
        <v>6.0289714976851925E-7</v>
      </c>
      <c r="U215" s="173">
        <v>5.4202579428585638E-5</v>
      </c>
      <c r="V215" s="175">
        <v>4.9670159293293146E-5</v>
      </c>
      <c r="W215" s="173">
        <v>4.321426411767891E-5</v>
      </c>
      <c r="X215" s="174">
        <f t="shared" si="24"/>
        <v>4.9189290533212715E-5</v>
      </c>
      <c r="Y215" s="188">
        <f t="shared" si="25"/>
        <v>0.35184801464843729</v>
      </c>
      <c r="AA215" s="144">
        <f t="shared" si="26"/>
        <v>0.68810921035900008</v>
      </c>
      <c r="AB215" s="145">
        <f t="shared" si="27"/>
        <v>4.4859469524227981E-5</v>
      </c>
      <c r="AC215" s="145">
        <f t="shared" si="28"/>
        <v>7.2994878659185806E-6</v>
      </c>
      <c r="AD215" s="145">
        <f t="shared" si="31"/>
        <v>4.9189290533212715E-5</v>
      </c>
      <c r="AE215" s="146">
        <f t="shared" si="29"/>
        <v>22.169804086120454</v>
      </c>
      <c r="AF215" s="146">
        <f t="shared" si="30"/>
        <v>6.0289714976851925E-5</v>
      </c>
      <c r="AH215" s="183"/>
      <c r="AI215" s="183"/>
      <c r="AJ215" s="183"/>
    </row>
    <row r="216" spans="9:36" x14ac:dyDescent="0.25">
      <c r="I216" s="125">
        <v>6.9499030246199994E-2</v>
      </c>
      <c r="J216" s="50">
        <v>4.6436449051412239E-5</v>
      </c>
      <c r="K216" s="50">
        <v>7.5133502192719686E-6</v>
      </c>
      <c r="L216" s="70">
        <v>4.5341921813979158E-5</v>
      </c>
      <c r="M216" s="18"/>
      <c r="N216" s="18">
        <v>-2.1074603174663383E-6</v>
      </c>
      <c r="O216" s="18">
        <v>1.4372387240934013E-10</v>
      </c>
      <c r="P216" s="18">
        <v>5.1505711868484204E-8</v>
      </c>
      <c r="Q216" s="28">
        <v>3.194800946675842</v>
      </c>
      <c r="R216" s="61">
        <v>353.91596545949398</v>
      </c>
      <c r="S216" s="58">
        <v>6.0289714976851925E-7</v>
      </c>
      <c r="U216" s="173">
        <v>5.3049383392608879E-5</v>
      </c>
      <c r="V216" s="175">
        <v>4.5341921813979158E-5</v>
      </c>
      <c r="W216" s="173">
        <v>4.2234087884778179E-5</v>
      </c>
      <c r="X216" s="174">
        <f t="shared" si="24"/>
        <v>4.6491828726336347E-5</v>
      </c>
      <c r="Y216" s="188">
        <f t="shared" si="25"/>
        <v>5.4329228533048308E-5</v>
      </c>
      <c r="AA216" s="144">
        <f t="shared" si="26"/>
        <v>0.69499030246199989</v>
      </c>
      <c r="AB216" s="145">
        <f t="shared" si="27"/>
        <v>4.6436449051412239E-5</v>
      </c>
      <c r="AC216" s="145">
        <f t="shared" si="28"/>
        <v>7.5133502192719686E-6</v>
      </c>
      <c r="AD216" s="145">
        <f t="shared" si="31"/>
        <v>4.6491828726336347E-5</v>
      </c>
      <c r="AE216" s="146">
        <f t="shared" si="29"/>
        <v>22.406596545949398</v>
      </c>
      <c r="AF216" s="146">
        <f t="shared" si="30"/>
        <v>6.0289714976851925E-5</v>
      </c>
      <c r="AH216" s="183"/>
      <c r="AI216" s="183"/>
      <c r="AJ216" s="183"/>
    </row>
    <row r="217" spans="9:36" x14ac:dyDescent="0.25">
      <c r="I217" s="125">
        <v>7.0194020548699998E-2</v>
      </c>
      <c r="J217" s="50">
        <v>3.7924518134250916E-5</v>
      </c>
      <c r="K217" s="50">
        <v>6.5894163594952167E-6</v>
      </c>
      <c r="L217" s="70">
        <v>4.1846264074329046E-5</v>
      </c>
      <c r="M217" s="18"/>
      <c r="N217" s="18">
        <v>-2.1328911075359105E-6</v>
      </c>
      <c r="O217" s="18">
        <v>1.4281860225160855E-10</v>
      </c>
      <c r="P217" s="18">
        <v>5.1627183687395823E-8</v>
      </c>
      <c r="Q217" s="28">
        <v>3.194800946675842</v>
      </c>
      <c r="R217" s="61">
        <v>353.91596545949398</v>
      </c>
      <c r="S217" s="58">
        <v>5.5036964995932937E-7</v>
      </c>
      <c r="U217" s="173">
        <v>5.056032870995554E-5</v>
      </c>
      <c r="V217" s="175">
        <v>4.1846264074329046E-5</v>
      </c>
      <c r="W217" s="173">
        <v>4.1508128030929103E-5</v>
      </c>
      <c r="X217" s="174">
        <f t="shared" si="24"/>
        <v>4.3940246222385691E-5</v>
      </c>
      <c r="Y217" s="188">
        <f t="shared" si="25"/>
        <v>0.83345565211469352</v>
      </c>
      <c r="AA217" s="144">
        <f t="shared" si="26"/>
        <v>0.70194020548699998</v>
      </c>
      <c r="AB217" s="145">
        <f t="shared" si="27"/>
        <v>3.7924518134250916E-5</v>
      </c>
      <c r="AC217" s="145">
        <f t="shared" si="28"/>
        <v>6.5894163594952167E-6</v>
      </c>
      <c r="AD217" s="145">
        <f t="shared" si="31"/>
        <v>4.3940246222385691E-5</v>
      </c>
      <c r="AE217" s="146">
        <f t="shared" si="29"/>
        <v>22.406596545949398</v>
      </c>
      <c r="AF217" s="146">
        <f t="shared" si="30"/>
        <v>5.503696499593294E-5</v>
      </c>
      <c r="AH217" s="183"/>
      <c r="AI217" s="183"/>
      <c r="AJ217" s="183"/>
    </row>
    <row r="218" spans="9:36" x14ac:dyDescent="0.25">
      <c r="I218" s="125">
        <v>7.0895960754200002E-2</v>
      </c>
      <c r="J218" s="50">
        <v>4.1314653115939238E-5</v>
      </c>
      <c r="K218" s="50">
        <v>6.7863300911985857E-6</v>
      </c>
      <c r="L218" s="70">
        <v>3.9383475970838161E-5</v>
      </c>
      <c r="M218" s="18"/>
      <c r="N218" s="18">
        <v>-2.1588818495422755E-6</v>
      </c>
      <c r="O218" s="18">
        <v>1.4185574048128158E-10</v>
      </c>
      <c r="P218" s="18">
        <v>5.174199269381571E-8</v>
      </c>
      <c r="Q218" s="28">
        <v>3.194800946675842</v>
      </c>
      <c r="R218" s="61">
        <v>356.41683997042492</v>
      </c>
      <c r="S218" s="58">
        <v>5.5036964995932937E-7</v>
      </c>
      <c r="U218" s="173">
        <v>4.7133825787586008E-5</v>
      </c>
      <c r="V218" s="175">
        <v>3.9383475970838161E-5</v>
      </c>
      <c r="W218" s="173">
        <v>4.0596500794161927E-5</v>
      </c>
      <c r="X218" s="174">
        <f t="shared" si="24"/>
        <v>4.1624319630856064E-5</v>
      </c>
      <c r="Y218" s="188">
        <f t="shared" si="25"/>
        <v>2.0821812558414481E-3</v>
      </c>
      <c r="AA218" s="144">
        <f t="shared" si="26"/>
        <v>0.70895960754200005</v>
      </c>
      <c r="AB218" s="145">
        <f t="shared" si="27"/>
        <v>4.1314653115939238E-5</v>
      </c>
      <c r="AC218" s="145">
        <f t="shared" si="28"/>
        <v>6.7863300911985857E-6</v>
      </c>
      <c r="AD218" s="145">
        <f t="shared" si="31"/>
        <v>4.1624319630856064E-5</v>
      </c>
      <c r="AE218" s="146">
        <f t="shared" si="29"/>
        <v>22.656683997042492</v>
      </c>
      <c r="AF218" s="146">
        <f t="shared" si="30"/>
        <v>5.503696499593294E-5</v>
      </c>
      <c r="AH218" s="183"/>
      <c r="AI218" s="183"/>
      <c r="AJ218" s="183"/>
    </row>
    <row r="219" spans="9:36" x14ac:dyDescent="0.25">
      <c r="I219" s="125">
        <v>7.1604920361700006E-2</v>
      </c>
      <c r="J219" s="50">
        <v>1.3300134225157754E-5</v>
      </c>
      <c r="K219" s="50">
        <v>6.1814356237398883E-6</v>
      </c>
      <c r="L219" s="70">
        <v>3.7851079529149028E-5</v>
      </c>
      <c r="M219" s="18"/>
      <c r="N219" s="18">
        <v>-2.1853437085583406E-6</v>
      </c>
      <c r="O219" s="18">
        <v>1.4085424466481894E-10</v>
      </c>
      <c r="P219" s="18">
        <v>5.1853630985625726E-8</v>
      </c>
      <c r="Q219" s="28">
        <v>3.194800946675842</v>
      </c>
      <c r="R219" s="61">
        <v>356.41683997042492</v>
      </c>
      <c r="S219" s="58">
        <v>4.979708162188218E-7</v>
      </c>
      <c r="U219" s="173">
        <v>4.3334627059906931E-5</v>
      </c>
      <c r="V219" s="175">
        <v>3.7851079529149028E-5</v>
      </c>
      <c r="W219" s="173">
        <v>3.9292128040672631E-5</v>
      </c>
      <c r="X219" s="174">
        <f t="shared" si="24"/>
        <v>3.9582228539719404E-5</v>
      </c>
      <c r="Y219" s="188">
        <f t="shared" si="25"/>
        <v>18.077619354368096</v>
      </c>
      <c r="AA219" s="144">
        <f t="shared" si="26"/>
        <v>0.71604920361700009</v>
      </c>
      <c r="AB219" s="145">
        <f t="shared" si="27"/>
        <v>1.3300134225157754E-5</v>
      </c>
      <c r="AC219" s="145">
        <f t="shared" si="28"/>
        <v>6.1814356237398883E-6</v>
      </c>
      <c r="AD219" s="145">
        <f t="shared" si="31"/>
        <v>3.9582228539719404E-5</v>
      </c>
      <c r="AE219" s="146">
        <f t="shared" si="29"/>
        <v>22.656683997042492</v>
      </c>
      <c r="AF219" s="146">
        <f t="shared" si="30"/>
        <v>4.9797081621882184E-5</v>
      </c>
      <c r="AH219" s="183"/>
      <c r="AI219" s="183"/>
      <c r="AJ219" s="183"/>
    </row>
    <row r="220" spans="9:36" x14ac:dyDescent="0.25">
      <c r="I220" s="125">
        <v>7.23209695653E-2</v>
      </c>
      <c r="J220" s="50">
        <v>2.6362793994301116E-5</v>
      </c>
      <c r="K220" s="50">
        <v>6.1034924126605198E-6</v>
      </c>
      <c r="L220" s="70">
        <v>3.6924520604327091E-5</v>
      </c>
      <c r="M220" s="18"/>
      <c r="N220" s="18">
        <v>-2.2121403955479995E-6</v>
      </c>
      <c r="O220" s="18">
        <v>1.3982861645644351E-10</v>
      </c>
      <c r="P220" s="18">
        <v>5.1963840307388372E-8</v>
      </c>
      <c r="Q220" s="28">
        <v>3.194800946675842</v>
      </c>
      <c r="R220" s="61">
        <v>359.12048699419103</v>
      </c>
      <c r="S220" s="58">
        <v>4.979708162188218E-7</v>
      </c>
      <c r="U220" s="173">
        <v>3.9726366024165315E-5</v>
      </c>
      <c r="V220" s="175">
        <v>3.6924520604327091E-5</v>
      </c>
      <c r="W220" s="173">
        <v>3.7690563646392831E-5</v>
      </c>
      <c r="X220" s="174">
        <f t="shared" si="24"/>
        <v>3.781649271980308E-5</v>
      </c>
      <c r="Y220" s="188">
        <f t="shared" si="25"/>
        <v>3.5215567601042603</v>
      </c>
      <c r="AA220" s="144">
        <f t="shared" si="26"/>
        <v>0.72320969565299997</v>
      </c>
      <c r="AB220" s="145">
        <f t="shared" si="27"/>
        <v>2.6362793994301116E-5</v>
      </c>
      <c r="AC220" s="145">
        <f t="shared" si="28"/>
        <v>6.1034924126605198E-6</v>
      </c>
      <c r="AD220" s="145">
        <f t="shared" si="31"/>
        <v>3.781649271980308E-5</v>
      </c>
      <c r="AE220" s="146">
        <f t="shared" si="29"/>
        <v>22.927048699419103</v>
      </c>
      <c r="AF220" s="146">
        <f t="shared" si="30"/>
        <v>4.9797081621882184E-5</v>
      </c>
      <c r="AH220" s="183"/>
      <c r="AI220" s="183"/>
      <c r="AJ220" s="183"/>
    </row>
    <row r="221" spans="9:36" x14ac:dyDescent="0.25">
      <c r="I221" s="125">
        <v>7.3044179261E-2</v>
      </c>
      <c r="J221" s="50">
        <v>2.3259362757290066E-5</v>
      </c>
      <c r="K221" s="50">
        <v>6.4552362288616377E-6</v>
      </c>
      <c r="L221" s="70">
        <v>3.6195494121551626E-5</v>
      </c>
      <c r="M221" s="18"/>
      <c r="N221" s="18">
        <v>-2.2323580479952205E-6</v>
      </c>
      <c r="O221" s="18">
        <v>1.3905068392192408E-10</v>
      </c>
      <c r="P221" s="18">
        <v>5.2045971535910509E-8</v>
      </c>
      <c r="Q221" s="28">
        <v>1.597400473337921</v>
      </c>
      <c r="R221" s="61">
        <v>359.12048699419103</v>
      </c>
      <c r="S221" s="58">
        <v>4.4587547192469264E-7</v>
      </c>
      <c r="U221" s="173">
        <v>3.672931147935764E-5</v>
      </c>
      <c r="V221" s="175">
        <v>3.6195494121551626E-5</v>
      </c>
      <c r="W221" s="173">
        <v>3.615258751949285E-5</v>
      </c>
      <c r="X221" s="174">
        <f t="shared" si="24"/>
        <v>3.6318221810488434E-5</v>
      </c>
      <c r="Y221" s="188">
        <f t="shared" si="25"/>
        <v>4.0924764524878245</v>
      </c>
      <c r="AA221" s="144">
        <f t="shared" si="26"/>
        <v>0.73044179260999997</v>
      </c>
      <c r="AB221" s="145">
        <f t="shared" si="27"/>
        <v>2.3259362757290066E-5</v>
      </c>
      <c r="AC221" s="145">
        <f t="shared" si="28"/>
        <v>6.4552362288616377E-6</v>
      </c>
      <c r="AD221" s="145">
        <f t="shared" si="31"/>
        <v>3.6318221810488434E-5</v>
      </c>
      <c r="AE221" s="146">
        <f t="shared" si="29"/>
        <v>22.927048699419103</v>
      </c>
      <c r="AF221" s="146">
        <f t="shared" si="30"/>
        <v>4.4587547192469265E-5</v>
      </c>
      <c r="AH221" s="183"/>
      <c r="AI221" s="183"/>
      <c r="AJ221" s="183"/>
    </row>
    <row r="222" spans="9:36" x14ac:dyDescent="0.25">
      <c r="I222" s="125">
        <v>7.3774621053599998E-2</v>
      </c>
      <c r="J222" s="50">
        <v>3.0646549627405008E-5</v>
      </c>
      <c r="K222" s="50">
        <v>7.3248174789332472E-6</v>
      </c>
      <c r="L222" s="70">
        <v>3.5326221190349552E-5</v>
      </c>
      <c r="M222" s="18"/>
      <c r="N222" s="18">
        <v>-2.2591803229354999E-6</v>
      </c>
      <c r="O222" s="18">
        <v>1.3801847941812032E-10</v>
      </c>
      <c r="P222" s="18">
        <v>5.2154898341782817E-8</v>
      </c>
      <c r="Q222" s="28">
        <v>4.773355897890597</v>
      </c>
      <c r="R222" s="61">
        <v>362.13008022969666</v>
      </c>
      <c r="S222" s="58">
        <v>4.4587547192469264E-7</v>
      </c>
      <c r="U222" s="173">
        <v>3.4536186225827669E-5</v>
      </c>
      <c r="V222" s="175">
        <v>3.5326221190349552E-5</v>
      </c>
      <c r="W222" s="173">
        <v>3.5167390559639694E-5</v>
      </c>
      <c r="X222" s="174">
        <f t="shared" si="24"/>
        <v>3.5089004791541617E-5</v>
      </c>
      <c r="Y222" s="188">
        <f t="shared" si="25"/>
        <v>0.36783452691532409</v>
      </c>
      <c r="AA222" s="144">
        <f t="shared" si="26"/>
        <v>0.73774621053599998</v>
      </c>
      <c r="AB222" s="145">
        <f t="shared" si="27"/>
        <v>3.0646549627405008E-5</v>
      </c>
      <c r="AC222" s="145">
        <f t="shared" si="28"/>
        <v>7.3248174789332472E-6</v>
      </c>
      <c r="AD222" s="145">
        <f t="shared" si="31"/>
        <v>3.5089004791541617E-5</v>
      </c>
      <c r="AE222" s="146">
        <f t="shared" si="29"/>
        <v>23.228008022969668</v>
      </c>
      <c r="AF222" s="146">
        <f t="shared" si="30"/>
        <v>4.4587547192469265E-5</v>
      </c>
      <c r="AH222" s="183"/>
      <c r="AI222" s="183"/>
      <c r="AJ222" s="183"/>
    </row>
    <row r="223" spans="9:36" x14ac:dyDescent="0.25">
      <c r="I223" s="125">
        <v>7.4512367264100002E-2</v>
      </c>
      <c r="J223" s="50">
        <v>2.3015576396011364E-5</v>
      </c>
      <c r="K223" s="50">
        <v>6.3633281206607417E-6</v>
      </c>
      <c r="L223" s="70">
        <v>3.4161298231553101E-5</v>
      </c>
      <c r="M223" s="18"/>
      <c r="N223" s="18">
        <v>-2.2992746901260479E-6</v>
      </c>
      <c r="O223" s="18">
        <v>1.3646644250641287E-10</v>
      </c>
      <c r="P223" s="18">
        <v>5.2315472242298679E-8</v>
      </c>
      <c r="Q223" s="28">
        <v>4.8549101660041449</v>
      </c>
      <c r="R223" s="61">
        <v>362.13008022969666</v>
      </c>
      <c r="S223" s="58">
        <v>3.9442476374924757E-7</v>
      </c>
      <c r="U223" s="173">
        <v>3.3093932897074054E-5</v>
      </c>
      <c r="V223" s="175">
        <v>3.4161298231553101E-5</v>
      </c>
      <c r="W223" s="173">
        <v>3.5169795952785183E-5</v>
      </c>
      <c r="X223" s="174">
        <f t="shared" si="24"/>
        <v>3.4146581328241358E-5</v>
      </c>
      <c r="Y223" s="188">
        <f t="shared" si="25"/>
        <v>3.0598498417758719</v>
      </c>
      <c r="AA223" s="144">
        <f t="shared" si="26"/>
        <v>0.74512367264099999</v>
      </c>
      <c r="AB223" s="145">
        <f t="shared" si="27"/>
        <v>2.3015576396011364E-5</v>
      </c>
      <c r="AC223" s="145">
        <f t="shared" si="28"/>
        <v>6.3633281206607417E-6</v>
      </c>
      <c r="AD223" s="145">
        <f t="shared" si="31"/>
        <v>3.4146581328241358E-5</v>
      </c>
      <c r="AE223" s="146">
        <f t="shared" si="29"/>
        <v>23.228008022969668</v>
      </c>
      <c r="AF223" s="146">
        <f t="shared" si="30"/>
        <v>3.9442476374924756E-5</v>
      </c>
      <c r="AH223" s="183"/>
      <c r="AI223" s="183"/>
      <c r="AJ223" s="183"/>
    </row>
    <row r="224" spans="9:36" x14ac:dyDescent="0.25">
      <c r="I224" s="125">
        <v>7.5257490936799995E-2</v>
      </c>
      <c r="J224" s="50">
        <v>3.7568834727575069E-5</v>
      </c>
      <c r="K224" s="50">
        <v>7.3925299378282242E-6</v>
      </c>
      <c r="L224" s="70">
        <v>3.2789835062024555E-5</v>
      </c>
      <c r="M224" s="18"/>
      <c r="N224" s="18">
        <v>-2.3393612152638728E-6</v>
      </c>
      <c r="O224" s="18">
        <v>1.3491470915742863E-10</v>
      </c>
      <c r="P224" s="18">
        <v>5.2476014736183582E-8</v>
      </c>
      <c r="Q224" s="28">
        <v>5.0267814019336043</v>
      </c>
      <c r="R224" s="61">
        <v>365.61540030563867</v>
      </c>
      <c r="S224" s="58">
        <v>3.9442476374924757E-7</v>
      </c>
      <c r="U224" s="173">
        <v>3.2169601770285508E-5</v>
      </c>
      <c r="V224" s="175">
        <v>3.2789835062024555E-5</v>
      </c>
      <c r="W224" s="173">
        <v>3.6344498047785274E-5</v>
      </c>
      <c r="X224" s="174">
        <f t="shared" si="24"/>
        <v>3.3523442485529971E-5</v>
      </c>
      <c r="Y224" s="188">
        <f t="shared" si="25"/>
        <v>0.29945742828179445</v>
      </c>
      <c r="AA224" s="144">
        <f t="shared" si="26"/>
        <v>0.75257490936799998</v>
      </c>
      <c r="AB224" s="145">
        <f t="shared" si="27"/>
        <v>3.7568834727575069E-5</v>
      </c>
      <c r="AC224" s="145">
        <f t="shared" si="28"/>
        <v>7.3925299378282242E-6</v>
      </c>
      <c r="AD224" s="145">
        <f t="shared" si="31"/>
        <v>3.3523442485529971E-5</v>
      </c>
      <c r="AE224" s="146">
        <f t="shared" si="29"/>
        <v>23.576540030563869</v>
      </c>
      <c r="AF224" s="146">
        <f t="shared" si="30"/>
        <v>3.9442476374924756E-5</v>
      </c>
      <c r="AH224" s="183"/>
      <c r="AI224" s="183"/>
      <c r="AJ224" s="183"/>
    </row>
    <row r="225" spans="9:36" x14ac:dyDescent="0.25">
      <c r="I225" s="125">
        <v>7.6010065846099997E-2</v>
      </c>
      <c r="J225" s="50">
        <v>3.1738805514209784E-5</v>
      </c>
      <c r="K225" s="50">
        <v>7.3185839599621799E-6</v>
      </c>
      <c r="L225" s="70">
        <v>3.1502439936528644E-5</v>
      </c>
      <c r="M225" s="18"/>
      <c r="N225" s="18">
        <v>-2.37941375590556E-6</v>
      </c>
      <c r="O225" s="18">
        <v>1.3336429133469229E-10</v>
      </c>
      <c r="P225" s="18">
        <v>5.2636421125585883E-8</v>
      </c>
      <c r="Q225" s="28">
        <v>5.3090159581934202</v>
      </c>
      <c r="R225" s="61">
        <v>365.61540030563867</v>
      </c>
      <c r="S225" s="58">
        <v>3.4427916408919643E-7</v>
      </c>
      <c r="U225" s="173">
        <v>3.1449156851554114E-5</v>
      </c>
      <c r="V225" s="175">
        <v>3.1502439936528644E-5</v>
      </c>
      <c r="W225" s="173">
        <v>3.851190581011379E-5</v>
      </c>
      <c r="X225" s="174">
        <f t="shared" si="24"/>
        <v>3.3241485633681302E-5</v>
      </c>
      <c r="Y225" s="188">
        <f t="shared" si="25"/>
        <v>4.2157899328943781E-2</v>
      </c>
      <c r="AA225" s="144">
        <f t="shared" si="26"/>
        <v>0.76010065846099995</v>
      </c>
      <c r="AB225" s="145">
        <f t="shared" si="27"/>
        <v>3.1738805514209784E-5</v>
      </c>
      <c r="AC225" s="145">
        <f t="shared" si="28"/>
        <v>7.3185839599621799E-6</v>
      </c>
      <c r="AD225" s="145">
        <f t="shared" si="31"/>
        <v>3.3241485633681302E-5</v>
      </c>
      <c r="AE225" s="146">
        <f t="shared" si="29"/>
        <v>23.576540030563869</v>
      </c>
      <c r="AF225" s="146">
        <f t="shared" si="30"/>
        <v>3.4427916408919643E-5</v>
      </c>
      <c r="AH225" s="183"/>
      <c r="AI225" s="183"/>
      <c r="AJ225" s="183"/>
    </row>
    <row r="226" spans="9:36" x14ac:dyDescent="0.25">
      <c r="I226" s="125">
        <v>7.6770166504600001E-2</v>
      </c>
      <c r="J226" s="50">
        <v>3.2019774006794387E-5</v>
      </c>
      <c r="K226" s="50">
        <v>7.434206110862301E-6</v>
      </c>
      <c r="L226" s="70">
        <v>3.0682190315045362E-5</v>
      </c>
      <c r="M226" s="18"/>
      <c r="N226" s="18">
        <v>-2.4193681878810468E-6</v>
      </c>
      <c r="O226" s="18">
        <v>1.3181767125917008E-10</v>
      </c>
      <c r="P226" s="18">
        <v>5.2796434599665906E-8</v>
      </c>
      <c r="Q226" s="28">
        <v>5.7394743845637519</v>
      </c>
      <c r="R226" s="61">
        <v>369.89824462555453</v>
      </c>
      <c r="S226" s="58">
        <v>3.4427916408919643E-7</v>
      </c>
      <c r="U226" s="173">
        <v>3.0659422803583071E-5</v>
      </c>
      <c r="V226" s="175">
        <v>3.0682190315045362E-5</v>
      </c>
      <c r="W226" s="173">
        <v>4.112142557493946E-5</v>
      </c>
      <c r="X226" s="174">
        <f t="shared" si="24"/>
        <v>3.3286307252153312E-5</v>
      </c>
      <c r="Y226" s="188">
        <f t="shared" si="25"/>
        <v>2.9024449614664966E-2</v>
      </c>
      <c r="AA226" s="144">
        <f t="shared" si="26"/>
        <v>0.76770166504600001</v>
      </c>
      <c r="AB226" s="145">
        <f t="shared" si="27"/>
        <v>3.2019774006794387E-5</v>
      </c>
      <c r="AC226" s="145">
        <f t="shared" si="28"/>
        <v>7.434206110862301E-6</v>
      </c>
      <c r="AD226" s="145">
        <f t="shared" si="31"/>
        <v>3.3286307252153312E-5</v>
      </c>
      <c r="AE226" s="146">
        <f t="shared" si="29"/>
        <v>24.004824462555455</v>
      </c>
      <c r="AF226" s="146">
        <f t="shared" si="30"/>
        <v>3.4427916408919643E-5</v>
      </c>
      <c r="AH226" s="183"/>
      <c r="AI226" s="183"/>
      <c r="AJ226" s="183"/>
    </row>
    <row r="227" spans="9:36" x14ac:dyDescent="0.25">
      <c r="I227" s="125">
        <v>7.7537868169599997E-2</v>
      </c>
      <c r="J227" s="50">
        <v>2.4416907698293514E-5</v>
      </c>
      <c r="K227" s="50">
        <v>7.0357473294841804E-6</v>
      </c>
      <c r="L227" s="70">
        <v>3.0652728863203384E-5</v>
      </c>
      <c r="M227" s="18"/>
      <c r="N227" s="18">
        <v>-2.4590912072930279E-6</v>
      </c>
      <c r="O227" s="18">
        <v>1.3028000907139025E-10</v>
      </c>
      <c r="P227" s="18">
        <v>5.2955521289747224E-8</v>
      </c>
      <c r="Q227" s="28">
        <v>6.3889565210621484</v>
      </c>
      <c r="R227" s="61">
        <v>369.89824462555453</v>
      </c>
      <c r="S227" s="58">
        <v>2.9676356181230197E-7</v>
      </c>
      <c r="U227" s="173">
        <v>2.9665462661832943E-5</v>
      </c>
      <c r="V227" s="175">
        <v>3.0652728863203384E-5</v>
      </c>
      <c r="W227" s="173">
        <v>4.3369890802081484E-5</v>
      </c>
      <c r="X227" s="174">
        <f t="shared" si="24"/>
        <v>3.3585202797580294E-5</v>
      </c>
      <c r="Y227" s="188">
        <f t="shared" si="25"/>
        <v>1.6980743344608547</v>
      </c>
      <c r="AA227" s="144">
        <f t="shared" si="26"/>
        <v>0.77537868169599999</v>
      </c>
      <c r="AB227" s="145">
        <f t="shared" si="27"/>
        <v>2.4416907698293514E-5</v>
      </c>
      <c r="AC227" s="145">
        <f t="shared" si="28"/>
        <v>7.0357473294841804E-6</v>
      </c>
      <c r="AD227" s="145">
        <f t="shared" si="31"/>
        <v>3.3585202797580294E-5</v>
      </c>
      <c r="AE227" s="146">
        <f t="shared" si="29"/>
        <v>24.004824462555455</v>
      </c>
      <c r="AF227" s="146">
        <f t="shared" si="30"/>
        <v>2.9676356181230196E-5</v>
      </c>
      <c r="AH227" s="183"/>
      <c r="AI227" s="183"/>
      <c r="AJ227" s="183"/>
    </row>
    <row r="228" spans="9:36" x14ac:dyDescent="0.25">
      <c r="I228" s="125">
        <v>7.8313246851300006E-2</v>
      </c>
      <c r="J228" s="50">
        <v>2.4013891778717297E-5</v>
      </c>
      <c r="K228" s="50">
        <v>6.3516547315903336E-6</v>
      </c>
      <c r="L228" s="70">
        <v>3.1534474122158587E-5</v>
      </c>
      <c r="M228" s="18"/>
      <c r="N228" s="18">
        <v>-2.4983226877123582E-6</v>
      </c>
      <c r="O228" s="18">
        <v>1.2876137416134526E-10</v>
      </c>
      <c r="P228" s="18">
        <v>5.3112639415692571E-8</v>
      </c>
      <c r="Q228" s="28">
        <v>7.3988598075239853</v>
      </c>
      <c r="R228" s="61">
        <v>375.74378360624223</v>
      </c>
      <c r="S228" s="58">
        <v>2.9676356181230197E-7</v>
      </c>
      <c r="U228" s="173">
        <v>2.8515277857795746E-5</v>
      </c>
      <c r="V228" s="175">
        <v>3.1534474122158587E-5</v>
      </c>
      <c r="W228" s="173">
        <v>4.4416194907542379E-5</v>
      </c>
      <c r="X228" s="174">
        <f t="shared" si="24"/>
        <v>3.4000105252413826E-5</v>
      </c>
      <c r="Y228" s="188">
        <f t="shared" si="25"/>
        <v>2.4718830907137255</v>
      </c>
      <c r="AA228" s="144">
        <f t="shared" si="26"/>
        <v>0.78313246851300011</v>
      </c>
      <c r="AB228" s="145">
        <f t="shared" si="27"/>
        <v>2.4013891778717297E-5</v>
      </c>
      <c r="AC228" s="145">
        <f t="shared" si="28"/>
        <v>6.3516547315903336E-6</v>
      </c>
      <c r="AD228" s="145">
        <f t="shared" si="31"/>
        <v>3.4000105252413826E-5</v>
      </c>
      <c r="AE228" s="146">
        <f t="shared" si="29"/>
        <v>24.589378360624224</v>
      </c>
      <c r="AF228" s="146">
        <f t="shared" si="30"/>
        <v>2.9676356181230196E-5</v>
      </c>
      <c r="AH228" s="183"/>
      <c r="AI228" s="183"/>
      <c r="AJ228" s="183"/>
    </row>
    <row r="229" spans="9:36" x14ac:dyDescent="0.25">
      <c r="I229" s="125">
        <v>7.90963793198E-2</v>
      </c>
      <c r="J229" s="50">
        <v>3.2271360124457954E-5</v>
      </c>
      <c r="K229" s="50">
        <v>6.8315705349077017E-6</v>
      </c>
      <c r="L229" s="70">
        <v>3.3158197291525243E-5</v>
      </c>
      <c r="M229" s="18"/>
      <c r="N229" s="18">
        <v>-2.5365590148873015E-6</v>
      </c>
      <c r="O229" s="18">
        <v>1.272812612352177E-10</v>
      </c>
      <c r="P229" s="18">
        <v>5.3265772053170106E-8</v>
      </c>
      <c r="Q229" s="28">
        <v>9.0918951516793776</v>
      </c>
      <c r="R229" s="61">
        <v>375.74378360624223</v>
      </c>
      <c r="S229" s="58">
        <v>2.5477204132292728E-7</v>
      </c>
      <c r="U229" s="173">
        <v>2.7417837761155965E-5</v>
      </c>
      <c r="V229" s="175">
        <v>3.3158197291525243E-5</v>
      </c>
      <c r="W229" s="173">
        <v>4.3630239892153716E-5</v>
      </c>
      <c r="X229" s="174">
        <f t="shared" si="24"/>
        <v>3.434111805909004E-5</v>
      </c>
      <c r="Y229" s="188">
        <f t="shared" si="25"/>
        <v>9.1790555666906692E-2</v>
      </c>
      <c r="AA229" s="144">
        <f t="shared" si="26"/>
        <v>0.79096379319800003</v>
      </c>
      <c r="AB229" s="145">
        <f t="shared" si="27"/>
        <v>3.2271360124457954E-5</v>
      </c>
      <c r="AC229" s="145">
        <f t="shared" si="28"/>
        <v>6.8315705349077017E-6</v>
      </c>
      <c r="AD229" s="145">
        <f t="shared" si="31"/>
        <v>3.434111805909004E-5</v>
      </c>
      <c r="AE229" s="146">
        <f t="shared" si="29"/>
        <v>24.589378360624224</v>
      </c>
      <c r="AF229" s="146">
        <f t="shared" si="30"/>
        <v>2.5477204132292728E-5</v>
      </c>
      <c r="AH229" s="183"/>
      <c r="AI229" s="183"/>
      <c r="AJ229" s="183"/>
    </row>
    <row r="230" spans="9:36" x14ac:dyDescent="0.25">
      <c r="I230" s="125">
        <v>7.9887343112999998E-2</v>
      </c>
      <c r="J230" s="50">
        <v>3.6549272946847028E-5</v>
      </c>
      <c r="K230" s="50">
        <v>7.195491964860134E-6</v>
      </c>
      <c r="L230" s="70">
        <v>3.5069600572565894E-5</v>
      </c>
      <c r="M230" s="27"/>
      <c r="N230" s="18">
        <v>-2.5727899529335211E-6</v>
      </c>
      <c r="O230" s="18">
        <v>1.2587877611988274E-10</v>
      </c>
      <c r="P230" s="18">
        <v>5.3410873309258807E-8</v>
      </c>
      <c r="Q230" s="28">
        <v>12.409283071608716</v>
      </c>
      <c r="R230" s="61">
        <v>386.24829476282605</v>
      </c>
      <c r="S230" s="58">
        <v>2.5477204132292728E-7</v>
      </c>
      <c r="U230" s="173">
        <v>2.6661055853604711E-5</v>
      </c>
      <c r="V230" s="175">
        <v>3.5069600572565894E-5</v>
      </c>
      <c r="W230" s="173">
        <v>4.0798296961034686E-5</v>
      </c>
      <c r="X230" s="174">
        <f t="shared" si="24"/>
        <v>3.4399638489942795E-5</v>
      </c>
      <c r="Y230" s="188">
        <f t="shared" si="25"/>
        <v>8.9250004081096956E-2</v>
      </c>
      <c r="AA230" s="144">
        <f t="shared" si="26"/>
        <v>0.79887343112999998</v>
      </c>
      <c r="AB230" s="145">
        <f t="shared" si="27"/>
        <v>3.6549272946847028E-5</v>
      </c>
      <c r="AC230" s="145">
        <f t="shared" si="28"/>
        <v>7.195491964860134E-6</v>
      </c>
      <c r="AD230" s="145">
        <f t="shared" si="31"/>
        <v>3.4399638489942795E-5</v>
      </c>
      <c r="AE230" s="146">
        <f t="shared" si="29"/>
        <v>25.639829476282603</v>
      </c>
      <c r="AF230" s="146">
        <f t="shared" si="30"/>
        <v>2.5477204132292728E-5</v>
      </c>
      <c r="AH230" s="183"/>
      <c r="AI230" s="183"/>
      <c r="AJ230" s="183"/>
    </row>
    <row r="231" spans="9:36" x14ac:dyDescent="0.25">
      <c r="I231" s="125">
        <v>8.0686216544199996E-2</v>
      </c>
      <c r="J231" s="50">
        <v>3.573382042435911E-5</v>
      </c>
      <c r="K231" s="50">
        <v>6.8919940224186926E-6</v>
      </c>
      <c r="L231" s="70">
        <v>3.6631000219750937E-5</v>
      </c>
      <c r="M231" s="27"/>
      <c r="N231" s="18">
        <v>-2.6048087447495492E-6</v>
      </c>
      <c r="O231" s="18">
        <v>1.2463934149978808E-10</v>
      </c>
      <c r="P231" s="18">
        <v>5.3539105344129711E-8</v>
      </c>
      <c r="Q231" s="28">
        <v>22.29964643150565</v>
      </c>
      <c r="R231" s="61">
        <v>386.24829476282605</v>
      </c>
      <c r="S231" s="58">
        <v>2.2574531340151285E-7</v>
      </c>
      <c r="U231" s="173">
        <v>2.6495631883176188E-5</v>
      </c>
      <c r="V231" s="175">
        <v>3.6631000219750937E-5</v>
      </c>
      <c r="W231" s="173">
        <v>3.6215360510073194E-5</v>
      </c>
      <c r="X231" s="174">
        <f t="shared" si="24"/>
        <v>3.3993248208187813E-5</v>
      </c>
      <c r="Y231" s="188">
        <f t="shared" si="25"/>
        <v>6.37814384323976E-2</v>
      </c>
      <c r="AA231" s="144">
        <f t="shared" si="26"/>
        <v>0.80686216544199996</v>
      </c>
      <c r="AB231" s="145">
        <f t="shared" si="27"/>
        <v>3.573382042435911E-5</v>
      </c>
      <c r="AC231" s="145">
        <f t="shared" si="28"/>
        <v>6.8919940224186926E-6</v>
      </c>
      <c r="AD231" s="145">
        <f t="shared" si="31"/>
        <v>3.3993248208187813E-5</v>
      </c>
      <c r="AE231" s="146">
        <f t="shared" si="29"/>
        <v>25.639829476282603</v>
      </c>
      <c r="AF231" s="146">
        <f t="shared" si="30"/>
        <v>2.2574531340151285E-5</v>
      </c>
      <c r="AH231" s="183"/>
      <c r="AI231" s="183"/>
      <c r="AJ231" s="183"/>
    </row>
    <row r="232" spans="9:36" x14ac:dyDescent="0.25">
      <c r="I232" s="125">
        <v>8.14930787096E-2</v>
      </c>
      <c r="J232" s="50">
        <v>3.0408991164997117E-5</v>
      </c>
      <c r="K232" s="50">
        <v>6.67907564073881E-6</v>
      </c>
      <c r="L232" s="70">
        <v>3.719471847125124E-5</v>
      </c>
      <c r="M232" s="27"/>
      <c r="N232" s="18">
        <v>-2.6269418027475667E-6</v>
      </c>
      <c r="O232" s="18">
        <v>1.237825796803876E-10</v>
      </c>
      <c r="P232" s="18">
        <v>5.3627746011188882E-8</v>
      </c>
      <c r="Q232" s="28">
        <v>29.946819632489753</v>
      </c>
      <c r="R232" s="61">
        <v>400.35509694464213</v>
      </c>
      <c r="S232" s="58">
        <v>2.2574531340151285E-7</v>
      </c>
      <c r="U232" s="173">
        <v>2.7022745496808636E-5</v>
      </c>
      <c r="V232" s="175">
        <v>3.719471847125124E-5</v>
      </c>
      <c r="W232" s="173">
        <v>3.0627303554815409E-5</v>
      </c>
      <c r="X232" s="174">
        <f t="shared" si="24"/>
        <v>3.3009871498531634E-5</v>
      </c>
      <c r="Y232" s="188">
        <f t="shared" si="25"/>
        <v>0.15163798953022367</v>
      </c>
      <c r="AA232" s="144">
        <f t="shared" si="26"/>
        <v>0.81493078709599998</v>
      </c>
      <c r="AB232" s="145">
        <f t="shared" si="27"/>
        <v>3.0408991164997117E-5</v>
      </c>
      <c r="AC232" s="145">
        <f t="shared" si="28"/>
        <v>6.67907564073881E-6</v>
      </c>
      <c r="AD232" s="145">
        <f t="shared" si="31"/>
        <v>3.3009871498531634E-5</v>
      </c>
      <c r="AE232" s="146">
        <f t="shared" si="29"/>
        <v>27.05050969446421</v>
      </c>
      <c r="AF232" s="146">
        <f t="shared" si="30"/>
        <v>2.2574531340151285E-5</v>
      </c>
      <c r="AH232" s="183"/>
      <c r="AI232" s="183"/>
      <c r="AJ232" s="183"/>
    </row>
    <row r="233" spans="9:36" x14ac:dyDescent="0.25">
      <c r="I233" s="125">
        <v>8.2308009496700002E-2</v>
      </c>
      <c r="J233" s="50">
        <v>3.2472695202475235E-5</v>
      </c>
      <c r="K233" s="50">
        <v>6.5909990034678391E-6</v>
      </c>
      <c r="L233" s="70">
        <v>3.6297281457797039E-5</v>
      </c>
      <c r="M233" s="27"/>
      <c r="N233" s="18">
        <v>-2.6300000000000002E-6</v>
      </c>
      <c r="O233" s="18">
        <v>1.2366419808836742E-10</v>
      </c>
      <c r="P233" s="18">
        <v>5.3639993783027661E-8</v>
      </c>
      <c r="Q233" s="28">
        <v>200</v>
      </c>
      <c r="R233" s="61">
        <v>400.35509694464213</v>
      </c>
      <c r="S233" s="58">
        <v>2.2173459515442931E-7</v>
      </c>
      <c r="U233" s="173">
        <v>2.8124245549267819E-5</v>
      </c>
      <c r="V233" s="175">
        <v>3.6297281457797039E-5</v>
      </c>
      <c r="W233" s="173">
        <v>2.5032712099694095E-5</v>
      </c>
      <c r="X233" s="174">
        <f t="shared" si="24"/>
        <v>3.1437880141138997E-5</v>
      </c>
      <c r="Y233" s="188">
        <f t="shared" si="25"/>
        <v>2.4650344334511982E-2</v>
      </c>
      <c r="AA233" s="144">
        <f t="shared" si="26"/>
        <v>0.82308009496700008</v>
      </c>
      <c r="AB233" s="145">
        <f t="shared" si="27"/>
        <v>3.2472695202475235E-5</v>
      </c>
      <c r="AC233" s="145">
        <f t="shared" si="28"/>
        <v>6.5909990034678391E-6</v>
      </c>
      <c r="AD233" s="145">
        <f t="shared" si="31"/>
        <v>3.1437880141138997E-5</v>
      </c>
      <c r="AE233" s="146">
        <f t="shared" si="29"/>
        <v>27.05050969446421</v>
      </c>
      <c r="AF233" s="146">
        <f t="shared" si="30"/>
        <v>2.2173459515442931E-5</v>
      </c>
      <c r="AH233" s="183"/>
      <c r="AI233" s="183"/>
      <c r="AJ233" s="183"/>
    </row>
    <row r="234" spans="9:36" x14ac:dyDescent="0.25">
      <c r="I234" s="125">
        <v>8.31310895917E-2</v>
      </c>
      <c r="J234" s="50">
        <v>4.0927672403293353E-5</v>
      </c>
      <c r="K234" s="50">
        <v>7.3241388210618597E-6</v>
      </c>
      <c r="L234" s="70">
        <v>3.3812899898034129E-5</v>
      </c>
      <c r="M234" s="27"/>
      <c r="R234" s="61">
        <v>437.92285969328191</v>
      </c>
      <c r="S234" s="58">
        <v>2.2173459515442931E-7</v>
      </c>
      <c r="U234" s="173">
        <v>2.9462276199342731E-5</v>
      </c>
      <c r="V234" s="175">
        <v>3.3812899898034129E-5</v>
      </c>
      <c r="W234" s="173">
        <v>2.040134267826425E-5</v>
      </c>
      <c r="X234" s="174">
        <f t="shared" si="24"/>
        <v>2.9372354668418809E-5</v>
      </c>
      <c r="Y234" s="188">
        <f t="shared" si="25"/>
        <v>2.4891475939305581</v>
      </c>
      <c r="AA234" s="144">
        <f t="shared" si="26"/>
        <v>0.83131089591700003</v>
      </c>
      <c r="AB234" s="145">
        <f t="shared" si="27"/>
        <v>4.0927672403293353E-5</v>
      </c>
      <c r="AC234" s="145">
        <f t="shared" si="28"/>
        <v>7.3241388210618597E-6</v>
      </c>
      <c r="AD234" s="145">
        <f t="shared" si="31"/>
        <v>2.9372354668418809E-5</v>
      </c>
      <c r="AE234" s="146">
        <f t="shared" si="29"/>
        <v>30.807285969328188</v>
      </c>
      <c r="AF234" s="146">
        <f t="shared" si="30"/>
        <v>2.2173459515442931E-5</v>
      </c>
      <c r="AH234" s="183"/>
      <c r="AI234" s="183"/>
      <c r="AJ234" s="183"/>
    </row>
    <row r="235" spans="9:36" x14ac:dyDescent="0.25">
      <c r="I235" s="125">
        <v>8.3962400487599995E-2</v>
      </c>
      <c r="J235" s="50">
        <v>3.462622075748505E-5</v>
      </c>
      <c r="K235" s="50">
        <v>7.3380346386632636E-6</v>
      </c>
      <c r="L235" s="70">
        <v>3.0013722014402678E-5</v>
      </c>
      <c r="M235" s="27"/>
      <c r="R235" s="61">
        <v>437.92285969328191</v>
      </c>
      <c r="S235" s="58">
        <v>2.2574531340151285E-7</v>
      </c>
      <c r="U235" s="173">
        <v>3.0554096276133922E-5</v>
      </c>
      <c r="V235" s="175">
        <v>3.0013722014402678E-5</v>
      </c>
      <c r="W235" s="173">
        <v>1.7396978601877265E-5</v>
      </c>
      <c r="X235" s="174">
        <f t="shared" si="24"/>
        <v>2.6994629726704135E-5</v>
      </c>
      <c r="Y235" s="188">
        <f t="shared" si="25"/>
        <v>1.0816099227979314</v>
      </c>
      <c r="AA235" s="144">
        <f t="shared" si="26"/>
        <v>0.83962400487599997</v>
      </c>
      <c r="AB235" s="145">
        <f t="shared" si="27"/>
        <v>3.462622075748505E-5</v>
      </c>
      <c r="AC235" s="145">
        <f t="shared" si="28"/>
        <v>7.3380346386632636E-6</v>
      </c>
      <c r="AD235" s="145">
        <f t="shared" si="31"/>
        <v>2.6994629726704135E-5</v>
      </c>
      <c r="AE235" s="146">
        <f t="shared" si="29"/>
        <v>30.807285969328188</v>
      </c>
      <c r="AF235" s="146">
        <f t="shared" si="30"/>
        <v>2.2574531340151285E-5</v>
      </c>
      <c r="AH235" s="183"/>
      <c r="AI235" s="183"/>
      <c r="AJ235" s="183"/>
    </row>
    <row r="236" spans="9:36" x14ac:dyDescent="0.25">
      <c r="I236" s="125">
        <v>8.4802024492500003E-2</v>
      </c>
      <c r="J236" s="50">
        <v>1.9955359090272967E-5</v>
      </c>
      <c r="K236" s="50">
        <v>6.4451485964903652E-6</v>
      </c>
      <c r="L236" s="70">
        <v>2.5511549765993675E-5</v>
      </c>
      <c r="M236" s="27"/>
      <c r="R236" s="61">
        <v>452.02966187509799</v>
      </c>
      <c r="S236" s="58">
        <v>2.2574531340151285E-7</v>
      </c>
      <c r="U236" s="173">
        <v>3.0903353930648751E-5</v>
      </c>
      <c r="V236" s="175">
        <v>2.5511549765993675E-5</v>
      </c>
      <c r="W236" s="173">
        <v>1.6195058616796414E-5</v>
      </c>
      <c r="X236" s="174">
        <f t="shared" si="24"/>
        <v>2.453037801985813E-5</v>
      </c>
      <c r="Y236" s="188">
        <f t="shared" si="25"/>
        <v>0.50387164711777732</v>
      </c>
      <c r="AA236" s="144">
        <f t="shared" si="26"/>
        <v>0.84802024492500006</v>
      </c>
      <c r="AB236" s="145">
        <f t="shared" si="27"/>
        <v>1.9955359090272967E-5</v>
      </c>
      <c r="AC236" s="145">
        <f t="shared" si="28"/>
        <v>6.4451485964903652E-6</v>
      </c>
      <c r="AD236" s="145">
        <f t="shared" si="31"/>
        <v>2.453037801985813E-5</v>
      </c>
      <c r="AE236" s="146">
        <f t="shared" si="29"/>
        <v>32.217966187509795</v>
      </c>
      <c r="AF236" s="146">
        <f t="shared" si="30"/>
        <v>2.2574531340151285E-5</v>
      </c>
      <c r="AH236" s="183"/>
      <c r="AI236" s="183"/>
      <c r="AJ236" s="183"/>
    </row>
    <row r="237" spans="9:36" x14ac:dyDescent="0.25">
      <c r="I237" s="125">
        <v>8.5650044737399997E-2</v>
      </c>
      <c r="J237" s="50">
        <v>2.7698637874407254E-5</v>
      </c>
      <c r="K237" s="50">
        <v>6.3589690255848815E-6</v>
      </c>
      <c r="L237" s="70">
        <v>2.109331710103348E-5</v>
      </c>
      <c r="M237" s="27"/>
      <c r="R237" s="61">
        <v>452.02966187509799</v>
      </c>
      <c r="S237" s="58">
        <v>2.5477204132292728E-7</v>
      </c>
      <c r="U237" s="173">
        <v>3.0149052750285482E-5</v>
      </c>
      <c r="V237" s="175">
        <v>2.109331710103348E-5</v>
      </c>
      <c r="W237" s="173">
        <v>1.6456827032804819E-5</v>
      </c>
      <c r="X237" s="174">
        <f t="shared" si="24"/>
        <v>2.2198128496289316E-5</v>
      </c>
      <c r="Y237" s="188">
        <f t="shared" si="25"/>
        <v>0.74822531857487329</v>
      </c>
      <c r="AA237" s="144">
        <f t="shared" si="26"/>
        <v>0.856500447374</v>
      </c>
      <c r="AB237" s="145">
        <f t="shared" si="27"/>
        <v>2.7698637874407254E-5</v>
      </c>
      <c r="AC237" s="145">
        <f t="shared" si="28"/>
        <v>6.3589690255848815E-6</v>
      </c>
      <c r="AD237" s="145">
        <f t="shared" si="31"/>
        <v>2.2198128496289316E-5</v>
      </c>
      <c r="AE237" s="146">
        <f t="shared" si="29"/>
        <v>32.217966187509795</v>
      </c>
      <c r="AF237" s="146">
        <f t="shared" si="30"/>
        <v>2.5477204132292728E-5</v>
      </c>
      <c r="AH237" s="183"/>
      <c r="AI237" s="183"/>
      <c r="AJ237" s="183"/>
    </row>
    <row r="238" spans="9:36" x14ac:dyDescent="0.25">
      <c r="I238" s="125">
        <v>8.6506545184799999E-2</v>
      </c>
      <c r="J238" s="50">
        <v>4.8289348704583354E-5</v>
      </c>
      <c r="K238" s="50">
        <v>7.2954665049412369E-6</v>
      </c>
      <c r="L238" s="70">
        <v>1.7498568452078429E-5</v>
      </c>
      <c r="M238" s="27"/>
      <c r="R238" s="61">
        <v>462.5341730316818</v>
      </c>
      <c r="S238" s="58">
        <v>2.5477204132292728E-7</v>
      </c>
      <c r="U238" s="173">
        <v>2.8184858390848988E-5</v>
      </c>
      <c r="V238" s="175">
        <v>1.7498568452078429E-5</v>
      </c>
      <c r="W238" s="173">
        <v>1.74699461344286E-5</v>
      </c>
      <c r="X238" s="174">
        <f t="shared" si="24"/>
        <v>2.0162985357358615E-5</v>
      </c>
      <c r="Y238" s="188">
        <f t="shared" si="25"/>
        <v>14.863498032318265</v>
      </c>
      <c r="AA238" s="144">
        <f t="shared" si="26"/>
        <v>0.86506545184799999</v>
      </c>
      <c r="AB238" s="145">
        <f t="shared" si="27"/>
        <v>4.8289348704583354E-5</v>
      </c>
      <c r="AC238" s="145">
        <f t="shared" si="28"/>
        <v>7.2954665049412369E-6</v>
      </c>
      <c r="AD238" s="145">
        <f t="shared" si="31"/>
        <v>2.0162985357358615E-5</v>
      </c>
      <c r="AE238" s="146">
        <f t="shared" si="29"/>
        <v>33.268417303168178</v>
      </c>
      <c r="AF238" s="146">
        <f t="shared" si="30"/>
        <v>2.5477204132292728E-5</v>
      </c>
      <c r="AH238" s="183"/>
      <c r="AI238" s="183"/>
      <c r="AJ238" s="183"/>
    </row>
    <row r="239" spans="9:36" x14ac:dyDescent="0.25">
      <c r="I239" s="125">
        <v>8.7371610636599997E-2</v>
      </c>
      <c r="J239" s="50">
        <v>4.4604772770486973E-5</v>
      </c>
      <c r="K239" s="50">
        <v>7.2292018510457671E-6</v>
      </c>
      <c r="L239" s="70">
        <v>1.5208893645652304E-5</v>
      </c>
      <c r="M239" s="27"/>
      <c r="R239" s="61">
        <v>462.5341730316818</v>
      </c>
      <c r="S239" s="58">
        <v>2.9676356181230197E-7</v>
      </c>
      <c r="U239" s="173">
        <v>2.5207987973078664E-5</v>
      </c>
      <c r="V239" s="175">
        <v>1.5208893645652304E-5</v>
      </c>
      <c r="W239" s="173">
        <v>1.84077083573752E-5</v>
      </c>
      <c r="X239" s="174">
        <f t="shared" si="24"/>
        <v>1.8508370905439618E-5</v>
      </c>
      <c r="Y239" s="188">
        <f t="shared" si="25"/>
        <v>13.031084496834247</v>
      </c>
      <c r="AA239" s="144">
        <f t="shared" si="26"/>
        <v>0.87371610636599994</v>
      </c>
      <c r="AB239" s="145">
        <f t="shared" si="27"/>
        <v>4.4604772770486973E-5</v>
      </c>
      <c r="AC239" s="145">
        <f t="shared" si="28"/>
        <v>7.2292018510457671E-6</v>
      </c>
      <c r="AD239" s="145">
        <f t="shared" si="31"/>
        <v>1.8508370905439618E-5</v>
      </c>
      <c r="AE239" s="146">
        <f t="shared" si="29"/>
        <v>33.268417303168178</v>
      </c>
      <c r="AF239" s="146">
        <f t="shared" si="30"/>
        <v>2.9676356181230196E-5</v>
      </c>
      <c r="AH239" s="183"/>
      <c r="AI239" s="183"/>
      <c r="AJ239" s="183"/>
    </row>
    <row r="240" spans="9:36" x14ac:dyDescent="0.25">
      <c r="I240" s="125">
        <v>8.8245326742999994E-2</v>
      </c>
      <c r="J240" s="50">
        <v>2.6933494845232043E-5</v>
      </c>
      <c r="K240" s="50">
        <v>6.8758517676777049E-6</v>
      </c>
      <c r="L240" s="70">
        <v>1.4318169326560319E-5</v>
      </c>
      <c r="M240" s="27"/>
      <c r="R240" s="61">
        <v>468.37971201236951</v>
      </c>
      <c r="S240" s="58">
        <v>2.9676356181230197E-7</v>
      </c>
      <c r="U240" s="173">
        <v>2.1677620036162054E-5</v>
      </c>
      <c r="V240" s="175">
        <v>1.4318169326560319E-5</v>
      </c>
      <c r="W240" s="173">
        <v>1.8615955784863009E-5</v>
      </c>
      <c r="X240" s="174">
        <f t="shared" si="24"/>
        <v>1.7232478618536426E-5</v>
      </c>
      <c r="Y240" s="188">
        <f t="shared" si="25"/>
        <v>1.9905883187425879</v>
      </c>
      <c r="AA240" s="144">
        <f t="shared" si="26"/>
        <v>0.88245326742999997</v>
      </c>
      <c r="AB240" s="145">
        <f t="shared" si="27"/>
        <v>2.6933494845232043E-5</v>
      </c>
      <c r="AC240" s="145">
        <f t="shared" si="28"/>
        <v>6.8758517676777049E-6</v>
      </c>
      <c r="AD240" s="145">
        <f t="shared" si="31"/>
        <v>1.7232478618536426E-5</v>
      </c>
      <c r="AE240" s="146">
        <f t="shared" si="29"/>
        <v>33.852971201236947</v>
      </c>
      <c r="AF240" s="146">
        <f t="shared" si="30"/>
        <v>2.9676356181230196E-5</v>
      </c>
      <c r="AH240" s="183"/>
      <c r="AI240" s="183"/>
      <c r="AJ240" s="183"/>
    </row>
    <row r="241" spans="9:36" x14ac:dyDescent="0.25">
      <c r="I241" s="125">
        <v>8.9127780010400004E-2</v>
      </c>
      <c r="J241" s="50">
        <v>3.7944361527751144E-5</v>
      </c>
      <c r="K241" s="50">
        <v>6.4861625528690426E-6</v>
      </c>
      <c r="L241" s="70">
        <v>1.4527375287810117E-5</v>
      </c>
      <c r="M241" s="27"/>
      <c r="R241" s="61">
        <v>468.37971201236951</v>
      </c>
      <c r="S241" s="58">
        <v>3.4427916408919643E-7</v>
      </c>
      <c r="U241" s="173">
        <v>1.8191562756195409E-5</v>
      </c>
      <c r="V241" s="175">
        <v>1.4527375287810117E-5</v>
      </c>
      <c r="W241" s="173">
        <v>1.7825357179828262E-5</v>
      </c>
      <c r="X241" s="174">
        <f t="shared" si="24"/>
        <v>1.6267917627910976E-5</v>
      </c>
      <c r="Y241" s="188">
        <f t="shared" si="25"/>
        <v>11.168643153769189</v>
      </c>
      <c r="AA241" s="144">
        <f t="shared" si="26"/>
        <v>0.89127780010400004</v>
      </c>
      <c r="AB241" s="145">
        <f t="shared" si="27"/>
        <v>3.7944361527751144E-5</v>
      </c>
      <c r="AC241" s="145">
        <f t="shared" si="28"/>
        <v>6.4861625528690426E-6</v>
      </c>
      <c r="AD241" s="145">
        <f t="shared" si="31"/>
        <v>1.6267917627910976E-5</v>
      </c>
      <c r="AE241" s="146">
        <f t="shared" si="29"/>
        <v>33.852971201236947</v>
      </c>
      <c r="AF241" s="146">
        <f t="shared" si="30"/>
        <v>3.4427916408919643E-5</v>
      </c>
      <c r="AH241" s="183"/>
      <c r="AI241" s="183"/>
      <c r="AJ241" s="183"/>
    </row>
    <row r="242" spans="9:36" x14ac:dyDescent="0.25">
      <c r="I242" s="125">
        <v>9.00190578105E-2</v>
      </c>
      <c r="J242" s="50">
        <v>3.1082478285333876E-5</v>
      </c>
      <c r="K242" s="50">
        <v>6.3209526053057984E-6</v>
      </c>
      <c r="L242" s="70">
        <v>1.5266129231341044E-5</v>
      </c>
      <c r="M242" s="27"/>
      <c r="R242" s="61">
        <v>472.66255633228536</v>
      </c>
      <c r="S242" s="58">
        <v>3.4427916408919643E-7</v>
      </c>
      <c r="U242" s="173">
        <v>1.5317519757217198E-5</v>
      </c>
      <c r="V242" s="175">
        <v>1.5266129231341044E-5</v>
      </c>
      <c r="W242" s="173">
        <v>1.6212844800875563E-5</v>
      </c>
      <c r="X242" s="174">
        <f t="shared" si="24"/>
        <v>1.5515655755193713E-5</v>
      </c>
      <c r="Y242" s="188">
        <f t="shared" si="25"/>
        <v>6.0650569131775551</v>
      </c>
      <c r="AA242" s="144">
        <f t="shared" si="26"/>
        <v>0.90019057810500003</v>
      </c>
      <c r="AB242" s="145">
        <f t="shared" si="27"/>
        <v>3.1082478285333876E-5</v>
      </c>
      <c r="AC242" s="145">
        <f t="shared" si="28"/>
        <v>6.3209526053057984E-6</v>
      </c>
      <c r="AD242" s="145">
        <f t="shared" si="31"/>
        <v>1.5515655755193713E-5</v>
      </c>
      <c r="AE242" s="146">
        <f t="shared" si="29"/>
        <v>34.281255633228533</v>
      </c>
      <c r="AF242" s="146">
        <f t="shared" si="30"/>
        <v>3.4427916408919643E-5</v>
      </c>
      <c r="AH242" s="183"/>
      <c r="AI242" s="183"/>
      <c r="AJ242" s="183"/>
    </row>
    <row r="243" spans="9:36" x14ac:dyDescent="0.25">
      <c r="I243" s="125">
        <v>9.0919248388599994E-2</v>
      </c>
      <c r="J243" s="50">
        <v>1.8387869908469279E-5</v>
      </c>
      <c r="K243" s="50">
        <v>6.1730331826120485E-6</v>
      </c>
      <c r="L243" s="70">
        <v>1.5898965895145742E-5</v>
      </c>
      <c r="M243" s="27"/>
      <c r="R243" s="61">
        <v>472.66255633228536</v>
      </c>
      <c r="S243" s="58">
        <v>3.9442476374924757E-7</v>
      </c>
      <c r="U243" s="173">
        <v>1.3432058206888969E-5</v>
      </c>
      <c r="V243" s="175">
        <v>1.5898965895145742E-5</v>
      </c>
      <c r="W243" s="173">
        <v>1.4291792530450986E-5</v>
      </c>
      <c r="X243" s="174">
        <f t="shared" si="24"/>
        <v>1.488044563190786E-5</v>
      </c>
      <c r="Y243" s="188">
        <f t="shared" si="25"/>
        <v>0.32283408703145006</v>
      </c>
      <c r="AA243" s="144">
        <f t="shared" si="26"/>
        <v>0.90919248388599994</v>
      </c>
      <c r="AB243" s="145">
        <f t="shared" si="27"/>
        <v>1.8387869908469279E-5</v>
      </c>
      <c r="AC243" s="145">
        <f t="shared" si="28"/>
        <v>6.1730331826120485E-6</v>
      </c>
      <c r="AD243" s="145">
        <f t="shared" si="31"/>
        <v>1.488044563190786E-5</v>
      </c>
      <c r="AE243" s="146">
        <f t="shared" si="29"/>
        <v>34.281255633228533</v>
      </c>
      <c r="AF243" s="146">
        <f t="shared" si="30"/>
        <v>3.9442476374924756E-5</v>
      </c>
      <c r="AH243" s="183"/>
      <c r="AI243" s="183"/>
      <c r="AJ243" s="183"/>
    </row>
    <row r="244" spans="9:36" x14ac:dyDescent="0.25">
      <c r="I244" s="125">
        <v>9.18284408725E-2</v>
      </c>
      <c r="J244" s="50">
        <v>3.0236591073205802E-5</v>
      </c>
      <c r="K244" s="50">
        <v>5.8599830797213044E-6</v>
      </c>
      <c r="L244" s="70">
        <v>1.5943758026920594E-5</v>
      </c>
      <c r="M244" s="27"/>
      <c r="R244" s="61">
        <v>476.14787640822738</v>
      </c>
      <c r="S244" s="58">
        <v>3.9442476374924757E-7</v>
      </c>
      <c r="U244" s="173">
        <v>1.2619752328243061E-5</v>
      </c>
      <c r="V244" s="175">
        <v>1.5943758026920594E-5</v>
      </c>
      <c r="W244" s="173">
        <v>1.2675892327371297E-5</v>
      </c>
      <c r="X244" s="174">
        <f t="shared" si="24"/>
        <v>1.4295790177363887E-5</v>
      </c>
      <c r="Y244" s="188">
        <f t="shared" si="25"/>
        <v>7.3999289638376586</v>
      </c>
      <c r="AA244" s="144">
        <f t="shared" si="26"/>
        <v>0.91828440872499995</v>
      </c>
      <c r="AB244" s="145">
        <f t="shared" si="27"/>
        <v>3.0236591073205802E-5</v>
      </c>
      <c r="AC244" s="145">
        <f t="shared" si="28"/>
        <v>5.8599830797213044E-6</v>
      </c>
      <c r="AD244" s="145">
        <f t="shared" si="31"/>
        <v>1.4295790177363887E-5</v>
      </c>
      <c r="AE244" s="146">
        <f t="shared" si="29"/>
        <v>34.629787640822734</v>
      </c>
      <c r="AF244" s="146">
        <f t="shared" si="30"/>
        <v>3.9442476374924756E-5</v>
      </c>
      <c r="AH244" s="183"/>
      <c r="AI244" s="183"/>
      <c r="AJ244" s="183"/>
    </row>
    <row r="245" spans="9:36" x14ac:dyDescent="0.25">
      <c r="I245" s="125">
        <v>9.2746725281199996E-2</v>
      </c>
      <c r="J245" s="50">
        <v>3.3546040041765809E-5</v>
      </c>
      <c r="K245" s="50">
        <v>5.9363752774477785E-6</v>
      </c>
      <c r="L245" s="70">
        <v>1.5224556615803496E-5</v>
      </c>
      <c r="M245" s="27"/>
      <c r="R245" s="61">
        <v>476.14787640822738</v>
      </c>
      <c r="S245" s="58">
        <v>4.4587547192469264E-7</v>
      </c>
      <c r="U245" s="173">
        <v>1.2666113817373221E-5</v>
      </c>
      <c r="V245" s="175">
        <v>1.5224556615803496E-5</v>
      </c>
      <c r="W245" s="173">
        <v>1.1811543797118915E-5</v>
      </c>
      <c r="X245" s="174">
        <f t="shared" si="24"/>
        <v>1.3731692711524781E-5</v>
      </c>
      <c r="Y245" s="188">
        <f t="shared" si="25"/>
        <v>11.140812051451599</v>
      </c>
      <c r="AA245" s="144">
        <f t="shared" si="26"/>
        <v>0.92746725281199993</v>
      </c>
      <c r="AB245" s="145">
        <f t="shared" si="27"/>
        <v>3.3546040041765809E-5</v>
      </c>
      <c r="AC245" s="145">
        <f t="shared" si="28"/>
        <v>5.9363752774477785E-6</v>
      </c>
      <c r="AD245" s="145">
        <f t="shared" si="31"/>
        <v>1.3731692711524781E-5</v>
      </c>
      <c r="AE245" s="146">
        <f t="shared" si="29"/>
        <v>34.629787640822734</v>
      </c>
      <c r="AF245" s="146">
        <f t="shared" si="30"/>
        <v>4.4587547192469265E-5</v>
      </c>
      <c r="AH245" s="183"/>
      <c r="AI245" s="183"/>
      <c r="AJ245" s="183"/>
    </row>
    <row r="246" spans="9:36" x14ac:dyDescent="0.25">
      <c r="I246" s="125">
        <v>9.3674192534E-2</v>
      </c>
      <c r="J246" s="50">
        <v>1.9343595592159184E-5</v>
      </c>
      <c r="K246" s="50">
        <v>5.4295340971782443E-6</v>
      </c>
      <c r="L246" s="70">
        <v>1.3904655651897533E-5</v>
      </c>
      <c r="M246" s="27"/>
      <c r="R246" s="61">
        <v>479.15746964373301</v>
      </c>
      <c r="S246" s="58">
        <v>4.4587547192469264E-7</v>
      </c>
      <c r="U246" s="173">
        <v>1.3146523891378678E-5</v>
      </c>
      <c r="V246" s="175">
        <v>1.3904655651897533E-5</v>
      </c>
      <c r="W246" s="173">
        <v>1.1787377189240951E-5</v>
      </c>
      <c r="X246" s="174">
        <f t="shared" si="24"/>
        <v>1.3185803096103674E-5</v>
      </c>
      <c r="Y246" s="188">
        <f t="shared" si="25"/>
        <v>1.2862487640834026</v>
      </c>
      <c r="AA246" s="144">
        <f t="shared" si="26"/>
        <v>0.93674192534</v>
      </c>
      <c r="AB246" s="145">
        <f t="shared" si="27"/>
        <v>1.9343595592159184E-5</v>
      </c>
      <c r="AC246" s="145">
        <f t="shared" si="28"/>
        <v>5.4295340971782443E-6</v>
      </c>
      <c r="AD246" s="145">
        <f t="shared" si="31"/>
        <v>1.3185803096103674E-5</v>
      </c>
      <c r="AE246" s="146">
        <f t="shared" si="29"/>
        <v>34.930746964373306</v>
      </c>
      <c r="AF246" s="146">
        <f t="shared" si="30"/>
        <v>4.4587547192469265E-5</v>
      </c>
      <c r="AH246" s="183"/>
      <c r="AI246" s="183"/>
      <c r="AJ246" s="183"/>
    </row>
    <row r="247" spans="9:36" x14ac:dyDescent="0.25">
      <c r="I247" s="125">
        <v>9.4610934459399998E-2</v>
      </c>
      <c r="J247" s="50">
        <v>2.2993582769456741E-5</v>
      </c>
      <c r="K247" s="50">
        <v>5.4912090351815953E-6</v>
      </c>
      <c r="L247" s="70">
        <v>1.2390230704675648E-5</v>
      </c>
      <c r="M247" s="27"/>
      <c r="R247" s="61">
        <v>479.15746964373301</v>
      </c>
      <c r="S247" s="58">
        <v>4.979708162188218E-7</v>
      </c>
      <c r="U247" s="173">
        <v>1.3580104915181864E-5</v>
      </c>
      <c r="V247" s="175">
        <v>1.2390230704675648E-5</v>
      </c>
      <c r="W247" s="173">
        <v>1.2300000301743198E-5</v>
      </c>
      <c r="X247" s="174">
        <f t="shared" si="24"/>
        <v>1.2665141656569089E-5</v>
      </c>
      <c r="Y247" s="188">
        <f t="shared" si="25"/>
        <v>3.5378026479994653</v>
      </c>
      <c r="AA247" s="144">
        <f t="shared" si="26"/>
        <v>0.94610934459399998</v>
      </c>
      <c r="AB247" s="145">
        <f t="shared" si="27"/>
        <v>2.2993582769456741E-5</v>
      </c>
      <c r="AC247" s="145">
        <f t="shared" si="28"/>
        <v>5.4912090351815953E-6</v>
      </c>
      <c r="AD247" s="145">
        <f t="shared" si="31"/>
        <v>1.2665141656569089E-5</v>
      </c>
      <c r="AE247" s="146">
        <f t="shared" si="29"/>
        <v>34.930746964373306</v>
      </c>
      <c r="AF247" s="146">
        <f t="shared" si="30"/>
        <v>4.9797081621882184E-5</v>
      </c>
      <c r="AH247" s="183"/>
      <c r="AI247" s="183"/>
      <c r="AJ247" s="183"/>
    </row>
    <row r="248" spans="9:36" x14ac:dyDescent="0.25">
      <c r="I248" s="125">
        <v>9.5557043804E-2</v>
      </c>
      <c r="J248" s="50">
        <v>1.833665240437905E-5</v>
      </c>
      <c r="K248" s="50">
        <v>5.924035265411818E-6</v>
      </c>
      <c r="L248" s="70">
        <v>1.1144246327626513E-5</v>
      </c>
      <c r="M248" s="27"/>
      <c r="R248" s="61">
        <v>481.86111666749912</v>
      </c>
      <c r="S248" s="58">
        <v>4.979708162188218E-7</v>
      </c>
      <c r="U248" s="173">
        <v>1.3594332781070889E-5</v>
      </c>
      <c r="V248" s="175">
        <v>1.1144246327626513E-5</v>
      </c>
      <c r="W248" s="173">
        <v>1.2792141022921473E-5</v>
      </c>
      <c r="X248" s="174">
        <f t="shared" si="24"/>
        <v>1.2168741614811346E-5</v>
      </c>
      <c r="Y248" s="188">
        <f t="shared" si="25"/>
        <v>1.0840289905748248</v>
      </c>
      <c r="AA248" s="144">
        <f t="shared" si="26"/>
        <v>0.95557043803999997</v>
      </c>
      <c r="AB248" s="145">
        <f t="shared" si="27"/>
        <v>1.833665240437905E-5</v>
      </c>
      <c r="AC248" s="145">
        <f t="shared" si="28"/>
        <v>5.924035265411818E-6</v>
      </c>
      <c r="AD248" s="145">
        <f t="shared" si="31"/>
        <v>1.2168741614811346E-5</v>
      </c>
      <c r="AE248" s="146">
        <f t="shared" si="29"/>
        <v>35.20111166674991</v>
      </c>
      <c r="AF248" s="146">
        <f t="shared" si="30"/>
        <v>4.9797081621882184E-5</v>
      </c>
      <c r="AH248" s="183"/>
      <c r="AI248" s="183"/>
      <c r="AJ248" s="183"/>
    </row>
    <row r="249" spans="9:36" x14ac:dyDescent="0.25">
      <c r="I249" s="125">
        <v>9.6512614242E-2</v>
      </c>
      <c r="J249" s="50">
        <v>2.4947762270716922E-5</v>
      </c>
      <c r="K249" s="50">
        <v>5.7656498545295592E-6</v>
      </c>
      <c r="L249" s="70">
        <v>1.0485460727757722E-5</v>
      </c>
      <c r="M249" s="27"/>
      <c r="R249" s="61">
        <v>481.86111666749912</v>
      </c>
      <c r="S249" s="58">
        <v>5.5036964995932937E-7</v>
      </c>
      <c r="U249" s="173">
        <v>1.3042143710941877E-5</v>
      </c>
      <c r="V249" s="175">
        <v>1.0485460727757722E-5</v>
      </c>
      <c r="W249" s="173">
        <v>1.2707372950659051E-5</v>
      </c>
      <c r="X249" s="174">
        <f t="shared" si="24"/>
        <v>1.1680109529279093E-5</v>
      </c>
      <c r="Y249" s="188">
        <f t="shared" si="25"/>
        <v>5.2953133365880758</v>
      </c>
      <c r="AA249" s="144">
        <f t="shared" si="26"/>
        <v>0.96512614241999994</v>
      </c>
      <c r="AB249" s="145">
        <f t="shared" si="27"/>
        <v>2.4947762270716922E-5</v>
      </c>
      <c r="AC249" s="145">
        <f t="shared" si="28"/>
        <v>5.7656498545295592E-6</v>
      </c>
      <c r="AD249" s="145">
        <f t="shared" si="31"/>
        <v>1.1680109529279093E-5</v>
      </c>
      <c r="AE249" s="146">
        <f t="shared" si="29"/>
        <v>35.20111166674991</v>
      </c>
      <c r="AF249" s="146">
        <f t="shared" si="30"/>
        <v>5.503696499593294E-5</v>
      </c>
      <c r="AH249" s="183"/>
      <c r="AI249" s="183"/>
      <c r="AJ249" s="183"/>
    </row>
    <row r="250" spans="9:36" x14ac:dyDescent="0.25">
      <c r="I250" s="125">
        <v>9.7477740384400005E-2</v>
      </c>
      <c r="J250" s="50">
        <v>1.9457026880258026E-5</v>
      </c>
      <c r="K250" s="50">
        <v>5.5751945976261507E-6</v>
      </c>
      <c r="L250" s="70">
        <v>1.0453839589339028E-5</v>
      </c>
      <c r="M250" s="27"/>
      <c r="R250" s="61">
        <v>484.36199117843006</v>
      </c>
      <c r="S250" s="58">
        <v>5.5036964995932937E-7</v>
      </c>
      <c r="U250" s="173">
        <v>1.2030588931622482E-5</v>
      </c>
      <c r="V250" s="175">
        <v>1.0453839589339028E-5</v>
      </c>
      <c r="W250" s="173">
        <v>1.1754137456075881E-5</v>
      </c>
      <c r="X250" s="174">
        <f t="shared" si="24"/>
        <v>1.1173101391594105E-5</v>
      </c>
      <c r="Y250" s="188">
        <f t="shared" si="25"/>
        <v>2.20776226655929</v>
      </c>
      <c r="AA250" s="144">
        <f t="shared" si="26"/>
        <v>0.97477740384400002</v>
      </c>
      <c r="AB250" s="145">
        <f t="shared" si="27"/>
        <v>1.9457026880258026E-5</v>
      </c>
      <c r="AC250" s="145">
        <f t="shared" si="28"/>
        <v>5.5751945976261507E-6</v>
      </c>
      <c r="AD250" s="145">
        <f t="shared" si="31"/>
        <v>1.1173101391594105E-5</v>
      </c>
      <c r="AE250" s="146">
        <f t="shared" si="29"/>
        <v>35.451199117843011</v>
      </c>
      <c r="AF250" s="146">
        <f t="shared" si="30"/>
        <v>5.503696499593294E-5</v>
      </c>
      <c r="AH250" s="183"/>
      <c r="AI250" s="183"/>
      <c r="AJ250" s="183"/>
    </row>
    <row r="251" spans="9:36" x14ac:dyDescent="0.25">
      <c r="I251" s="125">
        <v>9.8452517788299998E-2</v>
      </c>
      <c r="J251" s="50">
        <v>2.7453811199218939E-5</v>
      </c>
      <c r="K251" s="50">
        <v>5.8163941969683319E-6</v>
      </c>
      <c r="L251" s="70">
        <v>1.0797769389411294E-5</v>
      </c>
      <c r="M251" s="27"/>
      <c r="R251" s="61">
        <v>484.36199117843006</v>
      </c>
      <c r="S251" s="58">
        <v>6.0289714976851925E-7</v>
      </c>
      <c r="U251" s="173">
        <v>1.0853000473084871E-5</v>
      </c>
      <c r="V251" s="175">
        <v>1.0797769389411294E-5</v>
      </c>
      <c r="W251" s="173">
        <v>1.0063563896245929E-5</v>
      </c>
      <c r="X251" s="174">
        <f t="shared" si="24"/>
        <v>1.0628025787038348E-5</v>
      </c>
      <c r="Y251" s="188">
        <f t="shared" si="25"/>
        <v>8.3684114828145812</v>
      </c>
      <c r="AA251" s="144">
        <f t="shared" si="26"/>
        <v>0.98452517788299998</v>
      </c>
      <c r="AB251" s="145">
        <f t="shared" si="27"/>
        <v>2.7453811199218939E-5</v>
      </c>
      <c r="AC251" s="145">
        <f t="shared" si="28"/>
        <v>5.8163941969683319E-6</v>
      </c>
      <c r="AD251" s="145">
        <f t="shared" si="31"/>
        <v>1.0628025787038348E-5</v>
      </c>
      <c r="AE251" s="146">
        <f t="shared" si="29"/>
        <v>35.451199117843011</v>
      </c>
      <c r="AF251" s="146">
        <f t="shared" si="30"/>
        <v>6.0289714976851925E-5</v>
      </c>
      <c r="AH251" s="183"/>
      <c r="AI251" s="183"/>
      <c r="AJ251" s="183"/>
    </row>
    <row r="252" spans="9:36" x14ac:dyDescent="0.25">
      <c r="I252" s="125">
        <v>9.9437042966199998E-2</v>
      </c>
      <c r="J252" s="50">
        <v>2.0778987219510604E-5</v>
      </c>
      <c r="K252" s="50">
        <v>5.740226748239029E-6</v>
      </c>
      <c r="L252" s="70">
        <v>1.1103928337642236E-5</v>
      </c>
      <c r="M252" s="27"/>
      <c r="R252" s="61">
        <v>486.72991577671951</v>
      </c>
      <c r="S252" s="58">
        <v>6.0289714976851925E-7</v>
      </c>
      <c r="U252" s="173">
        <v>9.8563013270637937E-6</v>
      </c>
      <c r="V252" s="175">
        <v>1.1103928337642236E-5</v>
      </c>
      <c r="W252" s="173">
        <v>8.173939599936328E-6</v>
      </c>
      <c r="X252" s="174">
        <f t="shared" si="24"/>
        <v>1.0059524400571147E-5</v>
      </c>
      <c r="Y252" s="188">
        <f t="shared" si="25"/>
        <v>3.4872890678084789</v>
      </c>
      <c r="AA252" s="144">
        <f t="shared" si="26"/>
        <v>0.99437042966199995</v>
      </c>
      <c r="AB252" s="145">
        <f t="shared" si="27"/>
        <v>2.0778987219510604E-5</v>
      </c>
      <c r="AC252" s="145">
        <f t="shared" si="28"/>
        <v>5.740226748239029E-6</v>
      </c>
      <c r="AD252" s="145">
        <f t="shared" si="31"/>
        <v>1.0059524400571147E-5</v>
      </c>
      <c r="AE252" s="146">
        <f t="shared" si="29"/>
        <v>35.687991577671951</v>
      </c>
      <c r="AF252" s="146">
        <f t="shared" si="30"/>
        <v>6.0289714976851925E-5</v>
      </c>
      <c r="AH252" s="183"/>
      <c r="AI252" s="183"/>
      <c r="AJ252" s="183"/>
    </row>
    <row r="253" spans="9:36" x14ac:dyDescent="0.25">
      <c r="I253" s="125">
        <v>0.10043141339599999</v>
      </c>
      <c r="J253" s="50">
        <v>1.853017497296388E-5</v>
      </c>
      <c r="K253" s="50">
        <v>5.4539878236374857E-6</v>
      </c>
      <c r="L253" s="70">
        <v>1.1060181351203686E-5</v>
      </c>
      <c r="M253" s="27"/>
      <c r="R253" s="61">
        <v>486.72991577671951</v>
      </c>
      <c r="S253" s="58">
        <v>6.5546921905035161E-7</v>
      </c>
      <c r="U253" s="173">
        <v>9.2702858054189527E-6</v>
      </c>
      <c r="V253" s="175">
        <v>1.1060181351203686E-5</v>
      </c>
      <c r="W253" s="173">
        <v>6.7758528140146113E-6</v>
      </c>
      <c r="X253" s="174">
        <f t="shared" si="24"/>
        <v>9.541625330460235E-6</v>
      </c>
      <c r="Y253" s="188">
        <f t="shared" si="25"/>
        <v>2.7161322651801516</v>
      </c>
      <c r="AA253" s="144">
        <f t="shared" si="26"/>
        <v>1.0043141339599999</v>
      </c>
      <c r="AB253" s="145">
        <f t="shared" si="27"/>
        <v>1.853017497296388E-5</v>
      </c>
      <c r="AC253" s="145">
        <f t="shared" si="28"/>
        <v>5.4539878236374857E-6</v>
      </c>
      <c r="AD253" s="145">
        <f t="shared" si="31"/>
        <v>9.541625330460235E-6</v>
      </c>
      <c r="AE253" s="146">
        <f t="shared" si="29"/>
        <v>35.687991577671951</v>
      </c>
      <c r="AF253" s="146">
        <f t="shared" si="30"/>
        <v>6.5546921905035166E-5</v>
      </c>
      <c r="AH253" s="183"/>
      <c r="AI253" s="183"/>
      <c r="AJ253" s="183"/>
    </row>
    <row r="254" spans="9:36" x14ac:dyDescent="0.25">
      <c r="I254" s="125">
        <v>0.10143572753000001</v>
      </c>
      <c r="J254" s="50">
        <v>2.4492730356343209E-5</v>
      </c>
      <c r="K254" s="50">
        <v>5.520391579358193E-6</v>
      </c>
      <c r="L254" s="70">
        <v>1.0502251832651902E-5</v>
      </c>
      <c r="M254" s="27"/>
      <c r="R254" s="61">
        <v>489.01687840456418</v>
      </c>
      <c r="S254" s="58">
        <v>6.5546921905035161E-7</v>
      </c>
      <c r="U254" s="173">
        <v>9.1028937253377431E-6</v>
      </c>
      <c r="V254" s="175">
        <v>1.0502251832651902E-5</v>
      </c>
      <c r="W254" s="173">
        <v>6.4112606257860404E-6</v>
      </c>
      <c r="X254" s="174">
        <f t="shared" si="24"/>
        <v>9.1296645041068964E-6</v>
      </c>
      <c r="Y254" s="188">
        <f t="shared" si="25"/>
        <v>7.7449035685373211</v>
      </c>
      <c r="AA254" s="144">
        <f t="shared" si="26"/>
        <v>1.0143572753000001</v>
      </c>
      <c r="AB254" s="145">
        <f t="shared" si="27"/>
        <v>2.4492730356343209E-5</v>
      </c>
      <c r="AC254" s="145">
        <f t="shared" si="28"/>
        <v>5.520391579358193E-6</v>
      </c>
      <c r="AD254" s="145">
        <f t="shared" si="31"/>
        <v>9.1296645041068964E-6</v>
      </c>
      <c r="AE254" s="146">
        <f t="shared" si="29"/>
        <v>35.916687840456419</v>
      </c>
      <c r="AF254" s="146">
        <f t="shared" si="30"/>
        <v>6.5546921905035166E-5</v>
      </c>
      <c r="AH254" s="183"/>
      <c r="AI254" s="183"/>
      <c r="AJ254" s="183"/>
    </row>
    <row r="255" spans="9:36" x14ac:dyDescent="0.25">
      <c r="I255" s="125">
        <v>0.103474585653</v>
      </c>
      <c r="J255" s="50">
        <v>1.2452624940221983E-5</v>
      </c>
      <c r="K255" s="50">
        <v>2.6374560417712564E-6</v>
      </c>
      <c r="L255" s="70">
        <v>6.7930502185611245E-6</v>
      </c>
      <c r="M255" s="27"/>
      <c r="R255" s="61">
        <v>489.01687840456418</v>
      </c>
      <c r="S255" s="58">
        <v>7.0805157290880042E-7</v>
      </c>
      <c r="U255" s="173">
        <v>9.564868633191646E-6</v>
      </c>
      <c r="V255" s="175">
        <v>6.7930502185611245E-6</v>
      </c>
      <c r="W255" s="173">
        <v>1.0857170191491028E-5</v>
      </c>
      <c r="X255" s="174">
        <f t="shared" si="24"/>
        <v>8.5020348154512312E-6</v>
      </c>
      <c r="Y255" s="188">
        <f t="shared" si="25"/>
        <v>2.2436416194711235</v>
      </c>
      <c r="AA255" s="144">
        <f t="shared" si="26"/>
        <v>1.0347458565299998</v>
      </c>
      <c r="AB255" s="145">
        <f t="shared" si="27"/>
        <v>1.2452624940221983E-5</v>
      </c>
      <c r="AC255" s="145">
        <f t="shared" si="28"/>
        <v>2.6374560417712564E-6</v>
      </c>
      <c r="AD255" s="145">
        <f t="shared" si="31"/>
        <v>8.5020348154512312E-6</v>
      </c>
      <c r="AE255" s="146">
        <f t="shared" si="29"/>
        <v>35.916687840456419</v>
      </c>
      <c r="AF255" s="146">
        <f t="shared" si="30"/>
        <v>7.0805157290880038E-5</v>
      </c>
      <c r="AH255" s="183"/>
      <c r="AI255" s="183"/>
      <c r="AJ255" s="183"/>
    </row>
    <row r="256" spans="9:36" x14ac:dyDescent="0.25">
      <c r="I256" s="125">
        <v>0.10450933151</v>
      </c>
      <c r="J256" s="50">
        <v>1.7892031047209709E-5</v>
      </c>
      <c r="K256" s="50">
        <v>2.6409354287290347E-6</v>
      </c>
      <c r="L256" s="70">
        <v>6.0772737610371308E-6</v>
      </c>
      <c r="M256" s="27"/>
      <c r="R256" s="61">
        <v>491.26542393364912</v>
      </c>
      <c r="S256" s="58">
        <v>7.0805157290880042E-7</v>
      </c>
      <c r="U256" s="173">
        <v>9.3629318029623511E-6</v>
      </c>
      <c r="V256" s="175">
        <v>6.0772737610371308E-6</v>
      </c>
      <c r="W256" s="173">
        <v>1.2934495671431209E-5</v>
      </c>
      <c r="X256" s="174">
        <f t="shared" si="24"/>
        <v>8.6129937491169562E-6</v>
      </c>
      <c r="Y256" s="188">
        <f t="shared" si="25"/>
        <v>12.344976720463773</v>
      </c>
      <c r="AA256" s="144">
        <f t="shared" si="26"/>
        <v>1.0450933150999999</v>
      </c>
      <c r="AB256" s="145">
        <f t="shared" si="27"/>
        <v>1.7892031047209709E-5</v>
      </c>
      <c r="AC256" s="145">
        <f t="shared" si="28"/>
        <v>2.6409354287290347E-6</v>
      </c>
      <c r="AD256" s="145">
        <f t="shared" si="31"/>
        <v>8.6129937491169562E-6</v>
      </c>
      <c r="AE256" s="146">
        <f t="shared" si="29"/>
        <v>36.141542393364908</v>
      </c>
      <c r="AF256" s="146">
        <f t="shared" si="30"/>
        <v>7.0805157290880038E-5</v>
      </c>
      <c r="AH256" s="183"/>
      <c r="AI256" s="183"/>
      <c r="AJ256" s="183"/>
    </row>
    <row r="257" spans="9:36" x14ac:dyDescent="0.25">
      <c r="I257" s="125"/>
      <c r="J257" s="50"/>
      <c r="K257" s="50"/>
      <c r="L257" s="70"/>
      <c r="M257" s="27"/>
      <c r="R257" s="61">
        <v>491.26542393364912</v>
      </c>
      <c r="S257" s="58">
        <v>7.568556231456998E-7</v>
      </c>
      <c r="U257" s="173"/>
      <c r="V257" s="175"/>
      <c r="W257" s="173"/>
      <c r="X257" s="174"/>
      <c r="Y257" s="188"/>
      <c r="AA257" s="144"/>
      <c r="AB257" s="145"/>
      <c r="AC257" s="145"/>
      <c r="AD257" s="145"/>
      <c r="AE257" s="146">
        <f t="shared" si="29"/>
        <v>36.141542393364908</v>
      </c>
      <c r="AF257" s="146">
        <f t="shared" si="30"/>
        <v>7.568556231456998E-5</v>
      </c>
      <c r="AH257" s="183"/>
      <c r="AI257" s="183"/>
      <c r="AJ257" s="184"/>
    </row>
    <row r="258" spans="9:36" x14ac:dyDescent="0.25">
      <c r="I258" s="125"/>
      <c r="J258" s="50"/>
      <c r="K258" s="50"/>
      <c r="L258" s="70"/>
      <c r="M258" s="27"/>
      <c r="R258" s="61">
        <v>493.18244212626809</v>
      </c>
      <c r="S258" s="58">
        <v>7.568556231456998E-7</v>
      </c>
      <c r="U258" s="173"/>
      <c r="V258" s="175"/>
      <c r="W258" s="173"/>
      <c r="X258" s="174"/>
      <c r="Y258" s="188"/>
      <c r="AA258" s="144"/>
      <c r="AB258" s="145"/>
      <c r="AC258" s="145"/>
      <c r="AD258" s="145"/>
      <c r="AE258" s="146">
        <f t="shared" si="29"/>
        <v>36.333244212626809</v>
      </c>
      <c r="AF258" s="146">
        <f t="shared" si="30"/>
        <v>7.568556231456998E-5</v>
      </c>
      <c r="AH258" s="183"/>
      <c r="AI258" s="183"/>
      <c r="AJ258" s="184"/>
    </row>
    <row r="259" spans="9:36" x14ac:dyDescent="0.25">
      <c r="I259" s="125"/>
      <c r="J259" s="50"/>
      <c r="K259" s="50"/>
      <c r="L259" s="70"/>
      <c r="M259" s="27"/>
      <c r="R259" s="61">
        <v>493.18244212626809</v>
      </c>
      <c r="S259" s="58">
        <v>8.2371580320200136E-7</v>
      </c>
      <c r="U259" s="173"/>
      <c r="V259" s="175"/>
      <c r="W259" s="173"/>
      <c r="X259" s="174"/>
      <c r="Y259" s="188"/>
      <c r="AA259" s="144"/>
      <c r="AB259" s="145"/>
      <c r="AC259" s="145"/>
      <c r="AD259" s="145"/>
      <c r="AE259" s="146">
        <f t="shared" ref="AE259:AE322" si="32">(R259-129.85)/10</f>
        <v>36.333244212626809</v>
      </c>
      <c r="AF259" s="146">
        <f t="shared" ref="AF259:AF322" si="33">S259*100</f>
        <v>8.2371580320200139E-5</v>
      </c>
      <c r="AH259" s="183"/>
      <c r="AI259" s="183"/>
      <c r="AJ259" s="184"/>
    </row>
    <row r="260" spans="9:36" x14ac:dyDescent="0.25">
      <c r="I260" s="125"/>
      <c r="J260" s="50"/>
      <c r="K260" s="50"/>
      <c r="L260" s="70"/>
      <c r="M260" s="27"/>
      <c r="R260" s="61">
        <v>497.01647851150602</v>
      </c>
      <c r="S260" s="58">
        <v>8.2371580320200136E-7</v>
      </c>
      <c r="U260" s="173"/>
      <c r="V260" s="175"/>
      <c r="W260" s="173"/>
      <c r="X260" s="174"/>
      <c r="Y260" s="188"/>
      <c r="AA260" s="144"/>
      <c r="AB260" s="145"/>
      <c r="AC260" s="145"/>
      <c r="AD260" s="145"/>
      <c r="AE260" s="146">
        <f t="shared" si="32"/>
        <v>36.716647851150604</v>
      </c>
      <c r="AF260" s="146">
        <f t="shared" si="33"/>
        <v>8.2371580320200139E-5</v>
      </c>
      <c r="AH260" s="183"/>
      <c r="AI260" s="183"/>
      <c r="AJ260" s="184"/>
    </row>
    <row r="261" spans="9:36" x14ac:dyDescent="0.25">
      <c r="I261" s="125"/>
      <c r="J261" s="50"/>
      <c r="K261" s="50"/>
      <c r="L261" s="70"/>
      <c r="M261" s="27"/>
      <c r="R261" s="61">
        <v>497.01647851150602</v>
      </c>
      <c r="S261" s="58">
        <v>9.0886997260503141E-7</v>
      </c>
      <c r="U261" s="173"/>
      <c r="V261" s="175"/>
      <c r="W261" s="173"/>
      <c r="X261" s="174"/>
      <c r="Y261" s="188"/>
      <c r="AA261" s="144"/>
      <c r="AB261" s="145"/>
      <c r="AC261" s="145"/>
      <c r="AD261" s="145"/>
      <c r="AE261" s="146">
        <f t="shared" si="32"/>
        <v>36.716647851150604</v>
      </c>
      <c r="AF261" s="146">
        <f t="shared" si="33"/>
        <v>9.0886997260503137E-5</v>
      </c>
      <c r="AH261" s="183"/>
      <c r="AI261" s="183"/>
      <c r="AJ261" s="184"/>
    </row>
    <row r="262" spans="9:36" x14ac:dyDescent="0.25">
      <c r="I262" s="125"/>
      <c r="J262" s="50"/>
      <c r="K262" s="50"/>
      <c r="L262" s="70"/>
      <c r="M262" s="27"/>
      <c r="R262" s="61">
        <v>500.85051489674396</v>
      </c>
      <c r="S262" s="58">
        <v>9.0886997260503141E-7</v>
      </c>
      <c r="U262" s="173"/>
      <c r="V262" s="175"/>
      <c r="W262" s="173"/>
      <c r="X262" s="174"/>
      <c r="Y262" s="188"/>
      <c r="AA262" s="144"/>
      <c r="AB262" s="145"/>
      <c r="AC262" s="145"/>
      <c r="AD262" s="145"/>
      <c r="AE262" s="146">
        <f t="shared" si="32"/>
        <v>37.100051489674399</v>
      </c>
      <c r="AF262" s="146">
        <f t="shared" si="33"/>
        <v>9.0886997260503137E-5</v>
      </c>
      <c r="AH262" s="183"/>
      <c r="AI262" s="183"/>
      <c r="AJ262" s="184"/>
    </row>
    <row r="263" spans="9:36" x14ac:dyDescent="0.25">
      <c r="I263" s="125"/>
      <c r="J263" s="50"/>
      <c r="K263" s="50"/>
      <c r="L263" s="70"/>
      <c r="M263" s="27"/>
      <c r="R263" s="61">
        <v>500.85051489674396</v>
      </c>
      <c r="S263" s="58">
        <v>9.8617244836772938E-7</v>
      </c>
      <c r="U263" s="173"/>
      <c r="V263" s="175"/>
      <c r="W263" s="173"/>
      <c r="X263" s="174"/>
      <c r="Y263" s="188"/>
      <c r="AA263" s="144"/>
      <c r="AB263" s="145"/>
      <c r="AC263" s="145"/>
      <c r="AD263" s="145"/>
      <c r="AE263" s="146">
        <f t="shared" si="32"/>
        <v>37.100051489674399</v>
      </c>
      <c r="AF263" s="146">
        <f t="shared" si="33"/>
        <v>9.8617244836772934E-5</v>
      </c>
      <c r="AH263" s="183"/>
      <c r="AI263" s="183"/>
      <c r="AJ263" s="184"/>
    </row>
    <row r="264" spans="9:36" x14ac:dyDescent="0.25">
      <c r="I264" s="125"/>
      <c r="J264" s="50"/>
      <c r="K264" s="50"/>
      <c r="L264" s="70"/>
      <c r="M264" s="27"/>
      <c r="R264" s="61">
        <v>504.6845512819819</v>
      </c>
      <c r="S264" s="58">
        <v>9.8617244836772938E-7</v>
      </c>
      <c r="U264" s="173"/>
      <c r="V264" s="175"/>
      <c r="W264" s="173"/>
      <c r="X264" s="174"/>
      <c r="Y264" s="188"/>
      <c r="AA264" s="144"/>
      <c r="AB264" s="145"/>
      <c r="AC264" s="145"/>
      <c r="AD264" s="145"/>
      <c r="AE264" s="146">
        <f t="shared" si="32"/>
        <v>37.483455128198194</v>
      </c>
      <c r="AF264" s="146">
        <f t="shared" si="33"/>
        <v>9.8617244836772934E-5</v>
      </c>
      <c r="AH264" s="183"/>
      <c r="AI264" s="183"/>
      <c r="AJ264" s="184"/>
    </row>
    <row r="265" spans="9:36" x14ac:dyDescent="0.25">
      <c r="I265" s="125"/>
      <c r="J265" s="50"/>
      <c r="K265" s="50"/>
      <c r="L265" s="70"/>
      <c r="M265" s="27"/>
      <c r="R265" s="61">
        <v>504.6845512819819</v>
      </c>
      <c r="S265" s="58">
        <v>1.0530262210713681E-6</v>
      </c>
      <c r="U265" s="173"/>
      <c r="V265" s="175"/>
      <c r="W265" s="173"/>
      <c r="X265" s="174"/>
      <c r="Y265" s="188"/>
      <c r="AA265" s="144"/>
      <c r="AB265" s="145"/>
      <c r="AC265" s="145"/>
      <c r="AD265" s="145"/>
      <c r="AE265" s="146">
        <f t="shared" si="32"/>
        <v>37.483455128198194</v>
      </c>
      <c r="AF265" s="146">
        <f t="shared" si="33"/>
        <v>1.053026221071368E-4</v>
      </c>
      <c r="AH265" s="183"/>
      <c r="AI265" s="183"/>
      <c r="AJ265" s="184"/>
    </row>
    <row r="266" spans="9:36" x14ac:dyDescent="0.25">
      <c r="I266" s="125"/>
      <c r="J266" s="50"/>
      <c r="K266" s="50"/>
      <c r="L266" s="70"/>
      <c r="M266" s="27"/>
      <c r="R266" s="61">
        <v>508.51858766721983</v>
      </c>
      <c r="S266" s="58">
        <v>1.0530262210713681E-6</v>
      </c>
      <c r="U266" s="173"/>
      <c r="V266" s="175"/>
      <c r="W266" s="173"/>
      <c r="X266" s="174"/>
      <c r="Y266" s="188"/>
      <c r="AA266" s="144"/>
      <c r="AB266" s="145"/>
      <c r="AC266" s="145"/>
      <c r="AD266" s="145"/>
      <c r="AE266" s="146">
        <f t="shared" si="32"/>
        <v>37.86685876672199</v>
      </c>
      <c r="AF266" s="146">
        <f t="shared" si="33"/>
        <v>1.053026221071368E-4</v>
      </c>
      <c r="AH266" s="183"/>
      <c r="AI266" s="183"/>
      <c r="AJ266" s="184"/>
    </row>
    <row r="267" spans="9:36" x14ac:dyDescent="0.25">
      <c r="I267" s="125"/>
      <c r="J267" s="50"/>
      <c r="K267" s="50"/>
      <c r="M267" s="34"/>
      <c r="R267" s="61">
        <v>508.51858766721983</v>
      </c>
      <c r="S267" s="58">
        <v>1.1080921965111455E-6</v>
      </c>
      <c r="U267" s="173"/>
      <c r="V267" s="175"/>
      <c r="W267" s="173"/>
      <c r="X267" s="174"/>
      <c r="Y267" s="188"/>
      <c r="AA267" s="144"/>
      <c r="AB267" s="145"/>
      <c r="AC267" s="145"/>
      <c r="AD267" s="145"/>
      <c r="AE267" s="146">
        <f t="shared" si="32"/>
        <v>37.86685876672199</v>
      </c>
      <c r="AF267" s="146">
        <f t="shared" si="33"/>
        <v>1.1080921965111455E-4</v>
      </c>
      <c r="AH267" s="183"/>
      <c r="AI267" s="183"/>
      <c r="AJ267" s="184"/>
    </row>
    <row r="268" spans="9:36" x14ac:dyDescent="0.25">
      <c r="I268" s="125"/>
      <c r="J268" s="50"/>
      <c r="K268" s="50"/>
      <c r="M268" s="34"/>
      <c r="R268" s="61">
        <v>512.35262405245771</v>
      </c>
      <c r="S268" s="58">
        <v>1.1080921965111455E-6</v>
      </c>
      <c r="U268" s="173"/>
      <c r="V268" s="175"/>
      <c r="W268" s="173"/>
      <c r="X268" s="174"/>
      <c r="Y268" s="188"/>
      <c r="AA268" s="144"/>
      <c r="AB268" s="145"/>
      <c r="AC268" s="145"/>
      <c r="AD268" s="145"/>
      <c r="AE268" s="146">
        <f t="shared" si="32"/>
        <v>38.25026240524577</v>
      </c>
      <c r="AF268" s="146">
        <f t="shared" si="33"/>
        <v>1.1080921965111455E-4</v>
      </c>
      <c r="AH268" s="183"/>
      <c r="AI268" s="183"/>
      <c r="AJ268" s="184"/>
    </row>
    <row r="269" spans="9:36" x14ac:dyDescent="0.25">
      <c r="I269" s="125"/>
      <c r="J269" s="50"/>
      <c r="K269" s="50"/>
      <c r="M269" s="33"/>
      <c r="R269" s="61">
        <v>512.35262405245771</v>
      </c>
      <c r="S269" s="58">
        <v>1.1512553662886629E-6</v>
      </c>
      <c r="U269" s="173"/>
      <c r="V269" s="175"/>
      <c r="W269" s="173"/>
      <c r="X269" s="174"/>
      <c r="Y269" s="188"/>
      <c r="AA269" s="144"/>
      <c r="AB269" s="145"/>
      <c r="AC269" s="145"/>
      <c r="AD269" s="145"/>
      <c r="AE269" s="146">
        <f t="shared" si="32"/>
        <v>38.25026240524577</v>
      </c>
      <c r="AF269" s="146">
        <f t="shared" si="33"/>
        <v>1.1512553662886628E-4</v>
      </c>
      <c r="AH269" s="183"/>
      <c r="AI269" s="183"/>
      <c r="AJ269" s="184"/>
    </row>
    <row r="270" spans="9:36" x14ac:dyDescent="0.25">
      <c r="I270" s="125"/>
      <c r="J270" s="50"/>
      <c r="K270" s="50"/>
      <c r="M270" s="34"/>
      <c r="R270" s="61">
        <v>516.18666043769565</v>
      </c>
      <c r="S270" s="58">
        <v>1.1512553662886629E-6</v>
      </c>
      <c r="U270" s="173"/>
      <c r="V270" s="175"/>
      <c r="W270" s="173"/>
      <c r="X270" s="174"/>
      <c r="Y270" s="188"/>
      <c r="AA270" s="144"/>
      <c r="AB270" s="145"/>
      <c r="AC270" s="145"/>
      <c r="AD270" s="145"/>
      <c r="AE270" s="146">
        <f t="shared" si="32"/>
        <v>38.633666043769566</v>
      </c>
      <c r="AF270" s="146">
        <f t="shared" si="33"/>
        <v>1.1512553662886628E-4</v>
      </c>
      <c r="AH270" s="183"/>
      <c r="AI270" s="183"/>
      <c r="AJ270" s="184"/>
    </row>
    <row r="271" spans="9:36" x14ac:dyDescent="0.25">
      <c r="I271" s="125"/>
      <c r="J271" s="50"/>
      <c r="K271" s="50"/>
      <c r="M271" s="35"/>
      <c r="R271" s="61">
        <v>516.18666043769565</v>
      </c>
      <c r="S271" s="58">
        <v>1.1833761909775078E-6</v>
      </c>
      <c r="U271" s="173"/>
      <c r="V271" s="175"/>
      <c r="W271" s="173"/>
      <c r="X271" s="174"/>
      <c r="Y271" s="188"/>
      <c r="AA271" s="144"/>
      <c r="AB271" s="145"/>
      <c r="AC271" s="145"/>
      <c r="AD271" s="145"/>
      <c r="AE271" s="146">
        <f t="shared" si="32"/>
        <v>38.633666043769566</v>
      </c>
      <c r="AF271" s="146">
        <f t="shared" si="33"/>
        <v>1.1833761909775078E-4</v>
      </c>
      <c r="AH271" s="183"/>
      <c r="AI271" s="183"/>
      <c r="AJ271" s="184"/>
    </row>
    <row r="272" spans="9:36" x14ac:dyDescent="0.25">
      <c r="I272" s="125"/>
      <c r="J272" s="50"/>
      <c r="K272" s="50"/>
      <c r="M272" s="34"/>
      <c r="R272" s="61">
        <v>520.02069682293359</v>
      </c>
      <c r="S272" s="58">
        <v>1.1833761909775078E-6</v>
      </c>
      <c r="U272" s="173"/>
      <c r="V272" s="175"/>
      <c r="W272" s="173"/>
      <c r="X272" s="174"/>
      <c r="Y272" s="188"/>
      <c r="AA272" s="144"/>
      <c r="AB272" s="145"/>
      <c r="AC272" s="145"/>
      <c r="AD272" s="145"/>
      <c r="AE272" s="146">
        <f t="shared" si="32"/>
        <v>39.017069682293354</v>
      </c>
      <c r="AF272" s="146">
        <f t="shared" si="33"/>
        <v>1.1833761909775078E-4</v>
      </c>
      <c r="AH272" s="183"/>
      <c r="AI272" s="183"/>
      <c r="AJ272" s="184"/>
    </row>
    <row r="273" spans="9:36" x14ac:dyDescent="0.25">
      <c r="I273" s="125"/>
      <c r="J273" s="50"/>
      <c r="K273" s="50"/>
      <c r="M273" s="33"/>
      <c r="R273" s="61">
        <v>520.02069682293359</v>
      </c>
      <c r="S273" s="58">
        <v>1.2059115784722921E-6</v>
      </c>
      <c r="U273" s="173"/>
      <c r="V273" s="175"/>
      <c r="W273" s="173"/>
      <c r="X273" s="174"/>
      <c r="Y273" s="188"/>
      <c r="AA273" s="144"/>
      <c r="AB273" s="145"/>
      <c r="AC273" s="145"/>
      <c r="AD273" s="145"/>
      <c r="AE273" s="146">
        <f t="shared" si="32"/>
        <v>39.017069682293354</v>
      </c>
      <c r="AF273" s="146">
        <f t="shared" si="33"/>
        <v>1.2059115784722921E-4</v>
      </c>
      <c r="AH273" s="183"/>
      <c r="AI273" s="183"/>
      <c r="AJ273" s="184"/>
    </row>
    <row r="274" spans="9:36" x14ac:dyDescent="0.25">
      <c r="I274" s="125"/>
      <c r="J274" s="50"/>
      <c r="K274" s="50"/>
      <c r="M274" s="34"/>
      <c r="R274" s="61">
        <v>523.85473320817152</v>
      </c>
      <c r="S274" s="58">
        <v>1.2059115784722921E-6</v>
      </c>
      <c r="U274" s="173"/>
      <c r="V274" s="175"/>
      <c r="W274" s="173"/>
      <c r="X274" s="174"/>
      <c r="Y274" s="188"/>
      <c r="AA274" s="144"/>
      <c r="AB274" s="145"/>
      <c r="AC274" s="145"/>
      <c r="AD274" s="145"/>
      <c r="AE274" s="146">
        <f t="shared" si="32"/>
        <v>39.400473320817149</v>
      </c>
      <c r="AF274" s="146">
        <f t="shared" si="33"/>
        <v>1.2059115784722921E-4</v>
      </c>
      <c r="AH274" s="183"/>
      <c r="AI274" s="183"/>
      <c r="AJ274" s="184"/>
    </row>
    <row r="275" spans="9:36" x14ac:dyDescent="0.25">
      <c r="I275" s="125"/>
      <c r="J275" s="50"/>
      <c r="K275" s="50"/>
      <c r="M275" s="34"/>
      <c r="R275" s="61">
        <v>523.85473320817152</v>
      </c>
      <c r="S275" s="58">
        <v>1.2205008419078152E-6</v>
      </c>
      <c r="U275" s="173"/>
      <c r="V275" s="175"/>
      <c r="W275" s="173"/>
      <c r="X275" s="174"/>
      <c r="Y275" s="188"/>
      <c r="AA275" s="144"/>
      <c r="AB275" s="145"/>
      <c r="AC275" s="145"/>
      <c r="AD275" s="145"/>
      <c r="AE275" s="146">
        <f t="shared" si="32"/>
        <v>39.400473320817149</v>
      </c>
      <c r="AF275" s="146">
        <f t="shared" si="33"/>
        <v>1.2205008419078152E-4</v>
      </c>
      <c r="AH275" s="183"/>
      <c r="AI275" s="183"/>
      <c r="AJ275" s="184"/>
    </row>
    <row r="276" spans="9:36" x14ac:dyDescent="0.25">
      <c r="I276" s="125"/>
      <c r="J276" s="50"/>
      <c r="K276" s="50"/>
      <c r="M276" s="33"/>
      <c r="R276" s="61">
        <v>527.68876959340946</v>
      </c>
      <c r="S276" s="58">
        <v>1.2205008419078152E-6</v>
      </c>
      <c r="U276" s="173"/>
      <c r="V276" s="175"/>
      <c r="W276" s="173"/>
      <c r="X276" s="174"/>
      <c r="Y276" s="188"/>
      <c r="AA276" s="144"/>
      <c r="AB276" s="145"/>
      <c r="AC276" s="145"/>
      <c r="AD276" s="145"/>
      <c r="AE276" s="146">
        <f t="shared" si="32"/>
        <v>39.783876959340944</v>
      </c>
      <c r="AF276" s="146">
        <f t="shared" si="33"/>
        <v>1.2205008419078152E-4</v>
      </c>
      <c r="AH276" s="183"/>
      <c r="AI276" s="183"/>
      <c r="AJ276" s="184"/>
    </row>
    <row r="277" spans="9:36" x14ac:dyDescent="0.25">
      <c r="I277" s="125"/>
      <c r="J277" s="50"/>
      <c r="K277" s="50"/>
      <c r="M277" s="34"/>
      <c r="R277" s="61">
        <v>527.68876959340946</v>
      </c>
      <c r="S277" s="58">
        <v>1.2285950711701119E-6</v>
      </c>
      <c r="U277" s="173"/>
      <c r="V277" s="175"/>
      <c r="W277" s="173"/>
      <c r="X277" s="174"/>
      <c r="Y277" s="188"/>
      <c r="AA277" s="144"/>
      <c r="AB277" s="145"/>
      <c r="AC277" s="145"/>
      <c r="AD277" s="145"/>
      <c r="AE277" s="146">
        <f t="shared" si="32"/>
        <v>39.783876959340944</v>
      </c>
      <c r="AF277" s="146">
        <f t="shared" si="33"/>
        <v>1.2285950711701118E-4</v>
      </c>
      <c r="AH277" s="183"/>
      <c r="AI277" s="183"/>
      <c r="AJ277" s="184"/>
    </row>
    <row r="278" spans="9:36" x14ac:dyDescent="0.25">
      <c r="I278" s="125"/>
      <c r="J278" s="50"/>
      <c r="K278" s="50"/>
      <c r="M278" s="34"/>
      <c r="R278" s="61">
        <v>531.5228059786474</v>
      </c>
      <c r="S278" s="58">
        <v>1.2285950711701119E-6</v>
      </c>
      <c r="U278" s="173"/>
      <c r="V278" s="175"/>
      <c r="W278" s="173"/>
      <c r="X278" s="174"/>
      <c r="Y278" s="188"/>
      <c r="AA278" s="144"/>
      <c r="AB278" s="145"/>
      <c r="AC278" s="145"/>
      <c r="AD278" s="145"/>
      <c r="AE278" s="146">
        <f t="shared" si="32"/>
        <v>40.167280597864739</v>
      </c>
      <c r="AF278" s="146">
        <f t="shared" si="33"/>
        <v>1.2285950711701118E-4</v>
      </c>
      <c r="AH278" s="183"/>
      <c r="AI278" s="183"/>
      <c r="AJ278" s="184"/>
    </row>
    <row r="279" spans="9:36" x14ac:dyDescent="0.25">
      <c r="I279" s="125"/>
      <c r="J279" s="50"/>
      <c r="K279" s="50"/>
      <c r="M279" s="35"/>
      <c r="R279" s="61">
        <v>531.5228059786474</v>
      </c>
      <c r="S279" s="58">
        <v>1.2311776485358678E-6</v>
      </c>
      <c r="U279" s="173"/>
      <c r="V279" s="175"/>
      <c r="W279" s="173"/>
      <c r="X279" s="174"/>
      <c r="Y279" s="188"/>
      <c r="AA279" s="144"/>
      <c r="AB279" s="145"/>
      <c r="AC279" s="145"/>
      <c r="AD279" s="145"/>
      <c r="AE279" s="146">
        <f t="shared" si="32"/>
        <v>40.167280597864739</v>
      </c>
      <c r="AF279" s="146">
        <f t="shared" si="33"/>
        <v>1.2311776485358678E-4</v>
      </c>
      <c r="AH279" s="183"/>
      <c r="AI279" s="183"/>
      <c r="AJ279" s="184"/>
    </row>
    <row r="280" spans="9:36" x14ac:dyDescent="0.25">
      <c r="I280" s="125"/>
      <c r="J280" s="50"/>
      <c r="K280" s="50"/>
      <c r="M280" s="33"/>
      <c r="R280" s="61">
        <v>535.35684236388533</v>
      </c>
      <c r="S280" s="58">
        <v>1.2311776485358678E-6</v>
      </c>
      <c r="U280" s="173"/>
      <c r="V280" s="175"/>
      <c r="W280" s="173"/>
      <c r="X280" s="174"/>
      <c r="Y280" s="188"/>
      <c r="AA280" s="144"/>
      <c r="AB280" s="145"/>
      <c r="AC280" s="145"/>
      <c r="AD280" s="145"/>
      <c r="AE280" s="146">
        <f t="shared" si="32"/>
        <v>40.550684236388534</v>
      </c>
      <c r="AF280" s="146">
        <f t="shared" si="33"/>
        <v>1.2311776485358678E-4</v>
      </c>
      <c r="AH280" s="183"/>
      <c r="AI280" s="183"/>
      <c r="AJ280" s="184"/>
    </row>
    <row r="281" spans="9:36" x14ac:dyDescent="0.25">
      <c r="I281" s="125"/>
      <c r="J281" s="50"/>
      <c r="K281" s="50"/>
      <c r="M281" s="34"/>
      <c r="R281" s="61">
        <v>535.35684236388533</v>
      </c>
      <c r="S281" s="58">
        <v>1.2285950711701119E-6</v>
      </c>
      <c r="U281" s="173"/>
      <c r="V281" s="175"/>
      <c r="W281" s="173"/>
      <c r="X281" s="174"/>
      <c r="Y281" s="188"/>
      <c r="AA281" s="144"/>
      <c r="AB281" s="145"/>
      <c r="AC281" s="145"/>
      <c r="AD281" s="145"/>
      <c r="AE281" s="146">
        <f t="shared" si="32"/>
        <v>40.550684236388534</v>
      </c>
      <c r="AF281" s="146">
        <f t="shared" si="33"/>
        <v>1.2285950711701118E-4</v>
      </c>
      <c r="AH281" s="183"/>
      <c r="AI281" s="183"/>
      <c r="AJ281" s="184"/>
    </row>
    <row r="282" spans="9:36" x14ac:dyDescent="0.25">
      <c r="I282" s="125"/>
      <c r="J282" s="50"/>
      <c r="K282" s="50"/>
      <c r="M282" s="34"/>
      <c r="R282" s="61">
        <v>539.19087874912327</v>
      </c>
      <c r="S282" s="58">
        <v>1.2285950711701119E-6</v>
      </c>
      <c r="U282" s="173"/>
      <c r="V282" s="175"/>
      <c r="W282" s="173"/>
      <c r="X282" s="174"/>
      <c r="Y282" s="188"/>
      <c r="AA282" s="144"/>
      <c r="AB282" s="145"/>
      <c r="AC282" s="145"/>
      <c r="AD282" s="145"/>
      <c r="AE282" s="146">
        <f t="shared" si="32"/>
        <v>40.934087874912322</v>
      </c>
      <c r="AF282" s="146">
        <f t="shared" si="33"/>
        <v>1.2285950711701118E-4</v>
      </c>
      <c r="AH282" s="183"/>
      <c r="AI282" s="183"/>
      <c r="AJ282" s="184"/>
    </row>
    <row r="283" spans="9:36" x14ac:dyDescent="0.25">
      <c r="I283" s="125"/>
      <c r="J283" s="50"/>
      <c r="K283" s="50"/>
      <c r="M283" s="33"/>
      <c r="R283" s="61">
        <v>539.19087874912327</v>
      </c>
      <c r="S283" s="58">
        <v>1.2205008419078152E-6</v>
      </c>
      <c r="U283" s="173"/>
      <c r="V283" s="175"/>
      <c r="W283" s="173"/>
      <c r="X283" s="174"/>
      <c r="Y283" s="188"/>
      <c r="AA283" s="144"/>
      <c r="AB283" s="145"/>
      <c r="AC283" s="145"/>
      <c r="AD283" s="145"/>
      <c r="AE283" s="146">
        <f t="shared" si="32"/>
        <v>40.934087874912322</v>
      </c>
      <c r="AF283" s="146">
        <f t="shared" si="33"/>
        <v>1.2205008419078152E-4</v>
      </c>
      <c r="AH283" s="183"/>
      <c r="AI283" s="183"/>
      <c r="AJ283" s="184"/>
    </row>
    <row r="284" spans="9:36" x14ac:dyDescent="0.25">
      <c r="I284" s="125"/>
      <c r="J284" s="50"/>
      <c r="K284" s="50"/>
      <c r="M284" s="34"/>
      <c r="R284" s="61">
        <v>543.02491513436121</v>
      </c>
      <c r="S284" s="58">
        <v>1.2205008419078152E-6</v>
      </c>
      <c r="U284" s="173"/>
      <c r="V284" s="175"/>
      <c r="W284" s="173"/>
      <c r="X284" s="174"/>
      <c r="Y284" s="188"/>
      <c r="AA284" s="144"/>
      <c r="AB284" s="145"/>
      <c r="AC284" s="145"/>
      <c r="AD284" s="145"/>
      <c r="AE284" s="146">
        <f t="shared" si="32"/>
        <v>41.317491513436117</v>
      </c>
      <c r="AF284" s="146">
        <f t="shared" si="33"/>
        <v>1.2205008419078152E-4</v>
      </c>
      <c r="AH284" s="183"/>
      <c r="AI284" s="183"/>
      <c r="AJ284" s="184"/>
    </row>
    <row r="285" spans="9:36" x14ac:dyDescent="0.25">
      <c r="I285" s="125"/>
      <c r="J285" s="50"/>
      <c r="K285" s="50"/>
      <c r="M285" s="34"/>
      <c r="R285" s="61">
        <v>543.02491513436121</v>
      </c>
      <c r="S285" s="58">
        <v>1.2059115784722921E-6</v>
      </c>
      <c r="U285" s="173"/>
      <c r="V285" s="175"/>
      <c r="W285" s="173"/>
      <c r="X285" s="174"/>
      <c r="Y285" s="188"/>
      <c r="AA285" s="144"/>
      <c r="AB285" s="145"/>
      <c r="AC285" s="145"/>
      <c r="AD285" s="145"/>
      <c r="AE285" s="146">
        <f t="shared" si="32"/>
        <v>41.317491513436117</v>
      </c>
      <c r="AF285" s="146">
        <f t="shared" si="33"/>
        <v>1.2059115784722921E-4</v>
      </c>
      <c r="AH285" s="183"/>
      <c r="AI285" s="183"/>
      <c r="AJ285" s="184"/>
    </row>
    <row r="286" spans="9:36" x14ac:dyDescent="0.25">
      <c r="I286" s="125"/>
      <c r="J286" s="50"/>
      <c r="K286" s="50"/>
      <c r="M286" s="34"/>
      <c r="R286" s="61">
        <v>546.85895151959915</v>
      </c>
      <c r="S286" s="58">
        <v>1.2059115784722921E-6</v>
      </c>
      <c r="U286" s="173"/>
      <c r="V286" s="175"/>
      <c r="W286" s="173"/>
      <c r="X286" s="174"/>
      <c r="Y286" s="188"/>
      <c r="AA286" s="144"/>
      <c r="AB286" s="145"/>
      <c r="AC286" s="145"/>
      <c r="AD286" s="145"/>
      <c r="AE286" s="146">
        <f t="shared" si="32"/>
        <v>41.700895151959912</v>
      </c>
      <c r="AF286" s="146">
        <f t="shared" si="33"/>
        <v>1.2059115784722921E-4</v>
      </c>
      <c r="AH286" s="183"/>
      <c r="AI286" s="183"/>
      <c r="AJ286" s="184"/>
    </row>
    <row r="287" spans="9:36" x14ac:dyDescent="0.25">
      <c r="I287" s="125"/>
      <c r="J287" s="50"/>
      <c r="K287" s="50"/>
      <c r="M287" s="33"/>
      <c r="R287" s="61">
        <v>546.85895151959915</v>
      </c>
      <c r="S287" s="58">
        <v>1.1833761909775076E-6</v>
      </c>
      <c r="U287" s="173"/>
      <c r="V287" s="175"/>
      <c r="W287" s="173"/>
      <c r="X287" s="174"/>
      <c r="Y287" s="188"/>
      <c r="AA287" s="144"/>
      <c r="AB287" s="145"/>
      <c r="AC287" s="145"/>
      <c r="AD287" s="145"/>
      <c r="AE287" s="146">
        <f t="shared" si="32"/>
        <v>41.700895151959912</v>
      </c>
      <c r="AF287" s="146">
        <f t="shared" si="33"/>
        <v>1.1833761909775076E-4</v>
      </c>
      <c r="AH287" s="183"/>
      <c r="AI287" s="183"/>
      <c r="AJ287" s="184"/>
    </row>
    <row r="288" spans="9:36" x14ac:dyDescent="0.25">
      <c r="I288" s="125"/>
      <c r="J288" s="50"/>
      <c r="K288" s="50"/>
      <c r="M288" s="35"/>
      <c r="R288" s="61">
        <v>550.69298790483708</v>
      </c>
      <c r="S288" s="58">
        <v>1.1833761909775076E-6</v>
      </c>
      <c r="U288" s="173"/>
      <c r="V288" s="175"/>
      <c r="W288" s="173"/>
      <c r="X288" s="174"/>
      <c r="Y288" s="188"/>
      <c r="AA288" s="144"/>
      <c r="AB288" s="145"/>
      <c r="AC288" s="145"/>
      <c r="AD288" s="145"/>
      <c r="AE288" s="146">
        <f t="shared" si="32"/>
        <v>42.084298790483707</v>
      </c>
      <c r="AF288" s="146">
        <f t="shared" si="33"/>
        <v>1.1833761909775076E-4</v>
      </c>
      <c r="AH288" s="183"/>
      <c r="AI288" s="183"/>
      <c r="AJ288" s="184"/>
    </row>
    <row r="289" spans="9:36" x14ac:dyDescent="0.25">
      <c r="I289" s="125"/>
      <c r="J289" s="50"/>
      <c r="K289" s="50"/>
      <c r="M289" s="34"/>
      <c r="R289" s="61">
        <v>550.69298790483708</v>
      </c>
      <c r="S289" s="58">
        <v>1.1512553662886627E-6</v>
      </c>
      <c r="U289" s="173"/>
      <c r="V289" s="175"/>
      <c r="W289" s="173"/>
      <c r="X289" s="174"/>
      <c r="Y289" s="188"/>
      <c r="AA289" s="144"/>
      <c r="AB289" s="145"/>
      <c r="AC289" s="145"/>
      <c r="AD289" s="145"/>
      <c r="AE289" s="146">
        <f t="shared" si="32"/>
        <v>42.084298790483707</v>
      </c>
      <c r="AF289" s="146">
        <f t="shared" si="33"/>
        <v>1.1512553662886627E-4</v>
      </c>
      <c r="AH289" s="183"/>
      <c r="AI289" s="183"/>
      <c r="AJ289" s="184"/>
    </row>
    <row r="290" spans="9:36" x14ac:dyDescent="0.25">
      <c r="I290" s="125"/>
      <c r="J290" s="50"/>
      <c r="K290" s="50"/>
      <c r="M290" s="34"/>
      <c r="R290" s="61">
        <v>554.52702429007502</v>
      </c>
      <c r="S290" s="58">
        <v>1.1512553662886627E-6</v>
      </c>
      <c r="U290" s="173"/>
      <c r="V290" s="175"/>
      <c r="W290" s="173"/>
      <c r="X290" s="174"/>
      <c r="Y290" s="188"/>
      <c r="AA290" s="144"/>
      <c r="AB290" s="145"/>
      <c r="AC290" s="145"/>
      <c r="AD290" s="145"/>
      <c r="AE290" s="146">
        <f t="shared" si="32"/>
        <v>42.467702429007502</v>
      </c>
      <c r="AF290" s="146">
        <f t="shared" si="33"/>
        <v>1.1512553662886627E-4</v>
      </c>
      <c r="AH290" s="183"/>
      <c r="AI290" s="183"/>
      <c r="AJ290" s="184"/>
    </row>
    <row r="291" spans="9:36" x14ac:dyDescent="0.25">
      <c r="I291" s="125"/>
      <c r="J291" s="50"/>
      <c r="K291" s="50"/>
      <c r="M291" s="33"/>
      <c r="R291" s="61">
        <v>554.52702429007502</v>
      </c>
      <c r="S291" s="58">
        <v>1.1080921965111453E-6</v>
      </c>
      <c r="U291" s="173"/>
      <c r="V291" s="175"/>
      <c r="W291" s="173"/>
      <c r="X291" s="174"/>
      <c r="Y291" s="188"/>
      <c r="AA291" s="144"/>
      <c r="AB291" s="145"/>
      <c r="AC291" s="145"/>
      <c r="AD291" s="145"/>
      <c r="AE291" s="146">
        <f t="shared" si="32"/>
        <v>42.467702429007502</v>
      </c>
      <c r="AF291" s="146">
        <f t="shared" si="33"/>
        <v>1.1080921965111453E-4</v>
      </c>
      <c r="AH291" s="183"/>
      <c r="AI291" s="183"/>
      <c r="AJ291" s="184"/>
    </row>
    <row r="292" spans="9:36" x14ac:dyDescent="0.25">
      <c r="I292" s="125"/>
      <c r="J292" s="50"/>
      <c r="K292" s="50"/>
      <c r="M292" s="34"/>
      <c r="R292" s="61">
        <v>558.36106067531296</v>
      </c>
      <c r="S292" s="58">
        <v>1.1080921965111453E-6</v>
      </c>
      <c r="U292" s="173"/>
      <c r="V292" s="175"/>
      <c r="W292" s="173"/>
      <c r="X292" s="174"/>
      <c r="Y292" s="188"/>
      <c r="AA292" s="144"/>
      <c r="AB292" s="145"/>
      <c r="AC292" s="145"/>
      <c r="AD292" s="145"/>
      <c r="AE292" s="146">
        <f t="shared" si="32"/>
        <v>42.85110606753129</v>
      </c>
      <c r="AF292" s="146">
        <f t="shared" si="33"/>
        <v>1.1080921965111453E-4</v>
      </c>
      <c r="AH292" s="183"/>
      <c r="AI292" s="183"/>
      <c r="AJ292" s="184"/>
    </row>
    <row r="293" spans="9:36" x14ac:dyDescent="0.25">
      <c r="I293" s="125"/>
      <c r="J293" s="50"/>
      <c r="K293" s="50"/>
      <c r="M293" s="34"/>
      <c r="R293" s="61">
        <v>558.36106067531296</v>
      </c>
      <c r="S293" s="58">
        <v>1.0530262210713679E-6</v>
      </c>
      <c r="U293" s="173"/>
      <c r="V293" s="175"/>
      <c r="W293" s="173"/>
      <c r="X293" s="174"/>
      <c r="Y293" s="188"/>
      <c r="AA293" s="144"/>
      <c r="AB293" s="145"/>
      <c r="AC293" s="145"/>
      <c r="AD293" s="145"/>
      <c r="AE293" s="146">
        <f t="shared" si="32"/>
        <v>42.85110606753129</v>
      </c>
      <c r="AF293" s="146">
        <f t="shared" si="33"/>
        <v>1.0530262210713679E-4</v>
      </c>
      <c r="AH293" s="183"/>
      <c r="AI293" s="183"/>
      <c r="AJ293" s="184"/>
    </row>
    <row r="294" spans="9:36" x14ac:dyDescent="0.25">
      <c r="I294" s="125"/>
      <c r="J294" s="50"/>
      <c r="K294" s="50"/>
      <c r="M294" s="33"/>
      <c r="R294" s="61">
        <v>562.19509706055089</v>
      </c>
      <c r="S294" s="58">
        <v>1.0530262210713679E-6</v>
      </c>
      <c r="U294" s="173"/>
      <c r="V294" s="175"/>
      <c r="W294" s="173"/>
      <c r="X294" s="174"/>
      <c r="Y294" s="188"/>
      <c r="AA294" s="144"/>
      <c r="AB294" s="145"/>
      <c r="AC294" s="145"/>
      <c r="AD294" s="145"/>
      <c r="AE294" s="146">
        <f t="shared" si="32"/>
        <v>43.234509706055086</v>
      </c>
      <c r="AF294" s="146">
        <f t="shared" si="33"/>
        <v>1.0530262210713679E-4</v>
      </c>
      <c r="AH294" s="183"/>
      <c r="AI294" s="183"/>
      <c r="AJ294" s="184"/>
    </row>
    <row r="295" spans="9:36" x14ac:dyDescent="0.25">
      <c r="I295" s="125"/>
      <c r="J295" s="50"/>
      <c r="K295" s="50"/>
      <c r="M295" s="34"/>
      <c r="R295" s="61">
        <v>562.19509706055089</v>
      </c>
      <c r="S295" s="58">
        <v>9.8617244836772896E-7</v>
      </c>
      <c r="U295" s="173"/>
      <c r="V295" s="175"/>
      <c r="W295" s="173"/>
      <c r="X295" s="174"/>
      <c r="Y295" s="188"/>
      <c r="AA295" s="144"/>
      <c r="AB295" s="145"/>
      <c r="AC295" s="145"/>
      <c r="AD295" s="145"/>
      <c r="AE295" s="146">
        <f t="shared" si="32"/>
        <v>43.234509706055086</v>
      </c>
      <c r="AF295" s="146">
        <f t="shared" si="33"/>
        <v>9.8617244836772893E-5</v>
      </c>
      <c r="AH295" s="183"/>
      <c r="AI295" s="183"/>
      <c r="AJ295" s="184"/>
    </row>
    <row r="296" spans="9:36" x14ac:dyDescent="0.25">
      <c r="I296" s="126"/>
      <c r="J296" s="127"/>
      <c r="K296" s="127"/>
      <c r="M296" s="35"/>
      <c r="R296" s="61">
        <v>566.02913344578883</v>
      </c>
      <c r="S296" s="58">
        <v>9.8617244836772896E-7</v>
      </c>
      <c r="U296" s="173"/>
      <c r="V296" s="175"/>
      <c r="W296" s="173"/>
      <c r="X296" s="174"/>
      <c r="Y296" s="188"/>
      <c r="AA296" s="144"/>
      <c r="AB296" s="145"/>
      <c r="AC296" s="145"/>
      <c r="AD296" s="145"/>
      <c r="AE296" s="146">
        <f t="shared" si="32"/>
        <v>43.617913344578881</v>
      </c>
      <c r="AF296" s="146">
        <f t="shared" si="33"/>
        <v>9.8617244836772893E-5</v>
      </c>
      <c r="AH296" s="183"/>
      <c r="AI296" s="183"/>
      <c r="AJ296" s="184"/>
    </row>
    <row r="297" spans="9:36" x14ac:dyDescent="0.25">
      <c r="I297" s="126"/>
      <c r="J297" s="127"/>
      <c r="K297" s="127"/>
      <c r="M297" s="34"/>
      <c r="R297" s="61">
        <v>566.02913344578883</v>
      </c>
      <c r="S297" s="58">
        <v>9.0886997260503099E-7</v>
      </c>
      <c r="U297" s="173"/>
      <c r="V297" s="175"/>
      <c r="W297" s="174"/>
      <c r="X297" s="174"/>
      <c r="Y297" s="188"/>
      <c r="AA297" s="144"/>
      <c r="AB297" s="145"/>
      <c r="AC297" s="145"/>
      <c r="AD297" s="145"/>
      <c r="AE297" s="146">
        <f t="shared" si="32"/>
        <v>43.617913344578881</v>
      </c>
      <c r="AF297" s="146">
        <f t="shared" si="33"/>
        <v>9.0886997260503097E-5</v>
      </c>
      <c r="AH297" s="183"/>
      <c r="AI297" s="183"/>
      <c r="AJ297" s="184"/>
    </row>
    <row r="298" spans="9:36" x14ac:dyDescent="0.25">
      <c r="I298" s="126"/>
      <c r="J298" s="127"/>
      <c r="K298" s="127"/>
      <c r="M298" s="33"/>
      <c r="R298" s="61">
        <v>569.86316983102677</v>
      </c>
      <c r="S298" s="58">
        <v>9.0886997260503099E-7</v>
      </c>
      <c r="U298" s="173"/>
      <c r="V298" s="175"/>
      <c r="W298" s="174"/>
      <c r="X298" s="174"/>
      <c r="Y298" s="188"/>
      <c r="AA298" s="144"/>
      <c r="AB298" s="145"/>
      <c r="AC298" s="145"/>
      <c r="AD298" s="145"/>
      <c r="AE298" s="146">
        <f t="shared" si="32"/>
        <v>44.001316983102676</v>
      </c>
      <c r="AF298" s="146">
        <f t="shared" si="33"/>
        <v>9.0886997260503097E-5</v>
      </c>
      <c r="AH298" s="183"/>
      <c r="AI298" s="183"/>
      <c r="AJ298" s="184"/>
    </row>
    <row r="299" spans="9:36" x14ac:dyDescent="0.25">
      <c r="I299" s="126"/>
      <c r="J299" s="127"/>
      <c r="K299" s="127"/>
      <c r="M299" s="34"/>
      <c r="R299" s="61">
        <v>569.86316983102677</v>
      </c>
      <c r="S299" s="58">
        <v>8.2371580320200094E-7</v>
      </c>
      <c r="U299" s="173"/>
      <c r="V299" s="175"/>
      <c r="W299" s="174"/>
      <c r="X299" s="174"/>
      <c r="Y299" s="188"/>
      <c r="AA299" s="144"/>
      <c r="AB299" s="145"/>
      <c r="AC299" s="145"/>
      <c r="AD299" s="145"/>
      <c r="AE299" s="146">
        <f t="shared" si="32"/>
        <v>44.001316983102676</v>
      </c>
      <c r="AF299" s="146">
        <f t="shared" si="33"/>
        <v>8.2371580320200099E-5</v>
      </c>
      <c r="AH299" s="183"/>
      <c r="AI299" s="183"/>
      <c r="AJ299" s="184"/>
    </row>
    <row r="300" spans="9:36" x14ac:dyDescent="0.25">
      <c r="I300" s="126"/>
      <c r="J300" s="127"/>
      <c r="K300" s="127"/>
      <c r="M300" s="34"/>
      <c r="R300" s="61">
        <v>573.6972062162647</v>
      </c>
      <c r="S300" s="58">
        <v>8.2371580320200094E-7</v>
      </c>
      <c r="U300" s="173"/>
      <c r="V300" s="175"/>
      <c r="W300" s="174"/>
      <c r="X300" s="174"/>
      <c r="Y300" s="188"/>
      <c r="AA300" s="144"/>
      <c r="AB300" s="145"/>
      <c r="AC300" s="145"/>
      <c r="AD300" s="145"/>
      <c r="AE300" s="146">
        <f t="shared" si="32"/>
        <v>44.384720621626471</v>
      </c>
      <c r="AF300" s="146">
        <f t="shared" si="33"/>
        <v>8.2371580320200099E-5</v>
      </c>
      <c r="AH300" s="183"/>
      <c r="AI300" s="183"/>
      <c r="AJ300" s="184"/>
    </row>
    <row r="301" spans="9:36" x14ac:dyDescent="0.25">
      <c r="I301" s="126"/>
      <c r="J301" s="127"/>
      <c r="K301" s="127"/>
      <c r="M301" s="33"/>
      <c r="R301" s="61">
        <v>573.6972062162647</v>
      </c>
      <c r="S301" s="58">
        <v>7.568556231456998E-7</v>
      </c>
      <c r="U301" s="173"/>
      <c r="V301" s="175"/>
      <c r="W301" s="174"/>
      <c r="X301" s="174"/>
      <c r="Y301" s="188"/>
      <c r="AA301" s="144"/>
      <c r="AB301" s="145"/>
      <c r="AC301" s="145"/>
      <c r="AD301" s="145"/>
      <c r="AE301" s="146">
        <f t="shared" si="32"/>
        <v>44.384720621626471</v>
      </c>
      <c r="AF301" s="146">
        <f t="shared" si="33"/>
        <v>7.568556231456998E-5</v>
      </c>
      <c r="AH301" s="183"/>
      <c r="AI301" s="183"/>
      <c r="AJ301" s="184"/>
    </row>
    <row r="302" spans="9:36" x14ac:dyDescent="0.25">
      <c r="I302" s="126"/>
      <c r="J302" s="127"/>
      <c r="K302" s="127"/>
      <c r="M302" s="34"/>
      <c r="R302" s="61">
        <v>575.61422440888362</v>
      </c>
      <c r="S302" s="58">
        <v>7.568556231456998E-7</v>
      </c>
      <c r="U302" s="173"/>
      <c r="V302" s="175"/>
      <c r="W302" s="174"/>
      <c r="X302" s="174"/>
      <c r="Y302" s="188"/>
      <c r="AA302" s="144"/>
      <c r="AB302" s="145"/>
      <c r="AC302" s="145"/>
      <c r="AD302" s="145"/>
      <c r="AE302" s="146">
        <f t="shared" si="32"/>
        <v>44.576422440888358</v>
      </c>
      <c r="AF302" s="146">
        <f t="shared" si="33"/>
        <v>7.568556231456998E-5</v>
      </c>
      <c r="AH302" s="183"/>
      <c r="AI302" s="183"/>
      <c r="AJ302" s="184"/>
    </row>
    <row r="303" spans="9:36" x14ac:dyDescent="0.25">
      <c r="I303" s="126"/>
      <c r="J303" s="127"/>
      <c r="K303" s="127"/>
      <c r="M303" s="34"/>
      <c r="R303" s="61">
        <v>575.61422440888362</v>
      </c>
      <c r="S303" s="58">
        <v>7.0805157290880042E-7</v>
      </c>
      <c r="U303" s="173"/>
      <c r="V303" s="175"/>
      <c r="W303" s="174"/>
      <c r="X303" s="174"/>
      <c r="Y303" s="188"/>
      <c r="AA303" s="144"/>
      <c r="AB303" s="145"/>
      <c r="AC303" s="145"/>
      <c r="AD303" s="145"/>
      <c r="AE303" s="146">
        <f t="shared" si="32"/>
        <v>44.576422440888358</v>
      </c>
      <c r="AF303" s="146">
        <f t="shared" si="33"/>
        <v>7.0805157290880038E-5</v>
      </c>
      <c r="AH303" s="183"/>
      <c r="AI303" s="183"/>
      <c r="AJ303" s="184"/>
    </row>
    <row r="304" spans="9:36" x14ac:dyDescent="0.25">
      <c r="I304" s="126"/>
      <c r="J304" s="127"/>
      <c r="K304" s="127"/>
      <c r="M304" s="35"/>
      <c r="R304" s="61">
        <v>577.86276993796855</v>
      </c>
      <c r="S304" s="58">
        <v>7.0805157290880042E-7</v>
      </c>
      <c r="U304" s="173"/>
      <c r="V304" s="175"/>
      <c r="W304" s="174"/>
      <c r="X304" s="174"/>
      <c r="Y304" s="188"/>
      <c r="AA304" s="144"/>
      <c r="AB304" s="145"/>
      <c r="AC304" s="145"/>
      <c r="AD304" s="145"/>
      <c r="AE304" s="146">
        <f t="shared" si="32"/>
        <v>44.801276993796854</v>
      </c>
      <c r="AF304" s="146">
        <f t="shared" si="33"/>
        <v>7.0805157290880038E-5</v>
      </c>
      <c r="AH304" s="183"/>
      <c r="AI304" s="183"/>
      <c r="AJ304" s="184"/>
    </row>
    <row r="305" spans="9:36" x14ac:dyDescent="0.25">
      <c r="I305" s="126"/>
      <c r="J305" s="127"/>
      <c r="K305" s="127"/>
      <c r="M305" s="33"/>
      <c r="R305" s="61">
        <v>577.86276993796855</v>
      </c>
      <c r="S305" s="58">
        <v>6.5546921905035161E-7</v>
      </c>
      <c r="U305" s="173"/>
      <c r="V305" s="175"/>
      <c r="W305" s="174"/>
      <c r="X305" s="174"/>
      <c r="Y305" s="188"/>
      <c r="AA305" s="144"/>
      <c r="AB305" s="145"/>
      <c r="AC305" s="145"/>
      <c r="AD305" s="145"/>
      <c r="AE305" s="146">
        <f t="shared" si="32"/>
        <v>44.801276993796854</v>
      </c>
      <c r="AF305" s="146">
        <f t="shared" si="33"/>
        <v>6.5546921905035166E-5</v>
      </c>
      <c r="AH305" s="183"/>
      <c r="AI305" s="183"/>
      <c r="AJ305" s="184"/>
    </row>
    <row r="306" spans="9:36" x14ac:dyDescent="0.25">
      <c r="I306" s="126"/>
      <c r="J306" s="127"/>
      <c r="K306" s="127"/>
      <c r="M306" s="34"/>
      <c r="R306" s="61">
        <v>580.14973256581322</v>
      </c>
      <c r="S306" s="58">
        <v>6.5546921905035161E-7</v>
      </c>
      <c r="U306" s="173"/>
      <c r="V306" s="175"/>
      <c r="W306" s="174"/>
      <c r="X306" s="174"/>
      <c r="Y306" s="188"/>
      <c r="AA306" s="144"/>
      <c r="AB306" s="145"/>
      <c r="AC306" s="145"/>
      <c r="AD306" s="145"/>
      <c r="AE306" s="146">
        <f t="shared" si="32"/>
        <v>45.029973256581322</v>
      </c>
      <c r="AF306" s="146">
        <f t="shared" si="33"/>
        <v>6.5546921905035166E-5</v>
      </c>
      <c r="AH306" s="183"/>
      <c r="AI306" s="183"/>
      <c r="AJ306" s="184"/>
    </row>
    <row r="307" spans="9:36" x14ac:dyDescent="0.25">
      <c r="I307" s="126"/>
      <c r="J307" s="127"/>
      <c r="K307" s="127"/>
      <c r="M307" s="34"/>
      <c r="R307" s="61">
        <v>580.14973256581322</v>
      </c>
      <c r="S307" s="58">
        <v>6.0289714976851925E-7</v>
      </c>
      <c r="U307" s="173"/>
      <c r="V307" s="175"/>
      <c r="W307" s="174"/>
      <c r="X307" s="174"/>
      <c r="Y307" s="188"/>
      <c r="AA307" s="144"/>
      <c r="AB307" s="145"/>
      <c r="AC307" s="145"/>
      <c r="AD307" s="145"/>
      <c r="AE307" s="146">
        <f t="shared" si="32"/>
        <v>45.029973256581322</v>
      </c>
      <c r="AF307" s="146">
        <f t="shared" si="33"/>
        <v>6.0289714976851925E-5</v>
      </c>
      <c r="AH307" s="183"/>
      <c r="AI307" s="183"/>
      <c r="AJ307" s="184"/>
    </row>
    <row r="308" spans="9:36" x14ac:dyDescent="0.25">
      <c r="I308" s="126"/>
      <c r="J308" s="127"/>
      <c r="K308" s="127"/>
      <c r="M308" s="33"/>
      <c r="R308" s="61">
        <v>582.51765716410262</v>
      </c>
      <c r="S308" s="58">
        <v>6.0289714976851925E-7</v>
      </c>
      <c r="U308" s="173"/>
      <c r="V308" s="175"/>
      <c r="W308" s="174"/>
      <c r="X308" s="174"/>
      <c r="Y308" s="188"/>
      <c r="AA308" s="144"/>
      <c r="AB308" s="145"/>
      <c r="AC308" s="145"/>
      <c r="AD308" s="145"/>
      <c r="AE308" s="146">
        <f t="shared" si="32"/>
        <v>45.266765716410262</v>
      </c>
      <c r="AF308" s="146">
        <f t="shared" si="33"/>
        <v>6.0289714976851925E-5</v>
      </c>
      <c r="AH308" s="183"/>
      <c r="AI308" s="183"/>
      <c r="AJ308" s="184"/>
    </row>
    <row r="309" spans="9:36" x14ac:dyDescent="0.25">
      <c r="I309" s="126"/>
      <c r="J309" s="127"/>
      <c r="K309" s="127"/>
      <c r="M309" s="34"/>
      <c r="R309" s="61">
        <v>582.51765716410262</v>
      </c>
      <c r="S309" s="58">
        <v>5.5036964995932937E-7</v>
      </c>
      <c r="U309" s="173"/>
      <c r="V309" s="175"/>
      <c r="W309" s="174"/>
      <c r="X309" s="174"/>
      <c r="Y309" s="188"/>
      <c r="AA309" s="144"/>
      <c r="AB309" s="145"/>
      <c r="AC309" s="145"/>
      <c r="AD309" s="145"/>
      <c r="AE309" s="146">
        <f t="shared" si="32"/>
        <v>45.266765716410262</v>
      </c>
      <c r="AF309" s="146">
        <f t="shared" si="33"/>
        <v>5.503696499593294E-5</v>
      </c>
      <c r="AH309" s="183"/>
      <c r="AI309" s="183"/>
      <c r="AJ309" s="184"/>
    </row>
    <row r="310" spans="9:36" x14ac:dyDescent="0.25">
      <c r="I310" s="126"/>
      <c r="J310" s="127"/>
      <c r="K310" s="127"/>
      <c r="M310" s="34"/>
      <c r="R310" s="61">
        <v>585.0185316750335</v>
      </c>
      <c r="S310" s="58">
        <v>5.5036964995932937E-7</v>
      </c>
      <c r="U310" s="173"/>
      <c r="V310" s="175"/>
      <c r="W310" s="174"/>
      <c r="X310" s="174"/>
      <c r="Y310" s="188"/>
      <c r="AA310" s="144"/>
      <c r="AB310" s="145"/>
      <c r="AC310" s="145"/>
      <c r="AD310" s="145"/>
      <c r="AE310" s="146">
        <f t="shared" si="32"/>
        <v>45.516853167503349</v>
      </c>
      <c r="AF310" s="146">
        <f t="shared" si="33"/>
        <v>5.503696499593294E-5</v>
      </c>
      <c r="AH310" s="183"/>
      <c r="AI310" s="183"/>
      <c r="AJ310" s="184"/>
    </row>
    <row r="311" spans="9:36" x14ac:dyDescent="0.25">
      <c r="I311" s="126"/>
      <c r="J311" s="127"/>
      <c r="K311" s="127"/>
      <c r="M311" s="34"/>
      <c r="R311" s="61">
        <v>585.0185316750335</v>
      </c>
      <c r="S311" s="58">
        <v>4.979708162188218E-7</v>
      </c>
      <c r="U311" s="173"/>
      <c r="V311" s="175"/>
      <c r="W311" s="174"/>
      <c r="X311" s="174"/>
      <c r="Y311" s="188"/>
      <c r="AA311" s="144"/>
      <c r="AB311" s="145"/>
      <c r="AC311" s="145"/>
      <c r="AD311" s="145"/>
      <c r="AE311" s="146">
        <f t="shared" si="32"/>
        <v>45.516853167503349</v>
      </c>
      <c r="AF311" s="146">
        <f t="shared" si="33"/>
        <v>4.9797081621882184E-5</v>
      </c>
      <c r="AH311" s="183"/>
      <c r="AI311" s="183"/>
      <c r="AJ311" s="184"/>
    </row>
    <row r="312" spans="9:36" x14ac:dyDescent="0.25">
      <c r="I312" s="126"/>
      <c r="J312" s="127"/>
      <c r="K312" s="127"/>
      <c r="M312" s="33"/>
      <c r="R312" s="61">
        <v>587.72217869879967</v>
      </c>
      <c r="S312" s="58">
        <v>4.979708162188218E-7</v>
      </c>
      <c r="U312" s="173"/>
      <c r="V312" s="175"/>
      <c r="W312" s="174"/>
      <c r="X312" s="174"/>
      <c r="Y312" s="188"/>
      <c r="AA312" s="144"/>
      <c r="AB312" s="145"/>
      <c r="AC312" s="145"/>
      <c r="AD312" s="145"/>
      <c r="AE312" s="146">
        <f t="shared" si="32"/>
        <v>45.787217869879967</v>
      </c>
      <c r="AF312" s="146">
        <f t="shared" si="33"/>
        <v>4.9797081621882184E-5</v>
      </c>
      <c r="AH312" s="183"/>
      <c r="AI312" s="183"/>
      <c r="AJ312" s="184"/>
    </row>
    <row r="313" spans="9:36" x14ac:dyDescent="0.25">
      <c r="I313" s="126"/>
      <c r="J313" s="127"/>
      <c r="K313" s="127"/>
      <c r="M313" s="34"/>
      <c r="R313" s="61">
        <v>587.72217869879967</v>
      </c>
      <c r="S313" s="58">
        <v>4.4587547192469264E-7</v>
      </c>
      <c r="U313" s="173"/>
      <c r="V313" s="175"/>
      <c r="W313" s="174"/>
      <c r="X313" s="174"/>
      <c r="Y313" s="188"/>
      <c r="AA313" s="144"/>
      <c r="AB313" s="145"/>
      <c r="AC313" s="145"/>
      <c r="AD313" s="145"/>
      <c r="AE313" s="146">
        <f t="shared" si="32"/>
        <v>45.787217869879967</v>
      </c>
      <c r="AF313" s="146">
        <f t="shared" si="33"/>
        <v>4.4587547192469265E-5</v>
      </c>
      <c r="AH313" s="183"/>
      <c r="AI313" s="183"/>
      <c r="AJ313" s="184"/>
    </row>
    <row r="314" spans="9:36" x14ac:dyDescent="0.25">
      <c r="I314" s="126"/>
      <c r="J314" s="127"/>
      <c r="K314" s="127"/>
      <c r="M314" s="34"/>
      <c r="R314" s="61">
        <v>590.73177193430524</v>
      </c>
      <c r="S314" s="58">
        <v>4.4587547192469264E-7</v>
      </c>
      <c r="U314" s="173"/>
      <c r="V314" s="175"/>
      <c r="W314" s="174"/>
      <c r="X314" s="174"/>
      <c r="Y314" s="188"/>
      <c r="AA314" s="144"/>
      <c r="AB314" s="145"/>
      <c r="AC314" s="145"/>
      <c r="AD314" s="145"/>
      <c r="AE314" s="146">
        <f t="shared" si="32"/>
        <v>46.088177193430525</v>
      </c>
      <c r="AF314" s="146">
        <f t="shared" si="33"/>
        <v>4.4587547192469265E-5</v>
      </c>
      <c r="AH314" s="183"/>
      <c r="AI314" s="183"/>
      <c r="AJ314" s="184"/>
    </row>
    <row r="315" spans="9:36" x14ac:dyDescent="0.25">
      <c r="I315" s="126"/>
      <c r="J315" s="127"/>
      <c r="K315" s="127"/>
      <c r="M315" s="33"/>
      <c r="R315" s="61">
        <v>590.73177193430524</v>
      </c>
      <c r="S315" s="58">
        <v>3.9442476374924757E-7</v>
      </c>
      <c r="U315" s="173"/>
      <c r="V315" s="175"/>
      <c r="W315" s="174"/>
      <c r="X315" s="174"/>
      <c r="Y315" s="188"/>
      <c r="AA315" s="144"/>
      <c r="AB315" s="145"/>
      <c r="AC315" s="145"/>
      <c r="AD315" s="145"/>
      <c r="AE315" s="146">
        <f t="shared" si="32"/>
        <v>46.088177193430525</v>
      </c>
      <c r="AF315" s="146">
        <f t="shared" si="33"/>
        <v>3.9442476374924756E-5</v>
      </c>
      <c r="AH315" s="183"/>
      <c r="AI315" s="183"/>
      <c r="AJ315" s="184"/>
    </row>
    <row r="316" spans="9:36" x14ac:dyDescent="0.25">
      <c r="I316" s="126"/>
      <c r="J316" s="127"/>
      <c r="K316" s="127"/>
      <c r="M316" s="34"/>
      <c r="R316" s="61">
        <v>594.21709201024726</v>
      </c>
      <c r="S316" s="58">
        <v>3.9442476374924757E-7</v>
      </c>
      <c r="U316" s="173"/>
      <c r="V316" s="175"/>
      <c r="W316" s="174"/>
      <c r="X316" s="174"/>
      <c r="Y316" s="188"/>
      <c r="AA316" s="144"/>
      <c r="AB316" s="145"/>
      <c r="AC316" s="145"/>
      <c r="AD316" s="145"/>
      <c r="AE316" s="146">
        <f t="shared" si="32"/>
        <v>46.436709201024726</v>
      </c>
      <c r="AF316" s="146">
        <f t="shared" si="33"/>
        <v>3.9442476374924756E-5</v>
      </c>
      <c r="AH316" s="183"/>
      <c r="AI316" s="183"/>
      <c r="AJ316" s="184"/>
    </row>
    <row r="317" spans="9:36" x14ac:dyDescent="0.25">
      <c r="I317" s="126"/>
      <c r="J317" s="127"/>
      <c r="K317" s="127"/>
      <c r="M317" s="34"/>
      <c r="R317" s="61">
        <v>594.21709201024726</v>
      </c>
      <c r="S317" s="58">
        <v>3.4427916408919643E-7</v>
      </c>
      <c r="U317" s="173"/>
      <c r="V317" s="175"/>
      <c r="W317" s="174"/>
      <c r="X317" s="174"/>
      <c r="Y317" s="188"/>
      <c r="AA317" s="144"/>
      <c r="AB317" s="145"/>
      <c r="AC317" s="145"/>
      <c r="AD317" s="145"/>
      <c r="AE317" s="146">
        <f t="shared" si="32"/>
        <v>46.436709201024726</v>
      </c>
      <c r="AF317" s="146">
        <f t="shared" si="33"/>
        <v>3.4427916408919643E-5</v>
      </c>
      <c r="AH317" s="183"/>
      <c r="AI317" s="183"/>
      <c r="AJ317" s="184"/>
    </row>
    <row r="318" spans="9:36" x14ac:dyDescent="0.25">
      <c r="I318" s="126"/>
      <c r="J318" s="127"/>
      <c r="K318" s="127"/>
      <c r="M318" s="33"/>
      <c r="R318" s="61">
        <v>598.49993633016311</v>
      </c>
      <c r="S318" s="58">
        <v>3.4427916408919643E-7</v>
      </c>
      <c r="U318" s="173"/>
      <c r="V318" s="175"/>
      <c r="W318" s="174"/>
      <c r="X318" s="174"/>
      <c r="Y318" s="188"/>
      <c r="AA318" s="144"/>
      <c r="AB318" s="145"/>
      <c r="AC318" s="145"/>
      <c r="AD318" s="145"/>
      <c r="AE318" s="146">
        <f t="shared" si="32"/>
        <v>46.864993633016311</v>
      </c>
      <c r="AF318" s="146">
        <f t="shared" si="33"/>
        <v>3.4427916408919643E-5</v>
      </c>
      <c r="AH318" s="183"/>
      <c r="AI318" s="183"/>
      <c r="AJ318" s="184"/>
    </row>
    <row r="319" spans="9:36" x14ac:dyDescent="0.25">
      <c r="I319" s="126"/>
      <c r="J319" s="127"/>
      <c r="K319" s="127"/>
      <c r="M319" s="34"/>
      <c r="R319" s="61">
        <v>598.49993633016311</v>
      </c>
      <c r="S319" s="58">
        <v>2.9676356181230197E-7</v>
      </c>
      <c r="U319" s="173"/>
      <c r="V319" s="175"/>
      <c r="W319" s="174"/>
      <c r="X319" s="174"/>
      <c r="Y319" s="188"/>
      <c r="AA319" s="144"/>
      <c r="AB319" s="145"/>
      <c r="AC319" s="145"/>
      <c r="AD319" s="145"/>
      <c r="AE319" s="146">
        <f t="shared" si="32"/>
        <v>46.864993633016311</v>
      </c>
      <c r="AF319" s="146">
        <f t="shared" si="33"/>
        <v>2.9676356181230196E-5</v>
      </c>
      <c r="AH319" s="183"/>
      <c r="AI319" s="183"/>
      <c r="AJ319" s="184"/>
    </row>
    <row r="320" spans="9:36" x14ac:dyDescent="0.25">
      <c r="I320" s="126"/>
      <c r="J320" s="127"/>
      <c r="K320" s="127"/>
      <c r="M320" s="34"/>
      <c r="R320" s="61">
        <v>604.34547531085082</v>
      </c>
      <c r="S320" s="58">
        <v>2.9676356181230197E-7</v>
      </c>
      <c r="U320" s="173"/>
      <c r="V320" s="175"/>
      <c r="W320" s="174"/>
      <c r="X320" s="174"/>
      <c r="Y320" s="188"/>
      <c r="AA320" s="144"/>
      <c r="AB320" s="145"/>
      <c r="AC320" s="145"/>
      <c r="AD320" s="145"/>
      <c r="AE320" s="146">
        <f t="shared" si="32"/>
        <v>47.449547531085081</v>
      </c>
      <c r="AF320" s="146">
        <f t="shared" si="33"/>
        <v>2.9676356181230196E-5</v>
      </c>
      <c r="AH320" s="183"/>
      <c r="AI320" s="183"/>
      <c r="AJ320" s="184"/>
    </row>
    <row r="321" spans="9:36" x14ac:dyDescent="0.25">
      <c r="I321" s="126"/>
      <c r="J321" s="127"/>
      <c r="K321" s="127"/>
      <c r="M321" s="33"/>
      <c r="R321" s="61">
        <v>604.34547531085082</v>
      </c>
      <c r="S321" s="58">
        <v>2.5477204132292728E-7</v>
      </c>
      <c r="U321" s="173"/>
      <c r="V321" s="175"/>
      <c r="W321" s="174"/>
      <c r="X321" s="174"/>
      <c r="Y321" s="188"/>
      <c r="AA321" s="144"/>
      <c r="AB321" s="145"/>
      <c r="AC321" s="145"/>
      <c r="AD321" s="145"/>
      <c r="AE321" s="146">
        <f t="shared" si="32"/>
        <v>47.449547531085081</v>
      </c>
      <c r="AF321" s="146">
        <f t="shared" si="33"/>
        <v>2.5477204132292728E-5</v>
      </c>
      <c r="AH321" s="183"/>
      <c r="AI321" s="183"/>
      <c r="AJ321" s="184"/>
    </row>
    <row r="322" spans="9:36" x14ac:dyDescent="0.25">
      <c r="I322" s="126"/>
      <c r="J322" s="127"/>
      <c r="K322" s="127"/>
      <c r="M322" s="34"/>
      <c r="R322" s="61">
        <v>614.84998646743463</v>
      </c>
      <c r="S322" s="58">
        <v>2.5477204132292728E-7</v>
      </c>
      <c r="U322" s="173"/>
      <c r="V322" s="175"/>
      <c r="W322" s="174"/>
      <c r="X322" s="174"/>
      <c r="Y322" s="188"/>
      <c r="AA322" s="144"/>
      <c r="AB322" s="145"/>
      <c r="AC322" s="145"/>
      <c r="AD322" s="145"/>
      <c r="AE322" s="146">
        <f t="shared" si="32"/>
        <v>48.499998646743464</v>
      </c>
      <c r="AF322" s="146">
        <f t="shared" si="33"/>
        <v>2.5477204132292728E-5</v>
      </c>
      <c r="AH322" s="183"/>
      <c r="AI322" s="183"/>
      <c r="AJ322" s="184"/>
    </row>
    <row r="323" spans="9:36" x14ac:dyDescent="0.25">
      <c r="I323" s="126"/>
      <c r="J323" s="127"/>
      <c r="K323" s="127"/>
      <c r="M323" s="34"/>
      <c r="R323" s="61">
        <v>614.84998646743463</v>
      </c>
      <c r="S323" s="58">
        <v>2.2574531339830788E-7</v>
      </c>
      <c r="U323" s="173"/>
      <c r="V323" s="175"/>
      <c r="W323" s="174"/>
      <c r="X323" s="174"/>
      <c r="Y323" s="188"/>
      <c r="AA323" s="144"/>
      <c r="AB323" s="145"/>
      <c r="AC323" s="145"/>
      <c r="AD323" s="145"/>
      <c r="AE323" s="146">
        <f t="shared" ref="AE323:AE386" si="34">(R323-129.85)/10</f>
        <v>48.499998646743464</v>
      </c>
      <c r="AF323" s="146">
        <f t="shared" ref="AF323:AF386" si="35">S323*100</f>
        <v>2.2574531339830788E-5</v>
      </c>
      <c r="AH323" s="183"/>
      <c r="AI323" s="183"/>
      <c r="AJ323" s="184"/>
    </row>
    <row r="324" spans="9:36" x14ac:dyDescent="0.25">
      <c r="I324" s="126"/>
      <c r="J324" s="127"/>
      <c r="K324" s="127"/>
      <c r="M324" s="33"/>
      <c r="R324" s="61">
        <v>628.95678864925071</v>
      </c>
      <c r="S324" s="58">
        <v>2.2574531339830788E-7</v>
      </c>
      <c r="U324" s="173"/>
      <c r="V324" s="175"/>
      <c r="W324" s="174"/>
      <c r="X324" s="174"/>
      <c r="Y324" s="188"/>
      <c r="AA324" s="144"/>
      <c r="AB324" s="145"/>
      <c r="AC324" s="145"/>
      <c r="AD324" s="145"/>
      <c r="AE324" s="146">
        <f t="shared" si="34"/>
        <v>49.910678864925067</v>
      </c>
      <c r="AF324" s="146">
        <f t="shared" si="35"/>
        <v>2.2574531339830788E-5</v>
      </c>
      <c r="AH324" s="183"/>
      <c r="AI324" s="183"/>
      <c r="AJ324" s="184"/>
    </row>
    <row r="325" spans="9:36" x14ac:dyDescent="0.25">
      <c r="I325" s="126"/>
      <c r="J325" s="127"/>
      <c r="K325" s="127"/>
      <c r="M325" s="34"/>
      <c r="R325" s="61">
        <v>628.95678864925071</v>
      </c>
      <c r="S325" s="58">
        <v>2.2173459482508426E-7</v>
      </c>
      <c r="U325" s="173"/>
      <c r="V325" s="175"/>
      <c r="W325" s="174"/>
      <c r="X325" s="174"/>
      <c r="Y325" s="188"/>
      <c r="AA325" s="144"/>
      <c r="AB325" s="145"/>
      <c r="AC325" s="145"/>
      <c r="AD325" s="145"/>
      <c r="AE325" s="146">
        <f t="shared" si="34"/>
        <v>49.910678864925067</v>
      </c>
      <c r="AF325" s="146">
        <f t="shared" si="35"/>
        <v>2.2173459482508427E-5</v>
      </c>
      <c r="AH325" s="183"/>
      <c r="AI325" s="183"/>
      <c r="AJ325" s="184"/>
    </row>
    <row r="326" spans="9:36" x14ac:dyDescent="0.25">
      <c r="I326" s="126"/>
      <c r="J326" s="127"/>
      <c r="K326" s="127"/>
      <c r="M326" s="34"/>
      <c r="R326" s="61">
        <v>666.52455139789049</v>
      </c>
      <c r="S326" s="58">
        <v>2.2173459482508426E-7</v>
      </c>
      <c r="U326" s="173"/>
      <c r="V326" s="175"/>
      <c r="W326" s="174"/>
      <c r="X326" s="174"/>
      <c r="Y326" s="188"/>
      <c r="AA326" s="144"/>
      <c r="AB326" s="145"/>
      <c r="AC326" s="145"/>
      <c r="AD326" s="145"/>
      <c r="AE326" s="146">
        <f t="shared" si="34"/>
        <v>53.667455139789048</v>
      </c>
      <c r="AF326" s="146">
        <f t="shared" si="35"/>
        <v>2.2173459482508427E-5</v>
      </c>
      <c r="AH326" s="183"/>
      <c r="AI326" s="183"/>
      <c r="AJ326" s="184"/>
    </row>
    <row r="327" spans="9:36" x14ac:dyDescent="0.25">
      <c r="I327" s="126"/>
      <c r="J327" s="127"/>
      <c r="K327" s="127"/>
      <c r="M327" s="33"/>
      <c r="R327" s="61">
        <v>666.52455139789049</v>
      </c>
      <c r="S327" s="58">
        <v>2.2574529218566177E-7</v>
      </c>
      <c r="U327" s="173"/>
      <c r="V327" s="175"/>
      <c r="W327" s="174"/>
      <c r="X327" s="174"/>
      <c r="Y327" s="188"/>
      <c r="AA327" s="144"/>
      <c r="AB327" s="145"/>
      <c r="AC327" s="145"/>
      <c r="AD327" s="145"/>
      <c r="AE327" s="146">
        <f t="shared" si="34"/>
        <v>53.667455139789048</v>
      </c>
      <c r="AF327" s="146">
        <f t="shared" si="35"/>
        <v>2.2574529218566177E-5</v>
      </c>
      <c r="AH327" s="183"/>
      <c r="AI327" s="183"/>
      <c r="AJ327" s="184"/>
    </row>
    <row r="328" spans="9:36" x14ac:dyDescent="0.25">
      <c r="I328" s="126"/>
      <c r="J328" s="127"/>
      <c r="K328" s="127"/>
      <c r="M328" s="34"/>
      <c r="R328" s="61">
        <v>680.63135357970657</v>
      </c>
      <c r="S328" s="58">
        <v>2.2574529218566177E-7</v>
      </c>
      <c r="U328" s="173"/>
      <c r="V328" s="175"/>
      <c r="W328" s="174"/>
      <c r="X328" s="174"/>
      <c r="Y328" s="188"/>
      <c r="AA328" s="144"/>
      <c r="AB328" s="145"/>
      <c r="AC328" s="145"/>
      <c r="AD328" s="145"/>
      <c r="AE328" s="146">
        <f t="shared" si="34"/>
        <v>55.078135357970652</v>
      </c>
      <c r="AF328" s="146">
        <f t="shared" si="35"/>
        <v>2.2574529218566177E-5</v>
      </c>
      <c r="AH328" s="183"/>
      <c r="AI328" s="183"/>
      <c r="AJ328" s="184"/>
    </row>
    <row r="329" spans="9:36" x14ac:dyDescent="0.25">
      <c r="I329" s="126"/>
      <c r="J329" s="127"/>
      <c r="K329" s="127"/>
      <c r="M329" s="34"/>
      <c r="R329" s="61">
        <v>680.63135357970657</v>
      </c>
      <c r="S329" s="58">
        <v>2.5477190630277344E-7</v>
      </c>
      <c r="U329" s="173"/>
      <c r="V329" s="175"/>
      <c r="W329" s="174"/>
      <c r="X329" s="174"/>
      <c r="Y329" s="188"/>
      <c r="AA329" s="144"/>
      <c r="AB329" s="145"/>
      <c r="AC329" s="145"/>
      <c r="AD329" s="145"/>
      <c r="AE329" s="146">
        <f t="shared" si="34"/>
        <v>55.078135357970652</v>
      </c>
      <c r="AF329" s="146">
        <f t="shared" si="35"/>
        <v>2.5477190630277345E-5</v>
      </c>
      <c r="AH329" s="183"/>
      <c r="AI329" s="183"/>
      <c r="AJ329" s="184"/>
    </row>
    <row r="330" spans="9:36" x14ac:dyDescent="0.25">
      <c r="I330" s="49"/>
      <c r="J330" s="49"/>
      <c r="K330" s="49"/>
      <c r="M330" s="36"/>
      <c r="R330" s="61">
        <v>691.13586473629039</v>
      </c>
      <c r="S330" s="58">
        <v>2.5477190630277344E-7</v>
      </c>
      <c r="U330" s="173"/>
      <c r="V330" s="175"/>
      <c r="W330" s="174"/>
      <c r="X330" s="174"/>
      <c r="Y330" s="188"/>
      <c r="AA330" s="144"/>
      <c r="AB330" s="145"/>
      <c r="AC330" s="145"/>
      <c r="AD330" s="145"/>
      <c r="AE330" s="146">
        <f t="shared" si="34"/>
        <v>56.128586473629035</v>
      </c>
      <c r="AF330" s="146">
        <f t="shared" si="35"/>
        <v>2.5477190630277345E-5</v>
      </c>
      <c r="AH330" s="183"/>
      <c r="AI330" s="183"/>
      <c r="AJ330" s="184"/>
    </row>
    <row r="331" spans="9:36" x14ac:dyDescent="0.25">
      <c r="I331" s="49"/>
      <c r="J331" s="49"/>
      <c r="K331" s="49"/>
      <c r="M331" s="34"/>
      <c r="R331" s="61">
        <v>691.13586473629039</v>
      </c>
      <c r="S331" s="58">
        <v>2.9676311520164868E-7</v>
      </c>
      <c r="U331" s="173"/>
      <c r="V331" s="175"/>
      <c r="W331" s="174"/>
      <c r="X331" s="174"/>
      <c r="Y331" s="188"/>
      <c r="AA331" s="144"/>
      <c r="AB331" s="145"/>
      <c r="AC331" s="145"/>
      <c r="AD331" s="145"/>
      <c r="AE331" s="146">
        <f t="shared" si="34"/>
        <v>56.128586473629035</v>
      </c>
      <c r="AF331" s="146">
        <f t="shared" si="35"/>
        <v>2.9676311520164867E-5</v>
      </c>
      <c r="AH331" s="183"/>
      <c r="AI331" s="183"/>
      <c r="AJ331" s="184"/>
    </row>
    <row r="332" spans="9:36" x14ac:dyDescent="0.25">
      <c r="I332" s="49"/>
      <c r="J332" s="49"/>
      <c r="K332" s="49"/>
      <c r="M332" s="34"/>
      <c r="R332" s="61">
        <v>696.98140371697809</v>
      </c>
      <c r="S332" s="58">
        <v>2.9676311520164868E-7</v>
      </c>
      <c r="U332" s="173"/>
      <c r="V332" s="175"/>
      <c r="W332" s="174"/>
      <c r="X332" s="174"/>
      <c r="Y332" s="188"/>
      <c r="AA332" s="144"/>
      <c r="AB332" s="145"/>
      <c r="AC332" s="145"/>
      <c r="AD332" s="145"/>
      <c r="AE332" s="146">
        <f t="shared" si="34"/>
        <v>56.713140371697804</v>
      </c>
      <c r="AF332" s="146">
        <f t="shared" si="35"/>
        <v>2.9676311520164867E-5</v>
      </c>
      <c r="AH332" s="183"/>
      <c r="AI332" s="183"/>
      <c r="AJ332" s="184"/>
    </row>
    <row r="333" spans="9:36" x14ac:dyDescent="0.25">
      <c r="I333" s="49"/>
      <c r="J333" s="49"/>
      <c r="K333" s="49"/>
      <c r="M333" s="33"/>
      <c r="R333" s="61">
        <v>696.98140371697809</v>
      </c>
      <c r="S333" s="58">
        <v>3.4427822784550631E-7</v>
      </c>
      <c r="U333" s="173"/>
      <c r="V333" s="175"/>
      <c r="W333" s="174"/>
      <c r="X333" s="174"/>
      <c r="Y333" s="188"/>
      <c r="AA333" s="144"/>
      <c r="AB333" s="145"/>
      <c r="AC333" s="145"/>
      <c r="AD333" s="145"/>
      <c r="AE333" s="146">
        <f t="shared" si="34"/>
        <v>56.713140371697804</v>
      </c>
      <c r="AF333" s="146">
        <f t="shared" si="35"/>
        <v>3.442782278455063E-5</v>
      </c>
      <c r="AH333" s="183"/>
      <c r="AI333" s="183"/>
      <c r="AJ333" s="184"/>
    </row>
    <row r="334" spans="9:36" x14ac:dyDescent="0.25">
      <c r="I334" s="49"/>
      <c r="J334" s="49"/>
      <c r="K334" s="49"/>
      <c r="M334" s="34"/>
      <c r="R334" s="61">
        <v>701.26424803689395</v>
      </c>
      <c r="S334" s="58">
        <v>3.4427822784550631E-7</v>
      </c>
      <c r="U334" s="173"/>
      <c r="V334" s="175"/>
      <c r="W334" s="174"/>
      <c r="X334" s="174"/>
      <c r="Y334" s="188"/>
      <c r="AA334" s="144"/>
      <c r="AB334" s="145"/>
      <c r="AC334" s="145"/>
      <c r="AD334" s="145"/>
      <c r="AE334" s="146">
        <f t="shared" si="34"/>
        <v>57.141424803689389</v>
      </c>
      <c r="AF334" s="146">
        <f t="shared" si="35"/>
        <v>3.442782278455063E-5</v>
      </c>
      <c r="AH334" s="183"/>
      <c r="AI334" s="183"/>
      <c r="AJ334" s="184"/>
    </row>
    <row r="335" spans="9:36" x14ac:dyDescent="0.25">
      <c r="I335" s="49"/>
      <c r="J335" s="49"/>
      <c r="K335" s="49"/>
      <c r="M335" s="34"/>
      <c r="R335" s="61">
        <v>701.26424803689395</v>
      </c>
      <c r="S335" s="58">
        <v>3.9442311151477799E-7</v>
      </c>
      <c r="U335" s="173"/>
      <c r="V335" s="174"/>
      <c r="W335" s="174"/>
      <c r="X335" s="174"/>
      <c r="Y335" s="188"/>
      <c r="AA335" s="78"/>
      <c r="AC335" s="82"/>
      <c r="AE335" s="146">
        <f t="shared" si="34"/>
        <v>57.141424803689389</v>
      </c>
      <c r="AF335" s="146">
        <f t="shared" si="35"/>
        <v>3.9442311151477799E-5</v>
      </c>
      <c r="AH335" s="183"/>
      <c r="AI335" s="183"/>
      <c r="AJ335" s="184"/>
    </row>
    <row r="336" spans="9:36" x14ac:dyDescent="0.25">
      <c r="I336" s="49"/>
      <c r="J336" s="49"/>
      <c r="K336" s="49"/>
      <c r="M336" s="33"/>
      <c r="R336" s="61">
        <v>704.74956811283596</v>
      </c>
      <c r="S336" s="58">
        <v>3.9442311151477799E-7</v>
      </c>
      <c r="V336" s="174"/>
      <c r="W336" s="174"/>
      <c r="X336" s="174"/>
      <c r="Y336" s="188"/>
      <c r="AA336" s="78"/>
      <c r="AC336" s="79"/>
      <c r="AE336" s="146">
        <f t="shared" si="34"/>
        <v>57.489956811283591</v>
      </c>
      <c r="AF336" s="146">
        <f t="shared" si="35"/>
        <v>3.9442311151477799E-5</v>
      </c>
      <c r="AH336" s="183"/>
      <c r="AI336" s="183"/>
      <c r="AJ336" s="184"/>
    </row>
    <row r="337" spans="9:35" x14ac:dyDescent="0.25">
      <c r="I337" s="49"/>
      <c r="J337" s="49"/>
      <c r="K337" s="49"/>
      <c r="M337" s="34"/>
      <c r="R337" s="61">
        <v>704.74956811283596</v>
      </c>
      <c r="S337" s="58">
        <v>4.4587281743007019E-7</v>
      </c>
      <c r="V337" s="174"/>
      <c r="W337" s="174"/>
      <c r="X337" s="174"/>
      <c r="Y337" s="188"/>
      <c r="AA337" s="78"/>
      <c r="AC337" s="82"/>
      <c r="AE337" s="146">
        <f t="shared" si="34"/>
        <v>57.489956811283591</v>
      </c>
      <c r="AF337" s="146">
        <f t="shared" si="35"/>
        <v>4.4587281743007015E-5</v>
      </c>
      <c r="AH337" s="183"/>
      <c r="AI337" s="183"/>
    </row>
    <row r="338" spans="9:35" x14ac:dyDescent="0.25">
      <c r="I338" s="49"/>
      <c r="J338" s="49"/>
      <c r="K338" s="49"/>
      <c r="M338" s="34"/>
      <c r="R338" s="61">
        <v>707.75916134834154</v>
      </c>
      <c r="S338" s="58">
        <v>4.4587281743007019E-7</v>
      </c>
      <c r="V338" s="174"/>
      <c r="W338" s="174"/>
      <c r="X338" s="174"/>
      <c r="Y338" s="188"/>
      <c r="AA338" s="78"/>
      <c r="AC338" s="82"/>
      <c r="AE338" s="146">
        <f t="shared" si="34"/>
        <v>57.790916134834148</v>
      </c>
      <c r="AF338" s="146">
        <f t="shared" si="35"/>
        <v>4.4587281743007015E-5</v>
      </c>
    </row>
    <row r="339" spans="9:35" x14ac:dyDescent="0.25">
      <c r="I339" s="49"/>
      <c r="J339" s="49"/>
      <c r="K339" s="49"/>
      <c r="M339" s="33"/>
      <c r="R339" s="61">
        <v>707.75916134834154</v>
      </c>
      <c r="S339" s="58">
        <v>4.9796679538714411E-7</v>
      </c>
      <c r="V339" s="174"/>
      <c r="W339" s="174"/>
      <c r="X339" s="174"/>
      <c r="Y339" s="188"/>
      <c r="AA339" s="78"/>
      <c r="AC339" s="79"/>
      <c r="AE339" s="146">
        <f t="shared" si="34"/>
        <v>57.790916134834148</v>
      </c>
      <c r="AF339" s="146">
        <f t="shared" si="35"/>
        <v>4.9796679538714411E-5</v>
      </c>
    </row>
    <row r="340" spans="9:35" x14ac:dyDescent="0.25">
      <c r="I340" s="49"/>
      <c r="J340" s="49"/>
      <c r="K340" s="49"/>
      <c r="M340" s="34"/>
      <c r="R340" s="61">
        <v>710.4628083721077</v>
      </c>
      <c r="S340" s="58">
        <v>4.9796679538714411E-7</v>
      </c>
      <c r="V340" s="174"/>
      <c r="W340" s="174"/>
      <c r="X340" s="174"/>
      <c r="Y340" s="188"/>
      <c r="AA340" s="78"/>
      <c r="AC340" s="82"/>
      <c r="AE340" s="146">
        <f t="shared" si="34"/>
        <v>58.061280837210766</v>
      </c>
      <c r="AF340" s="146">
        <f t="shared" si="35"/>
        <v>4.9796679538714411E-5</v>
      </c>
    </row>
    <row r="341" spans="9:35" x14ac:dyDescent="0.25">
      <c r="I341" s="49"/>
      <c r="J341" s="49"/>
      <c r="K341" s="49"/>
      <c r="M341" s="34"/>
      <c r="R341" s="61">
        <v>710.4628083721077</v>
      </c>
      <c r="S341" s="58">
        <v>5.5036379612607664E-7</v>
      </c>
      <c r="V341" s="174"/>
      <c r="W341" s="174"/>
      <c r="X341" s="174"/>
      <c r="Y341" s="188"/>
      <c r="AA341" s="78"/>
      <c r="AC341" s="82"/>
      <c r="AE341" s="146">
        <f t="shared" si="34"/>
        <v>58.061280837210766</v>
      </c>
      <c r="AF341" s="146">
        <f t="shared" si="35"/>
        <v>5.5036379612607665E-5</v>
      </c>
    </row>
    <row r="342" spans="9:35" x14ac:dyDescent="0.25">
      <c r="I342" s="49"/>
      <c r="J342" s="49"/>
      <c r="K342" s="49"/>
      <c r="M342" s="33"/>
      <c r="R342" s="61">
        <v>712.96368288303859</v>
      </c>
      <c r="S342" s="58">
        <v>5.5036379612607664E-7</v>
      </c>
      <c r="V342" s="174"/>
      <c r="W342" s="174"/>
      <c r="X342" s="174"/>
      <c r="Y342" s="188"/>
      <c r="AA342" s="78"/>
      <c r="AC342" s="79"/>
      <c r="AE342" s="146">
        <f t="shared" si="34"/>
        <v>58.311368288303854</v>
      </c>
      <c r="AF342" s="146">
        <f t="shared" si="35"/>
        <v>5.5036379612607665E-5</v>
      </c>
    </row>
    <row r="343" spans="9:35" x14ac:dyDescent="0.25">
      <c r="I343" s="49"/>
      <c r="J343" s="49"/>
      <c r="K343" s="49"/>
      <c r="M343" s="34"/>
      <c r="R343" s="61">
        <v>712.96368288303859</v>
      </c>
      <c r="S343" s="58">
        <v>6.0288885878843522E-7</v>
      </c>
      <c r="V343" s="174"/>
      <c r="W343" s="174"/>
      <c r="X343" s="174"/>
      <c r="Y343" s="188"/>
      <c r="AA343" s="78"/>
      <c r="AC343" s="82"/>
      <c r="AE343" s="146">
        <f t="shared" si="34"/>
        <v>58.311368288303854</v>
      </c>
      <c r="AF343" s="146">
        <f t="shared" si="35"/>
        <v>6.0288885878843524E-5</v>
      </c>
    </row>
    <row r="344" spans="9:35" x14ac:dyDescent="0.25">
      <c r="I344" s="49"/>
      <c r="J344" s="49"/>
      <c r="K344" s="49"/>
      <c r="M344" s="34"/>
      <c r="R344" s="61">
        <v>715.33160748132798</v>
      </c>
      <c r="S344" s="58">
        <v>6.0288885878843522E-7</v>
      </c>
      <c r="V344" s="174"/>
      <c r="W344" s="174"/>
      <c r="X344" s="174"/>
      <c r="Y344" s="188"/>
      <c r="AA344" s="78"/>
      <c r="AC344" s="82"/>
      <c r="AE344" s="146">
        <f t="shared" si="34"/>
        <v>58.548160748132794</v>
      </c>
      <c r="AF344" s="146">
        <f t="shared" si="35"/>
        <v>6.0288885878843524E-5</v>
      </c>
    </row>
    <row r="345" spans="9:35" x14ac:dyDescent="0.25">
      <c r="I345" s="49"/>
      <c r="J345" s="49"/>
      <c r="K345" s="49"/>
      <c r="M345" s="33"/>
      <c r="R345" s="61">
        <v>715.33160748132798</v>
      </c>
      <c r="S345" s="58">
        <v>6.5545769906998174E-7</v>
      </c>
      <c r="V345" s="174"/>
      <c r="W345" s="174"/>
      <c r="X345" s="174"/>
      <c r="Y345" s="188"/>
      <c r="AA345" s="78"/>
      <c r="AC345" s="79"/>
      <c r="AE345" s="146">
        <f t="shared" si="34"/>
        <v>58.548160748132794</v>
      </c>
      <c r="AF345" s="146">
        <f t="shared" si="35"/>
        <v>6.5545769906998178E-5</v>
      </c>
    </row>
    <row r="346" spans="9:35" x14ac:dyDescent="0.25">
      <c r="I346" s="49"/>
      <c r="J346" s="49"/>
      <c r="K346" s="49"/>
      <c r="M346" s="34"/>
      <c r="R346" s="61">
        <v>717.61857010917265</v>
      </c>
      <c r="S346" s="58">
        <v>6.5545769906998174E-7</v>
      </c>
      <c r="V346" s="174"/>
      <c r="W346" s="174"/>
      <c r="X346" s="174"/>
      <c r="Y346" s="188"/>
      <c r="AA346" s="78"/>
      <c r="AC346" s="82"/>
      <c r="AE346" s="146">
        <f t="shared" si="34"/>
        <v>58.776857010917261</v>
      </c>
      <c r="AF346" s="146">
        <f t="shared" si="35"/>
        <v>6.5545769906998178E-5</v>
      </c>
    </row>
    <row r="347" spans="9:35" x14ac:dyDescent="0.25">
      <c r="I347" s="49"/>
      <c r="J347" s="49"/>
      <c r="K347" s="49"/>
      <c r="M347" s="34"/>
      <c r="R347" s="61">
        <v>717.61857010917265</v>
      </c>
      <c r="S347" s="58">
        <v>7.0803577024166061E-7</v>
      </c>
      <c r="V347" s="174"/>
      <c r="W347" s="174"/>
      <c r="X347" s="174"/>
      <c r="Y347" s="188"/>
      <c r="AA347" s="78"/>
      <c r="AC347" s="82"/>
      <c r="AE347" s="146">
        <f t="shared" si="34"/>
        <v>58.776857010917261</v>
      </c>
      <c r="AF347" s="146">
        <f t="shared" si="35"/>
        <v>7.0803577024166058E-5</v>
      </c>
    </row>
    <row r="348" spans="9:35" x14ac:dyDescent="0.25">
      <c r="I348" s="49"/>
      <c r="J348" s="49"/>
      <c r="K348" s="49"/>
      <c r="M348" s="33"/>
      <c r="R348" s="61">
        <v>719.86711563825759</v>
      </c>
      <c r="S348" s="58">
        <v>7.0803577024166061E-7</v>
      </c>
      <c r="V348" s="174"/>
      <c r="W348" s="174"/>
      <c r="X348" s="174"/>
      <c r="Y348" s="188"/>
      <c r="AA348" s="78"/>
      <c r="AC348" s="79"/>
      <c r="AE348" s="146">
        <f t="shared" si="34"/>
        <v>59.001711563825758</v>
      </c>
      <c r="AF348" s="146">
        <f t="shared" si="35"/>
        <v>7.0803577024166058E-5</v>
      </c>
    </row>
    <row r="349" spans="9:35" x14ac:dyDescent="0.25">
      <c r="I349" s="49"/>
      <c r="J349" s="49"/>
      <c r="K349" s="49"/>
      <c r="M349" s="34"/>
      <c r="R349" s="61">
        <v>719.86711563825759</v>
      </c>
      <c r="S349" s="58">
        <v>7.5683458816809581E-7</v>
      </c>
      <c r="V349" s="174"/>
      <c r="W349" s="174"/>
      <c r="X349" s="174"/>
      <c r="Y349" s="188"/>
      <c r="AA349" s="78"/>
      <c r="AC349" s="82"/>
      <c r="AE349" s="146">
        <f t="shared" si="34"/>
        <v>59.001711563825758</v>
      </c>
      <c r="AF349" s="146">
        <f t="shared" si="35"/>
        <v>7.5683458816809578E-5</v>
      </c>
    </row>
    <row r="350" spans="9:35" x14ac:dyDescent="0.25">
      <c r="I350" s="49"/>
      <c r="J350" s="49"/>
      <c r="K350" s="49"/>
      <c r="M350" s="34"/>
      <c r="R350" s="61">
        <v>721.7841338308765</v>
      </c>
      <c r="S350" s="58">
        <v>7.5683458816809581E-7</v>
      </c>
      <c r="V350" s="174"/>
      <c r="W350" s="174"/>
      <c r="X350" s="174"/>
      <c r="Y350" s="188"/>
      <c r="AA350" s="78"/>
      <c r="AC350" s="82"/>
      <c r="AE350" s="146">
        <f t="shared" si="34"/>
        <v>59.193413383087645</v>
      </c>
      <c r="AF350" s="146">
        <f t="shared" si="35"/>
        <v>7.5683458816809578E-5</v>
      </c>
    </row>
    <row r="351" spans="9:35" x14ac:dyDescent="0.25">
      <c r="I351" s="49"/>
      <c r="J351" s="49"/>
      <c r="K351" s="49"/>
      <c r="M351" s="33"/>
      <c r="R351" s="61">
        <v>721.7841338308765</v>
      </c>
      <c r="S351" s="58">
        <v>8.2368481976505957E-7</v>
      </c>
      <c r="V351" s="174"/>
      <c r="W351" s="174"/>
      <c r="X351" s="174"/>
      <c r="Y351" s="188"/>
      <c r="AA351" s="78"/>
      <c r="AC351" s="79"/>
      <c r="AE351" s="146">
        <f t="shared" si="34"/>
        <v>59.193413383087645</v>
      </c>
      <c r="AF351" s="146">
        <f t="shared" si="35"/>
        <v>8.2368481976505956E-5</v>
      </c>
    </row>
    <row r="352" spans="9:35" x14ac:dyDescent="0.25">
      <c r="I352" s="49"/>
      <c r="J352" s="49"/>
      <c r="K352" s="49"/>
      <c r="M352" s="34"/>
      <c r="R352" s="61">
        <v>725.61817021611444</v>
      </c>
      <c r="S352" s="58">
        <v>8.2368481976505957E-7</v>
      </c>
      <c r="V352" s="174"/>
      <c r="W352" s="174"/>
      <c r="X352" s="174"/>
      <c r="Y352" s="188"/>
      <c r="AA352" s="78"/>
      <c r="AC352" s="82"/>
      <c r="AE352" s="146">
        <f t="shared" si="34"/>
        <v>59.57681702161144</v>
      </c>
      <c r="AF352" s="146">
        <f t="shared" si="35"/>
        <v>8.2368481976505956E-5</v>
      </c>
    </row>
    <row r="353" spans="9:32" x14ac:dyDescent="0.25">
      <c r="I353" s="49"/>
      <c r="J353" s="49"/>
      <c r="K353" s="49"/>
      <c r="M353" s="34"/>
      <c r="R353" s="61">
        <v>725.61817021611444</v>
      </c>
      <c r="S353" s="58">
        <v>9.0881883567353065E-7</v>
      </c>
      <c r="V353" s="174"/>
      <c r="W353" s="174"/>
      <c r="X353" s="174"/>
      <c r="Y353" s="188"/>
      <c r="AA353" s="78"/>
      <c r="AC353" s="82"/>
      <c r="AE353" s="146">
        <f t="shared" si="34"/>
        <v>59.57681702161144</v>
      </c>
      <c r="AF353" s="146">
        <f t="shared" si="35"/>
        <v>9.0881883567353071E-5</v>
      </c>
    </row>
    <row r="354" spans="9:32" x14ac:dyDescent="0.25">
      <c r="I354" s="49"/>
      <c r="J354" s="49"/>
      <c r="K354" s="49"/>
      <c r="M354" s="34"/>
      <c r="R354" s="61">
        <v>729.45220660135237</v>
      </c>
      <c r="S354" s="58">
        <v>9.0881883567353065E-7</v>
      </c>
      <c r="V354" s="174"/>
      <c r="W354" s="174"/>
      <c r="X354" s="174"/>
      <c r="Y354" s="188"/>
      <c r="AA354" s="78"/>
      <c r="AC354" s="82"/>
      <c r="AE354" s="146">
        <f t="shared" si="34"/>
        <v>59.960220660135235</v>
      </c>
      <c r="AF354" s="146">
        <f t="shared" si="35"/>
        <v>9.0881883567353071E-5</v>
      </c>
    </row>
    <row r="355" spans="9:32" x14ac:dyDescent="0.25">
      <c r="I355" s="49"/>
      <c r="J355" s="49"/>
      <c r="K355" s="49"/>
      <c r="M355" s="33"/>
      <c r="R355" s="61">
        <v>729.45220660135237</v>
      </c>
      <c r="S355" s="58">
        <v>9.8608961126677417E-7</v>
      </c>
      <c r="V355" s="174"/>
      <c r="W355" s="174"/>
      <c r="X355" s="174"/>
      <c r="Y355" s="188"/>
      <c r="AA355" s="78"/>
      <c r="AC355" s="79"/>
      <c r="AE355" s="146">
        <f t="shared" si="34"/>
        <v>59.960220660135235</v>
      </c>
      <c r="AF355" s="146">
        <f t="shared" si="35"/>
        <v>9.860896112667742E-5</v>
      </c>
    </row>
    <row r="356" spans="9:32" x14ac:dyDescent="0.25">
      <c r="I356" s="49"/>
      <c r="J356" s="49"/>
      <c r="K356" s="49"/>
      <c r="M356" s="34"/>
      <c r="R356" s="61">
        <v>733.28624298659031</v>
      </c>
      <c r="S356" s="58">
        <v>9.8608961126677417E-7</v>
      </c>
      <c r="V356" s="174"/>
      <c r="W356" s="174"/>
      <c r="X356" s="174"/>
      <c r="Y356" s="188"/>
      <c r="AA356" s="78"/>
      <c r="AC356" s="82"/>
      <c r="AE356" s="146">
        <f t="shared" si="34"/>
        <v>60.34362429865903</v>
      </c>
      <c r="AF356" s="146">
        <f t="shared" si="35"/>
        <v>9.860896112667742E-5</v>
      </c>
    </row>
    <row r="357" spans="9:32" x14ac:dyDescent="0.25">
      <c r="I357" s="49"/>
      <c r="J357" s="49"/>
      <c r="K357" s="49"/>
      <c r="M357" s="34"/>
      <c r="R357" s="61">
        <v>733.28624298659031</v>
      </c>
      <c r="S357" s="58">
        <v>1.052894583474211E-6</v>
      </c>
      <c r="V357" s="174"/>
      <c r="W357" s="174"/>
      <c r="X357" s="174"/>
      <c r="Y357" s="188"/>
      <c r="AA357" s="78"/>
      <c r="AC357" s="82"/>
      <c r="AE357" s="146">
        <f t="shared" si="34"/>
        <v>60.34362429865903</v>
      </c>
      <c r="AF357" s="146">
        <f t="shared" si="35"/>
        <v>1.0528945834742111E-4</v>
      </c>
    </row>
    <row r="358" spans="9:32" x14ac:dyDescent="0.25">
      <c r="I358" s="49"/>
      <c r="J358" s="49"/>
      <c r="K358" s="49"/>
      <c r="M358" s="33"/>
      <c r="R358" s="61">
        <v>737.12027937182825</v>
      </c>
      <c r="S358" s="58">
        <v>1.052894583474211E-6</v>
      </c>
      <c r="V358" s="174"/>
      <c r="W358" s="174"/>
      <c r="X358" s="174"/>
      <c r="Y358" s="188"/>
      <c r="AA358" s="78"/>
      <c r="AC358" s="79"/>
      <c r="AE358" s="146">
        <f t="shared" si="34"/>
        <v>60.727027937182825</v>
      </c>
      <c r="AF358" s="146">
        <f t="shared" si="35"/>
        <v>1.0528945834742111E-4</v>
      </c>
    </row>
    <row r="359" spans="9:32" x14ac:dyDescent="0.25">
      <c r="I359" s="49"/>
      <c r="J359" s="49"/>
      <c r="K359" s="49"/>
      <c r="M359" s="37"/>
      <c r="R359" s="61">
        <v>737.12027937182825</v>
      </c>
      <c r="S359" s="58">
        <v>1.107886940716583E-6</v>
      </c>
      <c r="V359" s="174"/>
      <c r="W359" s="174"/>
      <c r="X359" s="174"/>
      <c r="Y359" s="188"/>
      <c r="AA359" s="78"/>
      <c r="AC359" s="84"/>
      <c r="AE359" s="146">
        <f t="shared" si="34"/>
        <v>60.727027937182825</v>
      </c>
      <c r="AF359" s="146">
        <f t="shared" si="35"/>
        <v>1.107886940716583E-4</v>
      </c>
    </row>
    <row r="360" spans="9:32" x14ac:dyDescent="0.25">
      <c r="I360" s="49"/>
      <c r="J360" s="49"/>
      <c r="K360" s="49"/>
      <c r="M360" s="34"/>
      <c r="R360" s="61">
        <v>740.95431575706618</v>
      </c>
      <c r="S360" s="58">
        <v>1.107886940716583E-6</v>
      </c>
      <c r="V360" s="174"/>
      <c r="W360" s="174"/>
      <c r="X360" s="174"/>
      <c r="Y360" s="188"/>
      <c r="AA360" s="78"/>
      <c r="AC360" s="82"/>
      <c r="AE360" s="146">
        <f t="shared" si="34"/>
        <v>61.110431575706613</v>
      </c>
      <c r="AF360" s="146">
        <f t="shared" si="35"/>
        <v>1.107886940716583E-4</v>
      </c>
    </row>
    <row r="361" spans="9:32" x14ac:dyDescent="0.25">
      <c r="I361" s="49"/>
      <c r="J361" s="49"/>
      <c r="K361" s="49"/>
      <c r="M361" s="37"/>
      <c r="R361" s="61">
        <v>740.95431575706618</v>
      </c>
      <c r="S361" s="58">
        <v>1.150941096744559E-6</v>
      </c>
      <c r="V361" s="174"/>
      <c r="W361" s="174"/>
      <c r="X361" s="174"/>
      <c r="Y361" s="188"/>
      <c r="AA361" s="78"/>
      <c r="AC361" s="84"/>
      <c r="AE361" s="146">
        <f t="shared" si="34"/>
        <v>61.110431575706613</v>
      </c>
      <c r="AF361" s="146">
        <f t="shared" si="35"/>
        <v>1.150941096744559E-4</v>
      </c>
    </row>
    <row r="362" spans="9:32" x14ac:dyDescent="0.25">
      <c r="I362" s="49"/>
      <c r="J362" s="49"/>
      <c r="K362" s="49"/>
      <c r="M362" s="34"/>
      <c r="R362" s="61">
        <v>744.78835214230412</v>
      </c>
      <c r="S362" s="58">
        <v>1.150941096744559E-6</v>
      </c>
      <c r="V362" s="174"/>
      <c r="W362" s="174"/>
      <c r="X362" s="174"/>
      <c r="Y362" s="188"/>
      <c r="AA362" s="78"/>
      <c r="AC362" s="82"/>
      <c r="AE362" s="146">
        <f t="shared" si="34"/>
        <v>61.493835214230408</v>
      </c>
      <c r="AF362" s="146">
        <f t="shared" si="35"/>
        <v>1.150941096744559E-4</v>
      </c>
    </row>
    <row r="363" spans="9:32" x14ac:dyDescent="0.25">
      <c r="I363" s="49"/>
      <c r="J363" s="49"/>
      <c r="K363" s="49"/>
      <c r="M363" s="37"/>
      <c r="R363" s="61">
        <v>744.78835214230412</v>
      </c>
      <c r="S363" s="58">
        <v>1.182903174301711E-6</v>
      </c>
      <c r="V363" s="174"/>
      <c r="W363" s="174"/>
      <c r="X363" s="174"/>
      <c r="Y363" s="188"/>
      <c r="AA363" s="78"/>
      <c r="AC363" s="84"/>
      <c r="AE363" s="146">
        <f t="shared" si="34"/>
        <v>61.493835214230408</v>
      </c>
      <c r="AF363" s="146">
        <f t="shared" si="35"/>
        <v>1.182903174301711E-4</v>
      </c>
    </row>
    <row r="364" spans="9:32" x14ac:dyDescent="0.25">
      <c r="I364" s="49"/>
      <c r="J364" s="49"/>
      <c r="K364" s="49"/>
      <c r="M364" s="33"/>
      <c r="R364" s="61">
        <v>748.62238852754206</v>
      </c>
      <c r="S364" s="58">
        <v>1.182903174301711E-6</v>
      </c>
      <c r="V364" s="174"/>
      <c r="W364" s="174"/>
      <c r="X364" s="174"/>
      <c r="Y364" s="188"/>
      <c r="AA364" s="78"/>
      <c r="AC364" s="79"/>
      <c r="AE364" s="146">
        <f t="shared" si="34"/>
        <v>61.877238852754203</v>
      </c>
      <c r="AF364" s="146">
        <f t="shared" si="35"/>
        <v>1.182903174301711E-4</v>
      </c>
    </row>
    <row r="365" spans="9:32" x14ac:dyDescent="0.25">
      <c r="I365" s="49"/>
      <c r="J365" s="49"/>
      <c r="K365" s="49"/>
      <c r="M365" s="37"/>
      <c r="R365" s="61">
        <v>748.62238852754206</v>
      </c>
      <c r="S365" s="58">
        <v>1.2052108510662763E-6</v>
      </c>
      <c r="V365" s="174"/>
      <c r="W365" s="174"/>
      <c r="X365" s="174"/>
      <c r="Y365" s="188"/>
      <c r="AA365" s="78"/>
      <c r="AC365" s="84"/>
      <c r="AE365" s="146">
        <f t="shared" si="34"/>
        <v>61.877238852754203</v>
      </c>
      <c r="AF365" s="146">
        <f t="shared" si="35"/>
        <v>1.2052108510662763E-4</v>
      </c>
    </row>
    <row r="366" spans="9:32" x14ac:dyDescent="0.25">
      <c r="I366" s="49"/>
      <c r="J366" s="49"/>
      <c r="K366" s="49"/>
      <c r="M366" s="34"/>
      <c r="R366" s="61">
        <v>752.45642491277999</v>
      </c>
      <c r="S366" s="58">
        <v>1.2052108510662763E-6</v>
      </c>
      <c r="V366" s="174"/>
      <c r="W366" s="174"/>
      <c r="X366" s="174"/>
      <c r="Y366" s="188"/>
      <c r="AA366" s="78"/>
      <c r="AC366" s="82"/>
      <c r="AE366" s="146">
        <f t="shared" si="34"/>
        <v>62.260642491277999</v>
      </c>
      <c r="AF366" s="146">
        <f t="shared" si="35"/>
        <v>1.2052108510662763E-4</v>
      </c>
    </row>
    <row r="367" spans="9:32" x14ac:dyDescent="0.25">
      <c r="I367" s="49"/>
      <c r="J367" s="49"/>
      <c r="K367" s="49"/>
      <c r="M367" s="34"/>
      <c r="R367" s="61">
        <v>752.45642491277999</v>
      </c>
      <c r="S367" s="58">
        <v>1.2194779589741243E-6</v>
      </c>
      <c r="V367" s="174"/>
      <c r="W367" s="174"/>
      <c r="X367" s="174"/>
      <c r="Y367" s="188"/>
      <c r="AA367" s="78"/>
      <c r="AC367" s="82"/>
      <c r="AE367" s="146">
        <f t="shared" si="34"/>
        <v>62.260642491277999</v>
      </c>
      <c r="AF367" s="146">
        <f t="shared" si="35"/>
        <v>1.2194779589741243E-4</v>
      </c>
    </row>
    <row r="368" spans="9:32" x14ac:dyDescent="0.25">
      <c r="I368" s="49"/>
      <c r="J368" s="49"/>
      <c r="K368" s="49"/>
      <c r="M368" s="37"/>
      <c r="R368" s="61">
        <v>756.29046129801793</v>
      </c>
      <c r="S368" s="58">
        <v>1.2194779589741243E-6</v>
      </c>
      <c r="V368" s="174"/>
      <c r="W368" s="174"/>
      <c r="X368" s="174"/>
      <c r="Y368" s="188"/>
      <c r="AA368" s="78"/>
      <c r="AC368" s="84"/>
      <c r="AE368" s="146">
        <f t="shared" si="34"/>
        <v>62.644046129801794</v>
      </c>
      <c r="AF368" s="146">
        <f t="shared" si="35"/>
        <v>1.2194779589741243E-4</v>
      </c>
    </row>
    <row r="369" spans="9:32" x14ac:dyDescent="0.25">
      <c r="I369" s="49"/>
      <c r="J369" s="49"/>
      <c r="K369" s="49"/>
      <c r="M369" s="33"/>
      <c r="R369" s="61">
        <v>756.29046129801793</v>
      </c>
      <c r="S369" s="58">
        <v>1.2271223492204417E-6</v>
      </c>
      <c r="V369" s="174"/>
      <c r="W369" s="174"/>
      <c r="X369" s="174"/>
      <c r="Y369" s="188"/>
      <c r="AA369" s="78"/>
      <c r="AC369" s="79"/>
      <c r="AE369" s="146">
        <f t="shared" si="34"/>
        <v>62.644046129801794</v>
      </c>
      <c r="AF369" s="146">
        <f t="shared" si="35"/>
        <v>1.2271223492204417E-4</v>
      </c>
    </row>
    <row r="370" spans="9:32" x14ac:dyDescent="0.25">
      <c r="I370" s="49"/>
      <c r="J370" s="49"/>
      <c r="K370" s="49"/>
      <c r="M370" s="37"/>
      <c r="R370" s="61">
        <v>760.12449768325587</v>
      </c>
      <c r="S370" s="58">
        <v>1.2271223492204417E-6</v>
      </c>
      <c r="V370" s="174"/>
      <c r="W370" s="174"/>
      <c r="X370" s="174"/>
      <c r="Y370" s="188"/>
      <c r="AA370" s="78"/>
      <c r="AC370" s="84"/>
      <c r="AE370" s="146">
        <f t="shared" si="34"/>
        <v>63.027449768325582</v>
      </c>
      <c r="AF370" s="146">
        <f t="shared" si="35"/>
        <v>1.2271223492204417E-4</v>
      </c>
    </row>
    <row r="371" spans="9:32" x14ac:dyDescent="0.25">
      <c r="I371" s="49"/>
      <c r="J371" s="49"/>
      <c r="K371" s="49"/>
      <c r="M371" s="34"/>
      <c r="R371" s="61">
        <v>760.12449768325587</v>
      </c>
      <c r="S371" s="58">
        <v>1.2290849477567747E-6</v>
      </c>
      <c r="V371" s="174"/>
      <c r="W371" s="174"/>
      <c r="X371" s="174"/>
      <c r="Y371" s="188"/>
      <c r="AA371" s="78"/>
      <c r="AC371" s="82"/>
      <c r="AE371" s="146">
        <f t="shared" si="34"/>
        <v>63.027449768325582</v>
      </c>
      <c r="AF371" s="146">
        <f t="shared" si="35"/>
        <v>1.2290849477567748E-4</v>
      </c>
    </row>
    <row r="372" spans="9:32" x14ac:dyDescent="0.25">
      <c r="I372" s="49"/>
      <c r="J372" s="49"/>
      <c r="K372" s="49"/>
      <c r="M372" s="37"/>
      <c r="R372" s="61">
        <v>763.9585340684938</v>
      </c>
      <c r="S372" s="58">
        <v>1.2290849477567747E-6</v>
      </c>
      <c r="V372" s="174"/>
      <c r="W372" s="174"/>
      <c r="X372" s="174"/>
      <c r="Y372" s="188"/>
      <c r="AA372" s="78"/>
      <c r="AC372" s="84"/>
      <c r="AE372" s="146">
        <f t="shared" si="34"/>
        <v>63.410853406849377</v>
      </c>
      <c r="AF372" s="146">
        <f t="shared" si="35"/>
        <v>1.2290849477567748E-4</v>
      </c>
    </row>
    <row r="373" spans="9:32" x14ac:dyDescent="0.25">
      <c r="I373" s="49"/>
      <c r="J373" s="49"/>
      <c r="K373" s="49"/>
      <c r="M373" s="37"/>
      <c r="R373" s="61">
        <v>763.9585340684938</v>
      </c>
      <c r="S373" s="58">
        <v>1.2256595227178984E-6</v>
      </c>
      <c r="V373" s="174"/>
      <c r="W373" s="174"/>
      <c r="X373" s="174"/>
      <c r="Y373" s="188"/>
      <c r="AA373" s="78"/>
      <c r="AC373" s="84"/>
      <c r="AE373" s="146">
        <f t="shared" si="34"/>
        <v>63.410853406849377</v>
      </c>
      <c r="AF373" s="146">
        <f t="shared" si="35"/>
        <v>1.2256595227178984E-4</v>
      </c>
    </row>
    <row r="374" spans="9:32" x14ac:dyDescent="0.25">
      <c r="I374" s="49"/>
      <c r="J374" s="49"/>
      <c r="K374" s="49"/>
      <c r="M374" s="34"/>
      <c r="R374" s="61">
        <v>767.79257045373174</v>
      </c>
      <c r="S374" s="58">
        <v>1.2256595227178984E-6</v>
      </c>
      <c r="V374" s="174"/>
      <c r="W374" s="174"/>
      <c r="X374" s="174"/>
      <c r="Y374" s="188"/>
      <c r="AA374" s="78"/>
      <c r="AC374" s="82"/>
      <c r="AE374" s="146">
        <f t="shared" si="34"/>
        <v>63.794257045373172</v>
      </c>
      <c r="AF374" s="146">
        <f t="shared" si="35"/>
        <v>1.2256595227178984E-4</v>
      </c>
    </row>
    <row r="375" spans="9:32" x14ac:dyDescent="0.25">
      <c r="I375" s="49"/>
      <c r="J375" s="49"/>
      <c r="K375" s="49"/>
      <c r="M375" s="37"/>
      <c r="R375" s="61">
        <v>767.79257045373174</v>
      </c>
      <c r="S375" s="58">
        <v>1.2164364804664599E-6</v>
      </c>
      <c r="V375" s="174"/>
      <c r="W375" s="174"/>
      <c r="X375" s="174"/>
      <c r="Y375" s="188"/>
      <c r="AA375" s="78"/>
      <c r="AC375" s="84"/>
      <c r="AE375" s="146">
        <f t="shared" si="34"/>
        <v>63.794257045373172</v>
      </c>
      <c r="AF375" s="146">
        <f t="shared" si="35"/>
        <v>1.2164364804664598E-4</v>
      </c>
    </row>
    <row r="376" spans="9:32" x14ac:dyDescent="0.25">
      <c r="I376" s="49"/>
      <c r="J376" s="49"/>
      <c r="K376" s="49"/>
      <c r="M376" s="33"/>
      <c r="R376" s="61">
        <v>771.62660683896968</v>
      </c>
      <c r="S376" s="58">
        <v>1.2164364804664599E-6</v>
      </c>
      <c r="V376" s="174"/>
      <c r="W376" s="174"/>
      <c r="X376" s="174"/>
      <c r="Y376" s="188"/>
      <c r="AA376" s="78"/>
      <c r="AC376" s="79"/>
      <c r="AE376" s="146">
        <f t="shared" si="34"/>
        <v>64.17766068389696</v>
      </c>
      <c r="AF376" s="146">
        <f t="shared" si="35"/>
        <v>1.2164364804664598E-4</v>
      </c>
    </row>
    <row r="377" spans="9:32" x14ac:dyDescent="0.25">
      <c r="I377" s="49"/>
      <c r="J377" s="49"/>
      <c r="K377" s="49"/>
      <c r="M377" s="37"/>
      <c r="R377" s="61">
        <v>771.62660683896968</v>
      </c>
      <c r="S377" s="58">
        <v>1.2003605642856876E-6</v>
      </c>
      <c r="V377" s="174"/>
      <c r="W377" s="174"/>
      <c r="X377" s="174"/>
      <c r="Y377" s="188"/>
      <c r="AA377" s="78"/>
      <c r="AC377" s="84"/>
      <c r="AE377" s="146">
        <f t="shared" si="34"/>
        <v>64.17766068389696</v>
      </c>
      <c r="AF377" s="146">
        <f t="shared" si="35"/>
        <v>1.2003605642856875E-4</v>
      </c>
    </row>
    <row r="378" spans="9:32" x14ac:dyDescent="0.25">
      <c r="I378" s="49"/>
      <c r="J378" s="49"/>
      <c r="K378" s="49"/>
      <c r="M378" s="34"/>
      <c r="R378" s="61">
        <v>775.46064322420762</v>
      </c>
      <c r="S378" s="58">
        <v>1.2003605642856876E-6</v>
      </c>
      <c r="V378" s="174"/>
      <c r="W378" s="174"/>
      <c r="X378" s="174"/>
      <c r="Y378" s="188"/>
      <c r="AA378" s="78"/>
      <c r="AC378" s="82"/>
      <c r="AE378" s="146">
        <f t="shared" si="34"/>
        <v>64.561064322420762</v>
      </c>
      <c r="AF378" s="146">
        <f t="shared" si="35"/>
        <v>1.2003605642856875E-4</v>
      </c>
    </row>
    <row r="379" spans="9:32" x14ac:dyDescent="0.25">
      <c r="I379" s="49"/>
      <c r="J379" s="49"/>
      <c r="K379" s="49"/>
      <c r="M379" s="34"/>
      <c r="R379" s="61">
        <v>775.46064322420762</v>
      </c>
      <c r="S379" s="58">
        <v>1.1759040457664672E-6</v>
      </c>
      <c r="V379" s="174"/>
      <c r="W379" s="174"/>
      <c r="X379" s="174"/>
      <c r="Y379" s="188"/>
      <c r="AA379" s="78"/>
      <c r="AC379" s="82"/>
      <c r="AE379" s="146">
        <f t="shared" si="34"/>
        <v>64.561064322420762</v>
      </c>
      <c r="AF379" s="146">
        <f t="shared" si="35"/>
        <v>1.1759040457664672E-4</v>
      </c>
    </row>
    <row r="380" spans="9:32" x14ac:dyDescent="0.25">
      <c r="I380" s="49"/>
      <c r="J380" s="49"/>
      <c r="K380" s="49"/>
      <c r="M380" s="37"/>
      <c r="R380" s="61">
        <v>779.29467960944555</v>
      </c>
      <c r="S380" s="58">
        <v>1.1759040457664672E-6</v>
      </c>
      <c r="V380" s="174"/>
      <c r="W380" s="174"/>
      <c r="X380" s="174"/>
      <c r="Y380" s="188"/>
      <c r="AA380" s="78"/>
      <c r="AC380" s="84"/>
      <c r="AE380" s="146">
        <f t="shared" si="34"/>
        <v>64.94446796094455</v>
      </c>
      <c r="AF380" s="146">
        <f t="shared" si="35"/>
        <v>1.1759040457664672E-4</v>
      </c>
    </row>
    <row r="381" spans="9:32" x14ac:dyDescent="0.25">
      <c r="I381" s="49"/>
      <c r="J381" s="49"/>
      <c r="K381" s="49"/>
      <c r="M381" s="33"/>
      <c r="R381" s="61">
        <v>779.29467960944555</v>
      </c>
      <c r="S381" s="58">
        <v>1.1413530728711484E-6</v>
      </c>
      <c r="V381" s="174"/>
      <c r="W381" s="174"/>
      <c r="X381" s="174"/>
      <c r="Y381" s="188"/>
      <c r="AA381" s="78"/>
      <c r="AC381" s="79"/>
      <c r="AE381" s="146">
        <f t="shared" si="34"/>
        <v>64.94446796094455</v>
      </c>
      <c r="AF381" s="146">
        <f t="shared" si="35"/>
        <v>1.1413530728711484E-4</v>
      </c>
    </row>
    <row r="382" spans="9:32" x14ac:dyDescent="0.25">
      <c r="I382" s="49"/>
      <c r="J382" s="49"/>
      <c r="K382" s="49"/>
      <c r="M382" s="34"/>
      <c r="R382" s="61">
        <v>783.12871599468349</v>
      </c>
      <c r="S382" s="58">
        <v>1.1413530728711484E-6</v>
      </c>
      <c r="V382" s="174"/>
      <c r="W382" s="174"/>
      <c r="X382" s="174"/>
      <c r="Y382" s="188"/>
      <c r="AA382" s="78"/>
      <c r="AC382" s="82"/>
      <c r="AE382" s="146">
        <f t="shared" si="34"/>
        <v>65.327871599468352</v>
      </c>
      <c r="AF382" s="146">
        <f t="shared" si="35"/>
        <v>1.1413530728711484E-4</v>
      </c>
    </row>
    <row r="383" spans="9:32" x14ac:dyDescent="0.25">
      <c r="I383" s="49"/>
      <c r="J383" s="49"/>
      <c r="K383" s="49"/>
      <c r="M383" s="37"/>
      <c r="R383" s="61">
        <v>783.12871599468349</v>
      </c>
      <c r="S383" s="58">
        <v>1.095187630129096E-6</v>
      </c>
      <c r="V383" s="174"/>
      <c r="W383" s="174"/>
      <c r="X383" s="174"/>
      <c r="Y383" s="188"/>
      <c r="AA383" s="78"/>
      <c r="AC383" s="84"/>
      <c r="AE383" s="146">
        <f t="shared" si="34"/>
        <v>65.327871599468352</v>
      </c>
      <c r="AF383" s="146">
        <f t="shared" si="35"/>
        <v>1.095187630129096E-4</v>
      </c>
    </row>
    <row r="384" spans="9:32" x14ac:dyDescent="0.25">
      <c r="I384" s="49"/>
      <c r="J384" s="49"/>
      <c r="K384" s="49"/>
      <c r="M384" s="34"/>
      <c r="R384" s="61">
        <v>786.96275237992143</v>
      </c>
      <c r="S384" s="58">
        <v>1.095187630129096E-6</v>
      </c>
      <c r="V384" s="174"/>
      <c r="W384" s="174"/>
      <c r="X384" s="174"/>
      <c r="Y384" s="188"/>
      <c r="AA384" s="78"/>
      <c r="AC384" s="82"/>
      <c r="AE384" s="146">
        <f t="shared" si="34"/>
        <v>65.71127523799214</v>
      </c>
      <c r="AF384" s="146">
        <f t="shared" si="35"/>
        <v>1.095187630129096E-4</v>
      </c>
    </row>
    <row r="385" spans="9:33" x14ac:dyDescent="0.25">
      <c r="I385" s="49"/>
      <c r="J385" s="49"/>
      <c r="K385" s="49"/>
      <c r="M385" s="37"/>
      <c r="R385" s="61">
        <v>786.96275237992143</v>
      </c>
      <c r="S385" s="58">
        <v>1.0365056967658638E-6</v>
      </c>
      <c r="V385" s="174"/>
      <c r="W385" s="174"/>
      <c r="X385" s="174"/>
      <c r="Y385" s="188"/>
      <c r="AA385" s="78"/>
      <c r="AC385" s="84"/>
      <c r="AE385" s="146">
        <f t="shared" si="34"/>
        <v>65.71127523799214</v>
      </c>
      <c r="AF385" s="146">
        <f t="shared" si="35"/>
        <v>1.0365056967658638E-4</v>
      </c>
    </row>
    <row r="386" spans="9:33" x14ac:dyDescent="0.25">
      <c r="I386" s="49"/>
      <c r="J386" s="49"/>
      <c r="K386" s="49"/>
      <c r="M386" s="37"/>
      <c r="R386" s="61">
        <v>790.79678876515936</v>
      </c>
      <c r="S386" s="58">
        <v>1.0365056967658638E-6</v>
      </c>
      <c r="V386" s="174"/>
      <c r="W386" s="174"/>
      <c r="X386" s="174"/>
      <c r="Y386" s="188"/>
      <c r="AA386" s="78"/>
      <c r="AC386" s="84"/>
      <c r="AE386" s="146">
        <f t="shared" si="34"/>
        <v>66.094678876515928</v>
      </c>
      <c r="AF386" s="146">
        <f t="shared" si="35"/>
        <v>1.0365056967658638E-4</v>
      </c>
    </row>
    <row r="387" spans="9:33" x14ac:dyDescent="0.25">
      <c r="I387" s="49"/>
      <c r="J387" s="49"/>
      <c r="K387" s="49"/>
      <c r="M387" s="33"/>
      <c r="R387" s="61">
        <v>790.79678876515936</v>
      </c>
      <c r="S387" s="58">
        <v>9.6541000409222429E-7</v>
      </c>
      <c r="V387" s="174"/>
      <c r="W387" s="174"/>
      <c r="X387" s="174"/>
      <c r="Y387" s="188"/>
      <c r="AA387" s="78"/>
      <c r="AC387" s="79"/>
      <c r="AE387" s="146">
        <f t="shared" ref="AE387:AE450" si="36">(R387-129.85)/10</f>
        <v>66.094678876515928</v>
      </c>
      <c r="AF387" s="146">
        <f t="shared" ref="AF387:AF450" si="37">S387*100</f>
        <v>9.654100040922243E-5</v>
      </c>
    </row>
    <row r="388" spans="9:33" x14ac:dyDescent="0.25">
      <c r="I388" s="49"/>
      <c r="J388" s="49"/>
      <c r="K388" s="49"/>
      <c r="M388" s="34"/>
      <c r="R388" s="61">
        <v>794.6308251503973</v>
      </c>
      <c r="S388" s="58">
        <v>9.6541000409222429E-7</v>
      </c>
      <c r="V388" s="174"/>
      <c r="W388" s="174"/>
      <c r="X388" s="174"/>
      <c r="Y388" s="188"/>
      <c r="AA388" s="78"/>
      <c r="AC388" s="82"/>
      <c r="AE388" s="146">
        <f t="shared" si="36"/>
        <v>66.478082515039731</v>
      </c>
      <c r="AF388" s="146">
        <f t="shared" si="37"/>
        <v>9.654100040922243E-5</v>
      </c>
    </row>
    <row r="389" spans="9:33" x14ac:dyDescent="0.25">
      <c r="I389" s="49"/>
      <c r="J389" s="49"/>
      <c r="K389" s="49"/>
      <c r="M389" s="37"/>
      <c r="R389" s="61">
        <v>794.6308251503973</v>
      </c>
      <c r="S389" s="58">
        <v>8.8325786981929625E-7</v>
      </c>
      <c r="V389" s="174"/>
      <c r="W389" s="174"/>
      <c r="X389" s="174"/>
      <c r="Y389" s="188"/>
      <c r="AA389" s="78"/>
      <c r="AC389" s="84"/>
      <c r="AE389" s="146">
        <f t="shared" si="36"/>
        <v>66.478082515039731</v>
      </c>
      <c r="AF389" s="146">
        <f t="shared" si="37"/>
        <v>8.8325786981929621E-5</v>
      </c>
    </row>
    <row r="390" spans="9:33" x14ac:dyDescent="0.25">
      <c r="I390" s="49"/>
      <c r="J390" s="49"/>
      <c r="K390" s="49"/>
      <c r="M390" s="37"/>
      <c r="R390" s="61">
        <v>798.46486153563524</v>
      </c>
      <c r="S390" s="58">
        <v>8.8325786981929625E-7</v>
      </c>
      <c r="V390" s="174"/>
      <c r="W390" s="174"/>
      <c r="X390" s="174"/>
      <c r="Y390" s="188"/>
      <c r="AA390" s="78"/>
      <c r="AC390" s="84"/>
      <c r="AE390" s="146">
        <f t="shared" si="36"/>
        <v>66.861486153563519</v>
      </c>
      <c r="AF390" s="146">
        <f t="shared" si="37"/>
        <v>8.8325786981929621E-5</v>
      </c>
    </row>
    <row r="391" spans="9:33" x14ac:dyDescent="0.25">
      <c r="I391" s="49"/>
      <c r="J391" s="49"/>
      <c r="K391" s="49"/>
      <c r="M391" s="34"/>
      <c r="R391" s="61">
        <v>798.46486153563524</v>
      </c>
      <c r="S391" s="58">
        <v>7.9268599586537668E-7</v>
      </c>
      <c r="V391" s="174"/>
      <c r="W391" s="174"/>
      <c r="X391" s="174"/>
      <c r="Y391" s="188"/>
      <c r="AA391" s="78"/>
      <c r="AC391" s="82"/>
      <c r="AE391" s="146">
        <f t="shared" si="36"/>
        <v>66.861486153563519</v>
      </c>
      <c r="AF391" s="146">
        <f t="shared" si="37"/>
        <v>7.9268599586537674E-5</v>
      </c>
    </row>
    <row r="392" spans="9:33" x14ac:dyDescent="0.25">
      <c r="I392" s="49"/>
      <c r="J392" s="49"/>
      <c r="K392" s="49"/>
      <c r="M392" s="37"/>
      <c r="R392" s="61">
        <v>802.29889792087317</v>
      </c>
      <c r="S392" s="58">
        <v>7.9268599586537668E-7</v>
      </c>
      <c r="V392" s="174"/>
      <c r="W392" s="174"/>
      <c r="X392" s="174"/>
      <c r="Y392" s="188"/>
      <c r="AA392" s="78"/>
      <c r="AC392" s="84"/>
      <c r="AE392" s="146">
        <f t="shared" si="36"/>
        <v>67.244889792087321</v>
      </c>
      <c r="AF392" s="146">
        <f t="shared" si="37"/>
        <v>7.9268599586537674E-5</v>
      </c>
    </row>
    <row r="393" spans="9:33" x14ac:dyDescent="0.25">
      <c r="I393" s="49"/>
      <c r="J393" s="49"/>
      <c r="K393" s="49"/>
      <c r="M393" s="37"/>
      <c r="R393" s="61">
        <v>802.29889792087317</v>
      </c>
      <c r="S393" s="58">
        <v>7.2141491718274502E-7</v>
      </c>
      <c r="V393" s="174"/>
      <c r="W393" s="174"/>
      <c r="X393" s="174"/>
      <c r="Y393" s="188"/>
      <c r="AA393" s="78"/>
      <c r="AC393" s="84"/>
      <c r="AE393" s="146">
        <f t="shared" si="36"/>
        <v>67.244889792087321</v>
      </c>
      <c r="AF393" s="146">
        <f t="shared" si="37"/>
        <v>7.2141491718274509E-5</v>
      </c>
    </row>
    <row r="394" spans="9:33" x14ac:dyDescent="0.25">
      <c r="I394" s="49"/>
      <c r="J394" s="49"/>
      <c r="K394" s="49"/>
      <c r="M394" s="34"/>
      <c r="R394" s="61">
        <v>804.21591611349209</v>
      </c>
      <c r="S394" s="58">
        <v>7.2141491718274502E-7</v>
      </c>
      <c r="V394" s="174"/>
      <c r="W394" s="174"/>
      <c r="X394" s="174"/>
      <c r="Y394" s="188"/>
      <c r="AA394" s="78"/>
      <c r="AC394" s="82"/>
      <c r="AE394" s="146">
        <f t="shared" si="36"/>
        <v>67.436591611349201</v>
      </c>
      <c r="AF394" s="146">
        <f t="shared" si="37"/>
        <v>7.2141491718274509E-5</v>
      </c>
    </row>
    <row r="395" spans="9:33" x14ac:dyDescent="0.25">
      <c r="I395" s="49"/>
      <c r="J395" s="49"/>
      <c r="K395" s="49"/>
      <c r="M395" s="33"/>
      <c r="R395" s="61">
        <v>804.21591611349209</v>
      </c>
      <c r="S395" s="58">
        <v>6.9212234524175375E-7</v>
      </c>
      <c r="V395" s="174"/>
      <c r="W395" s="174"/>
      <c r="X395" s="174"/>
      <c r="Y395" s="188"/>
      <c r="AA395" s="78"/>
      <c r="AC395" s="79"/>
      <c r="AE395" s="146">
        <f t="shared" si="36"/>
        <v>67.436591611349201</v>
      </c>
      <c r="AF395" s="146">
        <f t="shared" si="37"/>
        <v>6.9212234524175376E-5</v>
      </c>
    </row>
    <row r="396" spans="9:33" x14ac:dyDescent="0.25">
      <c r="I396" s="49"/>
      <c r="J396" s="49"/>
      <c r="K396" s="49"/>
      <c r="M396" s="37"/>
      <c r="R396" s="61">
        <v>805.81331658682996</v>
      </c>
      <c r="S396" s="58">
        <v>6.9212234524175375E-7</v>
      </c>
      <c r="V396" s="174"/>
      <c r="W396" s="174"/>
      <c r="X396" s="174"/>
      <c r="Y396" s="188"/>
      <c r="AA396" s="78"/>
      <c r="AC396" s="84"/>
      <c r="AE396" s="146">
        <f t="shared" si="36"/>
        <v>67.596331658682999</v>
      </c>
      <c r="AF396" s="146">
        <f t="shared" si="37"/>
        <v>6.9212234524175376E-5</v>
      </c>
    </row>
    <row r="397" spans="9:33" x14ac:dyDescent="0.25">
      <c r="I397" s="49"/>
      <c r="J397" s="49"/>
      <c r="K397" s="49"/>
      <c r="M397" s="37"/>
      <c r="R397" s="61">
        <v>805.81331658682996</v>
      </c>
      <c r="S397" s="58">
        <v>6.3256137855123567E-7</v>
      </c>
      <c r="V397" s="174"/>
      <c r="W397" s="174"/>
      <c r="X397" s="174"/>
      <c r="Y397" s="188"/>
      <c r="AA397" s="78"/>
      <c r="AC397" s="84"/>
      <c r="AE397" s="146">
        <f t="shared" si="36"/>
        <v>67.596331658682999</v>
      </c>
      <c r="AF397" s="146">
        <f t="shared" si="37"/>
        <v>6.3256137855123562E-5</v>
      </c>
    </row>
    <row r="398" spans="9:33" x14ac:dyDescent="0.25">
      <c r="I398" s="49"/>
      <c r="J398" s="49"/>
      <c r="K398" s="49"/>
      <c r="M398" s="34"/>
      <c r="R398" s="61">
        <v>809.00811753350581</v>
      </c>
      <c r="S398" s="58">
        <v>6.3256137855123567E-7</v>
      </c>
      <c r="V398" s="174"/>
      <c r="W398" s="174"/>
      <c r="X398" s="174"/>
      <c r="Y398" s="188"/>
      <c r="AA398" s="78"/>
      <c r="AC398" s="82"/>
      <c r="AE398" s="146">
        <f t="shared" si="36"/>
        <v>67.915811753350582</v>
      </c>
      <c r="AF398" s="146">
        <f t="shared" si="37"/>
        <v>6.3256137855123562E-5</v>
      </c>
      <c r="AG398" s="81"/>
    </row>
    <row r="399" spans="9:33" x14ac:dyDescent="0.25">
      <c r="I399" s="49"/>
      <c r="J399" s="49"/>
      <c r="K399" s="49"/>
      <c r="M399" s="37"/>
      <c r="R399" s="61">
        <v>809.00811753350581</v>
      </c>
      <c r="S399" s="58">
        <v>5.5476331807494684E-7</v>
      </c>
      <c r="V399" s="174"/>
      <c r="W399" s="174"/>
      <c r="X399" s="174"/>
      <c r="Y399" s="188"/>
      <c r="AA399" s="78"/>
      <c r="AC399" s="84"/>
      <c r="AE399" s="146">
        <f t="shared" si="36"/>
        <v>67.915811753350582</v>
      </c>
      <c r="AF399" s="146">
        <f t="shared" si="37"/>
        <v>5.5476331807494683E-5</v>
      </c>
      <c r="AG399" s="81"/>
    </row>
    <row r="400" spans="9:33" x14ac:dyDescent="0.25">
      <c r="I400" s="49"/>
      <c r="J400" s="49"/>
      <c r="K400" s="49"/>
      <c r="M400" s="37"/>
      <c r="R400" s="61">
        <v>812.20291848018167</v>
      </c>
      <c r="S400" s="58">
        <v>5.5476331807494684E-7</v>
      </c>
      <c r="V400" s="174"/>
      <c r="W400" s="174"/>
      <c r="X400" s="174"/>
      <c r="Y400" s="188"/>
      <c r="AA400" s="78"/>
      <c r="AC400" s="84"/>
      <c r="AE400" s="146">
        <f t="shared" si="36"/>
        <v>68.235291848018164</v>
      </c>
      <c r="AF400" s="146">
        <f t="shared" si="37"/>
        <v>5.5476331807494683E-5</v>
      </c>
      <c r="AG400" s="81"/>
    </row>
    <row r="401" spans="9:33" x14ac:dyDescent="0.25">
      <c r="I401" s="49"/>
      <c r="J401" s="49"/>
      <c r="K401" s="49"/>
      <c r="M401" s="34"/>
      <c r="R401" s="61">
        <v>812.20291848018167</v>
      </c>
      <c r="S401" s="58">
        <v>4.8075284422835262E-7</v>
      </c>
      <c r="V401" s="174"/>
      <c r="W401" s="174"/>
      <c r="X401" s="174"/>
      <c r="Y401" s="188"/>
      <c r="AA401" s="78"/>
      <c r="AC401" s="82"/>
      <c r="AE401" s="146">
        <f t="shared" si="36"/>
        <v>68.235291848018164</v>
      </c>
      <c r="AF401" s="146">
        <f t="shared" si="37"/>
        <v>4.8075284422835262E-5</v>
      </c>
      <c r="AG401" s="81"/>
    </row>
    <row r="402" spans="9:33" x14ac:dyDescent="0.25">
      <c r="I402" s="49"/>
      <c r="J402" s="49"/>
      <c r="K402" s="49"/>
      <c r="M402" s="33"/>
      <c r="R402" s="61">
        <v>815.39771942685752</v>
      </c>
      <c r="S402" s="58">
        <v>4.8075284422835262E-7</v>
      </c>
      <c r="V402" s="174"/>
      <c r="W402" s="174"/>
      <c r="X402" s="174"/>
      <c r="Y402" s="188"/>
      <c r="AA402" s="78"/>
      <c r="AC402" s="79"/>
      <c r="AE402" s="146">
        <f t="shared" si="36"/>
        <v>68.554771942685747</v>
      </c>
      <c r="AF402" s="146">
        <f t="shared" si="37"/>
        <v>4.8075284422835262E-5</v>
      </c>
      <c r="AG402" s="81"/>
    </row>
    <row r="403" spans="9:33" x14ac:dyDescent="0.25">
      <c r="I403" s="49"/>
      <c r="J403" s="49"/>
      <c r="K403" s="49"/>
      <c r="M403" s="37"/>
      <c r="R403" s="61">
        <v>815.39771942685752</v>
      </c>
      <c r="S403" s="58">
        <v>4.122211051784032E-7</v>
      </c>
      <c r="V403" s="174"/>
      <c r="W403" s="174"/>
      <c r="X403" s="174"/>
      <c r="Y403" s="188"/>
      <c r="AA403" s="78"/>
      <c r="AC403" s="84"/>
      <c r="AE403" s="146">
        <f t="shared" si="36"/>
        <v>68.554771942685747</v>
      </c>
      <c r="AF403" s="146">
        <f t="shared" si="37"/>
        <v>4.1222110517840321E-5</v>
      </c>
      <c r="AG403" s="81"/>
    </row>
    <row r="404" spans="9:33" x14ac:dyDescent="0.25">
      <c r="I404" s="49"/>
      <c r="J404" s="49"/>
      <c r="K404" s="49"/>
      <c r="M404" s="37"/>
      <c r="R404" s="61">
        <v>818.59252037353338</v>
      </c>
      <c r="S404" s="58">
        <v>4.122211051784032E-7</v>
      </c>
      <c r="V404" s="174"/>
      <c r="W404" s="174"/>
      <c r="X404" s="174"/>
      <c r="Y404" s="188"/>
      <c r="AA404" s="78"/>
      <c r="AC404" s="84"/>
      <c r="AE404" s="146">
        <f t="shared" si="36"/>
        <v>68.87425203735333</v>
      </c>
      <c r="AF404" s="146">
        <f t="shared" si="37"/>
        <v>4.1222110517840321E-5</v>
      </c>
      <c r="AG404" s="81"/>
    </row>
    <row r="405" spans="9:33" x14ac:dyDescent="0.25">
      <c r="I405" s="49"/>
      <c r="J405" s="49"/>
      <c r="K405" s="49"/>
      <c r="M405" s="34"/>
      <c r="R405" s="61">
        <v>818.59252037353338</v>
      </c>
      <c r="S405" s="58">
        <v>3.5028348924628922E-7</v>
      </c>
      <c r="V405" s="174"/>
      <c r="W405" s="174"/>
      <c r="X405" s="174"/>
      <c r="Y405" s="188"/>
      <c r="AA405" s="78"/>
      <c r="AC405" s="82"/>
      <c r="AE405" s="146">
        <f t="shared" si="36"/>
        <v>68.87425203735333</v>
      </c>
      <c r="AF405" s="146">
        <f t="shared" si="37"/>
        <v>3.502834892462892E-5</v>
      </c>
      <c r="AG405" s="81"/>
    </row>
    <row r="406" spans="9:33" x14ac:dyDescent="0.25">
      <c r="I406" s="49"/>
      <c r="J406" s="49"/>
      <c r="K406" s="49"/>
      <c r="M406" s="37"/>
      <c r="R406" s="61">
        <v>821.78732132020923</v>
      </c>
      <c r="S406" s="58">
        <v>3.5028348924628922E-7</v>
      </c>
      <c r="V406" s="174"/>
      <c r="W406" s="174"/>
      <c r="X406" s="174"/>
      <c r="Y406" s="188"/>
      <c r="AA406" s="78"/>
      <c r="AC406" s="84"/>
      <c r="AE406" s="146">
        <f t="shared" si="36"/>
        <v>69.193732132020926</v>
      </c>
      <c r="AF406" s="146">
        <f t="shared" si="37"/>
        <v>3.502834892462892E-5</v>
      </c>
      <c r="AG406" s="81"/>
    </row>
    <row r="407" spans="9:33" x14ac:dyDescent="0.25">
      <c r="I407" s="49"/>
      <c r="J407" s="49"/>
      <c r="K407" s="49"/>
      <c r="M407" s="34"/>
      <c r="R407" s="61">
        <v>821.78732132020923</v>
      </c>
      <c r="S407" s="58">
        <v>2.954334918985298E-7</v>
      </c>
      <c r="V407" s="174"/>
      <c r="W407" s="174"/>
      <c r="X407" s="174"/>
      <c r="Y407" s="188"/>
      <c r="AA407" s="78"/>
      <c r="AC407" s="82"/>
      <c r="AE407" s="146">
        <f t="shared" si="36"/>
        <v>69.193732132020926</v>
      </c>
      <c r="AF407" s="146">
        <f t="shared" si="37"/>
        <v>2.9543349189852982E-5</v>
      </c>
      <c r="AG407" s="81"/>
    </row>
    <row r="408" spans="9:33" x14ac:dyDescent="0.25">
      <c r="I408" s="49"/>
      <c r="J408" s="49"/>
      <c r="K408" s="49"/>
      <c r="M408" s="37"/>
      <c r="R408" s="61">
        <v>824.98212226688509</v>
      </c>
      <c r="S408" s="58">
        <v>2.954334918985298E-7</v>
      </c>
      <c r="V408" s="174"/>
      <c r="W408" s="174"/>
      <c r="X408" s="174"/>
      <c r="Y408" s="188"/>
      <c r="AA408" s="78"/>
      <c r="AC408" s="84"/>
      <c r="AE408" s="146">
        <f t="shared" si="36"/>
        <v>69.513212226688509</v>
      </c>
      <c r="AF408" s="146">
        <f t="shared" si="37"/>
        <v>2.9543349189852982E-5</v>
      </c>
      <c r="AG408" s="81"/>
    </row>
    <row r="409" spans="9:33" x14ac:dyDescent="0.25">
      <c r="I409" s="49"/>
      <c r="J409" s="49"/>
      <c r="K409" s="49"/>
      <c r="M409" s="33"/>
      <c r="R409" s="61">
        <v>824.98212226688509</v>
      </c>
      <c r="S409" s="58">
        <v>2.4757980309078613E-7</v>
      </c>
      <c r="V409" s="174"/>
      <c r="W409" s="174"/>
      <c r="X409" s="174"/>
      <c r="Y409" s="188"/>
      <c r="AA409" s="78"/>
      <c r="AC409" s="79"/>
      <c r="AE409" s="146">
        <f t="shared" si="36"/>
        <v>69.513212226688509</v>
      </c>
      <c r="AF409" s="146">
        <f t="shared" si="37"/>
        <v>2.4757980309078614E-5</v>
      </c>
      <c r="AG409" s="81"/>
    </row>
    <row r="410" spans="9:33" x14ac:dyDescent="0.25">
      <c r="I410" s="49"/>
      <c r="J410" s="49"/>
      <c r="K410" s="49"/>
      <c r="M410" s="37"/>
      <c r="R410" s="61">
        <v>828.17692321356094</v>
      </c>
      <c r="S410" s="58">
        <v>2.4757980309078613E-7</v>
      </c>
      <c r="V410" s="174"/>
      <c r="W410" s="174"/>
      <c r="X410" s="174"/>
      <c r="Y410" s="188"/>
      <c r="AA410" s="78"/>
      <c r="AC410" s="84"/>
      <c r="AE410" s="146">
        <f t="shared" si="36"/>
        <v>69.832692321356092</v>
      </c>
      <c r="AF410" s="146">
        <f t="shared" si="37"/>
        <v>2.4757980309078614E-5</v>
      </c>
      <c r="AG410" s="81"/>
    </row>
    <row r="411" spans="9:33" x14ac:dyDescent="0.25">
      <c r="I411" s="49"/>
      <c r="J411" s="49"/>
      <c r="K411" s="49"/>
      <c r="M411" s="34"/>
      <c r="R411" s="61">
        <v>828.17692321356094</v>
      </c>
      <c r="S411" s="58">
        <v>2.0614970264032272E-7</v>
      </c>
      <c r="V411" s="174"/>
      <c r="W411" s="174"/>
      <c r="X411" s="174"/>
      <c r="Y411" s="188"/>
      <c r="AA411" s="78"/>
      <c r="AC411" s="82"/>
      <c r="AE411" s="146">
        <f t="shared" si="36"/>
        <v>69.832692321356092</v>
      </c>
      <c r="AF411" s="146">
        <f t="shared" si="37"/>
        <v>2.0614970264032272E-5</v>
      </c>
      <c r="AG411" s="81"/>
    </row>
    <row r="412" spans="9:33" x14ac:dyDescent="0.25">
      <c r="I412" s="49"/>
      <c r="J412" s="49"/>
      <c r="K412" s="49"/>
      <c r="M412" s="37"/>
      <c r="R412" s="61">
        <v>831.37172416023679</v>
      </c>
      <c r="S412" s="58">
        <v>2.0614970264032272E-7</v>
      </c>
      <c r="V412" s="174"/>
      <c r="W412" s="174"/>
      <c r="X412" s="174"/>
      <c r="Y412" s="188"/>
      <c r="AA412" s="78"/>
      <c r="AC412" s="84"/>
      <c r="AE412" s="146">
        <f t="shared" si="36"/>
        <v>70.152172416023674</v>
      </c>
      <c r="AF412" s="146">
        <f t="shared" si="37"/>
        <v>2.0614970264032272E-5</v>
      </c>
      <c r="AG412" s="81"/>
    </row>
    <row r="413" spans="9:33" x14ac:dyDescent="0.25">
      <c r="I413" s="49"/>
      <c r="J413" s="49"/>
      <c r="K413" s="49"/>
      <c r="M413" s="37"/>
      <c r="R413" s="61">
        <v>831.37172416023679</v>
      </c>
      <c r="S413" s="58">
        <v>1.7023265107937952E-7</v>
      </c>
      <c r="V413" s="174"/>
      <c r="W413" s="174"/>
      <c r="X413" s="174"/>
      <c r="Y413" s="188"/>
      <c r="AA413" s="78"/>
      <c r="AC413" s="84"/>
      <c r="AE413" s="146">
        <f t="shared" si="36"/>
        <v>70.152172416023674</v>
      </c>
      <c r="AF413" s="146">
        <f t="shared" si="37"/>
        <v>1.7023265107937952E-5</v>
      </c>
      <c r="AG413" s="81"/>
    </row>
    <row r="414" spans="9:33" x14ac:dyDescent="0.25">
      <c r="I414" s="49"/>
      <c r="J414" s="49"/>
      <c r="K414" s="49"/>
      <c r="M414" s="34"/>
      <c r="R414" s="61">
        <v>834.56652510691265</v>
      </c>
      <c r="S414" s="58">
        <v>1.7023265107937952E-7</v>
      </c>
      <c r="V414" s="174"/>
      <c r="W414" s="174"/>
      <c r="X414" s="174"/>
      <c r="Y414" s="188"/>
      <c r="AA414" s="78"/>
      <c r="AC414" s="82"/>
      <c r="AE414" s="146">
        <f t="shared" si="36"/>
        <v>70.471652510691257</v>
      </c>
      <c r="AF414" s="146">
        <f t="shared" si="37"/>
        <v>1.7023265107937952E-5</v>
      </c>
      <c r="AG414" s="81"/>
    </row>
    <row r="415" spans="9:33" x14ac:dyDescent="0.25">
      <c r="I415" s="49"/>
      <c r="J415" s="49"/>
      <c r="K415" s="49"/>
      <c r="M415" s="37"/>
      <c r="R415" s="61">
        <v>834.56652510691265</v>
      </c>
      <c r="S415" s="58">
        <v>1.3873557398774398E-7</v>
      </c>
      <c r="V415" s="174"/>
      <c r="W415" s="174"/>
      <c r="X415" s="174"/>
      <c r="Y415" s="188"/>
      <c r="AA415" s="78"/>
      <c r="AC415" s="84"/>
      <c r="AE415" s="146">
        <f t="shared" si="36"/>
        <v>70.471652510691257</v>
      </c>
      <c r="AF415" s="146">
        <f t="shared" si="37"/>
        <v>1.3873557398774398E-5</v>
      </c>
      <c r="AG415" s="81"/>
    </row>
    <row r="416" spans="9:33" x14ac:dyDescent="0.25">
      <c r="I416" s="49"/>
      <c r="J416" s="49"/>
      <c r="K416" s="49"/>
      <c r="M416" s="33"/>
      <c r="R416" s="61">
        <v>837.7613260535885</v>
      </c>
      <c r="S416" s="58">
        <v>1.3873557398774398E-7</v>
      </c>
      <c r="V416" s="174"/>
      <c r="W416" s="174"/>
      <c r="X416" s="174"/>
      <c r="Y416" s="188"/>
      <c r="AA416" s="78"/>
      <c r="AC416" s="79"/>
      <c r="AE416" s="146">
        <f t="shared" si="36"/>
        <v>70.791132605358854</v>
      </c>
      <c r="AF416" s="146">
        <f t="shared" si="37"/>
        <v>1.3873557398774398E-5</v>
      </c>
      <c r="AG416" s="81"/>
    </row>
    <row r="417" spans="9:33" x14ac:dyDescent="0.25">
      <c r="I417" s="49"/>
      <c r="J417" s="49"/>
      <c r="K417" s="49"/>
      <c r="M417" s="34"/>
      <c r="R417" s="61">
        <v>837.7613260535885</v>
      </c>
      <c r="S417" s="58">
        <v>1.1052514285995357E-7</v>
      </c>
      <c r="T417" s="81"/>
      <c r="V417" s="174"/>
      <c r="W417" s="174"/>
      <c r="X417" s="174"/>
      <c r="Y417" s="188"/>
      <c r="AA417" s="78"/>
      <c r="AC417" s="82"/>
      <c r="AE417" s="146">
        <f t="shared" si="36"/>
        <v>70.791132605358854</v>
      </c>
      <c r="AF417" s="146">
        <f t="shared" si="37"/>
        <v>1.1052514285995357E-5</v>
      </c>
      <c r="AG417" s="81"/>
    </row>
    <row r="418" spans="9:33" x14ac:dyDescent="0.25">
      <c r="I418" s="49"/>
      <c r="J418" s="49"/>
      <c r="K418" s="49"/>
      <c r="M418" s="37"/>
      <c r="R418" s="61">
        <v>840.95612700026436</v>
      </c>
      <c r="S418" s="58">
        <v>1.1052514285995357E-7</v>
      </c>
      <c r="T418" s="81"/>
      <c r="V418" s="174"/>
      <c r="W418" s="174"/>
      <c r="X418" s="174"/>
      <c r="Y418" s="188"/>
      <c r="AA418" s="78"/>
      <c r="AC418" s="84"/>
      <c r="AE418" s="146">
        <f t="shared" si="36"/>
        <v>71.110612700026437</v>
      </c>
      <c r="AF418" s="146">
        <f t="shared" si="37"/>
        <v>1.1052514285995357E-5</v>
      </c>
      <c r="AG418" s="81"/>
    </row>
    <row r="419" spans="9:33" x14ac:dyDescent="0.25">
      <c r="I419" s="49"/>
      <c r="J419" s="49"/>
      <c r="K419" s="49"/>
      <c r="M419" s="37"/>
      <c r="R419" s="61">
        <v>840.95612700026436</v>
      </c>
      <c r="S419" s="58">
        <v>8.4540237793626621E-8</v>
      </c>
      <c r="T419" s="81"/>
      <c r="V419" s="174"/>
      <c r="W419" s="174"/>
      <c r="X419" s="174"/>
      <c r="Y419" s="188"/>
      <c r="AA419" s="78"/>
      <c r="AC419" s="84"/>
      <c r="AE419" s="146">
        <f t="shared" si="36"/>
        <v>71.110612700026437</v>
      </c>
      <c r="AF419" s="146">
        <f t="shared" si="37"/>
        <v>8.4540237793626621E-6</v>
      </c>
      <c r="AG419" s="81"/>
    </row>
    <row r="420" spans="9:33" x14ac:dyDescent="0.25">
      <c r="I420" s="49"/>
      <c r="J420" s="49"/>
      <c r="K420" s="49"/>
      <c r="M420" s="34"/>
      <c r="R420" s="61">
        <v>844.15092794694021</v>
      </c>
      <c r="S420" s="58">
        <v>8.4540237793626621E-8</v>
      </c>
      <c r="T420" s="81"/>
      <c r="V420" s="174"/>
      <c r="W420" s="174"/>
      <c r="X420" s="174"/>
      <c r="Y420" s="188"/>
      <c r="AA420" s="78"/>
      <c r="AC420" s="82"/>
      <c r="AE420" s="146">
        <f t="shared" si="36"/>
        <v>71.430092794694019</v>
      </c>
      <c r="AF420" s="146">
        <f t="shared" si="37"/>
        <v>8.4540237793626621E-6</v>
      </c>
      <c r="AG420" s="81"/>
    </row>
    <row r="421" spans="9:33" x14ac:dyDescent="0.25">
      <c r="I421" s="49"/>
      <c r="J421" s="49"/>
      <c r="K421" s="49"/>
      <c r="M421" s="37"/>
      <c r="R421" s="61">
        <v>844.15092794694021</v>
      </c>
      <c r="S421" s="58">
        <v>5.9867029308592091E-8</v>
      </c>
      <c r="T421" s="81"/>
      <c r="V421" s="174"/>
      <c r="W421" s="174"/>
      <c r="X421" s="174"/>
      <c r="Y421" s="188"/>
      <c r="AA421" s="78"/>
      <c r="AC421" s="84"/>
      <c r="AE421" s="146">
        <f t="shared" si="36"/>
        <v>71.430092794694019</v>
      </c>
      <c r="AF421" s="146">
        <f t="shared" si="37"/>
        <v>5.9867029308592091E-6</v>
      </c>
      <c r="AG421" s="81"/>
    </row>
    <row r="422" spans="9:33" x14ac:dyDescent="0.25">
      <c r="I422" s="49"/>
      <c r="J422" s="49"/>
      <c r="K422" s="49"/>
      <c r="M422" s="33"/>
      <c r="R422" s="61">
        <v>847.34572889361607</v>
      </c>
      <c r="S422" s="58">
        <v>5.9867029308592091E-8</v>
      </c>
      <c r="T422" s="81"/>
      <c r="V422" s="174"/>
      <c r="W422" s="174"/>
      <c r="X422" s="174"/>
      <c r="Y422" s="188"/>
      <c r="AA422" s="78"/>
      <c r="AC422" s="79"/>
      <c r="AE422" s="146">
        <f t="shared" si="36"/>
        <v>71.749572889361602</v>
      </c>
      <c r="AF422" s="146">
        <f t="shared" si="37"/>
        <v>5.9867029308592091E-6</v>
      </c>
      <c r="AG422" s="81"/>
    </row>
    <row r="423" spans="9:33" x14ac:dyDescent="0.25">
      <c r="I423" s="49"/>
      <c r="J423" s="49"/>
      <c r="K423" s="49"/>
      <c r="M423" s="37"/>
      <c r="R423" s="61">
        <v>847.34572889361607</v>
      </c>
      <c r="S423" s="58">
        <v>3.577733809712662E-8</v>
      </c>
      <c r="T423" s="81"/>
      <c r="V423" s="174"/>
      <c r="W423" s="174"/>
      <c r="X423" s="174"/>
      <c r="Y423" s="188"/>
      <c r="AA423" s="78"/>
      <c r="AC423" s="84"/>
      <c r="AE423" s="146">
        <f t="shared" si="36"/>
        <v>71.749572889361602</v>
      </c>
      <c r="AF423" s="146">
        <f t="shared" si="37"/>
        <v>3.577733809712662E-6</v>
      </c>
      <c r="AG423" s="81"/>
    </row>
    <row r="424" spans="9:33" x14ac:dyDescent="0.25">
      <c r="I424" s="49"/>
      <c r="J424" s="49"/>
      <c r="K424" s="49"/>
      <c r="M424" s="34"/>
      <c r="R424" s="61">
        <v>850.54052984029192</v>
      </c>
      <c r="S424" s="58">
        <v>3.577733809712662E-8</v>
      </c>
      <c r="T424" s="81"/>
      <c r="V424" s="174"/>
      <c r="W424" s="174"/>
      <c r="X424" s="174"/>
      <c r="Y424" s="188"/>
      <c r="AA424" s="78"/>
      <c r="AC424" s="82"/>
      <c r="AE424" s="146">
        <f t="shared" si="36"/>
        <v>72.069052984029184</v>
      </c>
      <c r="AF424" s="146">
        <f t="shared" si="37"/>
        <v>3.577733809712662E-6</v>
      </c>
      <c r="AG424" s="81"/>
    </row>
    <row r="425" spans="9:33" x14ac:dyDescent="0.25">
      <c r="I425" s="49"/>
      <c r="J425" s="49"/>
      <c r="K425" s="49"/>
      <c r="M425" s="37"/>
      <c r="R425" s="61">
        <v>850.54052984029192</v>
      </c>
      <c r="S425" s="58">
        <v>1.173661560353996E-8</v>
      </c>
      <c r="T425" s="81"/>
      <c r="V425" s="174"/>
      <c r="W425" s="174"/>
      <c r="X425" s="174"/>
      <c r="Y425" s="188"/>
      <c r="AA425" s="78"/>
      <c r="AC425" s="84"/>
      <c r="AE425" s="146">
        <f t="shared" si="36"/>
        <v>72.069052984029184</v>
      </c>
      <c r="AF425" s="146">
        <f t="shared" si="37"/>
        <v>1.173661560353996E-6</v>
      </c>
      <c r="AG425" s="81"/>
    </row>
    <row r="426" spans="9:33" x14ac:dyDescent="0.25">
      <c r="I426" s="49"/>
      <c r="J426" s="49"/>
      <c r="K426" s="49"/>
      <c r="M426" s="37"/>
      <c r="R426" s="61">
        <v>853.73533078696778</v>
      </c>
      <c r="S426" s="58">
        <v>1.173661560353996E-8</v>
      </c>
      <c r="T426" s="81"/>
      <c r="V426" s="174"/>
      <c r="W426" s="174"/>
      <c r="X426" s="174"/>
      <c r="Y426" s="188"/>
      <c r="AA426" s="78"/>
      <c r="AC426" s="84"/>
      <c r="AE426" s="146">
        <f t="shared" si="36"/>
        <v>72.388533078696781</v>
      </c>
      <c r="AF426" s="146">
        <f t="shared" si="37"/>
        <v>1.173661560353996E-6</v>
      </c>
      <c r="AG426" s="81"/>
    </row>
    <row r="427" spans="9:33" x14ac:dyDescent="0.25">
      <c r="I427" s="49"/>
      <c r="J427" s="49"/>
      <c r="K427" s="49"/>
      <c r="M427" s="34"/>
      <c r="R427" s="61">
        <v>853.73533078696778</v>
      </c>
      <c r="S427" s="58">
        <v>-1.2609416544043708E-8</v>
      </c>
      <c r="T427" s="81"/>
      <c r="V427" s="174"/>
      <c r="W427" s="174"/>
      <c r="X427" s="174"/>
      <c r="Y427" s="188"/>
      <c r="AA427" s="78"/>
      <c r="AC427" s="82"/>
      <c r="AE427" s="146">
        <f t="shared" si="36"/>
        <v>72.388533078696781</v>
      </c>
      <c r="AF427" s="146">
        <f t="shared" si="37"/>
        <v>-1.2609416544043708E-6</v>
      </c>
      <c r="AG427" s="81"/>
    </row>
    <row r="428" spans="9:33" x14ac:dyDescent="0.25">
      <c r="I428" s="49"/>
      <c r="J428" s="49"/>
      <c r="K428" s="49"/>
      <c r="M428" s="37"/>
      <c r="R428" s="61">
        <v>856.93013173364363</v>
      </c>
      <c r="S428" s="58">
        <v>-1.2609416544043708E-8</v>
      </c>
      <c r="T428" s="81"/>
      <c r="V428" s="174"/>
      <c r="W428" s="174"/>
      <c r="X428" s="174"/>
      <c r="Y428" s="188"/>
      <c r="AA428" s="78"/>
      <c r="AC428" s="84"/>
      <c r="AE428" s="146">
        <f t="shared" si="36"/>
        <v>72.708013173364364</v>
      </c>
      <c r="AF428" s="146">
        <f t="shared" si="37"/>
        <v>-1.2609416544043708E-6</v>
      </c>
      <c r="AG428" s="81"/>
    </row>
    <row r="429" spans="9:33" x14ac:dyDescent="0.25">
      <c r="I429" s="49"/>
      <c r="J429" s="49"/>
      <c r="K429" s="49"/>
      <c r="M429" s="33"/>
      <c r="R429" s="61">
        <v>856.93013173364363</v>
      </c>
      <c r="S429" s="58">
        <v>-3.7460317466338229E-8</v>
      </c>
      <c r="T429" s="81"/>
      <c r="V429" s="174"/>
      <c r="W429" s="174"/>
      <c r="X429" s="174"/>
      <c r="Y429" s="188"/>
      <c r="AA429" s="78"/>
      <c r="AC429" s="79"/>
      <c r="AE429" s="146">
        <f t="shared" si="36"/>
        <v>72.708013173364364</v>
      </c>
      <c r="AF429" s="146">
        <f t="shared" si="37"/>
        <v>-3.7460317466338229E-6</v>
      </c>
      <c r="AG429" s="81"/>
    </row>
    <row r="430" spans="9:33" x14ac:dyDescent="0.25">
      <c r="I430" s="49"/>
      <c r="J430" s="49"/>
      <c r="K430" s="49"/>
      <c r="M430" s="34"/>
      <c r="R430" s="61">
        <v>860.12493268031949</v>
      </c>
      <c r="S430" s="58">
        <v>-3.7460317466338229E-8</v>
      </c>
      <c r="T430" s="81"/>
      <c r="V430" s="174"/>
      <c r="W430" s="174"/>
      <c r="X430" s="174"/>
      <c r="Y430" s="188"/>
      <c r="AA430" s="78"/>
      <c r="AC430" s="82"/>
      <c r="AE430" s="146">
        <f t="shared" si="36"/>
        <v>73.027493268031947</v>
      </c>
      <c r="AF430" s="146">
        <f t="shared" si="37"/>
        <v>-3.7460317466338229E-6</v>
      </c>
      <c r="AG430" s="81"/>
    </row>
    <row r="431" spans="9:33" x14ac:dyDescent="0.25">
      <c r="I431" s="49"/>
      <c r="J431" s="49"/>
      <c r="K431" s="49"/>
      <c r="M431" s="37"/>
      <c r="R431" s="61">
        <v>860.12493268031949</v>
      </c>
      <c r="S431" s="58">
        <v>-6.2891107535910435E-8</v>
      </c>
      <c r="T431" s="81"/>
      <c r="V431" s="174"/>
      <c r="W431" s="174"/>
      <c r="X431" s="174"/>
      <c r="Y431" s="188"/>
      <c r="AA431" s="78"/>
      <c r="AC431" s="84"/>
      <c r="AE431" s="146">
        <f t="shared" si="36"/>
        <v>73.027493268031947</v>
      </c>
      <c r="AF431" s="146">
        <f t="shared" si="37"/>
        <v>-6.2891107535910435E-6</v>
      </c>
      <c r="AG431" s="81"/>
    </row>
    <row r="432" spans="9:33" x14ac:dyDescent="0.25">
      <c r="I432" s="49"/>
      <c r="J432" s="49"/>
      <c r="K432" s="49"/>
      <c r="M432" s="34"/>
      <c r="R432" s="61">
        <v>863.31973362699534</v>
      </c>
      <c r="S432" s="58">
        <v>-6.2891107535910435E-8</v>
      </c>
      <c r="T432" s="81"/>
      <c r="V432" s="174"/>
      <c r="W432" s="174"/>
      <c r="X432" s="174"/>
      <c r="Y432" s="188"/>
      <c r="AA432" s="78"/>
      <c r="AC432" s="82"/>
      <c r="AE432" s="146">
        <f t="shared" si="36"/>
        <v>73.346973362699529</v>
      </c>
      <c r="AF432" s="146">
        <f t="shared" si="37"/>
        <v>-6.2891107535910435E-6</v>
      </c>
      <c r="AG432" s="81"/>
    </row>
    <row r="433" spans="9:33" x14ac:dyDescent="0.25">
      <c r="I433" s="49"/>
      <c r="J433" s="49"/>
      <c r="K433" s="49"/>
      <c r="M433" s="37"/>
      <c r="R433" s="61">
        <v>863.31973362699534</v>
      </c>
      <c r="S433" s="58">
        <v>-8.8881849542275386E-8</v>
      </c>
      <c r="T433" s="81"/>
      <c r="V433" s="174"/>
      <c r="W433" s="174"/>
      <c r="X433" s="174"/>
      <c r="Y433" s="188"/>
      <c r="AA433" s="78"/>
      <c r="AC433" s="84"/>
      <c r="AE433" s="146">
        <f t="shared" si="36"/>
        <v>73.346973362699529</v>
      </c>
      <c r="AF433" s="146">
        <f t="shared" si="37"/>
        <v>-8.8881849542275386E-6</v>
      </c>
      <c r="AG433" s="81"/>
    </row>
    <row r="434" spans="9:33" x14ac:dyDescent="0.25">
      <c r="I434" s="49"/>
      <c r="J434" s="49"/>
      <c r="K434" s="49"/>
      <c r="M434" s="37"/>
      <c r="R434" s="61">
        <v>866.5145345736712</v>
      </c>
      <c r="S434" s="58">
        <v>-8.8881849542275386E-8</v>
      </c>
      <c r="T434" s="81"/>
      <c r="V434" s="174"/>
      <c r="W434" s="174"/>
      <c r="X434" s="174"/>
      <c r="Y434" s="188"/>
      <c r="AA434" s="78"/>
      <c r="AC434" s="84"/>
      <c r="AE434" s="146">
        <f t="shared" si="36"/>
        <v>73.666453457367112</v>
      </c>
      <c r="AF434" s="146">
        <f t="shared" si="37"/>
        <v>-8.8881849542275386E-6</v>
      </c>
      <c r="AG434" s="81"/>
    </row>
    <row r="435" spans="9:33" x14ac:dyDescent="0.25">
      <c r="I435" s="49"/>
      <c r="J435" s="49"/>
      <c r="K435" s="49"/>
      <c r="M435" s="33"/>
      <c r="R435" s="61">
        <v>866.5145345736712</v>
      </c>
      <c r="S435" s="58">
        <v>-1.1534370855834054E-7</v>
      </c>
      <c r="T435" s="81"/>
      <c r="V435" s="174"/>
      <c r="W435" s="174"/>
      <c r="X435" s="174"/>
      <c r="Y435" s="188"/>
      <c r="AA435" s="78"/>
      <c r="AC435" s="79"/>
      <c r="AE435" s="146">
        <f t="shared" si="36"/>
        <v>73.666453457367112</v>
      </c>
      <c r="AF435" s="146">
        <f t="shared" si="37"/>
        <v>-1.1534370855834054E-5</v>
      </c>
      <c r="AG435" s="81"/>
    </row>
    <row r="436" spans="9:33" x14ac:dyDescent="0.25">
      <c r="I436" s="49"/>
      <c r="J436" s="49"/>
      <c r="K436" s="49"/>
      <c r="M436" s="34"/>
      <c r="R436" s="61">
        <v>869.70933552034705</v>
      </c>
      <c r="S436" s="58">
        <v>-1.1534370855834054E-7</v>
      </c>
      <c r="T436" s="81"/>
      <c r="V436" s="174"/>
      <c r="W436" s="174"/>
      <c r="X436" s="174"/>
      <c r="Y436" s="188"/>
      <c r="AA436" s="78"/>
      <c r="AC436" s="82"/>
      <c r="AE436" s="146">
        <f t="shared" si="36"/>
        <v>73.985933552034709</v>
      </c>
      <c r="AF436" s="146">
        <f t="shared" si="37"/>
        <v>-1.1534370855834054E-5</v>
      </c>
      <c r="AG436" s="81"/>
    </row>
    <row r="437" spans="9:33" x14ac:dyDescent="0.25">
      <c r="I437" s="49"/>
      <c r="J437" s="49"/>
      <c r="K437" s="49"/>
      <c r="M437" s="37"/>
      <c r="R437" s="61">
        <v>869.70933552034705</v>
      </c>
      <c r="S437" s="58">
        <v>-1.4214039554799938E-7</v>
      </c>
      <c r="T437" s="81"/>
      <c r="V437" s="174"/>
      <c r="W437" s="174"/>
      <c r="X437" s="174"/>
      <c r="Y437" s="188"/>
      <c r="AA437" s="78"/>
      <c r="AC437" s="84"/>
      <c r="AE437" s="146">
        <f t="shared" si="36"/>
        <v>73.985933552034709</v>
      </c>
      <c r="AF437" s="146">
        <f t="shared" si="37"/>
        <v>-1.4214039554799938E-5</v>
      </c>
      <c r="AG437" s="81"/>
    </row>
    <row r="438" spans="9:33" x14ac:dyDescent="0.25">
      <c r="I438" s="49"/>
      <c r="J438" s="49"/>
      <c r="K438" s="49"/>
      <c r="M438" s="37"/>
      <c r="R438" s="61">
        <v>872.90413646702291</v>
      </c>
      <c r="S438" s="58">
        <v>-1.4214039554799938E-7</v>
      </c>
      <c r="T438" s="81"/>
      <c r="V438" s="174"/>
      <c r="W438" s="174"/>
      <c r="X438" s="174"/>
      <c r="Y438" s="188"/>
      <c r="AA438" s="78"/>
      <c r="AC438" s="84"/>
      <c r="AE438" s="146">
        <f t="shared" si="36"/>
        <v>74.305413646702291</v>
      </c>
      <c r="AF438" s="146">
        <f t="shared" si="37"/>
        <v>-1.4214039554799938E-5</v>
      </c>
      <c r="AG438" s="81"/>
    </row>
    <row r="439" spans="9:33" x14ac:dyDescent="0.25">
      <c r="I439" s="49"/>
      <c r="J439" s="49"/>
      <c r="K439" s="49"/>
      <c r="M439" s="34"/>
      <c r="R439" s="61">
        <v>872.90413646702291</v>
      </c>
      <c r="S439" s="58">
        <v>-1.623580479952204E-7</v>
      </c>
      <c r="T439" s="81"/>
      <c r="V439" s="174"/>
      <c r="W439" s="174"/>
      <c r="X439" s="174"/>
      <c r="Y439" s="188"/>
      <c r="AA439" s="78"/>
      <c r="AC439" s="82"/>
      <c r="AE439" s="146">
        <f t="shared" si="36"/>
        <v>74.305413646702291</v>
      </c>
      <c r="AF439" s="146">
        <f t="shared" si="37"/>
        <v>-1.6235804799522038E-5</v>
      </c>
      <c r="AG439" s="81"/>
    </row>
    <row r="440" spans="9:33" x14ac:dyDescent="0.25">
      <c r="I440" s="49"/>
      <c r="J440" s="49"/>
      <c r="K440" s="49"/>
      <c r="M440" s="37"/>
      <c r="R440" s="61">
        <v>874.50153694036078</v>
      </c>
      <c r="S440" s="58">
        <v>-1.623580479952204E-7</v>
      </c>
      <c r="T440" s="81"/>
      <c r="V440" s="174"/>
      <c r="W440" s="174"/>
      <c r="X440" s="174"/>
      <c r="Y440" s="188"/>
      <c r="AA440" s="78"/>
      <c r="AC440" s="84"/>
      <c r="AE440" s="146">
        <f t="shared" si="36"/>
        <v>74.465153694036076</v>
      </c>
      <c r="AF440" s="146">
        <f t="shared" si="37"/>
        <v>-1.6235804799522038E-5</v>
      </c>
      <c r="AG440" s="81"/>
    </row>
    <row r="441" spans="9:33" x14ac:dyDescent="0.25">
      <c r="I441" s="49"/>
      <c r="J441" s="49"/>
      <c r="K441" s="49"/>
      <c r="M441" s="37"/>
      <c r="R441" s="61">
        <v>874.50153694036078</v>
      </c>
      <c r="S441" s="58">
        <v>-1.8918032293549983E-7</v>
      </c>
      <c r="T441" s="81"/>
      <c r="V441" s="174"/>
      <c r="W441" s="174"/>
      <c r="X441" s="174"/>
      <c r="Y441" s="188"/>
      <c r="AA441" s="78"/>
      <c r="AC441" s="84"/>
      <c r="AE441" s="146">
        <f t="shared" si="36"/>
        <v>74.465153694036076</v>
      </c>
      <c r="AF441" s="146">
        <f t="shared" si="37"/>
        <v>-1.8918032293549983E-5</v>
      </c>
      <c r="AG441" s="81"/>
    </row>
    <row r="442" spans="9:33" x14ac:dyDescent="0.25">
      <c r="I442" s="49"/>
      <c r="J442" s="49"/>
      <c r="K442" s="49"/>
      <c r="M442" s="34"/>
      <c r="R442" s="61">
        <v>879.27489283825139</v>
      </c>
      <c r="S442" s="58">
        <v>-1.8918032293549983E-7</v>
      </c>
      <c r="T442" s="81"/>
      <c r="V442" s="174"/>
      <c r="W442" s="174"/>
      <c r="X442" s="174"/>
      <c r="Y442" s="188"/>
      <c r="AA442" s="78"/>
      <c r="AC442" s="82"/>
      <c r="AE442" s="146">
        <f t="shared" si="36"/>
        <v>74.94248928382514</v>
      </c>
      <c r="AF442" s="146">
        <f t="shared" si="37"/>
        <v>-1.8918032293549983E-5</v>
      </c>
      <c r="AG442" s="81"/>
    </row>
    <row r="443" spans="9:33" x14ac:dyDescent="0.25">
      <c r="I443" s="49"/>
      <c r="J443" s="49"/>
      <c r="K443" s="49"/>
      <c r="M443" s="33"/>
      <c r="R443" s="61">
        <v>879.27489283825139</v>
      </c>
      <c r="S443" s="58">
        <v>-2.2927469012604777E-7</v>
      </c>
      <c r="T443" s="81"/>
      <c r="V443" s="174"/>
      <c r="W443" s="174"/>
      <c r="X443" s="174"/>
      <c r="Y443" s="188"/>
      <c r="AA443" s="78"/>
      <c r="AC443" s="79"/>
      <c r="AE443" s="146">
        <f t="shared" si="36"/>
        <v>74.94248928382514</v>
      </c>
      <c r="AF443" s="146">
        <f t="shared" si="37"/>
        <v>-2.2927469012604777E-5</v>
      </c>
      <c r="AG443" s="81"/>
    </row>
    <row r="444" spans="9:33" x14ac:dyDescent="0.25">
      <c r="I444" s="49"/>
      <c r="J444" s="49"/>
      <c r="K444" s="49"/>
      <c r="M444" s="37"/>
      <c r="R444" s="61">
        <v>884.12980300425556</v>
      </c>
      <c r="S444" s="58">
        <v>-2.2927469012604777E-7</v>
      </c>
      <c r="T444" s="81"/>
      <c r="V444" s="174"/>
      <c r="W444" s="174"/>
      <c r="X444" s="174"/>
      <c r="Y444" s="188"/>
      <c r="AA444" s="78"/>
      <c r="AC444" s="84"/>
      <c r="AE444" s="146">
        <f t="shared" si="36"/>
        <v>75.42798030042556</v>
      </c>
      <c r="AF444" s="146">
        <f t="shared" si="37"/>
        <v>-2.2927469012604777E-5</v>
      </c>
      <c r="AG444" s="81"/>
    </row>
    <row r="445" spans="9:33" x14ac:dyDescent="0.25">
      <c r="I445" s="49"/>
      <c r="J445" s="49"/>
      <c r="K445" s="49"/>
      <c r="M445" s="37"/>
      <c r="R445" s="61">
        <v>884.12980300425556</v>
      </c>
      <c r="S445" s="58">
        <v>-2.6936121526387272E-7</v>
      </c>
      <c r="T445" s="81"/>
      <c r="V445" s="174"/>
      <c r="W445" s="174"/>
      <c r="X445" s="174"/>
      <c r="Y445" s="188"/>
      <c r="AA445" s="78"/>
      <c r="AC445" s="84"/>
      <c r="AE445" s="146">
        <f t="shared" si="36"/>
        <v>75.42798030042556</v>
      </c>
      <c r="AF445" s="146">
        <f t="shared" si="37"/>
        <v>-2.6936121526387272E-5</v>
      </c>
      <c r="AG445" s="81"/>
    </row>
    <row r="446" spans="9:33" x14ac:dyDescent="0.25">
      <c r="I446" s="49"/>
      <c r="J446" s="49"/>
      <c r="K446" s="49"/>
      <c r="M446" s="34"/>
      <c r="R446" s="61">
        <v>889.15658440618915</v>
      </c>
      <c r="S446" s="58">
        <v>-2.6936121526387272E-7</v>
      </c>
      <c r="T446" s="81"/>
      <c r="V446" s="174"/>
      <c r="W446" s="174"/>
      <c r="X446" s="174"/>
      <c r="Y446" s="188"/>
      <c r="AA446" s="78"/>
      <c r="AC446" s="82"/>
      <c r="AE446" s="146">
        <f t="shared" si="36"/>
        <v>75.930658440618913</v>
      </c>
      <c r="AF446" s="146">
        <f t="shared" si="37"/>
        <v>-2.6936121526387272E-5</v>
      </c>
      <c r="AG446" s="81"/>
    </row>
    <row r="447" spans="9:33" x14ac:dyDescent="0.25">
      <c r="I447" s="49"/>
      <c r="J447" s="49"/>
      <c r="K447" s="49"/>
      <c r="M447" s="37"/>
      <c r="R447" s="61">
        <v>889.15658440618915</v>
      </c>
      <c r="S447" s="58">
        <v>-3.0941375590555994E-7</v>
      </c>
      <c r="T447" s="81"/>
      <c r="V447" s="174"/>
      <c r="W447" s="174"/>
      <c r="X447" s="174"/>
      <c r="Y447" s="188"/>
      <c r="AA447" s="78"/>
      <c r="AC447" s="84"/>
      <c r="AE447" s="146">
        <f t="shared" si="36"/>
        <v>75.930658440618913</v>
      </c>
      <c r="AF447" s="146">
        <f t="shared" si="37"/>
        <v>-3.0941375590555992E-5</v>
      </c>
      <c r="AG447" s="81"/>
    </row>
    <row r="448" spans="9:33" x14ac:dyDescent="0.25">
      <c r="I448" s="49"/>
      <c r="J448" s="49"/>
      <c r="K448" s="49"/>
      <c r="M448" s="37"/>
      <c r="R448" s="61">
        <v>894.46560036438257</v>
      </c>
      <c r="S448" s="58">
        <v>-3.0941375590555994E-7</v>
      </c>
      <c r="T448" s="81"/>
      <c r="V448" s="174"/>
      <c r="W448" s="174"/>
      <c r="X448" s="174"/>
      <c r="Y448" s="188"/>
      <c r="AA448" s="78"/>
      <c r="AC448" s="84"/>
      <c r="AE448" s="146">
        <f t="shared" si="36"/>
        <v>76.461560036438257</v>
      </c>
      <c r="AF448" s="146">
        <f t="shared" si="37"/>
        <v>-3.0941375590555992E-5</v>
      </c>
      <c r="AG448" s="81"/>
    </row>
    <row r="449" spans="9:33" x14ac:dyDescent="0.25">
      <c r="I449" s="49"/>
      <c r="J449" s="49"/>
      <c r="K449" s="49"/>
      <c r="M449" s="34"/>
      <c r="R449" s="61">
        <v>894.46560036438257</v>
      </c>
      <c r="S449" s="58">
        <v>-3.4936818788104672E-7</v>
      </c>
      <c r="T449" s="81"/>
      <c r="V449" s="174"/>
      <c r="W449" s="174"/>
      <c r="X449" s="174"/>
      <c r="Y449" s="188"/>
      <c r="AA449" s="78"/>
      <c r="AC449" s="82"/>
      <c r="AE449" s="146">
        <f t="shared" si="36"/>
        <v>76.461560036438257</v>
      </c>
      <c r="AF449" s="146">
        <f t="shared" si="37"/>
        <v>-3.4936818788104672E-5</v>
      </c>
      <c r="AG449" s="81"/>
    </row>
    <row r="450" spans="9:33" x14ac:dyDescent="0.25">
      <c r="I450" s="49"/>
      <c r="J450" s="49"/>
      <c r="K450" s="49"/>
      <c r="M450" s="33"/>
      <c r="R450" s="61">
        <v>900.20507474894634</v>
      </c>
      <c r="S450" s="58">
        <v>-3.4936818788104672E-7</v>
      </c>
      <c r="T450" s="81"/>
      <c r="V450" s="174"/>
      <c r="W450" s="174"/>
      <c r="X450" s="174"/>
      <c r="Y450" s="188"/>
      <c r="AA450" s="78"/>
      <c r="AC450" s="79"/>
      <c r="AE450" s="146">
        <f t="shared" si="36"/>
        <v>77.035507474894629</v>
      </c>
      <c r="AF450" s="146">
        <f t="shared" si="37"/>
        <v>-3.4936818788104672E-5</v>
      </c>
      <c r="AG450" s="81"/>
    </row>
    <row r="451" spans="9:33" x14ac:dyDescent="0.25">
      <c r="I451" s="49"/>
      <c r="J451" s="49"/>
      <c r="K451" s="49"/>
      <c r="M451" s="37"/>
      <c r="R451" s="61">
        <v>900.20507474894634</v>
      </c>
      <c r="S451" s="58">
        <v>-3.8909120729302785E-7</v>
      </c>
      <c r="T451" s="81"/>
      <c r="V451" s="174"/>
      <c r="W451" s="174"/>
      <c r="X451" s="174"/>
      <c r="Y451" s="188"/>
      <c r="AA451" s="78"/>
      <c r="AC451" s="84"/>
      <c r="AE451" s="146">
        <f t="shared" ref="AE451:AE464" si="38">(R451-129.85)/10</f>
        <v>77.035507474894629</v>
      </c>
      <c r="AF451" s="146">
        <f t="shared" ref="AF451:AF464" si="39">S451*100</f>
        <v>-3.8909120729302785E-5</v>
      </c>
      <c r="AG451" s="81"/>
    </row>
    <row r="452" spans="9:33" x14ac:dyDescent="0.25">
      <c r="I452" s="49"/>
      <c r="J452" s="49"/>
      <c r="K452" s="49"/>
      <c r="M452" s="37"/>
      <c r="R452" s="61">
        <v>906.59403127000849</v>
      </c>
      <c r="S452" s="58">
        <v>-3.8909120729302785E-7</v>
      </c>
      <c r="T452" s="81"/>
      <c r="V452" s="174"/>
      <c r="W452" s="174"/>
      <c r="X452" s="174"/>
      <c r="Y452" s="188"/>
      <c r="AA452" s="78"/>
      <c r="AC452" s="84"/>
      <c r="AE452" s="146">
        <f t="shared" si="38"/>
        <v>77.674403127000843</v>
      </c>
      <c r="AF452" s="146">
        <f t="shared" si="39"/>
        <v>-3.8909120729302785E-5</v>
      </c>
      <c r="AG452" s="81"/>
    </row>
    <row r="453" spans="9:33" x14ac:dyDescent="0.25">
      <c r="I453" s="49"/>
      <c r="J453" s="49"/>
      <c r="K453" s="49"/>
      <c r="M453" s="34"/>
      <c r="R453" s="61">
        <v>906.59403127000849</v>
      </c>
      <c r="S453" s="58">
        <v>-4.2832268771235812E-7</v>
      </c>
      <c r="T453" s="81"/>
      <c r="V453" s="174"/>
      <c r="W453" s="174"/>
      <c r="X453" s="174"/>
      <c r="Y453" s="188"/>
      <c r="AA453" s="78"/>
      <c r="AC453" s="82"/>
      <c r="AE453" s="146">
        <f t="shared" si="38"/>
        <v>77.674403127000843</v>
      </c>
      <c r="AF453" s="146">
        <f t="shared" si="39"/>
        <v>-4.283226877123581E-5</v>
      </c>
      <c r="AG453" s="81"/>
    </row>
    <row r="454" spans="9:33" x14ac:dyDescent="0.25">
      <c r="I454" s="49"/>
      <c r="J454" s="49"/>
      <c r="K454" s="49"/>
      <c r="M454" s="37"/>
      <c r="R454" s="61">
        <v>913.99289107753248</v>
      </c>
      <c r="S454" s="58">
        <v>-4.2832268771235812E-7</v>
      </c>
      <c r="T454" s="81"/>
      <c r="V454" s="174"/>
      <c r="W454" s="174"/>
      <c r="X454" s="174"/>
      <c r="Y454" s="188"/>
      <c r="AA454" s="78"/>
      <c r="AC454" s="84"/>
      <c r="AE454" s="146">
        <f t="shared" si="38"/>
        <v>78.414289107753248</v>
      </c>
      <c r="AF454" s="146">
        <f t="shared" si="39"/>
        <v>-4.283226877123581E-5</v>
      </c>
      <c r="AG454" s="81"/>
    </row>
    <row r="455" spans="9:33" x14ac:dyDescent="0.25">
      <c r="I455" s="49"/>
      <c r="J455" s="49"/>
      <c r="K455" s="49"/>
      <c r="M455" s="37"/>
      <c r="R455" s="61">
        <v>913.99289107753248</v>
      </c>
      <c r="S455" s="58">
        <v>-4.6655901488730141E-7</v>
      </c>
      <c r="T455" s="81"/>
      <c r="V455" s="174"/>
      <c r="W455" s="174"/>
      <c r="X455" s="174"/>
      <c r="Y455" s="188"/>
      <c r="AA455" s="78"/>
      <c r="AC455" s="84"/>
      <c r="AE455" s="146">
        <f t="shared" si="38"/>
        <v>78.414289107753248</v>
      </c>
      <c r="AF455" s="146">
        <f t="shared" si="39"/>
        <v>-4.6655901488730141E-5</v>
      </c>
      <c r="AG455" s="81"/>
    </row>
    <row r="456" spans="9:33" x14ac:dyDescent="0.25">
      <c r="I456" s="49"/>
      <c r="J456" s="49"/>
      <c r="K456" s="49"/>
      <c r="M456" s="34"/>
      <c r="R456" s="61">
        <v>923.08478622921189</v>
      </c>
      <c r="S456" s="58">
        <v>-4.6655901488730141E-7</v>
      </c>
      <c r="T456" s="81"/>
      <c r="V456" s="174"/>
      <c r="W456" s="174"/>
      <c r="X456" s="174"/>
      <c r="Y456" s="188"/>
      <c r="AA456" s="78"/>
      <c r="AC456" s="82"/>
      <c r="AE456" s="146">
        <f t="shared" si="38"/>
        <v>79.323478622921186</v>
      </c>
      <c r="AF456" s="146">
        <f t="shared" si="39"/>
        <v>-4.6655901488730141E-5</v>
      </c>
      <c r="AG456" s="81"/>
    </row>
    <row r="457" spans="9:33" x14ac:dyDescent="0.25">
      <c r="I457" s="49"/>
      <c r="J457" s="49"/>
      <c r="K457" s="49"/>
      <c r="M457" s="37"/>
      <c r="R457" s="61">
        <v>923.08478622921189</v>
      </c>
      <c r="S457" s="58">
        <v>-5.02789952933521E-7</v>
      </c>
      <c r="T457" s="81"/>
      <c r="V457" s="174"/>
      <c r="W457" s="174"/>
      <c r="X457" s="174"/>
      <c r="Y457" s="188"/>
      <c r="AA457" s="78"/>
      <c r="AC457" s="84"/>
      <c r="AE457" s="146">
        <f t="shared" si="38"/>
        <v>79.323478622921186</v>
      </c>
      <c r="AF457" s="146">
        <f t="shared" si="39"/>
        <v>-5.0278995293352098E-5</v>
      </c>
      <c r="AG457" s="81"/>
    </row>
    <row r="458" spans="9:33" x14ac:dyDescent="0.25">
      <c r="I458" s="49"/>
      <c r="J458" s="49"/>
      <c r="K458" s="49"/>
      <c r="M458" s="33"/>
      <c r="R458" s="61">
        <v>935.49406930082057</v>
      </c>
      <c r="S458" s="58">
        <v>-5.02789952933521E-7</v>
      </c>
      <c r="T458" s="81"/>
      <c r="V458" s="174"/>
      <c r="W458" s="174"/>
      <c r="X458" s="174"/>
      <c r="Y458" s="188"/>
      <c r="AA458" s="78"/>
      <c r="AC458" s="79"/>
      <c r="AE458" s="146">
        <f t="shared" si="38"/>
        <v>80.564406930082058</v>
      </c>
      <c r="AF458" s="146">
        <f t="shared" si="39"/>
        <v>-5.0278995293352098E-5</v>
      </c>
      <c r="AG458" s="81"/>
    </row>
    <row r="459" spans="9:33" x14ac:dyDescent="0.25">
      <c r="I459" s="49"/>
      <c r="J459" s="49"/>
      <c r="K459" s="49"/>
      <c r="M459" s="37"/>
      <c r="R459" s="61">
        <v>935.49406930082057</v>
      </c>
      <c r="S459" s="58">
        <v>-5.348087447495491E-7</v>
      </c>
      <c r="T459" s="81"/>
      <c r="V459" s="174"/>
      <c r="W459" s="174"/>
      <c r="X459" s="174"/>
      <c r="Y459" s="188"/>
      <c r="AA459" s="78"/>
      <c r="AC459" s="84"/>
      <c r="AE459" s="146">
        <f t="shared" si="38"/>
        <v>80.564406930082058</v>
      </c>
      <c r="AF459" s="146">
        <f t="shared" si="39"/>
        <v>-5.3480874474954908E-5</v>
      </c>
      <c r="AG459" s="81"/>
    </row>
    <row r="460" spans="9:33" x14ac:dyDescent="0.25">
      <c r="I460" s="49"/>
      <c r="J460" s="49"/>
      <c r="K460" s="49"/>
      <c r="M460" s="34"/>
      <c r="R460" s="61">
        <v>957.79371573232618</v>
      </c>
      <c r="S460" s="58">
        <v>-5.348087447495491E-7</v>
      </c>
      <c r="T460" s="81"/>
      <c r="V460" s="174"/>
      <c r="W460" s="174"/>
      <c r="X460" s="174"/>
      <c r="Y460" s="188"/>
      <c r="AA460" s="78"/>
      <c r="AC460" s="82"/>
      <c r="AE460" s="146">
        <f t="shared" si="38"/>
        <v>82.79437157323261</v>
      </c>
      <c r="AF460" s="146">
        <f t="shared" si="39"/>
        <v>-5.3480874474954908E-5</v>
      </c>
      <c r="AG460" s="81"/>
    </row>
    <row r="461" spans="9:33" x14ac:dyDescent="0.25">
      <c r="I461" s="49"/>
      <c r="J461" s="49"/>
      <c r="K461" s="49"/>
      <c r="M461" s="37"/>
      <c r="R461" s="61">
        <v>957.79371573232618</v>
      </c>
      <c r="S461" s="58">
        <v>-5.5694180274756664E-7</v>
      </c>
      <c r="T461" s="81"/>
      <c r="V461" s="174"/>
      <c r="W461" s="174"/>
      <c r="X461" s="174"/>
      <c r="Y461" s="188"/>
      <c r="AA461" s="78"/>
      <c r="AC461" s="84"/>
      <c r="AE461" s="146">
        <f t="shared" si="38"/>
        <v>82.79437157323261</v>
      </c>
      <c r="AF461" s="146">
        <f t="shared" si="39"/>
        <v>-5.5694180274756663E-5</v>
      </c>
      <c r="AG461" s="81"/>
    </row>
    <row r="462" spans="9:33" x14ac:dyDescent="0.25">
      <c r="I462" s="49"/>
      <c r="J462" s="49"/>
      <c r="K462" s="49"/>
      <c r="M462" s="37"/>
      <c r="R462" s="61">
        <v>987.74053536481597</v>
      </c>
      <c r="S462" s="58">
        <v>-5.5694180274756664E-7</v>
      </c>
      <c r="T462" s="81"/>
      <c r="V462" s="174"/>
      <c r="W462" s="174"/>
      <c r="X462" s="174"/>
      <c r="Y462" s="188"/>
      <c r="AA462" s="78"/>
      <c r="AC462" s="84"/>
      <c r="AE462" s="146">
        <f t="shared" si="38"/>
        <v>85.789053536481589</v>
      </c>
      <c r="AF462" s="146">
        <f t="shared" si="39"/>
        <v>-5.5694180274756663E-5</v>
      </c>
      <c r="AG462" s="81"/>
    </row>
    <row r="463" spans="9:33" x14ac:dyDescent="0.25">
      <c r="I463" s="49"/>
      <c r="J463" s="49"/>
      <c r="K463" s="49"/>
      <c r="M463" s="34"/>
      <c r="R463" s="61">
        <v>987.74053536481597</v>
      </c>
      <c r="S463" s="58">
        <v>-5.6000000000000014E-7</v>
      </c>
      <c r="T463" s="81"/>
      <c r="V463" s="174"/>
      <c r="W463" s="174"/>
      <c r="X463" s="174"/>
      <c r="Y463" s="188"/>
      <c r="AA463" s="78"/>
      <c r="AC463" s="82"/>
      <c r="AE463" s="146">
        <f t="shared" si="38"/>
        <v>85.789053536481589</v>
      </c>
      <c r="AF463" s="146">
        <f t="shared" si="39"/>
        <v>-5.6000000000000013E-5</v>
      </c>
      <c r="AG463" s="81"/>
    </row>
    <row r="464" spans="9:33" x14ac:dyDescent="0.25">
      <c r="I464" s="49"/>
      <c r="J464" s="49"/>
      <c r="K464" s="49"/>
      <c r="M464" s="37"/>
      <c r="R464" s="61">
        <v>1187.740535364816</v>
      </c>
      <c r="S464" s="58">
        <v>-5.6000000000000014E-7</v>
      </c>
      <c r="T464" s="81"/>
      <c r="V464" s="174"/>
      <c r="W464" s="174"/>
      <c r="X464" s="174"/>
      <c r="Y464" s="188"/>
      <c r="AA464" s="78"/>
      <c r="AC464" s="84"/>
      <c r="AE464" s="146">
        <f t="shared" si="38"/>
        <v>105.7890535364816</v>
      </c>
      <c r="AF464" s="146">
        <f t="shared" si="39"/>
        <v>-5.6000000000000013E-5</v>
      </c>
      <c r="AG464" s="81"/>
    </row>
    <row r="465" spans="9:33" x14ac:dyDescent="0.25">
      <c r="I465" s="49"/>
      <c r="J465" s="49"/>
      <c r="K465" s="49"/>
      <c r="M465" s="33"/>
      <c r="T465" s="81"/>
      <c r="V465" s="174"/>
      <c r="W465" s="174"/>
      <c r="X465" s="174"/>
      <c r="Y465" s="188"/>
      <c r="AA465" s="78"/>
      <c r="AC465" s="79"/>
      <c r="AG465" s="81"/>
    </row>
    <row r="466" spans="9:33" x14ac:dyDescent="0.25">
      <c r="I466" s="49"/>
      <c r="J466" s="49"/>
      <c r="K466" s="49"/>
      <c r="M466" s="37"/>
      <c r="T466" s="81"/>
      <c r="V466" s="174"/>
      <c r="W466" s="174"/>
      <c r="X466" s="174"/>
      <c r="Y466" s="188"/>
      <c r="AA466" s="78"/>
      <c r="AC466" s="84"/>
      <c r="AG466" s="81"/>
    </row>
    <row r="467" spans="9:33" x14ac:dyDescent="0.25">
      <c r="I467" s="49"/>
      <c r="J467" s="49"/>
      <c r="K467" s="49"/>
      <c r="M467" s="34"/>
      <c r="T467" s="81"/>
      <c r="V467" s="174"/>
      <c r="W467" s="174"/>
      <c r="X467" s="174"/>
      <c r="Y467" s="188"/>
      <c r="AA467" s="78"/>
      <c r="AC467" s="82"/>
      <c r="AG467" s="81"/>
    </row>
    <row r="468" spans="9:33" x14ac:dyDescent="0.25">
      <c r="I468" s="49"/>
      <c r="J468" s="49"/>
      <c r="K468" s="49"/>
      <c r="M468" s="37"/>
      <c r="T468" s="81"/>
      <c r="V468" s="174"/>
      <c r="W468" s="174"/>
      <c r="X468" s="174"/>
      <c r="Y468" s="188"/>
      <c r="AA468" s="78"/>
      <c r="AC468" s="84"/>
      <c r="AG468" s="81"/>
    </row>
    <row r="469" spans="9:33" x14ac:dyDescent="0.25">
      <c r="I469" s="49"/>
      <c r="J469" s="49"/>
      <c r="K469" s="49"/>
      <c r="M469" s="37"/>
      <c r="T469" s="81"/>
      <c r="V469" s="174"/>
      <c r="W469" s="174"/>
      <c r="X469" s="174"/>
      <c r="Y469" s="188"/>
      <c r="AA469" s="78"/>
      <c r="AC469" s="84"/>
      <c r="AG469" s="81"/>
    </row>
    <row r="470" spans="9:33" x14ac:dyDescent="0.25">
      <c r="I470" s="49"/>
      <c r="J470" s="49"/>
      <c r="K470" s="49"/>
      <c r="M470" s="34"/>
      <c r="T470" s="81"/>
      <c r="V470" s="174"/>
      <c r="W470" s="174"/>
      <c r="X470" s="174"/>
      <c r="Y470" s="188"/>
      <c r="AA470" s="78"/>
      <c r="AC470" s="82"/>
      <c r="AG470" s="81"/>
    </row>
    <row r="471" spans="9:33" x14ac:dyDescent="0.25">
      <c r="I471" s="49"/>
      <c r="J471" s="49"/>
      <c r="K471" s="49"/>
      <c r="M471" s="37"/>
      <c r="T471" s="81"/>
      <c r="V471" s="174"/>
      <c r="W471" s="174"/>
      <c r="X471" s="174"/>
      <c r="Y471" s="188"/>
      <c r="AA471" s="78"/>
      <c r="AC471" s="84"/>
      <c r="AG471" s="81"/>
    </row>
    <row r="472" spans="9:33" x14ac:dyDescent="0.25">
      <c r="I472" s="49"/>
      <c r="J472" s="49"/>
      <c r="K472" s="49"/>
      <c r="M472" s="33"/>
      <c r="T472" s="81"/>
      <c r="V472" s="174"/>
      <c r="W472" s="174"/>
      <c r="X472" s="174"/>
      <c r="Y472" s="188"/>
      <c r="AA472" s="78"/>
      <c r="AC472" s="79"/>
      <c r="AG472" s="81"/>
    </row>
    <row r="473" spans="9:33" x14ac:dyDescent="0.25">
      <c r="I473" s="49"/>
      <c r="J473" s="49"/>
      <c r="K473" s="49"/>
      <c r="M473" s="37"/>
      <c r="T473" s="81"/>
      <c r="V473" s="174"/>
      <c r="W473" s="174"/>
      <c r="X473" s="174"/>
      <c r="Y473" s="188"/>
      <c r="AA473" s="78"/>
      <c r="AC473" s="84"/>
      <c r="AG473" s="81"/>
    </row>
    <row r="474" spans="9:33" x14ac:dyDescent="0.25">
      <c r="I474" s="49"/>
      <c r="J474" s="49"/>
      <c r="K474" s="49"/>
      <c r="M474" s="34"/>
      <c r="T474" s="81"/>
      <c r="V474" s="174"/>
      <c r="W474" s="174"/>
      <c r="X474" s="174"/>
      <c r="Y474" s="188"/>
      <c r="AA474" s="78"/>
      <c r="AC474" s="82"/>
      <c r="AG474" s="81"/>
    </row>
    <row r="475" spans="9:33" x14ac:dyDescent="0.25">
      <c r="I475" s="49"/>
      <c r="J475" s="49"/>
      <c r="K475" s="49"/>
      <c r="M475" s="37"/>
      <c r="T475" s="81"/>
      <c r="V475" s="174"/>
      <c r="W475" s="174"/>
      <c r="X475" s="174"/>
      <c r="Y475" s="188"/>
      <c r="AA475" s="78"/>
      <c r="AC475" s="84"/>
      <c r="AG475" s="81"/>
    </row>
    <row r="476" spans="9:33" x14ac:dyDescent="0.25">
      <c r="I476" s="49"/>
      <c r="J476" s="49"/>
      <c r="K476" s="49"/>
      <c r="M476" s="37"/>
      <c r="T476" s="81"/>
      <c r="V476" s="174"/>
      <c r="W476" s="174"/>
      <c r="X476" s="174"/>
      <c r="Y476" s="188"/>
      <c r="AA476" s="78"/>
      <c r="AC476" s="84"/>
      <c r="AG476" s="81"/>
    </row>
    <row r="477" spans="9:33" x14ac:dyDescent="0.25">
      <c r="I477" s="49"/>
      <c r="J477" s="49"/>
      <c r="K477" s="49"/>
      <c r="M477" s="34"/>
      <c r="T477" s="81"/>
      <c r="V477" s="174"/>
      <c r="W477" s="174"/>
      <c r="X477" s="174"/>
      <c r="Y477" s="188"/>
      <c r="AA477" s="78"/>
      <c r="AC477" s="82"/>
      <c r="AG477" s="81"/>
    </row>
    <row r="478" spans="9:33" x14ac:dyDescent="0.25">
      <c r="I478" s="49"/>
      <c r="J478" s="49"/>
      <c r="K478" s="49"/>
      <c r="M478" s="37"/>
      <c r="T478" s="81"/>
      <c r="V478" s="174"/>
      <c r="W478" s="174"/>
      <c r="X478" s="174"/>
      <c r="Y478" s="188"/>
      <c r="AA478" s="78"/>
      <c r="AC478" s="84"/>
      <c r="AG478" s="81"/>
    </row>
    <row r="479" spans="9:33" x14ac:dyDescent="0.25">
      <c r="I479" s="49"/>
      <c r="J479" s="49"/>
      <c r="K479" s="49"/>
      <c r="M479" s="37"/>
      <c r="T479" s="81"/>
      <c r="V479" s="174"/>
      <c r="W479" s="174"/>
      <c r="X479" s="174"/>
      <c r="Y479" s="188"/>
      <c r="AA479" s="78"/>
      <c r="AC479" s="84"/>
      <c r="AG479" s="81"/>
    </row>
    <row r="480" spans="9:33" x14ac:dyDescent="0.25">
      <c r="I480" s="49"/>
      <c r="J480" s="49"/>
      <c r="K480" s="49"/>
      <c r="M480" s="33"/>
      <c r="T480" s="81"/>
      <c r="V480" s="174"/>
      <c r="W480" s="174"/>
      <c r="X480" s="174"/>
      <c r="Y480" s="188"/>
      <c r="AA480" s="78"/>
      <c r="AC480" s="79"/>
      <c r="AG480" s="81"/>
    </row>
    <row r="481" spans="9:33" x14ac:dyDescent="0.25">
      <c r="I481" s="49"/>
      <c r="J481" s="49"/>
      <c r="K481" s="49"/>
      <c r="M481" s="34"/>
      <c r="T481" s="81"/>
      <c r="V481" s="174"/>
      <c r="W481" s="174"/>
      <c r="X481" s="174"/>
      <c r="Y481" s="188"/>
      <c r="AA481" s="78"/>
      <c r="AC481" s="82"/>
      <c r="AG481" s="81"/>
    </row>
    <row r="482" spans="9:33" x14ac:dyDescent="0.25">
      <c r="I482" s="49"/>
      <c r="J482" s="49"/>
      <c r="K482" s="49"/>
      <c r="M482" s="37"/>
      <c r="T482" s="81"/>
      <c r="V482" s="174"/>
      <c r="W482" s="174"/>
      <c r="X482" s="174"/>
      <c r="Y482" s="188"/>
      <c r="AA482" s="78"/>
      <c r="AC482" s="84"/>
      <c r="AG482" s="81"/>
    </row>
    <row r="483" spans="9:33" x14ac:dyDescent="0.25">
      <c r="I483" s="49"/>
      <c r="J483" s="49"/>
      <c r="K483" s="49"/>
      <c r="M483" s="37"/>
      <c r="T483" s="81"/>
      <c r="V483" s="174"/>
      <c r="W483" s="174"/>
      <c r="X483" s="174"/>
      <c r="Y483" s="188"/>
      <c r="AA483" s="78"/>
      <c r="AC483" s="84"/>
      <c r="AG483" s="81"/>
    </row>
    <row r="484" spans="9:33" x14ac:dyDescent="0.25">
      <c r="I484" s="49"/>
      <c r="J484" s="49"/>
      <c r="K484" s="49"/>
      <c r="M484" s="34"/>
      <c r="T484" s="81"/>
      <c r="V484" s="174"/>
      <c r="W484" s="174"/>
      <c r="X484" s="174"/>
      <c r="Y484" s="188"/>
      <c r="AA484" s="78"/>
      <c r="AC484" s="82"/>
      <c r="AG484" s="81"/>
    </row>
    <row r="485" spans="9:33" x14ac:dyDescent="0.25">
      <c r="I485" s="49"/>
      <c r="J485" s="49"/>
      <c r="K485" s="49"/>
      <c r="M485" s="37"/>
      <c r="T485" s="81"/>
      <c r="V485" s="174"/>
      <c r="W485" s="174"/>
      <c r="X485" s="174"/>
      <c r="Y485" s="188"/>
      <c r="AA485" s="78"/>
      <c r="AC485" s="84"/>
      <c r="AG485" s="81"/>
    </row>
    <row r="486" spans="9:33" x14ac:dyDescent="0.25">
      <c r="I486" s="49"/>
      <c r="J486" s="49"/>
      <c r="K486" s="49"/>
      <c r="M486" s="37"/>
      <c r="T486" s="81"/>
      <c r="V486" s="174"/>
      <c r="W486" s="174"/>
      <c r="X486" s="174"/>
      <c r="Y486" s="188"/>
      <c r="AA486" s="78"/>
      <c r="AC486" s="84"/>
      <c r="AG486" s="81"/>
    </row>
    <row r="487" spans="9:33" x14ac:dyDescent="0.25">
      <c r="I487" s="49"/>
      <c r="J487" s="49"/>
      <c r="K487" s="49"/>
      <c r="M487" s="33"/>
      <c r="T487" s="81"/>
      <c r="V487" s="174"/>
      <c r="W487" s="174"/>
      <c r="X487" s="174"/>
      <c r="Y487" s="188"/>
      <c r="AA487" s="78"/>
      <c r="AC487" s="79"/>
      <c r="AG487" s="81"/>
    </row>
    <row r="488" spans="9:33" x14ac:dyDescent="0.25">
      <c r="I488" s="49"/>
      <c r="J488" s="49"/>
      <c r="K488" s="49"/>
      <c r="M488" s="34"/>
      <c r="T488" s="81"/>
      <c r="V488" s="174"/>
      <c r="W488" s="174"/>
      <c r="X488" s="174"/>
      <c r="Y488" s="188"/>
      <c r="AA488" s="78"/>
      <c r="AC488" s="82"/>
      <c r="AG488" s="81"/>
    </row>
    <row r="489" spans="9:33" x14ac:dyDescent="0.25">
      <c r="I489" s="49"/>
      <c r="J489" s="49"/>
      <c r="K489" s="49"/>
      <c r="M489" s="37"/>
      <c r="T489" s="81"/>
      <c r="V489" s="174"/>
      <c r="W489" s="174"/>
      <c r="X489" s="174"/>
      <c r="Y489" s="188"/>
      <c r="AA489" s="78"/>
      <c r="AC489" s="84"/>
      <c r="AG489" s="81"/>
    </row>
    <row r="490" spans="9:33" x14ac:dyDescent="0.25">
      <c r="I490" s="49"/>
      <c r="J490" s="49"/>
      <c r="K490" s="49"/>
      <c r="M490" s="37"/>
      <c r="T490" s="81"/>
      <c r="V490" s="174"/>
      <c r="W490" s="174"/>
      <c r="X490" s="174"/>
      <c r="Y490" s="188"/>
      <c r="AA490" s="78"/>
      <c r="AC490" s="84"/>
      <c r="AG490" s="81"/>
    </row>
    <row r="491" spans="9:33" x14ac:dyDescent="0.25">
      <c r="I491" s="49"/>
      <c r="J491" s="49"/>
      <c r="K491" s="49"/>
      <c r="M491" s="34"/>
      <c r="T491" s="81"/>
      <c r="V491" s="174"/>
      <c r="W491" s="174"/>
      <c r="X491" s="174"/>
      <c r="Y491" s="188"/>
      <c r="AA491" s="78"/>
      <c r="AC491" s="82"/>
      <c r="AG491" s="81"/>
    </row>
    <row r="492" spans="9:33" x14ac:dyDescent="0.25">
      <c r="I492" s="49"/>
      <c r="J492" s="49"/>
      <c r="K492" s="49"/>
      <c r="M492" s="37"/>
      <c r="T492" s="81"/>
      <c r="V492" s="174"/>
      <c r="W492" s="174"/>
      <c r="X492" s="174"/>
      <c r="Y492" s="188"/>
      <c r="AA492" s="78"/>
      <c r="AC492" s="84"/>
      <c r="AG492" s="81"/>
    </row>
    <row r="493" spans="9:33" x14ac:dyDescent="0.25">
      <c r="I493" s="49"/>
      <c r="J493" s="49"/>
      <c r="K493" s="49"/>
      <c r="M493" s="37"/>
      <c r="T493" s="81"/>
      <c r="V493" s="174"/>
      <c r="W493" s="174"/>
      <c r="X493" s="174"/>
      <c r="Y493" s="188"/>
      <c r="AA493" s="78"/>
      <c r="AC493" s="84"/>
      <c r="AG493" s="81"/>
    </row>
    <row r="494" spans="9:33" x14ac:dyDescent="0.25">
      <c r="I494" s="49"/>
      <c r="J494" s="49"/>
      <c r="K494" s="49"/>
      <c r="M494" s="34"/>
      <c r="T494" s="81"/>
      <c r="V494" s="174"/>
      <c r="W494" s="174"/>
      <c r="X494" s="174"/>
      <c r="Y494" s="188"/>
      <c r="AA494" s="78"/>
      <c r="AC494" s="82"/>
      <c r="AG494" s="81"/>
    </row>
    <row r="495" spans="9:33" x14ac:dyDescent="0.25">
      <c r="I495" s="49"/>
      <c r="J495" s="49"/>
      <c r="K495" s="49"/>
      <c r="M495" s="33"/>
      <c r="T495" s="81"/>
      <c r="V495" s="174"/>
      <c r="W495" s="174"/>
      <c r="X495" s="174"/>
      <c r="Y495" s="188"/>
      <c r="AA495" s="78"/>
      <c r="AC495" s="79"/>
      <c r="AG495" s="81"/>
    </row>
    <row r="496" spans="9:33" x14ac:dyDescent="0.25">
      <c r="I496" s="49"/>
      <c r="J496" s="49"/>
      <c r="K496" s="49"/>
      <c r="M496" s="37"/>
      <c r="T496" s="81"/>
      <c r="V496" s="174"/>
      <c r="W496" s="174"/>
      <c r="X496" s="174"/>
      <c r="Y496" s="188"/>
      <c r="AA496" s="78"/>
      <c r="AC496" s="84"/>
      <c r="AG496" s="81"/>
    </row>
    <row r="497" spans="9:33" x14ac:dyDescent="0.25">
      <c r="I497" s="49"/>
      <c r="J497" s="49"/>
      <c r="K497" s="49"/>
      <c r="M497" s="37"/>
      <c r="T497" s="81"/>
      <c r="V497" s="174"/>
      <c r="W497" s="174"/>
      <c r="X497" s="174"/>
      <c r="Y497" s="188"/>
      <c r="AA497" s="78"/>
      <c r="AC497" s="84"/>
      <c r="AG497" s="81"/>
    </row>
    <row r="498" spans="9:33" x14ac:dyDescent="0.25">
      <c r="I498" s="49"/>
      <c r="J498" s="49"/>
      <c r="K498" s="49"/>
      <c r="M498" s="34"/>
      <c r="T498" s="81"/>
      <c r="V498" s="174"/>
      <c r="W498" s="174"/>
      <c r="X498" s="174"/>
      <c r="Y498" s="188"/>
      <c r="AA498" s="78"/>
      <c r="AC498" s="82"/>
      <c r="AG498" s="81"/>
    </row>
    <row r="499" spans="9:33" x14ac:dyDescent="0.25">
      <c r="I499" s="49"/>
      <c r="J499" s="49"/>
      <c r="K499" s="49"/>
      <c r="M499" s="37"/>
      <c r="T499" s="81"/>
      <c r="V499" s="174"/>
      <c r="W499" s="174"/>
      <c r="X499" s="174"/>
      <c r="Y499" s="188"/>
      <c r="AA499" s="78"/>
      <c r="AC499" s="84"/>
      <c r="AG499" s="81"/>
    </row>
    <row r="500" spans="9:33" x14ac:dyDescent="0.25">
      <c r="I500" s="49"/>
      <c r="J500" s="49"/>
      <c r="K500" s="49"/>
      <c r="M500" s="37"/>
      <c r="T500" s="81"/>
      <c r="V500" s="174"/>
      <c r="W500" s="174"/>
      <c r="X500" s="174"/>
      <c r="Y500" s="188"/>
      <c r="AA500" s="78"/>
      <c r="AC500" s="84"/>
      <c r="AG500" s="81"/>
    </row>
    <row r="501" spans="9:33" x14ac:dyDescent="0.25">
      <c r="I501" s="49"/>
      <c r="J501" s="49"/>
      <c r="K501" s="49"/>
      <c r="M501" s="34"/>
      <c r="T501" s="81"/>
      <c r="V501" s="174"/>
      <c r="W501" s="174"/>
      <c r="X501" s="174"/>
      <c r="Y501" s="188"/>
      <c r="AA501" s="78"/>
      <c r="AC501" s="82"/>
      <c r="AG501" s="81"/>
    </row>
    <row r="502" spans="9:33" x14ac:dyDescent="0.25">
      <c r="I502" s="49"/>
      <c r="J502" s="49"/>
      <c r="K502" s="49"/>
      <c r="M502" s="33"/>
      <c r="T502" s="81"/>
      <c r="V502" s="174"/>
      <c r="W502" s="174"/>
      <c r="X502" s="174"/>
      <c r="Y502" s="188"/>
      <c r="AA502" s="78"/>
      <c r="AC502" s="79"/>
      <c r="AG502" s="81"/>
    </row>
    <row r="503" spans="9:33" x14ac:dyDescent="0.25">
      <c r="I503" s="49"/>
      <c r="J503" s="49"/>
      <c r="K503" s="49"/>
      <c r="M503" s="37"/>
      <c r="T503" s="81"/>
      <c r="V503" s="174"/>
      <c r="W503" s="174"/>
      <c r="X503" s="174"/>
      <c r="Y503" s="188"/>
      <c r="AA503" s="78"/>
      <c r="AC503" s="84"/>
      <c r="AG503" s="81"/>
    </row>
    <row r="504" spans="9:33" x14ac:dyDescent="0.25">
      <c r="I504" s="49"/>
      <c r="J504" s="49"/>
      <c r="K504" s="49"/>
      <c r="M504" s="37"/>
      <c r="T504" s="81"/>
      <c r="V504" s="174"/>
      <c r="W504" s="174"/>
      <c r="X504" s="174"/>
      <c r="Y504" s="188"/>
      <c r="AA504" s="78"/>
      <c r="AC504" s="84"/>
      <c r="AG504" s="81"/>
    </row>
    <row r="505" spans="9:33" x14ac:dyDescent="0.25">
      <c r="I505" s="49"/>
      <c r="J505" s="49"/>
      <c r="K505" s="49"/>
      <c r="M505" s="34"/>
      <c r="T505" s="81"/>
      <c r="V505" s="174"/>
      <c r="W505" s="174"/>
      <c r="X505" s="174"/>
      <c r="Y505" s="188"/>
      <c r="AA505" s="78"/>
      <c r="AC505" s="82"/>
      <c r="AG505" s="81"/>
    </row>
    <row r="506" spans="9:33" x14ac:dyDescent="0.25">
      <c r="I506" s="49"/>
      <c r="J506" s="49"/>
      <c r="K506" s="49"/>
      <c r="M506" s="37"/>
      <c r="T506" s="81"/>
      <c r="V506" s="174"/>
      <c r="W506" s="174"/>
      <c r="X506" s="174"/>
      <c r="Y506" s="188"/>
      <c r="AA506" s="78"/>
      <c r="AC506" s="84"/>
      <c r="AG506" s="81"/>
    </row>
    <row r="507" spans="9:33" x14ac:dyDescent="0.25">
      <c r="I507" s="49"/>
      <c r="J507" s="49"/>
      <c r="K507" s="49"/>
      <c r="M507" s="37"/>
      <c r="T507" s="81"/>
      <c r="V507" s="174"/>
      <c r="W507" s="174"/>
      <c r="X507" s="174"/>
      <c r="Y507" s="188"/>
      <c r="AA507" s="78"/>
      <c r="AC507" s="84"/>
      <c r="AG507" s="81"/>
    </row>
    <row r="508" spans="9:33" x14ac:dyDescent="0.25">
      <c r="I508" s="49"/>
      <c r="J508" s="49"/>
      <c r="K508" s="49"/>
      <c r="M508" s="34"/>
      <c r="T508" s="81"/>
      <c r="V508" s="174"/>
      <c r="W508" s="174"/>
      <c r="X508" s="174"/>
      <c r="Y508" s="188"/>
      <c r="AA508" s="78"/>
      <c r="AC508" s="82"/>
      <c r="AG508" s="81"/>
    </row>
    <row r="509" spans="9:33" x14ac:dyDescent="0.25">
      <c r="I509" s="49"/>
      <c r="J509" s="49"/>
      <c r="K509" s="49"/>
      <c r="M509" s="37"/>
      <c r="T509" s="81"/>
      <c r="V509" s="174"/>
      <c r="W509" s="174"/>
      <c r="X509" s="174"/>
      <c r="Y509" s="188"/>
      <c r="AA509" s="78"/>
      <c r="AC509" s="84"/>
      <c r="AG509" s="81"/>
    </row>
    <row r="510" spans="9:33" x14ac:dyDescent="0.25">
      <c r="I510" s="49"/>
      <c r="J510" s="49"/>
      <c r="K510" s="49"/>
      <c r="M510" s="33"/>
      <c r="T510" s="81"/>
      <c r="V510" s="174"/>
      <c r="W510" s="174"/>
      <c r="X510" s="174"/>
      <c r="Y510" s="188"/>
      <c r="AA510" s="78"/>
      <c r="AC510" s="79"/>
      <c r="AG510" s="81"/>
    </row>
    <row r="511" spans="9:33" x14ac:dyDescent="0.25">
      <c r="I511" s="49"/>
      <c r="J511" s="49"/>
      <c r="K511" s="49"/>
      <c r="M511" s="37"/>
      <c r="T511" s="81"/>
      <c r="V511" s="174"/>
      <c r="W511" s="174"/>
      <c r="X511" s="174"/>
      <c r="Y511" s="188"/>
      <c r="AA511" s="78"/>
      <c r="AC511" s="84"/>
      <c r="AG511" s="81"/>
    </row>
    <row r="512" spans="9:33" x14ac:dyDescent="0.25">
      <c r="I512" s="49"/>
      <c r="J512" s="49"/>
      <c r="K512" s="49"/>
      <c r="M512" s="34"/>
      <c r="T512" s="81"/>
      <c r="V512" s="174"/>
      <c r="W512" s="174"/>
      <c r="X512" s="174"/>
      <c r="Y512" s="188"/>
      <c r="AA512" s="78"/>
      <c r="AC512" s="82"/>
      <c r="AG512" s="81"/>
    </row>
    <row r="513" spans="9:33" x14ac:dyDescent="0.25">
      <c r="I513" s="49"/>
      <c r="J513" s="49"/>
      <c r="K513" s="49"/>
      <c r="M513" s="37"/>
      <c r="T513" s="81"/>
      <c r="V513" s="174"/>
      <c r="W513" s="174"/>
      <c r="X513" s="174"/>
      <c r="Y513" s="188"/>
      <c r="AA513" s="78"/>
      <c r="AC513" s="84"/>
      <c r="AG513" s="81"/>
    </row>
    <row r="514" spans="9:33" x14ac:dyDescent="0.25">
      <c r="I514" s="49"/>
      <c r="J514" s="49"/>
      <c r="K514" s="49"/>
      <c r="M514" s="37"/>
      <c r="T514" s="81"/>
      <c r="V514" s="174"/>
      <c r="W514" s="174"/>
      <c r="X514" s="174"/>
      <c r="Y514" s="188"/>
      <c r="AA514" s="78"/>
      <c r="AC514" s="84"/>
      <c r="AG514" s="81"/>
    </row>
    <row r="515" spans="9:33" x14ac:dyDescent="0.25">
      <c r="I515" s="49"/>
      <c r="J515" s="49"/>
      <c r="K515" s="49"/>
      <c r="M515" s="34"/>
      <c r="T515" s="81"/>
      <c r="V515" s="174"/>
      <c r="W515" s="174"/>
      <c r="X515" s="174"/>
      <c r="Y515" s="188"/>
      <c r="AA515" s="78"/>
      <c r="AC515" s="82"/>
      <c r="AG515" s="81"/>
    </row>
    <row r="516" spans="9:33" x14ac:dyDescent="0.25">
      <c r="I516" s="49"/>
      <c r="J516" s="49"/>
      <c r="K516" s="49"/>
      <c r="M516" s="37"/>
      <c r="T516" s="81"/>
      <c r="V516" s="174"/>
      <c r="W516" s="174"/>
      <c r="X516" s="174"/>
      <c r="Y516" s="188"/>
      <c r="AA516" s="78"/>
      <c r="AC516" s="84"/>
      <c r="AG516" s="81"/>
    </row>
    <row r="517" spans="9:33" x14ac:dyDescent="0.25">
      <c r="I517" s="49"/>
      <c r="J517" s="49"/>
      <c r="K517" s="49"/>
      <c r="M517" s="33"/>
      <c r="T517" s="81"/>
      <c r="V517" s="174"/>
      <c r="W517" s="174"/>
      <c r="X517" s="174"/>
      <c r="Y517" s="188"/>
      <c r="AA517" s="78"/>
      <c r="AC517" s="79"/>
      <c r="AG517" s="81"/>
    </row>
    <row r="518" spans="9:33" x14ac:dyDescent="0.25">
      <c r="I518" s="49"/>
      <c r="J518" s="49"/>
      <c r="K518" s="49"/>
      <c r="M518" s="37"/>
      <c r="T518" s="81"/>
      <c r="V518" s="174"/>
      <c r="W518" s="174"/>
      <c r="X518" s="174"/>
      <c r="Y518" s="188"/>
      <c r="AA518" s="78"/>
      <c r="AC518" s="84"/>
      <c r="AG518" s="81"/>
    </row>
    <row r="519" spans="9:33" x14ac:dyDescent="0.25">
      <c r="I519" s="49"/>
      <c r="J519" s="49"/>
      <c r="K519" s="49"/>
      <c r="M519" s="34"/>
      <c r="T519" s="81"/>
      <c r="V519" s="174"/>
      <c r="W519" s="174"/>
      <c r="X519" s="174"/>
      <c r="Y519" s="188"/>
      <c r="AA519" s="78"/>
      <c r="AC519" s="82"/>
      <c r="AG519" s="81"/>
    </row>
    <row r="520" spans="9:33" x14ac:dyDescent="0.25">
      <c r="I520" s="49"/>
      <c r="J520" s="49"/>
      <c r="K520" s="49"/>
      <c r="M520" s="37"/>
      <c r="T520" s="81"/>
      <c r="V520" s="174"/>
      <c r="W520" s="174"/>
      <c r="X520" s="174"/>
      <c r="Y520" s="188"/>
      <c r="AA520" s="78"/>
      <c r="AC520" s="84"/>
      <c r="AG520" s="81"/>
    </row>
    <row r="521" spans="9:33" x14ac:dyDescent="0.25">
      <c r="I521" s="49"/>
      <c r="J521" s="49"/>
      <c r="K521" s="49"/>
      <c r="M521" s="37"/>
      <c r="T521" s="81"/>
      <c r="V521" s="174"/>
      <c r="W521" s="174"/>
      <c r="X521" s="174"/>
      <c r="Y521" s="188"/>
      <c r="AA521" s="78"/>
      <c r="AC521" s="84"/>
      <c r="AG521" s="81"/>
    </row>
    <row r="522" spans="9:33" x14ac:dyDescent="0.25">
      <c r="I522" s="49"/>
      <c r="J522" s="49"/>
      <c r="K522" s="49"/>
      <c r="M522" s="34"/>
      <c r="T522" s="81"/>
      <c r="V522" s="174"/>
      <c r="W522" s="174"/>
      <c r="X522" s="174"/>
      <c r="Y522" s="188"/>
      <c r="AA522" s="78"/>
      <c r="AC522" s="82"/>
      <c r="AG522" s="81"/>
    </row>
    <row r="523" spans="9:33" x14ac:dyDescent="0.25">
      <c r="I523" s="49"/>
      <c r="J523" s="49"/>
      <c r="K523" s="49"/>
      <c r="M523" s="37"/>
      <c r="T523" s="81"/>
      <c r="V523" s="174"/>
      <c r="W523" s="174"/>
      <c r="X523" s="174"/>
      <c r="Y523" s="188"/>
      <c r="AA523" s="78"/>
      <c r="AC523" s="84"/>
      <c r="AG523" s="81"/>
    </row>
    <row r="524" spans="9:33" x14ac:dyDescent="0.25">
      <c r="I524" s="49"/>
      <c r="J524" s="49"/>
      <c r="K524" s="49"/>
      <c r="M524" s="33"/>
      <c r="T524" s="81"/>
      <c r="V524" s="174"/>
      <c r="W524" s="174"/>
      <c r="X524" s="174"/>
      <c r="Y524" s="188"/>
      <c r="AA524" s="78"/>
      <c r="AC524" s="79"/>
      <c r="AG524" s="81"/>
    </row>
    <row r="525" spans="9:33" x14ac:dyDescent="0.25">
      <c r="I525" s="49"/>
      <c r="J525" s="49"/>
      <c r="K525" s="49"/>
      <c r="M525" s="37"/>
      <c r="T525" s="81"/>
      <c r="V525" s="174"/>
      <c r="W525" s="174"/>
      <c r="X525" s="174"/>
      <c r="Y525" s="188"/>
      <c r="AA525" s="78"/>
      <c r="AC525" s="84"/>
      <c r="AG525" s="81"/>
    </row>
    <row r="526" spans="9:33" x14ac:dyDescent="0.25">
      <c r="I526" s="49"/>
      <c r="J526" s="49"/>
      <c r="K526" s="49"/>
      <c r="M526" s="34"/>
      <c r="T526" s="81"/>
      <c r="V526" s="174"/>
      <c r="W526" s="174"/>
      <c r="X526" s="174"/>
      <c r="Y526" s="188"/>
      <c r="AA526" s="78"/>
      <c r="AC526" s="82"/>
      <c r="AG526" s="81"/>
    </row>
    <row r="527" spans="9:33" x14ac:dyDescent="0.25">
      <c r="I527" s="49"/>
      <c r="J527" s="49"/>
      <c r="K527" s="49"/>
      <c r="M527" s="37"/>
      <c r="T527" s="81"/>
      <c r="V527" s="174"/>
      <c r="W527" s="174"/>
      <c r="X527" s="174"/>
      <c r="Y527" s="188"/>
      <c r="AA527" s="78"/>
      <c r="AC527" s="84"/>
      <c r="AG527" s="81"/>
    </row>
    <row r="528" spans="9:33" x14ac:dyDescent="0.25">
      <c r="I528" s="49"/>
      <c r="J528" s="49"/>
      <c r="K528" s="49"/>
      <c r="M528" s="37"/>
      <c r="T528" s="81"/>
      <c r="V528" s="174"/>
      <c r="W528" s="174"/>
      <c r="X528" s="174"/>
      <c r="Y528" s="188"/>
      <c r="AA528" s="78"/>
      <c r="AC528" s="84"/>
      <c r="AG528" s="81"/>
    </row>
    <row r="529" spans="9:33" x14ac:dyDescent="0.25">
      <c r="I529" s="49"/>
      <c r="J529" s="49"/>
      <c r="K529" s="49"/>
      <c r="M529" s="34"/>
      <c r="T529" s="81"/>
      <c r="V529" s="174"/>
      <c r="W529" s="174"/>
      <c r="X529" s="174"/>
      <c r="Y529" s="188"/>
      <c r="AA529" s="78"/>
      <c r="AC529" s="82"/>
      <c r="AG529" s="81"/>
    </row>
    <row r="530" spans="9:33" x14ac:dyDescent="0.25">
      <c r="I530" s="49"/>
      <c r="J530" s="49"/>
      <c r="K530" s="49"/>
      <c r="M530" s="37"/>
      <c r="T530" s="81"/>
      <c r="V530" s="174"/>
      <c r="W530" s="174"/>
      <c r="X530" s="174"/>
      <c r="Y530" s="188"/>
      <c r="AA530" s="78"/>
      <c r="AC530" s="84"/>
      <c r="AG530" s="81"/>
    </row>
    <row r="531" spans="9:33" x14ac:dyDescent="0.25">
      <c r="I531" s="49"/>
      <c r="J531" s="49"/>
      <c r="K531" s="49"/>
      <c r="M531" s="37"/>
      <c r="T531" s="81"/>
      <c r="V531" s="174"/>
      <c r="W531" s="174"/>
      <c r="X531" s="174"/>
      <c r="Y531" s="188"/>
      <c r="AA531" s="78"/>
      <c r="AC531" s="84"/>
      <c r="AG531" s="81"/>
    </row>
    <row r="532" spans="9:33" x14ac:dyDescent="0.25">
      <c r="I532" s="49"/>
      <c r="J532" s="49"/>
      <c r="K532" s="49"/>
      <c r="M532" s="33"/>
      <c r="T532" s="81"/>
      <c r="V532" s="174"/>
      <c r="W532" s="174"/>
      <c r="X532" s="174"/>
      <c r="Y532" s="188"/>
      <c r="AA532" s="78"/>
      <c r="AC532" s="79"/>
      <c r="AG532" s="81"/>
    </row>
    <row r="533" spans="9:33" x14ac:dyDescent="0.25">
      <c r="I533" s="49"/>
      <c r="J533" s="49"/>
      <c r="K533" s="49"/>
      <c r="M533" s="34"/>
      <c r="T533" s="81"/>
      <c r="V533" s="174"/>
      <c r="W533" s="174"/>
      <c r="X533" s="174"/>
      <c r="Y533" s="188"/>
      <c r="AA533" s="78"/>
      <c r="AC533" s="82"/>
      <c r="AG533" s="81"/>
    </row>
    <row r="534" spans="9:33" x14ac:dyDescent="0.25">
      <c r="I534" s="49"/>
      <c r="J534" s="49"/>
      <c r="K534" s="49"/>
      <c r="M534" s="37"/>
      <c r="T534" s="81"/>
      <c r="V534" s="174"/>
      <c r="W534" s="174"/>
      <c r="X534" s="174"/>
      <c r="Y534" s="188"/>
      <c r="AA534" s="78"/>
      <c r="AC534" s="84"/>
      <c r="AG534" s="81"/>
    </row>
    <row r="535" spans="9:33" x14ac:dyDescent="0.25">
      <c r="I535" s="49"/>
      <c r="J535" s="49"/>
      <c r="K535" s="49"/>
      <c r="M535" s="37"/>
      <c r="T535" s="81"/>
      <c r="V535" s="174"/>
      <c r="W535" s="174"/>
      <c r="X535" s="174"/>
      <c r="Y535" s="188"/>
      <c r="AA535" s="78"/>
      <c r="AC535" s="84"/>
      <c r="AG535" s="81"/>
    </row>
    <row r="536" spans="9:33" x14ac:dyDescent="0.25">
      <c r="I536" s="49"/>
      <c r="J536" s="49"/>
      <c r="K536" s="49"/>
      <c r="M536" s="34"/>
      <c r="T536" s="81"/>
      <c r="V536" s="174"/>
      <c r="W536" s="174"/>
      <c r="X536" s="174"/>
      <c r="Y536" s="188"/>
      <c r="AA536" s="78"/>
      <c r="AC536" s="82"/>
      <c r="AG536" s="81"/>
    </row>
    <row r="537" spans="9:33" x14ac:dyDescent="0.25">
      <c r="I537" s="49"/>
      <c r="J537" s="49"/>
      <c r="K537" s="49"/>
      <c r="M537" s="37"/>
      <c r="T537" s="81"/>
      <c r="V537" s="174"/>
      <c r="W537" s="174"/>
      <c r="X537" s="174"/>
      <c r="Y537" s="188"/>
      <c r="AA537" s="78"/>
      <c r="AC537" s="84"/>
      <c r="AG537" s="81"/>
    </row>
    <row r="538" spans="9:33" x14ac:dyDescent="0.25">
      <c r="I538" s="49"/>
      <c r="J538" s="49"/>
      <c r="K538" s="49"/>
      <c r="M538" s="37"/>
      <c r="T538" s="81"/>
      <c r="V538" s="174"/>
      <c r="W538" s="174"/>
      <c r="X538" s="174"/>
      <c r="Y538" s="188"/>
      <c r="AA538" s="78"/>
      <c r="AC538" s="84"/>
      <c r="AG538" s="81"/>
    </row>
    <row r="539" spans="9:33" x14ac:dyDescent="0.25">
      <c r="I539" s="49"/>
      <c r="J539" s="49"/>
      <c r="K539" s="49"/>
      <c r="M539" s="33"/>
      <c r="T539" s="81"/>
      <c r="V539" s="174"/>
      <c r="W539" s="174"/>
      <c r="X539" s="174"/>
      <c r="Y539" s="188"/>
      <c r="AA539" s="78"/>
      <c r="AC539" s="79"/>
      <c r="AG539" s="81"/>
    </row>
    <row r="540" spans="9:33" x14ac:dyDescent="0.25">
      <c r="I540" s="49"/>
      <c r="J540" s="49"/>
      <c r="K540" s="49"/>
      <c r="M540" s="34"/>
      <c r="T540" s="81"/>
      <c r="V540" s="174"/>
      <c r="W540" s="174"/>
      <c r="X540" s="174"/>
      <c r="Y540" s="188"/>
      <c r="AA540" s="78"/>
      <c r="AC540" s="82"/>
      <c r="AG540" s="81"/>
    </row>
    <row r="541" spans="9:33" x14ac:dyDescent="0.25">
      <c r="I541" s="49"/>
      <c r="J541" s="49"/>
      <c r="K541" s="49"/>
      <c r="M541" s="37"/>
      <c r="T541" s="81"/>
      <c r="V541" s="174"/>
      <c r="W541" s="174"/>
      <c r="X541" s="174"/>
      <c r="Y541" s="188"/>
      <c r="AA541" s="78"/>
      <c r="AC541" s="84"/>
      <c r="AG541" s="81"/>
    </row>
    <row r="542" spans="9:33" x14ac:dyDescent="0.25">
      <c r="I542" s="49"/>
      <c r="J542" s="49"/>
      <c r="K542" s="49"/>
      <c r="M542" s="37"/>
      <c r="T542" s="81"/>
      <c r="V542" s="174"/>
      <c r="W542" s="174"/>
      <c r="X542" s="174"/>
      <c r="Y542" s="188"/>
      <c r="AA542" s="78"/>
      <c r="AC542" s="84"/>
      <c r="AG542" s="81"/>
    </row>
    <row r="543" spans="9:33" x14ac:dyDescent="0.25">
      <c r="I543" s="49"/>
      <c r="J543" s="49"/>
      <c r="K543" s="49"/>
      <c r="M543" s="34"/>
      <c r="T543" s="81"/>
      <c r="V543" s="174"/>
      <c r="W543" s="174"/>
      <c r="X543" s="174"/>
      <c r="Y543" s="188"/>
      <c r="AA543" s="78"/>
      <c r="AC543" s="82"/>
      <c r="AG543" s="81"/>
    </row>
    <row r="544" spans="9:33" x14ac:dyDescent="0.25">
      <c r="I544" s="49"/>
      <c r="J544" s="49"/>
      <c r="K544" s="49"/>
      <c r="M544" s="37"/>
      <c r="T544" s="81"/>
      <c r="V544" s="174"/>
      <c r="W544" s="174"/>
      <c r="X544" s="174"/>
      <c r="Y544" s="188"/>
      <c r="AA544" s="78"/>
      <c r="AC544" s="84"/>
      <c r="AG544" s="81"/>
    </row>
    <row r="545" spans="9:33" x14ac:dyDescent="0.25">
      <c r="I545" s="49"/>
      <c r="J545" s="49"/>
      <c r="K545" s="49"/>
      <c r="M545" s="37"/>
      <c r="T545" s="81"/>
      <c r="V545" s="174"/>
      <c r="W545" s="174"/>
      <c r="X545" s="174"/>
      <c r="Y545" s="188"/>
      <c r="AA545" s="78"/>
      <c r="AC545" s="84"/>
      <c r="AG545" s="81"/>
    </row>
    <row r="546" spans="9:33" x14ac:dyDescent="0.25">
      <c r="I546" s="49"/>
      <c r="J546" s="49"/>
      <c r="K546" s="49"/>
      <c r="M546" s="34"/>
      <c r="T546" s="81"/>
      <c r="V546" s="174"/>
      <c r="W546" s="174"/>
      <c r="X546" s="174"/>
      <c r="Y546" s="188"/>
      <c r="AA546" s="78"/>
      <c r="AC546" s="82"/>
      <c r="AG546" s="81"/>
    </row>
    <row r="547" spans="9:33" x14ac:dyDescent="0.25">
      <c r="I547" s="49"/>
      <c r="J547" s="49"/>
      <c r="K547" s="49"/>
      <c r="M547" s="33"/>
      <c r="T547" s="81"/>
      <c r="V547" s="174"/>
      <c r="W547" s="174"/>
      <c r="X547" s="174"/>
      <c r="Y547" s="188"/>
      <c r="AA547" s="78"/>
      <c r="AC547" s="79"/>
      <c r="AG547" s="81"/>
    </row>
    <row r="548" spans="9:33" x14ac:dyDescent="0.25">
      <c r="I548" s="49"/>
      <c r="J548" s="49"/>
      <c r="K548" s="49"/>
      <c r="M548" s="37"/>
      <c r="T548" s="81"/>
      <c r="V548" s="174"/>
      <c r="W548" s="174"/>
      <c r="X548" s="174"/>
      <c r="Y548" s="188"/>
      <c r="AA548" s="78"/>
      <c r="AC548" s="84"/>
      <c r="AG548" s="81"/>
    </row>
    <row r="549" spans="9:33" x14ac:dyDescent="0.25">
      <c r="I549" s="49"/>
      <c r="J549" s="49"/>
      <c r="K549" s="49"/>
      <c r="M549" s="37"/>
      <c r="T549" s="81"/>
      <c r="V549" s="174"/>
      <c r="W549" s="174"/>
      <c r="X549" s="174"/>
      <c r="Y549" s="188"/>
      <c r="AA549" s="78"/>
      <c r="AC549" s="84"/>
      <c r="AG549" s="81"/>
    </row>
    <row r="550" spans="9:33" x14ac:dyDescent="0.25">
      <c r="I550" s="49"/>
      <c r="J550" s="49"/>
      <c r="K550" s="49"/>
      <c r="M550" s="34"/>
      <c r="T550" s="81"/>
      <c r="V550" s="174"/>
      <c r="W550" s="174"/>
      <c r="X550" s="174"/>
      <c r="Y550" s="188"/>
      <c r="AA550" s="78"/>
      <c r="AC550" s="82"/>
      <c r="AG550" s="81"/>
    </row>
    <row r="551" spans="9:33" x14ac:dyDescent="0.25">
      <c r="I551" s="49"/>
      <c r="J551" s="49"/>
      <c r="K551" s="49"/>
      <c r="M551" s="37"/>
      <c r="T551" s="81"/>
      <c r="V551" s="174"/>
      <c r="W551" s="174"/>
      <c r="X551" s="174"/>
      <c r="Y551" s="188"/>
      <c r="AA551" s="78"/>
      <c r="AC551" s="84"/>
      <c r="AG551" s="81"/>
    </row>
    <row r="552" spans="9:33" x14ac:dyDescent="0.25">
      <c r="I552" s="49"/>
      <c r="J552" s="49"/>
      <c r="K552" s="49"/>
      <c r="M552" s="37"/>
      <c r="T552" s="81"/>
      <c r="V552" s="174"/>
      <c r="W552" s="174"/>
      <c r="X552" s="174"/>
      <c r="Y552" s="188"/>
      <c r="AA552" s="78"/>
      <c r="AC552" s="84"/>
      <c r="AG552" s="81"/>
    </row>
    <row r="553" spans="9:33" x14ac:dyDescent="0.25">
      <c r="I553" s="49"/>
      <c r="J553" s="49"/>
      <c r="K553" s="49"/>
      <c r="M553" s="34"/>
      <c r="T553" s="81"/>
      <c r="V553" s="174"/>
      <c r="W553" s="174"/>
      <c r="X553" s="174"/>
      <c r="Y553" s="188"/>
      <c r="AA553" s="78"/>
      <c r="AC553" s="82"/>
      <c r="AG553" s="81"/>
    </row>
    <row r="554" spans="9:33" x14ac:dyDescent="0.25">
      <c r="I554" s="49"/>
      <c r="J554" s="49"/>
      <c r="K554" s="49"/>
      <c r="M554" s="33"/>
      <c r="T554" s="81"/>
      <c r="V554" s="174"/>
      <c r="W554" s="174"/>
      <c r="X554" s="174"/>
      <c r="Y554" s="188"/>
      <c r="AA554" s="78"/>
      <c r="AC554" s="79"/>
      <c r="AG554" s="81"/>
    </row>
    <row r="555" spans="9:33" x14ac:dyDescent="0.25">
      <c r="I555" s="49"/>
      <c r="J555" s="49"/>
      <c r="K555" s="49"/>
      <c r="M555" s="37"/>
      <c r="T555" s="81"/>
      <c r="V555" s="174"/>
      <c r="W555" s="174"/>
      <c r="X555" s="174"/>
      <c r="Y555" s="188"/>
      <c r="AA555" s="78"/>
      <c r="AC555" s="84"/>
    </row>
    <row r="556" spans="9:33" x14ac:dyDescent="0.25">
      <c r="I556" s="49"/>
      <c r="J556" s="49"/>
      <c r="K556" s="49"/>
      <c r="M556" s="37"/>
      <c r="T556" s="81"/>
      <c r="V556" s="174"/>
      <c r="W556" s="174"/>
      <c r="X556" s="174"/>
      <c r="Y556" s="188"/>
      <c r="AA556" s="78"/>
      <c r="AC556" s="84"/>
    </row>
    <row r="557" spans="9:33" x14ac:dyDescent="0.25">
      <c r="I557" s="49"/>
      <c r="J557" s="49"/>
      <c r="K557" s="49"/>
      <c r="M557" s="34"/>
      <c r="T557" s="81"/>
      <c r="V557" s="174"/>
      <c r="W557" s="174"/>
      <c r="X557" s="174"/>
      <c r="Y557" s="188"/>
      <c r="AA557" s="78"/>
      <c r="AC557" s="82"/>
    </row>
    <row r="558" spans="9:33" x14ac:dyDescent="0.25">
      <c r="I558" s="49"/>
      <c r="J558" s="49"/>
      <c r="K558" s="49"/>
      <c r="M558" s="37"/>
      <c r="T558" s="81"/>
      <c r="V558" s="174"/>
      <c r="W558" s="174"/>
      <c r="X558" s="174"/>
      <c r="Y558" s="188"/>
      <c r="AA558" s="78"/>
      <c r="AC558" s="84"/>
    </row>
    <row r="559" spans="9:33" x14ac:dyDescent="0.25">
      <c r="I559" s="49"/>
      <c r="J559" s="49"/>
      <c r="K559" s="49"/>
      <c r="M559" s="37"/>
      <c r="T559" s="81"/>
      <c r="V559" s="174"/>
      <c r="W559" s="174"/>
      <c r="X559" s="174"/>
      <c r="Y559" s="188"/>
      <c r="AA559" s="78"/>
      <c r="AC559" s="84"/>
    </row>
    <row r="560" spans="9:33" x14ac:dyDescent="0.25">
      <c r="I560" s="49"/>
      <c r="J560" s="49"/>
      <c r="K560" s="49"/>
      <c r="M560" s="34"/>
      <c r="T560" s="81"/>
      <c r="V560" s="174"/>
      <c r="W560" s="174"/>
      <c r="X560" s="174"/>
      <c r="Y560" s="188"/>
      <c r="AA560" s="78"/>
      <c r="AC560" s="82"/>
    </row>
    <row r="561" spans="9:29" x14ac:dyDescent="0.25">
      <c r="I561" s="49"/>
      <c r="J561" s="49"/>
      <c r="K561" s="49"/>
      <c r="M561" s="37"/>
      <c r="T561" s="81"/>
      <c r="V561" s="174"/>
      <c r="W561" s="174"/>
      <c r="X561" s="174"/>
      <c r="Y561" s="188"/>
      <c r="AA561" s="78"/>
      <c r="AC561" s="84"/>
    </row>
    <row r="562" spans="9:29" x14ac:dyDescent="0.25">
      <c r="I562" s="49"/>
      <c r="J562" s="49"/>
      <c r="K562" s="49"/>
      <c r="M562" s="33"/>
      <c r="T562" s="81"/>
      <c r="V562" s="174"/>
      <c r="W562" s="174"/>
      <c r="X562" s="174"/>
      <c r="Y562" s="188"/>
      <c r="AA562" s="78"/>
      <c r="AC562" s="79"/>
    </row>
    <row r="563" spans="9:29" x14ac:dyDescent="0.25">
      <c r="I563" s="49"/>
      <c r="J563" s="49"/>
      <c r="K563" s="49"/>
      <c r="M563" s="37"/>
      <c r="T563" s="81"/>
      <c r="V563" s="174"/>
      <c r="W563" s="174"/>
      <c r="X563" s="174"/>
      <c r="Y563" s="188"/>
      <c r="AA563" s="78"/>
      <c r="AC563" s="84"/>
    </row>
    <row r="564" spans="9:29" x14ac:dyDescent="0.25">
      <c r="I564" s="49"/>
      <c r="J564" s="49"/>
      <c r="K564" s="49"/>
      <c r="M564" s="34"/>
      <c r="T564" s="81"/>
      <c r="V564" s="174"/>
      <c r="W564" s="174"/>
      <c r="X564" s="174"/>
      <c r="Y564" s="188"/>
      <c r="AA564" s="78"/>
      <c r="AC564" s="82"/>
    </row>
    <row r="565" spans="9:29" x14ac:dyDescent="0.25">
      <c r="I565" s="49"/>
      <c r="J565" s="49"/>
      <c r="K565" s="49"/>
      <c r="M565" s="37"/>
      <c r="T565" s="81"/>
      <c r="V565" s="174"/>
      <c r="W565" s="174"/>
      <c r="X565" s="174"/>
      <c r="Y565" s="188"/>
      <c r="AA565" s="78"/>
      <c r="AC565" s="84"/>
    </row>
    <row r="566" spans="9:29" x14ac:dyDescent="0.25">
      <c r="I566" s="49"/>
      <c r="J566" s="49"/>
      <c r="K566" s="49"/>
      <c r="M566" s="37"/>
      <c r="T566" s="81"/>
      <c r="V566" s="174"/>
      <c r="W566" s="174"/>
      <c r="X566" s="174"/>
      <c r="Y566" s="188"/>
      <c r="AA566" s="78"/>
      <c r="AC566" s="84"/>
    </row>
    <row r="567" spans="9:29" x14ac:dyDescent="0.25">
      <c r="I567" s="49"/>
      <c r="J567" s="49"/>
      <c r="K567" s="49"/>
      <c r="M567" s="34"/>
      <c r="T567" s="81"/>
      <c r="V567" s="174"/>
      <c r="W567" s="174"/>
      <c r="X567" s="174"/>
      <c r="Y567" s="188"/>
      <c r="AA567" s="78"/>
      <c r="AC567" s="82"/>
    </row>
    <row r="568" spans="9:29" x14ac:dyDescent="0.25">
      <c r="I568" s="49"/>
      <c r="J568" s="49"/>
      <c r="K568" s="49"/>
      <c r="M568" s="37"/>
      <c r="T568" s="81"/>
      <c r="V568" s="174"/>
      <c r="W568" s="174"/>
      <c r="X568" s="174"/>
      <c r="Y568" s="188"/>
      <c r="AA568" s="78"/>
      <c r="AC568" s="84"/>
    </row>
    <row r="569" spans="9:29" x14ac:dyDescent="0.25">
      <c r="I569" s="49"/>
      <c r="J569" s="49"/>
      <c r="K569" s="49"/>
      <c r="M569" s="33"/>
      <c r="T569" s="81"/>
      <c r="V569" s="174"/>
      <c r="W569" s="174"/>
      <c r="X569" s="174"/>
      <c r="Y569" s="188"/>
      <c r="AA569" s="78"/>
      <c r="AC569" s="79"/>
    </row>
    <row r="570" spans="9:29" x14ac:dyDescent="0.25">
      <c r="I570" s="49"/>
      <c r="J570" s="49"/>
      <c r="K570" s="49"/>
      <c r="M570" s="37"/>
      <c r="T570" s="81"/>
      <c r="V570" s="174"/>
      <c r="W570" s="174"/>
      <c r="X570" s="174"/>
      <c r="Y570" s="188"/>
      <c r="AA570" s="78"/>
      <c r="AC570" s="84"/>
    </row>
    <row r="571" spans="9:29" x14ac:dyDescent="0.25">
      <c r="I571" s="49"/>
      <c r="J571" s="49"/>
      <c r="K571" s="49"/>
      <c r="M571" s="34"/>
      <c r="T571" s="81"/>
      <c r="V571" s="174"/>
      <c r="W571" s="174"/>
      <c r="X571" s="174"/>
      <c r="Y571" s="188"/>
      <c r="AA571" s="78"/>
      <c r="AC571" s="82"/>
    </row>
    <row r="572" spans="9:29" x14ac:dyDescent="0.25">
      <c r="I572" s="49"/>
      <c r="J572" s="49"/>
      <c r="K572" s="49"/>
      <c r="M572" s="37"/>
      <c r="T572" s="81"/>
      <c r="V572" s="174"/>
      <c r="W572" s="174"/>
      <c r="X572" s="174"/>
      <c r="Y572" s="188"/>
      <c r="AA572" s="78"/>
      <c r="AC572" s="84"/>
    </row>
    <row r="573" spans="9:29" x14ac:dyDescent="0.25">
      <c r="I573" s="49"/>
      <c r="J573" s="49"/>
      <c r="K573" s="49"/>
      <c r="M573" s="37"/>
      <c r="T573" s="81"/>
      <c r="V573" s="174"/>
      <c r="W573" s="174"/>
      <c r="X573" s="174"/>
      <c r="Y573" s="188"/>
      <c r="AA573" s="78"/>
      <c r="AC573" s="84"/>
    </row>
    <row r="574" spans="9:29" x14ac:dyDescent="0.25">
      <c r="I574" s="49"/>
      <c r="J574" s="49"/>
      <c r="K574" s="49"/>
      <c r="M574" s="34"/>
      <c r="V574" s="174"/>
      <c r="W574" s="174"/>
      <c r="X574" s="174"/>
      <c r="Y574" s="188"/>
      <c r="AA574" s="78"/>
      <c r="AC574" s="82"/>
    </row>
    <row r="575" spans="9:29" x14ac:dyDescent="0.25">
      <c r="I575" s="49"/>
      <c r="J575" s="49"/>
      <c r="K575" s="49"/>
      <c r="M575" s="33"/>
      <c r="V575" s="174"/>
      <c r="W575" s="174"/>
      <c r="X575" s="174"/>
      <c r="Y575" s="188"/>
      <c r="AA575" s="78"/>
      <c r="AC575" s="79"/>
    </row>
    <row r="576" spans="9:29" x14ac:dyDescent="0.25">
      <c r="I576" s="49"/>
      <c r="J576" s="49"/>
      <c r="K576" s="49"/>
      <c r="M576" s="37"/>
      <c r="V576" s="174"/>
      <c r="W576" s="174"/>
      <c r="X576" s="174"/>
      <c r="Y576" s="188"/>
      <c r="AA576" s="78"/>
      <c r="AC576" s="84"/>
    </row>
    <row r="577" spans="9:29" x14ac:dyDescent="0.25">
      <c r="I577" s="49"/>
      <c r="J577" s="49"/>
      <c r="K577" s="49"/>
      <c r="M577" s="34"/>
      <c r="V577" s="174"/>
      <c r="W577" s="174"/>
      <c r="X577" s="174"/>
      <c r="Y577" s="188"/>
      <c r="AA577" s="78"/>
      <c r="AC577" s="82"/>
    </row>
    <row r="578" spans="9:29" x14ac:dyDescent="0.25">
      <c r="I578" s="49"/>
      <c r="J578" s="49"/>
      <c r="K578" s="49"/>
      <c r="M578" s="37"/>
      <c r="V578" s="174"/>
      <c r="W578" s="174"/>
      <c r="X578" s="174"/>
      <c r="Y578" s="188"/>
      <c r="AA578" s="78"/>
      <c r="AC578" s="84"/>
    </row>
    <row r="579" spans="9:29" x14ac:dyDescent="0.25">
      <c r="I579" s="49"/>
      <c r="J579" s="49"/>
      <c r="K579" s="49"/>
      <c r="M579" s="37"/>
      <c r="V579" s="174"/>
      <c r="W579" s="174"/>
      <c r="X579" s="174"/>
      <c r="Y579" s="188"/>
      <c r="AA579" s="78"/>
      <c r="AC579" s="84"/>
    </row>
    <row r="580" spans="9:29" x14ac:dyDescent="0.25">
      <c r="I580" s="49"/>
      <c r="J580" s="49"/>
      <c r="K580" s="49"/>
      <c r="M580" s="34"/>
      <c r="V580" s="174"/>
      <c r="W580" s="174"/>
      <c r="X580" s="174"/>
      <c r="Y580" s="188"/>
      <c r="AA580" s="78"/>
      <c r="AC580" s="82"/>
    </row>
    <row r="581" spans="9:29" x14ac:dyDescent="0.25">
      <c r="I581" s="49"/>
      <c r="J581" s="49"/>
      <c r="K581" s="49"/>
      <c r="M581" s="37"/>
      <c r="V581" s="174"/>
      <c r="W581" s="174"/>
      <c r="X581" s="174"/>
      <c r="Y581" s="188"/>
      <c r="AA581" s="78"/>
      <c r="AC581" s="84"/>
    </row>
    <row r="582" spans="9:29" x14ac:dyDescent="0.25">
      <c r="I582" s="49"/>
      <c r="J582" s="49"/>
      <c r="K582" s="49"/>
      <c r="M582" s="33"/>
      <c r="V582" s="174"/>
      <c r="W582" s="174"/>
      <c r="X582" s="174"/>
      <c r="Y582" s="188"/>
      <c r="AA582" s="78"/>
      <c r="AC582" s="79"/>
    </row>
    <row r="583" spans="9:29" x14ac:dyDescent="0.25">
      <c r="I583" s="49"/>
      <c r="J583" s="49"/>
      <c r="K583" s="49"/>
      <c r="M583" s="34"/>
      <c r="V583" s="174"/>
      <c r="W583" s="174"/>
      <c r="X583" s="174"/>
      <c r="Y583" s="188"/>
      <c r="AA583" s="78"/>
      <c r="AC583" s="82"/>
    </row>
    <row r="584" spans="9:29" x14ac:dyDescent="0.25">
      <c r="I584" s="49"/>
      <c r="J584" s="49"/>
      <c r="K584" s="49"/>
      <c r="M584" s="37"/>
      <c r="V584" s="174"/>
      <c r="W584" s="174"/>
      <c r="X584" s="174"/>
      <c r="Y584" s="188"/>
      <c r="AA584" s="78"/>
      <c r="AC584" s="84"/>
    </row>
    <row r="585" spans="9:29" x14ac:dyDescent="0.25">
      <c r="I585" s="49"/>
      <c r="J585" s="49"/>
      <c r="K585" s="49"/>
      <c r="M585" s="37"/>
      <c r="V585" s="174"/>
      <c r="W585" s="174"/>
      <c r="X585" s="174"/>
      <c r="Y585" s="188"/>
      <c r="AA585" s="78"/>
      <c r="AC585" s="84"/>
    </row>
    <row r="586" spans="9:29" x14ac:dyDescent="0.25">
      <c r="I586" s="49"/>
      <c r="J586" s="49"/>
      <c r="K586" s="49"/>
      <c r="M586" s="34"/>
      <c r="V586" s="174"/>
      <c r="W586" s="174"/>
      <c r="X586" s="174"/>
      <c r="Y586" s="188"/>
      <c r="AA586" s="78"/>
      <c r="AC586" s="82"/>
    </row>
    <row r="587" spans="9:29" x14ac:dyDescent="0.25">
      <c r="I587" s="49"/>
      <c r="J587" s="49"/>
      <c r="K587" s="49"/>
      <c r="M587" s="37"/>
      <c r="V587" s="174"/>
      <c r="W587" s="174"/>
      <c r="X587" s="174"/>
      <c r="Y587" s="188"/>
      <c r="AA587" s="78"/>
      <c r="AC587" s="84"/>
    </row>
    <row r="588" spans="9:29" x14ac:dyDescent="0.25">
      <c r="I588" s="49"/>
      <c r="J588" s="49"/>
      <c r="K588" s="49"/>
      <c r="M588" s="37"/>
      <c r="V588" s="174"/>
      <c r="W588" s="174"/>
      <c r="X588" s="174"/>
      <c r="Y588" s="188"/>
      <c r="AA588" s="78"/>
      <c r="AC588" s="84"/>
    </row>
    <row r="589" spans="9:29" x14ac:dyDescent="0.25">
      <c r="I589" s="49"/>
      <c r="J589" s="49"/>
      <c r="K589" s="49"/>
      <c r="M589" s="33"/>
      <c r="V589" s="174"/>
      <c r="W589" s="174"/>
      <c r="X589" s="174"/>
      <c r="Y589" s="188"/>
      <c r="AA589" s="78"/>
      <c r="AC589" s="79"/>
    </row>
    <row r="590" spans="9:29" x14ac:dyDescent="0.25">
      <c r="I590" s="49"/>
      <c r="J590" s="49"/>
      <c r="K590" s="49"/>
      <c r="M590" s="34"/>
      <c r="V590" s="174"/>
      <c r="W590" s="174"/>
      <c r="X590" s="174"/>
      <c r="Y590" s="188"/>
      <c r="AA590" s="78"/>
      <c r="AC590" s="82"/>
    </row>
    <row r="591" spans="9:29" x14ac:dyDescent="0.25">
      <c r="I591" s="49"/>
      <c r="J591" s="49"/>
      <c r="K591" s="49"/>
      <c r="M591" s="37"/>
      <c r="V591" s="174"/>
      <c r="W591" s="174"/>
      <c r="X591" s="174"/>
      <c r="Y591" s="188"/>
      <c r="AA591" s="78"/>
      <c r="AC591" s="84"/>
    </row>
    <row r="592" spans="9:29" x14ac:dyDescent="0.25">
      <c r="I592" s="49"/>
      <c r="J592" s="49"/>
      <c r="K592" s="49"/>
      <c r="L592" s="71"/>
      <c r="M592" s="37"/>
      <c r="V592" s="174"/>
      <c r="W592" s="174"/>
      <c r="X592" s="174"/>
      <c r="Y592" s="188"/>
      <c r="AA592" s="78"/>
      <c r="AC592" s="84"/>
    </row>
    <row r="593" spans="9:34" x14ac:dyDescent="0.25">
      <c r="I593" s="49"/>
      <c r="J593" s="49"/>
      <c r="K593" s="49"/>
      <c r="M593" s="34"/>
      <c r="V593" s="174"/>
      <c r="W593" s="174"/>
      <c r="X593" s="174"/>
      <c r="Y593" s="188"/>
      <c r="AA593" s="78"/>
      <c r="AC593" s="82"/>
    </row>
    <row r="594" spans="9:34" x14ac:dyDescent="0.25">
      <c r="I594" s="49"/>
      <c r="J594" s="49"/>
      <c r="K594" s="49"/>
      <c r="M594" s="37"/>
      <c r="U594" s="177"/>
      <c r="V594" s="174"/>
      <c r="W594" s="174"/>
      <c r="X594" s="174"/>
      <c r="Y594" s="188"/>
      <c r="AA594" s="78"/>
      <c r="AC594" s="84"/>
    </row>
    <row r="595" spans="9:34" x14ac:dyDescent="0.25">
      <c r="I595" s="49"/>
      <c r="J595" s="49"/>
      <c r="K595" s="49"/>
      <c r="M595" s="34"/>
      <c r="V595" s="174"/>
      <c r="W595" s="174"/>
      <c r="X595" s="174"/>
      <c r="Y595" s="188"/>
      <c r="AA595" s="78"/>
      <c r="AC595" s="82"/>
    </row>
    <row r="596" spans="9:34" x14ac:dyDescent="0.25">
      <c r="I596" s="49"/>
      <c r="J596" s="49"/>
      <c r="K596" s="49"/>
      <c r="M596" s="38"/>
      <c r="V596" s="174"/>
      <c r="W596" s="174"/>
      <c r="X596" s="174"/>
      <c r="Y596" s="188"/>
      <c r="AA596" s="78"/>
      <c r="AB596" s="85"/>
      <c r="AC596" s="85"/>
    </row>
    <row r="597" spans="9:34" x14ac:dyDescent="0.25">
      <c r="I597" s="49"/>
      <c r="J597" s="49"/>
      <c r="K597" s="49"/>
      <c r="M597" s="37"/>
      <c r="V597" s="174"/>
      <c r="W597" s="174"/>
      <c r="X597" s="174"/>
      <c r="Y597" s="188"/>
      <c r="AA597" s="78"/>
      <c r="AC597" s="84"/>
    </row>
    <row r="598" spans="9:34" x14ac:dyDescent="0.25">
      <c r="I598" s="49"/>
      <c r="J598" s="49"/>
      <c r="K598" s="49"/>
      <c r="M598" s="34"/>
      <c r="V598" s="174"/>
      <c r="W598" s="174"/>
      <c r="X598" s="174"/>
      <c r="Y598" s="188"/>
      <c r="AA598" s="78"/>
      <c r="AC598" s="82"/>
    </row>
    <row r="599" spans="9:34" x14ac:dyDescent="0.25">
      <c r="I599" s="49"/>
      <c r="J599" s="49"/>
      <c r="K599" s="49"/>
      <c r="M599" s="37"/>
      <c r="V599" s="174"/>
      <c r="W599" s="174"/>
      <c r="X599" s="174"/>
      <c r="Y599" s="188"/>
      <c r="AA599" s="78"/>
      <c r="AC599" s="84"/>
    </row>
    <row r="600" spans="9:34" x14ac:dyDescent="0.25">
      <c r="I600" s="49"/>
      <c r="J600" s="49"/>
      <c r="K600" s="49"/>
      <c r="M600" s="37"/>
      <c r="V600" s="174"/>
      <c r="W600" s="174"/>
      <c r="X600" s="174"/>
      <c r="Y600" s="188"/>
      <c r="AA600" s="78"/>
      <c r="AC600" s="84"/>
    </row>
    <row r="601" spans="9:34" x14ac:dyDescent="0.25">
      <c r="I601" s="49"/>
      <c r="J601" s="49"/>
      <c r="K601" s="49"/>
      <c r="M601" s="34"/>
      <c r="V601" s="174"/>
      <c r="W601" s="174"/>
      <c r="X601" s="174"/>
      <c r="Y601" s="188"/>
      <c r="AA601" s="78"/>
      <c r="AC601" s="82"/>
    </row>
    <row r="602" spans="9:34" x14ac:dyDescent="0.25">
      <c r="I602" s="49"/>
      <c r="J602" s="49"/>
      <c r="K602" s="49"/>
      <c r="M602" s="33"/>
      <c r="V602" s="174"/>
      <c r="W602" s="174"/>
      <c r="X602" s="174"/>
      <c r="Y602" s="188"/>
      <c r="AA602" s="78"/>
      <c r="AC602" s="79"/>
    </row>
    <row r="603" spans="9:34" x14ac:dyDescent="0.25">
      <c r="I603" s="49"/>
      <c r="J603" s="49"/>
      <c r="K603" s="49"/>
      <c r="M603" s="37"/>
      <c r="V603" s="174"/>
      <c r="W603" s="174"/>
      <c r="X603" s="174"/>
      <c r="Y603" s="188"/>
      <c r="AA603" s="78"/>
      <c r="AC603" s="84"/>
    </row>
    <row r="604" spans="9:34" x14ac:dyDescent="0.25">
      <c r="I604" s="49"/>
      <c r="J604" s="49"/>
      <c r="K604" s="49"/>
      <c r="M604" s="37"/>
      <c r="V604" s="174"/>
      <c r="W604" s="174"/>
      <c r="X604" s="174"/>
      <c r="Y604" s="188"/>
      <c r="AA604" s="78"/>
      <c r="AC604" s="84"/>
      <c r="AH604" s="85"/>
    </row>
    <row r="605" spans="9:34" x14ac:dyDescent="0.25">
      <c r="I605" s="49"/>
      <c r="J605" s="49"/>
      <c r="K605" s="49"/>
      <c r="M605" s="34"/>
      <c r="V605" s="174"/>
      <c r="W605" s="174"/>
      <c r="X605" s="174"/>
      <c r="Y605" s="188"/>
      <c r="AA605" s="78"/>
      <c r="AC605" s="82"/>
    </row>
    <row r="606" spans="9:34" x14ac:dyDescent="0.25">
      <c r="I606" s="49"/>
      <c r="J606" s="49"/>
      <c r="K606" s="49"/>
      <c r="M606" s="37"/>
      <c r="V606" s="174"/>
      <c r="W606" s="174"/>
      <c r="X606" s="174"/>
      <c r="Y606" s="188"/>
      <c r="AA606" s="78"/>
      <c r="AC606" s="84"/>
    </row>
    <row r="607" spans="9:34" x14ac:dyDescent="0.25">
      <c r="I607" s="49"/>
      <c r="J607" s="49"/>
      <c r="K607" s="49"/>
      <c r="M607" s="37"/>
      <c r="V607" s="174"/>
      <c r="W607" s="174"/>
      <c r="X607" s="174"/>
      <c r="Y607" s="188"/>
      <c r="AA607" s="78"/>
      <c r="AC607" s="84"/>
    </row>
    <row r="608" spans="9:34" x14ac:dyDescent="0.25">
      <c r="I608" s="49"/>
      <c r="J608" s="49"/>
      <c r="K608" s="49"/>
      <c r="M608" s="34"/>
      <c r="V608" s="174"/>
      <c r="W608" s="174"/>
      <c r="X608" s="174"/>
      <c r="Y608" s="188"/>
      <c r="AA608" s="78"/>
      <c r="AC608" s="82"/>
    </row>
    <row r="609" spans="9:29" x14ac:dyDescent="0.25">
      <c r="I609" s="49"/>
      <c r="J609" s="49"/>
      <c r="K609" s="49"/>
      <c r="M609" s="37"/>
      <c r="V609" s="174"/>
      <c r="W609" s="174"/>
      <c r="X609" s="174"/>
      <c r="Y609" s="188"/>
      <c r="AA609" s="78"/>
      <c r="AC609" s="84"/>
    </row>
    <row r="610" spans="9:29" x14ac:dyDescent="0.25">
      <c r="I610" s="49"/>
      <c r="J610" s="49"/>
      <c r="K610" s="49"/>
      <c r="M610" s="33"/>
      <c r="V610" s="174"/>
      <c r="W610" s="174"/>
      <c r="X610" s="174"/>
      <c r="Y610" s="188"/>
      <c r="AA610" s="78"/>
      <c r="AC610" s="79"/>
    </row>
    <row r="611" spans="9:29" x14ac:dyDescent="0.25">
      <c r="I611" s="49"/>
      <c r="J611" s="49"/>
      <c r="K611" s="49"/>
      <c r="M611" s="37"/>
      <c r="V611" s="174"/>
      <c r="W611" s="174"/>
      <c r="X611" s="174"/>
      <c r="Y611" s="188"/>
      <c r="AA611" s="78"/>
      <c r="AC611" s="84"/>
    </row>
    <row r="612" spans="9:29" x14ac:dyDescent="0.25">
      <c r="I612" s="49"/>
      <c r="J612" s="49"/>
      <c r="K612" s="49"/>
      <c r="M612" s="34"/>
      <c r="V612" s="174"/>
      <c r="W612" s="174"/>
      <c r="X612" s="174"/>
      <c r="Y612" s="188"/>
      <c r="AA612" s="78"/>
      <c r="AC612" s="82"/>
    </row>
    <row r="613" spans="9:29" x14ac:dyDescent="0.25">
      <c r="I613" s="49"/>
      <c r="J613" s="49"/>
      <c r="K613" s="49"/>
      <c r="M613" s="37"/>
      <c r="V613" s="174"/>
      <c r="W613" s="174"/>
      <c r="X613" s="174"/>
      <c r="Y613" s="188"/>
      <c r="AA613" s="78"/>
      <c r="AC613" s="84"/>
    </row>
    <row r="614" spans="9:29" x14ac:dyDescent="0.25">
      <c r="I614" s="49"/>
      <c r="J614" s="49"/>
      <c r="K614" s="49"/>
      <c r="M614" s="37"/>
      <c r="V614" s="174"/>
      <c r="W614" s="174"/>
      <c r="X614" s="174"/>
      <c r="Y614" s="188"/>
      <c r="AA614" s="78"/>
      <c r="AC614" s="84"/>
    </row>
    <row r="615" spans="9:29" x14ac:dyDescent="0.25">
      <c r="I615" s="49"/>
      <c r="J615" s="49"/>
      <c r="K615" s="49"/>
      <c r="M615" s="34"/>
      <c r="V615" s="174"/>
      <c r="W615" s="174"/>
      <c r="X615" s="174"/>
      <c r="Y615" s="188"/>
      <c r="AA615" s="78"/>
      <c r="AC615" s="82"/>
    </row>
    <row r="616" spans="9:29" x14ac:dyDescent="0.25">
      <c r="I616" s="49"/>
      <c r="J616" s="49"/>
      <c r="K616" s="49"/>
      <c r="M616" s="37"/>
      <c r="V616" s="174"/>
      <c r="W616" s="174"/>
      <c r="X616" s="174"/>
      <c r="Y616" s="188"/>
      <c r="AA616" s="78"/>
      <c r="AC616" s="84"/>
    </row>
    <row r="617" spans="9:29" x14ac:dyDescent="0.25">
      <c r="I617" s="49"/>
      <c r="J617" s="49"/>
      <c r="K617" s="49"/>
      <c r="M617" s="33"/>
      <c r="V617" s="174"/>
      <c r="W617" s="174"/>
      <c r="X617" s="174"/>
      <c r="Y617" s="188"/>
      <c r="AA617" s="78"/>
      <c r="AC617" s="79"/>
    </row>
    <row r="618" spans="9:29" x14ac:dyDescent="0.25">
      <c r="I618" s="49"/>
      <c r="J618" s="49"/>
      <c r="K618" s="49"/>
      <c r="M618" s="37"/>
      <c r="V618" s="174"/>
      <c r="W618" s="174"/>
      <c r="X618" s="174"/>
      <c r="Y618" s="188"/>
      <c r="AA618" s="78"/>
      <c r="AC618" s="84"/>
    </row>
    <row r="619" spans="9:29" x14ac:dyDescent="0.25">
      <c r="I619" s="49"/>
      <c r="J619" s="49"/>
      <c r="K619" s="49"/>
      <c r="M619" s="34"/>
      <c r="V619" s="174"/>
      <c r="W619" s="174"/>
      <c r="X619" s="174"/>
      <c r="Y619" s="188"/>
      <c r="AA619" s="78"/>
      <c r="AC619" s="82"/>
    </row>
    <row r="620" spans="9:29" x14ac:dyDescent="0.25">
      <c r="I620" s="49"/>
      <c r="J620" s="49"/>
      <c r="K620" s="49"/>
      <c r="M620" s="37"/>
      <c r="V620" s="174"/>
      <c r="W620" s="174"/>
      <c r="X620" s="174"/>
      <c r="Y620" s="188"/>
      <c r="AA620" s="78"/>
      <c r="AC620" s="84"/>
    </row>
    <row r="621" spans="9:29" x14ac:dyDescent="0.25">
      <c r="I621" s="49"/>
      <c r="J621" s="49"/>
      <c r="K621" s="49"/>
      <c r="M621" s="37"/>
      <c r="V621" s="174"/>
      <c r="W621" s="174"/>
      <c r="X621" s="174"/>
      <c r="Y621" s="188"/>
      <c r="AA621" s="78"/>
      <c r="AC621" s="84"/>
    </row>
    <row r="622" spans="9:29" x14ac:dyDescent="0.25">
      <c r="I622" s="49"/>
      <c r="J622" s="49"/>
      <c r="K622" s="49"/>
      <c r="M622" s="34"/>
      <c r="V622" s="174"/>
      <c r="W622" s="174"/>
      <c r="X622" s="174"/>
      <c r="Y622" s="188"/>
      <c r="AA622" s="78"/>
      <c r="AC622" s="82"/>
    </row>
    <row r="623" spans="9:29" x14ac:dyDescent="0.25">
      <c r="I623" s="49"/>
      <c r="J623" s="49"/>
      <c r="K623" s="49"/>
      <c r="M623" s="37"/>
      <c r="V623" s="174"/>
      <c r="W623" s="174"/>
      <c r="X623" s="174"/>
      <c r="Y623" s="188"/>
      <c r="AA623" s="78"/>
      <c r="AC623" s="84"/>
    </row>
    <row r="624" spans="9:29" x14ac:dyDescent="0.25">
      <c r="I624" s="49"/>
      <c r="J624" s="49"/>
      <c r="K624" s="49"/>
      <c r="M624" s="33"/>
      <c r="V624" s="174"/>
      <c r="W624" s="174"/>
      <c r="X624" s="174"/>
      <c r="Y624" s="188"/>
      <c r="AA624" s="78"/>
      <c r="AC624" s="79"/>
    </row>
    <row r="625" spans="9:29" x14ac:dyDescent="0.25">
      <c r="I625" s="49"/>
      <c r="J625" s="49"/>
      <c r="K625" s="49"/>
      <c r="M625" s="37"/>
      <c r="V625" s="174"/>
      <c r="W625" s="174"/>
      <c r="X625" s="174"/>
      <c r="Y625" s="188"/>
      <c r="AA625" s="78"/>
      <c r="AC625" s="84"/>
    </row>
    <row r="626" spans="9:29" x14ac:dyDescent="0.25">
      <c r="I626" s="49"/>
      <c r="J626" s="49"/>
      <c r="K626" s="49"/>
      <c r="M626" s="34"/>
      <c r="V626" s="174"/>
      <c r="W626" s="174"/>
      <c r="X626" s="174"/>
      <c r="Y626" s="188"/>
      <c r="AA626" s="78"/>
      <c r="AC626" s="82"/>
    </row>
    <row r="627" spans="9:29" x14ac:dyDescent="0.25">
      <c r="I627" s="49"/>
      <c r="J627" s="49"/>
      <c r="K627" s="49"/>
      <c r="M627" s="37"/>
      <c r="V627" s="174"/>
      <c r="W627" s="174"/>
      <c r="X627" s="174"/>
      <c r="Y627" s="188"/>
      <c r="AA627" s="78"/>
      <c r="AC627" s="84"/>
    </row>
    <row r="628" spans="9:29" x14ac:dyDescent="0.25">
      <c r="I628" s="49"/>
      <c r="J628" s="49"/>
      <c r="K628" s="49"/>
      <c r="M628" s="37"/>
      <c r="V628" s="174"/>
      <c r="W628" s="174"/>
      <c r="X628" s="174"/>
      <c r="Y628" s="188"/>
      <c r="AA628" s="78"/>
      <c r="AC628" s="84"/>
    </row>
    <row r="629" spans="9:29" x14ac:dyDescent="0.25">
      <c r="I629" s="49"/>
      <c r="J629" s="49"/>
      <c r="K629" s="49"/>
      <c r="M629" s="34"/>
      <c r="V629" s="174"/>
      <c r="W629" s="174"/>
      <c r="X629" s="174"/>
      <c r="Y629" s="188"/>
      <c r="AA629" s="78"/>
      <c r="AC629" s="82"/>
    </row>
    <row r="630" spans="9:29" x14ac:dyDescent="0.25">
      <c r="I630" s="49"/>
      <c r="J630" s="49"/>
      <c r="K630" s="49"/>
      <c r="M630" s="37"/>
      <c r="V630" s="174"/>
      <c r="W630" s="174"/>
      <c r="X630" s="174"/>
      <c r="Y630" s="188"/>
      <c r="AA630" s="78"/>
      <c r="AC630" s="84"/>
    </row>
    <row r="631" spans="9:29" x14ac:dyDescent="0.25">
      <c r="I631" s="49"/>
      <c r="J631" s="49"/>
      <c r="K631" s="49"/>
      <c r="M631" s="33"/>
      <c r="V631" s="174"/>
      <c r="W631" s="174"/>
      <c r="X631" s="174"/>
      <c r="Y631" s="188"/>
      <c r="AA631" s="78"/>
      <c r="AC631" s="79"/>
    </row>
    <row r="632" spans="9:29" x14ac:dyDescent="0.25">
      <c r="I632" s="49"/>
      <c r="J632" s="49"/>
      <c r="K632" s="49"/>
      <c r="M632" s="34"/>
      <c r="V632" s="174"/>
      <c r="W632" s="174"/>
      <c r="X632" s="174"/>
      <c r="Y632" s="188"/>
      <c r="AA632" s="78"/>
      <c r="AC632" s="82"/>
    </row>
    <row r="633" spans="9:29" x14ac:dyDescent="0.25">
      <c r="I633" s="49"/>
      <c r="J633" s="49"/>
      <c r="K633" s="49"/>
      <c r="M633" s="37"/>
      <c r="V633" s="174"/>
      <c r="W633" s="174"/>
      <c r="X633" s="174"/>
      <c r="Y633" s="188"/>
      <c r="AA633" s="78"/>
      <c r="AC633" s="84"/>
    </row>
    <row r="634" spans="9:29" x14ac:dyDescent="0.25">
      <c r="I634" s="49"/>
      <c r="J634" s="49"/>
      <c r="K634" s="49"/>
      <c r="M634" s="37"/>
      <c r="V634" s="174"/>
      <c r="W634" s="174"/>
      <c r="X634" s="174"/>
      <c r="Y634" s="188"/>
      <c r="AA634" s="78"/>
      <c r="AC634" s="84"/>
    </row>
    <row r="635" spans="9:29" x14ac:dyDescent="0.25">
      <c r="I635" s="49"/>
      <c r="J635" s="49"/>
      <c r="K635" s="49"/>
      <c r="M635" s="34"/>
      <c r="V635" s="174"/>
      <c r="W635" s="174"/>
      <c r="X635" s="174"/>
      <c r="Y635" s="188"/>
      <c r="AA635" s="78"/>
      <c r="AC635" s="82"/>
    </row>
    <row r="636" spans="9:29" x14ac:dyDescent="0.25">
      <c r="I636" s="49"/>
      <c r="J636" s="49"/>
      <c r="K636" s="49"/>
      <c r="M636" s="37"/>
      <c r="V636" s="174"/>
      <c r="W636" s="174"/>
      <c r="X636" s="174"/>
      <c r="Y636" s="188"/>
      <c r="AA636" s="78"/>
      <c r="AC636" s="84"/>
    </row>
    <row r="637" spans="9:29" x14ac:dyDescent="0.25">
      <c r="I637" s="49"/>
      <c r="J637" s="49"/>
      <c r="K637" s="49"/>
      <c r="M637" s="37"/>
      <c r="V637" s="174"/>
      <c r="W637" s="174"/>
      <c r="X637" s="174"/>
      <c r="Y637" s="188"/>
      <c r="AA637" s="78"/>
      <c r="AC637" s="84"/>
    </row>
    <row r="638" spans="9:29" x14ac:dyDescent="0.25">
      <c r="I638" s="49"/>
      <c r="J638" s="49"/>
      <c r="K638" s="49"/>
      <c r="M638" s="36"/>
      <c r="V638" s="174"/>
      <c r="W638" s="174"/>
      <c r="X638" s="174"/>
      <c r="Y638" s="188"/>
      <c r="AA638" s="78"/>
      <c r="AC638" s="83"/>
    </row>
    <row r="639" spans="9:29" x14ac:dyDescent="0.25">
      <c r="I639" s="49"/>
      <c r="J639" s="49"/>
      <c r="K639" s="49"/>
      <c r="M639" s="34"/>
      <c r="V639" s="174"/>
      <c r="W639" s="174"/>
      <c r="X639" s="174"/>
      <c r="Y639" s="188"/>
      <c r="AA639" s="78"/>
      <c r="AC639" s="82"/>
    </row>
    <row r="640" spans="9:29" x14ac:dyDescent="0.25">
      <c r="I640" s="49"/>
      <c r="J640" s="49"/>
      <c r="K640" s="49"/>
      <c r="M640" s="37"/>
      <c r="V640" s="174"/>
      <c r="W640" s="174"/>
      <c r="X640" s="174"/>
      <c r="Y640" s="188"/>
      <c r="AA640" s="78"/>
      <c r="AC640" s="84"/>
    </row>
    <row r="641" spans="9:29" x14ac:dyDescent="0.25">
      <c r="I641" s="49"/>
      <c r="J641" s="49"/>
      <c r="K641" s="49"/>
      <c r="M641" s="37"/>
      <c r="V641" s="174"/>
      <c r="W641" s="174"/>
      <c r="X641" s="174"/>
      <c r="Y641" s="188"/>
      <c r="AA641" s="78"/>
      <c r="AC641" s="84"/>
    </row>
    <row r="642" spans="9:29" x14ac:dyDescent="0.25">
      <c r="I642" s="49"/>
      <c r="J642" s="49"/>
      <c r="K642" s="49"/>
      <c r="M642" s="34"/>
      <c r="V642" s="174"/>
      <c r="W642" s="174"/>
      <c r="X642" s="174"/>
      <c r="Y642" s="188"/>
      <c r="AA642" s="78"/>
      <c r="AC642" s="82"/>
    </row>
    <row r="643" spans="9:29" x14ac:dyDescent="0.25">
      <c r="I643" s="49"/>
      <c r="J643" s="49"/>
      <c r="K643" s="49"/>
      <c r="M643" s="37"/>
      <c r="V643" s="174"/>
      <c r="W643" s="174"/>
      <c r="X643" s="174"/>
      <c r="Y643" s="188"/>
      <c r="AA643" s="78"/>
      <c r="AC643" s="84"/>
    </row>
    <row r="644" spans="9:29" x14ac:dyDescent="0.25">
      <c r="I644" s="49"/>
      <c r="J644" s="49"/>
      <c r="K644" s="49"/>
      <c r="M644" s="37"/>
      <c r="V644" s="174"/>
      <c r="W644" s="174"/>
      <c r="X644" s="174"/>
      <c r="Y644" s="188"/>
      <c r="AA644" s="78"/>
      <c r="AC644" s="84"/>
    </row>
    <row r="645" spans="9:29" x14ac:dyDescent="0.25">
      <c r="I645" s="49"/>
      <c r="J645" s="49"/>
      <c r="K645" s="49"/>
      <c r="M645" s="34"/>
      <c r="V645" s="174"/>
      <c r="W645" s="174"/>
      <c r="X645" s="174"/>
      <c r="Y645" s="188"/>
      <c r="AA645" s="78"/>
      <c r="AC645" s="82"/>
    </row>
    <row r="646" spans="9:29" x14ac:dyDescent="0.25">
      <c r="I646" s="49"/>
      <c r="J646" s="49"/>
      <c r="K646" s="49"/>
      <c r="M646" s="37"/>
      <c r="V646" s="174"/>
      <c r="W646" s="174"/>
      <c r="X646" s="174"/>
      <c r="Y646" s="188"/>
      <c r="AA646" s="78"/>
      <c r="AC646" s="84"/>
    </row>
    <row r="647" spans="9:29" x14ac:dyDescent="0.25">
      <c r="I647" s="49"/>
      <c r="J647" s="49"/>
      <c r="K647" s="49"/>
      <c r="M647" s="37"/>
      <c r="V647" s="174"/>
      <c r="W647" s="174"/>
      <c r="X647" s="174"/>
      <c r="Y647" s="188"/>
      <c r="AA647" s="78"/>
      <c r="AC647" s="84"/>
    </row>
    <row r="648" spans="9:29" x14ac:dyDescent="0.25">
      <c r="I648" s="49"/>
      <c r="J648" s="49"/>
      <c r="K648" s="49"/>
      <c r="M648" s="34"/>
      <c r="V648" s="174"/>
      <c r="W648" s="174"/>
      <c r="X648" s="174"/>
      <c r="Y648" s="188"/>
      <c r="AA648" s="78"/>
      <c r="AC648" s="82"/>
    </row>
    <row r="649" spans="9:29" x14ac:dyDescent="0.25">
      <c r="I649" s="49"/>
      <c r="J649" s="49"/>
      <c r="K649" s="49"/>
      <c r="M649" s="37"/>
      <c r="V649" s="174"/>
      <c r="W649" s="174"/>
      <c r="X649" s="174"/>
      <c r="Y649" s="188"/>
      <c r="AA649" s="78"/>
      <c r="AC649" s="84"/>
    </row>
    <row r="650" spans="9:29" x14ac:dyDescent="0.25">
      <c r="I650" s="49"/>
      <c r="J650" s="49"/>
      <c r="K650" s="49"/>
      <c r="M650" s="37"/>
      <c r="V650" s="174"/>
      <c r="W650" s="174"/>
      <c r="X650" s="174"/>
      <c r="Y650" s="188"/>
      <c r="AA650" s="78"/>
      <c r="AC650" s="84"/>
    </row>
    <row r="651" spans="9:29" x14ac:dyDescent="0.25">
      <c r="I651" s="49"/>
      <c r="J651" s="49"/>
      <c r="K651" s="49"/>
      <c r="M651" s="34"/>
      <c r="V651" s="174"/>
      <c r="W651" s="174"/>
      <c r="X651" s="174"/>
      <c r="Y651" s="188"/>
      <c r="AA651" s="78"/>
      <c r="AC651" s="82"/>
    </row>
    <row r="652" spans="9:29" x14ac:dyDescent="0.25">
      <c r="I652" s="49"/>
      <c r="J652" s="49"/>
      <c r="K652" s="49"/>
      <c r="M652" s="37"/>
      <c r="V652" s="174"/>
      <c r="W652" s="174"/>
      <c r="X652" s="174"/>
      <c r="Y652" s="188"/>
      <c r="AA652" s="78"/>
      <c r="AC652" s="84"/>
    </row>
    <row r="653" spans="9:29" x14ac:dyDescent="0.25">
      <c r="I653" s="49"/>
      <c r="J653" s="49"/>
      <c r="K653" s="49"/>
      <c r="M653" s="37"/>
      <c r="V653" s="174"/>
      <c r="W653" s="174"/>
      <c r="X653" s="174"/>
      <c r="Y653" s="188"/>
      <c r="AA653" s="78"/>
      <c r="AC653" s="84"/>
    </row>
    <row r="654" spans="9:29" x14ac:dyDescent="0.25">
      <c r="I654" s="49"/>
      <c r="J654" s="49"/>
      <c r="K654" s="49"/>
      <c r="M654" s="34"/>
      <c r="V654" s="174"/>
      <c r="W654" s="174"/>
      <c r="X654" s="174"/>
      <c r="Y654" s="188"/>
      <c r="AA654" s="78"/>
      <c r="AC654" s="82"/>
    </row>
    <row r="655" spans="9:29" x14ac:dyDescent="0.25">
      <c r="I655" s="49"/>
      <c r="J655" s="49"/>
      <c r="K655" s="49"/>
      <c r="M655" s="37"/>
      <c r="V655" s="174"/>
      <c r="W655" s="174"/>
      <c r="X655" s="174"/>
      <c r="Y655" s="188"/>
      <c r="AA655" s="78"/>
      <c r="AC655" s="84"/>
    </row>
    <row r="656" spans="9:29" x14ac:dyDescent="0.25">
      <c r="I656" s="49"/>
      <c r="J656" s="49"/>
      <c r="K656" s="49"/>
      <c r="M656" s="37"/>
      <c r="V656" s="174"/>
      <c r="W656" s="174"/>
      <c r="X656" s="174"/>
      <c r="Y656" s="188"/>
      <c r="AA656" s="78"/>
      <c r="AC656" s="84"/>
    </row>
    <row r="657" spans="9:29" x14ac:dyDescent="0.25">
      <c r="I657" s="49"/>
      <c r="J657" s="49"/>
      <c r="K657" s="49"/>
      <c r="M657" s="34"/>
      <c r="V657" s="174"/>
      <c r="W657" s="174"/>
      <c r="X657" s="174"/>
      <c r="Y657" s="188"/>
      <c r="AA657" s="78"/>
      <c r="AC657" s="82"/>
    </row>
    <row r="658" spans="9:29" x14ac:dyDescent="0.25">
      <c r="I658" s="49"/>
      <c r="J658" s="49"/>
      <c r="K658" s="49"/>
      <c r="M658" s="37"/>
      <c r="V658" s="174"/>
      <c r="W658" s="174"/>
      <c r="X658" s="174"/>
      <c r="Y658" s="188"/>
      <c r="AA658" s="78"/>
      <c r="AC658" s="84"/>
    </row>
    <row r="659" spans="9:29" x14ac:dyDescent="0.25">
      <c r="I659" s="49"/>
      <c r="J659" s="49"/>
      <c r="K659" s="49"/>
      <c r="M659" s="37"/>
      <c r="V659" s="174"/>
      <c r="W659" s="174"/>
      <c r="X659" s="174"/>
      <c r="Y659" s="188"/>
      <c r="AA659" s="78"/>
      <c r="AC659" s="84"/>
    </row>
    <row r="660" spans="9:29" x14ac:dyDescent="0.25">
      <c r="I660" s="49"/>
      <c r="J660" s="49"/>
      <c r="K660" s="49"/>
      <c r="M660" s="34"/>
      <c r="V660" s="174"/>
      <c r="W660" s="174"/>
      <c r="X660" s="174"/>
      <c r="Y660" s="188"/>
      <c r="AA660" s="78"/>
      <c r="AC660" s="82"/>
    </row>
    <row r="661" spans="9:29" x14ac:dyDescent="0.25">
      <c r="I661" s="49"/>
      <c r="J661" s="49"/>
      <c r="K661" s="49"/>
      <c r="M661" s="37"/>
      <c r="V661" s="174"/>
      <c r="W661" s="174"/>
      <c r="X661" s="174"/>
      <c r="Y661" s="188"/>
      <c r="AA661" s="78"/>
      <c r="AC661" s="84"/>
    </row>
    <row r="662" spans="9:29" x14ac:dyDescent="0.25">
      <c r="I662" s="49"/>
      <c r="J662" s="49"/>
      <c r="K662" s="49"/>
      <c r="M662" s="37"/>
      <c r="V662" s="174"/>
      <c r="W662" s="174"/>
      <c r="X662" s="174"/>
      <c r="Y662" s="188"/>
      <c r="AA662" s="78"/>
      <c r="AC662" s="84"/>
    </row>
    <row r="663" spans="9:29" x14ac:dyDescent="0.25">
      <c r="I663" s="49"/>
      <c r="J663" s="49"/>
      <c r="K663" s="49"/>
      <c r="M663" s="34"/>
      <c r="V663" s="174"/>
      <c r="W663" s="174"/>
      <c r="X663" s="174"/>
      <c r="Y663" s="188"/>
      <c r="AA663" s="78"/>
      <c r="AC663" s="82"/>
    </row>
    <row r="664" spans="9:29" x14ac:dyDescent="0.25">
      <c r="I664" s="49"/>
      <c r="J664" s="49"/>
      <c r="K664" s="49"/>
      <c r="M664" s="37"/>
      <c r="V664" s="174"/>
      <c r="W664" s="174"/>
      <c r="X664" s="174"/>
      <c r="Y664" s="188"/>
      <c r="AA664" s="78"/>
      <c r="AC664" s="84"/>
    </row>
    <row r="665" spans="9:29" x14ac:dyDescent="0.25">
      <c r="I665" s="49"/>
      <c r="J665" s="49"/>
      <c r="K665" s="49"/>
      <c r="M665" s="33"/>
      <c r="V665" s="174"/>
      <c r="W665" s="174"/>
      <c r="X665" s="174"/>
      <c r="Y665" s="188"/>
      <c r="AA665" s="78"/>
      <c r="AC665" s="79"/>
    </row>
    <row r="666" spans="9:29" x14ac:dyDescent="0.25">
      <c r="I666" s="49"/>
      <c r="J666" s="49"/>
      <c r="K666" s="49"/>
      <c r="M666" s="37"/>
      <c r="V666" s="174"/>
      <c r="W666" s="174"/>
      <c r="X666" s="174"/>
      <c r="Y666" s="188"/>
      <c r="AA666" s="78"/>
      <c r="AC666" s="84"/>
    </row>
    <row r="667" spans="9:29" x14ac:dyDescent="0.25">
      <c r="I667" s="49"/>
      <c r="J667" s="49"/>
      <c r="K667" s="49"/>
      <c r="M667" s="34"/>
      <c r="V667" s="174"/>
      <c r="W667" s="174"/>
      <c r="X667" s="174"/>
      <c r="Y667" s="188"/>
      <c r="AA667" s="78"/>
      <c r="AC667" s="82"/>
    </row>
    <row r="668" spans="9:29" x14ac:dyDescent="0.25">
      <c r="I668" s="49"/>
      <c r="J668" s="49"/>
      <c r="K668" s="49"/>
      <c r="M668" s="37"/>
      <c r="V668" s="174"/>
      <c r="W668" s="174"/>
      <c r="X668" s="174"/>
      <c r="Y668" s="188"/>
      <c r="AA668" s="78"/>
      <c r="AC668" s="84"/>
    </row>
    <row r="669" spans="9:29" x14ac:dyDescent="0.25">
      <c r="I669" s="49"/>
      <c r="J669" s="49"/>
      <c r="K669" s="49"/>
      <c r="M669" s="37"/>
      <c r="V669" s="174"/>
      <c r="W669" s="174"/>
      <c r="X669" s="174"/>
      <c r="Y669" s="188"/>
      <c r="AA669" s="78"/>
      <c r="AC669" s="84"/>
    </row>
    <row r="670" spans="9:29" x14ac:dyDescent="0.25">
      <c r="I670" s="49"/>
      <c r="J670" s="49"/>
      <c r="K670" s="49"/>
      <c r="M670" s="34"/>
      <c r="V670" s="174"/>
      <c r="W670" s="174"/>
      <c r="X670" s="174"/>
      <c r="Y670" s="188"/>
      <c r="AA670" s="78"/>
      <c r="AC670" s="82"/>
    </row>
    <row r="671" spans="9:29" x14ac:dyDescent="0.25">
      <c r="I671" s="49"/>
      <c r="J671" s="49"/>
      <c r="K671" s="49"/>
      <c r="M671" s="37"/>
      <c r="V671" s="174"/>
      <c r="W671" s="174"/>
      <c r="X671" s="174"/>
      <c r="Y671" s="188"/>
      <c r="AA671" s="78"/>
      <c r="AC671" s="84"/>
    </row>
    <row r="672" spans="9:29" x14ac:dyDescent="0.25">
      <c r="I672" s="49"/>
      <c r="J672" s="49"/>
      <c r="K672" s="49"/>
      <c r="M672" s="37"/>
      <c r="V672" s="174"/>
      <c r="W672" s="174"/>
      <c r="X672" s="174"/>
      <c r="Y672" s="188"/>
      <c r="AA672" s="78"/>
      <c r="AC672" s="84"/>
    </row>
    <row r="673" spans="9:29" x14ac:dyDescent="0.25">
      <c r="I673" s="49"/>
      <c r="J673" s="49"/>
      <c r="K673" s="49"/>
      <c r="M673" s="34"/>
      <c r="V673" s="174"/>
      <c r="W673" s="174"/>
      <c r="X673" s="174"/>
      <c r="Y673" s="188"/>
      <c r="AA673" s="78"/>
      <c r="AC673" s="82"/>
    </row>
    <row r="674" spans="9:29" x14ac:dyDescent="0.25">
      <c r="I674" s="49"/>
      <c r="J674" s="49"/>
      <c r="K674" s="49"/>
      <c r="M674" s="37"/>
      <c r="V674" s="174"/>
      <c r="W674" s="174"/>
      <c r="X674" s="174"/>
      <c r="Y674" s="188"/>
      <c r="AA674" s="78"/>
      <c r="AC674" s="84"/>
    </row>
    <row r="675" spans="9:29" x14ac:dyDescent="0.25">
      <c r="I675" s="49"/>
      <c r="J675" s="49"/>
      <c r="K675" s="49"/>
      <c r="M675" s="37"/>
      <c r="V675" s="174"/>
      <c r="W675" s="174"/>
      <c r="X675" s="174"/>
      <c r="Y675" s="188"/>
      <c r="AA675" s="78"/>
      <c r="AC675" s="84"/>
    </row>
    <row r="676" spans="9:29" x14ac:dyDescent="0.25">
      <c r="I676" s="49"/>
      <c r="J676" s="49"/>
      <c r="K676" s="49"/>
      <c r="M676" s="34"/>
      <c r="V676" s="174"/>
      <c r="W676" s="174"/>
      <c r="X676" s="174"/>
      <c r="Y676" s="188"/>
      <c r="AA676" s="78"/>
      <c r="AC676" s="82"/>
    </row>
    <row r="677" spans="9:29" x14ac:dyDescent="0.25">
      <c r="I677" s="49"/>
      <c r="J677" s="49"/>
      <c r="K677" s="49"/>
      <c r="M677" s="37"/>
      <c r="V677" s="174"/>
      <c r="W677" s="174"/>
      <c r="X677" s="174"/>
      <c r="Y677" s="188"/>
      <c r="AA677" s="78"/>
      <c r="AC677" s="84"/>
    </row>
    <row r="678" spans="9:29" x14ac:dyDescent="0.25">
      <c r="I678" s="49"/>
      <c r="J678" s="49"/>
      <c r="K678" s="49"/>
      <c r="M678" s="37"/>
      <c r="V678" s="174"/>
      <c r="W678" s="174"/>
      <c r="X678" s="174"/>
      <c r="Y678" s="188"/>
      <c r="AA678" s="78"/>
      <c r="AC678" s="84"/>
    </row>
    <row r="679" spans="9:29" x14ac:dyDescent="0.25">
      <c r="I679" s="49"/>
      <c r="J679" s="49"/>
      <c r="K679" s="49"/>
      <c r="M679" s="34"/>
      <c r="V679" s="174"/>
      <c r="W679" s="174"/>
      <c r="X679" s="174"/>
      <c r="Y679" s="188"/>
      <c r="AA679" s="78"/>
      <c r="AC679" s="82"/>
    </row>
    <row r="680" spans="9:29" x14ac:dyDescent="0.25">
      <c r="I680" s="49"/>
      <c r="J680" s="49"/>
      <c r="K680" s="49"/>
      <c r="M680" s="37"/>
      <c r="V680" s="174"/>
      <c r="W680" s="174"/>
      <c r="X680" s="174"/>
      <c r="Y680" s="188"/>
      <c r="AA680" s="78"/>
      <c r="AC680" s="84"/>
    </row>
    <row r="681" spans="9:29" x14ac:dyDescent="0.25">
      <c r="I681" s="49"/>
      <c r="J681" s="49"/>
      <c r="K681" s="49"/>
      <c r="M681" s="37"/>
      <c r="V681" s="174"/>
      <c r="W681" s="174"/>
      <c r="X681" s="174"/>
      <c r="Y681" s="188"/>
      <c r="AA681" s="78"/>
      <c r="AC681" s="84"/>
    </row>
    <row r="682" spans="9:29" x14ac:dyDescent="0.25">
      <c r="I682" s="49"/>
      <c r="J682" s="49"/>
      <c r="K682" s="49"/>
      <c r="M682" s="34"/>
      <c r="V682" s="174"/>
      <c r="W682" s="174"/>
      <c r="X682" s="174"/>
      <c r="Y682" s="188"/>
      <c r="AA682" s="78"/>
      <c r="AC682" s="82"/>
    </row>
    <row r="683" spans="9:29" x14ac:dyDescent="0.25">
      <c r="I683" s="49"/>
      <c r="J683" s="49"/>
      <c r="K683" s="49"/>
      <c r="M683" s="37"/>
      <c r="V683" s="174"/>
      <c r="W683" s="174"/>
      <c r="X683" s="174"/>
      <c r="Y683" s="188"/>
      <c r="AA683" s="78"/>
      <c r="AC683" s="84"/>
    </row>
    <row r="684" spans="9:29" x14ac:dyDescent="0.25">
      <c r="I684" s="49"/>
      <c r="J684" s="49"/>
      <c r="K684" s="49"/>
      <c r="M684" s="37"/>
      <c r="V684" s="174"/>
      <c r="W684" s="174"/>
      <c r="X684" s="174"/>
      <c r="Y684" s="188"/>
      <c r="AA684" s="78"/>
      <c r="AC684" s="84"/>
    </row>
    <row r="685" spans="9:29" x14ac:dyDescent="0.25">
      <c r="I685" s="49"/>
      <c r="J685" s="49"/>
      <c r="K685" s="49"/>
      <c r="M685" s="34"/>
      <c r="V685" s="174"/>
      <c r="W685" s="174"/>
      <c r="X685" s="174"/>
      <c r="Y685" s="188"/>
      <c r="AA685" s="78"/>
      <c r="AC685" s="82"/>
    </row>
    <row r="686" spans="9:29" x14ac:dyDescent="0.25">
      <c r="I686" s="49"/>
      <c r="J686" s="49"/>
      <c r="K686" s="49"/>
      <c r="M686" s="37"/>
      <c r="V686" s="174"/>
      <c r="W686" s="174"/>
      <c r="X686" s="174"/>
      <c r="Y686" s="188"/>
      <c r="AA686" s="78"/>
      <c r="AC686" s="84"/>
    </row>
    <row r="687" spans="9:29" x14ac:dyDescent="0.25">
      <c r="I687" s="49"/>
      <c r="J687" s="49"/>
      <c r="K687" s="49"/>
      <c r="M687" s="37"/>
      <c r="V687" s="174"/>
      <c r="W687" s="174"/>
      <c r="X687" s="174"/>
      <c r="Y687" s="188"/>
      <c r="AA687" s="78"/>
      <c r="AC687" s="84"/>
    </row>
    <row r="688" spans="9:29" x14ac:dyDescent="0.25">
      <c r="I688" s="49"/>
      <c r="J688" s="49"/>
      <c r="K688" s="49"/>
      <c r="M688" s="34"/>
      <c r="V688" s="174"/>
      <c r="W688" s="174"/>
      <c r="X688" s="174"/>
      <c r="Y688" s="188"/>
      <c r="AA688" s="78"/>
      <c r="AC688" s="82"/>
    </row>
    <row r="689" spans="9:29" x14ac:dyDescent="0.25">
      <c r="I689" s="49"/>
      <c r="J689" s="49"/>
      <c r="K689" s="49"/>
      <c r="M689" s="37"/>
      <c r="V689" s="174"/>
      <c r="W689" s="174"/>
      <c r="X689" s="174"/>
      <c r="Y689" s="188"/>
      <c r="AA689" s="78"/>
      <c r="AC689" s="84"/>
    </row>
    <row r="690" spans="9:29" x14ac:dyDescent="0.25">
      <c r="I690" s="49"/>
      <c r="J690" s="49"/>
      <c r="K690" s="49"/>
      <c r="M690" s="37"/>
      <c r="V690" s="174"/>
      <c r="W690" s="174"/>
      <c r="X690" s="174"/>
      <c r="Y690" s="188"/>
      <c r="AA690" s="78"/>
      <c r="AC690" s="84"/>
    </row>
    <row r="691" spans="9:29" x14ac:dyDescent="0.25">
      <c r="I691" s="49"/>
      <c r="J691" s="49"/>
      <c r="K691" s="49"/>
      <c r="M691" s="34"/>
      <c r="V691" s="174"/>
      <c r="W691" s="174"/>
      <c r="X691" s="174"/>
      <c r="Y691" s="188"/>
      <c r="AA691" s="78"/>
      <c r="AC691" s="82"/>
    </row>
    <row r="692" spans="9:29" x14ac:dyDescent="0.25">
      <c r="I692" s="49"/>
      <c r="J692" s="49"/>
      <c r="K692" s="49"/>
      <c r="M692" s="37"/>
      <c r="V692" s="174"/>
      <c r="W692" s="174"/>
      <c r="X692" s="174"/>
      <c r="Y692" s="188"/>
      <c r="AA692" s="78"/>
      <c r="AC692" s="84"/>
    </row>
    <row r="693" spans="9:29" x14ac:dyDescent="0.25">
      <c r="I693" s="49"/>
      <c r="J693" s="49"/>
      <c r="K693" s="49"/>
      <c r="M693" s="37"/>
      <c r="V693" s="174"/>
      <c r="W693" s="174"/>
      <c r="X693" s="174"/>
      <c r="Y693" s="188"/>
      <c r="AA693" s="78"/>
      <c r="AC693" s="84"/>
    </row>
    <row r="694" spans="9:29" x14ac:dyDescent="0.25">
      <c r="I694" s="49"/>
      <c r="J694" s="49"/>
      <c r="K694" s="49"/>
      <c r="M694" s="34"/>
      <c r="V694" s="174"/>
      <c r="W694" s="174"/>
      <c r="X694" s="174"/>
      <c r="Y694" s="188"/>
      <c r="AA694" s="78"/>
      <c r="AC694" s="82"/>
    </row>
    <row r="695" spans="9:29" x14ac:dyDescent="0.25">
      <c r="I695" s="49"/>
      <c r="J695" s="49"/>
      <c r="K695" s="49"/>
      <c r="M695" s="37"/>
      <c r="V695" s="174"/>
      <c r="W695" s="174"/>
      <c r="X695" s="174"/>
      <c r="Y695" s="188"/>
      <c r="AA695" s="78"/>
      <c r="AC695" s="84"/>
    </row>
    <row r="696" spans="9:29" x14ac:dyDescent="0.25">
      <c r="I696" s="49"/>
      <c r="J696" s="49"/>
      <c r="K696" s="49"/>
      <c r="M696" s="37"/>
      <c r="V696" s="174"/>
      <c r="W696" s="174"/>
      <c r="X696" s="174"/>
      <c r="Y696" s="188"/>
      <c r="AA696" s="78"/>
      <c r="AC696" s="84"/>
    </row>
    <row r="697" spans="9:29" x14ac:dyDescent="0.25">
      <c r="I697" s="49"/>
      <c r="J697" s="49"/>
      <c r="K697" s="49"/>
      <c r="M697" s="34"/>
      <c r="V697" s="174"/>
      <c r="W697" s="174"/>
      <c r="X697" s="174"/>
      <c r="Y697" s="188"/>
      <c r="AA697" s="78"/>
      <c r="AC697" s="82"/>
    </row>
    <row r="698" spans="9:29" x14ac:dyDescent="0.25">
      <c r="I698" s="49"/>
      <c r="J698" s="49"/>
      <c r="K698" s="49"/>
      <c r="M698" s="37"/>
      <c r="V698" s="174"/>
      <c r="W698" s="174"/>
      <c r="X698" s="174"/>
      <c r="Y698" s="188"/>
      <c r="AA698" s="78"/>
      <c r="AC698" s="84"/>
    </row>
    <row r="699" spans="9:29" x14ac:dyDescent="0.25">
      <c r="I699" s="49"/>
      <c r="J699" s="49"/>
      <c r="K699" s="49"/>
      <c r="M699" s="37"/>
      <c r="V699" s="174"/>
      <c r="W699" s="174"/>
      <c r="X699" s="174"/>
      <c r="Y699" s="188"/>
      <c r="AA699" s="78"/>
      <c r="AC699" s="84"/>
    </row>
    <row r="700" spans="9:29" x14ac:dyDescent="0.25">
      <c r="I700" s="49"/>
      <c r="J700" s="49"/>
      <c r="K700" s="49"/>
      <c r="M700" s="34"/>
      <c r="V700" s="174"/>
      <c r="W700" s="174"/>
      <c r="X700" s="174"/>
      <c r="Y700" s="188"/>
      <c r="AA700" s="78"/>
      <c r="AC700" s="82"/>
    </row>
    <row r="701" spans="9:29" x14ac:dyDescent="0.25">
      <c r="I701" s="49"/>
      <c r="J701" s="49"/>
      <c r="K701" s="49"/>
      <c r="M701" s="37"/>
      <c r="V701" s="174"/>
      <c r="W701" s="174"/>
      <c r="X701" s="174"/>
      <c r="Y701" s="188"/>
      <c r="AA701" s="78"/>
      <c r="AC701" s="84"/>
    </row>
    <row r="702" spans="9:29" x14ac:dyDescent="0.25">
      <c r="I702" s="49"/>
      <c r="J702" s="49"/>
      <c r="K702" s="49"/>
      <c r="M702" s="37"/>
      <c r="V702" s="174"/>
      <c r="W702" s="174"/>
      <c r="X702" s="174"/>
      <c r="Y702" s="188"/>
      <c r="AA702" s="78"/>
      <c r="AC702" s="84"/>
    </row>
    <row r="703" spans="9:29" x14ac:dyDescent="0.25">
      <c r="I703" s="49"/>
      <c r="J703" s="49"/>
      <c r="K703" s="49"/>
      <c r="M703" s="34"/>
      <c r="V703" s="174"/>
      <c r="W703" s="174"/>
      <c r="X703" s="174"/>
      <c r="Y703" s="188"/>
      <c r="AA703" s="78"/>
      <c r="AC703" s="82"/>
    </row>
    <row r="704" spans="9:29" x14ac:dyDescent="0.25">
      <c r="I704" s="49"/>
      <c r="J704" s="49"/>
      <c r="K704" s="49"/>
      <c r="M704" s="37"/>
      <c r="V704" s="174"/>
      <c r="W704" s="174"/>
      <c r="X704" s="174"/>
      <c r="Y704" s="188"/>
      <c r="AA704" s="78"/>
      <c r="AC704" s="84"/>
    </row>
    <row r="705" spans="9:29" x14ac:dyDescent="0.25">
      <c r="I705" s="49"/>
      <c r="J705" s="49"/>
      <c r="K705" s="49"/>
      <c r="M705" s="37"/>
      <c r="V705" s="174"/>
      <c r="W705" s="174"/>
      <c r="X705" s="174"/>
      <c r="Y705" s="188"/>
      <c r="AA705" s="78"/>
      <c r="AC705" s="84"/>
    </row>
    <row r="706" spans="9:29" x14ac:dyDescent="0.25">
      <c r="I706" s="49"/>
      <c r="J706" s="49"/>
      <c r="K706" s="49"/>
      <c r="M706" s="34"/>
      <c r="V706" s="174"/>
      <c r="W706" s="174"/>
      <c r="X706" s="174"/>
      <c r="Y706" s="188"/>
      <c r="AA706" s="78"/>
      <c r="AC706" s="82"/>
    </row>
    <row r="707" spans="9:29" x14ac:dyDescent="0.25">
      <c r="I707" s="49"/>
      <c r="J707" s="49"/>
      <c r="K707" s="49"/>
      <c r="M707" s="37"/>
      <c r="V707" s="174"/>
      <c r="W707" s="174"/>
      <c r="X707" s="174"/>
      <c r="Y707" s="188"/>
      <c r="AA707" s="78"/>
      <c r="AC707" s="84"/>
    </row>
    <row r="708" spans="9:29" x14ac:dyDescent="0.25">
      <c r="I708" s="49"/>
      <c r="J708" s="49"/>
      <c r="K708" s="49"/>
      <c r="M708" s="37"/>
      <c r="V708" s="174"/>
      <c r="W708" s="174"/>
      <c r="X708" s="174"/>
      <c r="Y708" s="188"/>
      <c r="AA708" s="78"/>
      <c r="AC708" s="84"/>
    </row>
    <row r="709" spans="9:29" x14ac:dyDescent="0.25">
      <c r="I709" s="49"/>
      <c r="J709" s="49"/>
      <c r="K709" s="49"/>
      <c r="M709" s="34"/>
      <c r="V709" s="174"/>
      <c r="W709" s="174"/>
      <c r="X709" s="174"/>
      <c r="Y709" s="188"/>
      <c r="AA709" s="78"/>
      <c r="AC709" s="82"/>
    </row>
    <row r="710" spans="9:29" x14ac:dyDescent="0.25">
      <c r="I710" s="49"/>
      <c r="J710" s="49"/>
      <c r="K710" s="49"/>
      <c r="M710" s="37"/>
      <c r="V710" s="174"/>
      <c r="W710" s="174"/>
      <c r="X710" s="174"/>
      <c r="Y710" s="188"/>
      <c r="AA710" s="78"/>
      <c r="AC710" s="84"/>
    </row>
    <row r="711" spans="9:29" x14ac:dyDescent="0.25">
      <c r="I711" s="49"/>
      <c r="J711" s="49"/>
      <c r="K711" s="49"/>
      <c r="M711" s="37"/>
      <c r="V711" s="174"/>
      <c r="W711" s="174"/>
      <c r="X711" s="174"/>
      <c r="Y711" s="188"/>
      <c r="AA711" s="78"/>
      <c r="AC711" s="84"/>
    </row>
    <row r="712" spans="9:29" x14ac:dyDescent="0.25">
      <c r="I712" s="49"/>
      <c r="J712" s="49"/>
      <c r="K712" s="49"/>
      <c r="M712" s="34"/>
      <c r="V712" s="174"/>
      <c r="W712" s="174"/>
      <c r="X712" s="174"/>
      <c r="Y712" s="188"/>
      <c r="AA712" s="78"/>
      <c r="AC712" s="82"/>
    </row>
    <row r="713" spans="9:29" x14ac:dyDescent="0.25">
      <c r="I713" s="49"/>
      <c r="J713" s="49"/>
      <c r="K713" s="49"/>
      <c r="M713" s="37"/>
      <c r="V713" s="174"/>
      <c r="W713" s="174"/>
      <c r="X713" s="174"/>
      <c r="Y713" s="188"/>
      <c r="AA713" s="78"/>
      <c r="AC713" s="84"/>
    </row>
    <row r="714" spans="9:29" x14ac:dyDescent="0.25">
      <c r="I714" s="49"/>
      <c r="J714" s="49"/>
      <c r="K714" s="49"/>
      <c r="M714" s="37"/>
      <c r="V714" s="174"/>
      <c r="W714" s="174"/>
      <c r="X714" s="174"/>
      <c r="Y714" s="188"/>
      <c r="AA714" s="78"/>
      <c r="AC714" s="84"/>
    </row>
    <row r="715" spans="9:29" x14ac:dyDescent="0.25">
      <c r="I715" s="49"/>
      <c r="J715" s="49"/>
      <c r="K715" s="49"/>
      <c r="M715" s="34"/>
      <c r="V715" s="174"/>
      <c r="W715" s="174"/>
      <c r="X715" s="174"/>
      <c r="Y715" s="188"/>
      <c r="AA715" s="78"/>
      <c r="AC715" s="82"/>
    </row>
    <row r="716" spans="9:29" x14ac:dyDescent="0.25">
      <c r="I716" s="49"/>
      <c r="J716" s="49"/>
      <c r="K716" s="49"/>
      <c r="M716" s="37"/>
      <c r="V716" s="174"/>
      <c r="W716" s="174"/>
      <c r="X716" s="174"/>
      <c r="Y716" s="188"/>
      <c r="AA716" s="78"/>
      <c r="AC716" s="84"/>
    </row>
    <row r="717" spans="9:29" x14ac:dyDescent="0.25">
      <c r="I717" s="49"/>
      <c r="J717" s="49"/>
      <c r="K717" s="49"/>
      <c r="M717" s="34"/>
      <c r="V717" s="174"/>
      <c r="W717" s="174"/>
      <c r="X717" s="174"/>
      <c r="Y717" s="188"/>
      <c r="AA717" s="78"/>
      <c r="AC717" s="82"/>
    </row>
    <row r="718" spans="9:29" x14ac:dyDescent="0.25">
      <c r="I718" s="49"/>
      <c r="J718" s="49"/>
      <c r="K718" s="49"/>
      <c r="M718" s="37"/>
      <c r="V718" s="174"/>
      <c r="W718" s="174"/>
      <c r="X718" s="174"/>
      <c r="Y718" s="188"/>
      <c r="AA718" s="78"/>
      <c r="AC718" s="84"/>
    </row>
    <row r="719" spans="9:29" x14ac:dyDescent="0.25">
      <c r="I719" s="49"/>
      <c r="J719" s="49"/>
      <c r="K719" s="49"/>
      <c r="M719" s="34"/>
      <c r="V719" s="174"/>
      <c r="W719" s="174"/>
      <c r="X719" s="174"/>
      <c r="Y719" s="188"/>
      <c r="AA719" s="78"/>
      <c r="AC719" s="82"/>
    </row>
    <row r="720" spans="9:29" x14ac:dyDescent="0.25">
      <c r="I720" s="49"/>
      <c r="J720" s="49"/>
      <c r="K720" s="49"/>
      <c r="M720" s="37"/>
      <c r="V720" s="174"/>
      <c r="W720" s="174"/>
      <c r="X720" s="174"/>
      <c r="Y720" s="188"/>
      <c r="AA720" s="78"/>
      <c r="AC720" s="84"/>
    </row>
    <row r="721" spans="9:29" x14ac:dyDescent="0.25">
      <c r="I721" s="49"/>
      <c r="J721" s="49"/>
      <c r="K721" s="49"/>
      <c r="M721" s="34"/>
      <c r="V721" s="174"/>
      <c r="W721" s="174"/>
      <c r="X721" s="174"/>
      <c r="Y721" s="188"/>
      <c r="AA721" s="78"/>
      <c r="AC721" s="82"/>
    </row>
    <row r="722" spans="9:29" x14ac:dyDescent="0.25">
      <c r="I722" s="49"/>
      <c r="J722" s="49"/>
      <c r="K722" s="49"/>
      <c r="M722" s="37"/>
      <c r="V722" s="174"/>
      <c r="W722" s="174"/>
      <c r="X722" s="174"/>
      <c r="Y722" s="188"/>
      <c r="AA722" s="78"/>
      <c r="AC722" s="84"/>
    </row>
    <row r="723" spans="9:29" x14ac:dyDescent="0.25">
      <c r="I723" s="49"/>
      <c r="J723" s="49"/>
      <c r="K723" s="49"/>
      <c r="M723" s="34"/>
      <c r="V723" s="174"/>
      <c r="W723" s="174"/>
      <c r="X723" s="174"/>
      <c r="Y723" s="188"/>
      <c r="AA723" s="78"/>
      <c r="AC723" s="82"/>
    </row>
    <row r="724" spans="9:29" x14ac:dyDescent="0.25">
      <c r="I724" s="49"/>
      <c r="J724" s="49"/>
      <c r="K724" s="49"/>
      <c r="M724" s="37"/>
      <c r="V724" s="174"/>
      <c r="W724" s="174"/>
      <c r="X724" s="174"/>
      <c r="Y724" s="188"/>
      <c r="AA724" s="78"/>
      <c r="AC724" s="84"/>
    </row>
    <row r="725" spans="9:29" x14ac:dyDescent="0.25">
      <c r="I725" s="49"/>
      <c r="J725" s="49"/>
      <c r="K725" s="49"/>
      <c r="M725" s="37"/>
      <c r="V725" s="174"/>
      <c r="W725" s="174"/>
      <c r="X725" s="174"/>
      <c r="Y725" s="188"/>
      <c r="AA725" s="78"/>
      <c r="AC725" s="84"/>
    </row>
    <row r="726" spans="9:29" x14ac:dyDescent="0.25">
      <c r="I726" s="49"/>
      <c r="J726" s="49"/>
      <c r="K726" s="49"/>
      <c r="M726" s="37"/>
      <c r="V726" s="174"/>
      <c r="W726" s="174"/>
      <c r="X726" s="174"/>
      <c r="Y726" s="188"/>
      <c r="AA726" s="78"/>
      <c r="AC726" s="84"/>
    </row>
    <row r="727" spans="9:29" x14ac:dyDescent="0.25">
      <c r="I727" s="49"/>
      <c r="J727" s="49"/>
      <c r="K727" s="49"/>
      <c r="M727" s="34"/>
      <c r="V727" s="174"/>
      <c r="W727" s="174"/>
      <c r="X727" s="174"/>
      <c r="Y727" s="188"/>
      <c r="AA727" s="78"/>
      <c r="AC727" s="82"/>
    </row>
    <row r="728" spans="9:29" x14ac:dyDescent="0.25">
      <c r="I728" s="49"/>
      <c r="J728" s="49"/>
      <c r="K728" s="49"/>
      <c r="M728" s="37"/>
      <c r="V728" s="174"/>
      <c r="W728" s="174"/>
      <c r="X728" s="174"/>
      <c r="Y728" s="188"/>
      <c r="AA728" s="78"/>
      <c r="AC728" s="84"/>
    </row>
    <row r="729" spans="9:29" x14ac:dyDescent="0.25">
      <c r="I729" s="49"/>
      <c r="J729" s="49"/>
      <c r="K729" s="49"/>
      <c r="M729" s="37"/>
      <c r="V729" s="174"/>
      <c r="W729" s="174"/>
      <c r="X729" s="174"/>
      <c r="Y729" s="188"/>
      <c r="AA729" s="78"/>
      <c r="AC729" s="84"/>
    </row>
    <row r="730" spans="9:29" x14ac:dyDescent="0.25">
      <c r="I730" s="49"/>
      <c r="J730" s="49"/>
      <c r="K730" s="49"/>
      <c r="M730" s="34"/>
      <c r="V730" s="174"/>
      <c r="W730" s="174"/>
      <c r="X730" s="174"/>
      <c r="Y730" s="188"/>
      <c r="AA730" s="78"/>
      <c r="AC730" s="82"/>
    </row>
    <row r="731" spans="9:29" x14ac:dyDescent="0.25">
      <c r="I731" s="49"/>
      <c r="J731" s="49"/>
      <c r="K731" s="49"/>
      <c r="M731" s="37"/>
      <c r="V731" s="174"/>
      <c r="W731" s="174"/>
      <c r="X731" s="174"/>
      <c r="Y731" s="188"/>
      <c r="AA731" s="78"/>
      <c r="AC731" s="84"/>
    </row>
    <row r="732" spans="9:29" x14ac:dyDescent="0.25">
      <c r="I732" s="49"/>
      <c r="J732" s="49"/>
      <c r="K732" s="49"/>
      <c r="M732" s="37"/>
      <c r="V732" s="174"/>
      <c r="W732" s="174"/>
      <c r="X732" s="174"/>
      <c r="Y732" s="188"/>
      <c r="AA732" s="78"/>
      <c r="AC732" s="84"/>
    </row>
    <row r="733" spans="9:29" x14ac:dyDescent="0.25">
      <c r="I733" s="49"/>
      <c r="J733" s="49"/>
      <c r="K733" s="49"/>
      <c r="M733" s="37"/>
      <c r="V733" s="174"/>
      <c r="W733" s="174"/>
      <c r="X733" s="174"/>
      <c r="Y733" s="188"/>
      <c r="AA733" s="78"/>
      <c r="AC733" s="84"/>
    </row>
    <row r="734" spans="9:29" x14ac:dyDescent="0.25">
      <c r="I734" s="49"/>
      <c r="J734" s="49"/>
      <c r="K734" s="49"/>
      <c r="M734" s="34"/>
      <c r="V734" s="174"/>
      <c r="W734" s="174"/>
      <c r="X734" s="174"/>
      <c r="Y734" s="188"/>
      <c r="AA734" s="78"/>
      <c r="AC734" s="82"/>
    </row>
    <row r="735" spans="9:29" x14ac:dyDescent="0.25">
      <c r="I735" s="49"/>
      <c r="J735" s="49"/>
      <c r="K735" s="49"/>
      <c r="M735" s="37"/>
      <c r="V735" s="174"/>
      <c r="W735" s="174"/>
      <c r="X735" s="174"/>
      <c r="Y735" s="188"/>
      <c r="AA735" s="78"/>
      <c r="AC735" s="84"/>
    </row>
    <row r="736" spans="9:29" x14ac:dyDescent="0.25">
      <c r="I736" s="49"/>
      <c r="J736" s="49"/>
      <c r="K736" s="49"/>
      <c r="M736" s="37"/>
      <c r="V736" s="174"/>
      <c r="W736" s="174"/>
      <c r="X736" s="174"/>
      <c r="Y736" s="188"/>
      <c r="AA736" s="78"/>
      <c r="AC736" s="84"/>
    </row>
    <row r="737" spans="9:29" x14ac:dyDescent="0.25">
      <c r="I737" s="49"/>
      <c r="J737" s="49"/>
      <c r="K737" s="49"/>
      <c r="M737" s="34"/>
      <c r="V737" s="174"/>
      <c r="W737" s="174"/>
      <c r="X737" s="174"/>
      <c r="Y737" s="188"/>
      <c r="AA737" s="78"/>
      <c r="AC737" s="82"/>
    </row>
    <row r="738" spans="9:29" x14ac:dyDescent="0.25">
      <c r="I738" s="49"/>
      <c r="J738" s="49"/>
      <c r="K738" s="49"/>
      <c r="M738" s="37"/>
      <c r="V738" s="174"/>
      <c r="W738" s="174"/>
      <c r="X738" s="174"/>
      <c r="Y738" s="188"/>
      <c r="AA738" s="78"/>
      <c r="AC738" s="84"/>
    </row>
    <row r="739" spans="9:29" x14ac:dyDescent="0.25">
      <c r="I739" s="49"/>
      <c r="J739" s="49"/>
      <c r="K739" s="49"/>
      <c r="M739" s="37"/>
      <c r="V739" s="174"/>
      <c r="W739" s="174"/>
      <c r="X739" s="174"/>
      <c r="Y739" s="188"/>
      <c r="AA739" s="78"/>
      <c r="AC739" s="84"/>
    </row>
    <row r="740" spans="9:29" x14ac:dyDescent="0.25">
      <c r="I740" s="49"/>
      <c r="J740" s="49"/>
      <c r="K740" s="49"/>
      <c r="M740" s="37"/>
      <c r="V740" s="174"/>
      <c r="W740" s="174"/>
      <c r="X740" s="174"/>
      <c r="Y740" s="188"/>
      <c r="AA740" s="78"/>
      <c r="AC740" s="84"/>
    </row>
    <row r="741" spans="9:29" x14ac:dyDescent="0.25">
      <c r="I741" s="49"/>
      <c r="J741" s="49"/>
      <c r="K741" s="49"/>
      <c r="M741" s="37"/>
      <c r="V741" s="174"/>
      <c r="W741" s="174"/>
      <c r="X741" s="174"/>
      <c r="Y741" s="188"/>
      <c r="AA741" s="78"/>
      <c r="AC741" s="84"/>
    </row>
    <row r="742" spans="9:29" x14ac:dyDescent="0.25">
      <c r="I742" s="49"/>
      <c r="J742" s="49"/>
      <c r="K742" s="49"/>
      <c r="M742" s="34"/>
      <c r="V742" s="174"/>
      <c r="W742" s="174"/>
      <c r="X742" s="174"/>
      <c r="Y742" s="188"/>
      <c r="AA742" s="78"/>
      <c r="AC742" s="82"/>
    </row>
    <row r="743" spans="9:29" x14ac:dyDescent="0.25">
      <c r="I743" s="49"/>
      <c r="J743" s="49"/>
      <c r="K743" s="49"/>
      <c r="M743" s="37"/>
      <c r="V743" s="174"/>
      <c r="W743" s="174"/>
      <c r="X743" s="174"/>
      <c r="Y743" s="188"/>
      <c r="AA743" s="78"/>
      <c r="AC743" s="84"/>
    </row>
    <row r="744" spans="9:29" x14ac:dyDescent="0.25">
      <c r="I744" s="49"/>
      <c r="J744" s="49"/>
      <c r="K744" s="49"/>
      <c r="M744" s="37"/>
      <c r="V744" s="174"/>
      <c r="W744" s="174"/>
      <c r="X744" s="174"/>
      <c r="Y744" s="188"/>
      <c r="AA744" s="78"/>
      <c r="AC744" s="84"/>
    </row>
    <row r="745" spans="9:29" x14ac:dyDescent="0.25">
      <c r="I745" s="49"/>
      <c r="J745" s="49"/>
      <c r="K745" s="49"/>
      <c r="M745" s="37"/>
      <c r="V745" s="174"/>
      <c r="W745" s="174"/>
      <c r="X745" s="174"/>
      <c r="Y745" s="188"/>
      <c r="AA745" s="78"/>
      <c r="AC745" s="84"/>
    </row>
    <row r="746" spans="9:29" x14ac:dyDescent="0.25">
      <c r="I746" s="49"/>
      <c r="J746" s="49"/>
      <c r="K746" s="49"/>
      <c r="M746" s="37"/>
      <c r="V746" s="174"/>
      <c r="W746" s="174"/>
      <c r="X746" s="174"/>
      <c r="Y746" s="188"/>
      <c r="AA746" s="78"/>
      <c r="AC746" s="84"/>
    </row>
    <row r="747" spans="9:29" x14ac:dyDescent="0.25">
      <c r="I747" s="49"/>
      <c r="J747" s="49"/>
      <c r="K747" s="49"/>
      <c r="M747" s="34"/>
      <c r="V747" s="174"/>
      <c r="W747" s="174"/>
      <c r="X747" s="174"/>
      <c r="Y747" s="188"/>
      <c r="AA747" s="78"/>
      <c r="AC747" s="82"/>
    </row>
    <row r="748" spans="9:29" x14ac:dyDescent="0.25">
      <c r="I748" s="49"/>
      <c r="J748" s="49"/>
      <c r="K748" s="49"/>
      <c r="M748" s="37"/>
      <c r="V748" s="174"/>
      <c r="W748" s="174"/>
      <c r="X748" s="174"/>
      <c r="Y748" s="188"/>
      <c r="AA748" s="78"/>
      <c r="AC748" s="84"/>
    </row>
    <row r="749" spans="9:29" x14ac:dyDescent="0.25">
      <c r="I749" s="49"/>
      <c r="J749" s="49"/>
      <c r="K749" s="49"/>
      <c r="M749" s="34"/>
      <c r="V749" s="174"/>
      <c r="W749" s="174"/>
      <c r="X749" s="174"/>
      <c r="Y749" s="188"/>
      <c r="AA749" s="78"/>
      <c r="AC749" s="82"/>
    </row>
    <row r="750" spans="9:29" x14ac:dyDescent="0.25">
      <c r="I750" s="49"/>
      <c r="J750" s="49"/>
      <c r="K750" s="49"/>
      <c r="M750" s="37"/>
      <c r="V750" s="174"/>
      <c r="W750" s="174"/>
      <c r="X750" s="174"/>
      <c r="Y750" s="188"/>
      <c r="AA750" s="78"/>
      <c r="AC750" s="84"/>
    </row>
    <row r="751" spans="9:29" x14ac:dyDescent="0.25">
      <c r="I751" s="49"/>
      <c r="J751" s="49"/>
      <c r="K751" s="49"/>
      <c r="M751" s="37"/>
      <c r="V751" s="174"/>
      <c r="W751" s="174"/>
      <c r="X751" s="174"/>
      <c r="Y751" s="188"/>
      <c r="AA751" s="78"/>
      <c r="AC751" s="84"/>
    </row>
    <row r="752" spans="9:29" x14ac:dyDescent="0.25">
      <c r="I752" s="49"/>
      <c r="J752" s="49"/>
      <c r="K752" s="49"/>
      <c r="M752" s="34"/>
      <c r="V752" s="174"/>
      <c r="W752" s="174"/>
      <c r="X752" s="174"/>
      <c r="Y752" s="188"/>
      <c r="AA752" s="78"/>
      <c r="AC752" s="82"/>
    </row>
    <row r="753" spans="9:29" x14ac:dyDescent="0.25">
      <c r="I753" s="49"/>
      <c r="J753" s="49"/>
      <c r="K753" s="49"/>
      <c r="M753" s="37"/>
      <c r="V753" s="174"/>
      <c r="W753" s="174"/>
      <c r="X753" s="174"/>
      <c r="Y753" s="188"/>
      <c r="AA753" s="78"/>
      <c r="AC753" s="84"/>
    </row>
    <row r="754" spans="9:29" x14ac:dyDescent="0.25">
      <c r="I754" s="49"/>
      <c r="J754" s="49"/>
      <c r="K754" s="49"/>
      <c r="M754" s="37"/>
      <c r="V754" s="174"/>
      <c r="W754" s="174"/>
      <c r="X754" s="174"/>
      <c r="Y754" s="188"/>
      <c r="AA754" s="78"/>
      <c r="AC754" s="84"/>
    </row>
    <row r="755" spans="9:29" x14ac:dyDescent="0.25">
      <c r="I755" s="49"/>
      <c r="J755" s="49"/>
      <c r="K755" s="49"/>
      <c r="M755" s="34"/>
      <c r="V755" s="174"/>
      <c r="W755" s="174"/>
      <c r="X755" s="174"/>
      <c r="Y755" s="188"/>
      <c r="AA755" s="78"/>
      <c r="AC755" s="82"/>
    </row>
    <row r="756" spans="9:29" x14ac:dyDescent="0.25">
      <c r="I756" s="49"/>
      <c r="J756" s="49"/>
      <c r="K756" s="49"/>
      <c r="M756" s="37"/>
      <c r="V756" s="174"/>
      <c r="W756" s="174"/>
      <c r="X756" s="174"/>
      <c r="Y756" s="188"/>
      <c r="AA756" s="78"/>
      <c r="AC756" s="84"/>
    </row>
    <row r="757" spans="9:29" x14ac:dyDescent="0.25">
      <c r="I757" s="49"/>
      <c r="J757" s="49"/>
      <c r="K757" s="49"/>
      <c r="M757" s="37"/>
      <c r="V757" s="174"/>
      <c r="W757" s="174"/>
      <c r="X757" s="174"/>
      <c r="Y757" s="188"/>
      <c r="AA757" s="78"/>
      <c r="AC757" s="84"/>
    </row>
    <row r="758" spans="9:29" x14ac:dyDescent="0.25">
      <c r="I758" s="49"/>
      <c r="J758" s="49"/>
      <c r="K758" s="49"/>
      <c r="M758" s="37"/>
      <c r="V758" s="174"/>
      <c r="W758" s="174"/>
      <c r="X758" s="174"/>
      <c r="Y758" s="188"/>
      <c r="AA758" s="78"/>
      <c r="AC758" s="84"/>
    </row>
    <row r="759" spans="9:29" x14ac:dyDescent="0.25">
      <c r="I759" s="49"/>
      <c r="J759" s="49"/>
      <c r="K759" s="49"/>
      <c r="M759" s="37"/>
      <c r="V759" s="174"/>
      <c r="W759" s="174"/>
      <c r="X759" s="174"/>
      <c r="Y759" s="188"/>
      <c r="AA759" s="78"/>
      <c r="AC759" s="84"/>
    </row>
    <row r="760" spans="9:29" x14ac:dyDescent="0.25">
      <c r="I760" s="49"/>
      <c r="J760" s="49"/>
      <c r="K760" s="49"/>
      <c r="M760" s="37"/>
      <c r="V760" s="174"/>
      <c r="W760" s="174"/>
      <c r="X760" s="174"/>
      <c r="Y760" s="188"/>
      <c r="AA760" s="78"/>
      <c r="AC760" s="84"/>
    </row>
    <row r="761" spans="9:29" x14ac:dyDescent="0.25">
      <c r="I761" s="49"/>
      <c r="J761" s="49"/>
      <c r="K761" s="49"/>
      <c r="M761" s="37"/>
      <c r="V761" s="174"/>
      <c r="W761" s="174"/>
      <c r="X761" s="174"/>
      <c r="Y761" s="188"/>
      <c r="AA761" s="78"/>
      <c r="AC761" s="84"/>
    </row>
    <row r="762" spans="9:29" x14ac:dyDescent="0.25">
      <c r="I762" s="49"/>
      <c r="J762" s="49"/>
      <c r="K762" s="49"/>
      <c r="M762" s="37"/>
      <c r="V762" s="174"/>
      <c r="W762" s="174"/>
      <c r="X762" s="174"/>
      <c r="Y762" s="188"/>
      <c r="AA762" s="78"/>
      <c r="AC762" s="84"/>
    </row>
    <row r="763" spans="9:29" x14ac:dyDescent="0.25">
      <c r="I763" s="49"/>
      <c r="J763" s="49"/>
      <c r="K763" s="49"/>
      <c r="M763" s="37"/>
      <c r="V763" s="174"/>
      <c r="W763" s="174"/>
      <c r="X763" s="174"/>
      <c r="Y763" s="188"/>
      <c r="AA763" s="78"/>
      <c r="AC763" s="84"/>
    </row>
    <row r="764" spans="9:29" x14ac:dyDescent="0.25">
      <c r="I764" s="49"/>
      <c r="J764" s="49"/>
      <c r="K764" s="49"/>
      <c r="M764" s="37"/>
      <c r="V764" s="174"/>
      <c r="W764" s="174"/>
      <c r="X764" s="174"/>
      <c r="Y764" s="188"/>
      <c r="AA764" s="78"/>
      <c r="AC764" s="84"/>
    </row>
    <row r="765" spans="9:29" x14ac:dyDescent="0.25">
      <c r="I765" s="49"/>
      <c r="J765" s="49"/>
      <c r="K765" s="49"/>
      <c r="M765" s="37"/>
      <c r="V765" s="174"/>
      <c r="W765" s="174"/>
      <c r="X765" s="174"/>
      <c r="Y765" s="188"/>
      <c r="AA765" s="78"/>
      <c r="AC765" s="84"/>
    </row>
    <row r="766" spans="9:29" x14ac:dyDescent="0.25">
      <c r="I766" s="49"/>
      <c r="J766" s="49"/>
      <c r="K766" s="49"/>
      <c r="M766" s="37"/>
      <c r="V766" s="174"/>
      <c r="W766" s="174"/>
      <c r="X766" s="174"/>
      <c r="Y766" s="188"/>
      <c r="AA766" s="78"/>
      <c r="AC766" s="84"/>
    </row>
    <row r="767" spans="9:29" x14ac:dyDescent="0.25">
      <c r="I767" s="49"/>
      <c r="J767" s="49"/>
      <c r="K767" s="49"/>
      <c r="V767" s="174"/>
      <c r="W767" s="174"/>
      <c r="X767" s="174"/>
      <c r="Y767" s="188"/>
      <c r="AA767" s="78"/>
    </row>
    <row r="768" spans="9:29" x14ac:dyDescent="0.25">
      <c r="I768" s="49"/>
      <c r="J768" s="49"/>
      <c r="K768" s="49"/>
      <c r="V768" s="174"/>
      <c r="W768" s="174"/>
      <c r="X768" s="174"/>
      <c r="Y768" s="188"/>
      <c r="AA768" s="78"/>
    </row>
    <row r="769" spans="9:27" x14ac:dyDescent="0.25">
      <c r="I769" s="49"/>
      <c r="J769" s="49"/>
      <c r="K769" s="49"/>
      <c r="V769" s="174"/>
      <c r="W769" s="174"/>
      <c r="X769" s="174"/>
      <c r="Y769" s="188"/>
      <c r="AA769" s="78"/>
    </row>
    <row r="770" spans="9:27" x14ac:dyDescent="0.25">
      <c r="I770" s="49"/>
      <c r="J770" s="49"/>
      <c r="K770" s="49"/>
      <c r="V770" s="174"/>
      <c r="W770" s="174"/>
      <c r="X770" s="174"/>
      <c r="Y770" s="188"/>
      <c r="AA770" s="78"/>
    </row>
    <row r="771" spans="9:27" x14ac:dyDescent="0.25">
      <c r="I771" s="49"/>
      <c r="J771" s="49"/>
      <c r="K771" s="49"/>
      <c r="V771" s="174"/>
      <c r="W771" s="174"/>
      <c r="X771" s="174"/>
      <c r="Y771" s="188"/>
      <c r="AA771" s="78"/>
    </row>
    <row r="772" spans="9:27" x14ac:dyDescent="0.25">
      <c r="I772" s="49"/>
      <c r="J772" s="49"/>
      <c r="K772" s="49"/>
      <c r="V772" s="174"/>
      <c r="W772" s="174"/>
      <c r="X772" s="174"/>
      <c r="Y772" s="188"/>
      <c r="AA772" s="78"/>
    </row>
    <row r="773" spans="9:27" x14ac:dyDescent="0.25">
      <c r="I773" s="49"/>
      <c r="J773" s="49"/>
      <c r="K773" s="49"/>
      <c r="V773" s="174"/>
      <c r="W773" s="174"/>
      <c r="X773" s="174"/>
      <c r="Y773" s="188"/>
      <c r="AA773" s="78"/>
    </row>
    <row r="774" spans="9:27" x14ac:dyDescent="0.25">
      <c r="I774" s="49"/>
      <c r="J774" s="49"/>
      <c r="K774" s="49"/>
      <c r="V774" s="174"/>
      <c r="W774" s="174"/>
      <c r="X774" s="174"/>
      <c r="Y774" s="188"/>
      <c r="AA774" s="78"/>
    </row>
    <row r="775" spans="9:27" x14ac:dyDescent="0.25">
      <c r="I775" s="49"/>
      <c r="J775" s="49"/>
      <c r="K775" s="49"/>
      <c r="V775" s="174"/>
      <c r="W775" s="174"/>
      <c r="X775" s="174"/>
      <c r="Y775" s="188"/>
      <c r="AA775" s="78"/>
    </row>
    <row r="776" spans="9:27" x14ac:dyDescent="0.25">
      <c r="I776" s="49"/>
      <c r="J776" s="49"/>
      <c r="K776" s="49"/>
      <c r="V776" s="174"/>
      <c r="W776" s="174"/>
      <c r="X776" s="174"/>
      <c r="Y776" s="188"/>
      <c r="AA776" s="78"/>
    </row>
    <row r="777" spans="9:27" x14ac:dyDescent="0.25">
      <c r="I777" s="49"/>
      <c r="J777" s="49"/>
      <c r="K777" s="49"/>
      <c r="V777" s="174"/>
      <c r="W777" s="174"/>
      <c r="X777" s="174"/>
      <c r="Y777" s="188"/>
      <c r="AA777" s="78"/>
    </row>
    <row r="778" spans="9:27" x14ac:dyDescent="0.25">
      <c r="I778" s="49"/>
      <c r="J778" s="49"/>
      <c r="K778" s="49"/>
      <c r="V778" s="174"/>
      <c r="W778" s="174"/>
      <c r="X778" s="174"/>
      <c r="Y778" s="188"/>
      <c r="AA778" s="78"/>
    </row>
    <row r="779" spans="9:27" x14ac:dyDescent="0.25">
      <c r="I779" s="49"/>
      <c r="J779" s="49"/>
      <c r="K779" s="49"/>
      <c r="V779" s="174"/>
      <c r="W779" s="174"/>
      <c r="X779" s="174"/>
      <c r="Y779" s="188"/>
      <c r="AA779" s="78"/>
    </row>
    <row r="780" spans="9:27" x14ac:dyDescent="0.25">
      <c r="I780" s="49"/>
      <c r="J780" s="49"/>
      <c r="K780" s="49"/>
      <c r="V780" s="174"/>
      <c r="W780" s="174"/>
      <c r="X780" s="174"/>
      <c r="Y780" s="188"/>
      <c r="AA780" s="78"/>
    </row>
    <row r="781" spans="9:27" x14ac:dyDescent="0.25">
      <c r="I781" s="49"/>
      <c r="J781" s="49"/>
      <c r="K781" s="49"/>
      <c r="V781" s="174"/>
      <c r="W781" s="174"/>
      <c r="X781" s="174"/>
      <c r="Y781" s="188"/>
      <c r="AA781" s="78"/>
    </row>
    <row r="782" spans="9:27" x14ac:dyDescent="0.25">
      <c r="I782" s="49"/>
      <c r="J782" s="49"/>
      <c r="K782" s="49"/>
      <c r="V782" s="174"/>
      <c r="W782" s="174"/>
      <c r="X782" s="174"/>
      <c r="Y782" s="188"/>
      <c r="AA782" s="78"/>
    </row>
    <row r="783" spans="9:27" x14ac:dyDescent="0.25">
      <c r="I783" s="49"/>
      <c r="J783" s="49"/>
      <c r="K783" s="49"/>
      <c r="V783" s="174"/>
      <c r="W783" s="174"/>
      <c r="X783" s="174"/>
      <c r="Y783" s="188"/>
      <c r="AA783" s="78"/>
    </row>
    <row r="784" spans="9:27" x14ac:dyDescent="0.25">
      <c r="I784" s="49"/>
      <c r="J784" s="49"/>
      <c r="K784" s="49"/>
      <c r="V784" s="174"/>
      <c r="W784" s="174"/>
      <c r="X784" s="174"/>
      <c r="Y784" s="188"/>
      <c r="AA784" s="78"/>
    </row>
    <row r="785" spans="9:27" x14ac:dyDescent="0.25">
      <c r="I785" s="49"/>
      <c r="J785" s="49"/>
      <c r="K785" s="49"/>
      <c r="V785" s="174"/>
      <c r="W785" s="174"/>
      <c r="X785" s="174"/>
      <c r="Y785" s="188"/>
      <c r="AA785" s="78"/>
    </row>
    <row r="786" spans="9:27" x14ac:dyDescent="0.25">
      <c r="I786" s="49"/>
      <c r="J786" s="49"/>
      <c r="K786" s="49"/>
      <c r="V786" s="174"/>
      <c r="W786" s="174"/>
      <c r="X786" s="174"/>
      <c r="Y786" s="188"/>
      <c r="AA786" s="78"/>
    </row>
    <row r="787" spans="9:27" x14ac:dyDescent="0.25">
      <c r="I787" s="49"/>
      <c r="J787" s="49"/>
      <c r="K787" s="49"/>
      <c r="V787" s="174"/>
      <c r="W787" s="174"/>
      <c r="X787" s="174"/>
      <c r="Y787" s="188"/>
      <c r="AA787" s="78"/>
    </row>
    <row r="788" spans="9:27" x14ac:dyDescent="0.25">
      <c r="I788" s="49"/>
      <c r="J788" s="49"/>
      <c r="K788" s="49"/>
      <c r="V788" s="174"/>
      <c r="W788" s="174"/>
      <c r="X788" s="174"/>
      <c r="Y788" s="188"/>
      <c r="AA788" s="78"/>
    </row>
    <row r="789" spans="9:27" x14ac:dyDescent="0.25">
      <c r="I789" s="49"/>
      <c r="J789" s="49"/>
      <c r="K789" s="49"/>
      <c r="V789" s="174"/>
      <c r="W789" s="174"/>
      <c r="X789" s="174"/>
      <c r="Y789" s="188"/>
      <c r="AA789" s="78"/>
    </row>
    <row r="790" spans="9:27" x14ac:dyDescent="0.25">
      <c r="I790" s="49"/>
      <c r="J790" s="49"/>
      <c r="K790" s="49"/>
      <c r="V790" s="174"/>
      <c r="W790" s="174"/>
      <c r="X790" s="174"/>
      <c r="Y790" s="188"/>
      <c r="AA790" s="78"/>
    </row>
    <row r="791" spans="9:27" x14ac:dyDescent="0.25">
      <c r="I791" s="49"/>
      <c r="J791" s="49"/>
      <c r="K791" s="49"/>
      <c r="V791" s="174"/>
      <c r="W791" s="174"/>
      <c r="X791" s="174"/>
      <c r="Y791" s="188"/>
      <c r="AA791" s="78"/>
    </row>
    <row r="792" spans="9:27" x14ac:dyDescent="0.25">
      <c r="I792" s="49"/>
      <c r="J792" s="49"/>
      <c r="K792" s="49"/>
      <c r="V792" s="174"/>
      <c r="W792" s="174"/>
      <c r="X792" s="174"/>
      <c r="Y792" s="188"/>
      <c r="AA792" s="78"/>
    </row>
    <row r="793" spans="9:27" x14ac:dyDescent="0.25">
      <c r="I793" s="49"/>
      <c r="J793" s="49"/>
      <c r="K793" s="49"/>
      <c r="V793" s="174"/>
      <c r="W793" s="174"/>
      <c r="X793" s="174"/>
      <c r="Y793" s="188"/>
      <c r="AA793" s="78"/>
    </row>
    <row r="794" spans="9:27" x14ac:dyDescent="0.25">
      <c r="I794" s="49"/>
      <c r="J794" s="49"/>
      <c r="K794" s="49"/>
      <c r="V794" s="174"/>
      <c r="W794" s="174"/>
      <c r="X794" s="174"/>
      <c r="Y794" s="188"/>
      <c r="AA794" s="78"/>
    </row>
    <row r="795" spans="9:27" x14ac:dyDescent="0.25">
      <c r="I795" s="49"/>
      <c r="J795" s="49"/>
      <c r="K795" s="49"/>
      <c r="V795" s="174"/>
      <c r="W795" s="174"/>
      <c r="X795" s="174"/>
      <c r="Y795" s="188"/>
      <c r="AA795" s="78"/>
    </row>
    <row r="796" spans="9:27" x14ac:dyDescent="0.25">
      <c r="I796" s="49"/>
      <c r="J796" s="49"/>
      <c r="K796" s="49"/>
      <c r="V796" s="174"/>
      <c r="W796" s="174"/>
      <c r="X796" s="174"/>
      <c r="Y796" s="188"/>
      <c r="AA796" s="78"/>
    </row>
    <row r="797" spans="9:27" x14ac:dyDescent="0.25">
      <c r="I797" s="49"/>
      <c r="J797" s="49"/>
      <c r="K797" s="49"/>
      <c r="V797" s="174"/>
      <c r="W797" s="174"/>
      <c r="X797" s="174"/>
      <c r="Y797" s="188"/>
      <c r="AA797" s="78"/>
    </row>
    <row r="798" spans="9:27" x14ac:dyDescent="0.25">
      <c r="I798" s="49"/>
      <c r="J798" s="49"/>
      <c r="K798" s="49"/>
      <c r="V798" s="174"/>
      <c r="W798" s="174"/>
      <c r="X798" s="174"/>
      <c r="Y798" s="188"/>
      <c r="AA798" s="78"/>
    </row>
    <row r="799" spans="9:27" x14ac:dyDescent="0.25">
      <c r="I799" s="49"/>
      <c r="J799" s="49"/>
      <c r="K799" s="49"/>
      <c r="V799" s="174"/>
      <c r="W799" s="174"/>
      <c r="X799" s="174"/>
      <c r="Y799" s="188"/>
      <c r="AA799" s="78"/>
    </row>
    <row r="800" spans="9:27" x14ac:dyDescent="0.25">
      <c r="I800" s="49"/>
      <c r="J800" s="49"/>
      <c r="K800" s="49"/>
      <c r="V800" s="174"/>
      <c r="W800" s="174"/>
      <c r="X800" s="174"/>
      <c r="Y800" s="188"/>
      <c r="AA800" s="78"/>
    </row>
    <row r="801" spans="9:27" x14ac:dyDescent="0.25">
      <c r="I801" s="49"/>
      <c r="J801" s="49"/>
      <c r="K801" s="49"/>
      <c r="V801" s="174"/>
      <c r="W801" s="174"/>
      <c r="X801" s="174"/>
      <c r="Y801" s="188"/>
      <c r="AA801" s="78"/>
    </row>
    <row r="802" spans="9:27" x14ac:dyDescent="0.25">
      <c r="I802" s="49"/>
      <c r="J802" s="49"/>
      <c r="K802" s="49"/>
      <c r="V802" s="174"/>
      <c r="W802" s="174"/>
      <c r="X802" s="174"/>
      <c r="Y802" s="188"/>
      <c r="AA802" s="78"/>
    </row>
    <row r="803" spans="9:27" x14ac:dyDescent="0.25">
      <c r="I803" s="49"/>
      <c r="J803" s="49"/>
      <c r="K803" s="49"/>
      <c r="V803" s="174"/>
      <c r="W803" s="174"/>
      <c r="X803" s="174"/>
      <c r="Y803" s="188"/>
      <c r="AA803" s="78"/>
    </row>
    <row r="804" spans="9:27" x14ac:dyDescent="0.25">
      <c r="I804" s="49"/>
      <c r="J804" s="49"/>
      <c r="K804" s="49"/>
      <c r="V804" s="174"/>
      <c r="W804" s="174"/>
      <c r="X804" s="174"/>
      <c r="Y804" s="188"/>
      <c r="AA804" s="78"/>
    </row>
    <row r="805" spans="9:27" x14ac:dyDescent="0.25">
      <c r="I805" s="49"/>
      <c r="J805" s="49"/>
      <c r="K805" s="49"/>
      <c r="V805" s="174"/>
      <c r="W805" s="174"/>
      <c r="X805" s="174"/>
      <c r="Y805" s="188"/>
      <c r="AA805" s="78"/>
    </row>
    <row r="806" spans="9:27" x14ac:dyDescent="0.25">
      <c r="I806" s="49"/>
      <c r="J806" s="49"/>
      <c r="K806" s="49"/>
      <c r="V806" s="174"/>
      <c r="W806" s="174"/>
      <c r="X806" s="174"/>
      <c r="Y806" s="188"/>
      <c r="AA806" s="78"/>
    </row>
    <row r="807" spans="9:27" x14ac:dyDescent="0.25">
      <c r="I807" s="49"/>
      <c r="J807" s="49"/>
      <c r="K807" s="49"/>
      <c r="V807" s="174"/>
      <c r="W807" s="174"/>
      <c r="X807" s="174"/>
      <c r="Y807" s="188"/>
      <c r="AA807" s="78"/>
    </row>
    <row r="808" spans="9:27" x14ac:dyDescent="0.25">
      <c r="I808" s="49"/>
      <c r="J808" s="49"/>
      <c r="K808" s="49"/>
      <c r="V808" s="174"/>
      <c r="W808" s="174"/>
      <c r="X808" s="174"/>
      <c r="Y808" s="188"/>
      <c r="AA808" s="78"/>
    </row>
    <row r="809" spans="9:27" x14ac:dyDescent="0.25">
      <c r="I809" s="49"/>
      <c r="J809" s="49"/>
      <c r="K809" s="49"/>
      <c r="V809" s="174"/>
      <c r="W809" s="174"/>
      <c r="X809" s="174"/>
      <c r="Y809" s="188"/>
      <c r="AA809" s="78"/>
    </row>
    <row r="810" spans="9:27" x14ac:dyDescent="0.25">
      <c r="I810" s="49"/>
      <c r="J810" s="49"/>
      <c r="K810" s="49"/>
      <c r="V810" s="174"/>
      <c r="W810" s="174"/>
      <c r="X810" s="174"/>
      <c r="Y810" s="188"/>
      <c r="AA810" s="78"/>
    </row>
    <row r="811" spans="9:27" x14ac:dyDescent="0.25">
      <c r="I811" s="49"/>
      <c r="J811" s="49"/>
      <c r="K811" s="49"/>
      <c r="V811" s="174"/>
      <c r="W811" s="174"/>
      <c r="X811" s="174"/>
      <c r="Y811" s="188"/>
      <c r="AA811" s="78"/>
    </row>
    <row r="812" spans="9:27" x14ac:dyDescent="0.25">
      <c r="I812" s="49"/>
      <c r="J812" s="49"/>
      <c r="K812" s="49"/>
      <c r="V812" s="174"/>
      <c r="W812" s="174"/>
      <c r="X812" s="174"/>
      <c r="Y812" s="188"/>
      <c r="AA812" s="78"/>
    </row>
    <row r="813" spans="9:27" x14ac:dyDescent="0.25">
      <c r="I813" s="49"/>
      <c r="J813" s="49"/>
      <c r="K813" s="49"/>
      <c r="V813" s="174"/>
      <c r="W813" s="174"/>
      <c r="X813" s="174"/>
      <c r="Y813" s="188"/>
      <c r="AA813" s="78"/>
    </row>
    <row r="814" spans="9:27" x14ac:dyDescent="0.25">
      <c r="I814" s="49"/>
      <c r="J814" s="49"/>
      <c r="K814" s="49"/>
      <c r="V814" s="174"/>
      <c r="W814" s="174"/>
      <c r="X814" s="174"/>
      <c r="Y814" s="188"/>
      <c r="AA814" s="78"/>
    </row>
    <row r="815" spans="9:27" x14ac:dyDescent="0.25">
      <c r="I815" s="49"/>
      <c r="J815" s="49"/>
      <c r="K815" s="49"/>
      <c r="V815" s="174"/>
      <c r="W815" s="174"/>
      <c r="X815" s="174"/>
      <c r="Y815" s="188"/>
      <c r="AA815" s="78"/>
    </row>
    <row r="816" spans="9:27" x14ac:dyDescent="0.25">
      <c r="I816" s="49"/>
      <c r="J816" s="49"/>
      <c r="K816" s="49"/>
      <c r="V816" s="174"/>
      <c r="W816" s="174"/>
      <c r="X816" s="174"/>
      <c r="Y816" s="188"/>
      <c r="AA816" s="78"/>
    </row>
    <row r="817" spans="9:27" x14ac:dyDescent="0.25">
      <c r="I817" s="49"/>
      <c r="J817" s="49"/>
      <c r="K817" s="49"/>
      <c r="V817" s="174"/>
      <c r="W817" s="174"/>
      <c r="X817" s="174"/>
      <c r="Y817" s="188"/>
      <c r="AA817" s="78"/>
    </row>
    <row r="818" spans="9:27" x14ac:dyDescent="0.25">
      <c r="I818" s="49"/>
      <c r="J818" s="49"/>
      <c r="K818" s="49"/>
      <c r="V818" s="174"/>
      <c r="W818" s="174"/>
      <c r="X818" s="174"/>
      <c r="Y818" s="188"/>
      <c r="AA818" s="78"/>
    </row>
    <row r="819" spans="9:27" x14ac:dyDescent="0.25">
      <c r="I819" s="49"/>
      <c r="J819" s="49"/>
      <c r="K819" s="49"/>
      <c r="V819" s="174"/>
      <c r="W819" s="174"/>
      <c r="X819" s="174"/>
      <c r="Y819" s="188"/>
      <c r="AA819" s="78"/>
    </row>
    <row r="820" spans="9:27" x14ac:dyDescent="0.25">
      <c r="I820" s="49"/>
      <c r="J820" s="49"/>
      <c r="K820" s="49"/>
      <c r="V820" s="174"/>
      <c r="W820" s="174"/>
      <c r="X820" s="174"/>
      <c r="Y820" s="188"/>
      <c r="AA820" s="78"/>
    </row>
    <row r="821" spans="9:27" x14ac:dyDescent="0.25">
      <c r="I821" s="49"/>
      <c r="J821" s="49"/>
      <c r="K821" s="49"/>
      <c r="V821" s="174"/>
      <c r="W821" s="174"/>
      <c r="X821" s="174"/>
      <c r="Y821" s="188"/>
      <c r="AA821" s="78"/>
    </row>
    <row r="822" spans="9:27" x14ac:dyDescent="0.25">
      <c r="I822" s="49"/>
      <c r="J822" s="49"/>
      <c r="K822" s="49"/>
      <c r="V822" s="174"/>
      <c r="W822" s="174"/>
      <c r="X822" s="174"/>
      <c r="Y822" s="188"/>
      <c r="AA822" s="78"/>
    </row>
    <row r="823" spans="9:27" x14ac:dyDescent="0.25">
      <c r="I823" s="49"/>
      <c r="J823" s="49"/>
      <c r="K823" s="49"/>
      <c r="V823" s="174"/>
      <c r="W823" s="174"/>
      <c r="X823" s="174"/>
      <c r="Y823" s="188"/>
      <c r="AA823" s="78"/>
    </row>
    <row r="824" spans="9:27" x14ac:dyDescent="0.25">
      <c r="I824" s="49"/>
      <c r="J824" s="49"/>
      <c r="K824" s="49"/>
      <c r="V824" s="174"/>
      <c r="W824" s="174"/>
      <c r="X824" s="174"/>
      <c r="Y824" s="188"/>
      <c r="AA824" s="78"/>
    </row>
    <row r="825" spans="9:27" x14ac:dyDescent="0.25">
      <c r="I825" s="49"/>
      <c r="J825" s="49"/>
      <c r="K825" s="49"/>
      <c r="V825" s="174"/>
      <c r="W825" s="174"/>
      <c r="X825" s="174"/>
      <c r="Y825" s="188"/>
      <c r="AA825" s="78"/>
    </row>
    <row r="826" spans="9:27" x14ac:dyDescent="0.25">
      <c r="I826" s="49"/>
      <c r="J826" s="49"/>
      <c r="K826" s="49"/>
      <c r="V826" s="174"/>
      <c r="W826" s="174"/>
      <c r="X826" s="174"/>
      <c r="Y826" s="188"/>
      <c r="AA826" s="78"/>
    </row>
    <row r="827" spans="9:27" x14ac:dyDescent="0.25">
      <c r="I827" s="49"/>
      <c r="J827" s="49"/>
      <c r="K827" s="49"/>
      <c r="V827" s="174"/>
      <c r="W827" s="174"/>
      <c r="X827" s="174"/>
      <c r="Y827" s="188"/>
      <c r="AA827" s="78"/>
    </row>
    <row r="828" spans="9:27" x14ac:dyDescent="0.25">
      <c r="I828" s="49"/>
      <c r="J828" s="49"/>
      <c r="K828" s="49"/>
      <c r="V828" s="174"/>
      <c r="W828" s="174"/>
      <c r="X828" s="174"/>
      <c r="Y828" s="188"/>
      <c r="AA828" s="78"/>
    </row>
    <row r="829" spans="9:27" x14ac:dyDescent="0.25">
      <c r="I829" s="49"/>
      <c r="J829" s="49"/>
      <c r="K829" s="49"/>
      <c r="V829" s="174"/>
      <c r="W829" s="174"/>
      <c r="X829" s="174"/>
      <c r="Y829" s="188"/>
      <c r="AA829" s="78"/>
    </row>
    <row r="830" spans="9:27" x14ac:dyDescent="0.25">
      <c r="I830" s="49"/>
      <c r="J830" s="49"/>
      <c r="K830" s="49"/>
      <c r="V830" s="174"/>
      <c r="W830" s="174"/>
      <c r="X830" s="174"/>
      <c r="Y830" s="188"/>
      <c r="AA830" s="78"/>
    </row>
    <row r="831" spans="9:27" x14ac:dyDescent="0.25">
      <c r="I831" s="49"/>
      <c r="J831" s="49"/>
      <c r="K831" s="49"/>
      <c r="V831" s="174"/>
      <c r="W831" s="174"/>
      <c r="X831" s="174"/>
      <c r="Y831" s="188"/>
      <c r="AA831" s="78"/>
    </row>
    <row r="832" spans="9:27" x14ac:dyDescent="0.25">
      <c r="I832" s="49"/>
      <c r="J832" s="49"/>
      <c r="K832" s="49"/>
      <c r="V832" s="174"/>
      <c r="W832" s="174"/>
      <c r="X832" s="174"/>
      <c r="Y832" s="188"/>
      <c r="AA832" s="78"/>
    </row>
    <row r="833" spans="9:27" x14ac:dyDescent="0.25">
      <c r="I833" s="49"/>
      <c r="J833" s="49"/>
      <c r="K833" s="49"/>
      <c r="V833" s="174"/>
      <c r="W833" s="174"/>
      <c r="X833" s="174"/>
      <c r="Y833" s="188"/>
      <c r="AA833" s="78"/>
    </row>
    <row r="834" spans="9:27" x14ac:dyDescent="0.25">
      <c r="I834" s="49"/>
      <c r="J834" s="49"/>
      <c r="K834" s="49"/>
      <c r="V834" s="174"/>
      <c r="W834" s="174"/>
      <c r="X834" s="174"/>
      <c r="Y834" s="188"/>
      <c r="AA834" s="78"/>
    </row>
    <row r="835" spans="9:27" x14ac:dyDescent="0.25">
      <c r="I835" s="49"/>
      <c r="J835" s="49"/>
      <c r="K835" s="49"/>
      <c r="V835" s="174"/>
      <c r="W835" s="174"/>
      <c r="X835" s="174"/>
      <c r="Y835" s="188"/>
      <c r="AA835" s="78"/>
    </row>
    <row r="836" spans="9:27" x14ac:dyDescent="0.25">
      <c r="I836" s="49"/>
      <c r="J836" s="49"/>
      <c r="K836" s="49"/>
      <c r="V836" s="174"/>
      <c r="W836" s="174"/>
      <c r="X836" s="174"/>
      <c r="Y836" s="188"/>
      <c r="AA836" s="78"/>
    </row>
    <row r="837" spans="9:27" x14ac:dyDescent="0.25">
      <c r="I837" s="49"/>
      <c r="J837" s="49"/>
      <c r="K837" s="49"/>
      <c r="V837" s="174"/>
      <c r="W837" s="174"/>
      <c r="X837" s="174"/>
      <c r="Y837" s="188"/>
      <c r="AA837" s="78"/>
    </row>
    <row r="838" spans="9:27" x14ac:dyDescent="0.25">
      <c r="I838" s="49"/>
      <c r="J838" s="49"/>
      <c r="K838" s="49"/>
      <c r="V838" s="174"/>
      <c r="W838" s="174"/>
      <c r="X838" s="174"/>
      <c r="Y838" s="188"/>
      <c r="AA838" s="78"/>
    </row>
    <row r="839" spans="9:27" x14ac:dyDescent="0.25">
      <c r="I839" s="49"/>
      <c r="J839" s="49"/>
      <c r="K839" s="49"/>
      <c r="V839" s="174"/>
      <c r="W839" s="174"/>
      <c r="X839" s="174"/>
      <c r="Y839" s="188"/>
      <c r="AA839" s="78"/>
    </row>
    <row r="840" spans="9:27" x14ac:dyDescent="0.25">
      <c r="I840" s="49"/>
      <c r="J840" s="49"/>
      <c r="K840" s="49"/>
      <c r="V840" s="174"/>
      <c r="W840" s="174"/>
      <c r="X840" s="174"/>
      <c r="Y840" s="188"/>
      <c r="AA840" s="78"/>
    </row>
    <row r="841" spans="9:27" x14ac:dyDescent="0.25">
      <c r="I841" s="49"/>
      <c r="J841" s="49"/>
      <c r="K841" s="49"/>
      <c r="V841" s="174"/>
      <c r="W841" s="174"/>
      <c r="X841" s="174"/>
      <c r="Y841" s="188"/>
      <c r="AA841" s="78"/>
    </row>
    <row r="842" spans="9:27" x14ac:dyDescent="0.25">
      <c r="I842" s="49"/>
      <c r="J842" s="49"/>
      <c r="K842" s="49"/>
      <c r="V842" s="174"/>
      <c r="W842" s="174"/>
      <c r="X842" s="174"/>
      <c r="Y842" s="188"/>
      <c r="AA842" s="78"/>
    </row>
    <row r="843" spans="9:27" x14ac:dyDescent="0.25">
      <c r="I843" s="49"/>
      <c r="J843" s="49"/>
      <c r="K843" s="49"/>
      <c r="V843" s="174"/>
      <c r="W843" s="174"/>
      <c r="X843" s="174"/>
      <c r="Y843" s="188"/>
      <c r="AA843" s="78"/>
    </row>
    <row r="844" spans="9:27" x14ac:dyDescent="0.25">
      <c r="I844" s="49"/>
      <c r="J844" s="49"/>
      <c r="K844" s="49"/>
      <c r="V844" s="174"/>
      <c r="W844" s="174"/>
      <c r="X844" s="174"/>
      <c r="Y844" s="188"/>
      <c r="AA844" s="78"/>
    </row>
    <row r="845" spans="9:27" x14ac:dyDescent="0.25">
      <c r="I845" s="49"/>
      <c r="J845" s="49"/>
      <c r="K845" s="49"/>
      <c r="V845" s="174"/>
      <c r="W845" s="174"/>
      <c r="X845" s="174"/>
      <c r="Y845" s="188"/>
      <c r="AA845" s="78"/>
    </row>
    <row r="846" spans="9:27" x14ac:dyDescent="0.25">
      <c r="I846" s="49"/>
      <c r="J846" s="49"/>
      <c r="K846" s="49"/>
      <c r="V846" s="174"/>
      <c r="W846" s="174"/>
      <c r="X846" s="174"/>
      <c r="Y846" s="188"/>
      <c r="AA846" s="78"/>
    </row>
    <row r="847" spans="9:27" x14ac:dyDescent="0.25">
      <c r="I847" s="49"/>
      <c r="J847" s="49"/>
      <c r="K847" s="49"/>
      <c r="V847" s="174"/>
      <c r="W847" s="174"/>
      <c r="X847" s="174"/>
      <c r="Y847" s="188"/>
      <c r="AA847" s="78"/>
    </row>
    <row r="848" spans="9:27" x14ac:dyDescent="0.25">
      <c r="I848" s="49"/>
      <c r="J848" s="49"/>
      <c r="K848" s="49"/>
      <c r="V848" s="174"/>
      <c r="W848" s="174"/>
      <c r="X848" s="174"/>
      <c r="Y848" s="188"/>
      <c r="AA848" s="78"/>
    </row>
    <row r="849" spans="9:27" x14ac:dyDescent="0.25">
      <c r="I849" s="49"/>
      <c r="J849" s="49"/>
      <c r="K849" s="49"/>
      <c r="V849" s="174"/>
      <c r="W849" s="174"/>
      <c r="X849" s="174"/>
      <c r="Y849" s="188"/>
      <c r="AA849" s="78"/>
    </row>
    <row r="850" spans="9:27" x14ac:dyDescent="0.25">
      <c r="I850" s="49"/>
      <c r="J850" s="49"/>
      <c r="K850" s="49"/>
      <c r="V850" s="174"/>
      <c r="W850" s="174"/>
      <c r="X850" s="174"/>
      <c r="Y850" s="188"/>
      <c r="AA850" s="78"/>
    </row>
    <row r="851" spans="9:27" x14ac:dyDescent="0.25">
      <c r="I851" s="49"/>
      <c r="J851" s="49"/>
      <c r="K851" s="49"/>
      <c r="V851" s="174"/>
      <c r="W851" s="174"/>
      <c r="X851" s="174"/>
      <c r="Y851" s="188"/>
      <c r="AA851" s="78"/>
    </row>
    <row r="852" spans="9:27" x14ac:dyDescent="0.25">
      <c r="I852" s="49"/>
      <c r="J852" s="49"/>
      <c r="K852" s="49"/>
      <c r="V852" s="174"/>
      <c r="W852" s="174"/>
      <c r="X852" s="174"/>
      <c r="Y852" s="188"/>
      <c r="AA852" s="78"/>
    </row>
    <row r="853" spans="9:27" x14ac:dyDescent="0.25">
      <c r="I853" s="49"/>
      <c r="J853" s="49"/>
      <c r="K853" s="49"/>
      <c r="V853" s="174"/>
      <c r="W853" s="174"/>
      <c r="X853" s="174"/>
      <c r="Y853" s="188"/>
      <c r="AA853" s="78"/>
    </row>
    <row r="854" spans="9:27" x14ac:dyDescent="0.25">
      <c r="I854" s="49"/>
      <c r="J854" s="49"/>
      <c r="K854" s="49"/>
      <c r="V854" s="174"/>
      <c r="W854" s="174"/>
      <c r="X854" s="174"/>
      <c r="Y854" s="188"/>
      <c r="AA854" s="78"/>
    </row>
    <row r="855" spans="9:27" x14ac:dyDescent="0.25">
      <c r="I855" s="49"/>
      <c r="J855" s="49"/>
      <c r="K855" s="49"/>
      <c r="V855" s="174"/>
      <c r="W855" s="174"/>
      <c r="X855" s="174"/>
      <c r="Y855" s="188"/>
      <c r="AA855" s="78"/>
    </row>
    <row r="856" spans="9:27" x14ac:dyDescent="0.25">
      <c r="I856" s="49"/>
      <c r="J856" s="49"/>
      <c r="K856" s="49"/>
      <c r="V856" s="174"/>
      <c r="W856" s="174"/>
      <c r="X856" s="174"/>
      <c r="Y856" s="188"/>
      <c r="AA856" s="78"/>
    </row>
    <row r="857" spans="9:27" x14ac:dyDescent="0.25">
      <c r="I857" s="49"/>
      <c r="J857" s="49"/>
      <c r="K857" s="49"/>
      <c r="V857" s="174"/>
      <c r="W857" s="174"/>
      <c r="X857" s="174"/>
      <c r="Y857" s="188"/>
      <c r="AA857" s="78"/>
    </row>
    <row r="858" spans="9:27" x14ac:dyDescent="0.25">
      <c r="I858" s="49"/>
      <c r="J858" s="49"/>
      <c r="K858" s="49"/>
      <c r="V858" s="174"/>
      <c r="W858" s="174"/>
      <c r="X858" s="174"/>
      <c r="Y858" s="188"/>
      <c r="AA858" s="78"/>
    </row>
    <row r="859" spans="9:27" x14ac:dyDescent="0.25">
      <c r="I859" s="49"/>
      <c r="J859" s="49"/>
      <c r="K859" s="49"/>
      <c r="V859" s="174"/>
      <c r="W859" s="174"/>
      <c r="X859" s="174"/>
      <c r="Y859" s="188"/>
      <c r="AA859" s="78"/>
    </row>
    <row r="860" spans="9:27" x14ac:dyDescent="0.25">
      <c r="I860" s="49"/>
      <c r="J860" s="49"/>
      <c r="K860" s="49"/>
      <c r="V860" s="174"/>
      <c r="W860" s="174"/>
      <c r="X860" s="174"/>
      <c r="Y860" s="188"/>
      <c r="AA860" s="78"/>
    </row>
    <row r="861" spans="9:27" x14ac:dyDescent="0.25">
      <c r="I861" s="49"/>
      <c r="J861" s="49"/>
      <c r="K861" s="49"/>
      <c r="V861" s="174"/>
      <c r="W861" s="174"/>
      <c r="X861" s="174"/>
      <c r="Y861" s="188"/>
      <c r="AA861" s="78"/>
    </row>
    <row r="862" spans="9:27" x14ac:dyDescent="0.25">
      <c r="I862" s="49"/>
      <c r="J862" s="49"/>
      <c r="K862" s="49"/>
      <c r="V862" s="174"/>
      <c r="W862" s="174"/>
      <c r="X862" s="174"/>
      <c r="Y862" s="188"/>
      <c r="AA862" s="78"/>
    </row>
    <row r="863" spans="9:27" x14ac:dyDescent="0.25">
      <c r="I863" s="49"/>
      <c r="J863" s="49"/>
      <c r="K863" s="49"/>
      <c r="V863" s="174"/>
      <c r="W863" s="174"/>
      <c r="X863" s="174"/>
      <c r="Y863" s="188"/>
      <c r="AA863" s="78"/>
    </row>
    <row r="864" spans="9:27" x14ac:dyDescent="0.25">
      <c r="I864" s="49"/>
      <c r="J864" s="49"/>
      <c r="K864" s="49"/>
      <c r="V864" s="174"/>
      <c r="W864" s="174"/>
      <c r="X864" s="174"/>
      <c r="Y864" s="188"/>
      <c r="AA864" s="78"/>
    </row>
    <row r="865" spans="9:27" x14ac:dyDescent="0.25">
      <c r="I865" s="49"/>
      <c r="J865" s="49"/>
      <c r="K865" s="49"/>
      <c r="V865" s="174"/>
      <c r="W865" s="174"/>
      <c r="X865" s="174"/>
      <c r="Y865" s="188"/>
      <c r="AA865" s="78"/>
    </row>
    <row r="866" spans="9:27" x14ac:dyDescent="0.25">
      <c r="I866" s="49"/>
      <c r="J866" s="49"/>
      <c r="K866" s="49"/>
      <c r="V866" s="174"/>
      <c r="W866" s="174"/>
      <c r="X866" s="174"/>
      <c r="Y866" s="188"/>
      <c r="AA866" s="78"/>
    </row>
    <row r="867" spans="9:27" x14ac:dyDescent="0.25">
      <c r="I867" s="49"/>
      <c r="J867" s="49"/>
      <c r="K867" s="49"/>
      <c r="V867" s="174"/>
      <c r="W867" s="174"/>
      <c r="X867" s="174"/>
      <c r="Y867" s="188"/>
      <c r="AA867" s="78"/>
    </row>
    <row r="868" spans="9:27" x14ac:dyDescent="0.25">
      <c r="I868" s="49"/>
      <c r="J868" s="49"/>
      <c r="K868" s="49"/>
      <c r="V868" s="174"/>
      <c r="W868" s="174"/>
      <c r="X868" s="174"/>
      <c r="Y868" s="188"/>
      <c r="AA868" s="78"/>
    </row>
    <row r="869" spans="9:27" x14ac:dyDescent="0.25">
      <c r="I869" s="49"/>
      <c r="J869" s="49"/>
      <c r="K869" s="49"/>
      <c r="V869" s="174"/>
      <c r="W869" s="174"/>
      <c r="X869" s="174"/>
      <c r="Y869" s="188"/>
      <c r="AA869" s="78"/>
    </row>
    <row r="870" spans="9:27" x14ac:dyDescent="0.25">
      <c r="I870" s="49"/>
      <c r="J870" s="49"/>
      <c r="K870" s="49"/>
      <c r="V870" s="174"/>
      <c r="W870" s="174"/>
      <c r="X870" s="174"/>
      <c r="Y870" s="188"/>
      <c r="AA870" s="78"/>
    </row>
    <row r="871" spans="9:27" x14ac:dyDescent="0.25">
      <c r="I871" s="49"/>
      <c r="J871" s="49"/>
      <c r="K871" s="49"/>
      <c r="V871" s="174"/>
      <c r="W871" s="174"/>
      <c r="X871" s="174"/>
      <c r="Y871" s="188"/>
      <c r="AA871" s="78"/>
    </row>
    <row r="872" spans="9:27" x14ac:dyDescent="0.25">
      <c r="I872" s="49"/>
      <c r="J872" s="49"/>
      <c r="K872" s="49"/>
      <c r="V872" s="174"/>
      <c r="W872" s="174"/>
      <c r="X872" s="174"/>
      <c r="Y872" s="188"/>
      <c r="AA872" s="78"/>
    </row>
    <row r="873" spans="9:27" x14ac:dyDescent="0.25">
      <c r="I873" s="49"/>
      <c r="J873" s="49"/>
      <c r="K873" s="49"/>
      <c r="V873" s="174"/>
      <c r="W873" s="174"/>
      <c r="X873" s="174"/>
      <c r="Y873" s="188"/>
      <c r="AA873" s="78"/>
    </row>
    <row r="874" spans="9:27" x14ac:dyDescent="0.25">
      <c r="I874" s="49"/>
      <c r="J874" s="49"/>
      <c r="K874" s="49"/>
      <c r="V874" s="174"/>
      <c r="W874" s="174"/>
      <c r="X874" s="174"/>
      <c r="Y874" s="188"/>
      <c r="AA874" s="78"/>
    </row>
    <row r="875" spans="9:27" x14ac:dyDescent="0.25">
      <c r="I875" s="49"/>
      <c r="J875" s="49"/>
      <c r="K875" s="49"/>
      <c r="V875" s="174"/>
      <c r="W875" s="174"/>
      <c r="X875" s="174"/>
      <c r="Y875" s="188"/>
      <c r="AA875" s="78"/>
    </row>
    <row r="876" spans="9:27" x14ac:dyDescent="0.25">
      <c r="I876" s="49"/>
      <c r="J876" s="49"/>
      <c r="K876" s="49"/>
      <c r="V876" s="174"/>
      <c r="W876" s="174"/>
      <c r="X876" s="174"/>
      <c r="Y876" s="188"/>
      <c r="AA876" s="78"/>
    </row>
    <row r="877" spans="9:27" x14ac:dyDescent="0.25">
      <c r="I877" s="49"/>
      <c r="J877" s="49"/>
      <c r="K877" s="49"/>
      <c r="V877" s="174"/>
      <c r="W877" s="174"/>
      <c r="X877" s="174"/>
      <c r="Y877" s="188"/>
      <c r="AA877" s="78"/>
    </row>
    <row r="878" spans="9:27" x14ac:dyDescent="0.25">
      <c r="I878" s="49"/>
      <c r="J878" s="49"/>
      <c r="K878" s="49"/>
      <c r="V878" s="174"/>
      <c r="W878" s="174"/>
      <c r="X878" s="174"/>
      <c r="Y878" s="188"/>
      <c r="AA878" s="78"/>
    </row>
    <row r="879" spans="9:27" x14ac:dyDescent="0.25">
      <c r="I879" s="49"/>
      <c r="J879" s="49"/>
      <c r="K879" s="49"/>
      <c r="V879" s="174"/>
      <c r="W879" s="174"/>
      <c r="X879" s="174"/>
      <c r="Y879" s="188"/>
      <c r="AA879" s="78"/>
    </row>
    <row r="880" spans="9:27" x14ac:dyDescent="0.25">
      <c r="I880" s="49"/>
      <c r="J880" s="49"/>
      <c r="K880" s="49"/>
      <c r="V880" s="174"/>
      <c r="W880" s="174"/>
      <c r="X880" s="174"/>
      <c r="Y880" s="188"/>
      <c r="AA880" s="78"/>
    </row>
    <row r="881" spans="9:27" x14ac:dyDescent="0.25">
      <c r="I881" s="49"/>
      <c r="J881" s="49"/>
      <c r="K881" s="49"/>
      <c r="V881" s="174"/>
      <c r="W881" s="174"/>
      <c r="X881" s="174"/>
      <c r="Y881" s="188"/>
      <c r="AA881" s="78"/>
    </row>
    <row r="882" spans="9:27" x14ac:dyDescent="0.25">
      <c r="I882" s="49"/>
      <c r="J882" s="49"/>
      <c r="K882" s="49"/>
      <c r="V882" s="174"/>
      <c r="W882" s="174"/>
      <c r="X882" s="174"/>
      <c r="Y882" s="188"/>
      <c r="AA882" s="78"/>
    </row>
    <row r="883" spans="9:27" x14ac:dyDescent="0.25">
      <c r="I883" s="49"/>
      <c r="J883" s="49"/>
      <c r="K883" s="49"/>
      <c r="V883" s="174"/>
      <c r="W883" s="174"/>
      <c r="X883" s="174"/>
      <c r="Y883" s="188"/>
      <c r="AA883" s="78"/>
    </row>
    <row r="884" spans="9:27" x14ac:dyDescent="0.25">
      <c r="I884" s="49"/>
      <c r="J884" s="49"/>
      <c r="K884" s="49"/>
      <c r="V884" s="174"/>
      <c r="W884" s="174"/>
      <c r="X884" s="174"/>
      <c r="Y884" s="188"/>
      <c r="AA884" s="78"/>
    </row>
    <row r="885" spans="9:27" x14ac:dyDescent="0.25">
      <c r="I885" s="49"/>
      <c r="J885" s="49"/>
      <c r="K885" s="49"/>
      <c r="V885" s="174"/>
      <c r="W885" s="174"/>
      <c r="X885" s="174"/>
      <c r="Y885" s="188"/>
      <c r="AA885" s="78"/>
    </row>
    <row r="886" spans="9:27" x14ac:dyDescent="0.25">
      <c r="I886" s="49"/>
      <c r="J886" s="49"/>
      <c r="K886" s="49"/>
      <c r="V886" s="174"/>
      <c r="W886" s="174"/>
      <c r="X886" s="174"/>
      <c r="Y886" s="188"/>
      <c r="AA886" s="78"/>
    </row>
    <row r="887" spans="9:27" x14ac:dyDescent="0.25">
      <c r="I887" s="49"/>
      <c r="J887" s="49"/>
      <c r="K887" s="49"/>
      <c r="V887" s="174"/>
      <c r="W887" s="174"/>
      <c r="X887" s="174"/>
      <c r="Y887" s="188"/>
      <c r="AA887" s="78"/>
    </row>
    <row r="888" spans="9:27" x14ac:dyDescent="0.25">
      <c r="I888" s="49"/>
      <c r="J888" s="49"/>
      <c r="K888" s="49"/>
      <c r="V888" s="174"/>
      <c r="W888" s="174"/>
      <c r="X888" s="174"/>
      <c r="Y888" s="188"/>
      <c r="AA888" s="78"/>
    </row>
    <row r="889" spans="9:27" x14ac:dyDescent="0.25">
      <c r="I889" s="49"/>
      <c r="J889" s="49"/>
      <c r="K889" s="49"/>
      <c r="V889" s="174"/>
      <c r="W889" s="174"/>
      <c r="X889" s="174"/>
      <c r="Y889" s="188"/>
      <c r="AA889" s="78"/>
    </row>
    <row r="890" spans="9:27" x14ac:dyDescent="0.25">
      <c r="I890" s="49"/>
      <c r="J890" s="49"/>
      <c r="K890" s="49"/>
      <c r="V890" s="174"/>
      <c r="W890" s="174"/>
      <c r="X890" s="174"/>
      <c r="Y890" s="188"/>
      <c r="AA890" s="78"/>
    </row>
    <row r="891" spans="9:27" x14ac:dyDescent="0.25">
      <c r="I891" s="49"/>
      <c r="J891" s="49"/>
      <c r="K891" s="49"/>
      <c r="V891" s="174"/>
      <c r="W891" s="174"/>
      <c r="X891" s="174"/>
      <c r="Y891" s="188"/>
      <c r="AA891" s="78"/>
    </row>
    <row r="892" spans="9:27" x14ac:dyDescent="0.25">
      <c r="I892" s="49"/>
      <c r="J892" s="49"/>
      <c r="K892" s="49"/>
      <c r="V892" s="174"/>
      <c r="W892" s="174"/>
      <c r="X892" s="174"/>
      <c r="Y892" s="188"/>
      <c r="AA892" s="78"/>
    </row>
    <row r="893" spans="9:27" x14ac:dyDescent="0.25">
      <c r="I893" s="49"/>
      <c r="J893" s="49"/>
      <c r="K893" s="49"/>
      <c r="V893" s="174"/>
      <c r="W893" s="174"/>
      <c r="X893" s="174"/>
      <c r="Y893" s="188"/>
      <c r="AA893" s="78"/>
    </row>
    <row r="894" spans="9:27" x14ac:dyDescent="0.25">
      <c r="I894" s="49"/>
      <c r="J894" s="49"/>
      <c r="K894" s="49"/>
      <c r="V894" s="174"/>
      <c r="W894" s="174"/>
      <c r="X894" s="174"/>
      <c r="Y894" s="188"/>
      <c r="AA894" s="78"/>
    </row>
    <row r="895" spans="9:27" x14ac:dyDescent="0.25">
      <c r="I895" s="49"/>
      <c r="J895" s="49"/>
      <c r="K895" s="49"/>
      <c r="V895" s="174"/>
      <c r="W895" s="174"/>
      <c r="X895" s="174"/>
      <c r="Y895" s="188"/>
      <c r="AA895" s="78"/>
    </row>
    <row r="896" spans="9:27" x14ac:dyDescent="0.25">
      <c r="I896" s="49"/>
      <c r="J896" s="49"/>
      <c r="K896" s="49"/>
      <c r="V896" s="174"/>
      <c r="W896" s="174"/>
      <c r="X896" s="174"/>
      <c r="Y896" s="188"/>
      <c r="AA896" s="78"/>
    </row>
    <row r="897" spans="9:27" x14ac:dyDescent="0.25">
      <c r="I897" s="49"/>
      <c r="J897" s="49"/>
      <c r="K897" s="49"/>
      <c r="V897" s="174"/>
      <c r="W897" s="174"/>
      <c r="X897" s="174"/>
      <c r="Y897" s="188"/>
      <c r="AA897" s="78"/>
    </row>
    <row r="898" spans="9:27" x14ac:dyDescent="0.25">
      <c r="I898" s="49"/>
      <c r="J898" s="49"/>
      <c r="K898" s="49"/>
      <c r="V898" s="174"/>
      <c r="W898" s="174"/>
      <c r="X898" s="174"/>
      <c r="Y898" s="188"/>
      <c r="AA898" s="78"/>
    </row>
    <row r="899" spans="9:27" x14ac:dyDescent="0.25">
      <c r="I899" s="49"/>
      <c r="J899" s="49"/>
      <c r="K899" s="49"/>
      <c r="V899" s="174"/>
      <c r="W899" s="174"/>
      <c r="X899" s="174"/>
      <c r="Y899" s="188"/>
      <c r="AA899" s="78"/>
    </row>
    <row r="900" spans="9:27" x14ac:dyDescent="0.25">
      <c r="I900" s="49"/>
      <c r="J900" s="49"/>
      <c r="K900" s="49"/>
      <c r="V900" s="174"/>
      <c r="W900" s="174"/>
      <c r="X900" s="174"/>
      <c r="Y900" s="188"/>
      <c r="AA900" s="78"/>
    </row>
    <row r="901" spans="9:27" x14ac:dyDescent="0.25">
      <c r="I901" s="49"/>
      <c r="J901" s="49"/>
      <c r="K901" s="49"/>
      <c r="V901" s="174"/>
      <c r="W901" s="174"/>
      <c r="X901" s="174"/>
      <c r="Y901" s="188"/>
      <c r="AA901" s="78"/>
    </row>
    <row r="902" spans="9:27" x14ac:dyDescent="0.25">
      <c r="I902" s="49"/>
      <c r="J902" s="49"/>
      <c r="K902" s="49"/>
      <c r="V902" s="174"/>
      <c r="W902" s="174"/>
      <c r="X902" s="174"/>
      <c r="Y902" s="188"/>
      <c r="AA902" s="78"/>
    </row>
    <row r="903" spans="9:27" x14ac:dyDescent="0.25">
      <c r="I903" s="49"/>
      <c r="J903" s="49"/>
      <c r="K903" s="49"/>
      <c r="V903" s="174"/>
      <c r="W903" s="174"/>
      <c r="X903" s="174"/>
      <c r="Y903" s="188"/>
      <c r="AA903" s="78"/>
    </row>
    <row r="904" spans="9:27" x14ac:dyDescent="0.25">
      <c r="I904" s="49"/>
      <c r="J904" s="49"/>
      <c r="K904" s="49"/>
      <c r="V904" s="174"/>
      <c r="W904" s="174"/>
      <c r="X904" s="174"/>
      <c r="Y904" s="188"/>
      <c r="AA904" s="78"/>
    </row>
    <row r="905" spans="9:27" x14ac:dyDescent="0.25">
      <c r="I905" s="49"/>
      <c r="J905" s="49"/>
      <c r="K905" s="49"/>
      <c r="V905" s="174"/>
      <c r="W905" s="174"/>
      <c r="X905" s="174"/>
      <c r="Y905" s="188"/>
      <c r="AA905" s="78"/>
    </row>
    <row r="906" spans="9:27" x14ac:dyDescent="0.25">
      <c r="I906" s="49"/>
      <c r="J906" s="49"/>
      <c r="K906" s="49"/>
      <c r="V906" s="174"/>
      <c r="W906" s="174"/>
      <c r="X906" s="174"/>
      <c r="Y906" s="188"/>
      <c r="AA906" s="78"/>
    </row>
    <row r="907" spans="9:27" x14ac:dyDescent="0.25">
      <c r="I907" s="49"/>
      <c r="J907" s="49"/>
      <c r="K907" s="49"/>
      <c r="V907" s="174"/>
      <c r="W907" s="174"/>
      <c r="X907" s="174"/>
      <c r="Y907" s="188"/>
      <c r="AA907" s="78"/>
    </row>
    <row r="908" spans="9:27" x14ac:dyDescent="0.25">
      <c r="I908" s="49"/>
      <c r="J908" s="49"/>
      <c r="K908" s="49"/>
      <c r="V908" s="174"/>
      <c r="W908" s="174"/>
      <c r="X908" s="174"/>
      <c r="Y908" s="188"/>
      <c r="AA908" s="78"/>
    </row>
    <row r="909" spans="9:27" x14ac:dyDescent="0.25">
      <c r="I909" s="49"/>
      <c r="J909" s="49"/>
      <c r="K909" s="49"/>
      <c r="V909" s="174"/>
      <c r="W909" s="174"/>
      <c r="X909" s="174"/>
      <c r="Y909" s="188"/>
      <c r="AA909" s="78"/>
    </row>
    <row r="910" spans="9:27" x14ac:dyDescent="0.25">
      <c r="I910" s="49"/>
      <c r="J910" s="49"/>
      <c r="K910" s="49"/>
      <c r="V910" s="174"/>
      <c r="W910" s="174"/>
      <c r="X910" s="174"/>
      <c r="Y910" s="188"/>
      <c r="AA910" s="78"/>
    </row>
    <row r="911" spans="9:27" x14ac:dyDescent="0.25">
      <c r="I911" s="49"/>
      <c r="J911" s="49"/>
      <c r="K911" s="49"/>
      <c r="V911" s="174"/>
      <c r="W911" s="174"/>
      <c r="X911" s="174"/>
      <c r="Y911" s="188"/>
      <c r="AA911" s="78"/>
    </row>
    <row r="912" spans="9:27" x14ac:dyDescent="0.25">
      <c r="I912" s="49"/>
      <c r="J912" s="49"/>
      <c r="K912" s="49"/>
      <c r="V912" s="174"/>
      <c r="W912" s="174"/>
      <c r="X912" s="174"/>
      <c r="Y912" s="188"/>
      <c r="AA912" s="78"/>
    </row>
    <row r="913" spans="9:27" x14ac:dyDescent="0.25">
      <c r="I913" s="49"/>
      <c r="J913" s="49"/>
      <c r="K913" s="49"/>
      <c r="V913" s="174"/>
      <c r="W913" s="174"/>
      <c r="X913" s="174"/>
      <c r="Y913" s="188"/>
      <c r="AA913" s="78"/>
    </row>
    <row r="914" spans="9:27" x14ac:dyDescent="0.25">
      <c r="I914" s="49"/>
      <c r="J914" s="49"/>
      <c r="K914" s="49"/>
      <c r="V914" s="174"/>
      <c r="W914" s="174"/>
      <c r="X914" s="174"/>
      <c r="Y914" s="188"/>
      <c r="AA914" s="78"/>
    </row>
    <row r="915" spans="9:27" x14ac:dyDescent="0.25">
      <c r="I915" s="49"/>
      <c r="J915" s="49"/>
      <c r="K915" s="49"/>
      <c r="V915" s="174"/>
      <c r="W915" s="174"/>
      <c r="X915" s="174"/>
      <c r="Y915" s="188"/>
      <c r="AA915" s="78"/>
    </row>
    <row r="916" spans="9:27" x14ac:dyDescent="0.25">
      <c r="I916" s="49"/>
      <c r="J916" s="49"/>
      <c r="K916" s="49"/>
      <c r="V916" s="174"/>
      <c r="W916" s="174"/>
      <c r="X916" s="174"/>
      <c r="Y916" s="188"/>
      <c r="AA916" s="78"/>
    </row>
    <row r="917" spans="9:27" x14ac:dyDescent="0.25">
      <c r="I917" s="49"/>
      <c r="J917" s="49"/>
      <c r="K917" s="49"/>
      <c r="V917" s="174"/>
      <c r="W917" s="174"/>
      <c r="X917" s="174"/>
      <c r="Y917" s="188"/>
      <c r="AA917" s="78"/>
    </row>
    <row r="918" spans="9:27" x14ac:dyDescent="0.25">
      <c r="I918" s="49"/>
      <c r="J918" s="49"/>
      <c r="K918" s="49"/>
      <c r="V918" s="174"/>
      <c r="W918" s="174"/>
      <c r="X918" s="174"/>
      <c r="Y918" s="188"/>
      <c r="AA918" s="78"/>
    </row>
    <row r="919" spans="9:27" x14ac:dyDescent="0.25">
      <c r="I919" s="49"/>
      <c r="J919" s="49"/>
      <c r="K919" s="49"/>
      <c r="V919" s="174"/>
      <c r="W919" s="174"/>
      <c r="X919" s="174"/>
      <c r="Y919" s="188"/>
      <c r="AA919" s="78"/>
    </row>
    <row r="920" spans="9:27" x14ac:dyDescent="0.25">
      <c r="I920" s="49"/>
      <c r="J920" s="49"/>
      <c r="K920" s="49"/>
      <c r="V920" s="174"/>
      <c r="W920" s="174"/>
      <c r="X920" s="174"/>
      <c r="Y920" s="188"/>
      <c r="AA920" s="78"/>
    </row>
    <row r="921" spans="9:27" x14ac:dyDescent="0.25">
      <c r="I921" s="49"/>
      <c r="J921" s="49"/>
      <c r="K921" s="49"/>
      <c r="V921" s="174"/>
      <c r="W921" s="174"/>
      <c r="X921" s="174"/>
      <c r="Y921" s="188"/>
      <c r="AA921" s="78"/>
    </row>
    <row r="922" spans="9:27" x14ac:dyDescent="0.25">
      <c r="I922" s="49"/>
      <c r="J922" s="49"/>
      <c r="K922" s="49"/>
      <c r="V922" s="174"/>
      <c r="W922" s="174"/>
      <c r="X922" s="174"/>
      <c r="Y922" s="188"/>
      <c r="AA922" s="78"/>
    </row>
    <row r="923" spans="9:27" x14ac:dyDescent="0.25">
      <c r="I923" s="49"/>
      <c r="J923" s="49"/>
      <c r="K923" s="49"/>
      <c r="V923" s="174"/>
      <c r="W923" s="174"/>
      <c r="X923" s="174"/>
      <c r="Y923" s="188"/>
      <c r="AA923" s="78"/>
    </row>
    <row r="924" spans="9:27" x14ac:dyDescent="0.25">
      <c r="I924" s="49"/>
      <c r="J924" s="49"/>
      <c r="K924" s="49"/>
      <c r="V924" s="174"/>
      <c r="W924" s="174"/>
      <c r="X924" s="174"/>
      <c r="Y924" s="188"/>
      <c r="AA924" s="78"/>
    </row>
    <row r="925" spans="9:27" x14ac:dyDescent="0.25">
      <c r="I925" s="49"/>
      <c r="J925" s="49"/>
      <c r="K925" s="49"/>
      <c r="V925" s="174"/>
      <c r="W925" s="174"/>
      <c r="X925" s="174"/>
      <c r="Y925" s="188"/>
      <c r="AA925" s="78"/>
    </row>
    <row r="926" spans="9:27" x14ac:dyDescent="0.25">
      <c r="I926" s="49"/>
      <c r="J926" s="49"/>
      <c r="K926" s="49"/>
      <c r="V926" s="174"/>
      <c r="W926" s="174"/>
      <c r="X926" s="174"/>
      <c r="Y926" s="188"/>
      <c r="AA926" s="78"/>
    </row>
    <row r="927" spans="9:27" x14ac:dyDescent="0.25">
      <c r="I927" s="49"/>
      <c r="J927" s="49"/>
      <c r="K927" s="49"/>
      <c r="V927" s="174"/>
      <c r="W927" s="174"/>
      <c r="X927" s="174"/>
      <c r="Y927" s="188"/>
      <c r="AA927" s="78"/>
    </row>
    <row r="928" spans="9:27" x14ac:dyDescent="0.25">
      <c r="I928" s="49"/>
      <c r="J928" s="49"/>
      <c r="K928" s="49"/>
      <c r="V928" s="174"/>
      <c r="W928" s="174"/>
      <c r="X928" s="174"/>
      <c r="Y928" s="188"/>
      <c r="AA928" s="78"/>
    </row>
    <row r="929" spans="9:27" x14ac:dyDescent="0.25">
      <c r="I929" s="49"/>
      <c r="J929" s="49"/>
      <c r="K929" s="49"/>
      <c r="V929" s="174"/>
      <c r="W929" s="174"/>
      <c r="X929" s="174"/>
      <c r="Y929" s="188"/>
      <c r="AA929" s="78"/>
    </row>
    <row r="930" spans="9:27" x14ac:dyDescent="0.25">
      <c r="I930" s="49"/>
      <c r="J930" s="49"/>
      <c r="K930" s="49"/>
      <c r="V930" s="174"/>
      <c r="W930" s="174"/>
      <c r="X930" s="174"/>
      <c r="Y930" s="188"/>
      <c r="AA930" s="78"/>
    </row>
    <row r="931" spans="9:27" x14ac:dyDescent="0.25">
      <c r="I931" s="49"/>
      <c r="J931" s="49"/>
      <c r="K931" s="49"/>
      <c r="V931" s="174"/>
      <c r="W931" s="174"/>
      <c r="X931" s="174"/>
      <c r="Y931" s="188"/>
      <c r="AA931" s="78"/>
    </row>
    <row r="932" spans="9:27" x14ac:dyDescent="0.25">
      <c r="I932" s="49"/>
      <c r="J932" s="49"/>
      <c r="K932" s="49"/>
      <c r="V932" s="174"/>
      <c r="W932" s="174"/>
      <c r="X932" s="174"/>
      <c r="Y932" s="188"/>
      <c r="AA932" s="78"/>
    </row>
    <row r="933" spans="9:27" x14ac:dyDescent="0.25">
      <c r="I933" s="49"/>
      <c r="J933" s="49"/>
      <c r="K933" s="49"/>
      <c r="V933" s="174"/>
      <c r="W933" s="174"/>
      <c r="X933" s="174"/>
      <c r="Y933" s="188"/>
      <c r="AA933" s="78"/>
    </row>
    <row r="934" spans="9:27" x14ac:dyDescent="0.25">
      <c r="I934" s="49"/>
      <c r="J934" s="49"/>
      <c r="K934" s="49"/>
      <c r="V934" s="174"/>
      <c r="W934" s="174"/>
      <c r="X934" s="174"/>
      <c r="Y934" s="188"/>
      <c r="AA934" s="78"/>
    </row>
    <row r="935" spans="9:27" x14ac:dyDescent="0.25">
      <c r="I935" s="49"/>
      <c r="J935" s="49"/>
      <c r="K935" s="49"/>
      <c r="V935" s="174"/>
      <c r="W935" s="174"/>
      <c r="X935" s="174"/>
      <c r="Y935" s="188"/>
      <c r="AA935" s="78"/>
    </row>
    <row r="936" spans="9:27" x14ac:dyDescent="0.25">
      <c r="I936" s="49"/>
      <c r="J936" s="49"/>
      <c r="K936" s="49"/>
      <c r="V936" s="174"/>
      <c r="W936" s="174"/>
      <c r="X936" s="174"/>
      <c r="Y936" s="188"/>
      <c r="AA936" s="78"/>
    </row>
    <row r="937" spans="9:27" x14ac:dyDescent="0.25">
      <c r="I937" s="49"/>
      <c r="J937" s="49"/>
      <c r="K937" s="49"/>
      <c r="V937" s="174"/>
      <c r="W937" s="174"/>
      <c r="X937" s="174"/>
      <c r="Y937" s="188"/>
      <c r="AA937" s="78"/>
    </row>
    <row r="938" spans="9:27" x14ac:dyDescent="0.25">
      <c r="I938" s="49"/>
      <c r="J938" s="49"/>
      <c r="K938" s="49"/>
      <c r="V938" s="174"/>
      <c r="W938" s="174"/>
      <c r="X938" s="174"/>
      <c r="Y938" s="188"/>
      <c r="AA938" s="78"/>
    </row>
    <row r="939" spans="9:27" x14ac:dyDescent="0.25">
      <c r="I939" s="49"/>
      <c r="J939" s="49"/>
      <c r="K939" s="49"/>
      <c r="V939" s="174"/>
      <c r="W939" s="174"/>
      <c r="X939" s="174"/>
      <c r="Y939" s="188"/>
      <c r="AA939" s="78"/>
    </row>
    <row r="940" spans="9:27" x14ac:dyDescent="0.25">
      <c r="I940" s="49"/>
      <c r="J940" s="49"/>
      <c r="K940" s="49"/>
      <c r="V940" s="174"/>
      <c r="W940" s="174"/>
      <c r="X940" s="174"/>
      <c r="Y940" s="188"/>
      <c r="AA940" s="78"/>
    </row>
    <row r="941" spans="9:27" x14ac:dyDescent="0.25">
      <c r="I941" s="49"/>
      <c r="J941" s="49"/>
      <c r="K941" s="49"/>
      <c r="V941" s="174"/>
      <c r="W941" s="174"/>
      <c r="X941" s="174"/>
      <c r="Y941" s="188"/>
      <c r="AA941" s="78"/>
    </row>
    <row r="942" spans="9:27" x14ac:dyDescent="0.25">
      <c r="I942" s="49"/>
      <c r="J942" s="49"/>
      <c r="K942" s="49"/>
      <c r="V942" s="174"/>
      <c r="W942" s="174"/>
      <c r="X942" s="174"/>
      <c r="Y942" s="188"/>
      <c r="AA942" s="78"/>
    </row>
    <row r="943" spans="9:27" x14ac:dyDescent="0.25">
      <c r="I943" s="49"/>
      <c r="J943" s="49"/>
      <c r="K943" s="49"/>
      <c r="V943" s="174"/>
      <c r="W943" s="174"/>
      <c r="X943" s="174"/>
      <c r="Y943" s="188"/>
      <c r="AA943" s="78"/>
    </row>
    <row r="944" spans="9:27" x14ac:dyDescent="0.25">
      <c r="I944" s="49"/>
      <c r="J944" s="49"/>
      <c r="K944" s="49"/>
      <c r="V944" s="174"/>
      <c r="W944" s="174"/>
      <c r="X944" s="174"/>
      <c r="Y944" s="188"/>
      <c r="AA944" s="78"/>
    </row>
    <row r="945" spans="9:27" x14ac:dyDescent="0.25">
      <c r="I945" s="49"/>
      <c r="J945" s="49"/>
      <c r="K945" s="49"/>
      <c r="V945" s="174"/>
      <c r="W945" s="174"/>
      <c r="X945" s="174"/>
      <c r="Y945" s="188"/>
      <c r="AA945" s="78"/>
    </row>
    <row r="946" spans="9:27" x14ac:dyDescent="0.25">
      <c r="I946" s="49"/>
      <c r="J946" s="49"/>
      <c r="K946" s="49"/>
      <c r="V946" s="174"/>
      <c r="W946" s="174"/>
      <c r="X946" s="174"/>
      <c r="Y946" s="188"/>
      <c r="AA946" s="78"/>
    </row>
    <row r="947" spans="9:27" x14ac:dyDescent="0.25">
      <c r="I947" s="49"/>
      <c r="J947" s="49"/>
      <c r="K947" s="49"/>
      <c r="V947" s="174"/>
      <c r="W947" s="174"/>
      <c r="X947" s="174"/>
      <c r="Y947" s="188"/>
      <c r="AA947" s="78"/>
    </row>
    <row r="948" spans="9:27" x14ac:dyDescent="0.25">
      <c r="I948" s="49"/>
      <c r="J948" s="49"/>
      <c r="K948" s="49"/>
      <c r="V948" s="174"/>
      <c r="W948" s="174"/>
      <c r="X948" s="174"/>
      <c r="Y948" s="188"/>
      <c r="AA948" s="78"/>
    </row>
    <row r="949" spans="9:27" x14ac:dyDescent="0.25">
      <c r="I949" s="49"/>
      <c r="J949" s="49"/>
      <c r="K949" s="49"/>
      <c r="V949" s="174"/>
      <c r="W949" s="174"/>
      <c r="X949" s="174"/>
      <c r="Y949" s="188"/>
      <c r="AA949" s="78"/>
    </row>
    <row r="950" spans="9:27" x14ac:dyDescent="0.25">
      <c r="I950" s="49"/>
      <c r="J950" s="49"/>
      <c r="K950" s="49"/>
      <c r="V950" s="174"/>
      <c r="W950" s="174"/>
      <c r="X950" s="174"/>
      <c r="Y950" s="188"/>
      <c r="AA950" s="78"/>
    </row>
    <row r="951" spans="9:27" x14ac:dyDescent="0.25">
      <c r="I951" s="49"/>
      <c r="J951" s="49"/>
      <c r="K951" s="49"/>
      <c r="V951" s="174"/>
      <c r="W951" s="174"/>
      <c r="X951" s="174"/>
      <c r="Y951" s="188"/>
      <c r="AA951" s="78"/>
    </row>
    <row r="952" spans="9:27" x14ac:dyDescent="0.25">
      <c r="I952" s="49"/>
      <c r="J952" s="49"/>
      <c r="K952" s="49"/>
      <c r="V952" s="174"/>
      <c r="W952" s="174"/>
      <c r="X952" s="174"/>
      <c r="Y952" s="188"/>
      <c r="AA952" s="78"/>
    </row>
    <row r="953" spans="9:27" x14ac:dyDescent="0.25">
      <c r="I953" s="49"/>
      <c r="J953" s="49"/>
      <c r="K953" s="49"/>
      <c r="V953" s="174"/>
      <c r="W953" s="174"/>
      <c r="X953" s="174"/>
      <c r="Y953" s="188"/>
      <c r="AA953" s="78"/>
    </row>
    <row r="954" spans="9:27" x14ac:dyDescent="0.25">
      <c r="I954" s="49"/>
      <c r="J954" s="49"/>
      <c r="K954" s="49"/>
      <c r="V954" s="174"/>
      <c r="W954" s="174"/>
      <c r="X954" s="174"/>
      <c r="Y954" s="188"/>
      <c r="AA954" s="78"/>
    </row>
    <row r="955" spans="9:27" x14ac:dyDescent="0.25">
      <c r="I955" s="49"/>
      <c r="J955" s="49"/>
      <c r="K955" s="49"/>
      <c r="V955" s="174"/>
      <c r="W955" s="174"/>
      <c r="X955" s="174"/>
      <c r="Y955" s="188"/>
      <c r="AA955" s="78"/>
    </row>
    <row r="956" spans="9:27" x14ac:dyDescent="0.25">
      <c r="I956" s="49"/>
      <c r="J956" s="49"/>
      <c r="K956" s="49"/>
      <c r="V956" s="174"/>
      <c r="W956" s="174"/>
      <c r="X956" s="174"/>
      <c r="Y956" s="188"/>
      <c r="AA956" s="78"/>
    </row>
    <row r="957" spans="9:27" x14ac:dyDescent="0.25">
      <c r="I957" s="49"/>
      <c r="J957" s="49"/>
      <c r="K957" s="49"/>
      <c r="V957" s="174"/>
      <c r="W957" s="174"/>
      <c r="X957" s="174"/>
      <c r="Y957" s="188"/>
      <c r="AA957" s="78"/>
    </row>
    <row r="958" spans="9:27" x14ac:dyDescent="0.25">
      <c r="I958" s="49"/>
      <c r="J958" s="49"/>
      <c r="K958" s="49"/>
      <c r="V958" s="174"/>
      <c r="W958" s="174"/>
      <c r="X958" s="174"/>
      <c r="Y958" s="188"/>
      <c r="AA958" s="78"/>
    </row>
    <row r="959" spans="9:27" x14ac:dyDescent="0.25">
      <c r="I959" s="49"/>
      <c r="J959" s="49"/>
      <c r="K959" s="49"/>
      <c r="V959" s="174"/>
      <c r="W959" s="174"/>
      <c r="X959" s="174"/>
      <c r="Y959" s="188"/>
      <c r="AA959" s="78"/>
    </row>
    <row r="960" spans="9:27" x14ac:dyDescent="0.25">
      <c r="I960" s="49"/>
      <c r="J960" s="49"/>
      <c r="K960" s="49"/>
      <c r="V960" s="174"/>
      <c r="W960" s="174"/>
      <c r="X960" s="174"/>
      <c r="Y960" s="188"/>
      <c r="AA960" s="78"/>
    </row>
    <row r="961" spans="9:27" x14ac:dyDescent="0.25">
      <c r="I961" s="49"/>
      <c r="J961" s="49"/>
      <c r="K961" s="49"/>
      <c r="V961" s="174"/>
      <c r="W961" s="174"/>
      <c r="X961" s="174"/>
      <c r="Y961" s="188"/>
      <c r="AA961" s="78"/>
    </row>
    <row r="962" spans="9:27" x14ac:dyDescent="0.25">
      <c r="I962" s="49"/>
      <c r="J962" s="49"/>
      <c r="K962" s="49"/>
      <c r="V962" s="174"/>
      <c r="W962" s="174"/>
      <c r="X962" s="174"/>
      <c r="Y962" s="188"/>
      <c r="AA962" s="78"/>
    </row>
    <row r="963" spans="9:27" x14ac:dyDescent="0.25">
      <c r="I963" s="49"/>
      <c r="J963" s="49"/>
      <c r="K963" s="49"/>
      <c r="V963" s="174"/>
      <c r="W963" s="174"/>
      <c r="X963" s="174"/>
      <c r="Y963" s="188"/>
      <c r="AA963" s="78"/>
    </row>
    <row r="964" spans="9:27" x14ac:dyDescent="0.25">
      <c r="I964" s="49"/>
      <c r="J964" s="49"/>
      <c r="K964" s="49"/>
      <c r="V964" s="174"/>
      <c r="W964" s="174"/>
      <c r="X964" s="174"/>
      <c r="Y964" s="188"/>
      <c r="AA964" s="78"/>
    </row>
    <row r="965" spans="9:27" x14ac:dyDescent="0.25">
      <c r="I965" s="49"/>
      <c r="J965" s="49"/>
      <c r="K965" s="49"/>
      <c r="V965" s="174"/>
      <c r="W965" s="174"/>
      <c r="X965" s="174"/>
      <c r="Y965" s="188"/>
      <c r="AA965" s="78"/>
    </row>
    <row r="966" spans="9:27" x14ac:dyDescent="0.25">
      <c r="I966" s="49"/>
      <c r="J966" s="49"/>
      <c r="K966" s="49"/>
      <c r="V966" s="174"/>
      <c r="W966" s="174"/>
      <c r="X966" s="174"/>
      <c r="Y966" s="188"/>
      <c r="AA966" s="78"/>
    </row>
    <row r="967" spans="9:27" x14ac:dyDescent="0.25">
      <c r="I967" s="49"/>
      <c r="J967" s="49"/>
      <c r="K967" s="49"/>
      <c r="V967" s="174"/>
      <c r="W967" s="174"/>
      <c r="X967" s="174"/>
      <c r="Y967" s="188"/>
      <c r="AA967" s="78"/>
    </row>
    <row r="968" spans="9:27" x14ac:dyDescent="0.25">
      <c r="I968" s="49"/>
      <c r="J968" s="49"/>
      <c r="K968" s="49"/>
      <c r="V968" s="174"/>
      <c r="W968" s="174"/>
      <c r="X968" s="174"/>
      <c r="Y968" s="188"/>
      <c r="AA968" s="78"/>
    </row>
    <row r="969" spans="9:27" x14ac:dyDescent="0.25">
      <c r="I969" s="49"/>
      <c r="J969" s="49"/>
      <c r="K969" s="49"/>
      <c r="V969" s="174"/>
      <c r="W969" s="174"/>
      <c r="X969" s="174"/>
      <c r="Y969" s="188"/>
      <c r="AA969" s="78"/>
    </row>
    <row r="970" spans="9:27" x14ac:dyDescent="0.25">
      <c r="I970" s="49"/>
      <c r="J970" s="49"/>
      <c r="K970" s="49"/>
      <c r="V970" s="174"/>
      <c r="W970" s="174"/>
      <c r="X970" s="174"/>
      <c r="Y970" s="188"/>
      <c r="AA970" s="78"/>
    </row>
    <row r="971" spans="9:27" x14ac:dyDescent="0.25">
      <c r="I971" s="49"/>
      <c r="J971" s="49"/>
      <c r="K971" s="49"/>
      <c r="V971" s="174"/>
      <c r="W971" s="174"/>
      <c r="X971" s="174"/>
      <c r="Y971" s="188"/>
      <c r="AA971" s="78"/>
    </row>
    <row r="972" spans="9:27" x14ac:dyDescent="0.25">
      <c r="I972" s="49"/>
      <c r="J972" s="49"/>
      <c r="K972" s="49"/>
      <c r="V972" s="174"/>
      <c r="W972" s="174"/>
      <c r="X972" s="174"/>
      <c r="Y972" s="188"/>
      <c r="AA972" s="78"/>
    </row>
    <row r="973" spans="9:27" x14ac:dyDescent="0.25">
      <c r="I973" s="49"/>
      <c r="J973" s="49"/>
      <c r="K973" s="49"/>
      <c r="V973" s="174"/>
      <c r="W973" s="174"/>
      <c r="X973" s="174"/>
      <c r="Y973" s="188"/>
      <c r="AA973" s="78"/>
    </row>
    <row r="974" spans="9:27" x14ac:dyDescent="0.25">
      <c r="I974" s="49"/>
      <c r="J974" s="49"/>
      <c r="K974" s="49"/>
      <c r="V974" s="174"/>
      <c r="W974" s="174"/>
      <c r="X974" s="174"/>
      <c r="Y974" s="188"/>
      <c r="AA974" s="78"/>
    </row>
    <row r="975" spans="9:27" x14ac:dyDescent="0.25">
      <c r="I975" s="49"/>
      <c r="J975" s="49"/>
      <c r="K975" s="49"/>
      <c r="V975" s="174"/>
      <c r="W975" s="174"/>
      <c r="X975" s="174"/>
      <c r="Y975" s="188"/>
      <c r="AA975" s="78"/>
    </row>
    <row r="976" spans="9:27" x14ac:dyDescent="0.25">
      <c r="I976" s="49"/>
      <c r="J976" s="49"/>
      <c r="K976" s="49"/>
      <c r="V976" s="174"/>
      <c r="W976" s="174"/>
      <c r="X976" s="174"/>
      <c r="Y976" s="188"/>
      <c r="AA976" s="78"/>
    </row>
    <row r="977" spans="9:27" x14ac:dyDescent="0.25">
      <c r="I977" s="49"/>
      <c r="J977" s="49"/>
      <c r="K977" s="49"/>
      <c r="V977" s="174"/>
      <c r="W977" s="174"/>
      <c r="X977" s="174"/>
      <c r="Y977" s="188"/>
      <c r="AA977" s="78"/>
    </row>
    <row r="978" spans="9:27" x14ac:dyDescent="0.25">
      <c r="I978" s="49"/>
      <c r="J978" s="49"/>
      <c r="K978" s="49"/>
      <c r="V978" s="174"/>
      <c r="W978" s="174"/>
      <c r="X978" s="174"/>
      <c r="Y978" s="188"/>
      <c r="AA978" s="78"/>
    </row>
    <row r="979" spans="9:27" x14ac:dyDescent="0.25">
      <c r="I979" s="49"/>
      <c r="J979" s="49"/>
      <c r="K979" s="49"/>
      <c r="V979" s="174"/>
      <c r="W979" s="174"/>
      <c r="X979" s="174"/>
      <c r="Y979" s="188"/>
      <c r="AA979" s="78"/>
    </row>
    <row r="980" spans="9:27" x14ac:dyDescent="0.25">
      <c r="I980" s="49"/>
      <c r="J980" s="49"/>
      <c r="K980" s="49"/>
      <c r="V980" s="174"/>
      <c r="W980" s="174"/>
      <c r="X980" s="174"/>
      <c r="Y980" s="188"/>
      <c r="AA980" s="78"/>
    </row>
    <row r="981" spans="9:27" x14ac:dyDescent="0.25">
      <c r="I981" s="49"/>
      <c r="J981" s="49"/>
      <c r="K981" s="49"/>
      <c r="V981" s="174"/>
      <c r="W981" s="174"/>
      <c r="X981" s="174"/>
      <c r="Y981" s="188"/>
      <c r="AA981" s="78"/>
    </row>
    <row r="982" spans="9:27" x14ac:dyDescent="0.25">
      <c r="I982" s="49"/>
      <c r="J982" s="49"/>
      <c r="K982" s="49"/>
      <c r="V982" s="174"/>
      <c r="W982" s="174"/>
      <c r="X982" s="174"/>
      <c r="Y982" s="188"/>
      <c r="AA982" s="78"/>
    </row>
    <row r="983" spans="9:27" x14ac:dyDescent="0.25">
      <c r="I983" s="49"/>
      <c r="J983" s="49"/>
      <c r="K983" s="49"/>
      <c r="V983" s="174"/>
      <c r="W983" s="174"/>
      <c r="X983" s="174"/>
      <c r="Y983" s="188"/>
      <c r="AA983" s="78"/>
    </row>
    <row r="984" spans="9:27" x14ac:dyDescent="0.25">
      <c r="I984" s="49"/>
      <c r="J984" s="49"/>
      <c r="K984" s="49"/>
      <c r="V984" s="174"/>
      <c r="W984" s="174"/>
      <c r="X984" s="174"/>
      <c r="Y984" s="188"/>
      <c r="AA984" s="78"/>
    </row>
    <row r="985" spans="9:27" x14ac:dyDescent="0.25">
      <c r="I985" s="49"/>
      <c r="J985" s="49"/>
      <c r="K985" s="49"/>
      <c r="V985" s="174"/>
      <c r="W985" s="174"/>
      <c r="X985" s="174"/>
      <c r="Y985" s="188"/>
      <c r="AA985" s="78"/>
    </row>
    <row r="986" spans="9:27" x14ac:dyDescent="0.25">
      <c r="I986" s="49"/>
      <c r="J986" s="49"/>
      <c r="K986" s="49"/>
      <c r="V986" s="174"/>
      <c r="W986" s="174"/>
      <c r="X986" s="174"/>
      <c r="Y986" s="188"/>
      <c r="AA986" s="78"/>
    </row>
    <row r="987" spans="9:27" x14ac:dyDescent="0.25">
      <c r="I987" s="49"/>
      <c r="J987" s="49"/>
      <c r="K987" s="49"/>
      <c r="V987" s="174"/>
      <c r="W987" s="174"/>
      <c r="X987" s="174"/>
      <c r="Y987" s="188"/>
      <c r="AA987" s="78"/>
    </row>
    <row r="988" spans="9:27" x14ac:dyDescent="0.25">
      <c r="I988" s="49"/>
      <c r="J988" s="49"/>
      <c r="K988" s="49"/>
      <c r="V988" s="174"/>
      <c r="W988" s="174"/>
      <c r="X988" s="174"/>
      <c r="Y988" s="188"/>
      <c r="AA988" s="78"/>
    </row>
    <row r="989" spans="9:27" x14ac:dyDescent="0.25">
      <c r="I989" s="49"/>
      <c r="J989" s="49"/>
      <c r="K989" s="49"/>
      <c r="V989" s="174"/>
      <c r="W989" s="174"/>
      <c r="X989" s="174"/>
      <c r="Y989" s="188"/>
      <c r="AA989" s="78"/>
    </row>
    <row r="990" spans="9:27" x14ac:dyDescent="0.25">
      <c r="I990" s="49"/>
      <c r="J990" s="49"/>
      <c r="K990" s="49"/>
      <c r="V990" s="174"/>
      <c r="W990" s="174"/>
      <c r="X990" s="174"/>
      <c r="Y990" s="188"/>
      <c r="AA990" s="78"/>
    </row>
    <row r="991" spans="9:27" x14ac:dyDescent="0.25">
      <c r="I991" s="49"/>
      <c r="J991" s="49"/>
      <c r="K991" s="49"/>
      <c r="V991" s="174"/>
      <c r="W991" s="174"/>
      <c r="X991" s="174"/>
      <c r="Y991" s="188"/>
      <c r="AA991" s="78"/>
    </row>
    <row r="992" spans="9:27" x14ac:dyDescent="0.25">
      <c r="I992" s="49"/>
      <c r="J992" s="49"/>
      <c r="K992" s="49"/>
      <c r="V992" s="174"/>
      <c r="W992" s="174"/>
      <c r="X992" s="174"/>
      <c r="Y992" s="188"/>
      <c r="AA992" s="78"/>
    </row>
    <row r="993" spans="9:27" x14ac:dyDescent="0.25">
      <c r="I993" s="49"/>
      <c r="J993" s="49"/>
      <c r="K993" s="49"/>
      <c r="V993" s="174"/>
      <c r="W993" s="174"/>
      <c r="X993" s="174"/>
      <c r="Y993" s="188"/>
      <c r="AA993" s="78"/>
    </row>
    <row r="994" spans="9:27" x14ac:dyDescent="0.25">
      <c r="I994" s="49"/>
      <c r="J994" s="49"/>
      <c r="K994" s="49"/>
      <c r="V994" s="174"/>
      <c r="W994" s="174"/>
      <c r="X994" s="174"/>
      <c r="Y994" s="188"/>
      <c r="AA994" s="78"/>
    </row>
    <row r="995" spans="9:27" x14ac:dyDescent="0.25">
      <c r="I995" s="49"/>
      <c r="J995" s="49"/>
      <c r="K995" s="49"/>
      <c r="V995" s="174"/>
      <c r="W995" s="174"/>
      <c r="X995" s="174"/>
      <c r="Y995" s="188"/>
      <c r="AA995" s="78"/>
    </row>
    <row r="996" spans="9:27" x14ac:dyDescent="0.25">
      <c r="I996" s="49"/>
      <c r="J996" s="49"/>
      <c r="K996" s="49"/>
      <c r="V996" s="174"/>
      <c r="W996" s="174"/>
      <c r="X996" s="174"/>
      <c r="Y996" s="188"/>
      <c r="AA996" s="78"/>
    </row>
    <row r="997" spans="9:27" x14ac:dyDescent="0.25">
      <c r="I997" s="49"/>
      <c r="J997" s="49"/>
      <c r="K997" s="49"/>
      <c r="V997" s="174"/>
      <c r="W997" s="174"/>
      <c r="X997" s="174"/>
      <c r="Y997" s="188"/>
      <c r="AA997" s="78"/>
    </row>
    <row r="998" spans="9:27" x14ac:dyDescent="0.25">
      <c r="I998" s="49"/>
      <c r="J998" s="49"/>
      <c r="K998" s="49"/>
      <c r="V998" s="174"/>
      <c r="W998" s="174"/>
      <c r="X998" s="174"/>
      <c r="Y998" s="188"/>
      <c r="AA998" s="78"/>
    </row>
    <row r="999" spans="9:27" x14ac:dyDescent="0.25">
      <c r="I999" s="49"/>
      <c r="J999" s="49"/>
      <c r="K999" s="49"/>
      <c r="V999" s="174"/>
      <c r="W999" s="174"/>
      <c r="X999" s="174"/>
      <c r="Y999" s="188"/>
      <c r="AA999" s="78"/>
    </row>
    <row r="1000" spans="9:27" x14ac:dyDescent="0.25">
      <c r="I1000" s="49"/>
      <c r="J1000" s="49"/>
      <c r="K1000" s="49"/>
      <c r="V1000" s="174"/>
      <c r="W1000" s="174"/>
      <c r="X1000" s="174"/>
      <c r="Y1000" s="188"/>
      <c r="AA1000" s="78"/>
    </row>
    <row r="1001" spans="9:27" x14ac:dyDescent="0.25">
      <c r="I1001" s="49"/>
      <c r="J1001" s="49"/>
      <c r="K1001" s="49"/>
      <c r="V1001" s="174"/>
      <c r="W1001" s="174"/>
      <c r="X1001" s="174"/>
      <c r="Y1001" s="188"/>
      <c r="AA1001" s="78"/>
    </row>
    <row r="1002" spans="9:27" x14ac:dyDescent="0.25">
      <c r="I1002" s="49"/>
      <c r="J1002" s="49"/>
      <c r="K1002" s="49"/>
      <c r="V1002" s="174"/>
      <c r="W1002" s="174"/>
      <c r="X1002" s="174"/>
      <c r="Y1002" s="188"/>
      <c r="AA1002" s="78"/>
    </row>
    <row r="1003" spans="9:27" x14ac:dyDescent="0.25">
      <c r="I1003" s="49"/>
      <c r="J1003" s="49"/>
      <c r="K1003" s="49"/>
      <c r="V1003" s="174"/>
      <c r="W1003" s="174"/>
      <c r="X1003" s="174"/>
      <c r="Y1003" s="188"/>
      <c r="AA1003" s="78"/>
    </row>
    <row r="1004" spans="9:27" x14ac:dyDescent="0.25">
      <c r="I1004" s="49"/>
      <c r="J1004" s="49"/>
      <c r="K1004" s="49"/>
      <c r="V1004" s="174"/>
      <c r="W1004" s="174"/>
      <c r="X1004" s="174"/>
      <c r="Y1004" s="188"/>
      <c r="AA1004" s="78"/>
    </row>
    <row r="1005" spans="9:27" x14ac:dyDescent="0.25">
      <c r="I1005" s="49"/>
      <c r="J1005" s="49"/>
      <c r="K1005" s="49"/>
      <c r="V1005" s="174"/>
      <c r="W1005" s="174"/>
      <c r="X1005" s="174"/>
      <c r="Y1005" s="188"/>
      <c r="AA1005" s="78"/>
    </row>
    <row r="1006" spans="9:27" x14ac:dyDescent="0.25">
      <c r="I1006" s="49"/>
      <c r="J1006" s="49"/>
      <c r="K1006" s="49"/>
      <c r="V1006" s="174"/>
      <c r="W1006" s="174"/>
      <c r="X1006" s="174"/>
      <c r="Y1006" s="188"/>
      <c r="AA1006" s="78"/>
    </row>
    <row r="1007" spans="9:27" x14ac:dyDescent="0.25">
      <c r="I1007" s="49"/>
      <c r="J1007" s="49"/>
      <c r="K1007" s="49"/>
      <c r="V1007" s="174"/>
      <c r="W1007" s="174"/>
      <c r="X1007" s="174"/>
      <c r="Y1007" s="188"/>
      <c r="AA1007" s="78"/>
    </row>
    <row r="1008" spans="9:27" x14ac:dyDescent="0.25">
      <c r="I1008" s="49"/>
      <c r="J1008" s="49"/>
      <c r="K1008" s="49"/>
      <c r="V1008" s="174"/>
      <c r="W1008" s="174"/>
      <c r="X1008" s="174"/>
      <c r="Y1008" s="188"/>
      <c r="AA1008" s="78"/>
    </row>
    <row r="1009" spans="9:27" x14ac:dyDescent="0.25">
      <c r="I1009" s="49"/>
      <c r="J1009" s="49"/>
      <c r="K1009" s="49"/>
      <c r="V1009" s="174"/>
      <c r="W1009" s="174"/>
      <c r="X1009" s="174"/>
      <c r="Y1009" s="188"/>
      <c r="AA1009" s="78"/>
    </row>
    <row r="1010" spans="9:27" x14ac:dyDescent="0.25">
      <c r="I1010" s="49"/>
      <c r="J1010" s="49"/>
      <c r="K1010" s="49"/>
      <c r="V1010" s="174"/>
      <c r="W1010" s="174"/>
      <c r="X1010" s="174"/>
      <c r="Y1010" s="188"/>
      <c r="AA1010" s="78"/>
    </row>
    <row r="1011" spans="9:27" x14ac:dyDescent="0.25">
      <c r="I1011" s="49"/>
      <c r="J1011" s="49"/>
      <c r="K1011" s="49"/>
      <c r="V1011" s="174"/>
      <c r="W1011" s="174"/>
      <c r="X1011" s="174"/>
      <c r="Y1011" s="188"/>
      <c r="AA1011" s="78"/>
    </row>
    <row r="1012" spans="9:27" x14ac:dyDescent="0.25">
      <c r="I1012" s="49"/>
      <c r="J1012" s="49"/>
      <c r="K1012" s="49"/>
      <c r="V1012" s="174"/>
      <c r="W1012" s="174"/>
      <c r="X1012" s="174"/>
      <c r="Y1012" s="188"/>
      <c r="AA1012" s="78"/>
    </row>
    <row r="1013" spans="9:27" x14ac:dyDescent="0.25">
      <c r="I1013" s="49"/>
      <c r="J1013" s="49"/>
      <c r="K1013" s="49"/>
      <c r="V1013" s="174"/>
      <c r="W1013" s="174"/>
      <c r="X1013" s="174"/>
      <c r="Y1013" s="188"/>
      <c r="AA1013" s="78"/>
    </row>
    <row r="1014" spans="9:27" x14ac:dyDescent="0.25">
      <c r="I1014" s="49"/>
      <c r="J1014" s="49"/>
      <c r="K1014" s="49"/>
      <c r="V1014" s="174"/>
      <c r="W1014" s="174"/>
      <c r="X1014" s="174"/>
      <c r="Y1014" s="188"/>
      <c r="AA1014" s="78"/>
    </row>
    <row r="1015" spans="9:27" x14ac:dyDescent="0.25">
      <c r="I1015" s="49"/>
      <c r="J1015" s="49"/>
      <c r="K1015" s="49"/>
      <c r="V1015" s="174"/>
      <c r="W1015" s="174"/>
      <c r="X1015" s="174"/>
      <c r="Y1015" s="188"/>
      <c r="AA1015" s="78"/>
    </row>
    <row r="1016" spans="9:27" x14ac:dyDescent="0.25">
      <c r="I1016" s="49"/>
      <c r="J1016" s="49"/>
      <c r="K1016" s="49"/>
      <c r="V1016" s="174"/>
      <c r="W1016" s="174"/>
      <c r="X1016" s="174"/>
      <c r="Y1016" s="188"/>
      <c r="AA1016" s="78"/>
    </row>
    <row r="1017" spans="9:27" x14ac:dyDescent="0.25">
      <c r="I1017" s="49"/>
      <c r="J1017" s="49"/>
      <c r="K1017" s="49"/>
      <c r="V1017" s="174"/>
      <c r="W1017" s="174"/>
      <c r="X1017" s="174"/>
      <c r="Y1017" s="188"/>
      <c r="AA1017" s="78"/>
    </row>
    <row r="1018" spans="9:27" x14ac:dyDescent="0.25">
      <c r="I1018" s="49"/>
      <c r="J1018" s="49"/>
      <c r="K1018" s="49"/>
      <c r="V1018" s="174"/>
      <c r="W1018" s="174"/>
      <c r="X1018" s="174"/>
      <c r="Y1018" s="188"/>
      <c r="AA1018" s="78"/>
    </row>
    <row r="1019" spans="9:27" x14ac:dyDescent="0.25">
      <c r="I1019" s="49"/>
      <c r="J1019" s="49"/>
      <c r="K1019" s="49"/>
      <c r="V1019" s="174"/>
      <c r="W1019" s="174"/>
      <c r="X1019" s="174"/>
      <c r="Y1019" s="188"/>
      <c r="AA1019" s="78"/>
    </row>
    <row r="1020" spans="9:27" x14ac:dyDescent="0.25">
      <c r="I1020" s="49"/>
      <c r="J1020" s="49"/>
      <c r="K1020" s="49"/>
      <c r="V1020" s="174"/>
      <c r="W1020" s="174"/>
      <c r="X1020" s="174"/>
      <c r="Y1020" s="188"/>
      <c r="AA1020" s="78"/>
    </row>
    <row r="1021" spans="9:27" x14ac:dyDescent="0.25">
      <c r="I1021" s="49"/>
      <c r="J1021" s="49"/>
      <c r="K1021" s="49"/>
      <c r="V1021" s="174"/>
      <c r="W1021" s="174"/>
      <c r="X1021" s="174"/>
      <c r="Y1021" s="188"/>
      <c r="AA1021" s="78"/>
    </row>
    <row r="1022" spans="9:27" x14ac:dyDescent="0.25">
      <c r="I1022" s="49"/>
      <c r="J1022" s="49"/>
      <c r="K1022" s="49"/>
      <c r="V1022" s="174"/>
      <c r="W1022" s="174"/>
      <c r="X1022" s="174"/>
      <c r="Y1022" s="188"/>
      <c r="AA1022" s="78"/>
    </row>
    <row r="1023" spans="9:27" x14ac:dyDescent="0.25">
      <c r="I1023" s="49"/>
      <c r="J1023" s="49"/>
      <c r="K1023" s="49"/>
      <c r="V1023" s="174"/>
      <c r="W1023" s="174"/>
      <c r="X1023" s="174"/>
      <c r="Y1023" s="188"/>
      <c r="AA1023" s="78"/>
    </row>
    <row r="1024" spans="9:27" x14ac:dyDescent="0.25">
      <c r="I1024" s="49"/>
      <c r="J1024" s="49"/>
      <c r="K1024" s="49"/>
      <c r="V1024" s="174"/>
      <c r="W1024" s="174"/>
      <c r="X1024" s="174"/>
      <c r="Y1024" s="188"/>
      <c r="AA1024" s="78"/>
    </row>
    <row r="1025" spans="9:27" x14ac:dyDescent="0.25">
      <c r="I1025" s="49"/>
      <c r="J1025" s="49"/>
      <c r="K1025" s="49"/>
      <c r="V1025" s="174"/>
      <c r="W1025" s="174"/>
      <c r="X1025" s="174"/>
      <c r="Y1025" s="188"/>
      <c r="AA1025" s="78"/>
    </row>
    <row r="1026" spans="9:27" x14ac:dyDescent="0.25">
      <c r="I1026" s="49"/>
      <c r="J1026" s="49"/>
      <c r="K1026" s="49"/>
      <c r="V1026" s="174"/>
      <c r="W1026" s="174"/>
      <c r="X1026" s="174"/>
      <c r="Y1026" s="188"/>
      <c r="AA1026" s="78"/>
    </row>
    <row r="1027" spans="9:27" x14ac:dyDescent="0.25">
      <c r="I1027" s="49"/>
      <c r="J1027" s="49"/>
      <c r="K1027" s="49"/>
      <c r="V1027" s="174"/>
      <c r="W1027" s="174"/>
      <c r="X1027" s="174"/>
      <c r="Y1027" s="188"/>
      <c r="AA1027" s="78"/>
    </row>
    <row r="1028" spans="9:27" x14ac:dyDescent="0.25">
      <c r="I1028" s="49"/>
      <c r="J1028" s="49"/>
      <c r="K1028" s="49"/>
      <c r="V1028" s="174"/>
      <c r="W1028" s="174"/>
      <c r="X1028" s="174"/>
      <c r="Y1028" s="188"/>
      <c r="AA1028" s="78"/>
    </row>
    <row r="1029" spans="9:27" x14ac:dyDescent="0.25">
      <c r="I1029" s="49"/>
      <c r="J1029" s="49"/>
      <c r="K1029" s="49"/>
      <c r="V1029" s="174"/>
      <c r="W1029" s="174"/>
      <c r="X1029" s="174"/>
      <c r="Y1029" s="188"/>
      <c r="AA1029" s="78"/>
    </row>
    <row r="1030" spans="9:27" x14ac:dyDescent="0.25">
      <c r="I1030" s="49"/>
      <c r="J1030" s="49"/>
      <c r="K1030" s="49"/>
      <c r="V1030" s="174"/>
      <c r="W1030" s="174"/>
      <c r="X1030" s="174"/>
      <c r="Y1030" s="188"/>
      <c r="AA1030" s="78"/>
    </row>
    <row r="1031" spans="9:27" x14ac:dyDescent="0.25">
      <c r="I1031" s="49"/>
      <c r="J1031" s="49"/>
      <c r="K1031" s="49"/>
      <c r="V1031" s="174"/>
      <c r="W1031" s="174"/>
      <c r="X1031" s="174"/>
      <c r="Y1031" s="188"/>
      <c r="AA1031" s="78"/>
    </row>
    <row r="1032" spans="9:27" x14ac:dyDescent="0.25">
      <c r="I1032" s="49"/>
      <c r="J1032" s="49"/>
      <c r="K1032" s="49"/>
      <c r="V1032" s="174"/>
      <c r="W1032" s="174"/>
      <c r="X1032" s="174"/>
      <c r="Y1032" s="188"/>
      <c r="AA1032" s="78"/>
    </row>
    <row r="1033" spans="9:27" x14ac:dyDescent="0.25">
      <c r="I1033" s="49"/>
      <c r="J1033" s="49"/>
      <c r="K1033" s="49"/>
      <c r="V1033" s="174"/>
      <c r="W1033" s="174"/>
      <c r="X1033" s="174"/>
      <c r="Y1033" s="188"/>
      <c r="AA1033" s="78"/>
    </row>
    <row r="1034" spans="9:27" x14ac:dyDescent="0.25">
      <c r="I1034" s="49"/>
      <c r="J1034" s="49"/>
      <c r="K1034" s="49"/>
      <c r="V1034" s="174"/>
      <c r="W1034" s="174"/>
      <c r="X1034" s="174"/>
      <c r="Y1034" s="188"/>
      <c r="AA1034" s="78"/>
    </row>
    <row r="1035" spans="9:27" x14ac:dyDescent="0.25">
      <c r="I1035" s="49"/>
      <c r="J1035" s="49"/>
      <c r="K1035" s="49"/>
      <c r="V1035" s="174"/>
      <c r="W1035" s="174"/>
      <c r="X1035" s="174"/>
      <c r="Y1035" s="188"/>
      <c r="AA1035" s="78"/>
    </row>
    <row r="1036" spans="9:27" x14ac:dyDescent="0.25">
      <c r="I1036" s="49"/>
      <c r="J1036" s="49"/>
      <c r="K1036" s="49"/>
      <c r="V1036" s="174"/>
      <c r="W1036" s="174"/>
      <c r="X1036" s="174"/>
      <c r="Y1036" s="188"/>
      <c r="AA1036" s="78"/>
    </row>
    <row r="1037" spans="9:27" x14ac:dyDescent="0.25">
      <c r="I1037" s="49"/>
      <c r="J1037" s="49"/>
      <c r="K1037" s="49"/>
      <c r="V1037" s="174"/>
      <c r="W1037" s="174"/>
      <c r="X1037" s="174"/>
      <c r="Y1037" s="188"/>
      <c r="AA1037" s="78"/>
    </row>
    <row r="1038" spans="9:27" x14ac:dyDescent="0.25">
      <c r="I1038" s="49"/>
      <c r="J1038" s="49"/>
      <c r="K1038" s="49"/>
      <c r="V1038" s="174"/>
      <c r="W1038" s="174"/>
      <c r="X1038" s="174"/>
      <c r="Y1038" s="188"/>
      <c r="AA1038" s="78"/>
    </row>
    <row r="1039" spans="9:27" x14ac:dyDescent="0.25">
      <c r="I1039" s="49"/>
      <c r="J1039" s="49"/>
      <c r="K1039" s="49"/>
      <c r="V1039" s="174"/>
      <c r="W1039" s="174"/>
      <c r="X1039" s="174"/>
      <c r="Y1039" s="188"/>
      <c r="AA1039" s="78"/>
    </row>
    <row r="1040" spans="9:27" x14ac:dyDescent="0.25">
      <c r="I1040" s="49"/>
      <c r="J1040" s="49"/>
      <c r="K1040" s="49"/>
      <c r="V1040" s="174"/>
      <c r="W1040" s="174"/>
      <c r="X1040" s="174"/>
      <c r="Y1040" s="188"/>
      <c r="AA1040" s="78"/>
    </row>
    <row r="1041" spans="9:27" x14ac:dyDescent="0.25">
      <c r="I1041" s="49"/>
      <c r="J1041" s="49"/>
      <c r="K1041" s="49"/>
      <c r="V1041" s="174"/>
      <c r="W1041" s="174"/>
      <c r="X1041" s="174"/>
      <c r="Y1041" s="188"/>
      <c r="AA1041" s="78"/>
    </row>
    <row r="1042" spans="9:27" x14ac:dyDescent="0.25">
      <c r="I1042" s="49"/>
      <c r="J1042" s="49"/>
      <c r="K1042" s="49"/>
      <c r="V1042" s="174"/>
      <c r="W1042" s="174"/>
      <c r="X1042" s="174"/>
      <c r="Y1042" s="188"/>
      <c r="AA1042" s="78"/>
    </row>
    <row r="1043" spans="9:27" x14ac:dyDescent="0.25">
      <c r="I1043" s="49"/>
      <c r="J1043" s="49"/>
      <c r="K1043" s="49"/>
      <c r="V1043" s="174"/>
      <c r="W1043" s="174"/>
      <c r="X1043" s="174"/>
      <c r="Y1043" s="188"/>
      <c r="AA1043" s="78"/>
    </row>
    <row r="1044" spans="9:27" x14ac:dyDescent="0.25">
      <c r="I1044" s="49"/>
      <c r="J1044" s="49"/>
      <c r="K1044" s="49"/>
      <c r="V1044" s="174"/>
      <c r="W1044" s="174"/>
      <c r="X1044" s="174"/>
      <c r="Y1044" s="188"/>
      <c r="AA1044" s="78"/>
    </row>
    <row r="1045" spans="9:27" x14ac:dyDescent="0.25">
      <c r="I1045" s="49"/>
      <c r="J1045" s="49"/>
      <c r="K1045" s="49"/>
      <c r="V1045" s="174"/>
      <c r="W1045" s="174"/>
      <c r="X1045" s="174"/>
      <c r="Y1045" s="188"/>
      <c r="AA1045" s="78"/>
    </row>
    <row r="1046" spans="9:27" x14ac:dyDescent="0.25">
      <c r="I1046" s="49"/>
      <c r="J1046" s="49"/>
      <c r="K1046" s="49"/>
      <c r="V1046" s="174"/>
      <c r="W1046" s="174"/>
      <c r="X1046" s="174"/>
      <c r="Y1046" s="188"/>
      <c r="AA1046" s="78"/>
    </row>
    <row r="1047" spans="9:27" x14ac:dyDescent="0.25">
      <c r="I1047" s="49"/>
      <c r="J1047" s="49"/>
      <c r="K1047" s="49"/>
      <c r="V1047" s="174"/>
      <c r="W1047" s="174"/>
      <c r="X1047" s="174"/>
      <c r="Y1047" s="188"/>
      <c r="AA1047" s="78"/>
    </row>
    <row r="1048" spans="9:27" x14ac:dyDescent="0.25">
      <c r="I1048" s="49"/>
      <c r="J1048" s="49"/>
      <c r="K1048" s="49"/>
      <c r="V1048" s="174"/>
      <c r="W1048" s="174"/>
      <c r="X1048" s="174"/>
      <c r="Y1048" s="188"/>
      <c r="AA1048" s="78"/>
    </row>
    <row r="1049" spans="9:27" x14ac:dyDescent="0.25">
      <c r="I1049" s="49"/>
      <c r="J1049" s="49"/>
      <c r="K1049" s="49"/>
      <c r="V1049" s="174"/>
      <c r="W1049" s="174"/>
      <c r="X1049" s="174"/>
      <c r="Y1049" s="188"/>
      <c r="AA1049" s="78"/>
    </row>
    <row r="1050" spans="9:27" x14ac:dyDescent="0.25">
      <c r="I1050" s="49"/>
      <c r="J1050" s="49"/>
      <c r="K1050" s="49"/>
      <c r="V1050" s="174"/>
      <c r="W1050" s="174"/>
      <c r="X1050" s="174"/>
      <c r="Y1050" s="188"/>
      <c r="AA1050" s="78"/>
    </row>
    <row r="1051" spans="9:27" x14ac:dyDescent="0.25">
      <c r="I1051" s="49"/>
      <c r="J1051" s="49"/>
      <c r="K1051" s="49"/>
      <c r="V1051" s="174"/>
      <c r="W1051" s="174"/>
      <c r="X1051" s="174"/>
      <c r="Y1051" s="188"/>
      <c r="AA1051" s="78"/>
    </row>
    <row r="1052" spans="9:27" x14ac:dyDescent="0.25">
      <c r="I1052" s="49"/>
      <c r="J1052" s="49"/>
      <c r="K1052" s="49"/>
      <c r="V1052" s="174"/>
      <c r="W1052" s="174"/>
      <c r="X1052" s="174"/>
      <c r="Y1052" s="188"/>
      <c r="AA1052" s="78"/>
    </row>
    <row r="1053" spans="9:27" x14ac:dyDescent="0.25">
      <c r="I1053" s="49"/>
      <c r="J1053" s="49"/>
      <c r="K1053" s="49"/>
      <c r="V1053" s="174"/>
      <c r="W1053" s="174"/>
      <c r="X1053" s="174"/>
      <c r="Y1053" s="188"/>
      <c r="AA1053" s="78"/>
    </row>
    <row r="1054" spans="9:27" x14ac:dyDescent="0.25">
      <c r="I1054" s="49"/>
      <c r="J1054" s="49"/>
      <c r="K1054" s="49"/>
      <c r="V1054" s="174"/>
      <c r="W1054" s="174"/>
      <c r="X1054" s="174"/>
      <c r="Y1054" s="188"/>
      <c r="AA1054" s="78"/>
    </row>
    <row r="1055" spans="9:27" x14ac:dyDescent="0.25">
      <c r="I1055" s="49"/>
      <c r="J1055" s="49"/>
      <c r="K1055" s="49"/>
      <c r="V1055" s="174"/>
      <c r="W1055" s="174"/>
      <c r="X1055" s="174"/>
      <c r="Y1055" s="188"/>
      <c r="AA1055" s="78"/>
    </row>
    <row r="1056" spans="9:27" x14ac:dyDescent="0.25">
      <c r="I1056" s="49"/>
      <c r="J1056" s="49"/>
      <c r="K1056" s="49"/>
      <c r="V1056" s="174"/>
      <c r="W1056" s="174"/>
      <c r="X1056" s="174"/>
      <c r="Y1056" s="188"/>
      <c r="AA1056" s="78"/>
    </row>
    <row r="1057" spans="9:27" x14ac:dyDescent="0.25">
      <c r="I1057" s="49"/>
      <c r="J1057" s="49"/>
      <c r="K1057" s="49"/>
      <c r="V1057" s="174"/>
      <c r="W1057" s="174"/>
      <c r="X1057" s="174"/>
      <c r="Y1057" s="188"/>
      <c r="AA1057" s="78"/>
    </row>
    <row r="1058" spans="9:27" x14ac:dyDescent="0.25">
      <c r="I1058" s="49"/>
      <c r="J1058" s="49"/>
      <c r="K1058" s="49"/>
      <c r="V1058" s="174"/>
      <c r="W1058" s="174"/>
      <c r="X1058" s="174"/>
      <c r="Y1058" s="188"/>
      <c r="AA1058" s="78"/>
    </row>
    <row r="1059" spans="9:27" x14ac:dyDescent="0.25">
      <c r="I1059" s="49"/>
      <c r="J1059" s="49"/>
      <c r="K1059" s="49"/>
      <c r="V1059" s="174"/>
      <c r="W1059" s="174"/>
      <c r="X1059" s="174"/>
      <c r="Y1059" s="188"/>
      <c r="AA1059" s="78"/>
    </row>
    <row r="1060" spans="9:27" x14ac:dyDescent="0.25">
      <c r="I1060" s="49"/>
      <c r="J1060" s="49"/>
      <c r="K1060" s="49"/>
      <c r="V1060" s="174"/>
      <c r="W1060" s="174"/>
      <c r="X1060" s="174"/>
      <c r="Y1060" s="188"/>
      <c r="AA1060" s="78"/>
    </row>
    <row r="1061" spans="9:27" x14ac:dyDescent="0.25">
      <c r="I1061" s="49"/>
      <c r="J1061" s="49"/>
      <c r="K1061" s="49"/>
      <c r="V1061" s="174"/>
      <c r="W1061" s="174"/>
      <c r="X1061" s="174"/>
      <c r="Y1061" s="188"/>
      <c r="AA1061" s="78"/>
    </row>
    <row r="1062" spans="9:27" x14ac:dyDescent="0.25">
      <c r="I1062" s="49"/>
      <c r="J1062" s="49"/>
      <c r="K1062" s="49"/>
      <c r="V1062" s="174"/>
      <c r="W1062" s="174"/>
      <c r="X1062" s="174"/>
      <c r="Y1062" s="188"/>
      <c r="AA1062" s="78"/>
    </row>
    <row r="1063" spans="9:27" x14ac:dyDescent="0.25">
      <c r="I1063" s="49"/>
      <c r="J1063" s="49"/>
      <c r="K1063" s="49"/>
      <c r="V1063" s="174"/>
      <c r="W1063" s="174"/>
      <c r="X1063" s="174"/>
      <c r="Y1063" s="188"/>
      <c r="AA1063" s="78"/>
    </row>
    <row r="1064" spans="9:27" x14ac:dyDescent="0.25">
      <c r="I1064" s="49"/>
      <c r="J1064" s="49"/>
      <c r="K1064" s="49"/>
      <c r="V1064" s="174"/>
      <c r="W1064" s="174"/>
      <c r="X1064" s="174"/>
      <c r="Y1064" s="188"/>
      <c r="AA1064" s="78"/>
    </row>
    <row r="1065" spans="9:27" x14ac:dyDescent="0.25">
      <c r="I1065" s="49"/>
      <c r="J1065" s="49"/>
      <c r="K1065" s="49"/>
      <c r="V1065" s="174"/>
      <c r="W1065" s="174"/>
      <c r="X1065" s="174"/>
      <c r="Y1065" s="188"/>
      <c r="AA1065" s="78"/>
    </row>
    <row r="1066" spans="9:27" x14ac:dyDescent="0.25">
      <c r="I1066" s="49"/>
      <c r="J1066" s="49"/>
      <c r="K1066" s="49"/>
      <c r="V1066" s="174"/>
      <c r="W1066" s="174"/>
      <c r="X1066" s="174"/>
      <c r="Y1066" s="188"/>
      <c r="AA1066" s="78"/>
    </row>
    <row r="1067" spans="9:27" x14ac:dyDescent="0.25">
      <c r="I1067" s="49"/>
      <c r="J1067" s="49"/>
      <c r="K1067" s="49"/>
      <c r="V1067" s="174"/>
      <c r="W1067" s="174"/>
      <c r="X1067" s="174"/>
      <c r="Y1067" s="188"/>
      <c r="AA1067" s="78"/>
    </row>
    <row r="1068" spans="9:27" x14ac:dyDescent="0.25">
      <c r="I1068" s="49"/>
      <c r="J1068" s="49"/>
      <c r="K1068" s="49"/>
      <c r="V1068" s="174"/>
      <c r="W1068" s="174"/>
      <c r="X1068" s="174"/>
      <c r="Y1068" s="188"/>
      <c r="AA1068" s="78"/>
    </row>
    <row r="1069" spans="9:27" x14ac:dyDescent="0.25">
      <c r="I1069" s="49"/>
      <c r="J1069" s="49"/>
      <c r="K1069" s="49"/>
      <c r="V1069" s="174"/>
      <c r="W1069" s="174"/>
      <c r="X1069" s="174"/>
      <c r="Y1069" s="188"/>
      <c r="AA1069" s="78"/>
    </row>
    <row r="1070" spans="9:27" x14ac:dyDescent="0.25">
      <c r="I1070" s="49"/>
      <c r="J1070" s="49"/>
      <c r="K1070" s="49"/>
      <c r="V1070" s="174"/>
      <c r="W1070" s="174"/>
      <c r="X1070" s="174"/>
      <c r="Y1070" s="188"/>
      <c r="AA1070" s="78"/>
    </row>
    <row r="1071" spans="9:27" x14ac:dyDescent="0.25">
      <c r="I1071" s="49"/>
      <c r="J1071" s="49"/>
      <c r="K1071" s="49"/>
      <c r="V1071" s="174"/>
      <c r="W1071" s="174"/>
      <c r="X1071" s="174"/>
      <c r="Y1071" s="188"/>
      <c r="AA1071" s="78"/>
    </row>
    <row r="1072" spans="9:27" x14ac:dyDescent="0.25">
      <c r="I1072" s="49"/>
      <c r="J1072" s="49"/>
      <c r="K1072" s="49"/>
      <c r="V1072" s="174"/>
      <c r="W1072" s="174"/>
      <c r="X1072" s="174"/>
      <c r="Y1072" s="188"/>
      <c r="AA1072" s="78"/>
    </row>
    <row r="1073" spans="9:27" x14ac:dyDescent="0.25">
      <c r="I1073" s="49"/>
      <c r="J1073" s="49"/>
      <c r="K1073" s="49"/>
      <c r="V1073" s="174"/>
      <c r="W1073" s="174"/>
      <c r="X1073" s="174"/>
      <c r="Y1073" s="188"/>
      <c r="AA1073" s="78"/>
    </row>
    <row r="1074" spans="9:27" x14ac:dyDescent="0.25">
      <c r="I1074" s="49"/>
      <c r="J1074" s="49"/>
      <c r="K1074" s="49"/>
      <c r="V1074" s="174"/>
      <c r="W1074" s="174"/>
      <c r="X1074" s="174"/>
      <c r="Y1074" s="188"/>
      <c r="AA1074" s="78"/>
    </row>
    <row r="1075" spans="9:27" x14ac:dyDescent="0.25">
      <c r="I1075" s="49"/>
      <c r="J1075" s="49"/>
      <c r="K1075" s="49"/>
      <c r="V1075" s="174"/>
      <c r="W1075" s="174"/>
      <c r="X1075" s="174"/>
      <c r="Y1075" s="188"/>
      <c r="AA1075" s="78"/>
    </row>
    <row r="1076" spans="9:27" x14ac:dyDescent="0.25">
      <c r="I1076" s="49"/>
      <c r="J1076" s="49"/>
      <c r="K1076" s="49"/>
      <c r="V1076" s="174"/>
      <c r="W1076" s="174"/>
      <c r="X1076" s="174"/>
      <c r="Y1076" s="188"/>
      <c r="AA1076" s="78"/>
    </row>
    <row r="1077" spans="9:27" x14ac:dyDescent="0.25">
      <c r="I1077" s="49"/>
      <c r="J1077" s="49"/>
      <c r="K1077" s="49"/>
      <c r="V1077" s="174"/>
      <c r="W1077" s="174"/>
      <c r="X1077" s="174"/>
      <c r="Y1077" s="188"/>
      <c r="AA1077" s="78"/>
    </row>
    <row r="1078" spans="9:27" x14ac:dyDescent="0.25">
      <c r="I1078" s="49"/>
      <c r="J1078" s="49"/>
      <c r="K1078" s="49"/>
      <c r="V1078" s="174"/>
      <c r="W1078" s="174"/>
      <c r="X1078" s="174"/>
      <c r="Y1078" s="188"/>
      <c r="AA1078" s="78"/>
    </row>
    <row r="1079" spans="9:27" x14ac:dyDescent="0.25">
      <c r="I1079" s="49"/>
      <c r="J1079" s="49"/>
      <c r="K1079" s="49"/>
      <c r="V1079" s="174"/>
      <c r="W1079" s="174"/>
      <c r="X1079" s="174"/>
      <c r="Y1079" s="188"/>
      <c r="AA1079" s="78"/>
    </row>
    <row r="1080" spans="9:27" x14ac:dyDescent="0.25">
      <c r="I1080" s="49"/>
      <c r="J1080" s="49"/>
      <c r="K1080" s="49"/>
      <c r="V1080" s="174"/>
      <c r="W1080" s="174"/>
      <c r="X1080" s="174"/>
      <c r="Y1080" s="188"/>
      <c r="AA1080" s="78"/>
    </row>
    <row r="1081" spans="9:27" x14ac:dyDescent="0.25">
      <c r="I1081" s="49"/>
      <c r="J1081" s="49"/>
      <c r="K1081" s="49"/>
      <c r="V1081" s="174"/>
      <c r="W1081" s="174"/>
      <c r="X1081" s="174"/>
      <c r="Y1081" s="188"/>
      <c r="AA1081" s="78"/>
    </row>
    <row r="1082" spans="9:27" x14ac:dyDescent="0.25">
      <c r="I1082" s="49"/>
      <c r="J1082" s="49"/>
      <c r="K1082" s="49"/>
      <c r="V1082" s="174"/>
      <c r="W1082" s="174"/>
      <c r="X1082" s="174"/>
      <c r="Y1082" s="188"/>
      <c r="AA1082" s="78"/>
    </row>
    <row r="1083" spans="9:27" x14ac:dyDescent="0.25">
      <c r="I1083" s="49"/>
      <c r="J1083" s="49"/>
      <c r="K1083" s="49"/>
      <c r="V1083" s="174"/>
      <c r="W1083" s="174"/>
      <c r="X1083" s="174"/>
      <c r="Y1083" s="188"/>
      <c r="AA1083" s="78"/>
    </row>
    <row r="1084" spans="9:27" x14ac:dyDescent="0.25">
      <c r="I1084" s="49"/>
      <c r="J1084" s="49"/>
      <c r="K1084" s="49"/>
      <c r="V1084" s="174"/>
      <c r="W1084" s="174"/>
      <c r="X1084" s="174"/>
      <c r="Y1084" s="188"/>
      <c r="AA1084" s="78"/>
    </row>
    <row r="1085" spans="9:27" x14ac:dyDescent="0.25">
      <c r="I1085" s="49"/>
      <c r="J1085" s="49"/>
      <c r="K1085" s="49"/>
      <c r="V1085" s="174"/>
      <c r="W1085" s="174"/>
      <c r="X1085" s="174"/>
      <c r="Y1085" s="188"/>
      <c r="AA1085" s="78"/>
    </row>
    <row r="1086" spans="9:27" x14ac:dyDescent="0.25">
      <c r="I1086" s="49"/>
      <c r="J1086" s="49"/>
      <c r="K1086" s="49"/>
      <c r="V1086" s="174"/>
      <c r="W1086" s="174"/>
      <c r="X1086" s="174"/>
      <c r="Y1086" s="188"/>
      <c r="AA1086" s="78"/>
    </row>
    <row r="1087" spans="9:27" x14ac:dyDescent="0.25">
      <c r="I1087" s="49"/>
      <c r="J1087" s="49"/>
      <c r="K1087" s="49"/>
      <c r="V1087" s="174"/>
      <c r="W1087" s="174"/>
      <c r="X1087" s="174"/>
      <c r="Y1087" s="188"/>
      <c r="AA1087" s="78"/>
    </row>
    <row r="1088" spans="9:27" x14ac:dyDescent="0.25">
      <c r="I1088" s="49"/>
      <c r="J1088" s="49"/>
      <c r="K1088" s="49"/>
      <c r="V1088" s="174"/>
      <c r="W1088" s="174"/>
      <c r="X1088" s="174"/>
      <c r="Y1088" s="188"/>
      <c r="AA1088" s="78"/>
    </row>
    <row r="1089" spans="9:27" x14ac:dyDescent="0.25">
      <c r="I1089" s="49"/>
      <c r="J1089" s="49"/>
      <c r="K1089" s="49"/>
      <c r="V1089" s="174"/>
      <c r="W1089" s="174"/>
      <c r="X1089" s="174"/>
      <c r="Y1089" s="188"/>
      <c r="AA1089" s="78"/>
    </row>
    <row r="1090" spans="9:27" x14ac:dyDescent="0.25">
      <c r="I1090" s="49"/>
      <c r="J1090" s="49"/>
      <c r="K1090" s="49"/>
      <c r="V1090" s="174"/>
      <c r="W1090" s="174"/>
      <c r="X1090" s="174"/>
      <c r="Y1090" s="188"/>
      <c r="AA1090" s="78"/>
    </row>
    <row r="1091" spans="9:27" x14ac:dyDescent="0.25">
      <c r="I1091" s="49"/>
      <c r="J1091" s="49"/>
      <c r="K1091" s="49"/>
      <c r="V1091" s="174"/>
      <c r="W1091" s="174"/>
      <c r="X1091" s="174"/>
      <c r="Y1091" s="188"/>
      <c r="AA1091" s="78"/>
    </row>
    <row r="1092" spans="9:27" x14ac:dyDescent="0.25">
      <c r="I1092" s="49"/>
      <c r="J1092" s="49"/>
      <c r="K1092" s="49"/>
      <c r="V1092" s="174"/>
      <c r="W1092" s="174"/>
      <c r="X1092" s="174"/>
      <c r="Y1092" s="188"/>
      <c r="AA1092" s="78"/>
    </row>
    <row r="1093" spans="9:27" x14ac:dyDescent="0.25">
      <c r="I1093" s="49"/>
      <c r="J1093" s="49"/>
      <c r="K1093" s="49"/>
      <c r="V1093" s="174"/>
      <c r="W1093" s="174"/>
      <c r="X1093" s="174"/>
      <c r="Y1093" s="188"/>
      <c r="AA1093" s="78"/>
    </row>
    <row r="1094" spans="9:27" x14ac:dyDescent="0.25">
      <c r="I1094" s="49"/>
      <c r="J1094" s="49"/>
      <c r="K1094" s="49"/>
      <c r="V1094" s="174"/>
      <c r="W1094" s="174"/>
      <c r="X1094" s="174"/>
      <c r="Y1094" s="188"/>
      <c r="AA1094" s="78"/>
    </row>
    <row r="1095" spans="9:27" x14ac:dyDescent="0.25">
      <c r="I1095" s="49"/>
      <c r="J1095" s="49"/>
      <c r="K1095" s="49"/>
      <c r="V1095" s="174"/>
      <c r="W1095" s="174"/>
      <c r="X1095" s="174"/>
      <c r="Y1095" s="188"/>
      <c r="AA1095" s="78"/>
    </row>
    <row r="1096" spans="9:27" x14ac:dyDescent="0.25">
      <c r="I1096" s="49"/>
      <c r="J1096" s="49"/>
      <c r="K1096" s="49"/>
      <c r="V1096" s="174"/>
      <c r="W1096" s="174"/>
      <c r="X1096" s="174"/>
      <c r="Y1096" s="188"/>
      <c r="AA1096" s="78"/>
    </row>
    <row r="1097" spans="9:27" x14ac:dyDescent="0.25">
      <c r="I1097" s="49"/>
      <c r="J1097" s="49"/>
      <c r="K1097" s="49"/>
      <c r="V1097" s="174"/>
      <c r="W1097" s="174"/>
      <c r="X1097" s="174"/>
      <c r="Y1097" s="188"/>
      <c r="AA1097" s="78"/>
    </row>
    <row r="1098" spans="9:27" x14ac:dyDescent="0.25">
      <c r="I1098" s="49"/>
      <c r="J1098" s="49"/>
      <c r="K1098" s="49"/>
      <c r="V1098" s="174"/>
      <c r="W1098" s="174"/>
      <c r="X1098" s="174"/>
      <c r="Y1098" s="188"/>
      <c r="AA1098" s="78"/>
    </row>
    <row r="1099" spans="9:27" x14ac:dyDescent="0.25">
      <c r="I1099" s="49"/>
      <c r="J1099" s="49"/>
      <c r="K1099" s="49"/>
      <c r="V1099" s="174"/>
      <c r="W1099" s="174"/>
      <c r="X1099" s="174"/>
      <c r="Y1099" s="188"/>
      <c r="AA1099" s="78"/>
    </row>
    <row r="1100" spans="9:27" x14ac:dyDescent="0.25">
      <c r="I1100" s="49"/>
      <c r="J1100" s="49"/>
      <c r="K1100" s="49"/>
      <c r="V1100" s="174"/>
      <c r="W1100" s="174"/>
      <c r="X1100" s="174"/>
      <c r="Y1100" s="188"/>
      <c r="AA1100" s="78"/>
    </row>
    <row r="1101" spans="9:27" x14ac:dyDescent="0.25">
      <c r="I1101" s="49"/>
      <c r="J1101" s="49"/>
      <c r="K1101" s="49"/>
      <c r="V1101" s="174"/>
      <c r="W1101" s="174"/>
      <c r="X1101" s="174"/>
      <c r="Y1101" s="188"/>
      <c r="AA1101" s="78"/>
    </row>
    <row r="1102" spans="9:27" x14ac:dyDescent="0.25">
      <c r="I1102" s="49"/>
      <c r="J1102" s="49"/>
      <c r="K1102" s="49"/>
      <c r="V1102" s="174"/>
      <c r="W1102" s="174"/>
      <c r="X1102" s="174"/>
      <c r="Y1102" s="188"/>
      <c r="AA1102" s="78"/>
    </row>
    <row r="1103" spans="9:27" x14ac:dyDescent="0.25">
      <c r="I1103" s="49"/>
      <c r="J1103" s="49"/>
      <c r="K1103" s="49"/>
      <c r="V1103" s="174"/>
      <c r="W1103" s="174"/>
      <c r="X1103" s="174"/>
      <c r="Y1103" s="188"/>
      <c r="AA1103" s="78"/>
    </row>
    <row r="1104" spans="9:27" x14ac:dyDescent="0.25">
      <c r="I1104" s="49"/>
      <c r="J1104" s="49"/>
      <c r="K1104" s="49"/>
      <c r="V1104" s="174"/>
      <c r="W1104" s="174"/>
      <c r="X1104" s="174"/>
      <c r="Y1104" s="188"/>
      <c r="AA1104" s="78"/>
    </row>
    <row r="1105" spans="9:27" x14ac:dyDescent="0.25">
      <c r="I1105" s="49"/>
      <c r="J1105" s="49"/>
      <c r="K1105" s="49"/>
      <c r="V1105" s="174"/>
      <c r="W1105" s="174"/>
      <c r="X1105" s="174"/>
      <c r="Y1105" s="188"/>
      <c r="AA1105" s="78"/>
    </row>
    <row r="1106" spans="9:27" x14ac:dyDescent="0.25">
      <c r="I1106" s="49"/>
      <c r="J1106" s="49"/>
      <c r="K1106" s="49"/>
      <c r="V1106" s="174"/>
      <c r="W1106" s="174"/>
      <c r="X1106" s="174"/>
      <c r="Y1106" s="188"/>
      <c r="AA1106" s="78"/>
    </row>
    <row r="1107" spans="9:27" x14ac:dyDescent="0.25">
      <c r="I1107" s="49"/>
      <c r="J1107" s="49"/>
      <c r="K1107" s="49"/>
      <c r="V1107" s="174"/>
      <c r="W1107" s="174"/>
      <c r="X1107" s="174"/>
      <c r="Y1107" s="188"/>
      <c r="AA1107" s="78"/>
    </row>
    <row r="1108" spans="9:27" x14ac:dyDescent="0.25">
      <c r="I1108" s="49"/>
      <c r="J1108" s="49"/>
      <c r="K1108" s="49"/>
      <c r="V1108" s="174"/>
      <c r="W1108" s="174"/>
      <c r="X1108" s="174"/>
      <c r="Y1108" s="188"/>
      <c r="AA1108" s="78"/>
    </row>
    <row r="1109" spans="9:27" x14ac:dyDescent="0.25">
      <c r="I1109" s="49"/>
      <c r="J1109" s="49"/>
      <c r="K1109" s="49"/>
      <c r="V1109" s="174"/>
      <c r="W1109" s="174"/>
      <c r="X1109" s="174"/>
      <c r="Y1109" s="188"/>
      <c r="AA1109" s="78"/>
    </row>
    <row r="1110" spans="9:27" x14ac:dyDescent="0.25">
      <c r="I1110" s="49"/>
      <c r="J1110" s="49"/>
      <c r="K1110" s="49"/>
      <c r="V1110" s="174"/>
      <c r="W1110" s="174"/>
      <c r="X1110" s="174"/>
      <c r="Y1110" s="188"/>
      <c r="AA1110" s="78"/>
    </row>
    <row r="1111" spans="9:27" x14ac:dyDescent="0.25">
      <c r="I1111" s="49"/>
      <c r="J1111" s="49"/>
      <c r="K1111" s="49"/>
      <c r="V1111" s="174"/>
      <c r="W1111" s="174"/>
      <c r="X1111" s="174"/>
      <c r="Y1111" s="188"/>
      <c r="AA1111" s="78"/>
    </row>
    <row r="1112" spans="9:27" x14ac:dyDescent="0.25">
      <c r="I1112" s="49"/>
      <c r="J1112" s="49"/>
      <c r="K1112" s="49"/>
      <c r="V1112" s="174"/>
      <c r="W1112" s="174"/>
      <c r="X1112" s="174"/>
      <c r="Y1112" s="188"/>
      <c r="AA1112" s="78"/>
    </row>
    <row r="1113" spans="9:27" x14ac:dyDescent="0.25">
      <c r="I1113" s="49"/>
      <c r="J1113" s="49"/>
      <c r="K1113" s="49"/>
      <c r="V1113" s="174"/>
      <c r="W1113" s="174"/>
      <c r="X1113" s="174"/>
      <c r="Y1113" s="188"/>
      <c r="AA1113" s="78"/>
    </row>
    <row r="1114" spans="9:27" x14ac:dyDescent="0.25">
      <c r="I1114" s="49"/>
      <c r="J1114" s="49"/>
      <c r="K1114" s="49"/>
      <c r="V1114" s="174"/>
      <c r="W1114" s="174"/>
      <c r="X1114" s="174"/>
      <c r="Y1114" s="188"/>
      <c r="AA1114" s="78"/>
    </row>
    <row r="1115" spans="9:27" x14ac:dyDescent="0.25">
      <c r="I1115" s="49"/>
      <c r="J1115" s="49"/>
      <c r="K1115" s="49"/>
      <c r="V1115" s="174"/>
      <c r="W1115" s="174"/>
      <c r="X1115" s="174"/>
      <c r="Y1115" s="188"/>
      <c r="AA1115" s="78"/>
    </row>
    <row r="1116" spans="9:27" x14ac:dyDescent="0.25">
      <c r="I1116" s="49"/>
      <c r="J1116" s="49"/>
      <c r="K1116" s="49"/>
      <c r="V1116" s="174"/>
      <c r="W1116" s="174"/>
      <c r="X1116" s="174"/>
      <c r="Y1116" s="188"/>
      <c r="AA1116" s="78"/>
    </row>
    <row r="1117" spans="9:27" x14ac:dyDescent="0.25">
      <c r="I1117" s="49"/>
      <c r="J1117" s="49"/>
      <c r="K1117" s="49"/>
      <c r="V1117" s="174"/>
      <c r="W1117" s="174"/>
      <c r="X1117" s="174"/>
      <c r="Y1117" s="188"/>
      <c r="AA1117" s="78"/>
    </row>
    <row r="1118" spans="9:27" x14ac:dyDescent="0.25">
      <c r="I1118" s="49"/>
      <c r="J1118" s="49"/>
      <c r="K1118" s="49"/>
      <c r="V1118" s="174"/>
      <c r="W1118" s="174"/>
      <c r="X1118" s="174"/>
      <c r="Y1118" s="188"/>
      <c r="AA1118" s="78"/>
    </row>
    <row r="1119" spans="9:27" x14ac:dyDescent="0.25">
      <c r="I1119" s="49"/>
      <c r="J1119" s="49"/>
      <c r="K1119" s="49"/>
      <c r="V1119" s="174"/>
      <c r="W1119" s="174"/>
      <c r="X1119" s="174"/>
      <c r="Y1119" s="188"/>
      <c r="AA1119" s="78"/>
    </row>
    <row r="1120" spans="9:27" x14ac:dyDescent="0.25">
      <c r="I1120" s="49"/>
      <c r="J1120" s="49"/>
      <c r="K1120" s="49"/>
      <c r="V1120" s="174"/>
      <c r="W1120" s="174"/>
      <c r="X1120" s="174"/>
      <c r="Y1120" s="188"/>
      <c r="AA1120" s="78"/>
    </row>
    <row r="1121" spans="9:27" x14ac:dyDescent="0.25">
      <c r="I1121" s="49"/>
      <c r="J1121" s="49"/>
      <c r="K1121" s="49"/>
      <c r="V1121" s="174"/>
      <c r="W1121" s="174"/>
      <c r="X1121" s="174"/>
      <c r="Y1121" s="188"/>
      <c r="AA1121" s="78"/>
    </row>
    <row r="1122" spans="9:27" x14ac:dyDescent="0.25">
      <c r="I1122" s="49"/>
      <c r="J1122" s="49"/>
      <c r="K1122" s="49"/>
      <c r="V1122" s="174"/>
      <c r="W1122" s="174"/>
      <c r="X1122" s="174"/>
      <c r="Y1122" s="188"/>
      <c r="AA1122" s="78"/>
    </row>
    <row r="1123" spans="9:27" x14ac:dyDescent="0.25">
      <c r="I1123" s="49"/>
      <c r="J1123" s="49"/>
      <c r="K1123" s="49"/>
      <c r="V1123" s="174"/>
      <c r="W1123" s="174"/>
      <c r="X1123" s="174"/>
      <c r="Y1123" s="188"/>
      <c r="AA1123" s="78"/>
    </row>
    <row r="1124" spans="9:27" x14ac:dyDescent="0.25">
      <c r="I1124" s="49"/>
      <c r="J1124" s="49"/>
      <c r="K1124" s="49"/>
      <c r="V1124" s="174"/>
      <c r="W1124" s="174"/>
      <c r="X1124" s="174"/>
      <c r="Y1124" s="188"/>
      <c r="AA1124" s="78"/>
    </row>
    <row r="1125" spans="9:27" x14ac:dyDescent="0.25">
      <c r="I1125" s="49"/>
      <c r="J1125" s="49"/>
      <c r="K1125" s="49"/>
      <c r="V1125" s="174"/>
      <c r="W1125" s="174"/>
      <c r="X1125" s="174"/>
      <c r="Y1125" s="188"/>
      <c r="AA1125" s="78"/>
    </row>
    <row r="1126" spans="9:27" x14ac:dyDescent="0.25">
      <c r="I1126" s="49"/>
      <c r="J1126" s="49"/>
      <c r="K1126" s="49"/>
      <c r="V1126" s="174"/>
      <c r="W1126" s="174"/>
      <c r="X1126" s="174"/>
      <c r="Y1126" s="188"/>
      <c r="AA1126" s="78"/>
    </row>
    <row r="1127" spans="9:27" x14ac:dyDescent="0.25">
      <c r="I1127" s="49"/>
      <c r="J1127" s="49"/>
      <c r="K1127" s="49"/>
      <c r="V1127" s="174"/>
      <c r="W1127" s="174"/>
      <c r="X1127" s="174"/>
      <c r="Y1127" s="188"/>
      <c r="AA1127" s="78"/>
    </row>
    <row r="1128" spans="9:27" x14ac:dyDescent="0.25">
      <c r="I1128" s="49"/>
      <c r="J1128" s="49"/>
      <c r="K1128" s="49"/>
      <c r="V1128" s="174"/>
      <c r="W1128" s="174"/>
      <c r="X1128" s="174"/>
      <c r="Y1128" s="188"/>
      <c r="AA1128" s="78"/>
    </row>
    <row r="1129" spans="9:27" x14ac:dyDescent="0.25">
      <c r="I1129" s="49"/>
      <c r="J1129" s="49"/>
      <c r="K1129" s="49"/>
      <c r="V1129" s="174"/>
      <c r="W1129" s="174"/>
      <c r="X1129" s="174"/>
      <c r="Y1129" s="188"/>
      <c r="AA1129" s="78"/>
    </row>
    <row r="1130" spans="9:27" x14ac:dyDescent="0.25">
      <c r="I1130" s="49"/>
      <c r="J1130" s="49"/>
      <c r="K1130" s="49"/>
      <c r="V1130" s="174"/>
      <c r="W1130" s="174"/>
      <c r="X1130" s="174"/>
      <c r="Y1130" s="188"/>
      <c r="AA1130" s="78"/>
    </row>
    <row r="1131" spans="9:27" x14ac:dyDescent="0.25">
      <c r="I1131" s="49"/>
      <c r="J1131" s="49"/>
      <c r="K1131" s="49"/>
      <c r="V1131" s="174"/>
      <c r="W1131" s="174"/>
      <c r="X1131" s="174"/>
      <c r="Y1131" s="188"/>
      <c r="AA1131" s="78"/>
    </row>
    <row r="1132" spans="9:27" x14ac:dyDescent="0.25">
      <c r="I1132" s="49"/>
      <c r="J1132" s="49"/>
      <c r="K1132" s="49"/>
      <c r="V1132" s="174"/>
      <c r="W1132" s="174"/>
      <c r="X1132" s="174"/>
      <c r="Y1132" s="188"/>
      <c r="AA1132" s="78"/>
    </row>
    <row r="1133" spans="9:27" x14ac:dyDescent="0.25">
      <c r="I1133" s="49"/>
      <c r="J1133" s="49"/>
      <c r="K1133" s="49"/>
      <c r="V1133" s="174"/>
      <c r="W1133" s="174"/>
      <c r="X1133" s="174"/>
      <c r="Y1133" s="188"/>
      <c r="AA1133" s="78"/>
    </row>
    <row r="1134" spans="9:27" x14ac:dyDescent="0.25">
      <c r="I1134" s="49"/>
      <c r="J1134" s="49"/>
      <c r="K1134" s="49"/>
      <c r="V1134" s="174"/>
      <c r="W1134" s="174"/>
      <c r="X1134" s="174"/>
      <c r="Y1134" s="188"/>
      <c r="AA1134" s="78"/>
    </row>
    <row r="1135" spans="9:27" x14ac:dyDescent="0.25">
      <c r="I1135" s="49"/>
      <c r="J1135" s="49"/>
      <c r="K1135" s="49"/>
      <c r="V1135" s="174"/>
      <c r="W1135" s="174"/>
      <c r="X1135" s="174"/>
      <c r="Y1135" s="188"/>
      <c r="AA1135" s="78"/>
    </row>
    <row r="1136" spans="9:27" x14ac:dyDescent="0.25">
      <c r="I1136" s="49"/>
      <c r="J1136" s="49"/>
      <c r="K1136" s="49"/>
      <c r="V1136" s="174"/>
      <c r="W1136" s="174"/>
      <c r="X1136" s="174"/>
      <c r="Y1136" s="188"/>
      <c r="AA1136" s="78"/>
    </row>
    <row r="1137" spans="9:27" x14ac:dyDescent="0.25">
      <c r="I1137" s="49"/>
      <c r="J1137" s="49"/>
      <c r="K1137" s="49"/>
      <c r="V1137" s="174"/>
      <c r="W1137" s="174"/>
      <c r="X1137" s="174"/>
      <c r="Y1137" s="188"/>
      <c r="AA1137" s="78"/>
    </row>
    <row r="1138" spans="9:27" x14ac:dyDescent="0.25">
      <c r="I1138" s="49"/>
      <c r="J1138" s="49"/>
      <c r="K1138" s="49"/>
      <c r="V1138" s="174"/>
      <c r="W1138" s="174"/>
      <c r="X1138" s="174"/>
      <c r="Y1138" s="188"/>
      <c r="AA1138" s="78"/>
    </row>
    <row r="1139" spans="9:27" x14ac:dyDescent="0.25">
      <c r="I1139" s="49"/>
      <c r="J1139" s="49"/>
      <c r="K1139" s="49"/>
      <c r="V1139" s="174"/>
      <c r="W1139" s="174"/>
      <c r="X1139" s="174"/>
      <c r="Y1139" s="188"/>
      <c r="AA1139" s="78"/>
    </row>
    <row r="1140" spans="9:27" x14ac:dyDescent="0.25">
      <c r="I1140" s="49"/>
      <c r="J1140" s="49"/>
      <c r="K1140" s="49"/>
      <c r="V1140" s="174"/>
      <c r="W1140" s="174"/>
      <c r="X1140" s="174"/>
      <c r="Y1140" s="188"/>
      <c r="AA1140" s="78"/>
    </row>
    <row r="1141" spans="9:27" x14ac:dyDescent="0.25">
      <c r="I1141" s="49"/>
      <c r="J1141" s="49"/>
      <c r="K1141" s="49"/>
      <c r="V1141" s="174"/>
      <c r="W1141" s="174"/>
      <c r="X1141" s="174"/>
      <c r="Y1141" s="188"/>
      <c r="AA1141" s="78"/>
    </row>
    <row r="1142" spans="9:27" x14ac:dyDescent="0.25">
      <c r="I1142" s="49"/>
      <c r="J1142" s="49"/>
      <c r="K1142" s="49"/>
      <c r="V1142" s="174"/>
      <c r="W1142" s="174"/>
      <c r="X1142" s="174"/>
      <c r="Y1142" s="188"/>
      <c r="AA1142" s="78"/>
    </row>
    <row r="1143" spans="9:27" x14ac:dyDescent="0.25">
      <c r="I1143" s="49"/>
      <c r="J1143" s="49"/>
      <c r="K1143" s="49"/>
      <c r="V1143" s="174"/>
      <c r="W1143" s="174"/>
      <c r="X1143" s="174"/>
      <c r="Y1143" s="188"/>
      <c r="AA1143" s="78"/>
    </row>
    <row r="1144" spans="9:27" x14ac:dyDescent="0.25">
      <c r="I1144" s="49"/>
      <c r="J1144" s="49"/>
      <c r="K1144" s="49"/>
      <c r="V1144" s="174"/>
      <c r="W1144" s="174"/>
      <c r="X1144" s="174"/>
      <c r="Y1144" s="188"/>
      <c r="AA1144" s="78"/>
    </row>
    <row r="1145" spans="9:27" x14ac:dyDescent="0.25">
      <c r="I1145" s="49"/>
      <c r="J1145" s="49"/>
      <c r="K1145" s="49"/>
      <c r="V1145" s="174"/>
      <c r="W1145" s="174"/>
      <c r="X1145" s="174"/>
      <c r="Y1145" s="188"/>
      <c r="AA1145" s="78"/>
    </row>
    <row r="1146" spans="9:27" x14ac:dyDescent="0.25">
      <c r="I1146" s="49"/>
      <c r="J1146" s="49"/>
      <c r="K1146" s="49"/>
      <c r="V1146" s="174"/>
      <c r="W1146" s="174"/>
      <c r="X1146" s="174"/>
      <c r="Y1146" s="188"/>
      <c r="AA1146" s="78"/>
    </row>
    <row r="1147" spans="9:27" x14ac:dyDescent="0.25">
      <c r="I1147" s="49"/>
      <c r="J1147" s="49"/>
      <c r="K1147" s="49"/>
      <c r="V1147" s="174"/>
      <c r="W1147" s="174"/>
      <c r="X1147" s="174"/>
      <c r="Y1147" s="188"/>
      <c r="AA1147" s="78"/>
    </row>
    <row r="1148" spans="9:27" x14ac:dyDescent="0.25">
      <c r="I1148" s="49"/>
      <c r="J1148" s="49"/>
      <c r="K1148" s="49"/>
      <c r="V1148" s="174"/>
      <c r="W1148" s="174"/>
      <c r="X1148" s="174"/>
      <c r="Y1148" s="188"/>
      <c r="AA1148" s="78"/>
    </row>
    <row r="1149" spans="9:27" x14ac:dyDescent="0.25">
      <c r="I1149" s="49"/>
      <c r="J1149" s="49"/>
      <c r="K1149" s="49"/>
      <c r="V1149" s="174"/>
      <c r="W1149" s="174"/>
      <c r="X1149" s="174"/>
      <c r="Y1149" s="188"/>
      <c r="AA1149" s="78"/>
    </row>
    <row r="1150" spans="9:27" x14ac:dyDescent="0.25">
      <c r="I1150" s="49"/>
      <c r="J1150" s="49"/>
      <c r="K1150" s="49"/>
      <c r="V1150" s="174"/>
      <c r="W1150" s="174"/>
      <c r="X1150" s="174"/>
      <c r="Y1150" s="188"/>
      <c r="AA1150" s="78"/>
    </row>
    <row r="1151" spans="9:27" x14ac:dyDescent="0.25">
      <c r="I1151" s="49"/>
      <c r="J1151" s="49"/>
      <c r="K1151" s="49"/>
      <c r="V1151" s="174"/>
      <c r="W1151" s="174"/>
      <c r="X1151" s="174"/>
      <c r="Y1151" s="188"/>
      <c r="AA1151" s="78"/>
    </row>
    <row r="1152" spans="9:27" x14ac:dyDescent="0.25">
      <c r="I1152" s="49"/>
      <c r="J1152" s="49"/>
      <c r="K1152" s="49"/>
      <c r="V1152" s="174"/>
      <c r="W1152" s="174"/>
      <c r="X1152" s="174"/>
      <c r="Y1152" s="188"/>
      <c r="AA1152" s="78"/>
    </row>
    <row r="1153" spans="9:27" x14ac:dyDescent="0.25">
      <c r="I1153" s="49"/>
      <c r="J1153" s="49"/>
      <c r="K1153" s="49"/>
      <c r="V1153" s="174"/>
      <c r="W1153" s="174"/>
      <c r="X1153" s="174"/>
      <c r="Y1153" s="188"/>
      <c r="AA1153" s="78"/>
    </row>
    <row r="1154" spans="9:27" x14ac:dyDescent="0.25">
      <c r="I1154" s="49"/>
      <c r="J1154" s="49"/>
      <c r="K1154" s="49"/>
      <c r="V1154" s="174"/>
      <c r="W1154" s="174"/>
      <c r="X1154" s="174"/>
      <c r="Y1154" s="188"/>
      <c r="AA1154" s="78"/>
    </row>
    <row r="1155" spans="9:27" x14ac:dyDescent="0.25">
      <c r="I1155" s="49"/>
      <c r="J1155" s="49"/>
      <c r="K1155" s="49"/>
      <c r="V1155" s="174"/>
      <c r="W1155" s="174"/>
      <c r="X1155" s="174"/>
      <c r="Y1155" s="188"/>
      <c r="AA1155" s="78"/>
    </row>
    <row r="1156" spans="9:27" x14ac:dyDescent="0.25">
      <c r="I1156" s="49"/>
      <c r="J1156" s="49"/>
      <c r="K1156" s="49"/>
      <c r="V1156" s="174"/>
      <c r="W1156" s="174"/>
      <c r="X1156" s="174"/>
      <c r="Y1156" s="188"/>
      <c r="AA1156" s="78"/>
    </row>
    <row r="1157" spans="9:27" x14ac:dyDescent="0.25">
      <c r="I1157" s="49"/>
      <c r="J1157" s="49"/>
      <c r="K1157" s="49"/>
      <c r="V1157" s="174"/>
      <c r="W1157" s="174"/>
      <c r="X1157" s="174"/>
      <c r="Y1157" s="188"/>
      <c r="AA1157" s="78"/>
    </row>
    <row r="1158" spans="9:27" x14ac:dyDescent="0.25">
      <c r="I1158" s="49"/>
      <c r="J1158" s="49"/>
      <c r="K1158" s="49"/>
      <c r="V1158" s="174"/>
      <c r="W1158" s="174"/>
      <c r="X1158" s="174"/>
      <c r="Y1158" s="188"/>
      <c r="AA1158" s="78"/>
    </row>
    <row r="1159" spans="9:27" x14ac:dyDescent="0.25">
      <c r="I1159" s="49"/>
      <c r="J1159" s="49"/>
      <c r="K1159" s="49"/>
      <c r="V1159" s="174"/>
      <c r="W1159" s="174"/>
      <c r="X1159" s="174"/>
      <c r="Y1159" s="188"/>
      <c r="AA1159" s="78"/>
    </row>
    <row r="1160" spans="9:27" x14ac:dyDescent="0.25">
      <c r="I1160" s="49"/>
      <c r="J1160" s="49"/>
      <c r="K1160" s="49"/>
      <c r="V1160" s="174"/>
      <c r="W1160" s="174"/>
      <c r="X1160" s="174"/>
      <c r="Y1160" s="188"/>
      <c r="AA1160" s="78"/>
    </row>
    <row r="1161" spans="9:27" x14ac:dyDescent="0.25">
      <c r="I1161" s="49"/>
      <c r="J1161" s="49"/>
      <c r="K1161" s="49"/>
      <c r="V1161" s="174"/>
      <c r="W1161" s="174"/>
      <c r="X1161" s="174"/>
      <c r="Y1161" s="188"/>
      <c r="AA1161" s="78"/>
    </row>
    <row r="1162" spans="9:27" x14ac:dyDescent="0.25">
      <c r="I1162" s="49"/>
      <c r="J1162" s="49"/>
      <c r="K1162" s="49"/>
      <c r="V1162" s="174"/>
      <c r="W1162" s="174"/>
      <c r="X1162" s="174"/>
      <c r="Y1162" s="188"/>
      <c r="AA1162" s="78"/>
    </row>
    <row r="1163" spans="9:27" x14ac:dyDescent="0.25">
      <c r="I1163" s="49"/>
      <c r="J1163" s="49"/>
      <c r="K1163" s="49"/>
      <c r="V1163" s="174"/>
      <c r="W1163" s="174"/>
      <c r="X1163" s="174"/>
      <c r="Y1163" s="188"/>
      <c r="AA1163" s="78"/>
    </row>
    <row r="1164" spans="9:27" x14ac:dyDescent="0.25">
      <c r="I1164" s="49"/>
      <c r="J1164" s="49"/>
      <c r="K1164" s="49"/>
      <c r="V1164" s="174"/>
      <c r="W1164" s="174"/>
      <c r="X1164" s="174"/>
      <c r="Y1164" s="188"/>
      <c r="AA1164" s="78"/>
    </row>
    <row r="1165" spans="9:27" x14ac:dyDescent="0.25">
      <c r="I1165" s="49"/>
      <c r="J1165" s="49"/>
      <c r="K1165" s="49"/>
      <c r="V1165" s="174"/>
      <c r="W1165" s="174"/>
      <c r="X1165" s="174"/>
      <c r="Y1165" s="188"/>
      <c r="AA1165" s="78"/>
    </row>
    <row r="1166" spans="9:27" x14ac:dyDescent="0.25">
      <c r="I1166" s="49"/>
      <c r="J1166" s="49"/>
      <c r="K1166" s="49"/>
      <c r="V1166" s="174"/>
      <c r="W1166" s="174"/>
      <c r="X1166" s="174"/>
      <c r="Y1166" s="188"/>
      <c r="AA1166" s="78"/>
    </row>
    <row r="1167" spans="9:27" x14ac:dyDescent="0.25">
      <c r="I1167" s="49"/>
      <c r="J1167" s="49"/>
      <c r="K1167" s="49"/>
      <c r="V1167" s="174"/>
      <c r="W1167" s="174"/>
      <c r="X1167" s="174"/>
      <c r="Y1167" s="188"/>
      <c r="AA1167" s="78"/>
    </row>
    <row r="1168" spans="9:27" x14ac:dyDescent="0.25">
      <c r="I1168" s="49"/>
      <c r="J1168" s="49"/>
      <c r="K1168" s="49"/>
      <c r="V1168" s="174"/>
      <c r="W1168" s="174"/>
      <c r="X1168" s="174"/>
      <c r="Y1168" s="188"/>
      <c r="AA1168" s="78"/>
    </row>
    <row r="1169" spans="9:27" x14ac:dyDescent="0.25">
      <c r="I1169" s="49"/>
      <c r="J1169" s="49"/>
      <c r="K1169" s="49"/>
      <c r="V1169" s="174"/>
      <c r="W1169" s="174"/>
      <c r="X1169" s="174"/>
      <c r="Y1169" s="188"/>
      <c r="AA1169" s="78"/>
    </row>
    <row r="1170" spans="9:27" x14ac:dyDescent="0.25">
      <c r="I1170" s="49"/>
      <c r="J1170" s="49"/>
      <c r="K1170" s="49"/>
      <c r="V1170" s="174"/>
      <c r="W1170" s="174"/>
      <c r="X1170" s="174"/>
      <c r="Y1170" s="188"/>
      <c r="AA1170" s="78"/>
    </row>
    <row r="1171" spans="9:27" x14ac:dyDescent="0.25">
      <c r="I1171" s="49"/>
      <c r="J1171" s="49"/>
      <c r="K1171" s="49"/>
      <c r="V1171" s="174"/>
      <c r="W1171" s="174"/>
      <c r="X1171" s="174"/>
      <c r="Y1171" s="188"/>
      <c r="AA1171" s="78"/>
    </row>
    <row r="1172" spans="9:27" x14ac:dyDescent="0.25">
      <c r="I1172" s="49"/>
      <c r="J1172" s="49"/>
      <c r="K1172" s="49"/>
      <c r="V1172" s="174"/>
      <c r="W1172" s="174"/>
      <c r="X1172" s="174"/>
      <c r="Y1172" s="188"/>
      <c r="AA1172" s="78"/>
    </row>
    <row r="1173" spans="9:27" x14ac:dyDescent="0.25">
      <c r="I1173" s="49"/>
      <c r="J1173" s="49"/>
      <c r="K1173" s="49"/>
      <c r="V1173" s="174"/>
      <c r="W1173" s="174"/>
      <c r="X1173" s="174"/>
      <c r="Y1173" s="188"/>
      <c r="AA1173" s="78"/>
    </row>
    <row r="1174" spans="9:27" x14ac:dyDescent="0.25">
      <c r="I1174" s="49"/>
      <c r="J1174" s="49"/>
      <c r="K1174" s="49"/>
      <c r="V1174" s="174"/>
      <c r="W1174" s="174"/>
      <c r="X1174" s="174"/>
      <c r="Y1174" s="188"/>
      <c r="AA1174" s="78"/>
    </row>
    <row r="1175" spans="9:27" x14ac:dyDescent="0.25">
      <c r="I1175" s="49"/>
      <c r="J1175" s="49"/>
      <c r="K1175" s="49"/>
      <c r="V1175" s="174"/>
      <c r="W1175" s="174"/>
      <c r="X1175" s="174"/>
      <c r="Y1175" s="188"/>
      <c r="AA1175" s="78"/>
    </row>
    <row r="1176" spans="9:27" x14ac:dyDescent="0.25">
      <c r="I1176" s="49"/>
      <c r="J1176" s="49"/>
      <c r="K1176" s="49"/>
      <c r="V1176" s="174"/>
      <c r="W1176" s="174"/>
      <c r="X1176" s="174"/>
      <c r="Y1176" s="188"/>
      <c r="AA1176" s="78"/>
    </row>
    <row r="1177" spans="9:27" x14ac:dyDescent="0.25">
      <c r="I1177" s="49"/>
      <c r="J1177" s="49"/>
      <c r="K1177" s="49"/>
      <c r="V1177" s="174"/>
      <c r="W1177" s="174"/>
      <c r="X1177" s="174"/>
      <c r="Y1177" s="188"/>
      <c r="AA1177" s="78"/>
    </row>
    <row r="1178" spans="9:27" x14ac:dyDescent="0.25">
      <c r="I1178" s="49"/>
      <c r="J1178" s="49"/>
      <c r="K1178" s="49"/>
      <c r="V1178" s="174"/>
      <c r="W1178" s="174"/>
      <c r="X1178" s="174"/>
      <c r="Y1178" s="188"/>
      <c r="AA1178" s="78"/>
    </row>
    <row r="1179" spans="9:27" x14ac:dyDescent="0.25">
      <c r="I1179" s="49"/>
      <c r="J1179" s="49"/>
      <c r="K1179" s="49"/>
      <c r="V1179" s="174"/>
      <c r="W1179" s="174"/>
      <c r="X1179" s="174"/>
      <c r="Y1179" s="188"/>
      <c r="AA1179" s="78"/>
    </row>
    <row r="1180" spans="9:27" x14ac:dyDescent="0.25">
      <c r="I1180" s="49"/>
      <c r="J1180" s="49"/>
      <c r="K1180" s="49"/>
      <c r="V1180" s="174"/>
      <c r="W1180" s="174"/>
      <c r="X1180" s="174"/>
      <c r="Y1180" s="188"/>
      <c r="AA1180" s="78"/>
    </row>
    <row r="1181" spans="9:27" x14ac:dyDescent="0.25">
      <c r="I1181" s="49"/>
      <c r="J1181" s="49"/>
      <c r="K1181" s="49"/>
      <c r="V1181" s="174"/>
      <c r="W1181" s="174"/>
      <c r="X1181" s="174"/>
      <c r="Y1181" s="188"/>
      <c r="AA1181" s="78"/>
    </row>
    <row r="1182" spans="9:27" x14ac:dyDescent="0.25">
      <c r="I1182" s="49"/>
      <c r="J1182" s="49"/>
      <c r="K1182" s="49"/>
      <c r="V1182" s="174"/>
      <c r="W1182" s="174"/>
      <c r="X1182" s="174"/>
      <c r="Y1182" s="188"/>
      <c r="AA1182" s="78"/>
    </row>
    <row r="1183" spans="9:27" x14ac:dyDescent="0.25">
      <c r="I1183" s="49"/>
      <c r="J1183" s="49"/>
      <c r="K1183" s="49"/>
      <c r="V1183" s="174"/>
      <c r="W1183" s="174"/>
      <c r="X1183" s="174"/>
      <c r="Y1183" s="188"/>
      <c r="AA1183" s="78"/>
    </row>
    <row r="1184" spans="9:27" x14ac:dyDescent="0.25">
      <c r="I1184" s="49"/>
      <c r="J1184" s="49"/>
      <c r="K1184" s="49"/>
      <c r="V1184" s="174"/>
      <c r="W1184" s="174"/>
      <c r="X1184" s="174"/>
      <c r="Y1184" s="188"/>
      <c r="AA1184" s="78"/>
    </row>
    <row r="1185" spans="9:27" x14ac:dyDescent="0.25">
      <c r="I1185" s="49"/>
      <c r="J1185" s="49"/>
      <c r="K1185" s="49"/>
      <c r="V1185" s="174"/>
      <c r="W1185" s="174"/>
      <c r="X1185" s="174"/>
      <c r="Y1185" s="188"/>
      <c r="AA1185" s="78"/>
    </row>
    <row r="1186" spans="9:27" x14ac:dyDescent="0.25">
      <c r="I1186" s="49"/>
      <c r="J1186" s="49"/>
      <c r="K1186" s="49"/>
      <c r="V1186" s="174"/>
      <c r="W1186" s="174"/>
      <c r="X1186" s="174"/>
      <c r="Y1186" s="188"/>
      <c r="AA1186" s="78"/>
    </row>
    <row r="1187" spans="9:27" x14ac:dyDescent="0.25">
      <c r="I1187" s="49"/>
      <c r="J1187" s="49"/>
      <c r="K1187" s="49"/>
      <c r="V1187" s="174"/>
      <c r="W1187" s="174"/>
      <c r="X1187" s="174"/>
      <c r="Y1187" s="188"/>
      <c r="AA1187" s="78"/>
    </row>
    <row r="1188" spans="9:27" x14ac:dyDescent="0.25">
      <c r="I1188" s="49"/>
      <c r="J1188" s="49"/>
      <c r="K1188" s="49"/>
      <c r="V1188" s="174"/>
      <c r="W1188" s="174"/>
      <c r="X1188" s="174"/>
      <c r="Y1188" s="188"/>
      <c r="AA1188" s="78"/>
    </row>
    <row r="1189" spans="9:27" x14ac:dyDescent="0.25">
      <c r="I1189" s="49"/>
      <c r="J1189" s="49"/>
      <c r="K1189" s="49"/>
      <c r="V1189" s="174"/>
      <c r="W1189" s="174"/>
      <c r="X1189" s="174"/>
      <c r="Y1189" s="188"/>
      <c r="AA1189" s="78"/>
    </row>
    <row r="1190" spans="9:27" x14ac:dyDescent="0.25">
      <c r="I1190" s="49"/>
      <c r="J1190" s="49"/>
      <c r="K1190" s="49"/>
      <c r="V1190" s="174"/>
      <c r="W1190" s="174"/>
      <c r="X1190" s="174"/>
      <c r="Y1190" s="188"/>
      <c r="AA1190" s="78"/>
    </row>
    <row r="1191" spans="9:27" x14ac:dyDescent="0.25">
      <c r="I1191" s="49"/>
      <c r="J1191" s="49"/>
      <c r="K1191" s="49"/>
      <c r="V1191" s="174"/>
      <c r="W1191" s="174"/>
      <c r="X1191" s="174"/>
      <c r="Y1191" s="188"/>
      <c r="AA1191" s="78"/>
    </row>
    <row r="1192" spans="9:27" x14ac:dyDescent="0.25">
      <c r="I1192" s="49"/>
      <c r="J1192" s="49"/>
      <c r="K1192" s="49"/>
      <c r="V1192" s="174"/>
      <c r="W1192" s="174"/>
      <c r="X1192" s="174"/>
      <c r="Y1192" s="188"/>
      <c r="AA1192" s="78"/>
    </row>
    <row r="1193" spans="9:27" x14ac:dyDescent="0.25">
      <c r="I1193" s="49"/>
      <c r="J1193" s="49"/>
      <c r="K1193" s="49"/>
      <c r="V1193" s="174"/>
      <c r="W1193" s="174"/>
      <c r="X1193" s="174"/>
      <c r="Y1193" s="188"/>
      <c r="AA1193" s="78"/>
    </row>
    <row r="1194" spans="9:27" x14ac:dyDescent="0.25">
      <c r="I1194" s="49"/>
      <c r="J1194" s="49"/>
      <c r="K1194" s="49"/>
      <c r="V1194" s="174"/>
      <c r="W1194" s="174"/>
      <c r="X1194" s="174"/>
      <c r="Y1194" s="188"/>
      <c r="AA1194" s="78"/>
    </row>
    <row r="1195" spans="9:27" x14ac:dyDescent="0.25">
      <c r="I1195" s="49"/>
      <c r="J1195" s="49"/>
      <c r="K1195" s="49"/>
      <c r="V1195" s="174"/>
      <c r="W1195" s="174"/>
      <c r="X1195" s="174"/>
      <c r="Y1195" s="188"/>
      <c r="AA1195" s="78"/>
    </row>
    <row r="1196" spans="9:27" x14ac:dyDescent="0.25">
      <c r="I1196" s="49"/>
      <c r="J1196" s="49"/>
      <c r="K1196" s="49"/>
      <c r="V1196" s="174"/>
      <c r="W1196" s="174"/>
      <c r="X1196" s="174"/>
      <c r="Y1196" s="188"/>
      <c r="AA1196" s="78"/>
    </row>
    <row r="1197" spans="9:27" x14ac:dyDescent="0.25">
      <c r="I1197" s="49"/>
      <c r="J1197" s="49"/>
      <c r="K1197" s="49"/>
      <c r="V1197" s="174"/>
      <c r="W1197" s="174"/>
      <c r="X1197" s="174"/>
      <c r="Y1197" s="188"/>
      <c r="AA1197" s="78"/>
    </row>
    <row r="1198" spans="9:27" x14ac:dyDescent="0.25">
      <c r="I1198" s="49"/>
      <c r="J1198" s="49"/>
      <c r="K1198" s="49"/>
      <c r="V1198" s="174"/>
      <c r="W1198" s="174"/>
      <c r="X1198" s="174"/>
      <c r="Y1198" s="188"/>
      <c r="AA1198" s="78"/>
    </row>
    <row r="1199" spans="9:27" x14ac:dyDescent="0.25">
      <c r="I1199" s="49"/>
      <c r="J1199" s="49"/>
      <c r="K1199" s="49"/>
      <c r="V1199" s="174"/>
      <c r="W1199" s="174"/>
      <c r="X1199" s="174"/>
      <c r="Y1199" s="188"/>
      <c r="AA1199" s="78"/>
    </row>
    <row r="1200" spans="9:27" x14ac:dyDescent="0.25">
      <c r="I1200" s="49"/>
      <c r="J1200" s="49"/>
      <c r="K1200" s="49"/>
      <c r="V1200" s="174"/>
      <c r="W1200" s="174"/>
      <c r="X1200" s="174"/>
      <c r="Y1200" s="188"/>
      <c r="AA1200" s="78"/>
    </row>
    <row r="1201" spans="9:27" x14ac:dyDescent="0.25">
      <c r="I1201" s="49"/>
      <c r="J1201" s="49"/>
      <c r="K1201" s="49"/>
      <c r="V1201" s="174"/>
      <c r="W1201" s="174"/>
      <c r="X1201" s="174"/>
      <c r="Y1201" s="188"/>
      <c r="AA1201" s="78"/>
    </row>
    <row r="1202" spans="9:27" x14ac:dyDescent="0.25">
      <c r="I1202" s="49"/>
      <c r="J1202" s="49"/>
      <c r="K1202" s="49"/>
      <c r="V1202" s="174"/>
      <c r="W1202" s="174"/>
      <c r="X1202" s="174"/>
      <c r="Y1202" s="188"/>
      <c r="AA1202" s="78"/>
    </row>
    <row r="1203" spans="9:27" x14ac:dyDescent="0.25">
      <c r="I1203" s="49"/>
      <c r="J1203" s="49"/>
      <c r="K1203" s="49"/>
      <c r="V1203" s="174"/>
      <c r="W1203" s="174"/>
      <c r="X1203" s="174"/>
      <c r="Y1203" s="188"/>
      <c r="AA1203" s="78"/>
    </row>
    <row r="1204" spans="9:27" x14ac:dyDescent="0.25">
      <c r="I1204" s="49"/>
      <c r="J1204" s="49"/>
      <c r="K1204" s="49"/>
      <c r="V1204" s="174"/>
      <c r="W1204" s="174"/>
      <c r="X1204" s="174"/>
      <c r="Y1204" s="188"/>
      <c r="AA1204" s="78"/>
    </row>
    <row r="1205" spans="9:27" x14ac:dyDescent="0.25">
      <c r="I1205" s="49"/>
      <c r="J1205" s="49"/>
      <c r="K1205" s="49"/>
      <c r="V1205" s="174"/>
      <c r="W1205" s="174"/>
      <c r="X1205" s="174"/>
      <c r="Y1205" s="188"/>
      <c r="AA1205" s="78"/>
    </row>
    <row r="1206" spans="9:27" x14ac:dyDescent="0.25">
      <c r="I1206" s="49"/>
      <c r="J1206" s="49"/>
      <c r="K1206" s="49"/>
      <c r="V1206" s="174"/>
      <c r="W1206" s="174"/>
      <c r="X1206" s="174"/>
      <c r="Y1206" s="188"/>
      <c r="AA1206" s="78"/>
    </row>
    <row r="1207" spans="9:27" x14ac:dyDescent="0.25">
      <c r="I1207" s="49"/>
      <c r="J1207" s="49"/>
      <c r="K1207" s="49"/>
      <c r="V1207" s="174"/>
      <c r="W1207" s="174"/>
      <c r="X1207" s="174"/>
      <c r="Y1207" s="188"/>
      <c r="AA1207" s="78"/>
    </row>
    <row r="1208" spans="9:27" x14ac:dyDescent="0.25">
      <c r="I1208" s="49"/>
      <c r="J1208" s="49"/>
      <c r="K1208" s="49"/>
      <c r="V1208" s="174"/>
      <c r="W1208" s="174"/>
      <c r="X1208" s="174"/>
      <c r="Y1208" s="188"/>
      <c r="AA1208" s="78"/>
    </row>
    <row r="1209" spans="9:27" x14ac:dyDescent="0.25">
      <c r="I1209" s="49"/>
      <c r="J1209" s="49"/>
      <c r="K1209" s="49"/>
      <c r="V1209" s="174"/>
      <c r="W1209" s="174"/>
      <c r="X1209" s="174"/>
      <c r="Y1209" s="188"/>
      <c r="AA1209" s="78"/>
    </row>
    <row r="1210" spans="9:27" x14ac:dyDescent="0.25">
      <c r="I1210" s="50"/>
      <c r="J1210" s="50"/>
      <c r="K1210" s="50"/>
      <c r="V1210" s="174"/>
      <c r="W1210" s="174"/>
      <c r="X1210" s="174"/>
      <c r="Y1210" s="188"/>
      <c r="AA1210" s="78"/>
    </row>
    <row r="1211" spans="9:27" x14ac:dyDescent="0.25">
      <c r="I1211" s="50"/>
      <c r="J1211" s="50"/>
      <c r="K1211" s="50"/>
      <c r="V1211" s="174"/>
      <c r="W1211" s="174"/>
      <c r="X1211" s="174"/>
      <c r="Y1211" s="188"/>
      <c r="AA1211" s="78"/>
    </row>
    <row r="1212" spans="9:27" x14ac:dyDescent="0.25">
      <c r="I1212" s="50"/>
      <c r="J1212" s="50"/>
      <c r="K1212" s="50"/>
      <c r="V1212" s="174"/>
      <c r="W1212" s="174"/>
      <c r="X1212" s="174"/>
      <c r="Y1212" s="188"/>
      <c r="AA1212" s="78"/>
    </row>
    <row r="1213" spans="9:27" x14ac:dyDescent="0.25">
      <c r="I1213" s="50"/>
      <c r="J1213" s="50"/>
      <c r="K1213" s="50"/>
      <c r="V1213" s="173"/>
      <c r="W1213" s="173"/>
      <c r="X1213" s="173"/>
      <c r="AA1213" s="78"/>
    </row>
    <row r="1214" spans="9:27" x14ac:dyDescent="0.25">
      <c r="I1214" s="50"/>
      <c r="J1214" s="50"/>
      <c r="K1214" s="50"/>
      <c r="V1214" s="173"/>
      <c r="W1214" s="173"/>
      <c r="X1214" s="173"/>
      <c r="AA1214" s="80"/>
    </row>
    <row r="1215" spans="9:27" x14ac:dyDescent="0.25">
      <c r="I1215" s="50"/>
      <c r="J1215" s="50"/>
      <c r="K1215" s="50"/>
      <c r="V1215" s="173"/>
      <c r="W1215" s="173"/>
      <c r="X1215" s="173"/>
      <c r="AA1215" s="80"/>
    </row>
    <row r="1216" spans="9:27" x14ac:dyDescent="0.25">
      <c r="I1216" s="50"/>
      <c r="J1216" s="50"/>
      <c r="K1216" s="50"/>
      <c r="V1216" s="173"/>
      <c r="W1216" s="173"/>
      <c r="X1216" s="173"/>
      <c r="AA1216" s="80"/>
    </row>
    <row r="1217" spans="9:27" x14ac:dyDescent="0.25">
      <c r="I1217" s="50"/>
      <c r="J1217" s="50"/>
      <c r="K1217" s="50"/>
      <c r="V1217" s="173"/>
      <c r="W1217" s="173"/>
      <c r="X1217" s="173"/>
      <c r="AA1217" s="80"/>
    </row>
    <row r="1218" spans="9:27" x14ac:dyDescent="0.25">
      <c r="I1218" s="50"/>
      <c r="J1218" s="50"/>
      <c r="K1218" s="50"/>
      <c r="V1218" s="173"/>
      <c r="W1218" s="173"/>
      <c r="X1218" s="173"/>
      <c r="AA1218" s="80"/>
    </row>
    <row r="1219" spans="9:27" x14ac:dyDescent="0.25">
      <c r="I1219" s="50"/>
      <c r="J1219" s="50"/>
      <c r="K1219" s="50"/>
      <c r="V1219" s="173"/>
      <c r="W1219" s="173"/>
      <c r="X1219" s="173"/>
      <c r="AA1219" s="80"/>
    </row>
    <row r="1220" spans="9:27" x14ac:dyDescent="0.25">
      <c r="I1220" s="50"/>
      <c r="J1220" s="50"/>
      <c r="K1220" s="50"/>
      <c r="V1220" s="173"/>
      <c r="W1220" s="173"/>
      <c r="X1220" s="173"/>
      <c r="AA1220" s="80"/>
    </row>
    <row r="1221" spans="9:27" x14ac:dyDescent="0.25">
      <c r="I1221" s="50"/>
      <c r="J1221" s="50"/>
      <c r="K1221" s="50"/>
      <c r="V1221" s="173"/>
      <c r="W1221" s="173"/>
      <c r="X1221" s="173"/>
      <c r="AA1221" s="80"/>
    </row>
    <row r="1222" spans="9:27" x14ac:dyDescent="0.25">
      <c r="I1222" s="50"/>
      <c r="J1222" s="50"/>
      <c r="K1222" s="50"/>
      <c r="V1222" s="173"/>
      <c r="W1222" s="173"/>
      <c r="X1222" s="173"/>
      <c r="AA1222" s="80"/>
    </row>
    <row r="1223" spans="9:27" x14ac:dyDescent="0.25">
      <c r="I1223" s="50"/>
      <c r="J1223" s="50"/>
      <c r="K1223" s="50"/>
      <c r="V1223" s="173"/>
      <c r="W1223" s="173"/>
      <c r="X1223" s="173"/>
      <c r="AA1223" s="80"/>
    </row>
    <row r="1224" spans="9:27" x14ac:dyDescent="0.25">
      <c r="I1224" s="50"/>
      <c r="J1224" s="50"/>
      <c r="K1224" s="50"/>
      <c r="V1224" s="173"/>
      <c r="W1224" s="173"/>
      <c r="X1224" s="173"/>
      <c r="AA1224" s="80"/>
    </row>
    <row r="1225" spans="9:27" x14ac:dyDescent="0.25">
      <c r="I1225" s="50"/>
      <c r="J1225" s="50"/>
      <c r="K1225" s="50"/>
      <c r="V1225" s="173"/>
      <c r="W1225" s="173"/>
      <c r="X1225" s="173"/>
      <c r="AA1225" s="80"/>
    </row>
    <row r="1226" spans="9:27" x14ac:dyDescent="0.25">
      <c r="I1226" s="50"/>
      <c r="J1226" s="50"/>
      <c r="K1226" s="50"/>
      <c r="V1226" s="173"/>
      <c r="W1226" s="173"/>
      <c r="X1226" s="173"/>
      <c r="AA1226" s="80"/>
    </row>
    <row r="1227" spans="9:27" x14ac:dyDescent="0.25">
      <c r="I1227" s="50"/>
      <c r="J1227" s="50"/>
      <c r="K1227" s="50"/>
      <c r="V1227" s="173"/>
      <c r="W1227" s="173"/>
      <c r="X1227" s="173"/>
      <c r="AA1227" s="80"/>
    </row>
    <row r="1228" spans="9:27" x14ac:dyDescent="0.25">
      <c r="I1228" s="50"/>
      <c r="J1228" s="50"/>
      <c r="K1228" s="50"/>
      <c r="V1228" s="173"/>
      <c r="W1228" s="173"/>
      <c r="X1228" s="173"/>
      <c r="AA1228" s="80"/>
    </row>
    <row r="1229" spans="9:27" x14ac:dyDescent="0.25">
      <c r="I1229" s="50"/>
      <c r="J1229" s="50"/>
      <c r="K1229" s="50"/>
      <c r="V1229" s="173"/>
      <c r="W1229" s="173"/>
      <c r="X1229" s="173"/>
      <c r="AA1229" s="80"/>
    </row>
    <row r="1230" spans="9:27" x14ac:dyDescent="0.25">
      <c r="I1230" s="50"/>
      <c r="J1230" s="50"/>
      <c r="K1230" s="50"/>
      <c r="V1230" s="173"/>
      <c r="W1230" s="173"/>
      <c r="X1230" s="173"/>
      <c r="AA1230" s="80"/>
    </row>
    <row r="1231" spans="9:27" x14ac:dyDescent="0.25">
      <c r="I1231" s="50"/>
      <c r="J1231" s="50"/>
      <c r="K1231" s="50"/>
      <c r="V1231" s="173"/>
      <c r="W1231" s="173"/>
      <c r="X1231" s="173"/>
      <c r="AA1231" s="80"/>
    </row>
    <row r="1232" spans="9:27" x14ac:dyDescent="0.25">
      <c r="I1232" s="50"/>
      <c r="J1232" s="50"/>
      <c r="K1232" s="50"/>
      <c r="V1232" s="173"/>
      <c r="W1232" s="173"/>
      <c r="X1232" s="173"/>
      <c r="AA1232" s="80"/>
    </row>
    <row r="1233" spans="9:27" x14ac:dyDescent="0.25">
      <c r="I1233" s="50"/>
      <c r="J1233" s="50"/>
      <c r="K1233" s="50"/>
      <c r="V1233" s="173"/>
      <c r="W1233" s="173"/>
      <c r="X1233" s="173"/>
      <c r="AA1233" s="80"/>
    </row>
    <row r="1234" spans="9:27" x14ac:dyDescent="0.25">
      <c r="I1234" s="50"/>
      <c r="J1234" s="50"/>
      <c r="K1234" s="50"/>
      <c r="V1234" s="173"/>
      <c r="W1234" s="173"/>
      <c r="X1234" s="173"/>
      <c r="AA1234" s="80"/>
    </row>
    <row r="1235" spans="9:27" x14ac:dyDescent="0.25">
      <c r="I1235" s="50"/>
      <c r="J1235" s="50"/>
      <c r="K1235" s="50"/>
      <c r="V1235" s="173"/>
      <c r="W1235" s="173"/>
      <c r="X1235" s="173"/>
      <c r="AA1235" s="80"/>
    </row>
    <row r="1236" spans="9:27" x14ac:dyDescent="0.25">
      <c r="I1236" s="50"/>
      <c r="J1236" s="50"/>
      <c r="K1236" s="50"/>
      <c r="V1236" s="173"/>
      <c r="W1236" s="173"/>
      <c r="X1236" s="173"/>
      <c r="AA1236" s="80"/>
    </row>
    <row r="1237" spans="9:27" x14ac:dyDescent="0.25">
      <c r="I1237" s="50"/>
      <c r="J1237" s="50"/>
      <c r="K1237" s="50"/>
      <c r="V1237" s="173"/>
      <c r="W1237" s="173"/>
      <c r="X1237" s="173"/>
      <c r="AA1237" s="80"/>
    </row>
    <row r="1238" spans="9:27" x14ac:dyDescent="0.25">
      <c r="I1238" s="50"/>
      <c r="J1238" s="50"/>
      <c r="K1238" s="50"/>
      <c r="V1238" s="173"/>
      <c r="W1238" s="173"/>
      <c r="X1238" s="173"/>
      <c r="AA1238" s="80"/>
    </row>
    <row r="1239" spans="9:27" x14ac:dyDescent="0.25">
      <c r="I1239" s="50"/>
      <c r="J1239" s="50"/>
      <c r="K1239" s="50"/>
      <c r="V1239" s="173"/>
      <c r="W1239" s="173"/>
      <c r="X1239" s="173"/>
      <c r="AA1239" s="80"/>
    </row>
    <row r="1240" spans="9:27" x14ac:dyDescent="0.25">
      <c r="I1240" s="50"/>
      <c r="J1240" s="50"/>
      <c r="K1240" s="50"/>
      <c r="V1240" s="173"/>
      <c r="W1240" s="173"/>
      <c r="X1240" s="173"/>
      <c r="AA1240" s="80"/>
    </row>
    <row r="1241" spans="9:27" x14ac:dyDescent="0.25">
      <c r="I1241" s="50"/>
      <c r="J1241" s="50"/>
      <c r="K1241" s="50"/>
      <c r="V1241" s="173"/>
      <c r="W1241" s="173"/>
      <c r="X1241" s="173"/>
      <c r="AA1241" s="80"/>
    </row>
    <row r="1242" spans="9:27" x14ac:dyDescent="0.25">
      <c r="I1242" s="50"/>
      <c r="J1242" s="50"/>
      <c r="K1242" s="50"/>
      <c r="V1242" s="173"/>
      <c r="W1242" s="173"/>
      <c r="X1242" s="173"/>
      <c r="AA1242" s="80"/>
    </row>
    <row r="1243" spans="9:27" x14ac:dyDescent="0.25">
      <c r="I1243" s="50"/>
      <c r="J1243" s="50"/>
      <c r="K1243" s="50"/>
      <c r="V1243" s="173"/>
      <c r="W1243" s="173"/>
      <c r="X1243" s="173"/>
      <c r="AA1243" s="80"/>
    </row>
    <row r="1244" spans="9:27" x14ac:dyDescent="0.25">
      <c r="I1244" s="50"/>
      <c r="J1244" s="50"/>
      <c r="K1244" s="50"/>
      <c r="V1244" s="173"/>
      <c r="W1244" s="173"/>
      <c r="X1244" s="173"/>
      <c r="AA1244" s="80"/>
    </row>
    <row r="1245" spans="9:27" x14ac:dyDescent="0.25">
      <c r="I1245" s="50"/>
      <c r="J1245" s="50"/>
      <c r="K1245" s="50"/>
      <c r="V1245" s="173"/>
      <c r="W1245" s="173"/>
      <c r="X1245" s="173"/>
      <c r="AA1245" s="80"/>
    </row>
    <row r="1246" spans="9:27" x14ac:dyDescent="0.25">
      <c r="I1246" s="50"/>
      <c r="J1246" s="50"/>
      <c r="K1246" s="50"/>
      <c r="V1246" s="173"/>
      <c r="W1246" s="173"/>
      <c r="X1246" s="173"/>
      <c r="AA1246" s="80"/>
    </row>
    <row r="1247" spans="9:27" x14ac:dyDescent="0.25">
      <c r="I1247" s="50"/>
      <c r="J1247" s="50"/>
      <c r="K1247" s="50"/>
      <c r="V1247" s="173"/>
      <c r="W1247" s="173"/>
      <c r="X1247" s="173"/>
      <c r="AA1247" s="80"/>
    </row>
    <row r="1248" spans="9:27" x14ac:dyDescent="0.25">
      <c r="I1248" s="50"/>
      <c r="J1248" s="50"/>
      <c r="K1248" s="50"/>
      <c r="V1248" s="173"/>
      <c r="W1248" s="173"/>
      <c r="X1248" s="173"/>
      <c r="AA1248" s="80"/>
    </row>
    <row r="1249" spans="9:27" x14ac:dyDescent="0.25">
      <c r="I1249" s="50"/>
      <c r="J1249" s="50"/>
      <c r="K1249" s="50"/>
      <c r="V1249" s="173"/>
      <c r="W1249" s="173"/>
      <c r="X1249" s="173"/>
      <c r="AA1249" s="80"/>
    </row>
    <row r="1250" spans="9:27" x14ac:dyDescent="0.25">
      <c r="I1250" s="50"/>
      <c r="J1250" s="50"/>
      <c r="K1250" s="50"/>
      <c r="V1250" s="173"/>
      <c r="W1250" s="173"/>
      <c r="X1250" s="173"/>
      <c r="AA1250" s="80"/>
    </row>
    <row r="1251" spans="9:27" x14ac:dyDescent="0.25">
      <c r="I1251" s="50"/>
      <c r="J1251" s="50"/>
      <c r="K1251" s="50"/>
      <c r="V1251" s="173"/>
      <c r="W1251" s="173"/>
      <c r="X1251" s="173"/>
      <c r="AA1251" s="80"/>
    </row>
    <row r="1252" spans="9:27" x14ac:dyDescent="0.25">
      <c r="I1252" s="50"/>
      <c r="J1252" s="50"/>
      <c r="K1252" s="50"/>
      <c r="V1252" s="173"/>
      <c r="W1252" s="173"/>
      <c r="X1252" s="173"/>
      <c r="AA1252" s="80"/>
    </row>
    <row r="1253" spans="9:27" x14ac:dyDescent="0.25">
      <c r="I1253" s="50"/>
      <c r="J1253" s="50"/>
      <c r="K1253" s="50"/>
      <c r="V1253" s="173"/>
      <c r="W1253" s="173"/>
      <c r="X1253" s="173"/>
      <c r="AA1253" s="80"/>
    </row>
    <row r="1254" spans="9:27" x14ac:dyDescent="0.25">
      <c r="I1254" s="50"/>
      <c r="J1254" s="50"/>
      <c r="K1254" s="50"/>
      <c r="V1254" s="173"/>
      <c r="W1254" s="173"/>
      <c r="X1254" s="173"/>
      <c r="AA1254" s="80"/>
    </row>
    <row r="1255" spans="9:27" x14ac:dyDescent="0.25">
      <c r="I1255" s="50"/>
      <c r="J1255" s="50"/>
      <c r="K1255" s="50"/>
      <c r="V1255" s="173"/>
      <c r="W1255" s="173"/>
      <c r="X1255" s="173"/>
      <c r="AA1255" s="80"/>
    </row>
    <row r="1256" spans="9:27" x14ac:dyDescent="0.25">
      <c r="I1256" s="50"/>
      <c r="J1256" s="50"/>
      <c r="K1256" s="50"/>
      <c r="V1256" s="173"/>
      <c r="W1256" s="173"/>
      <c r="X1256" s="173"/>
      <c r="AA1256" s="80"/>
    </row>
    <row r="1257" spans="9:27" x14ac:dyDescent="0.25">
      <c r="I1257" s="50"/>
      <c r="J1257" s="50"/>
      <c r="K1257" s="50"/>
      <c r="V1257" s="173"/>
      <c r="W1257" s="173"/>
      <c r="X1257" s="173"/>
      <c r="AA1257" s="80"/>
    </row>
    <row r="1258" spans="9:27" x14ac:dyDescent="0.25">
      <c r="I1258" s="50"/>
      <c r="J1258" s="50"/>
      <c r="K1258" s="50"/>
      <c r="V1258" s="173"/>
      <c r="W1258" s="173"/>
      <c r="X1258" s="173"/>
      <c r="AA1258" s="80"/>
    </row>
    <row r="1259" spans="9:27" x14ac:dyDescent="0.25">
      <c r="I1259" s="50"/>
      <c r="J1259" s="50"/>
      <c r="K1259" s="50"/>
      <c r="V1259" s="173"/>
      <c r="W1259" s="173"/>
      <c r="X1259" s="173"/>
      <c r="AA1259" s="80"/>
    </row>
    <row r="1260" spans="9:27" x14ac:dyDescent="0.25">
      <c r="I1260" s="50"/>
      <c r="J1260" s="50"/>
      <c r="K1260" s="50"/>
      <c r="V1260" s="173"/>
      <c r="W1260" s="173"/>
      <c r="X1260" s="173"/>
      <c r="AA1260" s="80"/>
    </row>
    <row r="1261" spans="9:27" x14ac:dyDescent="0.25">
      <c r="I1261" s="50"/>
      <c r="J1261" s="50"/>
      <c r="K1261" s="50"/>
      <c r="V1261" s="173"/>
      <c r="W1261" s="173"/>
      <c r="X1261" s="173"/>
      <c r="AA1261" s="80"/>
    </row>
    <row r="1262" spans="9:27" x14ac:dyDescent="0.25">
      <c r="I1262" s="50"/>
      <c r="J1262" s="50"/>
      <c r="K1262" s="50"/>
      <c r="V1262" s="173"/>
      <c r="W1262" s="173"/>
      <c r="X1262" s="173"/>
      <c r="AA1262" s="80"/>
    </row>
    <row r="1263" spans="9:27" x14ac:dyDescent="0.25">
      <c r="I1263" s="50"/>
      <c r="J1263" s="50"/>
      <c r="K1263" s="50"/>
      <c r="V1263" s="173"/>
      <c r="W1263" s="173"/>
      <c r="X1263" s="173"/>
      <c r="AA1263" s="80"/>
    </row>
    <row r="1264" spans="9:27" x14ac:dyDescent="0.25">
      <c r="I1264" s="50"/>
      <c r="J1264" s="50"/>
      <c r="K1264" s="50"/>
      <c r="V1264" s="173"/>
      <c r="W1264" s="173"/>
      <c r="X1264" s="173"/>
      <c r="AA1264" s="80"/>
    </row>
    <row r="1265" spans="9:27" x14ac:dyDescent="0.25">
      <c r="I1265" s="50"/>
      <c r="J1265" s="50"/>
      <c r="K1265" s="50"/>
      <c r="V1265" s="173"/>
      <c r="W1265" s="173"/>
      <c r="X1265" s="173"/>
      <c r="AA1265" s="80"/>
    </row>
    <row r="1266" spans="9:27" x14ac:dyDescent="0.25">
      <c r="I1266" s="50"/>
      <c r="J1266" s="50"/>
      <c r="K1266" s="50"/>
      <c r="V1266" s="173"/>
      <c r="W1266" s="173"/>
      <c r="X1266" s="173"/>
      <c r="AA1266" s="80"/>
    </row>
    <row r="1267" spans="9:27" x14ac:dyDescent="0.25">
      <c r="I1267" s="50"/>
      <c r="J1267" s="50"/>
      <c r="K1267" s="50"/>
      <c r="V1267" s="173"/>
      <c r="W1267" s="173"/>
      <c r="X1267" s="173"/>
      <c r="AA1267" s="80"/>
    </row>
    <row r="1268" spans="9:27" x14ac:dyDescent="0.25">
      <c r="I1268" s="50"/>
      <c r="J1268" s="50"/>
      <c r="K1268" s="50"/>
      <c r="V1268" s="173"/>
      <c r="W1268" s="173"/>
      <c r="X1268" s="173"/>
      <c r="AA1268" s="80"/>
    </row>
    <row r="1269" spans="9:27" x14ac:dyDescent="0.25">
      <c r="I1269" s="50"/>
      <c r="J1269" s="50"/>
      <c r="K1269" s="50"/>
      <c r="V1269" s="173"/>
      <c r="W1269" s="173"/>
      <c r="X1269" s="173"/>
      <c r="AA1269" s="80"/>
    </row>
    <row r="1270" spans="9:27" x14ac:dyDescent="0.25">
      <c r="I1270" s="50"/>
      <c r="J1270" s="50"/>
      <c r="K1270" s="50"/>
      <c r="V1270" s="173"/>
      <c r="W1270" s="173"/>
      <c r="X1270" s="173"/>
      <c r="AA1270" s="80"/>
    </row>
    <row r="1271" spans="9:27" x14ac:dyDescent="0.25">
      <c r="I1271" s="50"/>
      <c r="J1271" s="50"/>
      <c r="K1271" s="50"/>
      <c r="V1271" s="173"/>
      <c r="W1271" s="173"/>
      <c r="X1271" s="173"/>
      <c r="AA1271" s="80"/>
    </row>
    <row r="1272" spans="9:27" x14ac:dyDescent="0.25">
      <c r="I1272" s="50"/>
      <c r="J1272" s="50"/>
      <c r="K1272" s="50"/>
      <c r="V1272" s="173"/>
      <c r="W1272" s="173"/>
      <c r="X1272" s="173"/>
      <c r="AA1272" s="80"/>
    </row>
    <row r="1273" spans="9:27" x14ac:dyDescent="0.25">
      <c r="I1273" s="50"/>
      <c r="J1273" s="50"/>
      <c r="K1273" s="50"/>
      <c r="V1273" s="173"/>
      <c r="W1273" s="173"/>
      <c r="X1273" s="173"/>
      <c r="AA1273" s="80"/>
    </row>
    <row r="1274" spans="9:27" x14ac:dyDescent="0.25">
      <c r="I1274" s="50"/>
      <c r="J1274" s="50"/>
      <c r="K1274" s="50"/>
      <c r="V1274" s="173"/>
      <c r="W1274" s="173"/>
      <c r="X1274" s="173"/>
      <c r="AA1274" s="80"/>
    </row>
    <row r="1275" spans="9:27" x14ac:dyDescent="0.25">
      <c r="I1275" s="50"/>
      <c r="J1275" s="50"/>
      <c r="K1275" s="50"/>
      <c r="V1275" s="173"/>
      <c r="W1275" s="173"/>
      <c r="X1275" s="173"/>
      <c r="AA1275" s="80"/>
    </row>
    <row r="1276" spans="9:27" x14ac:dyDescent="0.25">
      <c r="I1276" s="50"/>
      <c r="J1276" s="50"/>
      <c r="K1276" s="50"/>
      <c r="V1276" s="173"/>
      <c r="W1276" s="173"/>
      <c r="X1276" s="173"/>
      <c r="AA1276" s="80"/>
    </row>
    <row r="1277" spans="9:27" x14ac:dyDescent="0.25">
      <c r="I1277" s="50"/>
      <c r="J1277" s="50"/>
      <c r="K1277" s="50"/>
      <c r="V1277" s="173"/>
      <c r="W1277" s="173"/>
      <c r="X1277" s="173"/>
      <c r="AA1277" s="80"/>
    </row>
    <row r="1278" spans="9:27" x14ac:dyDescent="0.25">
      <c r="I1278" s="50"/>
      <c r="J1278" s="50"/>
      <c r="K1278" s="50"/>
      <c r="V1278" s="173"/>
      <c r="W1278" s="173"/>
      <c r="X1278" s="173"/>
      <c r="AA1278" s="80"/>
    </row>
    <row r="1279" spans="9:27" x14ac:dyDescent="0.25">
      <c r="I1279" s="50"/>
      <c r="J1279" s="50"/>
      <c r="K1279" s="50"/>
      <c r="V1279" s="173"/>
      <c r="W1279" s="173"/>
      <c r="X1279" s="173"/>
      <c r="AA1279" s="80"/>
    </row>
    <row r="1280" spans="9:27" x14ac:dyDescent="0.25">
      <c r="I1280" s="50"/>
      <c r="J1280" s="50"/>
      <c r="K1280" s="50"/>
      <c r="V1280" s="173"/>
      <c r="W1280" s="173"/>
      <c r="X1280" s="173"/>
      <c r="AA1280" s="80"/>
    </row>
    <row r="1281" spans="9:27" x14ac:dyDescent="0.25">
      <c r="I1281" s="50"/>
      <c r="J1281" s="50"/>
      <c r="K1281" s="50"/>
      <c r="V1281" s="173"/>
      <c r="W1281" s="173"/>
      <c r="X1281" s="173"/>
      <c r="AA1281" s="80"/>
    </row>
    <row r="1282" spans="9:27" x14ac:dyDescent="0.25">
      <c r="I1282" s="50"/>
      <c r="J1282" s="50"/>
      <c r="K1282" s="50"/>
      <c r="V1282" s="173"/>
      <c r="W1282" s="173"/>
      <c r="X1282" s="173"/>
      <c r="AA1282" s="80"/>
    </row>
    <row r="1283" spans="9:27" x14ac:dyDescent="0.25">
      <c r="I1283" s="50"/>
      <c r="J1283" s="50"/>
      <c r="K1283" s="50"/>
      <c r="V1283" s="173"/>
      <c r="W1283" s="173"/>
      <c r="X1283" s="173"/>
      <c r="AA1283" s="80"/>
    </row>
    <row r="1284" spans="9:27" x14ac:dyDescent="0.25">
      <c r="I1284" s="50"/>
      <c r="J1284" s="50"/>
      <c r="K1284" s="50"/>
      <c r="V1284" s="173"/>
      <c r="W1284" s="173"/>
      <c r="X1284" s="173"/>
      <c r="AA1284" s="80"/>
    </row>
    <row r="1285" spans="9:27" x14ac:dyDescent="0.25">
      <c r="I1285" s="50"/>
      <c r="J1285" s="50"/>
      <c r="K1285" s="50"/>
      <c r="V1285" s="173"/>
      <c r="W1285" s="173"/>
      <c r="X1285" s="173"/>
      <c r="AA1285" s="80"/>
    </row>
    <row r="1286" spans="9:27" x14ac:dyDescent="0.25">
      <c r="I1286" s="50"/>
      <c r="J1286" s="50"/>
      <c r="K1286" s="50"/>
      <c r="V1286" s="173"/>
      <c r="W1286" s="173"/>
      <c r="X1286" s="173"/>
      <c r="AA1286" s="80"/>
    </row>
    <row r="1287" spans="9:27" x14ac:dyDescent="0.25">
      <c r="I1287" s="50"/>
      <c r="J1287" s="50"/>
      <c r="K1287" s="50"/>
      <c r="V1287" s="173"/>
      <c r="W1287" s="173"/>
      <c r="X1287" s="173"/>
      <c r="AA1287" s="80"/>
    </row>
    <row r="1288" spans="9:27" x14ac:dyDescent="0.25">
      <c r="I1288" s="50"/>
      <c r="J1288" s="50"/>
      <c r="K1288" s="50"/>
      <c r="V1288" s="173"/>
      <c r="W1288" s="173"/>
      <c r="X1288" s="173"/>
      <c r="AA1288" s="80"/>
    </row>
    <row r="1289" spans="9:27" x14ac:dyDescent="0.25">
      <c r="I1289" s="50"/>
      <c r="J1289" s="50"/>
      <c r="K1289" s="50"/>
      <c r="V1289" s="173"/>
      <c r="W1289" s="173"/>
      <c r="X1289" s="173"/>
      <c r="AA1289" s="80"/>
    </row>
    <row r="1290" spans="9:27" x14ac:dyDescent="0.25">
      <c r="I1290" s="50"/>
      <c r="J1290" s="50"/>
      <c r="K1290" s="50"/>
      <c r="V1290" s="173"/>
      <c r="W1290" s="173"/>
      <c r="X1290" s="173"/>
      <c r="AA1290" s="80"/>
    </row>
    <row r="1291" spans="9:27" x14ac:dyDescent="0.25">
      <c r="I1291" s="50"/>
      <c r="J1291" s="50"/>
      <c r="K1291" s="50"/>
      <c r="V1291" s="173"/>
      <c r="W1291" s="173"/>
      <c r="X1291" s="173"/>
      <c r="AA1291" s="80"/>
    </row>
    <row r="1292" spans="9:27" x14ac:dyDescent="0.25">
      <c r="I1292" s="50"/>
      <c r="J1292" s="50"/>
      <c r="K1292" s="50"/>
      <c r="V1292" s="173"/>
      <c r="W1292" s="173"/>
      <c r="X1292" s="173"/>
      <c r="AA1292" s="80"/>
    </row>
    <row r="1293" spans="9:27" x14ac:dyDescent="0.25">
      <c r="I1293" s="50"/>
      <c r="J1293" s="50"/>
      <c r="K1293" s="50"/>
      <c r="V1293" s="173"/>
      <c r="W1293" s="173"/>
      <c r="X1293" s="173"/>
      <c r="AA1293" s="80"/>
    </row>
    <row r="1294" spans="9:27" x14ac:dyDescent="0.25">
      <c r="I1294" s="50"/>
      <c r="J1294" s="50"/>
      <c r="K1294" s="50"/>
      <c r="V1294" s="173"/>
      <c r="W1294" s="173"/>
      <c r="X1294" s="173"/>
      <c r="AA1294" s="80"/>
    </row>
    <row r="1295" spans="9:27" x14ac:dyDescent="0.25">
      <c r="I1295" s="50"/>
      <c r="J1295" s="50"/>
      <c r="K1295" s="50"/>
      <c r="V1295" s="173"/>
      <c r="W1295" s="173"/>
      <c r="X1295" s="173"/>
      <c r="AA1295" s="80"/>
    </row>
    <row r="1296" spans="9:27" x14ac:dyDescent="0.25">
      <c r="I1296" s="50"/>
      <c r="J1296" s="50"/>
      <c r="K1296" s="50"/>
      <c r="V1296" s="173"/>
      <c r="W1296" s="173"/>
      <c r="X1296" s="173"/>
      <c r="AA1296" s="80"/>
    </row>
    <row r="1297" spans="9:27" x14ac:dyDescent="0.25">
      <c r="I1297" s="50"/>
      <c r="J1297" s="50"/>
      <c r="K1297" s="50"/>
      <c r="V1297" s="173"/>
      <c r="W1297" s="173"/>
      <c r="X1297" s="173"/>
      <c r="AA1297" s="80"/>
    </row>
    <row r="1298" spans="9:27" x14ac:dyDescent="0.25">
      <c r="I1298" s="50"/>
      <c r="J1298" s="50"/>
      <c r="K1298" s="50"/>
      <c r="V1298" s="173"/>
      <c r="W1298" s="173"/>
      <c r="X1298" s="173"/>
      <c r="AA1298" s="80"/>
    </row>
    <row r="1299" spans="9:27" x14ac:dyDescent="0.25">
      <c r="I1299" s="50"/>
      <c r="J1299" s="50"/>
      <c r="K1299" s="50"/>
      <c r="V1299" s="173"/>
      <c r="W1299" s="173"/>
      <c r="X1299" s="173"/>
      <c r="AA1299" s="80"/>
    </row>
    <row r="1300" spans="9:27" x14ac:dyDescent="0.25">
      <c r="I1300" s="50"/>
      <c r="J1300" s="50"/>
      <c r="K1300" s="50"/>
      <c r="V1300" s="173"/>
      <c r="W1300" s="173"/>
      <c r="X1300" s="173"/>
      <c r="AA1300" s="80"/>
    </row>
    <row r="1301" spans="9:27" x14ac:dyDescent="0.25">
      <c r="I1301" s="50"/>
      <c r="J1301" s="50"/>
      <c r="K1301" s="50"/>
      <c r="V1301" s="173"/>
      <c r="W1301" s="173"/>
      <c r="X1301" s="173"/>
      <c r="AA1301" s="80"/>
    </row>
    <row r="1302" spans="9:27" x14ac:dyDescent="0.25">
      <c r="I1302" s="50"/>
      <c r="J1302" s="50"/>
      <c r="K1302" s="50"/>
      <c r="V1302" s="173"/>
      <c r="W1302" s="173"/>
      <c r="X1302" s="173"/>
      <c r="AA1302" s="80"/>
    </row>
    <row r="1303" spans="9:27" x14ac:dyDescent="0.25">
      <c r="I1303" s="50"/>
      <c r="J1303" s="50"/>
      <c r="K1303" s="50"/>
      <c r="V1303" s="173"/>
      <c r="W1303" s="173"/>
      <c r="X1303" s="173"/>
      <c r="AA1303" s="80"/>
    </row>
    <row r="1304" spans="9:27" x14ac:dyDescent="0.25">
      <c r="I1304" s="50"/>
      <c r="J1304" s="50"/>
      <c r="K1304" s="50"/>
      <c r="V1304" s="173"/>
      <c r="W1304" s="173"/>
      <c r="X1304" s="173"/>
      <c r="AA1304" s="80"/>
    </row>
    <row r="1305" spans="9:27" x14ac:dyDescent="0.25">
      <c r="I1305" s="50"/>
      <c r="J1305" s="50"/>
      <c r="K1305" s="50"/>
      <c r="V1305" s="173"/>
      <c r="W1305" s="173"/>
      <c r="X1305" s="173"/>
      <c r="AA1305" s="80"/>
    </row>
    <row r="1306" spans="9:27" x14ac:dyDescent="0.25">
      <c r="I1306" s="50"/>
      <c r="J1306" s="50"/>
      <c r="K1306" s="50"/>
      <c r="V1306" s="173"/>
      <c r="W1306" s="173"/>
      <c r="X1306" s="173"/>
      <c r="AA1306" s="80"/>
    </row>
    <row r="1307" spans="9:27" x14ac:dyDescent="0.25">
      <c r="I1307" s="50"/>
      <c r="J1307" s="50"/>
      <c r="K1307" s="50"/>
      <c r="V1307" s="173"/>
      <c r="W1307" s="173"/>
      <c r="X1307" s="173"/>
      <c r="AA1307" s="80"/>
    </row>
    <row r="1308" spans="9:27" x14ac:dyDescent="0.25">
      <c r="I1308" s="50"/>
      <c r="J1308" s="50"/>
      <c r="K1308" s="50"/>
      <c r="V1308" s="173"/>
      <c r="W1308" s="173"/>
      <c r="X1308" s="173"/>
      <c r="AA1308" s="80"/>
    </row>
    <row r="1309" spans="9:27" x14ac:dyDescent="0.25">
      <c r="I1309" s="50"/>
      <c r="J1309" s="50"/>
      <c r="K1309" s="50"/>
      <c r="V1309" s="173"/>
      <c r="W1309" s="173"/>
      <c r="X1309" s="173"/>
      <c r="AA1309" s="80"/>
    </row>
    <row r="1310" spans="9:27" x14ac:dyDescent="0.25">
      <c r="I1310" s="50"/>
      <c r="J1310" s="50"/>
      <c r="K1310" s="50"/>
      <c r="V1310" s="173"/>
      <c r="W1310" s="173"/>
      <c r="X1310" s="173"/>
      <c r="AA1310" s="80"/>
    </row>
    <row r="1311" spans="9:27" x14ac:dyDescent="0.25">
      <c r="I1311" s="50"/>
      <c r="J1311" s="50"/>
      <c r="K1311" s="50"/>
      <c r="V1311" s="173"/>
      <c r="W1311" s="173"/>
      <c r="X1311" s="173"/>
      <c r="AA1311" s="80"/>
    </row>
    <row r="1312" spans="9:27" x14ac:dyDescent="0.25">
      <c r="I1312" s="50"/>
      <c r="J1312" s="50"/>
      <c r="K1312" s="50"/>
      <c r="V1312" s="173"/>
      <c r="W1312" s="173"/>
      <c r="X1312" s="173"/>
      <c r="AA1312" s="80"/>
    </row>
    <row r="1313" spans="9:27" x14ac:dyDescent="0.25">
      <c r="I1313" s="50"/>
      <c r="J1313" s="50"/>
      <c r="K1313" s="50"/>
      <c r="V1313" s="173"/>
      <c r="W1313" s="173"/>
      <c r="X1313" s="173"/>
      <c r="AA1313" s="80"/>
    </row>
    <row r="1314" spans="9:27" x14ac:dyDescent="0.25">
      <c r="I1314" s="50"/>
      <c r="J1314" s="50"/>
      <c r="K1314" s="50"/>
      <c r="V1314" s="173"/>
      <c r="W1314" s="173"/>
      <c r="X1314" s="173"/>
      <c r="AA1314" s="80"/>
    </row>
    <row r="1315" spans="9:27" x14ac:dyDescent="0.25">
      <c r="I1315" s="50"/>
      <c r="J1315" s="50"/>
      <c r="K1315" s="50"/>
      <c r="V1315" s="173"/>
      <c r="W1315" s="173"/>
      <c r="X1315" s="173"/>
      <c r="AA1315" s="80"/>
    </row>
    <row r="1316" spans="9:27" x14ac:dyDescent="0.25">
      <c r="I1316" s="50"/>
      <c r="J1316" s="50"/>
      <c r="K1316" s="50"/>
      <c r="V1316" s="173"/>
      <c r="W1316" s="173"/>
      <c r="X1316" s="173"/>
      <c r="AA1316" s="80"/>
    </row>
    <row r="1317" spans="9:27" x14ac:dyDescent="0.25">
      <c r="I1317" s="50"/>
      <c r="J1317" s="50"/>
      <c r="K1317" s="50"/>
      <c r="V1317" s="173"/>
      <c r="W1317" s="173"/>
      <c r="X1317" s="173"/>
      <c r="AA1317" s="80"/>
    </row>
    <row r="1318" spans="9:27" x14ac:dyDescent="0.25">
      <c r="I1318" s="50"/>
      <c r="J1318" s="50"/>
      <c r="K1318" s="50"/>
      <c r="V1318" s="173"/>
      <c r="W1318" s="173"/>
      <c r="X1318" s="173"/>
      <c r="AA1318" s="80"/>
    </row>
    <row r="1319" spans="9:27" x14ac:dyDescent="0.25">
      <c r="I1319" s="50"/>
      <c r="J1319" s="50"/>
      <c r="K1319" s="50"/>
      <c r="V1319" s="173"/>
      <c r="W1319" s="173"/>
      <c r="X1319" s="173"/>
      <c r="AA1319" s="80"/>
    </row>
    <row r="1320" spans="9:27" x14ac:dyDescent="0.25">
      <c r="I1320" s="50"/>
      <c r="J1320" s="50"/>
      <c r="K1320" s="50"/>
      <c r="V1320" s="173"/>
      <c r="W1320" s="173"/>
      <c r="X1320" s="173"/>
      <c r="AA1320" s="80"/>
    </row>
    <row r="1321" spans="9:27" x14ac:dyDescent="0.25">
      <c r="I1321" s="50"/>
      <c r="J1321" s="50"/>
      <c r="K1321" s="50"/>
      <c r="V1321" s="173"/>
      <c r="W1321" s="173"/>
      <c r="X1321" s="173"/>
      <c r="AA1321" s="80"/>
    </row>
    <row r="1322" spans="9:27" x14ac:dyDescent="0.25">
      <c r="I1322" s="50"/>
      <c r="J1322" s="50"/>
      <c r="K1322" s="50"/>
      <c r="V1322" s="173"/>
      <c r="W1322" s="173"/>
      <c r="X1322" s="173"/>
      <c r="AA1322" s="80"/>
    </row>
    <row r="1323" spans="9:27" x14ac:dyDescent="0.25">
      <c r="I1323" s="50"/>
      <c r="J1323" s="50"/>
      <c r="K1323" s="50"/>
      <c r="V1323" s="173"/>
      <c r="W1323" s="173"/>
      <c r="X1323" s="173"/>
      <c r="AA1323" s="80"/>
    </row>
    <row r="1324" spans="9:27" x14ac:dyDescent="0.25">
      <c r="I1324" s="50"/>
      <c r="J1324" s="50"/>
      <c r="K1324" s="50"/>
      <c r="V1324" s="173"/>
      <c r="W1324" s="173"/>
      <c r="X1324" s="173"/>
      <c r="AA1324" s="80"/>
    </row>
    <row r="1325" spans="9:27" x14ac:dyDescent="0.25">
      <c r="I1325" s="50"/>
      <c r="J1325" s="50"/>
      <c r="K1325" s="50"/>
      <c r="V1325" s="173"/>
      <c r="W1325" s="173"/>
      <c r="X1325" s="173"/>
      <c r="AA1325" s="80"/>
    </row>
    <row r="1326" spans="9:27" x14ac:dyDescent="0.25">
      <c r="I1326" s="50"/>
      <c r="J1326" s="50"/>
      <c r="K1326" s="50"/>
      <c r="V1326" s="173"/>
      <c r="W1326" s="173"/>
      <c r="X1326" s="173"/>
      <c r="AA1326" s="80"/>
    </row>
    <row r="1327" spans="9:27" x14ac:dyDescent="0.25">
      <c r="I1327" s="50"/>
      <c r="J1327" s="50"/>
      <c r="K1327" s="50"/>
      <c r="V1327" s="173"/>
      <c r="W1327" s="173"/>
      <c r="X1327" s="173"/>
      <c r="AA1327" s="80"/>
    </row>
    <row r="1328" spans="9:27" x14ac:dyDescent="0.25">
      <c r="I1328" s="50"/>
      <c r="J1328" s="50"/>
      <c r="K1328" s="50"/>
      <c r="V1328" s="173"/>
      <c r="W1328" s="173"/>
      <c r="X1328" s="173"/>
      <c r="AA1328" s="80"/>
    </row>
    <row r="1329" spans="9:27" x14ac:dyDescent="0.25">
      <c r="I1329" s="50"/>
      <c r="J1329" s="50"/>
      <c r="K1329" s="50"/>
      <c r="V1329" s="173"/>
      <c r="W1329" s="173"/>
      <c r="X1329" s="173"/>
      <c r="AA1329" s="80"/>
    </row>
    <row r="1330" spans="9:27" x14ac:dyDescent="0.25">
      <c r="I1330" s="50"/>
      <c r="J1330" s="50"/>
      <c r="K1330" s="50"/>
      <c r="V1330" s="173"/>
      <c r="W1330" s="173"/>
      <c r="X1330" s="173"/>
      <c r="AA1330" s="80"/>
    </row>
    <row r="1331" spans="9:27" x14ac:dyDescent="0.25">
      <c r="I1331" s="50"/>
      <c r="J1331" s="50"/>
      <c r="K1331" s="50"/>
      <c r="V1331" s="173"/>
      <c r="W1331" s="173"/>
      <c r="X1331" s="173"/>
      <c r="AA1331" s="80"/>
    </row>
    <row r="1332" spans="9:27" x14ac:dyDescent="0.25">
      <c r="I1332" s="50"/>
      <c r="J1332" s="50"/>
      <c r="K1332" s="50"/>
      <c r="V1332" s="173"/>
      <c r="W1332" s="173"/>
      <c r="X1332" s="173"/>
      <c r="AA1332" s="80"/>
    </row>
    <row r="1333" spans="9:27" x14ac:dyDescent="0.25">
      <c r="I1333" s="50"/>
      <c r="J1333" s="50"/>
      <c r="K1333" s="50"/>
      <c r="V1333" s="173"/>
      <c r="W1333" s="173"/>
      <c r="X1333" s="173"/>
      <c r="AA1333" s="80"/>
    </row>
    <row r="1334" spans="9:27" x14ac:dyDescent="0.25">
      <c r="I1334" s="50"/>
      <c r="J1334" s="50"/>
      <c r="K1334" s="50"/>
      <c r="V1334" s="173"/>
      <c r="W1334" s="173"/>
      <c r="X1334" s="173"/>
      <c r="AA1334" s="80"/>
    </row>
    <row r="1335" spans="9:27" x14ac:dyDescent="0.25">
      <c r="I1335" s="50"/>
      <c r="J1335" s="50"/>
      <c r="K1335" s="50"/>
      <c r="V1335" s="173"/>
      <c r="W1335" s="173"/>
      <c r="X1335" s="173"/>
      <c r="AA1335" s="80"/>
    </row>
    <row r="1336" spans="9:27" x14ac:dyDescent="0.25">
      <c r="I1336" s="50"/>
      <c r="J1336" s="50"/>
      <c r="K1336" s="50"/>
      <c r="V1336" s="173"/>
      <c r="W1336" s="173"/>
      <c r="X1336" s="173"/>
      <c r="AA1336" s="80"/>
    </row>
    <row r="1337" spans="9:27" x14ac:dyDescent="0.25">
      <c r="I1337" s="50"/>
      <c r="J1337" s="50"/>
      <c r="K1337" s="50"/>
      <c r="V1337" s="173"/>
      <c r="W1337" s="173"/>
      <c r="X1337" s="173"/>
      <c r="AA1337" s="80"/>
    </row>
    <row r="1338" spans="9:27" x14ac:dyDescent="0.25">
      <c r="I1338" s="50"/>
      <c r="J1338" s="50"/>
      <c r="K1338" s="50"/>
      <c r="V1338" s="173"/>
      <c r="W1338" s="173"/>
      <c r="X1338" s="173"/>
      <c r="AA1338" s="80"/>
    </row>
    <row r="1339" spans="9:27" x14ac:dyDescent="0.25">
      <c r="I1339" s="50"/>
      <c r="J1339" s="50"/>
      <c r="K1339" s="50"/>
      <c r="V1339" s="173"/>
      <c r="W1339" s="173"/>
      <c r="X1339" s="173"/>
      <c r="AA1339" s="80"/>
    </row>
    <row r="1340" spans="9:27" x14ac:dyDescent="0.25">
      <c r="I1340" s="50"/>
      <c r="J1340" s="50"/>
      <c r="K1340" s="50"/>
      <c r="V1340" s="173"/>
      <c r="W1340" s="173"/>
      <c r="X1340" s="173"/>
      <c r="AA1340" s="80"/>
    </row>
    <row r="1341" spans="9:27" x14ac:dyDescent="0.25">
      <c r="I1341" s="50"/>
      <c r="J1341" s="50"/>
      <c r="K1341" s="50"/>
      <c r="V1341" s="173"/>
      <c r="W1341" s="173"/>
      <c r="X1341" s="173"/>
      <c r="AA1341" s="80"/>
    </row>
    <row r="1342" spans="9:27" x14ac:dyDescent="0.25">
      <c r="I1342" s="50"/>
      <c r="J1342" s="50"/>
      <c r="K1342" s="50"/>
      <c r="V1342" s="173"/>
      <c r="W1342" s="173"/>
      <c r="X1342" s="173"/>
      <c r="AA1342" s="80"/>
    </row>
    <row r="1343" spans="9:27" x14ac:dyDescent="0.25">
      <c r="I1343" s="50"/>
      <c r="J1343" s="50"/>
      <c r="K1343" s="50"/>
      <c r="V1343" s="173"/>
      <c r="W1343" s="173"/>
      <c r="X1343" s="173"/>
      <c r="AA1343" s="80"/>
    </row>
    <row r="1344" spans="9:27" x14ac:dyDescent="0.25">
      <c r="I1344" s="50"/>
      <c r="J1344" s="50"/>
      <c r="K1344" s="50"/>
      <c r="V1344" s="173"/>
      <c r="W1344" s="173"/>
      <c r="X1344" s="173"/>
      <c r="AA1344" s="80"/>
    </row>
    <row r="1345" spans="9:27" x14ac:dyDescent="0.25">
      <c r="I1345" s="50"/>
      <c r="J1345" s="50"/>
      <c r="K1345" s="50"/>
      <c r="V1345" s="173"/>
      <c r="W1345" s="173"/>
      <c r="X1345" s="173"/>
      <c r="AA1345" s="80"/>
    </row>
    <row r="1346" spans="9:27" x14ac:dyDescent="0.25">
      <c r="I1346" s="50"/>
      <c r="J1346" s="50"/>
      <c r="K1346" s="50"/>
      <c r="V1346" s="173"/>
      <c r="W1346" s="173"/>
      <c r="X1346" s="173"/>
      <c r="AA1346" s="80"/>
    </row>
    <row r="1347" spans="9:27" x14ac:dyDescent="0.25">
      <c r="I1347" s="50"/>
      <c r="J1347" s="50"/>
      <c r="K1347" s="50"/>
      <c r="V1347" s="173"/>
      <c r="W1347" s="173"/>
      <c r="X1347" s="173"/>
      <c r="AA1347" s="80"/>
    </row>
    <row r="1348" spans="9:27" x14ac:dyDescent="0.25">
      <c r="I1348" s="50"/>
      <c r="J1348" s="50"/>
      <c r="K1348" s="50"/>
      <c r="V1348" s="173"/>
      <c r="W1348" s="173"/>
      <c r="X1348" s="173"/>
      <c r="AA1348" s="80"/>
    </row>
    <row r="1349" spans="9:27" x14ac:dyDescent="0.25">
      <c r="I1349" s="50"/>
      <c r="J1349" s="50"/>
      <c r="K1349" s="50"/>
      <c r="V1349" s="173"/>
      <c r="W1349" s="173"/>
      <c r="X1349" s="173"/>
      <c r="AA1349" s="80"/>
    </row>
    <row r="1350" spans="9:27" x14ac:dyDescent="0.25">
      <c r="I1350" s="50"/>
      <c r="J1350" s="50"/>
      <c r="K1350" s="50"/>
      <c r="V1350" s="173"/>
      <c r="W1350" s="173"/>
      <c r="X1350" s="173"/>
      <c r="AA1350" s="80"/>
    </row>
    <row r="1351" spans="9:27" x14ac:dyDescent="0.25">
      <c r="I1351" s="50"/>
      <c r="J1351" s="50"/>
      <c r="K1351" s="50"/>
      <c r="V1351" s="173"/>
      <c r="W1351" s="173"/>
      <c r="X1351" s="173"/>
      <c r="AA1351" s="80"/>
    </row>
    <row r="1352" spans="9:27" x14ac:dyDescent="0.25">
      <c r="I1352" s="50"/>
      <c r="J1352" s="50"/>
      <c r="K1352" s="50"/>
      <c r="V1352" s="173"/>
      <c r="W1352" s="173"/>
      <c r="X1352" s="173"/>
      <c r="AA1352" s="80"/>
    </row>
    <row r="1353" spans="9:27" x14ac:dyDescent="0.25">
      <c r="I1353" s="50"/>
      <c r="J1353" s="50"/>
      <c r="K1353" s="50"/>
      <c r="V1353" s="173"/>
      <c r="W1353" s="173"/>
      <c r="X1353" s="173"/>
      <c r="AA1353" s="80"/>
    </row>
    <row r="1354" spans="9:27" x14ac:dyDescent="0.25">
      <c r="I1354" s="50"/>
      <c r="J1354" s="50"/>
      <c r="K1354" s="50"/>
      <c r="V1354" s="173"/>
      <c r="W1354" s="173"/>
      <c r="X1354" s="173"/>
      <c r="AA1354" s="80"/>
    </row>
    <row r="1355" spans="9:27" x14ac:dyDescent="0.25">
      <c r="I1355" s="50"/>
      <c r="J1355" s="50"/>
      <c r="K1355" s="50"/>
      <c r="V1355" s="173"/>
      <c r="W1355" s="173"/>
      <c r="X1355" s="173"/>
      <c r="AA1355" s="80"/>
    </row>
    <row r="1356" spans="9:27" x14ac:dyDescent="0.25">
      <c r="I1356" s="50"/>
      <c r="J1356" s="50"/>
      <c r="K1356" s="50"/>
      <c r="V1356" s="173"/>
      <c r="W1356" s="173"/>
      <c r="X1356" s="173"/>
      <c r="AA1356" s="80"/>
    </row>
    <row r="1357" spans="9:27" x14ac:dyDescent="0.25">
      <c r="I1357" s="50"/>
      <c r="J1357" s="50"/>
      <c r="K1357" s="50"/>
      <c r="V1357" s="173"/>
      <c r="W1357" s="173"/>
      <c r="X1357" s="173"/>
      <c r="AA1357" s="80"/>
    </row>
    <row r="1358" spans="9:27" x14ac:dyDescent="0.25">
      <c r="I1358" s="50"/>
      <c r="J1358" s="50"/>
      <c r="K1358" s="50"/>
      <c r="V1358" s="173"/>
      <c r="W1358" s="173"/>
      <c r="X1358" s="173"/>
      <c r="AA1358" s="80"/>
    </row>
    <row r="1359" spans="9:27" x14ac:dyDescent="0.25">
      <c r="I1359" s="50"/>
      <c r="J1359" s="50"/>
      <c r="K1359" s="50"/>
      <c r="V1359" s="173"/>
      <c r="W1359" s="173"/>
      <c r="X1359" s="173"/>
      <c r="AA1359" s="80"/>
    </row>
    <row r="1360" spans="9:27" x14ac:dyDescent="0.25">
      <c r="I1360" s="50"/>
      <c r="J1360" s="50"/>
      <c r="K1360" s="50"/>
      <c r="V1360" s="173"/>
      <c r="W1360" s="173"/>
      <c r="X1360" s="173"/>
      <c r="AA1360" s="80"/>
    </row>
    <row r="1361" spans="9:27" x14ac:dyDescent="0.25">
      <c r="I1361" s="50"/>
      <c r="J1361" s="50"/>
      <c r="K1361" s="50"/>
      <c r="V1361" s="173"/>
      <c r="W1361" s="173"/>
      <c r="X1361" s="173"/>
      <c r="AA1361" s="80"/>
    </row>
    <row r="1362" spans="9:27" x14ac:dyDescent="0.25">
      <c r="I1362" s="50"/>
      <c r="J1362" s="50"/>
      <c r="K1362" s="50"/>
      <c r="V1362" s="173"/>
      <c r="W1362" s="173"/>
      <c r="X1362" s="173"/>
      <c r="AA1362" s="80"/>
    </row>
    <row r="1363" spans="9:27" x14ac:dyDescent="0.25">
      <c r="I1363" s="50"/>
      <c r="J1363" s="50"/>
      <c r="K1363" s="50"/>
      <c r="V1363" s="173"/>
      <c r="W1363" s="173"/>
      <c r="X1363" s="173"/>
      <c r="AA1363" s="80"/>
    </row>
    <row r="1364" spans="9:27" x14ac:dyDescent="0.25">
      <c r="I1364" s="50"/>
      <c r="J1364" s="50"/>
      <c r="K1364" s="50"/>
      <c r="V1364" s="173"/>
      <c r="W1364" s="173"/>
      <c r="X1364" s="173"/>
      <c r="AA1364" s="80"/>
    </row>
    <row r="1365" spans="9:27" x14ac:dyDescent="0.25">
      <c r="I1365" s="50"/>
      <c r="J1365" s="50"/>
      <c r="K1365" s="50"/>
      <c r="V1365" s="173"/>
      <c r="W1365" s="173"/>
      <c r="X1365" s="173"/>
      <c r="AA1365" s="80"/>
    </row>
    <row r="1366" spans="9:27" x14ac:dyDescent="0.25">
      <c r="I1366" s="50"/>
      <c r="J1366" s="50"/>
      <c r="K1366" s="50"/>
      <c r="V1366" s="173"/>
      <c r="W1366" s="173"/>
      <c r="X1366" s="173"/>
      <c r="AA1366" s="80"/>
    </row>
    <row r="1367" spans="9:27" x14ac:dyDescent="0.25">
      <c r="I1367" s="50"/>
      <c r="J1367" s="50"/>
      <c r="K1367" s="50"/>
      <c r="V1367" s="173"/>
      <c r="W1367" s="173"/>
      <c r="X1367" s="173"/>
      <c r="AA1367" s="80"/>
    </row>
    <row r="1368" spans="9:27" x14ac:dyDescent="0.25">
      <c r="I1368" s="50"/>
      <c r="J1368" s="50"/>
      <c r="K1368" s="50"/>
      <c r="V1368" s="173"/>
      <c r="W1368" s="173"/>
      <c r="X1368" s="173"/>
      <c r="AA1368" s="80"/>
    </row>
    <row r="1369" spans="9:27" x14ac:dyDescent="0.25">
      <c r="I1369" s="50"/>
      <c r="J1369" s="50"/>
      <c r="K1369" s="50"/>
      <c r="V1369" s="173"/>
      <c r="W1369" s="173"/>
      <c r="X1369" s="173"/>
      <c r="AA1369" s="80"/>
    </row>
    <row r="1370" spans="9:27" x14ac:dyDescent="0.25">
      <c r="I1370" s="50"/>
      <c r="J1370" s="50"/>
      <c r="K1370" s="50"/>
      <c r="V1370" s="173"/>
      <c r="W1370" s="173"/>
      <c r="X1370" s="173"/>
      <c r="AA1370" s="80"/>
    </row>
    <row r="1371" spans="9:27" x14ac:dyDescent="0.25">
      <c r="I1371" s="50"/>
      <c r="J1371" s="50"/>
      <c r="K1371" s="50"/>
      <c r="V1371" s="173"/>
      <c r="W1371" s="173"/>
      <c r="X1371" s="173"/>
      <c r="AA1371" s="80"/>
    </row>
    <row r="1372" spans="9:27" x14ac:dyDescent="0.25">
      <c r="I1372" s="50"/>
      <c r="J1372" s="50"/>
      <c r="K1372" s="50"/>
      <c r="V1372" s="173"/>
      <c r="W1372" s="173"/>
      <c r="X1372" s="173"/>
      <c r="AA1372" s="80"/>
    </row>
    <row r="1373" spans="9:27" x14ac:dyDescent="0.25">
      <c r="I1373" s="50"/>
      <c r="J1373" s="50"/>
      <c r="K1373" s="50"/>
      <c r="V1373" s="173"/>
      <c r="W1373" s="173"/>
      <c r="X1373" s="173"/>
      <c r="AA1373" s="80"/>
    </row>
    <row r="1374" spans="9:27" x14ac:dyDescent="0.25">
      <c r="I1374" s="50"/>
      <c r="J1374" s="50"/>
      <c r="K1374" s="50"/>
      <c r="V1374" s="173"/>
      <c r="W1374" s="173"/>
      <c r="X1374" s="173"/>
      <c r="AA1374" s="80"/>
    </row>
    <row r="1375" spans="9:27" x14ac:dyDescent="0.25">
      <c r="I1375" s="50"/>
      <c r="J1375" s="50"/>
      <c r="K1375" s="50"/>
      <c r="V1375" s="173"/>
      <c r="W1375" s="173"/>
      <c r="X1375" s="173"/>
      <c r="AA1375" s="80"/>
    </row>
    <row r="1376" spans="9:27" x14ac:dyDescent="0.25">
      <c r="I1376" s="50"/>
      <c r="J1376" s="50"/>
      <c r="K1376" s="50"/>
      <c r="V1376" s="173"/>
      <c r="W1376" s="173"/>
      <c r="X1376" s="173"/>
      <c r="AA1376" s="80"/>
    </row>
    <row r="1377" spans="9:27" x14ac:dyDescent="0.25">
      <c r="I1377" s="50"/>
      <c r="J1377" s="50"/>
      <c r="K1377" s="50"/>
      <c r="V1377" s="173"/>
      <c r="W1377" s="173"/>
      <c r="X1377" s="173"/>
      <c r="AA1377" s="80"/>
    </row>
    <row r="1378" spans="9:27" x14ac:dyDescent="0.25">
      <c r="I1378" s="50"/>
      <c r="J1378" s="50"/>
      <c r="K1378" s="50"/>
      <c r="V1378" s="173"/>
      <c r="W1378" s="173"/>
      <c r="X1378" s="173"/>
      <c r="AA1378" s="80"/>
    </row>
    <row r="1379" spans="9:27" x14ac:dyDescent="0.25">
      <c r="I1379" s="50"/>
      <c r="J1379" s="50"/>
      <c r="K1379" s="50"/>
      <c r="V1379" s="173"/>
      <c r="W1379" s="173"/>
      <c r="X1379" s="173"/>
      <c r="AA1379" s="80"/>
    </row>
    <row r="1380" spans="9:27" x14ac:dyDescent="0.25">
      <c r="I1380" s="50"/>
      <c r="J1380" s="50"/>
      <c r="K1380" s="50"/>
      <c r="V1380" s="173"/>
      <c r="W1380" s="173"/>
      <c r="X1380" s="173"/>
      <c r="AA1380" s="80"/>
    </row>
    <row r="1381" spans="9:27" x14ac:dyDescent="0.25">
      <c r="I1381" s="50"/>
      <c r="J1381" s="50"/>
      <c r="K1381" s="50"/>
      <c r="V1381" s="173"/>
      <c r="W1381" s="173"/>
      <c r="X1381" s="173"/>
      <c r="AA1381" s="80"/>
    </row>
    <row r="1382" spans="9:27" x14ac:dyDescent="0.25">
      <c r="I1382" s="50"/>
      <c r="J1382" s="50"/>
      <c r="K1382" s="50"/>
      <c r="V1382" s="173"/>
      <c r="W1382" s="173"/>
      <c r="X1382" s="173"/>
      <c r="AA1382" s="80"/>
    </row>
    <row r="1383" spans="9:27" x14ac:dyDescent="0.25">
      <c r="I1383" s="50"/>
      <c r="J1383" s="50"/>
      <c r="K1383" s="50"/>
      <c r="V1383" s="173"/>
      <c r="W1383" s="173"/>
      <c r="X1383" s="173"/>
      <c r="AA1383" s="80"/>
    </row>
    <row r="1384" spans="9:27" x14ac:dyDescent="0.25">
      <c r="I1384" s="50"/>
      <c r="J1384" s="50"/>
      <c r="K1384" s="50"/>
      <c r="V1384" s="173"/>
      <c r="W1384" s="173"/>
      <c r="X1384" s="173"/>
      <c r="AA1384" s="80"/>
    </row>
    <row r="1385" spans="9:27" x14ac:dyDescent="0.25">
      <c r="I1385" s="50"/>
      <c r="J1385" s="50"/>
      <c r="K1385" s="50"/>
      <c r="V1385" s="173"/>
      <c r="W1385" s="173"/>
      <c r="X1385" s="173"/>
      <c r="AA1385" s="80"/>
    </row>
    <row r="1386" spans="9:27" x14ac:dyDescent="0.25">
      <c r="I1386" s="50"/>
      <c r="J1386" s="50"/>
      <c r="K1386" s="50"/>
      <c r="V1386" s="173"/>
      <c r="W1386" s="173"/>
      <c r="X1386" s="173"/>
      <c r="AA1386" s="80"/>
    </row>
    <row r="1387" spans="9:27" x14ac:dyDescent="0.25">
      <c r="I1387" s="50"/>
      <c r="J1387" s="50"/>
      <c r="K1387" s="50"/>
      <c r="V1387" s="173"/>
      <c r="W1387" s="173"/>
      <c r="X1387" s="173"/>
      <c r="AA1387" s="80"/>
    </row>
    <row r="1388" spans="9:27" x14ac:dyDescent="0.25">
      <c r="I1388" s="50"/>
      <c r="J1388" s="50"/>
      <c r="K1388" s="50"/>
      <c r="V1388" s="173"/>
      <c r="W1388" s="173"/>
      <c r="X1388" s="173"/>
      <c r="AA1388" s="80"/>
    </row>
    <row r="1389" spans="9:27" x14ac:dyDescent="0.25">
      <c r="I1389" s="50"/>
      <c r="J1389" s="50"/>
      <c r="K1389" s="50"/>
      <c r="V1389" s="173"/>
      <c r="W1389" s="173"/>
      <c r="X1389" s="173"/>
      <c r="AA1389" s="80"/>
    </row>
    <row r="1390" spans="9:27" x14ac:dyDescent="0.25">
      <c r="I1390" s="50"/>
      <c r="J1390" s="50"/>
      <c r="K1390" s="50"/>
      <c r="V1390" s="173"/>
      <c r="W1390" s="173"/>
      <c r="X1390" s="173"/>
      <c r="AA1390" s="80"/>
    </row>
    <row r="1391" spans="9:27" x14ac:dyDescent="0.25">
      <c r="I1391" s="50"/>
      <c r="J1391" s="50"/>
      <c r="K1391" s="50"/>
      <c r="V1391" s="173"/>
      <c r="W1391" s="173"/>
      <c r="X1391" s="173"/>
      <c r="AA1391" s="80"/>
    </row>
    <row r="1392" spans="9:27" x14ac:dyDescent="0.25">
      <c r="I1392" s="50"/>
      <c r="J1392" s="50"/>
      <c r="K1392" s="50"/>
      <c r="V1392" s="173"/>
      <c r="W1392" s="173"/>
      <c r="X1392" s="173"/>
      <c r="AA1392" s="80"/>
    </row>
    <row r="1393" spans="9:27" x14ac:dyDescent="0.25">
      <c r="I1393" s="50"/>
      <c r="J1393" s="50"/>
      <c r="K1393" s="50"/>
      <c r="V1393" s="173"/>
      <c r="W1393" s="173"/>
      <c r="X1393" s="173"/>
      <c r="AA1393" s="80"/>
    </row>
    <row r="1394" spans="9:27" x14ac:dyDescent="0.25">
      <c r="I1394" s="50"/>
      <c r="J1394" s="50"/>
      <c r="K1394" s="50"/>
      <c r="V1394" s="173"/>
      <c r="W1394" s="173"/>
      <c r="X1394" s="173"/>
      <c r="AA1394" s="80"/>
    </row>
    <row r="1395" spans="9:27" x14ac:dyDescent="0.25">
      <c r="I1395" s="50"/>
      <c r="J1395" s="50"/>
      <c r="K1395" s="50"/>
      <c r="V1395" s="173"/>
      <c r="W1395" s="173"/>
      <c r="X1395" s="173"/>
      <c r="AA1395" s="80"/>
    </row>
    <row r="1396" spans="9:27" x14ac:dyDescent="0.25">
      <c r="I1396" s="50"/>
      <c r="J1396" s="50"/>
      <c r="K1396" s="50"/>
      <c r="V1396" s="173"/>
      <c r="W1396" s="173"/>
      <c r="X1396" s="173"/>
      <c r="AA1396" s="80"/>
    </row>
    <row r="1397" spans="9:27" x14ac:dyDescent="0.25">
      <c r="I1397" s="50"/>
      <c r="J1397" s="50"/>
      <c r="K1397" s="50"/>
      <c r="V1397" s="173"/>
      <c r="W1397" s="173"/>
      <c r="X1397" s="173"/>
      <c r="AA1397" s="80"/>
    </row>
    <row r="1398" spans="9:27" x14ac:dyDescent="0.25">
      <c r="I1398" s="50"/>
      <c r="J1398" s="50"/>
      <c r="K1398" s="50"/>
      <c r="V1398" s="173"/>
      <c r="W1398" s="173"/>
      <c r="X1398" s="173"/>
      <c r="AA1398" s="80"/>
    </row>
    <row r="1399" spans="9:27" x14ac:dyDescent="0.25">
      <c r="I1399" s="50"/>
      <c r="J1399" s="50"/>
      <c r="K1399" s="50"/>
      <c r="V1399" s="173"/>
      <c r="W1399" s="173"/>
      <c r="X1399" s="173"/>
      <c r="AA1399" s="80"/>
    </row>
    <row r="1400" spans="9:27" x14ac:dyDescent="0.25">
      <c r="I1400" s="50"/>
      <c r="J1400" s="50"/>
      <c r="K1400" s="50"/>
      <c r="V1400" s="173"/>
      <c r="W1400" s="173"/>
      <c r="X1400" s="173"/>
      <c r="AA1400" s="80"/>
    </row>
    <row r="1401" spans="9:27" x14ac:dyDescent="0.25">
      <c r="I1401" s="50"/>
      <c r="J1401" s="50"/>
      <c r="K1401" s="50"/>
      <c r="V1401" s="173"/>
      <c r="W1401" s="173"/>
      <c r="X1401" s="173"/>
      <c r="AA1401" s="80"/>
    </row>
    <row r="1402" spans="9:27" x14ac:dyDescent="0.25">
      <c r="I1402" s="50"/>
      <c r="J1402" s="50"/>
      <c r="K1402" s="50"/>
      <c r="V1402" s="173"/>
      <c r="W1402" s="173"/>
      <c r="X1402" s="173"/>
      <c r="AA1402" s="80"/>
    </row>
    <row r="1403" spans="9:27" x14ac:dyDescent="0.25">
      <c r="I1403" s="50"/>
      <c r="J1403" s="50"/>
      <c r="K1403" s="50"/>
      <c r="V1403" s="173"/>
      <c r="W1403" s="173"/>
      <c r="X1403" s="173"/>
      <c r="AA1403" s="80"/>
    </row>
    <row r="1404" spans="9:27" x14ac:dyDescent="0.25">
      <c r="I1404" s="50"/>
      <c r="J1404" s="50"/>
      <c r="K1404" s="50"/>
      <c r="V1404" s="173"/>
      <c r="W1404" s="173"/>
      <c r="X1404" s="173"/>
      <c r="AA1404" s="80"/>
    </row>
    <row r="1405" spans="9:27" x14ac:dyDescent="0.25">
      <c r="I1405" s="50"/>
      <c r="J1405" s="50"/>
      <c r="K1405" s="50"/>
      <c r="V1405" s="173"/>
      <c r="W1405" s="173"/>
      <c r="X1405" s="173"/>
      <c r="AA1405" s="80"/>
    </row>
    <row r="1406" spans="9:27" x14ac:dyDescent="0.25">
      <c r="I1406" s="50"/>
      <c r="J1406" s="50"/>
      <c r="K1406" s="50"/>
      <c r="V1406" s="173"/>
      <c r="W1406" s="173"/>
      <c r="X1406" s="173"/>
      <c r="AA1406" s="80"/>
    </row>
    <row r="1407" spans="9:27" x14ac:dyDescent="0.25">
      <c r="I1407" s="50"/>
      <c r="J1407" s="50"/>
      <c r="K1407" s="50"/>
      <c r="V1407" s="173"/>
      <c r="W1407" s="173"/>
      <c r="X1407" s="173"/>
      <c r="AA1407" s="80"/>
    </row>
    <row r="1408" spans="9:27" x14ac:dyDescent="0.25">
      <c r="I1408" s="50"/>
      <c r="J1408" s="50"/>
      <c r="K1408" s="50"/>
      <c r="V1408" s="173"/>
      <c r="W1408" s="173"/>
      <c r="X1408" s="173"/>
      <c r="AA1408" s="80"/>
    </row>
    <row r="1409" spans="9:27" x14ac:dyDescent="0.25">
      <c r="I1409" s="50"/>
      <c r="J1409" s="50"/>
      <c r="K1409" s="50"/>
      <c r="V1409" s="173"/>
      <c r="W1409" s="173"/>
      <c r="X1409" s="173"/>
      <c r="AA1409" s="80"/>
    </row>
    <row r="1410" spans="9:27" x14ac:dyDescent="0.25">
      <c r="I1410" s="50"/>
      <c r="J1410" s="50"/>
      <c r="K1410" s="50"/>
      <c r="V1410" s="173"/>
      <c r="W1410" s="173"/>
      <c r="X1410" s="173"/>
      <c r="AA1410" s="80"/>
    </row>
    <row r="1411" spans="9:27" x14ac:dyDescent="0.25">
      <c r="I1411" s="50"/>
      <c r="J1411" s="50"/>
      <c r="K1411" s="50"/>
      <c r="V1411" s="173"/>
      <c r="W1411" s="173"/>
      <c r="X1411" s="173"/>
      <c r="AA1411" s="80"/>
    </row>
    <row r="1412" spans="9:27" x14ac:dyDescent="0.25">
      <c r="I1412" s="50"/>
      <c r="J1412" s="50"/>
      <c r="K1412" s="50"/>
      <c r="V1412" s="173"/>
      <c r="W1412" s="173"/>
      <c r="X1412" s="173"/>
      <c r="AA1412" s="80"/>
    </row>
    <row r="1413" spans="9:27" x14ac:dyDescent="0.25">
      <c r="I1413" s="50"/>
      <c r="J1413" s="50"/>
      <c r="K1413" s="50"/>
      <c r="V1413" s="173"/>
      <c r="W1413" s="173"/>
      <c r="X1413" s="173"/>
      <c r="AA1413" s="80"/>
    </row>
    <row r="1414" spans="9:27" x14ac:dyDescent="0.25">
      <c r="I1414" s="50"/>
      <c r="J1414" s="50"/>
      <c r="K1414" s="50"/>
      <c r="V1414" s="173"/>
      <c r="W1414" s="173"/>
      <c r="X1414" s="173"/>
      <c r="AA1414" s="80"/>
    </row>
    <row r="1415" spans="9:27" x14ac:dyDescent="0.25">
      <c r="I1415" s="50"/>
      <c r="J1415" s="50"/>
      <c r="K1415" s="50"/>
      <c r="V1415" s="173"/>
      <c r="W1415" s="173"/>
      <c r="X1415" s="173"/>
      <c r="AA1415" s="80"/>
    </row>
    <row r="1416" spans="9:27" x14ac:dyDescent="0.25">
      <c r="I1416" s="50"/>
      <c r="J1416" s="50"/>
      <c r="K1416" s="50"/>
      <c r="V1416" s="173"/>
      <c r="W1416" s="173"/>
      <c r="X1416" s="173"/>
      <c r="AA1416" s="80"/>
    </row>
    <row r="1417" spans="9:27" x14ac:dyDescent="0.25">
      <c r="I1417" s="50"/>
      <c r="J1417" s="50"/>
      <c r="K1417" s="50"/>
      <c r="V1417" s="173"/>
      <c r="W1417" s="173"/>
      <c r="X1417" s="173"/>
      <c r="AA1417" s="80"/>
    </row>
    <row r="1418" spans="9:27" x14ac:dyDescent="0.25">
      <c r="I1418" s="50"/>
      <c r="J1418" s="50"/>
      <c r="K1418" s="50"/>
      <c r="V1418" s="173"/>
      <c r="W1418" s="173"/>
      <c r="X1418" s="173"/>
      <c r="AA1418" s="80"/>
    </row>
    <row r="1419" spans="9:27" x14ac:dyDescent="0.25">
      <c r="I1419" s="50"/>
      <c r="J1419" s="50"/>
      <c r="K1419" s="50"/>
      <c r="V1419" s="173"/>
      <c r="W1419" s="173"/>
      <c r="X1419" s="173"/>
      <c r="AA1419" s="80"/>
    </row>
    <row r="1420" spans="9:27" x14ac:dyDescent="0.25">
      <c r="I1420" s="50"/>
      <c r="J1420" s="50"/>
      <c r="K1420" s="50"/>
      <c r="V1420" s="173"/>
      <c r="W1420" s="173"/>
      <c r="X1420" s="173"/>
      <c r="AA1420" s="80"/>
    </row>
    <row r="1421" spans="9:27" x14ac:dyDescent="0.25">
      <c r="I1421" s="50"/>
      <c r="J1421" s="50"/>
      <c r="K1421" s="50"/>
      <c r="V1421" s="173"/>
      <c r="W1421" s="173"/>
      <c r="X1421" s="173"/>
      <c r="AA1421" s="80"/>
    </row>
    <row r="1422" spans="9:27" x14ac:dyDescent="0.25">
      <c r="I1422" s="50"/>
      <c r="J1422" s="50"/>
      <c r="K1422" s="50"/>
      <c r="V1422" s="173"/>
      <c r="W1422" s="173"/>
      <c r="X1422" s="173"/>
      <c r="AA1422" s="80"/>
    </row>
    <row r="1423" spans="9:27" x14ac:dyDescent="0.25">
      <c r="I1423" s="50"/>
      <c r="J1423" s="50"/>
      <c r="K1423" s="50"/>
      <c r="V1423" s="173"/>
      <c r="W1423" s="173"/>
      <c r="X1423" s="173"/>
      <c r="AA1423" s="80"/>
    </row>
    <row r="1424" spans="9:27" x14ac:dyDescent="0.25">
      <c r="I1424" s="50"/>
      <c r="J1424" s="50"/>
      <c r="K1424" s="50"/>
      <c r="V1424" s="173"/>
      <c r="W1424" s="173"/>
      <c r="X1424" s="173"/>
      <c r="AA1424" s="80"/>
    </row>
    <row r="1425" spans="9:27" x14ac:dyDescent="0.25">
      <c r="I1425" s="50"/>
      <c r="J1425" s="50"/>
      <c r="K1425" s="50"/>
      <c r="V1425" s="173"/>
      <c r="W1425" s="173"/>
      <c r="X1425" s="173"/>
      <c r="AA1425" s="80"/>
    </row>
    <row r="1426" spans="9:27" x14ac:dyDescent="0.25">
      <c r="I1426" s="50"/>
      <c r="J1426" s="50"/>
      <c r="K1426" s="50"/>
      <c r="V1426" s="173"/>
      <c r="W1426" s="173"/>
      <c r="X1426" s="173"/>
      <c r="AA1426" s="80"/>
    </row>
    <row r="1427" spans="9:27" x14ac:dyDescent="0.25">
      <c r="I1427" s="50"/>
      <c r="J1427" s="50"/>
      <c r="K1427" s="50"/>
      <c r="V1427" s="173"/>
      <c r="W1427" s="173"/>
      <c r="X1427" s="173"/>
      <c r="AA1427" s="80"/>
    </row>
    <row r="1428" spans="9:27" x14ac:dyDescent="0.25">
      <c r="I1428" s="50"/>
      <c r="J1428" s="50"/>
      <c r="K1428" s="50"/>
      <c r="V1428" s="173"/>
      <c r="W1428" s="173"/>
      <c r="X1428" s="173"/>
      <c r="AA1428" s="80"/>
    </row>
    <row r="1429" spans="9:27" x14ac:dyDescent="0.25">
      <c r="I1429" s="50"/>
      <c r="J1429" s="50"/>
      <c r="K1429" s="50"/>
      <c r="V1429" s="173"/>
      <c r="W1429" s="173"/>
      <c r="X1429" s="173"/>
      <c r="AA1429" s="80"/>
    </row>
    <row r="1430" spans="9:27" x14ac:dyDescent="0.25">
      <c r="I1430" s="50"/>
      <c r="J1430" s="50"/>
      <c r="K1430" s="50"/>
      <c r="V1430" s="173"/>
      <c r="W1430" s="173"/>
      <c r="X1430" s="173"/>
      <c r="AA1430" s="80"/>
    </row>
    <row r="1431" spans="9:27" x14ac:dyDescent="0.25">
      <c r="I1431" s="50"/>
      <c r="J1431" s="50"/>
      <c r="K1431" s="50"/>
      <c r="V1431" s="173"/>
      <c r="W1431" s="173"/>
      <c r="X1431" s="173"/>
      <c r="AA1431" s="80"/>
    </row>
    <row r="1432" spans="9:27" x14ac:dyDescent="0.25">
      <c r="I1432" s="50"/>
      <c r="J1432" s="50"/>
      <c r="K1432" s="50"/>
      <c r="V1432" s="173"/>
      <c r="W1432" s="173"/>
      <c r="X1432" s="173"/>
      <c r="AA1432" s="80"/>
    </row>
    <row r="1433" spans="9:27" x14ac:dyDescent="0.25">
      <c r="I1433" s="50"/>
      <c r="J1433" s="50"/>
      <c r="K1433" s="50"/>
      <c r="V1433" s="173"/>
      <c r="W1433" s="173"/>
      <c r="X1433" s="173"/>
      <c r="AA1433" s="80"/>
    </row>
    <row r="1434" spans="9:27" x14ac:dyDescent="0.25">
      <c r="I1434" s="50"/>
      <c r="J1434" s="50"/>
      <c r="K1434" s="50"/>
      <c r="V1434" s="173"/>
      <c r="W1434" s="173"/>
      <c r="X1434" s="173"/>
      <c r="AA1434" s="80"/>
    </row>
    <row r="1435" spans="9:27" x14ac:dyDescent="0.25">
      <c r="I1435" s="50"/>
      <c r="J1435" s="50"/>
      <c r="K1435" s="50"/>
      <c r="V1435" s="173"/>
      <c r="W1435" s="173"/>
      <c r="X1435" s="173"/>
      <c r="AA1435" s="80"/>
    </row>
    <row r="1436" spans="9:27" x14ac:dyDescent="0.25">
      <c r="I1436" s="50"/>
      <c r="J1436" s="50"/>
      <c r="K1436" s="50"/>
      <c r="V1436" s="173"/>
      <c r="W1436" s="173"/>
      <c r="X1436" s="173"/>
      <c r="AA1436" s="80"/>
    </row>
    <row r="1437" spans="9:27" x14ac:dyDescent="0.25">
      <c r="I1437" s="50"/>
      <c r="J1437" s="50"/>
      <c r="K1437" s="50"/>
      <c r="V1437" s="173"/>
      <c r="W1437" s="173"/>
      <c r="X1437" s="173"/>
      <c r="AA1437" s="80"/>
    </row>
    <row r="1438" spans="9:27" x14ac:dyDescent="0.25">
      <c r="I1438" s="50"/>
      <c r="J1438" s="50"/>
      <c r="K1438" s="50"/>
      <c r="V1438" s="173"/>
      <c r="W1438" s="173"/>
      <c r="X1438" s="173"/>
      <c r="AA1438" s="80"/>
    </row>
    <row r="1439" spans="9:27" x14ac:dyDescent="0.25">
      <c r="I1439" s="50"/>
      <c r="J1439" s="50"/>
      <c r="K1439" s="50"/>
      <c r="V1439" s="173"/>
      <c r="W1439" s="173"/>
      <c r="X1439" s="173"/>
      <c r="AA1439" s="80"/>
    </row>
    <row r="1440" spans="9:27" x14ac:dyDescent="0.25">
      <c r="I1440" s="50"/>
      <c r="J1440" s="50"/>
      <c r="K1440" s="50"/>
      <c r="V1440" s="173"/>
      <c r="W1440" s="173"/>
      <c r="X1440" s="173"/>
      <c r="AA1440" s="80"/>
    </row>
    <row r="1441" spans="9:27" x14ac:dyDescent="0.25">
      <c r="I1441" s="50"/>
      <c r="J1441" s="50"/>
      <c r="K1441" s="50"/>
      <c r="V1441" s="173"/>
      <c r="W1441" s="173"/>
      <c r="X1441" s="173"/>
      <c r="AA1441" s="80"/>
    </row>
    <row r="1442" spans="9:27" x14ac:dyDescent="0.25">
      <c r="I1442" s="50"/>
      <c r="J1442" s="50"/>
      <c r="K1442" s="50"/>
      <c r="V1442" s="173"/>
      <c r="W1442" s="173"/>
      <c r="X1442" s="173"/>
      <c r="AA1442" s="80"/>
    </row>
    <row r="1443" spans="9:27" x14ac:dyDescent="0.25">
      <c r="I1443" s="50"/>
      <c r="J1443" s="50"/>
      <c r="K1443" s="50"/>
      <c r="V1443" s="173"/>
      <c r="W1443" s="173"/>
      <c r="X1443" s="173"/>
      <c r="AA1443" s="80"/>
    </row>
    <row r="1444" spans="9:27" x14ac:dyDescent="0.25">
      <c r="I1444" s="50"/>
      <c r="J1444" s="50"/>
      <c r="K1444" s="50"/>
      <c r="V1444" s="173"/>
      <c r="W1444" s="173"/>
      <c r="X1444" s="173"/>
      <c r="AA1444" s="80"/>
    </row>
    <row r="1445" spans="9:27" x14ac:dyDescent="0.25">
      <c r="I1445" s="50"/>
      <c r="J1445" s="50"/>
      <c r="K1445" s="50"/>
      <c r="V1445" s="173"/>
      <c r="W1445" s="173"/>
      <c r="X1445" s="173"/>
      <c r="AA1445" s="80"/>
    </row>
    <row r="1446" spans="9:27" x14ac:dyDescent="0.25">
      <c r="I1446" s="50"/>
      <c r="J1446" s="50"/>
      <c r="K1446" s="50"/>
      <c r="V1446" s="173"/>
      <c r="W1446" s="173"/>
      <c r="X1446" s="173"/>
      <c r="AA1446" s="80"/>
    </row>
    <row r="1447" spans="9:27" x14ac:dyDescent="0.25">
      <c r="I1447" s="50"/>
      <c r="J1447" s="50"/>
      <c r="K1447" s="50"/>
      <c r="V1447" s="173"/>
      <c r="W1447" s="173"/>
      <c r="X1447" s="173"/>
      <c r="AA1447" s="80"/>
    </row>
    <row r="1448" spans="9:27" x14ac:dyDescent="0.25">
      <c r="I1448" s="50"/>
      <c r="J1448" s="50"/>
      <c r="K1448" s="50"/>
      <c r="V1448" s="173"/>
      <c r="W1448" s="173"/>
      <c r="X1448" s="173"/>
      <c r="AA1448" s="80"/>
    </row>
    <row r="1449" spans="9:27" x14ac:dyDescent="0.25">
      <c r="I1449" s="50"/>
      <c r="J1449" s="50"/>
      <c r="K1449" s="50"/>
      <c r="V1449" s="173"/>
      <c r="W1449" s="173"/>
      <c r="X1449" s="173"/>
      <c r="AA1449" s="80"/>
    </row>
    <row r="1450" spans="9:27" x14ac:dyDescent="0.25">
      <c r="I1450" s="50"/>
      <c r="J1450" s="50"/>
      <c r="K1450" s="50"/>
      <c r="V1450" s="173"/>
      <c r="W1450" s="173"/>
      <c r="X1450" s="173"/>
      <c r="AA1450" s="80"/>
    </row>
    <row r="1451" spans="9:27" x14ac:dyDescent="0.25">
      <c r="I1451" s="50"/>
      <c r="J1451" s="50"/>
      <c r="K1451" s="50"/>
      <c r="V1451" s="173"/>
      <c r="W1451" s="173"/>
      <c r="X1451" s="173"/>
      <c r="AA1451" s="80"/>
    </row>
    <row r="1452" spans="9:27" x14ac:dyDescent="0.25">
      <c r="I1452" s="50"/>
      <c r="J1452" s="50"/>
      <c r="K1452" s="50"/>
      <c r="V1452" s="173"/>
      <c r="W1452" s="173"/>
      <c r="X1452" s="173"/>
      <c r="AA1452" s="80"/>
    </row>
    <row r="1453" spans="9:27" x14ac:dyDescent="0.25">
      <c r="I1453" s="50"/>
      <c r="J1453" s="50"/>
      <c r="K1453" s="50"/>
      <c r="V1453" s="173"/>
      <c r="W1453" s="173"/>
      <c r="X1453" s="173"/>
      <c r="AA1453" s="80"/>
    </row>
    <row r="1454" spans="9:27" x14ac:dyDescent="0.25">
      <c r="I1454" s="50"/>
      <c r="J1454" s="50"/>
      <c r="K1454" s="50"/>
      <c r="V1454" s="173"/>
      <c r="W1454" s="173"/>
      <c r="X1454" s="173"/>
      <c r="AA1454" s="80"/>
    </row>
    <row r="1455" spans="9:27" x14ac:dyDescent="0.25">
      <c r="I1455" s="50"/>
      <c r="J1455" s="50"/>
      <c r="K1455" s="50"/>
      <c r="V1455" s="173"/>
      <c r="W1455" s="173"/>
      <c r="X1455" s="173"/>
      <c r="AA1455" s="80"/>
    </row>
    <row r="1456" spans="9:27" x14ac:dyDescent="0.25">
      <c r="I1456" s="50"/>
      <c r="J1456" s="50"/>
      <c r="K1456" s="50"/>
      <c r="V1456" s="173"/>
      <c r="W1456" s="173"/>
      <c r="X1456" s="173"/>
      <c r="AA1456" s="80"/>
    </row>
    <row r="1457" spans="9:27" x14ac:dyDescent="0.25">
      <c r="I1457" s="50"/>
      <c r="J1457" s="50"/>
      <c r="K1457" s="50"/>
      <c r="V1457" s="173"/>
      <c r="W1457" s="173"/>
      <c r="X1457" s="173"/>
      <c r="AA1457" s="80"/>
    </row>
    <row r="1458" spans="9:27" x14ac:dyDescent="0.25">
      <c r="I1458" s="50"/>
      <c r="J1458" s="50"/>
      <c r="K1458" s="50"/>
      <c r="V1458" s="173"/>
      <c r="W1458" s="173"/>
      <c r="X1458" s="173"/>
      <c r="AA1458" s="80"/>
    </row>
    <row r="1459" spans="9:27" x14ac:dyDescent="0.25">
      <c r="I1459" s="50"/>
      <c r="J1459" s="50"/>
      <c r="K1459" s="50"/>
      <c r="V1459" s="173"/>
      <c r="W1459" s="173"/>
      <c r="X1459" s="173"/>
      <c r="AA1459" s="80"/>
    </row>
    <row r="1460" spans="9:27" x14ac:dyDescent="0.25">
      <c r="I1460" s="50"/>
      <c r="J1460" s="50"/>
      <c r="K1460" s="50"/>
      <c r="V1460" s="173"/>
      <c r="W1460" s="173"/>
      <c r="X1460" s="173"/>
      <c r="AA1460" s="80"/>
    </row>
    <row r="1461" spans="9:27" x14ac:dyDescent="0.25">
      <c r="I1461" s="50"/>
      <c r="J1461" s="50"/>
      <c r="K1461" s="50"/>
      <c r="V1461" s="173"/>
      <c r="W1461" s="173"/>
      <c r="X1461" s="173"/>
      <c r="AA1461" s="80"/>
    </row>
    <row r="1462" spans="9:27" x14ac:dyDescent="0.25">
      <c r="I1462" s="50"/>
      <c r="J1462" s="50"/>
      <c r="K1462" s="50"/>
      <c r="V1462" s="173"/>
      <c r="W1462" s="173"/>
      <c r="X1462" s="173"/>
      <c r="AA1462" s="80"/>
    </row>
    <row r="1463" spans="9:27" x14ac:dyDescent="0.25">
      <c r="I1463" s="50"/>
      <c r="J1463" s="50"/>
      <c r="K1463" s="50"/>
      <c r="V1463" s="173"/>
      <c r="W1463" s="173"/>
      <c r="X1463" s="173"/>
      <c r="AA1463" s="80"/>
    </row>
    <row r="1464" spans="9:27" x14ac:dyDescent="0.25">
      <c r="I1464" s="50"/>
      <c r="J1464" s="50"/>
      <c r="K1464" s="50"/>
      <c r="V1464" s="173"/>
      <c r="W1464" s="173"/>
      <c r="X1464" s="173"/>
      <c r="AA1464" s="80"/>
    </row>
    <row r="1465" spans="9:27" x14ac:dyDescent="0.25">
      <c r="I1465" s="50"/>
      <c r="J1465" s="50"/>
      <c r="K1465" s="50"/>
      <c r="V1465" s="173"/>
      <c r="W1465" s="173"/>
      <c r="X1465" s="173"/>
      <c r="AA1465" s="80"/>
    </row>
    <row r="1466" spans="9:27" x14ac:dyDescent="0.25">
      <c r="I1466" s="50"/>
      <c r="J1466" s="50"/>
      <c r="K1466" s="50"/>
      <c r="V1466" s="173"/>
      <c r="W1466" s="173"/>
      <c r="X1466" s="173"/>
      <c r="AA1466" s="80"/>
    </row>
    <row r="1467" spans="9:27" x14ac:dyDescent="0.25">
      <c r="I1467" s="50"/>
      <c r="J1467" s="50"/>
      <c r="K1467" s="50"/>
      <c r="V1467" s="173"/>
      <c r="W1467" s="173"/>
      <c r="X1467" s="173"/>
      <c r="AA1467" s="80"/>
    </row>
    <row r="1468" spans="9:27" x14ac:dyDescent="0.25">
      <c r="I1468" s="50"/>
      <c r="J1468" s="50"/>
      <c r="K1468" s="50"/>
      <c r="V1468" s="173"/>
      <c r="W1468" s="173"/>
      <c r="X1468" s="173"/>
      <c r="AA1468" s="80"/>
    </row>
    <row r="1469" spans="9:27" x14ac:dyDescent="0.25">
      <c r="I1469" s="50"/>
      <c r="J1469" s="50"/>
      <c r="K1469" s="50"/>
      <c r="V1469" s="173"/>
      <c r="W1469" s="173"/>
      <c r="X1469" s="173"/>
      <c r="AA1469" s="80"/>
    </row>
    <row r="1470" spans="9:27" x14ac:dyDescent="0.25">
      <c r="I1470" s="50"/>
      <c r="J1470" s="50"/>
      <c r="K1470" s="50"/>
      <c r="V1470" s="173"/>
      <c r="W1470" s="173"/>
      <c r="X1470" s="173"/>
      <c r="AA1470" s="80"/>
    </row>
    <row r="1471" spans="9:27" x14ac:dyDescent="0.25">
      <c r="I1471" s="50"/>
      <c r="J1471" s="50"/>
      <c r="K1471" s="50"/>
      <c r="V1471" s="173"/>
      <c r="W1471" s="173"/>
      <c r="X1471" s="173"/>
      <c r="AA1471" s="80"/>
    </row>
    <row r="1472" spans="9:27" x14ac:dyDescent="0.25">
      <c r="I1472" s="50"/>
      <c r="J1472" s="50"/>
      <c r="K1472" s="50"/>
      <c r="V1472" s="173"/>
      <c r="W1472" s="173"/>
      <c r="X1472" s="173"/>
      <c r="AA1472" s="80"/>
    </row>
    <row r="1473" spans="9:27" x14ac:dyDescent="0.25">
      <c r="I1473" s="50"/>
      <c r="J1473" s="50"/>
      <c r="K1473" s="50"/>
      <c r="V1473" s="173"/>
      <c r="W1473" s="173"/>
      <c r="X1473" s="173"/>
      <c r="AA1473" s="80"/>
    </row>
    <row r="1474" spans="9:27" x14ac:dyDescent="0.25">
      <c r="I1474" s="50"/>
      <c r="J1474" s="50"/>
      <c r="K1474" s="50"/>
      <c r="V1474" s="173"/>
      <c r="W1474" s="173"/>
      <c r="X1474" s="173"/>
      <c r="AA1474" s="80"/>
    </row>
    <row r="1475" spans="9:27" x14ac:dyDescent="0.25">
      <c r="I1475" s="50"/>
      <c r="J1475" s="50"/>
      <c r="K1475" s="50"/>
      <c r="V1475" s="173"/>
      <c r="W1475" s="173"/>
      <c r="X1475" s="173"/>
      <c r="AA1475" s="80"/>
    </row>
    <row r="1476" spans="9:27" x14ac:dyDescent="0.25">
      <c r="I1476" s="50"/>
      <c r="J1476" s="50"/>
      <c r="K1476" s="50"/>
      <c r="V1476" s="173"/>
      <c r="W1476" s="173"/>
      <c r="X1476" s="173"/>
      <c r="AA1476" s="80"/>
    </row>
    <row r="1477" spans="9:27" x14ac:dyDescent="0.25">
      <c r="I1477" s="50"/>
      <c r="J1477" s="50"/>
      <c r="K1477" s="50"/>
      <c r="V1477" s="173"/>
      <c r="W1477" s="173"/>
      <c r="X1477" s="173"/>
      <c r="AA1477" s="80"/>
    </row>
    <row r="1478" spans="9:27" x14ac:dyDescent="0.25">
      <c r="I1478" s="50"/>
      <c r="J1478" s="50"/>
      <c r="K1478" s="50"/>
      <c r="V1478" s="173"/>
      <c r="W1478" s="173"/>
      <c r="X1478" s="173"/>
      <c r="AA1478" s="80"/>
    </row>
    <row r="1479" spans="9:27" x14ac:dyDescent="0.25">
      <c r="I1479" s="50"/>
      <c r="J1479" s="50"/>
      <c r="K1479" s="50"/>
      <c r="V1479" s="173"/>
      <c r="W1479" s="173"/>
      <c r="X1479" s="173"/>
      <c r="AA1479" s="80"/>
    </row>
    <row r="1480" spans="9:27" x14ac:dyDescent="0.25">
      <c r="I1480" s="50"/>
      <c r="J1480" s="50"/>
      <c r="K1480" s="50"/>
      <c r="V1480" s="173"/>
      <c r="W1480" s="173"/>
      <c r="X1480" s="173"/>
      <c r="AA1480" s="80"/>
    </row>
    <row r="1481" spans="9:27" x14ac:dyDescent="0.25">
      <c r="I1481" s="50"/>
      <c r="J1481" s="50"/>
      <c r="K1481" s="50"/>
      <c r="V1481" s="173"/>
      <c r="W1481" s="173"/>
      <c r="X1481" s="173"/>
      <c r="AA1481" s="80"/>
    </row>
    <row r="1482" spans="9:27" x14ac:dyDescent="0.25">
      <c r="I1482" s="50"/>
      <c r="J1482" s="50"/>
      <c r="K1482" s="50"/>
      <c r="V1482" s="173"/>
      <c r="W1482" s="173"/>
      <c r="X1482" s="173"/>
      <c r="AA1482" s="80"/>
    </row>
    <row r="1483" spans="9:27" x14ac:dyDescent="0.25">
      <c r="I1483" s="50"/>
      <c r="J1483" s="50"/>
      <c r="K1483" s="50"/>
      <c r="V1483" s="173"/>
      <c r="W1483" s="173"/>
      <c r="X1483" s="173"/>
      <c r="AA1483" s="80"/>
    </row>
    <row r="1484" spans="9:27" x14ac:dyDescent="0.25">
      <c r="I1484" s="50"/>
      <c r="J1484" s="50"/>
      <c r="K1484" s="50"/>
      <c r="V1484" s="173"/>
      <c r="W1484" s="173"/>
      <c r="X1484" s="173"/>
      <c r="AA1484" s="80"/>
    </row>
    <row r="1485" spans="9:27" x14ac:dyDescent="0.25">
      <c r="I1485" s="50"/>
      <c r="J1485" s="50"/>
      <c r="K1485" s="50"/>
      <c r="V1485" s="173"/>
      <c r="W1485" s="173"/>
      <c r="X1485" s="173"/>
      <c r="AA1485" s="80"/>
    </row>
    <row r="1486" spans="9:27" x14ac:dyDescent="0.25">
      <c r="I1486" s="50"/>
      <c r="J1486" s="50"/>
      <c r="K1486" s="50"/>
      <c r="V1486" s="173"/>
      <c r="W1486" s="173"/>
      <c r="X1486" s="173"/>
      <c r="AA1486" s="80"/>
    </row>
    <row r="1487" spans="9:27" x14ac:dyDescent="0.25">
      <c r="I1487" s="50"/>
      <c r="J1487" s="50"/>
      <c r="K1487" s="50"/>
      <c r="V1487" s="173"/>
      <c r="W1487" s="173"/>
      <c r="X1487" s="173"/>
      <c r="AA1487" s="80"/>
    </row>
    <row r="1488" spans="9:27" x14ac:dyDescent="0.25">
      <c r="I1488" s="50"/>
      <c r="J1488" s="50"/>
      <c r="K1488" s="50"/>
      <c r="V1488" s="173"/>
      <c r="W1488" s="173"/>
      <c r="X1488" s="173"/>
      <c r="AA1488" s="80"/>
    </row>
    <row r="1489" spans="9:27" x14ac:dyDescent="0.25">
      <c r="I1489" s="50"/>
      <c r="J1489" s="50"/>
      <c r="K1489" s="50"/>
      <c r="V1489" s="173"/>
      <c r="W1489" s="173"/>
      <c r="X1489" s="173"/>
      <c r="AA1489" s="80"/>
    </row>
    <row r="1490" spans="9:27" x14ac:dyDescent="0.25">
      <c r="I1490" s="50"/>
      <c r="J1490" s="50"/>
      <c r="K1490" s="50"/>
      <c r="V1490" s="173"/>
      <c r="W1490" s="173"/>
      <c r="X1490" s="173"/>
      <c r="AA1490" s="80"/>
    </row>
    <row r="1491" spans="9:27" x14ac:dyDescent="0.25">
      <c r="I1491" s="50"/>
      <c r="J1491" s="50"/>
      <c r="K1491" s="50"/>
      <c r="V1491" s="173"/>
      <c r="W1491" s="173"/>
      <c r="X1491" s="173"/>
      <c r="AA1491" s="80"/>
    </row>
    <row r="1492" spans="9:27" x14ac:dyDescent="0.25">
      <c r="I1492" s="50"/>
      <c r="J1492" s="50"/>
      <c r="K1492" s="50"/>
      <c r="V1492" s="173"/>
      <c r="W1492" s="173"/>
      <c r="X1492" s="173"/>
      <c r="AA1492" s="80"/>
    </row>
    <row r="1493" spans="9:27" x14ac:dyDescent="0.25">
      <c r="I1493" s="50"/>
      <c r="J1493" s="50"/>
      <c r="K1493" s="50"/>
      <c r="V1493" s="173"/>
      <c r="W1493" s="173"/>
      <c r="X1493" s="173"/>
      <c r="AA1493" s="80"/>
    </row>
    <row r="1494" spans="9:27" x14ac:dyDescent="0.25">
      <c r="I1494" s="50"/>
      <c r="J1494" s="50"/>
      <c r="K1494" s="50"/>
      <c r="V1494" s="173"/>
      <c r="W1494" s="173"/>
      <c r="X1494" s="173"/>
      <c r="AA1494" s="80"/>
    </row>
    <row r="1495" spans="9:27" x14ac:dyDescent="0.25">
      <c r="I1495" s="50"/>
      <c r="J1495" s="50"/>
      <c r="K1495" s="50"/>
      <c r="V1495" s="173"/>
      <c r="W1495" s="173"/>
      <c r="X1495" s="173"/>
      <c r="AA1495" s="80"/>
    </row>
    <row r="1496" spans="9:27" x14ac:dyDescent="0.25">
      <c r="I1496" s="50"/>
      <c r="J1496" s="50"/>
      <c r="K1496" s="50"/>
      <c r="V1496" s="173"/>
      <c r="W1496" s="173"/>
      <c r="X1496" s="173"/>
      <c r="AA1496" s="80"/>
    </row>
    <row r="1497" spans="9:27" x14ac:dyDescent="0.25">
      <c r="I1497" s="50"/>
      <c r="J1497" s="50"/>
      <c r="K1497" s="50"/>
      <c r="V1497" s="173"/>
      <c r="W1497" s="173"/>
      <c r="X1497" s="173"/>
      <c r="AA1497" s="80"/>
    </row>
    <row r="1498" spans="9:27" x14ac:dyDescent="0.25">
      <c r="I1498" s="50"/>
      <c r="J1498" s="50"/>
      <c r="K1498" s="50"/>
      <c r="V1498" s="173"/>
      <c r="W1498" s="173"/>
      <c r="X1498" s="173"/>
      <c r="AA1498" s="80"/>
    </row>
    <row r="1499" spans="9:27" x14ac:dyDescent="0.25">
      <c r="I1499" s="50"/>
      <c r="J1499" s="50"/>
      <c r="K1499" s="50"/>
      <c r="V1499" s="173"/>
      <c r="W1499" s="173"/>
      <c r="X1499" s="173"/>
      <c r="AA1499" s="80"/>
    </row>
    <row r="1500" spans="9:27" x14ac:dyDescent="0.25">
      <c r="I1500" s="50"/>
      <c r="J1500" s="50"/>
      <c r="K1500" s="50"/>
      <c r="V1500" s="173"/>
      <c r="W1500" s="173"/>
      <c r="X1500" s="173"/>
      <c r="AA1500" s="80"/>
    </row>
    <row r="1501" spans="9:27" x14ac:dyDescent="0.25">
      <c r="I1501" s="50"/>
      <c r="J1501" s="50"/>
      <c r="K1501" s="50"/>
      <c r="V1501" s="173"/>
      <c r="W1501" s="173"/>
      <c r="X1501" s="173"/>
      <c r="AA1501" s="80"/>
    </row>
    <row r="1502" spans="9:27" x14ac:dyDescent="0.25">
      <c r="I1502" s="50"/>
      <c r="J1502" s="50"/>
      <c r="K1502" s="50"/>
      <c r="V1502" s="173"/>
      <c r="W1502" s="173"/>
      <c r="X1502" s="173"/>
      <c r="AA1502" s="80"/>
    </row>
    <row r="1503" spans="9:27" x14ac:dyDescent="0.25">
      <c r="I1503" s="50"/>
      <c r="J1503" s="50"/>
      <c r="K1503" s="50"/>
      <c r="V1503" s="173"/>
      <c r="W1503" s="173"/>
      <c r="X1503" s="173"/>
      <c r="AA1503" s="80"/>
    </row>
    <row r="1504" spans="9:27" x14ac:dyDescent="0.25">
      <c r="I1504" s="50"/>
      <c r="J1504" s="50"/>
      <c r="K1504" s="50"/>
      <c r="V1504" s="173"/>
      <c r="W1504" s="173"/>
      <c r="X1504" s="173"/>
      <c r="AA1504" s="80"/>
    </row>
    <row r="1505" spans="9:27" x14ac:dyDescent="0.25">
      <c r="I1505" s="50"/>
      <c r="J1505" s="50"/>
      <c r="K1505" s="50"/>
      <c r="V1505" s="173"/>
      <c r="W1505" s="173"/>
      <c r="X1505" s="173"/>
      <c r="AA1505" s="80"/>
    </row>
    <row r="1506" spans="9:27" x14ac:dyDescent="0.25">
      <c r="I1506" s="50"/>
      <c r="J1506" s="50"/>
      <c r="K1506" s="50"/>
      <c r="V1506" s="173"/>
      <c r="W1506" s="173"/>
      <c r="X1506" s="173"/>
      <c r="AA1506" s="80"/>
    </row>
    <row r="1507" spans="9:27" x14ac:dyDescent="0.25">
      <c r="I1507" s="50"/>
      <c r="J1507" s="50"/>
      <c r="K1507" s="50"/>
      <c r="V1507" s="173"/>
      <c r="W1507" s="173"/>
      <c r="X1507" s="173"/>
      <c r="AA1507" s="80"/>
    </row>
    <row r="1508" spans="9:27" x14ac:dyDescent="0.25">
      <c r="I1508" s="50"/>
      <c r="J1508" s="50"/>
      <c r="K1508" s="50"/>
      <c r="V1508" s="173"/>
      <c r="W1508" s="173"/>
      <c r="X1508" s="173"/>
      <c r="AA1508" s="80"/>
    </row>
    <row r="1509" spans="9:27" x14ac:dyDescent="0.25">
      <c r="I1509" s="50"/>
      <c r="J1509" s="50"/>
      <c r="K1509" s="50"/>
      <c r="V1509" s="173"/>
      <c r="W1509" s="173"/>
      <c r="X1509" s="173"/>
      <c r="AA1509" s="80"/>
    </row>
    <row r="1510" spans="9:27" x14ac:dyDescent="0.25">
      <c r="I1510" s="50"/>
      <c r="J1510" s="50"/>
      <c r="K1510" s="50"/>
      <c r="V1510" s="173"/>
      <c r="W1510" s="173"/>
      <c r="X1510" s="173"/>
      <c r="AA1510" s="80"/>
    </row>
    <row r="1511" spans="9:27" x14ac:dyDescent="0.25">
      <c r="I1511" s="50"/>
      <c r="J1511" s="50"/>
      <c r="K1511" s="50"/>
      <c r="V1511" s="173"/>
      <c r="W1511" s="173"/>
      <c r="X1511" s="173"/>
      <c r="AA1511" s="80"/>
    </row>
    <row r="1512" spans="9:27" x14ac:dyDescent="0.25">
      <c r="I1512" s="50"/>
      <c r="J1512" s="50"/>
      <c r="K1512" s="50"/>
      <c r="V1512" s="173"/>
      <c r="W1512" s="173"/>
      <c r="X1512" s="173"/>
      <c r="AA1512" s="80"/>
    </row>
    <row r="1513" spans="9:27" x14ac:dyDescent="0.25">
      <c r="I1513" s="50"/>
      <c r="J1513" s="50"/>
      <c r="K1513" s="50"/>
      <c r="V1513" s="173"/>
      <c r="W1513" s="173"/>
      <c r="X1513" s="173"/>
      <c r="AA1513" s="80"/>
    </row>
    <row r="1514" spans="9:27" x14ac:dyDescent="0.25">
      <c r="I1514" s="50"/>
      <c r="J1514" s="50"/>
      <c r="K1514" s="50"/>
      <c r="V1514" s="173"/>
      <c r="W1514" s="173"/>
      <c r="X1514" s="173"/>
      <c r="AA1514" s="80"/>
    </row>
    <row r="1515" spans="9:27" x14ac:dyDescent="0.25">
      <c r="I1515" s="50"/>
      <c r="J1515" s="50"/>
      <c r="K1515" s="50"/>
      <c r="V1515" s="173"/>
      <c r="W1515" s="173"/>
      <c r="X1515" s="173"/>
      <c r="AA1515" s="80"/>
    </row>
    <row r="1516" spans="9:27" x14ac:dyDescent="0.25">
      <c r="I1516" s="50"/>
      <c r="J1516" s="50"/>
      <c r="K1516" s="50"/>
      <c r="V1516" s="173"/>
      <c r="W1516" s="173"/>
      <c r="X1516" s="173"/>
      <c r="AA1516" s="80"/>
    </row>
    <row r="1517" spans="9:27" x14ac:dyDescent="0.25">
      <c r="I1517" s="50"/>
      <c r="J1517" s="50"/>
      <c r="K1517" s="50"/>
      <c r="V1517" s="173"/>
      <c r="W1517" s="173"/>
      <c r="X1517" s="173"/>
      <c r="AA1517" s="80"/>
    </row>
    <row r="1518" spans="9:27" x14ac:dyDescent="0.25">
      <c r="I1518" s="50"/>
      <c r="J1518" s="50"/>
      <c r="K1518" s="50"/>
      <c r="V1518" s="173"/>
      <c r="W1518" s="173"/>
      <c r="X1518" s="173"/>
      <c r="AA1518" s="80"/>
    </row>
    <row r="1519" spans="9:27" x14ac:dyDescent="0.25">
      <c r="I1519" s="50"/>
      <c r="J1519" s="50"/>
      <c r="K1519" s="50"/>
      <c r="V1519" s="173"/>
      <c r="W1519" s="173"/>
      <c r="X1519" s="173"/>
      <c r="AA1519" s="80"/>
    </row>
    <row r="1520" spans="9:27" x14ac:dyDescent="0.25">
      <c r="I1520" s="50"/>
      <c r="J1520" s="50"/>
      <c r="K1520" s="50"/>
      <c r="V1520" s="173"/>
      <c r="W1520" s="173"/>
      <c r="X1520" s="173"/>
      <c r="AA1520" s="80"/>
    </row>
    <row r="1521" spans="9:27" x14ac:dyDescent="0.25">
      <c r="I1521" s="50"/>
      <c r="J1521" s="50"/>
      <c r="K1521" s="50"/>
      <c r="V1521" s="173"/>
      <c r="W1521" s="173"/>
      <c r="X1521" s="173"/>
      <c r="AA1521" s="80"/>
    </row>
    <row r="1522" spans="9:27" x14ac:dyDescent="0.25">
      <c r="I1522" s="50"/>
      <c r="J1522" s="50"/>
      <c r="K1522" s="50"/>
      <c r="V1522" s="173"/>
      <c r="W1522" s="173"/>
      <c r="X1522" s="173"/>
      <c r="AA1522" s="80"/>
    </row>
    <row r="1523" spans="9:27" x14ac:dyDescent="0.25">
      <c r="I1523" s="50"/>
      <c r="J1523" s="50"/>
      <c r="K1523" s="50"/>
      <c r="V1523" s="173"/>
      <c r="W1523" s="173"/>
      <c r="X1523" s="173"/>
      <c r="AA1523" s="80"/>
    </row>
    <row r="1524" spans="9:27" x14ac:dyDescent="0.25">
      <c r="I1524" s="50"/>
      <c r="J1524" s="50"/>
      <c r="K1524" s="50"/>
      <c r="V1524" s="173"/>
      <c r="W1524" s="173"/>
      <c r="X1524" s="173"/>
      <c r="AA1524" s="80"/>
    </row>
    <row r="1525" spans="9:27" x14ac:dyDescent="0.25">
      <c r="I1525" s="50"/>
      <c r="J1525" s="50"/>
      <c r="K1525" s="50"/>
      <c r="V1525" s="173"/>
      <c r="W1525" s="173"/>
      <c r="X1525" s="173"/>
      <c r="AA1525" s="80"/>
    </row>
    <row r="1526" spans="9:27" x14ac:dyDescent="0.25">
      <c r="I1526" s="50"/>
      <c r="J1526" s="50"/>
      <c r="K1526" s="50"/>
      <c r="V1526" s="173"/>
      <c r="W1526" s="173"/>
      <c r="X1526" s="173"/>
      <c r="AA1526" s="80"/>
    </row>
    <row r="1527" spans="9:27" x14ac:dyDescent="0.25">
      <c r="I1527" s="50"/>
      <c r="J1527" s="50"/>
      <c r="K1527" s="50"/>
      <c r="V1527" s="173"/>
      <c r="W1527" s="173"/>
      <c r="X1527" s="173"/>
      <c r="AA1527" s="80"/>
    </row>
    <row r="1528" spans="9:27" x14ac:dyDescent="0.25">
      <c r="I1528" s="50"/>
      <c r="J1528" s="50"/>
      <c r="K1528" s="50"/>
      <c r="V1528" s="173"/>
      <c r="W1528" s="173"/>
      <c r="X1528" s="173"/>
      <c r="AA1528" s="80"/>
    </row>
    <row r="1529" spans="9:27" x14ac:dyDescent="0.25">
      <c r="I1529" s="50"/>
      <c r="J1529" s="50"/>
      <c r="K1529" s="50"/>
      <c r="V1529" s="173"/>
      <c r="W1529" s="173"/>
      <c r="X1529" s="173"/>
      <c r="AA1529" s="80"/>
    </row>
    <row r="1530" spans="9:27" x14ac:dyDescent="0.25">
      <c r="I1530" s="50"/>
      <c r="J1530" s="50"/>
      <c r="K1530" s="50"/>
      <c r="V1530" s="173"/>
      <c r="W1530" s="173"/>
      <c r="X1530" s="173"/>
      <c r="AA1530" s="80"/>
    </row>
    <row r="1531" spans="9:27" x14ac:dyDescent="0.25">
      <c r="I1531" s="50"/>
      <c r="J1531" s="50"/>
      <c r="K1531" s="50"/>
      <c r="V1531" s="173"/>
      <c r="W1531" s="173"/>
      <c r="X1531" s="173"/>
      <c r="AA1531" s="80"/>
    </row>
    <row r="1532" spans="9:27" x14ac:dyDescent="0.25">
      <c r="I1532" s="50"/>
      <c r="J1532" s="50"/>
      <c r="K1532" s="50"/>
      <c r="V1532" s="173"/>
      <c r="W1532" s="173"/>
      <c r="X1532" s="173"/>
      <c r="AA1532" s="80"/>
    </row>
    <row r="1533" spans="9:27" x14ac:dyDescent="0.25">
      <c r="I1533" s="50"/>
      <c r="J1533" s="50"/>
      <c r="K1533" s="50"/>
      <c r="V1533" s="173"/>
      <c r="W1533" s="173"/>
      <c r="X1533" s="173"/>
      <c r="AA1533" s="80"/>
    </row>
    <row r="1534" spans="9:27" x14ac:dyDescent="0.25">
      <c r="I1534" s="50"/>
      <c r="J1534" s="50"/>
      <c r="K1534" s="50"/>
      <c r="V1534" s="173"/>
      <c r="W1534" s="173"/>
      <c r="X1534" s="173"/>
      <c r="AA1534" s="80"/>
    </row>
    <row r="1535" spans="9:27" x14ac:dyDescent="0.25">
      <c r="I1535" s="50"/>
      <c r="J1535" s="50"/>
      <c r="K1535" s="50"/>
      <c r="V1535" s="173"/>
      <c r="W1535" s="173"/>
      <c r="X1535" s="173"/>
      <c r="AA1535" s="80"/>
    </row>
    <row r="1536" spans="9:27" x14ac:dyDescent="0.25">
      <c r="I1536" s="50"/>
      <c r="J1536" s="50"/>
      <c r="K1536" s="50"/>
      <c r="V1536" s="173"/>
      <c r="W1536" s="173"/>
      <c r="X1536" s="173"/>
      <c r="AA1536" s="80"/>
    </row>
    <row r="1537" spans="9:27" x14ac:dyDescent="0.25">
      <c r="I1537" s="50"/>
      <c r="J1537" s="50"/>
      <c r="K1537" s="50"/>
      <c r="V1537" s="173"/>
      <c r="W1537" s="173"/>
      <c r="X1537" s="173"/>
      <c r="AA1537" s="80"/>
    </row>
    <row r="1538" spans="9:27" x14ac:dyDescent="0.25">
      <c r="I1538" s="50"/>
      <c r="J1538" s="50"/>
      <c r="K1538" s="50"/>
      <c r="V1538" s="173"/>
      <c r="W1538" s="173"/>
      <c r="X1538" s="173"/>
      <c r="AA1538" s="80"/>
    </row>
    <row r="1539" spans="9:27" x14ac:dyDescent="0.25">
      <c r="I1539" s="50"/>
      <c r="J1539" s="50"/>
      <c r="K1539" s="50"/>
      <c r="V1539" s="173"/>
      <c r="W1539" s="173"/>
      <c r="X1539" s="173"/>
      <c r="AA1539" s="80"/>
    </row>
    <row r="1540" spans="9:27" x14ac:dyDescent="0.25">
      <c r="I1540" s="50"/>
      <c r="J1540" s="50"/>
      <c r="K1540" s="50"/>
      <c r="V1540" s="173"/>
      <c r="W1540" s="173"/>
      <c r="X1540" s="173"/>
      <c r="AA1540" s="80"/>
    </row>
    <row r="1541" spans="9:27" x14ac:dyDescent="0.25">
      <c r="I1541" s="50"/>
      <c r="J1541" s="50"/>
      <c r="K1541" s="50"/>
      <c r="V1541" s="173"/>
      <c r="W1541" s="173"/>
      <c r="X1541" s="173"/>
      <c r="AA1541" s="80"/>
    </row>
    <row r="1542" spans="9:27" x14ac:dyDescent="0.25">
      <c r="I1542" s="50"/>
      <c r="J1542" s="50"/>
      <c r="K1542" s="50"/>
      <c r="V1542" s="173"/>
      <c r="W1542" s="173"/>
      <c r="X1542" s="173"/>
      <c r="AA1542" s="80"/>
    </row>
    <row r="1543" spans="9:27" x14ac:dyDescent="0.25">
      <c r="I1543" s="50"/>
      <c r="J1543" s="50"/>
      <c r="K1543" s="50"/>
      <c r="V1543" s="173"/>
      <c r="W1543" s="173"/>
      <c r="X1543" s="173"/>
      <c r="AA1543" s="80"/>
    </row>
    <row r="1544" spans="9:27" x14ac:dyDescent="0.25">
      <c r="I1544" s="50"/>
      <c r="J1544" s="50"/>
      <c r="K1544" s="50"/>
      <c r="V1544" s="173"/>
      <c r="W1544" s="173"/>
      <c r="X1544" s="173"/>
      <c r="AA1544" s="80"/>
    </row>
    <row r="1545" spans="9:27" x14ac:dyDescent="0.25">
      <c r="I1545" s="50"/>
      <c r="J1545" s="50"/>
      <c r="K1545" s="50"/>
      <c r="V1545" s="173"/>
      <c r="W1545" s="173"/>
      <c r="X1545" s="173"/>
      <c r="AA1545" s="80"/>
    </row>
    <row r="1546" spans="9:27" x14ac:dyDescent="0.25">
      <c r="I1546" s="50"/>
      <c r="J1546" s="50"/>
      <c r="K1546" s="50"/>
      <c r="V1546" s="173"/>
      <c r="W1546" s="173"/>
      <c r="X1546" s="173"/>
      <c r="AA1546" s="80"/>
    </row>
    <row r="1547" spans="9:27" x14ac:dyDescent="0.25">
      <c r="I1547" s="50"/>
      <c r="J1547" s="50"/>
      <c r="K1547" s="50"/>
      <c r="V1547" s="173"/>
      <c r="W1547" s="173"/>
      <c r="X1547" s="173"/>
      <c r="AA1547" s="80"/>
    </row>
    <row r="1548" spans="9:27" x14ac:dyDescent="0.25">
      <c r="I1548" s="50"/>
      <c r="J1548" s="50"/>
      <c r="K1548" s="50"/>
      <c r="V1548" s="173"/>
      <c r="W1548" s="173"/>
      <c r="X1548" s="173"/>
      <c r="AA1548" s="80"/>
    </row>
    <row r="1549" spans="9:27" x14ac:dyDescent="0.25">
      <c r="I1549" s="50"/>
      <c r="J1549" s="50"/>
      <c r="K1549" s="50"/>
      <c r="V1549" s="173"/>
      <c r="W1549" s="173"/>
      <c r="X1549" s="173"/>
      <c r="AA1549" s="80"/>
    </row>
    <row r="1550" spans="9:27" x14ac:dyDescent="0.25">
      <c r="I1550" s="50"/>
      <c r="J1550" s="50"/>
      <c r="K1550" s="50"/>
      <c r="V1550" s="173"/>
      <c r="W1550" s="173"/>
      <c r="X1550" s="173"/>
      <c r="AA1550" s="80"/>
    </row>
    <row r="1551" spans="9:27" x14ac:dyDescent="0.25">
      <c r="I1551" s="50"/>
      <c r="J1551" s="50"/>
      <c r="K1551" s="50"/>
      <c r="V1551" s="173"/>
      <c r="W1551" s="173"/>
      <c r="X1551" s="173"/>
      <c r="AA1551" s="80"/>
    </row>
    <row r="1552" spans="9:27" x14ac:dyDescent="0.25">
      <c r="I1552" s="50"/>
      <c r="J1552" s="50"/>
      <c r="K1552" s="50"/>
      <c r="V1552" s="173"/>
      <c r="W1552" s="173"/>
      <c r="X1552" s="173"/>
      <c r="AA1552" s="80"/>
    </row>
    <row r="1553" spans="9:27" x14ac:dyDescent="0.25">
      <c r="I1553" s="50"/>
      <c r="J1553" s="50"/>
      <c r="K1553" s="50"/>
      <c r="V1553" s="173"/>
      <c r="W1553" s="173"/>
      <c r="X1553" s="173"/>
      <c r="AA1553" s="80"/>
    </row>
    <row r="1554" spans="9:27" x14ac:dyDescent="0.25">
      <c r="V1554" s="173"/>
      <c r="W1554" s="173"/>
      <c r="X1554" s="173"/>
      <c r="AA1554" s="80"/>
    </row>
    <row r="1555" spans="9:27" x14ac:dyDescent="0.25">
      <c r="V1555" s="173"/>
      <c r="W1555" s="173"/>
      <c r="X1555" s="173"/>
      <c r="AA1555" s="80"/>
    </row>
    <row r="1556" spans="9:27" x14ac:dyDescent="0.25">
      <c r="V1556" s="173"/>
      <c r="W1556" s="173"/>
      <c r="X1556" s="173"/>
      <c r="AA1556" s="80"/>
    </row>
    <row r="1557" spans="9:27" x14ac:dyDescent="0.25">
      <c r="AA1557" s="80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</protectedRanges>
  <dataConsolidate link="1"/>
  <mergeCells count="8"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D09-082F-4A63-B161-63F7FBA662B9}">
  <sheetPr codeName="Sheet6"/>
  <dimension ref="A1:D29"/>
  <sheetViews>
    <sheetView tabSelected="1" workbookViewId="0">
      <selection activeCell="B15" sqref="B15"/>
    </sheetView>
  </sheetViews>
  <sheetFormatPr defaultRowHeight="15.75" x14ac:dyDescent="0.25"/>
  <cols>
    <col min="1" max="1" width="33" bestFit="1" customWidth="1"/>
  </cols>
  <sheetData>
    <row r="1" spans="1:4" x14ac:dyDescent="0.25">
      <c r="A1" s="148"/>
      <c r="B1" s="98" t="s">
        <v>535</v>
      </c>
      <c r="C1" s="98" t="s">
        <v>604</v>
      </c>
      <c r="D1" s="149" t="s">
        <v>605</v>
      </c>
    </row>
    <row r="2" spans="1:4" x14ac:dyDescent="0.25">
      <c r="A2" s="149" t="s">
        <v>696</v>
      </c>
      <c r="B2" s="150">
        <f>Reflectivity!H14</f>
        <v>1.8943908933859539</v>
      </c>
      <c r="C2" s="150">
        <f>swellRatioRich!D4</f>
        <v>2.85429524432728E-2</v>
      </c>
      <c r="D2" s="151"/>
    </row>
    <row r="3" spans="1:4" x14ac:dyDescent="0.25">
      <c r="A3" s="149" t="s">
        <v>680</v>
      </c>
      <c r="B3" s="150">
        <f>Reflectivity!H18</f>
        <v>2.0157154758991935</v>
      </c>
      <c r="C3" s="150">
        <f>swellRatioPoor!D4</f>
        <v>8.6099449918036336E-2</v>
      </c>
      <c r="D3" s="151"/>
    </row>
    <row r="4" spans="1:4" x14ac:dyDescent="0.25">
      <c r="A4" s="149" t="s">
        <v>633</v>
      </c>
      <c r="B4" s="150">
        <f>Reflectivity!H22</f>
        <v>1.927255002695746</v>
      </c>
      <c r="C4" s="150">
        <f>SQRT((B2-B3)^2*C11^2+B11^2*(C2^2+C3^2))</f>
        <v>6.4960141742381253E-2</v>
      </c>
      <c r="D4" s="151"/>
    </row>
    <row r="5" spans="1:4" x14ac:dyDescent="0.25">
      <c r="A5" s="149" t="s">
        <v>677</v>
      </c>
      <c r="B5" s="150">
        <f>B15/B14</f>
        <v>1.9272550026957465</v>
      </c>
      <c r="C5" s="150">
        <f>B5*SQRT((C15/B14)^2+(C14*B15/B14^2)^2)</f>
        <v>0.26119911304106419</v>
      </c>
      <c r="D5" s="151"/>
    </row>
    <row r="6" spans="1:4" ht="18.75" x14ac:dyDescent="0.25">
      <c r="A6" s="98" t="s">
        <v>695</v>
      </c>
      <c r="B6" s="191">
        <f>Reflectivity!H16</f>
        <v>0.47212584082230125</v>
      </c>
      <c r="C6" s="191">
        <f>C2/B2^2</f>
        <v>7.9535258927007392E-3</v>
      </c>
      <c r="D6" s="151"/>
    </row>
    <row r="7" spans="1:4" ht="18.75" x14ac:dyDescent="0.25">
      <c r="A7" s="98" t="s">
        <v>679</v>
      </c>
      <c r="B7" s="191">
        <f>Reflectivity!H20</f>
        <v>0.50389823764491937</v>
      </c>
      <c r="C7" s="191">
        <f>C3/B3^2</f>
        <v>2.1190534751977554E-2</v>
      </c>
      <c r="D7" s="151"/>
    </row>
    <row r="8" spans="1:4" ht="18.75" x14ac:dyDescent="0.25">
      <c r="A8" s="98" t="s">
        <v>673</v>
      </c>
      <c r="B8" s="191">
        <f>Reflectivity!H24</f>
        <v>0.48112730354766187</v>
      </c>
      <c r="C8" s="191">
        <f>C4/B4^2</f>
        <v>1.7489145889178732E-2</v>
      </c>
      <c r="D8" s="151"/>
    </row>
    <row r="9" spans="1:4" ht="18.75" x14ac:dyDescent="0.25">
      <c r="A9" s="98" t="s">
        <v>681</v>
      </c>
      <c r="B9" s="191">
        <f>1-1/B5</f>
        <v>0.48112730354766198</v>
      </c>
      <c r="C9" s="191">
        <f>C5/B5^2</f>
        <v>7.0322343387359126E-2</v>
      </c>
      <c r="D9" s="151"/>
    </row>
    <row r="11" spans="1:4" ht="18.75" x14ac:dyDescent="0.25">
      <c r="A11" s="98" t="s">
        <v>642</v>
      </c>
      <c r="B11" s="190">
        <v>0.71599999999999997</v>
      </c>
      <c r="C11" s="190">
        <v>1.0999999999999999E-2</v>
      </c>
      <c r="D11" s="151"/>
    </row>
    <row r="12" spans="1:4" ht="18.75" x14ac:dyDescent="0.25">
      <c r="A12" s="98" t="s">
        <v>682</v>
      </c>
      <c r="B12" s="151">
        <f>Reflectivity!F33</f>
        <v>44.525552128511919</v>
      </c>
      <c r="C12" s="151">
        <v>3.1</v>
      </c>
      <c r="D12" s="151"/>
    </row>
    <row r="13" spans="1:4" ht="18.75" x14ac:dyDescent="0.25">
      <c r="A13" s="98" t="s">
        <v>683</v>
      </c>
      <c r="B13" s="151">
        <f>Reflectivity!H8</f>
        <v>84.348800475234555</v>
      </c>
      <c r="C13" s="151">
        <f>B13*SQRT((C2^2/B2^2)+(C12^2/B12^2))</f>
        <v>6.0085549185780085</v>
      </c>
      <c r="D13" s="151"/>
    </row>
    <row r="14" spans="1:4" ht="18.75" x14ac:dyDescent="0.25">
      <c r="A14" s="98" t="s">
        <v>653</v>
      </c>
      <c r="B14" s="151">
        <f>Reflectivity!H40</f>
        <v>382.66461979686312</v>
      </c>
      <c r="C14" s="151">
        <v>16.7</v>
      </c>
      <c r="D14" s="151"/>
    </row>
    <row r="15" spans="1:4" ht="18.75" x14ac:dyDescent="0.25">
      <c r="A15" s="98" t="s">
        <v>675</v>
      </c>
      <c r="B15" s="151">
        <f>Reflectivity!H12</f>
        <v>737.49230285817021</v>
      </c>
      <c r="C15" s="151">
        <f>B15*SQRT((C14^2/B14^2)+(C4^2/B4^2))</f>
        <v>40.666964559027264</v>
      </c>
      <c r="D15" s="151"/>
    </row>
    <row r="16" spans="1:4" ht="18.75" x14ac:dyDescent="0.25">
      <c r="A16" s="98" t="s">
        <v>652</v>
      </c>
      <c r="B16" s="151">
        <f>Reflectivity!H38</f>
        <v>118.61517618833636</v>
      </c>
      <c r="C16" s="151">
        <v>2.1</v>
      </c>
      <c r="D16" s="150"/>
    </row>
    <row r="17" spans="1:4" ht="18.75" x14ac:dyDescent="0.25">
      <c r="A17" s="98" t="s">
        <v>689</v>
      </c>
      <c r="B17" s="151">
        <f>Reflectivity!F8</f>
        <v>144.25289122937403</v>
      </c>
      <c r="C17" s="151">
        <f>SQRT(B16^2*C4^2+B4^2*C16^2+C13^2)</f>
        <v>10.57609845048778</v>
      </c>
      <c r="D17" s="150"/>
    </row>
    <row r="18" spans="1:4" ht="18.75" x14ac:dyDescent="0.25">
      <c r="A18" s="98" t="s">
        <v>684</v>
      </c>
      <c r="B18" s="151">
        <f>Reflectivity!F32</f>
        <v>36.089658308560537</v>
      </c>
      <c r="C18" s="151">
        <v>12</v>
      </c>
      <c r="D18" s="151"/>
    </row>
    <row r="19" spans="1:4" ht="18.75" x14ac:dyDescent="0.25">
      <c r="A19" s="98" t="s">
        <v>685</v>
      </c>
      <c r="B19" s="151">
        <f>Reflectivity!F12</f>
        <v>70.285620826868524</v>
      </c>
      <c r="C19" s="151">
        <f>SQRT(B3^2*C18^2+(B18+B12/2)^2*C3^2+0.25*C13^2+0.25*B3^2*C12^2)</f>
        <v>25.082198612677253</v>
      </c>
      <c r="D19" s="151"/>
    </row>
    <row r="20" spans="1:4" ht="18.75" x14ac:dyDescent="0.25">
      <c r="A20" s="98" t="s">
        <v>690</v>
      </c>
      <c r="B20" s="151">
        <f>Reflectivity!F38</f>
        <v>64.819056983118031</v>
      </c>
      <c r="C20" s="151">
        <v>4.5999999999999996</v>
      </c>
      <c r="D20" s="151"/>
    </row>
    <row r="21" spans="1:4" ht="18.75" x14ac:dyDescent="0.25">
      <c r="A21" s="98" t="s">
        <v>691</v>
      </c>
      <c r="B21" s="151">
        <f>Reflectivity!F6</f>
        <v>125.65449814684999</v>
      </c>
      <c r="C21" s="151">
        <f>SQRT(B6^2*C20^2+(B20+B14/2)^2*C6^2+0.25*C15^2+0.25*B6^2*C14^2)</f>
        <v>20.925082654439176</v>
      </c>
      <c r="D21" s="151"/>
    </row>
    <row r="23" spans="1:4" ht="18.75" x14ac:dyDescent="0.25">
      <c r="A23" s="98" t="s">
        <v>650</v>
      </c>
      <c r="B23" s="192">
        <f>Reflectivity!H32</f>
        <v>9.4545576236162603E-7</v>
      </c>
      <c r="C23" s="192">
        <v>1.03E-8</v>
      </c>
      <c r="D23" s="150"/>
    </row>
    <row r="24" spans="1:4" ht="18.75" x14ac:dyDescent="0.25">
      <c r="A24" s="98" t="s">
        <v>686</v>
      </c>
      <c r="B24" s="192">
        <f>[1]Reflectivity!C13</f>
        <v>-5.6000000000000004E-7</v>
      </c>
      <c r="C24" s="192"/>
      <c r="D24" s="150"/>
    </row>
    <row r="25" spans="1:4" ht="18.75" x14ac:dyDescent="0.25">
      <c r="A25" s="98" t="s">
        <v>635</v>
      </c>
      <c r="B25" s="192">
        <f>Reflectivity!H4</f>
        <v>2.2173459515442925E-7</v>
      </c>
      <c r="C25" s="192">
        <f>SQRT((B23*(B7-B6)+B24*(B6-B7))^2*C11^2+(B11*(B24-B23))^2*C6^2+(1-B7+B11*(B7-B6))^2*C23^2+(B23-B24)^2*C7^2)</f>
        <v>3.34669396038869E-8</v>
      </c>
      <c r="D25" s="150"/>
    </row>
    <row r="26" spans="1:4" ht="18.75" x14ac:dyDescent="0.25">
      <c r="A26" s="98" t="s">
        <v>687</v>
      </c>
      <c r="B26" s="192">
        <f>Reflectivity!H34</f>
        <v>2.8630735093003271E-6</v>
      </c>
      <c r="C26" s="192">
        <v>2.6199999999999999E-7</v>
      </c>
      <c r="D26" s="150"/>
    </row>
    <row r="27" spans="1:4" ht="18.75" x14ac:dyDescent="0.25">
      <c r="A27" s="98" t="s">
        <v>636</v>
      </c>
      <c r="B27" s="192">
        <f>Reflectivity!H6</f>
        <v>1.2469520505253646E-6</v>
      </c>
      <c r="C27" s="192">
        <f>SQRT((B24-B26)^2*C6^2+(1-B6)^2*C26^2)</f>
        <v>1.4095728460074574E-7</v>
      </c>
      <c r="D27" s="150"/>
    </row>
    <row r="29" spans="1:4" ht="18.75" x14ac:dyDescent="0.25">
      <c r="A29" s="98" t="s">
        <v>688</v>
      </c>
      <c r="B29" s="151">
        <f>Reflectivity!G7/2.35</f>
        <v>17.439308476278701</v>
      </c>
      <c r="C29" s="151">
        <f>sigMarker!D4/2.35</f>
        <v>5.6944364035760415</v>
      </c>
      <c r="D29" s="15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F9C4-E1D5-4D84-A5E4-FA217140783A}">
  <sheetPr codeName="Sheet21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7" t="s">
        <v>531</v>
      </c>
      <c r="C1" s="167" t="s">
        <v>532</v>
      </c>
      <c r="D1" s="96" t="s">
        <v>533</v>
      </c>
      <c r="E1" s="169" t="s">
        <v>534</v>
      </c>
    </row>
    <row r="2" spans="1:5" x14ac:dyDescent="0.25">
      <c r="A2" s="103" t="s">
        <v>621</v>
      </c>
      <c r="B2" s="168">
        <v>1.77</v>
      </c>
      <c r="C2" s="168">
        <v>1.97</v>
      </c>
      <c r="D2" s="97">
        <v>5</v>
      </c>
      <c r="E2" s="169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1.77</v>
      </c>
      <c r="B4" s="100">
        <v>24.44533017182718</v>
      </c>
      <c r="C4" s="101">
        <v>1.8943908933859539</v>
      </c>
      <c r="D4" s="101">
        <v>2.85429524432728E-2</v>
      </c>
    </row>
    <row r="5" spans="1:5" x14ac:dyDescent="0.25">
      <c r="A5" s="101">
        <v>1.81</v>
      </c>
      <c r="B5" s="100">
        <v>13.423936126362515</v>
      </c>
      <c r="C5" s="100"/>
      <c r="D5" s="100"/>
    </row>
    <row r="6" spans="1:5" x14ac:dyDescent="0.25">
      <c r="A6" s="101">
        <v>1.85</v>
      </c>
      <c r="B6" s="100">
        <v>7.3055594736541858</v>
      </c>
      <c r="C6" s="100"/>
      <c r="D6" s="100"/>
    </row>
    <row r="7" spans="1:5" x14ac:dyDescent="0.25">
      <c r="A7" s="101">
        <v>1.89</v>
      </c>
      <c r="B7" s="100">
        <v>5.414703269406683</v>
      </c>
      <c r="C7" s="100"/>
      <c r="D7" s="100"/>
    </row>
    <row r="8" spans="1:5" x14ac:dyDescent="0.25">
      <c r="A8" s="101">
        <v>1.93</v>
      </c>
      <c r="B8" s="100">
        <v>7.1260216443889837</v>
      </c>
      <c r="C8" s="100"/>
      <c r="D8" s="100"/>
    </row>
    <row r="9" spans="1:5" x14ac:dyDescent="0.25">
      <c r="A9" s="101">
        <v>1.97</v>
      </c>
      <c r="B9" s="100">
        <v>11.836694625722377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16F8-DED4-48E5-ABBD-51D996F74B91}">
  <sheetPr codeName="Sheet22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7" t="s">
        <v>531</v>
      </c>
      <c r="C1" s="167" t="s">
        <v>532</v>
      </c>
      <c r="D1" s="96" t="s">
        <v>533</v>
      </c>
      <c r="E1" s="169" t="s">
        <v>534</v>
      </c>
    </row>
    <row r="2" spans="1:5" x14ac:dyDescent="0.25">
      <c r="A2" s="103" t="s">
        <v>622</v>
      </c>
      <c r="B2" s="168">
        <v>1.94</v>
      </c>
      <c r="C2" s="168">
        <v>2.15</v>
      </c>
      <c r="D2" s="97">
        <v>5</v>
      </c>
      <c r="E2" s="169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1.94</v>
      </c>
      <c r="B4" s="100">
        <v>6.1853306114693138</v>
      </c>
      <c r="C4" s="101">
        <v>2.0157154758991935</v>
      </c>
      <c r="D4" s="101">
        <v>8.6099449918036336E-2</v>
      </c>
    </row>
    <row r="5" spans="1:5" x14ac:dyDescent="0.25">
      <c r="A5" s="101">
        <v>1.982</v>
      </c>
      <c r="B5" s="100">
        <v>5.5750650026163386</v>
      </c>
      <c r="C5" s="100"/>
      <c r="D5" s="100"/>
    </row>
    <row r="6" spans="1:5" x14ac:dyDescent="0.25">
      <c r="A6" s="101">
        <v>2.024</v>
      </c>
      <c r="B6" s="100">
        <v>5.4270605572356843</v>
      </c>
      <c r="C6" s="100"/>
      <c r="D6" s="100"/>
    </row>
    <row r="7" spans="1:5" x14ac:dyDescent="0.25">
      <c r="A7" s="101">
        <v>2.0659999999999998</v>
      </c>
      <c r="B7" s="100">
        <v>5.7533606037261356</v>
      </c>
      <c r="C7" s="100"/>
      <c r="D7" s="100"/>
    </row>
    <row r="8" spans="1:5" x14ac:dyDescent="0.25">
      <c r="A8" s="101">
        <v>2.1080000000000001</v>
      </c>
      <c r="B8" s="100">
        <v>6.5609894665020896</v>
      </c>
      <c r="C8" s="100"/>
      <c r="D8" s="100"/>
    </row>
    <row r="9" spans="1:5" x14ac:dyDescent="0.25">
      <c r="A9" s="101">
        <v>2.15</v>
      </c>
      <c r="B9" s="100">
        <v>7.85133157284832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06" t="s">
        <v>531</v>
      </c>
      <c r="C1" s="106" t="s">
        <v>532</v>
      </c>
      <c r="D1" s="96" t="s">
        <v>533</v>
      </c>
      <c r="E1" s="169" t="s">
        <v>534</v>
      </c>
    </row>
    <row r="2" spans="1:5" x14ac:dyDescent="0.25">
      <c r="A2" s="103" t="s">
        <v>546</v>
      </c>
      <c r="B2" s="121">
        <v>26</v>
      </c>
      <c r="C2" s="121">
        <v>66</v>
      </c>
      <c r="D2" s="97">
        <v>5</v>
      </c>
      <c r="E2" s="169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26</v>
      </c>
      <c r="B4" s="99">
        <v>6.7727610181712716</v>
      </c>
      <c r="C4" s="122">
        <v>40.982374919254951</v>
      </c>
      <c r="D4" s="122">
        <v>13.381925548403698</v>
      </c>
    </row>
    <row r="5" spans="1:5" x14ac:dyDescent="0.25">
      <c r="A5" s="122">
        <v>34</v>
      </c>
      <c r="B5" s="99">
        <v>5.6438298074035647</v>
      </c>
      <c r="C5" s="100"/>
      <c r="D5" s="100"/>
    </row>
    <row r="6" spans="1:5" x14ac:dyDescent="0.25">
      <c r="A6" s="122">
        <v>42</v>
      </c>
      <c r="B6" s="99">
        <v>5.3794207396903131</v>
      </c>
      <c r="C6" s="100"/>
      <c r="D6" s="100"/>
    </row>
    <row r="7" spans="1:5" x14ac:dyDescent="0.25">
      <c r="A7" s="122">
        <v>50</v>
      </c>
      <c r="B7" s="99">
        <v>5.9642426214863349</v>
      </c>
      <c r="C7" s="100"/>
      <c r="D7" s="100"/>
    </row>
    <row r="8" spans="1:5" x14ac:dyDescent="0.25">
      <c r="A8" s="122">
        <v>58</v>
      </c>
      <c r="B8" s="99">
        <v>7.1832199723925489</v>
      </c>
      <c r="C8" s="100"/>
      <c r="D8" s="100"/>
    </row>
    <row r="9" spans="1:5" x14ac:dyDescent="0.25">
      <c r="A9" s="122">
        <v>66</v>
      </c>
      <c r="B9" s="99">
        <v>8.870350934208119</v>
      </c>
      <c r="C9" s="100"/>
      <c r="D9" s="100"/>
    </row>
    <row r="10" spans="1:5" x14ac:dyDescent="0.25">
      <c r="A10" s="122"/>
      <c r="B10" s="99"/>
      <c r="C10" s="100"/>
      <c r="D10" s="100"/>
    </row>
    <row r="11" spans="1:5" x14ac:dyDescent="0.25">
      <c r="A11" s="122"/>
      <c r="B11" s="99"/>
      <c r="C11" s="100"/>
      <c r="D11" s="100"/>
    </row>
    <row r="12" spans="1:5" x14ac:dyDescent="0.25">
      <c r="A12" s="122"/>
      <c r="B12" s="99"/>
      <c r="C12" s="100"/>
      <c r="D12" s="100"/>
    </row>
    <row r="13" spans="1:5" x14ac:dyDescent="0.25">
      <c r="A13" s="122"/>
      <c r="B13" s="99"/>
      <c r="C13" s="100"/>
      <c r="D13" s="100"/>
    </row>
    <row r="14" spans="1:5" x14ac:dyDescent="0.25">
      <c r="A14" s="122"/>
      <c r="B14" s="99"/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1B2C-9609-4214-B8A7-26D6E6366B48}">
  <sheetPr codeName="Sheet23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375" bestFit="1" customWidth="1"/>
    <col min="4" max="4" width="8.25" bestFit="1" customWidth="1"/>
  </cols>
  <sheetData>
    <row r="1" spans="1:5" ht="17.25" x14ac:dyDescent="0.25">
      <c r="A1" s="102" t="s">
        <v>530</v>
      </c>
      <c r="B1" s="169" t="s">
        <v>531</v>
      </c>
      <c r="C1" s="169" t="s">
        <v>532</v>
      </c>
      <c r="D1" s="96" t="s">
        <v>533</v>
      </c>
      <c r="E1" s="169" t="s">
        <v>534</v>
      </c>
    </row>
    <row r="2" spans="1:5" x14ac:dyDescent="0.25">
      <c r="A2" s="103" t="s">
        <v>632</v>
      </c>
      <c r="B2" s="168">
        <v>0.01</v>
      </c>
      <c r="C2" s="168">
        <v>0.09</v>
      </c>
      <c r="D2" s="97">
        <v>5</v>
      </c>
      <c r="E2" s="169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0.01</v>
      </c>
      <c r="B4" s="100">
        <v>6.0704409398083419</v>
      </c>
      <c r="C4" s="101">
        <v>4.0594583992840202E-2</v>
      </c>
      <c r="D4" s="101">
        <v>3.2806819935232413E-2</v>
      </c>
    </row>
    <row r="5" spans="1:5" x14ac:dyDescent="0.25">
      <c r="A5" s="101">
        <v>2.6000000000000002E-2</v>
      </c>
      <c r="B5" s="100">
        <v>5.7094630240027664</v>
      </c>
      <c r="C5" s="100"/>
      <c r="D5" s="100"/>
    </row>
    <row r="6" spans="1:5" x14ac:dyDescent="0.25">
      <c r="A6" s="101">
        <v>4.2000000000000003E-2</v>
      </c>
      <c r="B6" s="100">
        <v>5.3882848233373943</v>
      </c>
      <c r="C6" s="100"/>
      <c r="D6" s="100"/>
    </row>
    <row r="7" spans="1:5" x14ac:dyDescent="0.25">
      <c r="A7" s="101">
        <v>5.8000000000000003E-2</v>
      </c>
      <c r="B7" s="100">
        <v>5.49186628572535</v>
      </c>
      <c r="C7" s="100"/>
      <c r="D7" s="100"/>
    </row>
    <row r="8" spans="1:5" x14ac:dyDescent="0.25">
      <c r="A8" s="101">
        <v>7.3999999999999996E-2</v>
      </c>
      <c r="B8" s="100">
        <v>6.2416743003976283</v>
      </c>
      <c r="C8" s="100"/>
      <c r="D8" s="100"/>
    </row>
    <row r="9" spans="1:5" x14ac:dyDescent="0.25">
      <c r="A9" s="101">
        <v>0.09</v>
      </c>
      <c r="B9" s="100">
        <v>7.6878797943500796</v>
      </c>
      <c r="C9" s="100"/>
      <c r="D9" s="100"/>
    </row>
    <row r="10" spans="1:5" x14ac:dyDescent="0.25">
      <c r="A10" s="100"/>
      <c r="B10" s="100"/>
      <c r="C10" s="100"/>
      <c r="D10" s="100"/>
    </row>
    <row r="11" spans="1:5" x14ac:dyDescent="0.25">
      <c r="A11" s="100"/>
      <c r="B11" s="100"/>
      <c r="C11" s="100"/>
      <c r="D11" s="100"/>
    </row>
    <row r="12" spans="1:5" x14ac:dyDescent="0.25">
      <c r="A12" s="100"/>
      <c r="B12" s="100"/>
      <c r="C12" s="100"/>
      <c r="D12" s="100"/>
    </row>
    <row r="13" spans="1:5" x14ac:dyDescent="0.25">
      <c r="A13" s="100"/>
      <c r="B13" s="100"/>
      <c r="C13" s="100"/>
      <c r="D13" s="100"/>
    </row>
    <row r="14" spans="1:5" x14ac:dyDescent="0.25">
      <c r="A14" s="100"/>
      <c r="B14" s="100"/>
      <c r="C14" s="100"/>
      <c r="D14" s="100"/>
    </row>
    <row r="15" spans="1:5" x14ac:dyDescent="0.25">
      <c r="A15" s="100"/>
      <c r="B15" s="100"/>
      <c r="C15" s="100"/>
      <c r="D15" s="100"/>
    </row>
    <row r="16" spans="1:5" x14ac:dyDescent="0.25">
      <c r="A16" s="100"/>
      <c r="B16" s="100"/>
      <c r="C16" s="100"/>
      <c r="D16" s="100"/>
    </row>
    <row r="17" spans="1:4" x14ac:dyDescent="0.25">
      <c r="A17" s="100"/>
      <c r="B17" s="100"/>
      <c r="C17" s="100"/>
      <c r="D17" s="100"/>
    </row>
    <row r="18" spans="1:4" x14ac:dyDescent="0.25">
      <c r="A18" s="100"/>
      <c r="B18" s="100"/>
      <c r="C18" s="100"/>
      <c r="D18" s="100"/>
    </row>
    <row r="19" spans="1:4" x14ac:dyDescent="0.25">
      <c r="A19" s="100"/>
      <c r="B19" s="100"/>
      <c r="C19" s="100"/>
      <c r="D19" s="100"/>
    </row>
    <row r="20" spans="1:4" x14ac:dyDescent="0.25">
      <c r="A20" s="100"/>
      <c r="B20" s="100"/>
      <c r="C20" s="100"/>
      <c r="D20" s="100"/>
    </row>
    <row r="21" spans="1:4" x14ac:dyDescent="0.25">
      <c r="A21" s="100"/>
      <c r="B21" s="100"/>
      <c r="C21" s="100"/>
      <c r="D21" s="100"/>
    </row>
    <row r="22" spans="1:4" x14ac:dyDescent="0.25">
      <c r="A22" s="100"/>
      <c r="B22" s="100"/>
      <c r="C22" s="100"/>
      <c r="D22" s="100"/>
    </row>
    <row r="23" spans="1:4" x14ac:dyDescent="0.25">
      <c r="A23" s="100"/>
      <c r="B23" s="100"/>
      <c r="C23" s="100"/>
      <c r="D23" s="100"/>
    </row>
    <row r="24" spans="1:4" x14ac:dyDescent="0.25">
      <c r="A24" s="100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53" t="s">
        <v>531</v>
      </c>
      <c r="C1" s="153" t="s">
        <v>532</v>
      </c>
      <c r="D1" s="96" t="s">
        <v>533</v>
      </c>
      <c r="E1" s="169" t="s">
        <v>534</v>
      </c>
    </row>
    <row r="2" spans="1:5" x14ac:dyDescent="0.25">
      <c r="A2" s="103" t="s">
        <v>606</v>
      </c>
      <c r="B2" s="121">
        <v>10</v>
      </c>
      <c r="C2" s="121">
        <v>30</v>
      </c>
      <c r="D2" s="97">
        <v>10</v>
      </c>
      <c r="E2" s="169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10</v>
      </c>
      <c r="B4" s="100">
        <v>8.2363374601145569</v>
      </c>
      <c r="C4" s="122">
        <v>24.263902114767813</v>
      </c>
      <c r="D4" s="122">
        <v>6.5157394959726735</v>
      </c>
    </row>
    <row r="5" spans="1:5" x14ac:dyDescent="0.25">
      <c r="A5" s="122">
        <v>12</v>
      </c>
      <c r="B5" s="100">
        <v>7.200202313692265</v>
      </c>
      <c r="C5" s="100"/>
      <c r="D5" s="100"/>
    </row>
    <row r="6" spans="1:5" x14ac:dyDescent="0.25">
      <c r="A6" s="122">
        <v>14</v>
      </c>
      <c r="B6" s="100">
        <v>6.1896119292071328</v>
      </c>
      <c r="C6" s="100"/>
      <c r="D6" s="100"/>
    </row>
    <row r="7" spans="1:5" x14ac:dyDescent="0.25">
      <c r="A7" s="122">
        <v>16</v>
      </c>
      <c r="B7" s="100">
        <v>5.2795520114596073</v>
      </c>
      <c r="C7" s="100"/>
      <c r="D7" s="100"/>
    </row>
    <row r="8" spans="1:5" x14ac:dyDescent="0.25">
      <c r="A8" s="122">
        <v>18</v>
      </c>
      <c r="B8" s="100">
        <v>4.5274990978782874</v>
      </c>
      <c r="C8" s="100"/>
      <c r="D8" s="100"/>
    </row>
    <row r="9" spans="1:5" x14ac:dyDescent="0.25">
      <c r="A9" s="122">
        <v>20</v>
      </c>
      <c r="B9" s="100">
        <v>3.9723427037025005</v>
      </c>
      <c r="C9" s="100"/>
      <c r="D9" s="100"/>
    </row>
    <row r="10" spans="1:5" x14ac:dyDescent="0.25">
      <c r="A10" s="122">
        <v>22</v>
      </c>
      <c r="B10" s="100">
        <v>3.6360371492242995</v>
      </c>
      <c r="C10" s="100"/>
      <c r="D10" s="100"/>
    </row>
    <row r="11" spans="1:5" x14ac:dyDescent="0.25">
      <c r="A11" s="122">
        <v>24</v>
      </c>
      <c r="B11" s="100">
        <v>3.5260123110429795</v>
      </c>
      <c r="C11" s="100"/>
      <c r="D11" s="100"/>
    </row>
    <row r="12" spans="1:5" x14ac:dyDescent="0.25">
      <c r="A12" s="122">
        <v>26</v>
      </c>
      <c r="B12" s="100">
        <v>3.6375474261246681</v>
      </c>
      <c r="C12" s="100"/>
      <c r="D12" s="100"/>
    </row>
    <row r="13" spans="1:5" x14ac:dyDescent="0.25">
      <c r="A13" s="122">
        <v>28</v>
      </c>
      <c r="B13" s="100">
        <v>3.9317974819143138</v>
      </c>
      <c r="C13" s="100"/>
      <c r="D13" s="100"/>
    </row>
    <row r="14" spans="1:5" x14ac:dyDescent="0.25">
      <c r="A14" s="122">
        <v>30</v>
      </c>
      <c r="B14" s="100">
        <v>4.4238358082915585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1570-C50F-452E-89DC-A46B4C00A14B}">
  <sheetPr codeName="Sheet15"/>
  <dimension ref="A1:E357"/>
  <sheetViews>
    <sheetView workbookViewId="0">
      <selection activeCell="E1" sqref="E1: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35" t="s">
        <v>531</v>
      </c>
      <c r="C1" s="135" t="s">
        <v>532</v>
      </c>
      <c r="D1" s="96" t="s">
        <v>533</v>
      </c>
      <c r="E1" s="169" t="s">
        <v>534</v>
      </c>
    </row>
    <row r="2" spans="1:5" x14ac:dyDescent="0.25">
      <c r="A2" s="103" t="s">
        <v>599</v>
      </c>
      <c r="B2" s="121">
        <v>65</v>
      </c>
      <c r="C2" s="121">
        <v>170</v>
      </c>
      <c r="D2" s="97">
        <v>10</v>
      </c>
      <c r="E2" s="169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65</v>
      </c>
      <c r="B4" s="99">
        <v>9.192625876010192</v>
      </c>
      <c r="C4" s="122">
        <v>190.70110198607358</v>
      </c>
      <c r="D4" s="122">
        <v>153.36797565042838</v>
      </c>
    </row>
    <row r="5" spans="1:5" x14ac:dyDescent="0.25">
      <c r="A5" s="122">
        <v>75.5</v>
      </c>
      <c r="B5" s="99">
        <v>9.0851656327756647</v>
      </c>
      <c r="C5" s="100"/>
      <c r="D5" s="100"/>
    </row>
    <row r="6" spans="1:5" x14ac:dyDescent="0.25">
      <c r="A6" s="122">
        <v>86</v>
      </c>
      <c r="B6" s="99">
        <v>8.983453020933462</v>
      </c>
      <c r="C6" s="100"/>
      <c r="D6" s="100"/>
    </row>
    <row r="7" spans="1:5" x14ac:dyDescent="0.25">
      <c r="A7" s="122">
        <v>96.5</v>
      </c>
      <c r="B7" s="99">
        <v>8.8917527556596685</v>
      </c>
      <c r="C7" s="100"/>
      <c r="D7" s="100"/>
    </row>
    <row r="8" spans="1:5" x14ac:dyDescent="0.25">
      <c r="A8" s="122">
        <v>107</v>
      </c>
      <c r="B8" s="99">
        <v>8.8120699435184182</v>
      </c>
      <c r="C8" s="100"/>
      <c r="D8" s="100"/>
    </row>
    <row r="9" spans="1:5" x14ac:dyDescent="0.25">
      <c r="A9" s="122">
        <v>117.5</v>
      </c>
      <c r="B9" s="99">
        <v>8.7444088070338406</v>
      </c>
      <c r="C9" s="100"/>
      <c r="D9" s="100"/>
    </row>
    <row r="10" spans="1:5" x14ac:dyDescent="0.25">
      <c r="A10" s="122">
        <v>128</v>
      </c>
      <c r="B10" s="99">
        <v>8.6874461989703153</v>
      </c>
      <c r="C10" s="100"/>
      <c r="D10" s="100"/>
    </row>
    <row r="11" spans="1:5" x14ac:dyDescent="0.25">
      <c r="A11" s="122">
        <v>138.5</v>
      </c>
      <c r="B11" s="99">
        <v>8.6393149382053647</v>
      </c>
      <c r="C11" s="100"/>
      <c r="D11" s="100"/>
    </row>
    <row r="12" spans="1:5" x14ac:dyDescent="0.25">
      <c r="A12" s="122">
        <v>149</v>
      </c>
      <c r="B12" s="99">
        <v>8.5980875897176787</v>
      </c>
      <c r="C12" s="100"/>
      <c r="D12" s="100"/>
    </row>
    <row r="13" spans="1:5" x14ac:dyDescent="0.25">
      <c r="A13" s="122">
        <v>159.5</v>
      </c>
      <c r="B13" s="99">
        <v>8.5621160549168689</v>
      </c>
      <c r="C13" s="100"/>
      <c r="D13" s="100"/>
    </row>
    <row r="14" spans="1:5" x14ac:dyDescent="0.25">
      <c r="A14" s="122">
        <v>170</v>
      </c>
      <c r="B14" s="99">
        <v>8.5304120024779859</v>
      </c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22.1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547</v>
      </c>
      <c r="B1" s="1" t="s">
        <v>548</v>
      </c>
      <c r="C1" s="1" t="s">
        <v>549</v>
      </c>
      <c r="D1" s="91" t="s">
        <v>550</v>
      </c>
      <c r="E1" s="91">
        <v>103062</v>
      </c>
      <c r="F1" s="91"/>
      <c r="G1" s="91"/>
      <c r="H1" s="91"/>
      <c r="I1" s="91"/>
      <c r="J1" s="91"/>
      <c r="K1" s="91"/>
      <c r="L1" s="91"/>
      <c r="M1" s="9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547</v>
      </c>
      <c r="B2" s="1" t="s">
        <v>550</v>
      </c>
      <c r="C2" s="1" t="s">
        <v>551</v>
      </c>
      <c r="D2" s="1" t="s">
        <v>552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547</v>
      </c>
      <c r="B3" s="1" t="s">
        <v>550</v>
      </c>
      <c r="C3" s="1" t="s">
        <v>553</v>
      </c>
      <c r="D3" s="1" t="s">
        <v>554</v>
      </c>
      <c r="E3" s="1" t="s">
        <v>555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547</v>
      </c>
      <c r="B4" s="1" t="s">
        <v>556</v>
      </c>
      <c r="C4" s="1" t="s">
        <v>554</v>
      </c>
      <c r="D4" s="1" t="s">
        <v>557</v>
      </c>
      <c r="E4" s="1" t="s">
        <v>558</v>
      </c>
      <c r="F4" s="1">
        <v>22</v>
      </c>
      <c r="G4" s="137">
        <v>0.47262731481481479</v>
      </c>
      <c r="H4" s="1">
        <v>2017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547</v>
      </c>
      <c r="B5" s="1" t="s">
        <v>559</v>
      </c>
      <c r="C5" s="1" t="s">
        <v>560</v>
      </c>
      <c r="D5" s="1" t="s">
        <v>561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547</v>
      </c>
      <c r="B6" s="1" t="s">
        <v>562</v>
      </c>
      <c r="C6" s="1" t="s">
        <v>563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547</v>
      </c>
      <c r="B7" s="1" t="s">
        <v>564</v>
      </c>
      <c r="C7" s="1" t="s">
        <v>565</v>
      </c>
      <c r="D7" s="1" t="s">
        <v>566</v>
      </c>
      <c r="E7" s="1" t="s">
        <v>567</v>
      </c>
      <c r="F7" s="1" t="s">
        <v>568</v>
      </c>
      <c r="G7" s="1" t="s">
        <v>569</v>
      </c>
      <c r="H7" s="1" t="s">
        <v>570</v>
      </c>
      <c r="I7" s="1" t="s">
        <v>571</v>
      </c>
      <c r="J7" s="1" t="s">
        <v>572</v>
      </c>
      <c r="K7" s="1" t="s">
        <v>573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547</v>
      </c>
      <c r="B8" s="1">
        <v>103062</v>
      </c>
      <c r="C8" s="1">
        <v>103080</v>
      </c>
      <c r="D8" s="1">
        <v>1.21539</v>
      </c>
      <c r="E8" s="1">
        <v>13.393000000000001</v>
      </c>
      <c r="F8" s="1">
        <v>16.606999999999999</v>
      </c>
      <c r="G8" s="1">
        <v>8.0000000000000002E-3</v>
      </c>
      <c r="H8" s="1">
        <v>9.9000000000000008E-3</v>
      </c>
      <c r="I8" s="1">
        <v>1</v>
      </c>
      <c r="J8" s="1">
        <v>0</v>
      </c>
      <c r="K8" s="1">
        <v>0.81879999999999997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547</v>
      </c>
      <c r="B9" s="1">
        <v>103063</v>
      </c>
      <c r="C9" s="1">
        <v>103081</v>
      </c>
      <c r="D9" s="1">
        <v>1.21539</v>
      </c>
      <c r="E9" s="1">
        <v>11.589700000000001</v>
      </c>
      <c r="F9" s="1">
        <v>14.8764</v>
      </c>
      <c r="G9" s="1">
        <v>8.8999999999999999E-3</v>
      </c>
      <c r="H9" s="1">
        <v>1.14E-2</v>
      </c>
      <c r="I9" s="1">
        <v>1</v>
      </c>
      <c r="J9" s="1">
        <v>0</v>
      </c>
      <c r="K9" s="1">
        <v>0.88800000000000001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547</v>
      </c>
      <c r="B10" s="1">
        <v>103064</v>
      </c>
      <c r="C10" s="1">
        <v>103082</v>
      </c>
      <c r="D10" s="1">
        <v>1.21539</v>
      </c>
      <c r="E10" s="1">
        <v>9.4034999999999993</v>
      </c>
      <c r="F10" s="1">
        <v>12.6793</v>
      </c>
      <c r="G10" s="1">
        <v>1.0500000000000001E-2</v>
      </c>
      <c r="H10" s="1">
        <v>1.41E-2</v>
      </c>
      <c r="I10" s="1">
        <v>1</v>
      </c>
      <c r="J10" s="1">
        <v>0</v>
      </c>
      <c r="K10" s="1">
        <v>0.95250000000000001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547</v>
      </c>
      <c r="B11" s="1">
        <v>103065</v>
      </c>
      <c r="C11" s="1">
        <v>103083</v>
      </c>
      <c r="D11" s="1">
        <v>1.21539</v>
      </c>
      <c r="E11" s="1">
        <v>7.1623999999999999</v>
      </c>
      <c r="F11" s="1">
        <v>10.474600000000001</v>
      </c>
      <c r="G11" s="1">
        <v>1.2699999999999999E-2</v>
      </c>
      <c r="H11" s="1">
        <v>1.8599999999999998E-2</v>
      </c>
      <c r="I11" s="1">
        <v>2.3494000000000002</v>
      </c>
      <c r="J11" s="1">
        <v>-3.2250000000000001</v>
      </c>
      <c r="K11" s="1">
        <v>0.96160000000000001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547</v>
      </c>
      <c r="B12" s="1">
        <v>103066</v>
      </c>
      <c r="C12" s="1">
        <v>103084</v>
      </c>
      <c r="D12" s="1">
        <v>1.21539</v>
      </c>
      <c r="E12" s="1">
        <v>4.9265999999999996</v>
      </c>
      <c r="F12" s="1">
        <v>8.2650400000000008</v>
      </c>
      <c r="G12" s="1">
        <v>1.61E-2</v>
      </c>
      <c r="H12" s="1">
        <v>2.7E-2</v>
      </c>
      <c r="I12" s="1">
        <v>8.0787999999999993</v>
      </c>
      <c r="J12" s="1">
        <v>-4.2060000000000004</v>
      </c>
      <c r="K12" s="1">
        <v>0.9849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547</v>
      </c>
      <c r="B13" s="1">
        <v>103067</v>
      </c>
      <c r="C13" s="1">
        <v>103085</v>
      </c>
      <c r="D13" s="1">
        <v>1.21539</v>
      </c>
      <c r="E13" s="1">
        <v>2.6865600000000001</v>
      </c>
      <c r="F13" s="1">
        <v>5.9732599999999998</v>
      </c>
      <c r="G13" s="1">
        <v>2.23E-2</v>
      </c>
      <c r="H13" s="1">
        <v>4.9599999999999998E-2</v>
      </c>
      <c r="I13" s="1">
        <v>16.231999999999999</v>
      </c>
      <c r="J13" s="1">
        <v>1E-4</v>
      </c>
      <c r="K13" s="1">
        <v>0.96950000000000003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547</v>
      </c>
      <c r="B14" s="1">
        <v>103068</v>
      </c>
      <c r="C14" s="1">
        <v>103086</v>
      </c>
      <c r="D14" s="1">
        <v>2.2551700000000001</v>
      </c>
      <c r="E14" s="1">
        <v>2.6343000000000001</v>
      </c>
      <c r="F14" s="1">
        <v>5.80267</v>
      </c>
      <c r="G14" s="1">
        <v>4.2599999999999999E-2</v>
      </c>
      <c r="H14" s="1">
        <v>9.3799999999999994E-2</v>
      </c>
      <c r="I14" s="1">
        <v>39.201999999999998</v>
      </c>
      <c r="J14" s="1">
        <v>1E-4</v>
      </c>
      <c r="K14" s="1">
        <v>0.88300000000000001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547</v>
      </c>
      <c r="B15" s="1">
        <v>103069</v>
      </c>
      <c r="C15" s="1">
        <v>103086</v>
      </c>
      <c r="D15" s="1">
        <v>3.9556499999999999</v>
      </c>
      <c r="E15" s="1">
        <v>2.6343000000000001</v>
      </c>
      <c r="F15" s="1">
        <v>5.80267</v>
      </c>
      <c r="G15" s="1">
        <v>7.4700000000000003E-2</v>
      </c>
      <c r="H15" s="1">
        <v>0.1646</v>
      </c>
      <c r="I15" s="1">
        <v>135.24</v>
      </c>
      <c r="J15" s="1">
        <v>1E-4</v>
      </c>
      <c r="K15" s="1">
        <v>0.86560000000000004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547</v>
      </c>
      <c r="B17" s="1" t="s">
        <v>547</v>
      </c>
      <c r="C17" s="1" t="s">
        <v>574</v>
      </c>
      <c r="D17" s="1" t="s">
        <v>575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547</v>
      </c>
      <c r="B18" s="1" t="s">
        <v>547</v>
      </c>
      <c r="C18" s="1" t="s">
        <v>556</v>
      </c>
      <c r="D18" s="1" t="s">
        <v>576</v>
      </c>
      <c r="E18" s="1" t="s">
        <v>577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547</v>
      </c>
      <c r="B19" s="1" t="s">
        <v>547</v>
      </c>
      <c r="C19" s="1" t="s">
        <v>556</v>
      </c>
      <c r="D19" s="1" t="s">
        <v>578</v>
      </c>
      <c r="E19" s="1" t="s">
        <v>579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547</v>
      </c>
      <c r="B20" s="1" t="s">
        <v>547</v>
      </c>
      <c r="C20" s="1" t="s">
        <v>547</v>
      </c>
      <c r="D20" s="1" t="s">
        <v>574</v>
      </c>
      <c r="E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547</v>
      </c>
      <c r="B21" s="1" t="s">
        <v>547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547</v>
      </c>
      <c r="B22" s="1" t="s">
        <v>547</v>
      </c>
      <c r="C22" s="1" t="s">
        <v>564</v>
      </c>
      <c r="D22" s="1" t="s">
        <v>565</v>
      </c>
      <c r="E22" s="1" t="s">
        <v>580</v>
      </c>
      <c r="F22" s="1" t="s">
        <v>567</v>
      </c>
      <c r="G22" s="1" t="s">
        <v>568</v>
      </c>
      <c r="H22" s="1" t="s">
        <v>569</v>
      </c>
      <c r="I22" s="1" t="s">
        <v>570</v>
      </c>
      <c r="J22" s="1" t="s">
        <v>581</v>
      </c>
      <c r="K22" s="1" t="s">
        <v>582</v>
      </c>
      <c r="L22" s="1" t="s">
        <v>583</v>
      </c>
      <c r="M22" s="1" t="s">
        <v>584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547</v>
      </c>
      <c r="B23" s="1" t="s">
        <v>547</v>
      </c>
      <c r="C23" s="1">
        <v>103062</v>
      </c>
      <c r="D23" s="1">
        <v>103080</v>
      </c>
      <c r="E23" s="1">
        <v>1.2</v>
      </c>
      <c r="F23" s="1">
        <v>13.39</v>
      </c>
      <c r="G23" s="1">
        <v>16.61</v>
      </c>
      <c r="H23" s="1">
        <v>7.9000000000000008E-3</v>
      </c>
      <c r="I23" s="1">
        <v>9.7999999999999997E-3</v>
      </c>
      <c r="J23" s="1">
        <v>1</v>
      </c>
      <c r="K23" s="1">
        <v>5783</v>
      </c>
      <c r="L23" s="1">
        <v>1848.2968189999999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547</v>
      </c>
      <c r="B24" s="1" t="s">
        <v>547</v>
      </c>
      <c r="C24" s="1">
        <v>103063</v>
      </c>
      <c r="D24" s="1">
        <v>103081</v>
      </c>
      <c r="E24" s="1">
        <v>1.2</v>
      </c>
      <c r="F24" s="1">
        <v>11.59</v>
      </c>
      <c r="G24" s="1">
        <v>14.88</v>
      </c>
      <c r="H24" s="1">
        <v>8.8000000000000005E-3</v>
      </c>
      <c r="I24" s="1">
        <v>1.1299999999999999E-2</v>
      </c>
      <c r="J24" s="1">
        <v>1</v>
      </c>
      <c r="K24" s="1">
        <v>6014</v>
      </c>
      <c r="L24" s="1">
        <v>849.16990699999997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547</v>
      </c>
      <c r="B25" s="1" t="s">
        <v>547</v>
      </c>
      <c r="C25" s="1">
        <v>103064</v>
      </c>
      <c r="D25" s="1">
        <v>103082</v>
      </c>
      <c r="E25" s="1">
        <v>1.2</v>
      </c>
      <c r="F25" s="1">
        <v>9.4</v>
      </c>
      <c r="G25" s="1">
        <v>12.68</v>
      </c>
      <c r="H25" s="1">
        <v>1.04E-2</v>
      </c>
      <c r="I25" s="1">
        <v>1.4E-2</v>
      </c>
      <c r="J25" s="1">
        <v>1</v>
      </c>
      <c r="K25" s="1">
        <v>6043</v>
      </c>
      <c r="L25" s="1">
        <v>407.90472999999997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547</v>
      </c>
      <c r="B26" s="1" t="s">
        <v>547</v>
      </c>
      <c r="C26" s="1">
        <v>103065</v>
      </c>
      <c r="D26" s="1">
        <v>103083</v>
      </c>
      <c r="E26" s="1">
        <v>1.2</v>
      </c>
      <c r="F26" s="1">
        <v>7.16</v>
      </c>
      <c r="G26" s="1">
        <v>10.47</v>
      </c>
      <c r="H26" s="1">
        <v>1.26E-2</v>
      </c>
      <c r="I26" s="1">
        <v>1.84E-2</v>
      </c>
      <c r="J26" s="1">
        <v>1</v>
      </c>
      <c r="K26" s="1">
        <v>6055</v>
      </c>
      <c r="L26" s="1">
        <v>270.96279399999997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547</v>
      </c>
      <c r="B27" s="1" t="s">
        <v>547</v>
      </c>
      <c r="C27" s="1">
        <v>103066</v>
      </c>
      <c r="D27" s="1">
        <v>103084</v>
      </c>
      <c r="E27" s="1">
        <v>1.2</v>
      </c>
      <c r="F27" s="1">
        <v>4.93</v>
      </c>
      <c r="G27" s="1">
        <v>8.26</v>
      </c>
      <c r="H27" s="1">
        <v>1.5900000000000001E-2</v>
      </c>
      <c r="I27" s="1">
        <v>2.6700000000000002E-2</v>
      </c>
      <c r="J27" s="1">
        <v>1</v>
      </c>
      <c r="K27" s="1">
        <v>6302</v>
      </c>
      <c r="L27" s="1">
        <v>53.400236999999997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547</v>
      </c>
      <c r="B28" s="1" t="s">
        <v>547</v>
      </c>
      <c r="C28" s="1">
        <v>103067</v>
      </c>
      <c r="D28" s="1">
        <v>103085</v>
      </c>
      <c r="E28" s="1">
        <v>1.2</v>
      </c>
      <c r="F28" s="1">
        <v>2.69</v>
      </c>
      <c r="G28" s="1">
        <v>5.97</v>
      </c>
      <c r="H28" s="1">
        <v>2.1999999999999999E-2</v>
      </c>
      <c r="I28" s="1">
        <v>4.8899999999999999E-2</v>
      </c>
      <c r="J28" s="1">
        <v>1</v>
      </c>
      <c r="K28" s="1">
        <v>18143</v>
      </c>
      <c r="L28" s="1">
        <v>221.90966800000001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547</v>
      </c>
      <c r="B29" s="1" t="s">
        <v>547</v>
      </c>
      <c r="C29" s="1">
        <v>103068</v>
      </c>
      <c r="D29" s="1">
        <v>103086</v>
      </c>
      <c r="E29" s="1">
        <v>2.2400000000000002</v>
      </c>
      <c r="F29" s="1">
        <v>2.63</v>
      </c>
      <c r="G29" s="1">
        <v>5.8</v>
      </c>
      <c r="H29" s="1">
        <v>4.2299999999999997E-2</v>
      </c>
      <c r="I29" s="1">
        <v>9.3399999999999997E-2</v>
      </c>
      <c r="J29" s="1">
        <v>1</v>
      </c>
      <c r="K29" s="1">
        <v>18040</v>
      </c>
      <c r="L29" s="1">
        <v>1071.99856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547</v>
      </c>
      <c r="B30" s="1" t="s">
        <v>547</v>
      </c>
      <c r="C30" s="1">
        <v>103069</v>
      </c>
      <c r="D30" s="1">
        <v>103086</v>
      </c>
      <c r="E30" s="1">
        <v>3.94</v>
      </c>
      <c r="F30" s="1">
        <v>2.63</v>
      </c>
      <c r="G30" s="1">
        <v>5.8</v>
      </c>
      <c r="H30" s="1">
        <v>7.4499999999999997E-2</v>
      </c>
      <c r="I30" s="1">
        <v>0.16420000000000001</v>
      </c>
      <c r="J30" s="1">
        <v>1</v>
      </c>
      <c r="K30" s="1">
        <v>18053</v>
      </c>
      <c r="L30" s="1">
        <v>930.87630999999999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547</v>
      </c>
      <c r="B31" s="1" t="s">
        <v>547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547</v>
      </c>
      <c r="B32" s="1" t="s">
        <v>547</v>
      </c>
      <c r="C32" s="1" t="s">
        <v>585</v>
      </c>
      <c r="D32" s="91" t="s">
        <v>586</v>
      </c>
      <c r="E32" s="91" t="s">
        <v>587</v>
      </c>
      <c r="F32" s="91"/>
      <c r="G32" s="91"/>
      <c r="H32" s="91"/>
      <c r="I32" s="91"/>
      <c r="J32" s="91"/>
      <c r="K32" s="91"/>
      <c r="L32" s="91"/>
      <c r="M32" s="9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547</v>
      </c>
      <c r="B33" s="1" t="s">
        <v>547</v>
      </c>
      <c r="C33" s="1" t="s">
        <v>588</v>
      </c>
      <c r="D33" s="1">
        <v>97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547</v>
      </c>
      <c r="B34" s="1" t="s">
        <v>547</v>
      </c>
      <c r="C34" s="1" t="s">
        <v>589</v>
      </c>
      <c r="D34" s="1">
        <v>146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547</v>
      </c>
      <c r="B35" s="1" t="s">
        <v>547</v>
      </c>
      <c r="C35" s="1" t="s">
        <v>590</v>
      </c>
      <c r="D35" s="1">
        <v>4.0000000000000002E-4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547</v>
      </c>
      <c r="B36" s="1" t="s">
        <v>547</v>
      </c>
      <c r="C36" s="1" t="s">
        <v>591</v>
      </c>
      <c r="D36" s="1">
        <v>2.3E-2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547</v>
      </c>
      <c r="B37" s="1" t="s">
        <v>547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547</v>
      </c>
      <c r="B38" s="1" t="s">
        <v>547</v>
      </c>
      <c r="C38" s="1" t="s">
        <v>592</v>
      </c>
      <c r="D38" s="1" t="s">
        <v>0</v>
      </c>
      <c r="E38" s="1" t="s">
        <v>593</v>
      </c>
      <c r="F38" s="1" t="s">
        <v>594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 t="s">
        <v>547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 t="s">
        <v>547</v>
      </c>
      <c r="B40" s="1" t="s">
        <v>595</v>
      </c>
      <c r="C40" s="1" t="s">
        <v>596</v>
      </c>
      <c r="D40" s="1">
        <v>4.0000000000000002E-4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 t="s">
        <v>547</v>
      </c>
      <c r="B41" s="1" t="s">
        <v>597</v>
      </c>
      <c r="C41" s="1" t="s">
        <v>596</v>
      </c>
      <c r="D41" s="1">
        <v>2.3E-2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 t="s">
        <v>547</v>
      </c>
      <c r="B42" s="1" t="s">
        <v>598</v>
      </c>
      <c r="C42" s="1" t="s">
        <v>0</v>
      </c>
      <c r="D42" s="1" t="s">
        <v>593</v>
      </c>
      <c r="E42" s="1" t="s">
        <v>594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8.1014360403499994E-3</v>
      </c>
      <c r="B43" s="1">
        <v>2.7732578033799998E-2</v>
      </c>
      <c r="C43" s="1">
        <v>4.8277848466999999E-3</v>
      </c>
      <c r="D43" s="1">
        <v>5.8633302892800005E-4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8.1824504007600007E-3</v>
      </c>
      <c r="B44" s="1">
        <v>3.4715433233799997E-2</v>
      </c>
      <c r="C44" s="1">
        <v>4.6555420474199997E-3</v>
      </c>
      <c r="D44" s="1">
        <v>5.8819635921700004E-4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8.2642749047700005E-3</v>
      </c>
      <c r="B45" s="1">
        <v>3.14920024741E-2</v>
      </c>
      <c r="C45" s="1">
        <v>4.4868285757099996E-3</v>
      </c>
      <c r="D45" s="1">
        <v>5.9007832281000004E-4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8.3469176538099998E-3</v>
      </c>
      <c r="B46" s="1">
        <v>3.0385714987E-2</v>
      </c>
      <c r="C46" s="1">
        <v>4.16153069223E-3</v>
      </c>
      <c r="D46" s="1">
        <v>5.9197910603799996E-4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8.4303868303500003E-3</v>
      </c>
      <c r="B47" s="1">
        <v>2.8629543878499999E-2</v>
      </c>
      <c r="C47" s="1">
        <v>3.6636024635199999E-3</v>
      </c>
      <c r="D47" s="1">
        <v>5.9389889709799998E-4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8.5146906986500008E-3</v>
      </c>
      <c r="B48" s="1">
        <v>2.88115866007E-2</v>
      </c>
      <c r="C48" s="1">
        <v>3.3856660927499998E-3</v>
      </c>
      <c r="D48" s="1">
        <v>5.9583788606899996E-4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8.5998376056400008E-3</v>
      </c>
      <c r="B49" s="1">
        <v>2.6879912207199999E-2</v>
      </c>
      <c r="C49" s="1">
        <v>3.1779824354799999E-3</v>
      </c>
      <c r="D49" s="1">
        <v>5.9779626492999997E-4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8.6858359817000002E-3</v>
      </c>
      <c r="B50" s="1">
        <v>2.44697716978E-2</v>
      </c>
      <c r="C50" s="1">
        <v>3.0067771264500002E-3</v>
      </c>
      <c r="D50" s="1">
        <v>5.9977422757899999E-4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8.7726943415100001E-3</v>
      </c>
      <c r="B51" s="1">
        <v>3.10272245656E-2</v>
      </c>
      <c r="C51" s="1">
        <v>3.1623073046300001E-3</v>
      </c>
      <c r="D51" s="1">
        <v>6.0177196985499999E-4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8.86042128493E-3</v>
      </c>
      <c r="B52" s="1">
        <v>2.8367441046700002E-2</v>
      </c>
      <c r="C52" s="1">
        <v>2.869664551E-3</v>
      </c>
      <c r="D52" s="1">
        <v>6.0378968955299996E-4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8.9490254977800006E-3</v>
      </c>
      <c r="B53" s="1">
        <v>2.2559437832500001E-2</v>
      </c>
      <c r="C53" s="1">
        <v>2.5552626968999999E-3</v>
      </c>
      <c r="D53" s="1">
        <v>6.0582758644900001E-4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9.0385157527600006E-3</v>
      </c>
      <c r="B54" s="1">
        <v>2.6957875886300001E-2</v>
      </c>
      <c r="C54" s="1">
        <v>2.22445057126E-3</v>
      </c>
      <c r="D54" s="1">
        <v>6.0788586231300004E-4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9.1289009102799995E-3</v>
      </c>
      <c r="B55" s="1">
        <v>3.0329773492999999E-2</v>
      </c>
      <c r="C55" s="1">
        <v>2.3070815160900001E-3</v>
      </c>
      <c r="D55" s="1">
        <v>6.0996472093700004E-4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9.2201899193900001E-3</v>
      </c>
      <c r="B56" s="1">
        <v>2.86502226294E-2</v>
      </c>
      <c r="C56" s="1">
        <v>2.1505824602299998E-3</v>
      </c>
      <c r="D56" s="1">
        <v>6.1206436814599996E-4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9.3123918185800004E-3</v>
      </c>
      <c r="B57" s="1">
        <v>2.7592934343399999E-2</v>
      </c>
      <c r="C57" s="1">
        <v>2.0195940336499999E-3</v>
      </c>
      <c r="D57" s="1">
        <v>6.1418501182700005E-4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9.4055157367700006E-3</v>
      </c>
      <c r="B58" s="1">
        <v>2.81140712667E-2</v>
      </c>
      <c r="C58" s="1">
        <v>1.9671032264699999E-3</v>
      </c>
      <c r="D58" s="1">
        <v>6.1632686194599997E-4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9.4995708941299998E-3</v>
      </c>
      <c r="B59" s="1">
        <v>2.9828953678800001E-2</v>
      </c>
      <c r="C59" s="1">
        <v>1.9242712279999999E-3</v>
      </c>
      <c r="D59" s="1">
        <v>6.1849013056499997E-4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9.5945666030799997E-3</v>
      </c>
      <c r="B60" s="1">
        <v>2.8370093492600001E-2</v>
      </c>
      <c r="C60" s="1">
        <v>1.8107098575E-3</v>
      </c>
      <c r="D60" s="1">
        <v>6.2067503187099998E-4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9.69051226911E-3</v>
      </c>
      <c r="B61" s="1">
        <v>3.05154434887E-2</v>
      </c>
      <c r="C61" s="1">
        <v>1.78823280162E-3</v>
      </c>
      <c r="D61" s="1">
        <v>6.2288178218900003E-4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9.7874173918000001E-3</v>
      </c>
      <c r="B62" s="1">
        <v>3.1308207069500001E-2</v>
      </c>
      <c r="C62" s="1">
        <v>1.7752356005499999E-3</v>
      </c>
      <c r="D62" s="1">
        <v>6.2511060001099999E-4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9.8852915657199995E-3</v>
      </c>
      <c r="B63" s="1">
        <v>3.0243367921900001E-2</v>
      </c>
      <c r="C63" s="1">
        <v>1.67286418479E-3</v>
      </c>
      <c r="D63" s="1">
        <v>6.2736170601099999E-4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9.9841444813699998E-3</v>
      </c>
      <c r="B64" s="1">
        <v>3.3020324506099999E-2</v>
      </c>
      <c r="C64" s="1">
        <v>3.1408623353499998E-3</v>
      </c>
      <c r="D64" s="1">
        <v>6.2963532307199995E-4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1.0083985926200001E-2</v>
      </c>
      <c r="B65" s="1">
        <v>3.20771309671E-2</v>
      </c>
      <c r="C65" s="1">
        <v>3.1176955063699999E-3</v>
      </c>
      <c r="D65" s="1">
        <v>6.3193167630200004E-4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1.01848257854E-2</v>
      </c>
      <c r="B66" s="1">
        <v>3.4518793356599999E-2</v>
      </c>
      <c r="C66" s="1">
        <v>3.08548258474E-3</v>
      </c>
      <c r="D66" s="1">
        <v>6.3425099306499996E-4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1.02866740433E-2</v>
      </c>
      <c r="B67" s="1">
        <v>3.7989145561100002E-2</v>
      </c>
      <c r="C67" s="1">
        <v>3.0205966196700002E-3</v>
      </c>
      <c r="D67" s="1">
        <v>6.3659350299599996E-4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1.03895407837E-2</v>
      </c>
      <c r="B68" s="1">
        <v>3.2195463108700001E-2</v>
      </c>
      <c r="C68" s="1">
        <v>2.66057783949E-3</v>
      </c>
      <c r="D68" s="1">
        <v>6.3895943802600005E-4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1.04934361916E-2</v>
      </c>
      <c r="B69" s="1">
        <v>3.2519172500599998E-2</v>
      </c>
      <c r="C69" s="1">
        <v>2.6331820926000001E-3</v>
      </c>
      <c r="D69" s="1">
        <v>6.4134903240600002E-4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1.05983705535E-2</v>
      </c>
      <c r="B70" s="1">
        <v>3.0838480819000001E-2</v>
      </c>
      <c r="C70" s="1">
        <v>2.1530049548299998E-3</v>
      </c>
      <c r="D70" s="1">
        <v>6.4376252273E-4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1.0704354259E-2</v>
      </c>
      <c r="B71" s="1">
        <v>3.4124437549700001E-2</v>
      </c>
      <c r="C71" s="1">
        <v>2.1764618781900001E-3</v>
      </c>
      <c r="D71" s="1">
        <v>6.46200147958E-4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1.08113978016E-2</v>
      </c>
      <c r="B72" s="1">
        <v>3.1556316402400003E-2</v>
      </c>
      <c r="C72" s="1">
        <v>2.0069808857700001E-3</v>
      </c>
      <c r="D72" s="1">
        <v>6.4866214943700004E-4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1.0919511779600001E-2</v>
      </c>
      <c r="B73" s="1">
        <v>3.1463089048700002E-2</v>
      </c>
      <c r="C73" s="1">
        <v>1.91562524024E-3</v>
      </c>
      <c r="D73" s="1">
        <v>6.5114877093200004E-4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1.1028706897400001E-2</v>
      </c>
      <c r="B74" s="1">
        <v>3.2971058284099998E-2</v>
      </c>
      <c r="C74" s="1">
        <v>1.87106943259E-3</v>
      </c>
      <c r="D74" s="1">
        <v>6.5366025864100003E-4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1.11389939664E-2</v>
      </c>
      <c r="B75" s="1">
        <v>3.1945177470699998E-2</v>
      </c>
      <c r="C75" s="1">
        <v>1.83593315982E-3</v>
      </c>
      <c r="D75" s="1">
        <v>6.5619686122700004E-4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1.12503839061E-2</v>
      </c>
      <c r="B76" s="1">
        <v>3.24503411199E-2</v>
      </c>
      <c r="C76" s="1">
        <v>1.7723080670500001E-3</v>
      </c>
      <c r="D76" s="1">
        <v>6.5875882983899999E-4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1.1362887745099999E-2</v>
      </c>
      <c r="B77" s="1">
        <v>3.1269745202899997E-2</v>
      </c>
      <c r="C77" s="1">
        <v>3.17198470625E-3</v>
      </c>
      <c r="D77" s="1">
        <v>6.6134641813799997E-4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1.14765166226E-2</v>
      </c>
      <c r="B78" s="1">
        <v>2.9868720577300001E-2</v>
      </c>
      <c r="C78" s="1">
        <v>2.9853026794399999E-3</v>
      </c>
      <c r="D78" s="1">
        <v>6.6395988231899997E-4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1.1591281788799999E-2</v>
      </c>
      <c r="B79" s="1">
        <v>3.5133912659699999E-2</v>
      </c>
      <c r="C79" s="1">
        <v>3.0684277817399999E-3</v>
      </c>
      <c r="D79" s="1">
        <v>6.6659948114199997E-4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1.17071946067E-2</v>
      </c>
      <c r="B80" s="1">
        <v>3.17602677911E-2</v>
      </c>
      <c r="C80" s="1">
        <v>2.8436936310799999E-3</v>
      </c>
      <c r="D80" s="1">
        <v>6.69265475954E-4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1.18242665528E-2</v>
      </c>
      <c r="B81" s="1">
        <v>2.6628334819799999E-2</v>
      </c>
      <c r="C81" s="1">
        <v>2.5612114445799999E-3</v>
      </c>
      <c r="D81" s="1">
        <v>6.7195813071299995E-4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1.19425092183E-2</v>
      </c>
      <c r="B82" s="1">
        <v>2.87983001085E-2</v>
      </c>
      <c r="C82" s="1">
        <v>2.5759762746799999E-3</v>
      </c>
      <c r="D82" s="1">
        <v>6.7467771202100004E-4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1.2061934310500001E-2</v>
      </c>
      <c r="B83" s="1">
        <v>2.83250050029E-2</v>
      </c>
      <c r="C83" s="1">
        <v>2.4535779201800001E-3</v>
      </c>
      <c r="D83" s="1">
        <v>6.7742448914099999E-4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1.2182553653599999E-2</v>
      </c>
      <c r="B84" s="1">
        <v>3.2047970087900002E-2</v>
      </c>
      <c r="C84" s="1">
        <v>2.6354003826100001E-3</v>
      </c>
      <c r="D84" s="1">
        <v>6.8019873403200003E-4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1.2304379190100001E-2</v>
      </c>
      <c r="B85" s="1">
        <v>2.6863867535900001E-2</v>
      </c>
      <c r="C85" s="1">
        <v>2.2467040854400001E-3</v>
      </c>
      <c r="D85" s="1">
        <v>6.8300072137200002E-4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1.2427422981999999E-2</v>
      </c>
      <c r="B86" s="1">
        <v>2.51419613013E-2</v>
      </c>
      <c r="C86" s="1">
        <v>2.1824017740299999E-3</v>
      </c>
      <c r="D86" s="1">
        <v>6.8583072858600003E-4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1.25516972118E-2</v>
      </c>
      <c r="B87" s="1">
        <v>2.54989798601E-2</v>
      </c>
      <c r="C87" s="1">
        <v>2.10552537443E-3</v>
      </c>
      <c r="D87" s="1">
        <v>6.8868903587199996E-4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1.26772141839E-2</v>
      </c>
      <c r="B88" s="1">
        <v>2.3865103649100002E-2</v>
      </c>
      <c r="C88" s="1">
        <v>1.9411101914399999E-3</v>
      </c>
      <c r="D88" s="1">
        <v>6.9157592623100004E-4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1.28039863258E-2</v>
      </c>
      <c r="B89" s="1">
        <v>2.2162642280800001E-2</v>
      </c>
      <c r="C89" s="1">
        <v>1.4608870398E-3</v>
      </c>
      <c r="D89" s="1">
        <v>6.9449168549300003E-4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1.2932026189000001E-2</v>
      </c>
      <c r="B90" s="1">
        <v>2.0068446232099999E-2</v>
      </c>
      <c r="C90" s="1">
        <v>1.4057538186199999E-3</v>
      </c>
      <c r="D90" s="1">
        <v>6.9743660234799999E-4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1.3061346450899999E-2</v>
      </c>
      <c r="B91" s="1">
        <v>2.1046263889300001E-2</v>
      </c>
      <c r="C91" s="1">
        <v>1.37813456437E-3</v>
      </c>
      <c r="D91" s="1">
        <v>7.0041096837200004E-4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1.31919599154E-2</v>
      </c>
      <c r="B92" s="1">
        <v>2.0543406202699999E-2</v>
      </c>
      <c r="C92" s="1">
        <v>1.3180921472799999E-3</v>
      </c>
      <c r="D92" s="91">
        <v>7.0341507805499995E-4</v>
      </c>
      <c r="E92" s="91"/>
      <c r="F92" s="91"/>
      <c r="G92" s="91"/>
      <c r="H92" s="91"/>
      <c r="I92" s="91"/>
      <c r="J92" s="91"/>
      <c r="K92" s="91"/>
      <c r="L92" s="91"/>
      <c r="M92" s="9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1.33238795146E-2</v>
      </c>
      <c r="B93" s="1">
        <v>1.9012591710199998E-2</v>
      </c>
      <c r="C93" s="1">
        <v>1.2525456107399999E-3</v>
      </c>
      <c r="D93" s="1">
        <v>7.0644922883600001E-4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1.3457118309700001E-2</v>
      </c>
      <c r="B94" s="1">
        <v>1.80595219137E-2</v>
      </c>
      <c r="C94" s="1">
        <v>1.18180935423E-3</v>
      </c>
      <c r="D94" s="1">
        <v>7.0951372112399997E-4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1.3591689492799999E-2</v>
      </c>
      <c r="B95" s="1">
        <v>1.58851880227E-2</v>
      </c>
      <c r="C95" s="1">
        <v>1.08141111065E-3</v>
      </c>
      <c r="D95" s="1">
        <v>7.1260885833499996E-4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1.37276063878E-2</v>
      </c>
      <c r="B96" s="1">
        <v>1.46519870268E-2</v>
      </c>
      <c r="C96" s="1">
        <v>1.00327826127E-3</v>
      </c>
      <c r="D96" s="1">
        <v>7.1573494691900001E-4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1.3864882451600001E-2</v>
      </c>
      <c r="B97" s="1">
        <v>1.5235927654299999E-2</v>
      </c>
      <c r="C97" s="1">
        <v>9.7893591095200004E-4</v>
      </c>
      <c r="D97" s="1">
        <v>7.1889229638800003E-4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1.40035312762E-2</v>
      </c>
      <c r="B98" s="1">
        <v>1.42744819533E-2</v>
      </c>
      <c r="C98" s="1">
        <v>1.6361149327800001E-3</v>
      </c>
      <c r="D98" s="1">
        <v>7.2208121935199996E-4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1.41435665889E-2</v>
      </c>
      <c r="B99" s="1">
        <v>1.31875397029E-2</v>
      </c>
      <c r="C99" s="1">
        <v>1.5163934180700001E-3</v>
      </c>
      <c r="D99" s="1">
        <v>7.2530203154500005E-4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1.42850022548E-2</v>
      </c>
      <c r="B100" s="1">
        <v>1.1708792480899999E-2</v>
      </c>
      <c r="C100" s="1">
        <v>1.32203247453E-3</v>
      </c>
      <c r="D100" s="1">
        <v>7.2855505186099996E-4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1.44278522774E-2</v>
      </c>
      <c r="B101" s="1">
        <v>1.1713830445699999E-2</v>
      </c>
      <c r="C101" s="1">
        <v>1.27516947238E-3</v>
      </c>
      <c r="D101" s="1">
        <v>7.3184060237899997E-4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1.4572130800099999E-2</v>
      </c>
      <c r="B102" s="1">
        <v>8.6097538976200004E-3</v>
      </c>
      <c r="C102" s="1">
        <v>1.0937351708499999E-3</v>
      </c>
      <c r="D102" s="1">
        <v>7.3515900840299996E-4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1.4717852108099999E-2</v>
      </c>
      <c r="B103" s="1">
        <v>7.30754372234E-3</v>
      </c>
      <c r="C103" s="1">
        <v>1.02890700748E-3</v>
      </c>
      <c r="D103" s="1">
        <v>7.3851059848700003E-4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1.4865030629200001E-2</v>
      </c>
      <c r="B104" s="1">
        <v>6.11964976972E-3</v>
      </c>
      <c r="C104" s="1">
        <v>9.5050009754200004E-4</v>
      </c>
      <c r="D104" s="1">
        <v>7.4189570447199995E-4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1.50136809355E-2</v>
      </c>
      <c r="B105" s="1">
        <v>5.9793644739900001E-3</v>
      </c>
      <c r="C105" s="1">
        <v>8.77196496244E-4</v>
      </c>
      <c r="D105" s="1">
        <v>7.4531466151699999E-4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1.5163817744900001E-2</v>
      </c>
      <c r="B106" s="1">
        <v>4.8376129754299996E-3</v>
      </c>
      <c r="C106" s="1">
        <v>7.8106135297000001E-4</v>
      </c>
      <c r="D106" s="1">
        <v>7.4876780813200002E-4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1.5315455922300001E-2</v>
      </c>
      <c r="B107" s="1">
        <v>4.8977040774399998E-3</v>
      </c>
      <c r="C107" s="1">
        <v>7.6258931613199996E-4</v>
      </c>
      <c r="D107" s="1">
        <v>7.5225548621300005E-4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1.54686104815E-2</v>
      </c>
      <c r="B108" s="1">
        <v>4.9339135926000002E-3</v>
      </c>
      <c r="C108" s="1">
        <v>7.5557658889399996E-4</v>
      </c>
      <c r="D108" s="1">
        <v>7.5577804107499998E-4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1.56232965864E-2</v>
      </c>
      <c r="B109" s="1">
        <v>3.2330601547999999E-3</v>
      </c>
      <c r="C109" s="1">
        <v>6.3956470957599997E-4</v>
      </c>
      <c r="D109" s="1">
        <v>7.5933582148599997E-4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1.5779529552200001E-2</v>
      </c>
      <c r="B110" s="1">
        <v>3.2267542131E-3</v>
      </c>
      <c r="C110" s="1">
        <v>6.06240747522E-4</v>
      </c>
      <c r="D110" s="1">
        <v>7.6292917970100004E-4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1.59373248477E-2</v>
      </c>
      <c r="B111" s="1">
        <v>2.6010189937400001E-3</v>
      </c>
      <c r="C111" s="1">
        <v>5.2574254626999999E-4</v>
      </c>
      <c r="D111" s="1">
        <v>7.6655847149800001E-4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1.6096698096199999E-2</v>
      </c>
      <c r="B112" s="1">
        <v>3.6355216507099998E-3</v>
      </c>
      <c r="C112" s="1">
        <v>5.6579668563199999E-4</v>
      </c>
      <c r="D112" s="1">
        <v>7.7022405621299998E-4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1.6257665077200001E-2</v>
      </c>
      <c r="B113" s="1">
        <v>3.03540348252E-3</v>
      </c>
      <c r="C113" s="1">
        <v>5.1743288178299999E-4</v>
      </c>
      <c r="D113" s="1">
        <v>7.7392629677499995E-4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1.6420241727999999E-2</v>
      </c>
      <c r="B114" s="1">
        <v>3.0448894275799999E-3</v>
      </c>
      <c r="C114" s="1">
        <v>5.1108794688400005E-4</v>
      </c>
      <c r="D114" s="1">
        <v>7.7766555974299997E-4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1.6584444145200002E-2</v>
      </c>
      <c r="B115" s="1">
        <v>3.37521391558E-3</v>
      </c>
      <c r="C115" s="1">
        <v>5.0144883705700004E-4</v>
      </c>
      <c r="D115" s="1">
        <v>7.8144221533999999E-4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1.67502885867E-2</v>
      </c>
      <c r="B116" s="1">
        <v>3.3198948715900001E-3</v>
      </c>
      <c r="C116" s="1">
        <v>4.9204055648800001E-4</v>
      </c>
      <c r="D116" s="1">
        <v>7.8525663749399999E-4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1.6917791472599999E-2</v>
      </c>
      <c r="B117" s="1">
        <v>2.66984776009E-3</v>
      </c>
      <c r="C117" s="1">
        <v>4.71287565348E-4</v>
      </c>
      <c r="D117" s="1">
        <v>7.8910920386899999E-4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1.7086969387300002E-2</v>
      </c>
      <c r="B118" s="1">
        <v>3.0997796689200001E-3</v>
      </c>
      <c r="C118" s="1">
        <v>4.8076939414300001E-4</v>
      </c>
      <c r="D118" s="1">
        <v>7.9300029590700005E-4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1.7257839081199999E-2</v>
      </c>
      <c r="B119" s="1">
        <v>3.82911589649E-3</v>
      </c>
      <c r="C119" s="1">
        <v>4.9754107668800002E-4</v>
      </c>
      <c r="D119" s="1">
        <v>7.9693029886600004E-4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1.7430417472000002E-2</v>
      </c>
      <c r="B120" s="1">
        <v>4.6055229780299998E-3</v>
      </c>
      <c r="C120" s="1">
        <v>5.0408760269799997E-4</v>
      </c>
      <c r="D120" s="1">
        <v>8.0089960185499996E-4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1.7604721646699999E-2</v>
      </c>
      <c r="B121" s="1">
        <v>5.2120086495500003E-3</v>
      </c>
      <c r="C121" s="1">
        <v>5.1365992225299996E-4</v>
      </c>
      <c r="D121" s="1">
        <v>8.0490859787399999E-4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1.77807688631E-2</v>
      </c>
      <c r="B122" s="1">
        <v>5.3089982542699997E-3</v>
      </c>
      <c r="C122" s="1">
        <v>5.0319702397400002E-4</v>
      </c>
      <c r="D122" s="1">
        <v>8.08957683852E-4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1.7958576551799998E-2</v>
      </c>
      <c r="B123" s="1">
        <v>6.5649967558599996E-3</v>
      </c>
      <c r="C123" s="1">
        <v>5.3649071142799999E-4</v>
      </c>
      <c r="D123" s="1">
        <v>8.1304726069100005E-4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1.8138162317300002E-2</v>
      </c>
      <c r="B124" s="1">
        <v>7.0505174716100003E-3</v>
      </c>
      <c r="C124" s="1">
        <v>5.4996109833800003E-4</v>
      </c>
      <c r="D124" s="1">
        <v>8.17177733298E-4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1.8319543940500001E-2</v>
      </c>
      <c r="B125" s="1">
        <v>7.5381297410199999E-3</v>
      </c>
      <c r="C125" s="1">
        <v>5.5628172127000005E-4</v>
      </c>
      <c r="D125" s="1">
        <v>8.2134951063100002E-4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1.8502739379900001E-2</v>
      </c>
      <c r="B126" s="1">
        <v>1.03659719199E-2</v>
      </c>
      <c r="C126" s="1">
        <v>1.7979086362300001E-3</v>
      </c>
      <c r="D126" s="1">
        <v>8.2556300573700004E-4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1.8687766773700001E-2</v>
      </c>
      <c r="B127" s="1">
        <v>1.12338052295E-2</v>
      </c>
      <c r="C127" s="1">
        <v>1.81404479993E-3</v>
      </c>
      <c r="D127" s="1">
        <v>8.2981863579399998E-4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1.8874644441399999E-2</v>
      </c>
      <c r="B128" s="1">
        <v>1.1593426608E-2</v>
      </c>
      <c r="C128" s="1">
        <v>1.7575067859899999E-3</v>
      </c>
      <c r="D128" s="1">
        <v>8.34116822152E-4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1.9063390885799999E-2</v>
      </c>
      <c r="B129" s="1">
        <v>1.2383598202300001E-2</v>
      </c>
      <c r="C129" s="1">
        <v>1.81137457877E-3</v>
      </c>
      <c r="D129" s="1">
        <v>8.3845799037399996E-4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1.9254024794699998E-2</v>
      </c>
      <c r="B130" s="1">
        <v>1.60258698573E-2</v>
      </c>
      <c r="C130" s="1">
        <v>1.8685652188200001E-3</v>
      </c>
      <c r="D130" s="1">
        <v>8.4284257027799996E-4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1.9446565042599999E-2</v>
      </c>
      <c r="B131" s="1">
        <v>1.6488382457399999E-2</v>
      </c>
      <c r="C131" s="1">
        <v>1.8432612925800001E-3</v>
      </c>
      <c r="D131" s="1">
        <v>8.4727099597999998E-4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1.9641030693100001E-2</v>
      </c>
      <c r="B132" s="1">
        <v>1.57445359046E-2</v>
      </c>
      <c r="C132" s="1">
        <v>1.82698262382E-3</v>
      </c>
      <c r="D132" s="1">
        <v>8.5174370594E-4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1.9837441000000001E-2</v>
      </c>
      <c r="B133" s="1">
        <v>1.4357764054200001E-2</v>
      </c>
      <c r="C133" s="1">
        <v>1.67605984963E-3</v>
      </c>
      <c r="D133" s="1">
        <v>8.5626114299999995E-4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2.0035815410000001E-2</v>
      </c>
      <c r="B134" s="1">
        <v>1.6339099817800001E-2</v>
      </c>
      <c r="C134" s="1">
        <v>1.74401934357E-3</v>
      </c>
      <c r="D134" s="1">
        <v>8.6082375442999995E-4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2.0236173564099999E-2</v>
      </c>
      <c r="B135" s="1">
        <v>1.6233193832599999E-2</v>
      </c>
      <c r="C135" s="1">
        <v>1.7154684961900001E-3</v>
      </c>
      <c r="D135" s="1">
        <v>8.6543199197399996E-4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2.0438535299700002E-2</v>
      </c>
      <c r="B136" s="1">
        <v>1.86183730007E-2</v>
      </c>
      <c r="C136" s="1">
        <v>1.7649167175900001E-3</v>
      </c>
      <c r="D136" s="1">
        <v>8.7008631189400005E-4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2.06429206527E-2</v>
      </c>
      <c r="B137" s="1">
        <v>2.1495506143500001E-2</v>
      </c>
      <c r="C137" s="1">
        <v>1.84326131172E-3</v>
      </c>
      <c r="D137" s="1">
        <v>8.7478717501299999E-4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2.0849349859299999E-2</v>
      </c>
      <c r="B138" s="1">
        <v>1.8458826657899999E-2</v>
      </c>
      <c r="C138" s="1">
        <v>1.6688163786500001E-3</v>
      </c>
      <c r="D138" s="1">
        <v>8.7953504676300002E-4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2.1057843357800001E-2</v>
      </c>
      <c r="B139" s="1">
        <v>1.79744700236E-2</v>
      </c>
      <c r="C139" s="1">
        <v>1.6141462840999999E-3</v>
      </c>
      <c r="D139" s="1">
        <v>8.8433039722999999E-4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2.12684217914E-2</v>
      </c>
      <c r="B140" s="1">
        <v>2.1850845887700001E-2</v>
      </c>
      <c r="C140" s="1">
        <v>1.7184346984E-3</v>
      </c>
      <c r="D140" s="1">
        <v>8.8917370120300001E-4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2.1481106009300002E-2</v>
      </c>
      <c r="B141" s="1">
        <v>2.1903053843300001E-2</v>
      </c>
      <c r="C141" s="1">
        <v>1.7496004873999999E-3</v>
      </c>
      <c r="D141" s="1">
        <v>8.9406543821499997E-4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2.1695917069400002E-2</v>
      </c>
      <c r="B142" s="1">
        <v>1.8634170688099999E-2</v>
      </c>
      <c r="C142" s="1">
        <v>1.55662699281E-3</v>
      </c>
      <c r="D142" s="1">
        <v>8.9900609259699999E-4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2.19128762401E-2</v>
      </c>
      <c r="B143" s="1">
        <v>1.86489913429E-2</v>
      </c>
      <c r="C143" s="1">
        <v>1.50449914203E-3</v>
      </c>
      <c r="D143" s="1">
        <v>9.0399615352299999E-4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2.21320050025E-2</v>
      </c>
      <c r="B144" s="1">
        <v>1.88257198545E-2</v>
      </c>
      <c r="C144" s="1">
        <v>1.5087683299899999E-3</v>
      </c>
      <c r="D144" s="1">
        <v>9.0903611505800002E-4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2.2353325052600001E-2</v>
      </c>
      <c r="B145" s="1">
        <v>2.1126413948800001E-2</v>
      </c>
      <c r="C145" s="1">
        <v>1.5775487745E-3</v>
      </c>
      <c r="D145" s="1">
        <v>9.1412647620899999E-4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2.2576858303100002E-2</v>
      </c>
      <c r="B146" s="1">
        <v>1.74234038568E-2</v>
      </c>
      <c r="C146" s="1">
        <v>6.9594528323899997E-4</v>
      </c>
      <c r="D146" s="1">
        <v>9.1926774097100003E-4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2.2802626886099998E-2</v>
      </c>
      <c r="B147" s="1">
        <v>1.8207982009999998E-2</v>
      </c>
      <c r="C147" s="1">
        <v>6.9777664523400001E-4</v>
      </c>
      <c r="D147" s="1">
        <v>9.2446041838000002E-4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2.3030653155000001E-2</v>
      </c>
      <c r="B148" s="1">
        <v>1.8978974570200001E-2</v>
      </c>
      <c r="C148" s="1">
        <v>7.1482239945199995E-4</v>
      </c>
      <c r="D148" s="1">
        <v>9.29705022564E-4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2.32609596865E-2</v>
      </c>
      <c r="B149" s="1">
        <v>1.6949794931599999E-2</v>
      </c>
      <c r="C149" s="1">
        <v>6.6242401729499996E-4</v>
      </c>
      <c r="D149" s="1">
        <v>9.3500207279000004E-4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2.34935692834E-2</v>
      </c>
      <c r="B150" s="1">
        <v>1.69481942392E-2</v>
      </c>
      <c r="C150" s="1">
        <v>6.7274125090899999E-4</v>
      </c>
      <c r="D150" s="1">
        <v>9.4035209351799997E-4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2.37285049762E-2</v>
      </c>
      <c r="B151" s="1">
        <v>1.5925163168300002E-2</v>
      </c>
      <c r="C151" s="1">
        <v>6.1333363537700001E-4</v>
      </c>
      <c r="D151" s="1">
        <v>9.4575561445300004E-4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2.3965790026000001E-2</v>
      </c>
      <c r="B152" s="1">
        <v>1.4684023172599999E-2</v>
      </c>
      <c r="C152" s="1">
        <v>5.8538845534699996E-4</v>
      </c>
      <c r="D152" s="1">
        <v>9.5121317059800004E-4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2.42054479262E-2</v>
      </c>
      <c r="B153" s="1">
        <v>1.3482317886500001E-2</v>
      </c>
      <c r="C153" s="1">
        <v>5.5333657877099996E-4</v>
      </c>
      <c r="D153" s="91">
        <v>9.5672530230299997E-4</v>
      </c>
      <c r="E153" s="91"/>
      <c r="F153" s="91"/>
      <c r="G153" s="91"/>
      <c r="H153" s="91"/>
      <c r="I153" s="91"/>
      <c r="J153" s="91"/>
      <c r="K153" s="91"/>
      <c r="L153" s="91"/>
      <c r="M153" s="9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2.4447502405500001E-2</v>
      </c>
      <c r="B154" s="1">
        <v>1.24740885351E-2</v>
      </c>
      <c r="C154" s="1">
        <v>4.9432900062100005E-4</v>
      </c>
      <c r="D154" s="1">
        <v>9.62292555327E-4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2.4691977429599998E-2</v>
      </c>
      <c r="B155" s="1">
        <v>1.2436155017500001E-2</v>
      </c>
      <c r="C155" s="1">
        <v>5.1234242507700002E-4</v>
      </c>
      <c r="D155" s="1">
        <v>9.6791548087999996E-4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2.4938897203899999E-2</v>
      </c>
      <c r="B156" s="1">
        <v>9.8295842710700004E-3</v>
      </c>
      <c r="C156" s="1">
        <v>4.25846312765E-4</v>
      </c>
      <c r="D156" s="1">
        <v>9.7359463568899996E-4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2.51882861759E-2</v>
      </c>
      <c r="B157" s="1">
        <v>9.1922569578699997E-3</v>
      </c>
      <c r="C157" s="1">
        <v>4.0506607971099999E-4</v>
      </c>
      <c r="D157" s="1">
        <v>9.7933058204499992E-4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2.5440169037600002E-2</v>
      </c>
      <c r="B158" s="1">
        <v>8.1476076167900004E-3</v>
      </c>
      <c r="C158" s="1">
        <v>3.6659186403699998E-4</v>
      </c>
      <c r="D158" s="1">
        <v>9.8512388786599998E-4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2.5694570728E-2</v>
      </c>
      <c r="B159" s="1">
        <v>6.9691047223100003E-3</v>
      </c>
      <c r="C159" s="1">
        <v>3.3699700346799999E-4</v>
      </c>
      <c r="D159" s="1">
        <v>9.9097512674499997E-4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2.5951516435299998E-2</v>
      </c>
      <c r="B160" s="1">
        <v>5.91233756184E-3</v>
      </c>
      <c r="C160" s="1">
        <v>3.0346285547999999E-4</v>
      </c>
      <c r="D160" s="1">
        <v>9.9688487801200009E-4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2.6211031599700001E-2</v>
      </c>
      <c r="B161" s="1">
        <v>5.2154128218500004E-3</v>
      </c>
      <c r="C161" s="1">
        <v>2.8540431841799998E-4</v>
      </c>
      <c r="D161" s="1">
        <v>1.0028537267900001E-3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2.6473141915700001E-2</v>
      </c>
      <c r="B162" s="1">
        <v>4.70436285443E-3</v>
      </c>
      <c r="C162" s="1">
        <v>2.6180635247899999E-4</v>
      </c>
      <c r="D162" s="1">
        <v>1.00888226406E-3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2.6737873334799999E-2</v>
      </c>
      <c r="B163" s="1">
        <v>3.8568119276500001E-3</v>
      </c>
      <c r="C163" s="1">
        <v>2.61053488436E-4</v>
      </c>
      <c r="D163" s="1">
        <v>1.0149710867E-3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2.7005252068200002E-2</v>
      </c>
      <c r="B164" s="1">
        <v>3.12676556486E-3</v>
      </c>
      <c r="C164" s="1">
        <v>2.3776186490300001E-4</v>
      </c>
      <c r="D164" s="1">
        <v>1.02112079757E-3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2.7275304588799999E-2</v>
      </c>
      <c r="B165" s="1">
        <v>2.6521669575699999E-3</v>
      </c>
      <c r="C165" s="1">
        <v>2.1893566553100001E-4</v>
      </c>
      <c r="D165" s="1">
        <v>1.02733200554E-3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2.7548057634700002E-2</v>
      </c>
      <c r="B166" s="1">
        <v>2.4453636448700002E-3</v>
      </c>
      <c r="C166" s="1">
        <v>2.0297978410399999E-4</v>
      </c>
      <c r="D166" s="1">
        <v>1.0336053256E-3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2.78235382111E-2</v>
      </c>
      <c r="B167" s="1">
        <v>1.88089694267E-3</v>
      </c>
      <c r="C167" s="1">
        <v>1.78269930872E-4</v>
      </c>
      <c r="D167" s="1">
        <v>1.0399413788499999E-3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2.81017735932E-2</v>
      </c>
      <c r="B168" s="1">
        <v>1.5240736010699999E-3</v>
      </c>
      <c r="C168" s="1">
        <v>1.6090111270199999E-4</v>
      </c>
      <c r="D168" s="1">
        <v>1.0463407926400001E-3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2.8382791329100002E-2</v>
      </c>
      <c r="B169" s="1">
        <v>1.21769988036E-3</v>
      </c>
      <c r="C169" s="1">
        <v>1.4964752798200001E-4</v>
      </c>
      <c r="D169" s="1">
        <v>1.0528042005699999E-3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2.86666192424E-2</v>
      </c>
      <c r="B170" s="1">
        <v>8.2475420686100003E-4</v>
      </c>
      <c r="C170" s="1">
        <v>1.3519378706E-4</v>
      </c>
      <c r="D170" s="1">
        <v>1.05933224258E-3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2.89532854348E-2</v>
      </c>
      <c r="B171" s="1">
        <v>7.4131178523700002E-4</v>
      </c>
      <c r="C171" s="1">
        <v>1.25541142652E-4</v>
      </c>
      <c r="D171" s="1">
        <v>1.065925565E-3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2.9242818289200001E-2</v>
      </c>
      <c r="B172" s="1">
        <v>7.3791335426200003E-4</v>
      </c>
      <c r="C172" s="1">
        <v>1.19688632436E-4</v>
      </c>
      <c r="D172" s="1">
        <v>1.0725848206499999E-3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2.9535246472099999E-2</v>
      </c>
      <c r="B173" s="1">
        <v>4.1884812990700002E-4</v>
      </c>
      <c r="C173" s="1">
        <v>1.02006567235E-4</v>
      </c>
      <c r="D173" s="1">
        <v>1.0793106688599999E-3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2.9830598936799999E-2</v>
      </c>
      <c r="B174" s="1">
        <v>5.4788953960999999E-4</v>
      </c>
      <c r="C174" s="1">
        <v>1.03303909973E-4</v>
      </c>
      <c r="D174" s="1">
        <v>1.08610377555E-3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3.01289049262E-2</v>
      </c>
      <c r="B175" s="1">
        <v>6.3018878207499998E-4</v>
      </c>
      <c r="C175" s="1">
        <v>1.16015485228E-4</v>
      </c>
      <c r="D175" s="1">
        <v>1.0929648132999999E-3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3.0430193975400002E-2</v>
      </c>
      <c r="B176" s="1">
        <v>6.34749516642E-4</v>
      </c>
      <c r="C176" s="1">
        <v>1.13759364619E-4</v>
      </c>
      <c r="D176" s="1">
        <v>1.09989446143E-3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3.07344959152E-2</v>
      </c>
      <c r="B177" s="1">
        <v>5.2404444164199997E-4</v>
      </c>
      <c r="C177" s="1">
        <v>1.00927848505E-4</v>
      </c>
      <c r="D177" s="1">
        <v>1.1068934060499999E-3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3.1041840874300002E-2</v>
      </c>
      <c r="B178" s="1">
        <v>4.6754069706800001E-4</v>
      </c>
      <c r="C178" s="1">
        <v>9.6738934167000002E-5</v>
      </c>
      <c r="D178" s="1">
        <v>1.1139623401100001E-3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3.1352259283100002E-2</v>
      </c>
      <c r="B179" s="1">
        <v>6.2508628513700001E-4</v>
      </c>
      <c r="C179" s="1">
        <v>1.10049840476E-4</v>
      </c>
      <c r="D179" s="1">
        <v>1.1211019635100001E-3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>
        <v>3.1665781875900002E-2</v>
      </c>
      <c r="B180" s="1">
        <v>6.3035547480799997E-4</v>
      </c>
      <c r="C180" s="1">
        <v>1.0918634814800001E-4</v>
      </c>
      <c r="D180" s="1">
        <v>1.12831298315E-3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>
        <v>3.19824396947E-2</v>
      </c>
      <c r="B181" s="1">
        <v>8.2749297218800001E-4</v>
      </c>
      <c r="C181" s="1">
        <v>1.2079648877499999E-4</v>
      </c>
      <c r="D181" s="1">
        <v>1.1355961129799999E-3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>
        <v>3.2302264091600003E-2</v>
      </c>
      <c r="B182" s="1">
        <v>5.1800695972200001E-4</v>
      </c>
      <c r="C182" s="1">
        <v>1.00150934241E-4</v>
      </c>
      <c r="D182" s="1">
        <v>1.1429520741100001E-3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>
        <v>3.2625286732500001E-2</v>
      </c>
      <c r="B183" s="1">
        <v>6.9417471710800003E-4</v>
      </c>
      <c r="C183" s="1">
        <v>1.22860856905E-4</v>
      </c>
      <c r="D183" s="1">
        <v>1.15038159485E-3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>
        <v>3.29515395999E-2</v>
      </c>
      <c r="B184" s="1">
        <v>6.5823526806900001E-4</v>
      </c>
      <c r="C184" s="1">
        <v>1.17031244597E-4</v>
      </c>
      <c r="D184" s="1">
        <v>1.1578854107999999E-3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>
        <v>3.3281054995899999E-2</v>
      </c>
      <c r="B185" s="1">
        <v>4.0170103079800002E-4</v>
      </c>
      <c r="C185" s="1">
        <v>1.0506255423499999E-4</v>
      </c>
      <c r="D185" s="1">
        <v>1.1654642648999999E-3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>
        <v>3.3613865545800002E-2</v>
      </c>
      <c r="B186" s="1">
        <v>5.4866837425000001E-4</v>
      </c>
      <c r="C186" s="1">
        <v>1.04113850962E-4</v>
      </c>
      <c r="D186" s="1">
        <v>1.1731189075499999E-3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>
        <v>3.3950004201300003E-2</v>
      </c>
      <c r="B187" s="1">
        <v>3.8366628790099998E-4</v>
      </c>
      <c r="C187" s="1">
        <v>9.4529837669000004E-5</v>
      </c>
      <c r="D187" s="1">
        <v>1.18085009663E-3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>
        <v>3.4289504243299997E-2</v>
      </c>
      <c r="B188" s="1">
        <v>5.2035884645500001E-4</v>
      </c>
      <c r="C188" s="1">
        <v>1.05452499114E-4</v>
      </c>
      <c r="D188" s="1">
        <v>1.1886585976000001E-3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>
        <v>3.46323992857E-2</v>
      </c>
      <c r="B189" s="1">
        <v>5.5996925770399996E-4</v>
      </c>
      <c r="C189" s="1">
        <v>1.01538126003E-4</v>
      </c>
      <c r="D189" s="1">
        <v>1.1965451835699999E-3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>
        <v>3.49787232786E-2</v>
      </c>
      <c r="B190" s="1">
        <v>4.4001080922100001E-4</v>
      </c>
      <c r="C190" s="1">
        <v>9.1958932045999993E-5</v>
      </c>
      <c r="D190" s="1">
        <v>1.20451063541E-3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>
        <v>3.5328510511399999E-2</v>
      </c>
      <c r="B191" s="1">
        <v>4.2354998601299999E-4</v>
      </c>
      <c r="C191" s="1">
        <v>9.0539681992900001E-5</v>
      </c>
      <c r="D191" s="1">
        <v>1.2125557417599999E-3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>
        <v>3.5681795616499999E-2</v>
      </c>
      <c r="B192" s="1">
        <v>2.96567697465E-4</v>
      </c>
      <c r="C192" s="1">
        <v>8.0589334597200001E-5</v>
      </c>
      <c r="D192" s="1">
        <v>1.2206812991799999E-3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>
        <v>3.6038613572599999E-2</v>
      </c>
      <c r="B193" s="1">
        <v>1.9042186200700001E-4</v>
      </c>
      <c r="C193" s="1">
        <v>7.0433486950999998E-5</v>
      </c>
      <c r="D193" s="1">
        <v>1.2288881121700001E-3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>
        <v>3.63989997084E-2</v>
      </c>
      <c r="B194" s="1">
        <v>2.05941749996E-4</v>
      </c>
      <c r="C194" s="1">
        <v>7.2062202280799995E-5</v>
      </c>
      <c r="D194" s="1">
        <v>1.2371769932899999E-3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>
        <v>3.6762989705399998E-2</v>
      </c>
      <c r="B195" s="1">
        <v>2.4746459299999999E-4</v>
      </c>
      <c r="C195" s="1">
        <v>7.5657837698699996E-5</v>
      </c>
      <c r="D195" s="1">
        <v>1.24554876323E-3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>
        <v>3.7130619602499998E-2</v>
      </c>
      <c r="B196" s="1">
        <v>2.7773225320400002E-4</v>
      </c>
      <c r="C196" s="1">
        <v>7.6542331481299996E-5</v>
      </c>
      <c r="D196" s="1">
        <v>1.2540042508600001E-3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>
        <v>3.7501925798500001E-2</v>
      </c>
      <c r="B197" s="1">
        <v>2.6780589199800001E-4</v>
      </c>
      <c r="C197" s="1">
        <v>7.7184715390300003E-5</v>
      </c>
      <c r="D197" s="1">
        <v>1.2625442933699999E-3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>
        <v>3.7876945056500001E-2</v>
      </c>
      <c r="B198" s="1">
        <v>2.2911457013699999E-4</v>
      </c>
      <c r="C198" s="1">
        <v>7.1767234999599999E-5</v>
      </c>
      <c r="D198" s="1">
        <v>1.2711697363000001E-3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>
        <v>3.8255714507099997E-2</v>
      </c>
      <c r="B199" s="1">
        <v>1.94806315905E-4</v>
      </c>
      <c r="C199" s="1">
        <v>6.8857398587700004E-5</v>
      </c>
      <c r="D199" s="1">
        <v>1.2798814336599999E-3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>
        <v>3.8638271652100001E-2</v>
      </c>
      <c r="B200" s="1">
        <v>1.8187660658199999E-4</v>
      </c>
      <c r="C200" s="1">
        <v>6.7743990376600003E-5</v>
      </c>
      <c r="D200" s="1">
        <v>1.288680248E-3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>
        <v>3.90246543687E-2</v>
      </c>
      <c r="B201" s="1">
        <v>1.7620628223799999E-4</v>
      </c>
      <c r="C201" s="1">
        <v>6.3915237199899995E-5</v>
      </c>
      <c r="D201" s="1">
        <v>1.2975670504800001E-3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>
        <v>3.9414900912399999E-2</v>
      </c>
      <c r="B202" s="1">
        <v>1.4358886254600001E-4</v>
      </c>
      <c r="C202" s="1">
        <v>5.9186573817699999E-5</v>
      </c>
      <c r="D202" s="1">
        <v>1.30654272098E-3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>
        <v>3.98090499215E-2</v>
      </c>
      <c r="B203" s="1">
        <v>2.1123996738699999E-4</v>
      </c>
      <c r="C203" s="1">
        <v>6.6673359679799999E-5</v>
      </c>
      <c r="D203" s="1">
        <v>1.31560814819E-3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>
        <v>4.0207140420699998E-2</v>
      </c>
      <c r="B204" s="1">
        <v>1.5859629248199999E-4</v>
      </c>
      <c r="C204" s="1">
        <v>6.8964680585199999E-5</v>
      </c>
      <c r="D204" s="1">
        <v>1.32476422968E-3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>
        <v>4.0609211824900002E-2</v>
      </c>
      <c r="B205" s="1">
        <v>1.1904897414600001E-4</v>
      </c>
      <c r="C205" s="1">
        <v>5.8135477036700003E-5</v>
      </c>
      <c r="D205" s="1">
        <v>1.3340118719700001E-3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>
        <v>4.1015303943099997E-2</v>
      </c>
      <c r="B206" s="1">
        <v>1.1009875681699999E-4</v>
      </c>
      <c r="C206" s="1">
        <v>6.5149443560600002E-5</v>
      </c>
      <c r="D206" s="1">
        <v>1.3433519906900001E-3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25">
      <c r="A207">
        <v>4.1425456982600001E-2</v>
      </c>
      <c r="B207" s="1">
        <v>1.8800241938399999E-4</v>
      </c>
      <c r="C207" s="1">
        <v>6.6481426861299999E-5</v>
      </c>
      <c r="D207" s="1">
        <v>1.3527855106E-3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25">
      <c r="A208">
        <v>4.1839711552400002E-2</v>
      </c>
      <c r="B208" s="1">
        <v>1.51665925384E-4</v>
      </c>
      <c r="C208" s="1">
        <v>5.9821545297900003E-5</v>
      </c>
      <c r="D208" s="1">
        <v>1.36231336571E-3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25">
      <c r="A209">
        <v>4.2258108667900002E-2</v>
      </c>
      <c r="B209" s="1">
        <v>1.67096817166E-4</v>
      </c>
      <c r="C209" s="1">
        <v>6.1319459696700004E-5</v>
      </c>
      <c r="D209" s="1">
        <v>1.37193649936E-3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25">
      <c r="A210">
        <v>4.2680689754600001E-2</v>
      </c>
      <c r="B210" s="1">
        <v>1.9657825515599999E-4</v>
      </c>
      <c r="C210" s="1">
        <v>6.5337821386199997E-5</v>
      </c>
      <c r="D210" s="1">
        <v>1.3816558643600001E-3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25">
      <c r="A211">
        <v>4.3107496652199997E-2</v>
      </c>
      <c r="B211" s="1">
        <v>1.51185534799E-4</v>
      </c>
      <c r="C211" s="1">
        <v>1.9145808695799999E-5</v>
      </c>
      <c r="D211" s="1">
        <v>1.391472423E-3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25">
      <c r="A212">
        <v>4.3538571618699999E-2</v>
      </c>
      <c r="B212" s="1">
        <v>2.0728835353699999E-4</v>
      </c>
      <c r="C212" s="1">
        <v>2.1010360652599999E-5</v>
      </c>
      <c r="D212" s="1">
        <v>1.4013871472299999E-3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25">
      <c r="A213">
        <v>4.3973957334899998E-2</v>
      </c>
      <c r="B213" s="1">
        <v>2.0278459983699999E-4</v>
      </c>
      <c r="C213" s="1">
        <v>1.99936630176E-5</v>
      </c>
      <c r="D213" s="1">
        <v>1.4114010186999999E-3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25">
      <c r="A214">
        <v>4.4413696908199997E-2</v>
      </c>
      <c r="B214" s="1">
        <v>2.8783221578500002E-4</v>
      </c>
      <c r="C214" s="1">
        <v>2.35642248393E-5</v>
      </c>
      <c r="D214" s="1">
        <v>1.4215150288899999E-3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25">
      <c r="A215">
        <v>4.4857833877300003E-2</v>
      </c>
      <c r="B215" s="1">
        <v>3.0390907976600001E-4</v>
      </c>
      <c r="C215" s="1">
        <v>2.3485784166799999E-5</v>
      </c>
      <c r="D215" s="1">
        <v>1.43173017918E-3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25">
      <c r="A216">
        <v>4.5306412216100003E-2</v>
      </c>
      <c r="B216" s="1">
        <v>3.0689312277399998E-4</v>
      </c>
      <c r="C216" s="1">
        <v>2.25722863586E-5</v>
      </c>
      <c r="D216" s="1">
        <v>1.4420474809700001E-3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25">
      <c r="A217">
        <v>4.5759476338200003E-2</v>
      </c>
      <c r="B217" s="1">
        <v>3.9161833602400001E-4</v>
      </c>
      <c r="C217" s="1">
        <v>2.56226716595E-5</v>
      </c>
      <c r="D217" s="1">
        <v>1.4524679557800001E-3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25">
      <c r="A218">
        <v>4.6217071101599998E-2</v>
      </c>
      <c r="B218" s="1">
        <v>4.5112470217199997E-4</v>
      </c>
      <c r="C218" s="1">
        <v>2.7619531772000001E-5</v>
      </c>
      <c r="D218" s="1">
        <v>1.46299263534E-3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25">
      <c r="A219">
        <v>4.6679241812599997E-2</v>
      </c>
      <c r="B219" s="1">
        <v>5.2498963159300002E-4</v>
      </c>
      <c r="C219" s="1">
        <v>2.99158799612E-5</v>
      </c>
      <c r="D219" s="1">
        <v>1.47362256169E-3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25">
      <c r="A220">
        <v>4.71460342308E-2</v>
      </c>
      <c r="B220" s="1">
        <v>5.7622439016100004E-4</v>
      </c>
      <c r="C220" s="1">
        <v>3.1367242235300001E-5</v>
      </c>
      <c r="D220" s="1">
        <v>1.48435878731E-3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25">
      <c r="A221">
        <v>4.7617494573100001E-2</v>
      </c>
      <c r="B221" s="1">
        <v>5.6945852591599999E-4</v>
      </c>
      <c r="C221" s="1">
        <v>3.1377476603500001E-5</v>
      </c>
      <c r="D221" s="1">
        <v>1.4952023751800001E-3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25">
      <c r="A222">
        <v>4.8093669518800002E-2</v>
      </c>
      <c r="B222" s="1">
        <v>5.6083592324600003E-4</v>
      </c>
      <c r="C222" s="1">
        <v>2.94878094033E-5</v>
      </c>
      <c r="D222" s="1">
        <v>1.5061543989299999E-3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25">
      <c r="A223">
        <v>4.8574606213999998E-2</v>
      </c>
      <c r="B223" s="1">
        <v>5.3769167181400002E-4</v>
      </c>
      <c r="C223" s="1">
        <v>2.8278053952499999E-5</v>
      </c>
      <c r="D223" s="1">
        <v>1.51721594292E-3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25">
      <c r="A224">
        <v>4.9060352276099999E-2</v>
      </c>
      <c r="B224" s="1">
        <v>6.0508870824E-4</v>
      </c>
      <c r="C224" s="1">
        <v>3.33157057733E-5</v>
      </c>
      <c r="D224" s="1">
        <v>1.5283881023500001E-3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25">
      <c r="A225">
        <v>4.9550955798900002E-2</v>
      </c>
      <c r="B225" s="1">
        <v>6.2501894521700002E-4</v>
      </c>
      <c r="C225" s="1">
        <v>3.3949440115600001E-5</v>
      </c>
      <c r="D225" s="1">
        <v>1.5396719833700001E-3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25">
      <c r="A226">
        <v>5.0046465356900001E-2</v>
      </c>
      <c r="B226" s="1">
        <v>5.0374134786600004E-4</v>
      </c>
      <c r="C226" s="1">
        <v>2.8175812373700001E-5</v>
      </c>
      <c r="D226" s="1">
        <v>1.5510687032100001E-3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25">
      <c r="A227">
        <v>5.0546930010399997E-2</v>
      </c>
      <c r="B227" s="1">
        <v>4.6853548203000002E-4</v>
      </c>
      <c r="C227" s="1">
        <v>2.7835861409000002E-5</v>
      </c>
      <c r="D227" s="1">
        <v>1.56257939024E-3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25">
      <c r="A228">
        <v>5.1052399310499999E-2</v>
      </c>
      <c r="B228" s="1">
        <v>4.2710841245099999E-4</v>
      </c>
      <c r="C228" s="1">
        <v>2.4536093333E-5</v>
      </c>
      <c r="D228" s="1">
        <v>1.5742051841400001E-3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25">
      <c r="A229">
        <v>5.1562923303600003E-2</v>
      </c>
      <c r="B229" s="1">
        <v>3.5617306188300002E-4</v>
      </c>
      <c r="C229" s="1">
        <v>2.2556715228699998E-5</v>
      </c>
      <c r="D229" s="1">
        <v>1.58594723598E-3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25">
      <c r="A230">
        <v>5.2078552536699997E-2</v>
      </c>
      <c r="B230" s="1">
        <v>3.1033413693500001E-4</v>
      </c>
      <c r="C230" s="1">
        <v>2.08398927325E-5</v>
      </c>
      <c r="D230" s="1">
        <v>1.5978067083399999E-3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25">
      <c r="A231">
        <v>5.2599338062100001E-2</v>
      </c>
      <c r="B231" s="1">
        <v>3.07869178149E-4</v>
      </c>
      <c r="C231" s="1">
        <v>2.1075530722300001E-5</v>
      </c>
      <c r="D231" s="1">
        <v>1.6097847754299999E-3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25">
      <c r="A232">
        <v>5.31253314427E-2</v>
      </c>
      <c r="B232" s="1">
        <v>2.1434778754100001E-4</v>
      </c>
      <c r="C232" s="1">
        <v>1.7584937773299999E-5</v>
      </c>
      <c r="D232" s="1">
        <v>1.6218826231800001E-3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25">
      <c r="A233">
        <v>5.3656584757100001E-2</v>
      </c>
      <c r="B233" s="1">
        <v>1.9893614031800001E-4</v>
      </c>
      <c r="C233" s="1">
        <v>1.7371313301400001E-5</v>
      </c>
      <c r="D233" s="1">
        <v>1.6341014494100001E-3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25">
      <c r="A234">
        <v>5.4193150604700001E-2</v>
      </c>
      <c r="B234" s="1">
        <v>1.6417051713499999E-4</v>
      </c>
      <c r="C234" s="1">
        <v>1.59901205729E-5</v>
      </c>
      <c r="D234" s="1">
        <v>1.64644246391E-3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25">
      <c r="A235">
        <v>5.4735082110700002E-2</v>
      </c>
      <c r="B235" s="1">
        <v>1.31520381767E-4</v>
      </c>
      <c r="C235" s="1">
        <v>1.39850185657E-5</v>
      </c>
      <c r="D235" s="1">
        <v>1.65890688855E-3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25">
      <c r="A236">
        <v>5.5282432931799998E-2</v>
      </c>
      <c r="B236" s="1">
        <v>1.12151888618E-4</v>
      </c>
      <c r="C236" s="1">
        <v>1.2811901545E-5</v>
      </c>
      <c r="D236" s="1">
        <v>1.6714959574299999E-3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25">
      <c r="A237">
        <v>5.5835257261100002E-2</v>
      </c>
      <c r="B237" s="1">
        <v>1.1604333277100001E-4</v>
      </c>
      <c r="C237" s="1">
        <v>1.32550309486E-5</v>
      </c>
      <c r="D237" s="1">
        <v>1.6842109170100001E-3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25">
      <c r="A238">
        <v>5.6393609833799999E-2</v>
      </c>
      <c r="B238" s="1">
        <v>9.3163608862300003E-5</v>
      </c>
      <c r="C238" s="1">
        <v>1.15729556505E-5</v>
      </c>
      <c r="D238" s="1">
        <v>1.69705302618E-3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25">
      <c r="A239">
        <v>5.69575459321E-2</v>
      </c>
      <c r="B239" s="1">
        <v>1.05784574513E-4</v>
      </c>
      <c r="C239" s="1">
        <v>1.1898325950400001E-5</v>
      </c>
      <c r="D239" s="1">
        <v>1.7100235564399999E-3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25">
      <c r="A240">
        <v>5.7527121391400003E-2</v>
      </c>
      <c r="B240" s="1">
        <v>1.3133031924299999E-4</v>
      </c>
      <c r="C240" s="1">
        <v>1.32939676855E-5</v>
      </c>
      <c r="D240" s="1">
        <v>1.7231237920000001E-3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25">
      <c r="A241">
        <v>5.81023926053E-2</v>
      </c>
      <c r="B241" s="1">
        <v>1.0767207157800001E-4</v>
      </c>
      <c r="C241" s="1">
        <v>1.18291374762E-5</v>
      </c>
      <c r="D241" s="1">
        <v>1.73635502992E-3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25">
      <c r="A242">
        <v>5.8683416531400003E-2</v>
      </c>
      <c r="B242" s="1">
        <v>1.2125699315E-4</v>
      </c>
      <c r="C242" s="1">
        <v>1.27859764761E-5</v>
      </c>
      <c r="D242" s="1">
        <v>1.74971858022E-3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25">
      <c r="A243">
        <v>5.92702506967E-2</v>
      </c>
      <c r="B243" s="1">
        <v>8.9703575216400002E-5</v>
      </c>
      <c r="C243" s="1">
        <v>1.09261353739E-5</v>
      </c>
      <c r="D243" s="1">
        <v>1.7632157660200001E-3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25">
      <c r="A244">
        <v>5.9862953203699998E-2</v>
      </c>
      <c r="B244" s="1">
        <v>1.01381411825E-4</v>
      </c>
      <c r="C244" s="1">
        <v>1.1895954644099999E-5</v>
      </c>
      <c r="D244" s="1">
        <v>1.7768479236799999E-3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25">
      <c r="A245">
        <v>6.0461582735700001E-2</v>
      </c>
      <c r="B245" s="1">
        <v>9.4223320853999994E-5</v>
      </c>
      <c r="C245" s="1">
        <v>1.2068119377800001E-5</v>
      </c>
      <c r="D245" s="1">
        <v>1.79061640292E-3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25">
      <c r="A246">
        <v>6.1066198563099999E-2</v>
      </c>
      <c r="B246" s="1">
        <v>9.7927974105400007E-5</v>
      </c>
      <c r="C246" s="1">
        <v>1.34235872533E-5</v>
      </c>
      <c r="D246" s="1">
        <v>1.80452256695E-3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25">
      <c r="A247">
        <v>6.1676860548700002E-2</v>
      </c>
      <c r="B247" s="1">
        <v>7.3792972873400005E-5</v>
      </c>
      <c r="C247" s="1">
        <v>1.0727120521500001E-5</v>
      </c>
      <c r="D247" s="1">
        <v>1.8185677926199999E-3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25">
      <c r="A248">
        <v>6.2293629154200003E-2</v>
      </c>
      <c r="B248" s="1">
        <v>5.9274224681999997E-5</v>
      </c>
      <c r="C248" s="1">
        <v>1.00675041324E-5</v>
      </c>
      <c r="D248" s="1">
        <v>1.8327534705499999E-3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25">
      <c r="A249">
        <v>6.2916565445699998E-2</v>
      </c>
      <c r="B249" s="1">
        <v>7.2034170856500004E-5</v>
      </c>
      <c r="C249" s="1">
        <v>9.6638721140500006E-6</v>
      </c>
      <c r="D249" s="1">
        <v>1.8470810052500001E-3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25">
      <c r="A250">
        <v>6.3545731100199995E-2</v>
      </c>
      <c r="B250" s="1">
        <v>5.2157407837599998E-5</v>
      </c>
      <c r="C250" s="1">
        <v>8.5919909009700006E-6</v>
      </c>
      <c r="D250" s="1">
        <v>1.8615518153E-3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25">
      <c r="A251">
        <v>6.4181188411200005E-2</v>
      </c>
      <c r="B251" s="1">
        <v>5.4674776388999998E-5</v>
      </c>
      <c r="C251" s="1">
        <v>8.5991381624E-6</v>
      </c>
      <c r="D251" s="1">
        <v>1.87616733346E-3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25">
      <c r="A252">
        <v>6.4823000295299998E-2</v>
      </c>
      <c r="B252" s="1">
        <v>4.4801933887200001E-5</v>
      </c>
      <c r="C252" s="1">
        <v>8.0399953017300008E-6</v>
      </c>
      <c r="D252" s="1">
        <v>1.8909290067899999E-3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25">
      <c r="A253">
        <v>6.5471230298199998E-2</v>
      </c>
      <c r="B253" s="1">
        <v>3.43773047197E-5</v>
      </c>
      <c r="C253" s="1">
        <v>7.8819409521199994E-6</v>
      </c>
      <c r="D253" s="1">
        <v>1.9058382968600001E-3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25">
      <c r="A254">
        <v>6.61259426012E-2</v>
      </c>
      <c r="B254" s="1">
        <v>2.9450661242999999E-5</v>
      </c>
      <c r="C254" s="1">
        <v>7.2606432965100002E-6</v>
      </c>
      <c r="D254" s="1">
        <v>1.9208966798300001E-3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25">
      <c r="A255">
        <v>6.6787202027199996E-2</v>
      </c>
      <c r="B255" s="1">
        <v>3.8245682098500001E-5</v>
      </c>
      <c r="C255" s="1">
        <v>7.41775648895E-6</v>
      </c>
      <c r="D255" s="1">
        <v>1.93610564663E-3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25">
      <c r="A256">
        <v>6.7455074047499994E-2</v>
      </c>
      <c r="B256" s="1">
        <v>4.5967684686600001E-5</v>
      </c>
      <c r="C256" s="1">
        <v>8.1854124725700006E-6</v>
      </c>
      <c r="D256" s="1">
        <v>1.9514667030900001E-3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25">
      <c r="A257">
        <v>6.8129624787999998E-2</v>
      </c>
      <c r="B257" s="1">
        <v>3.4403767458400001E-5</v>
      </c>
      <c r="C257" s="1">
        <v>7.4375057934200001E-6</v>
      </c>
      <c r="D257" s="1">
        <v>1.9669813701200002E-3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25">
      <c r="A258">
        <v>6.8810921035900002E-2</v>
      </c>
      <c r="B258" s="1">
        <v>4.3893493438000002E-5</v>
      </c>
      <c r="C258" s="1">
        <v>7.3935486610400001E-6</v>
      </c>
      <c r="D258" s="1">
        <v>1.9826511838199998E-3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25">
      <c r="A259">
        <v>6.9499030246199994E-2</v>
      </c>
      <c r="B259" s="1">
        <v>4.0958853530499998E-5</v>
      </c>
      <c r="C259" s="1">
        <v>7.3614374263999998E-6</v>
      </c>
      <c r="D259" s="1">
        <v>1.9984776956599999E-3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25">
      <c r="A260">
        <v>7.0194020548699998E-2</v>
      </c>
      <c r="B260" s="1">
        <v>3.50782585441E-5</v>
      </c>
      <c r="C260" s="1">
        <v>7.1302144893899997E-6</v>
      </c>
      <c r="D260" s="1">
        <v>2.0144624726199998E-3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25">
      <c r="A261">
        <v>7.0895960754200002E-2</v>
      </c>
      <c r="B261" s="1">
        <v>5.00493470424E-5</v>
      </c>
      <c r="C261" s="1">
        <v>8.2457844747199993E-6</v>
      </c>
      <c r="D261" s="1">
        <v>2.0306070973499998E-3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25">
      <c r="A262">
        <v>7.1604920361700006E-2</v>
      </c>
      <c r="B262" s="1">
        <v>5.7827007084799998E-5</v>
      </c>
      <c r="C262" s="1">
        <v>8.0716164651300008E-6</v>
      </c>
      <c r="D262" s="1">
        <v>2.0469131683199999E-3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25">
      <c r="A263">
        <v>7.23209695653E-2</v>
      </c>
      <c r="B263" s="1">
        <v>4.5483113812800003E-5</v>
      </c>
      <c r="C263" s="1">
        <v>8.1774603387800004E-6</v>
      </c>
      <c r="D263" s="1">
        <v>2.0633823E-3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25">
      <c r="A264">
        <v>7.3044179261E-2</v>
      </c>
      <c r="B264" s="1">
        <v>4.9984595910000003E-5</v>
      </c>
      <c r="C264" s="1">
        <v>8.1285361391700005E-6</v>
      </c>
      <c r="D264" s="1">
        <v>2.080016123E-3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25">
      <c r="A265">
        <v>7.3774621053599998E-2</v>
      </c>
      <c r="B265" s="1">
        <v>4.4905932526E-5</v>
      </c>
      <c r="C265" s="1">
        <v>7.6789151558699997E-6</v>
      </c>
      <c r="D265" s="1">
        <v>2.0968162842299998E-3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25">
      <c r="A266">
        <v>7.4512367264100002E-2</v>
      </c>
      <c r="B266" s="1">
        <v>6.1755445539899998E-5</v>
      </c>
      <c r="C266" s="1">
        <v>8.7761347444500002E-6</v>
      </c>
      <c r="D266" s="1">
        <v>2.11378444707E-3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25">
      <c r="A267">
        <v>7.5257490936799995E-2</v>
      </c>
      <c r="B267" s="1">
        <v>5.36368059493E-5</v>
      </c>
      <c r="C267" s="1">
        <v>5.3162323650900002E-6</v>
      </c>
      <c r="D267" s="1">
        <v>2.1309222915499998E-3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25">
      <c r="A268">
        <v>7.6010065846099997E-2</v>
      </c>
      <c r="B268" s="1">
        <v>7.1683620115999997E-5</v>
      </c>
      <c r="C268" s="1">
        <v>6.0403485194100003E-6</v>
      </c>
      <c r="D268" s="1">
        <v>2.1482315144599998E-3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25">
      <c r="A269">
        <v>7.6770166504600001E-2</v>
      </c>
      <c r="B269" s="1">
        <v>5.9908169840100002E-5</v>
      </c>
      <c r="C269" s="1">
        <v>5.67190792612E-6</v>
      </c>
      <c r="D269" s="1">
        <v>2.1657138296100002E-3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25">
      <c r="A270">
        <v>7.7537868169599997E-2</v>
      </c>
      <c r="B270" s="1">
        <v>5.9177658462900002E-5</v>
      </c>
      <c r="C270" s="1">
        <v>5.2925133860199999E-6</v>
      </c>
      <c r="D270" s="1">
        <v>2.1833709679000002E-3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25">
      <c r="A271">
        <v>7.8313246851300006E-2</v>
      </c>
      <c r="B271" s="1">
        <v>4.8912836367100002E-5</v>
      </c>
      <c r="C271" s="1">
        <v>4.87114679007E-6</v>
      </c>
      <c r="D271" s="1">
        <v>2.2012046775799999E-3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25">
      <c r="A272">
        <v>7.90963793198E-2</v>
      </c>
      <c r="B272" s="1">
        <v>4.5710821886599998E-5</v>
      </c>
      <c r="C272" s="1">
        <v>4.6444006461600003E-6</v>
      </c>
      <c r="D272" s="1">
        <v>2.2192167243599999E-3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25">
      <c r="A273">
        <v>7.9887343112999998E-2</v>
      </c>
      <c r="B273" s="1">
        <v>4.9053483113399999E-5</v>
      </c>
      <c r="C273" s="1">
        <v>4.7020512107200001E-6</v>
      </c>
      <c r="D273" s="1">
        <v>2.2374088916000002E-3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25">
      <c r="A274">
        <v>8.0686216544199996E-2</v>
      </c>
      <c r="B274" s="1">
        <v>4.2510743012000001E-5</v>
      </c>
      <c r="C274" s="1">
        <v>4.4337084142499999E-6</v>
      </c>
      <c r="D274" s="1">
        <v>2.2557829805199998E-3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25">
      <c r="A275">
        <v>8.14930787096E-2</v>
      </c>
      <c r="B275" s="1">
        <v>3.3946636886899999E-5</v>
      </c>
      <c r="C275" s="1">
        <v>4.1699010369999999E-6</v>
      </c>
      <c r="D275" s="1">
        <v>2.27434081032E-3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25">
      <c r="A276">
        <v>8.2308009496700002E-2</v>
      </c>
      <c r="B276" s="1">
        <v>4.04823502816E-5</v>
      </c>
      <c r="C276" s="1">
        <v>4.3189250946400003E-6</v>
      </c>
      <c r="D276" s="1">
        <v>2.2930842184199999E-3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25">
      <c r="A277">
        <v>8.31310895917E-2</v>
      </c>
      <c r="B277" s="1">
        <v>3.0832992162300003E-5</v>
      </c>
      <c r="C277" s="1">
        <v>4.13113797495E-6</v>
      </c>
      <c r="D277" s="1">
        <v>2.3120150606099998E-3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25">
      <c r="A278">
        <v>8.3962400487599995E-2</v>
      </c>
      <c r="B278" s="1">
        <v>3.7454711624200001E-5</v>
      </c>
      <c r="C278" s="1">
        <v>4.1770676676400002E-6</v>
      </c>
      <c r="D278" s="1">
        <v>2.3311352112099998E-3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25">
      <c r="A279">
        <v>8.4802024492500003E-2</v>
      </c>
      <c r="B279" s="1">
        <v>3.0653933585600001E-5</v>
      </c>
      <c r="C279" s="1">
        <v>3.8187586812400001E-6</v>
      </c>
      <c r="D279" s="1">
        <v>2.3504465633299998E-3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25">
      <c r="A280">
        <v>8.5650044737399997E-2</v>
      </c>
      <c r="B280" s="1">
        <v>3.5051084044800003E-5</v>
      </c>
      <c r="C280" s="1">
        <v>3.92374214117E-6</v>
      </c>
      <c r="D280" s="1">
        <v>2.3699510289600001E-3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25">
      <c r="A281">
        <v>8.6506545184799999E-2</v>
      </c>
      <c r="B281" s="1">
        <v>3.5292021636400002E-5</v>
      </c>
      <c r="C281" s="1">
        <v>3.9339641248900002E-6</v>
      </c>
      <c r="D281" s="1">
        <v>2.3896505392499998E-3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25">
      <c r="A282">
        <v>8.7371610636599997E-2</v>
      </c>
      <c r="B282" s="1">
        <v>3.7706862421799998E-5</v>
      </c>
      <c r="C282" s="1">
        <v>3.9022428144800002E-6</v>
      </c>
      <c r="D282" s="1">
        <v>2.4095470446400002E-3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25">
      <c r="A283">
        <v>8.8245326742999994E-2</v>
      </c>
      <c r="B283" s="1">
        <v>2.4821254191699998E-5</v>
      </c>
      <c r="C283" s="1">
        <v>3.3537086317500001E-6</v>
      </c>
      <c r="D283" s="1">
        <v>2.4296425150899998E-3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25">
      <c r="A284">
        <v>8.9127780010400004E-2</v>
      </c>
      <c r="B284" s="1">
        <v>2.6851913899700001E-5</v>
      </c>
      <c r="C284" s="1">
        <v>3.4251523863600001E-6</v>
      </c>
      <c r="D284" s="1">
        <v>2.44993894024E-3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25">
      <c r="A285">
        <v>9.00190578105E-2</v>
      </c>
      <c r="B285" s="1">
        <v>2.9015817015999999E-5</v>
      </c>
      <c r="C285" s="1">
        <v>3.4796122096099999E-6</v>
      </c>
      <c r="D285" s="1">
        <v>2.4704383296399999E-3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25">
      <c r="A286">
        <v>9.0919248388599994E-2</v>
      </c>
      <c r="B286" s="1">
        <v>2.5761341790300001E-5</v>
      </c>
      <c r="C286" s="1">
        <v>3.3174168610500002E-6</v>
      </c>
      <c r="D286" s="1">
        <v>2.49114271294E-3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25">
      <c r="A287">
        <v>9.18284408725E-2</v>
      </c>
      <c r="B287" s="1">
        <v>2.2162690333800001E-5</v>
      </c>
      <c r="C287" s="1">
        <v>3.2936208417100002E-6</v>
      </c>
      <c r="D287" s="1">
        <v>2.51205414007E-3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25">
      <c r="A288">
        <v>9.2746725281199996E-2</v>
      </c>
      <c r="B288" s="1">
        <v>1.9078789743899999E-5</v>
      </c>
      <c r="C288" s="1">
        <v>3.5705759302100001E-6</v>
      </c>
      <c r="D288" s="1">
        <v>2.5331746814699998E-3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25">
      <c r="A289">
        <v>9.3674192534E-2</v>
      </c>
      <c r="B289" s="1">
        <v>1.6374340748300001E-5</v>
      </c>
      <c r="C289" s="1">
        <v>3.8442757381399998E-6</v>
      </c>
      <c r="D289" s="1">
        <v>2.5545064282799998E-3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25">
      <c r="A290">
        <v>9.4610934459399998E-2</v>
      </c>
      <c r="B290" s="1">
        <v>2.0133217785299999E-5</v>
      </c>
      <c r="C290" s="1">
        <v>3.6988752909400001E-6</v>
      </c>
      <c r="D290" s="1">
        <v>2.5760514925700002E-3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25">
      <c r="A291">
        <v>9.5557043804E-2</v>
      </c>
      <c r="B291" s="1">
        <v>2.63452017968E-5</v>
      </c>
      <c r="C291" s="1">
        <v>4.0157251022500002E-6</v>
      </c>
      <c r="D291" s="1">
        <v>2.5978120074900001E-3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25">
      <c r="A292">
        <v>9.6512614242E-2</v>
      </c>
      <c r="B292" s="1">
        <v>1.87377079417E-5</v>
      </c>
      <c r="C292" s="1">
        <v>3.52508318927E-6</v>
      </c>
      <c r="D292" s="1">
        <v>2.61979012757E-3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25">
      <c r="A293">
        <v>9.7477740384400005E-2</v>
      </c>
      <c r="B293" s="1">
        <v>2.2974880115100002E-5</v>
      </c>
      <c r="C293" s="1">
        <v>3.69892438749E-6</v>
      </c>
      <c r="D293" s="1">
        <v>2.6419880288399999E-3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25">
      <c r="A294">
        <v>9.8452517788299998E-2</v>
      </c>
      <c r="B294" s="1">
        <v>1.6420099465E-5</v>
      </c>
      <c r="C294" s="1">
        <v>2.9657772505999999E-6</v>
      </c>
      <c r="D294" s="1">
        <v>2.6644079091300002E-3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25">
      <c r="A295">
        <v>9.9437042966199998E-2</v>
      </c>
      <c r="B295" s="1">
        <v>1.59472336064E-5</v>
      </c>
      <c r="C295" s="1">
        <v>3.4396673011299998E-6</v>
      </c>
      <c r="D295" s="1">
        <v>2.68705198822E-3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25">
      <c r="A296">
        <v>0.10043141339599999</v>
      </c>
      <c r="B296" s="1">
        <v>2.2490983593299998E-5</v>
      </c>
      <c r="C296" s="1">
        <v>3.5485421134800002E-6</v>
      </c>
      <c r="D296" s="1">
        <v>2.7099225081E-3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25">
      <c r="A297">
        <v>0.10143572753000001</v>
      </c>
      <c r="B297" s="1">
        <v>1.8186813200899998E-5</v>
      </c>
      <c r="C297" s="1">
        <v>3.3488542783500001E-6</v>
      </c>
      <c r="D297" s="1">
        <v>2.73302173319E-3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25">
      <c r="A298">
        <v>0.10245008480499999</v>
      </c>
      <c r="B298" s="1">
        <v>1.7878736887500001E-5</v>
      </c>
      <c r="C298" s="1">
        <v>3.21041495393E-6</v>
      </c>
      <c r="D298" s="1">
        <v>2.7563519505200001E-3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25">
      <c r="A299">
        <v>0.103474585653</v>
      </c>
      <c r="B299" s="1">
        <v>2.41162053664E-5</v>
      </c>
      <c r="C299" s="1">
        <v>3.55011101668E-6</v>
      </c>
      <c r="D299" s="1">
        <v>2.7799154700199999E-3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25">
      <c r="A300">
        <v>0.10450933151</v>
      </c>
      <c r="B300" s="1">
        <v>2.22886241493E-5</v>
      </c>
      <c r="C300" s="1">
        <v>3.3465849375300001E-6</v>
      </c>
      <c r="D300" s="1">
        <v>2.8037146247199998E-3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25">
      <c r="A301">
        <v>0.10555442482500001</v>
      </c>
      <c r="B301" s="1">
        <v>1.23407047104E-5</v>
      </c>
      <c r="C301" s="1">
        <v>3.1002177036900002E-6</v>
      </c>
      <c r="D301" s="1">
        <v>2.82775177097E-3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25">
      <c r="A302">
        <v>0.10660996907299999</v>
      </c>
      <c r="B302" s="1">
        <v>1.25945699333E-5</v>
      </c>
      <c r="C302" s="1">
        <v>3.45610555307E-6</v>
      </c>
      <c r="D302" s="1">
        <v>2.8520292886799999E-3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25">
      <c r="A303">
        <v>0.107676068764</v>
      </c>
      <c r="B303" s="1">
        <v>1.65094757475E-5</v>
      </c>
      <c r="C303" s="1">
        <v>3.3521213332499999E-6</v>
      </c>
      <c r="D303" s="1">
        <v>2.87654958157E-3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25">
      <c r="A304">
        <v>0.108752829451</v>
      </c>
      <c r="B304" s="1">
        <v>7.0039648511700002E-6</v>
      </c>
      <c r="C304" s="1">
        <v>2.7390113933000001E-6</v>
      </c>
      <c r="D304" s="1">
        <v>2.9013150773800002E-3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25">
      <c r="A305">
        <v>0.109840357746</v>
      </c>
      <c r="B305" s="1">
        <v>1.3014514354999999E-5</v>
      </c>
      <c r="C305" s="1">
        <v>3.0352175588900001E-6</v>
      </c>
      <c r="D305" s="1">
        <v>2.9263282281600002E-3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25">
      <c r="A306">
        <v>0.110938761323</v>
      </c>
      <c r="B306" s="1">
        <v>1.2052185585100001E-5</v>
      </c>
      <c r="C306" s="1">
        <v>2.8976163646199998E-6</v>
      </c>
      <c r="D306" s="1">
        <v>2.9515915104400001E-3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25">
      <c r="A307">
        <v>0.11204814893700001</v>
      </c>
      <c r="B307" s="1">
        <v>1.6957416649699998E-5</v>
      </c>
      <c r="C307" s="1">
        <v>3.0309537401000001E-6</v>
      </c>
      <c r="D307" s="1">
        <v>2.97710742554E-3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25">
      <c r="A308">
        <v>0.11316863042600001</v>
      </c>
      <c r="B308" s="1">
        <v>7.8590176240299994E-6</v>
      </c>
      <c r="C308" s="1">
        <v>2.4622241790800002E-6</v>
      </c>
      <c r="D308" s="1">
        <v>3.0028784998000001E-3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25">
      <c r="A309">
        <v>0.11430031673</v>
      </c>
      <c r="B309" s="1">
        <v>1.6110568974000002E-5</v>
      </c>
      <c r="C309" s="1">
        <v>3.0704433725400001E-6</v>
      </c>
      <c r="D309" s="1">
        <v>3.0289072847900001E-3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25">
      <c r="A310">
        <v>0.115443319898</v>
      </c>
      <c r="B310" s="1">
        <v>1.47619765566E-5</v>
      </c>
      <c r="C310" s="1">
        <v>3.1046372961599999E-6</v>
      </c>
      <c r="D310" s="1">
        <v>3.0551963576400001E-3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25">
      <c r="A311">
        <v>0.116597753096</v>
      </c>
      <c r="B311" s="1">
        <v>1.02786706648E-5</v>
      </c>
      <c r="C311" s="1">
        <v>2.4348862022800002E-6</v>
      </c>
      <c r="D311" s="1">
        <v>3.0817483212199999E-3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25">
      <c r="A312">
        <v>0.117763730627</v>
      </c>
      <c r="B312" s="1">
        <v>8.8160918487500005E-6</v>
      </c>
      <c r="C312" s="1">
        <v>2.62363051303E-6</v>
      </c>
      <c r="D312" s="1">
        <v>3.1085658044299998E-3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25">
      <c r="A313">
        <v>0.11894136793399999</v>
      </c>
      <c r="B313" s="1">
        <v>9.5581739504000003E-6</v>
      </c>
      <c r="C313" s="1">
        <v>2.6320839169599999E-6</v>
      </c>
      <c r="D313" s="1">
        <v>3.1356514624800002E-3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25">
      <c r="A314">
        <v>0.120130781613</v>
      </c>
      <c r="B314" s="1">
        <v>8.3107276420200002E-6</v>
      </c>
      <c r="C314" s="1">
        <v>2.3416663587999999E-6</v>
      </c>
      <c r="D314" s="1">
        <v>3.1630079771000001E-3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25">
      <c r="A315">
        <v>0.12133208942900001</v>
      </c>
      <c r="B315" s="1">
        <v>7.4747592682800003E-6</v>
      </c>
      <c r="C315" s="1">
        <v>2.41551695653E-6</v>
      </c>
      <c r="D315" s="1">
        <v>3.19063805687E-3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25">
      <c r="A316">
        <v>0.122545410323</v>
      </c>
      <c r="B316" s="1">
        <v>9.5497669199500004E-6</v>
      </c>
      <c r="C316" s="1">
        <v>2.5228342757E-6</v>
      </c>
      <c r="D316" s="1">
        <v>3.2185444374399999E-3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25">
      <c r="A317">
        <v>0.123770864427</v>
      </c>
      <c r="B317" s="1">
        <v>7.1387600765999998E-6</v>
      </c>
      <c r="C317" s="1">
        <v>2.4851062494299999E-6</v>
      </c>
      <c r="D317" s="1">
        <v>3.2467298818099999E-3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25">
      <c r="A318">
        <v>0.125008573071</v>
      </c>
      <c r="B318" s="1">
        <v>7.5448961511599999E-6</v>
      </c>
      <c r="C318" s="1">
        <v>2.3082359269300001E-6</v>
      </c>
      <c r="D318" s="1">
        <v>3.2751971806300002E-3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25">
      <c r="A319">
        <v>0.12625865880199999</v>
      </c>
      <c r="B319" s="1">
        <v>1.1920542164799999E-5</v>
      </c>
      <c r="C319" s="1">
        <v>2.6330739718299999E-6</v>
      </c>
      <c r="D319" s="1">
        <v>3.3039491524399999E-3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25">
      <c r="A320">
        <v>0.12752124539000001</v>
      </c>
      <c r="B320" s="1">
        <v>2.6007045566999998E-6</v>
      </c>
      <c r="C320" s="1">
        <v>2.13240025889E-6</v>
      </c>
      <c r="D320" s="1">
        <v>3.3329886439600002E-3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25">
      <c r="A321">
        <v>0.12879645784400001</v>
      </c>
      <c r="B321" s="1">
        <v>3.7173440834500001E-6</v>
      </c>
      <c r="C321" s="1">
        <v>2.1487970038100001E-6</v>
      </c>
      <c r="D321" s="1">
        <v>3.3623185304E-3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25">
      <c r="A322">
        <v>0.130084422422</v>
      </c>
      <c r="B322" s="1">
        <v>4.68539138648E-6</v>
      </c>
      <c r="C322" s="1">
        <v>2.2266903636100002E-6</v>
      </c>
      <c r="D322" s="1">
        <v>3.3919417157099998E-3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25">
      <c r="A323">
        <v>0.131385266646</v>
      </c>
      <c r="B323" s="1">
        <v>6.4654887712300002E-6</v>
      </c>
      <c r="C323" s="1">
        <v>2.36157065901E-6</v>
      </c>
      <c r="D323" s="1">
        <v>3.4218611328599999E-3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25">
      <c r="A324">
        <v>0.13269911931299999</v>
      </c>
      <c r="B324" s="1">
        <v>4.5953867328099996E-6</v>
      </c>
      <c r="C324" s="1">
        <v>2.57096188397E-6</v>
      </c>
      <c r="D324" s="1">
        <v>3.4520797441899998E-3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25">
      <c r="A325">
        <v>0.134026110506</v>
      </c>
      <c r="B325" s="1">
        <v>1.18564067027E-5</v>
      </c>
      <c r="C325" s="1">
        <v>2.59719367101E-6</v>
      </c>
      <c r="D325" s="1">
        <v>3.4826005416300002E-3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25">
      <c r="A326">
        <v>0.13536637161100001</v>
      </c>
      <c r="B326" s="1">
        <v>4.2635119834599998E-6</v>
      </c>
      <c r="C326" s="1">
        <v>2.23235255716E-6</v>
      </c>
      <c r="D326" s="1">
        <v>3.51342654705E-3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25">
      <c r="A327">
        <v>0.136720035327</v>
      </c>
      <c r="B327" s="1">
        <v>8.7788998896199992E-6</v>
      </c>
      <c r="C327" s="1">
        <v>2.5005853076200002E-6</v>
      </c>
      <c r="D327" s="1">
        <v>3.5445608125200001E-3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25">
      <c r="A328">
        <v>0.13808723568</v>
      </c>
      <c r="B328" s="1">
        <v>9.12067183545E-6</v>
      </c>
      <c r="C328" s="1">
        <v>2.3600251464100002E-6</v>
      </c>
      <c r="D328" s="1">
        <v>3.5760064206500001E-3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25">
      <c r="A329">
        <v>0.13946810803699999</v>
      </c>
      <c r="B329" s="1">
        <v>1.03779042159E-5</v>
      </c>
      <c r="C329" s="1">
        <v>2.4141852751200002E-6</v>
      </c>
      <c r="D329" s="1">
        <v>3.6077664848500001E-3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25">
      <c r="A330">
        <v>0.14086278911700001</v>
      </c>
      <c r="B330" s="1">
        <v>1.0257588364300001E-5</v>
      </c>
      <c r="C330" s="1">
        <v>2.5634340323899999E-6</v>
      </c>
      <c r="D330" s="1">
        <v>3.6398441496999999E-3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25">
      <c r="A331">
        <v>0.14227141700900001</v>
      </c>
      <c r="B331" s="1">
        <v>4.8829244087700003E-6</v>
      </c>
      <c r="C331" s="1">
        <v>2.2904723445600001E-6</v>
      </c>
      <c r="D331" s="1">
        <v>3.6722425912E-3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25">
      <c r="A332">
        <v>0.14369413117900001</v>
      </c>
      <c r="B332" s="1">
        <v>2.2393589231799999E-6</v>
      </c>
      <c r="C332" s="1">
        <v>2.2167405621799999E-6</v>
      </c>
      <c r="D332" s="1">
        <v>3.7049650171100002E-3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25">
      <c r="A333">
        <v>0.14513107249099999</v>
      </c>
      <c r="B333" s="1">
        <v>8.5646441313800004E-6</v>
      </c>
      <c r="C333" s="1">
        <v>2.4085266538199998E-6</v>
      </c>
      <c r="D333" s="1">
        <v>3.7380146672799999E-3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25">
      <c r="A334">
        <v>0.146582383215</v>
      </c>
      <c r="B334" s="1">
        <v>4.3117846909099998E-6</v>
      </c>
      <c r="C334" s="1">
        <v>2.3398337090400001E-6</v>
      </c>
      <c r="D334" s="1">
        <v>3.7713948139499998E-3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25">
      <c r="A335">
        <v>0.14804820704800001</v>
      </c>
      <c r="B335" s="1">
        <v>7.9949187837200004E-6</v>
      </c>
      <c r="C335" s="1">
        <v>2.35328316228E-6</v>
      </c>
      <c r="D335" s="1">
        <v>3.8051087620899998E-3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25">
      <c r="A336">
        <v>0.14952868911799999</v>
      </c>
      <c r="B336" s="1">
        <v>7.8004722089500001E-6</v>
      </c>
      <c r="C336" s="1">
        <v>2.2992234088599999E-6</v>
      </c>
      <c r="D336" s="1">
        <v>3.8391598497200001E-3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25">
      <c r="A337">
        <v>0.151023976009</v>
      </c>
      <c r="B337" s="1">
        <v>8.2656196570000006E-6</v>
      </c>
      <c r="C337" s="1">
        <v>2.4654038116700002E-6</v>
      </c>
      <c r="D337" s="1">
        <v>3.8735514482100002E-3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25">
      <c r="A338">
        <v>0.152534215769</v>
      </c>
      <c r="B338" s="1">
        <v>7.2794872823699998E-6</v>
      </c>
      <c r="C338" s="1">
        <v>2.6567748302099999E-6</v>
      </c>
      <c r="D338" s="1">
        <v>3.9082869626900002E-3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25">
      <c r="A339">
        <v>0.15405955792699999</v>
      </c>
      <c r="B339" s="1">
        <v>6.5021050412900003E-6</v>
      </c>
      <c r="C339" s="1">
        <v>2.2560786897099999E-6</v>
      </c>
      <c r="D339" s="1">
        <v>3.9433698323199998E-3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25">
      <c r="A340">
        <v>0.158727716592</v>
      </c>
      <c r="B340" s="1">
        <v>3.1866087327499998E-6</v>
      </c>
      <c r="C340" s="1">
        <v>2.1734549403000001E-6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25">
      <c r="A341">
        <v>0.16031499375800001</v>
      </c>
      <c r="B341" s="1">
        <v>5.8879277186400003E-6</v>
      </c>
      <c r="C341" s="1">
        <v>2.2963548980099999E-6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0" t="s">
        <v>1</v>
      </c>
      <c r="B1" s="200"/>
      <c r="C1" s="200"/>
      <c r="D1" s="200"/>
      <c r="E1" s="200"/>
      <c r="F1" s="200"/>
      <c r="G1" s="200"/>
      <c r="H1" s="200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Reflectivity</vt:lpstr>
      <vt:lpstr>Uncertainties</vt:lpstr>
      <vt:lpstr>swellRatioRich</vt:lpstr>
      <vt:lpstr>swellRatioPoor</vt:lpstr>
      <vt:lpstr>sigMarker</vt:lpstr>
      <vt:lpstr>deldod</vt:lpstr>
      <vt:lpstr>dSiOx</vt:lpstr>
      <vt:lpstr>sigBuffer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2020-03-05T21:58:28Z</dcterms:modified>
</cp:coreProperties>
</file>