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9BDD61DE-ABAA-4CE6-A66D-6A3184A29A7B}" xr6:coauthVersionLast="44" xr6:coauthVersionMax="44" xr10:uidLastSave="{00000000-0000-0000-0000-000000000000}"/>
  <bookViews>
    <workbookView minimized="1" xWindow="240" yWindow="615" windowWidth="17565" windowHeight="19410" tabRatio="749" firstSheet="1" activeTab="1" xr2:uid="{00000000-000D-0000-FFFF-FFFF00000000}"/>
  </bookViews>
  <sheets>
    <sheet name="Reflectivity" sheetId="1" r:id="rId1"/>
    <sheet name="Uncertainties" sheetId="48" r:id="rId2"/>
    <sheet name="swellRatio" sheetId="41" r:id="rId3"/>
    <sheet name="sigMarker" sheetId="50" r:id="rId4"/>
    <sheet name="ScaledCombined" sheetId="18" r:id="rId5"/>
    <sheet name="ScatteringParameters" sheetId="7" r:id="rId6"/>
    <sheet name="AtomicParameters" sheetId="6" r:id="rId7"/>
  </sheets>
  <functionGroups builtInGroupCount="19"/>
  <definedNames>
    <definedName name="REF_L_2790_2008_01_10T13_3A40_3A12_04_3A00_CE_scaling" localSheetId="4">ScaledCombined!$A$1:$M$180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48" l="1"/>
  <c r="C14" i="48"/>
  <c r="C9" i="1" l="1"/>
  <c r="H34" i="1"/>
  <c r="H32" i="1"/>
  <c r="H38" i="1"/>
  <c r="H20" i="1"/>
  <c r="H54" i="1"/>
  <c r="H24" i="1"/>
  <c r="H44" i="1"/>
  <c r="B37" i="1"/>
  <c r="C37" i="1"/>
  <c r="E37" i="1"/>
  <c r="H36" i="1"/>
  <c r="C20" i="1"/>
  <c r="B37" i="48"/>
  <c r="C18" i="48"/>
  <c r="C19" i="48" s="1"/>
  <c r="B18" i="48"/>
  <c r="H16" i="1"/>
  <c r="B19" i="48"/>
  <c r="B20" i="48"/>
  <c r="B34" i="48"/>
  <c r="B26" i="48"/>
  <c r="C27" i="48"/>
  <c r="B27" i="48"/>
  <c r="B35" i="48" s="1"/>
  <c r="C37" i="48" s="1"/>
  <c r="B23" i="48"/>
  <c r="D37" i="1"/>
  <c r="H40" i="1"/>
  <c r="B36" i="48"/>
  <c r="B38" i="48"/>
  <c r="H22" i="1"/>
  <c r="B31" i="48"/>
  <c r="B30" i="48"/>
  <c r="C31" i="48" s="1"/>
  <c r="B5" i="48"/>
  <c r="B3" i="48"/>
  <c r="C24" i="48" s="1"/>
  <c r="H6" i="1"/>
  <c r="B32" i="48"/>
  <c r="B29" i="48"/>
  <c r="H4" i="1"/>
  <c r="B28" i="48"/>
  <c r="B24" i="48"/>
  <c r="B22" i="48"/>
  <c r="C16" i="48"/>
  <c r="B16" i="48"/>
  <c r="F53" i="1"/>
  <c r="F23" i="1"/>
  <c r="F6" i="1"/>
  <c r="B13" i="48"/>
  <c r="B12" i="48"/>
  <c r="B11" i="48"/>
  <c r="F51" i="1"/>
  <c r="F21" i="1"/>
  <c r="F8" i="1"/>
  <c r="B10" i="48"/>
  <c r="B9" i="48"/>
  <c r="B8" i="48"/>
  <c r="H26" i="1"/>
  <c r="H10" i="1"/>
  <c r="B7" i="48"/>
  <c r="B6" i="48"/>
  <c r="F7" i="1"/>
  <c r="B4" i="48"/>
  <c r="B2" i="48"/>
  <c r="C8" i="48"/>
  <c r="C9" i="48" s="1"/>
  <c r="C11" i="48"/>
  <c r="C12" i="48" s="1"/>
  <c r="H64" i="1"/>
  <c r="F50" i="1"/>
  <c r="H58" i="1"/>
  <c r="G55" i="1"/>
  <c r="G54" i="1"/>
  <c r="H50" i="1"/>
  <c r="C53" i="1"/>
  <c r="H52" i="1"/>
  <c r="G52" i="1"/>
  <c r="C52" i="1"/>
  <c r="G51" i="1"/>
  <c r="C51" i="1"/>
  <c r="C50" i="1"/>
  <c r="F20" i="1"/>
  <c r="H28" i="1"/>
  <c r="G25" i="1"/>
  <c r="G24" i="1"/>
  <c r="E24" i="1"/>
  <c r="D24" i="1"/>
  <c r="C24" i="1"/>
  <c r="G23" i="1"/>
  <c r="C23" i="1"/>
  <c r="C22" i="1"/>
  <c r="G21" i="1"/>
  <c r="C21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" i="1"/>
  <c r="G8" i="1"/>
  <c r="F9" i="1"/>
  <c r="H12" i="1"/>
  <c r="G9" i="1"/>
  <c r="H8" i="1"/>
  <c r="C8" i="1"/>
  <c r="C7" i="1"/>
  <c r="F5" i="1"/>
  <c r="G6" i="1"/>
  <c r="C6" i="1"/>
  <c r="G5" i="1"/>
  <c r="F4" i="1"/>
  <c r="H65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Y143" i="1"/>
  <c r="X143" i="1"/>
  <c r="W143" i="1"/>
  <c r="V143" i="1"/>
  <c r="AA142" i="1"/>
  <c r="Y142" i="1"/>
  <c r="X142" i="1"/>
  <c r="W142" i="1"/>
  <c r="V142" i="1"/>
  <c r="AA141" i="1"/>
  <c r="Y141" i="1"/>
  <c r="X141" i="1"/>
  <c r="W141" i="1"/>
  <c r="V141" i="1"/>
  <c r="AA140" i="1"/>
  <c r="Y140" i="1"/>
  <c r="X140" i="1"/>
  <c r="W140" i="1"/>
  <c r="V140" i="1"/>
  <c r="AA139" i="1"/>
  <c r="Y139" i="1"/>
  <c r="X139" i="1"/>
  <c r="W139" i="1"/>
  <c r="V139" i="1"/>
  <c r="AA138" i="1"/>
  <c r="Y138" i="1"/>
  <c r="X138" i="1"/>
  <c r="W138" i="1"/>
  <c r="V138" i="1"/>
  <c r="AA137" i="1"/>
  <c r="Y137" i="1"/>
  <c r="X137" i="1"/>
  <c r="W137" i="1"/>
  <c r="V137" i="1"/>
  <c r="AA136" i="1"/>
  <c r="Y136" i="1"/>
  <c r="X136" i="1"/>
  <c r="W136" i="1"/>
  <c r="V136" i="1"/>
  <c r="AA135" i="1"/>
  <c r="Y135" i="1"/>
  <c r="X135" i="1"/>
  <c r="W135" i="1"/>
  <c r="V135" i="1"/>
  <c r="AA134" i="1"/>
  <c r="Y134" i="1"/>
  <c r="X134" i="1"/>
  <c r="W134" i="1"/>
  <c r="V134" i="1"/>
  <c r="AA133" i="1"/>
  <c r="Y133" i="1"/>
  <c r="X133" i="1"/>
  <c r="W133" i="1"/>
  <c r="V133" i="1"/>
  <c r="AA132" i="1"/>
  <c r="Y132" i="1"/>
  <c r="X132" i="1"/>
  <c r="W132" i="1"/>
  <c r="V132" i="1"/>
  <c r="AA131" i="1"/>
  <c r="Y131" i="1"/>
  <c r="X131" i="1"/>
  <c r="W131" i="1"/>
  <c r="V131" i="1"/>
  <c r="AA130" i="1"/>
  <c r="Y130" i="1"/>
  <c r="X130" i="1"/>
  <c r="W130" i="1"/>
  <c r="V130" i="1"/>
  <c r="AA129" i="1"/>
  <c r="Y129" i="1"/>
  <c r="X129" i="1"/>
  <c r="W129" i="1"/>
  <c r="V129" i="1"/>
  <c r="AA128" i="1"/>
  <c r="Y128" i="1"/>
  <c r="X128" i="1"/>
  <c r="W128" i="1"/>
  <c r="V128" i="1"/>
  <c r="AA127" i="1"/>
  <c r="Y127" i="1"/>
  <c r="X127" i="1"/>
  <c r="W127" i="1"/>
  <c r="V127" i="1"/>
  <c r="AA126" i="1"/>
  <c r="Y126" i="1"/>
  <c r="X126" i="1"/>
  <c r="W126" i="1"/>
  <c r="V126" i="1"/>
  <c r="AA125" i="1"/>
  <c r="Y125" i="1"/>
  <c r="X125" i="1"/>
  <c r="W125" i="1"/>
  <c r="V125" i="1"/>
  <c r="AA124" i="1"/>
  <c r="Y124" i="1"/>
  <c r="X124" i="1"/>
  <c r="W124" i="1"/>
  <c r="V124" i="1"/>
  <c r="AA123" i="1"/>
  <c r="Y123" i="1"/>
  <c r="X123" i="1"/>
  <c r="W123" i="1"/>
  <c r="V123" i="1"/>
  <c r="AA122" i="1"/>
  <c r="Y122" i="1"/>
  <c r="X122" i="1"/>
  <c r="W122" i="1"/>
  <c r="V122" i="1"/>
  <c r="AA121" i="1"/>
  <c r="Y121" i="1"/>
  <c r="X121" i="1"/>
  <c r="W121" i="1"/>
  <c r="V121" i="1"/>
  <c r="AA120" i="1"/>
  <c r="Y120" i="1"/>
  <c r="X120" i="1"/>
  <c r="W120" i="1"/>
  <c r="V120" i="1"/>
  <c r="AA119" i="1"/>
  <c r="Y119" i="1"/>
  <c r="X119" i="1"/>
  <c r="W119" i="1"/>
  <c r="V119" i="1"/>
  <c r="AA118" i="1"/>
  <c r="Y118" i="1"/>
  <c r="X118" i="1"/>
  <c r="W118" i="1"/>
  <c r="V118" i="1"/>
  <c r="AA117" i="1"/>
  <c r="Y117" i="1"/>
  <c r="X117" i="1"/>
  <c r="W117" i="1"/>
  <c r="V117" i="1"/>
  <c r="AA116" i="1"/>
  <c r="Y116" i="1"/>
  <c r="X116" i="1"/>
  <c r="W116" i="1"/>
  <c r="V116" i="1"/>
  <c r="AA115" i="1"/>
  <c r="Y115" i="1"/>
  <c r="X115" i="1"/>
  <c r="W115" i="1"/>
  <c r="V115" i="1"/>
  <c r="AA114" i="1"/>
  <c r="Y114" i="1"/>
  <c r="X114" i="1"/>
  <c r="W114" i="1"/>
  <c r="V114" i="1"/>
  <c r="AA113" i="1"/>
  <c r="Y113" i="1"/>
  <c r="X113" i="1"/>
  <c r="W113" i="1"/>
  <c r="V113" i="1"/>
  <c r="AA112" i="1"/>
  <c r="Y112" i="1"/>
  <c r="X112" i="1"/>
  <c r="W112" i="1"/>
  <c r="V112" i="1"/>
  <c r="AA111" i="1"/>
  <c r="Y111" i="1"/>
  <c r="X111" i="1"/>
  <c r="W111" i="1"/>
  <c r="V111" i="1"/>
  <c r="AA110" i="1"/>
  <c r="Y110" i="1"/>
  <c r="X110" i="1"/>
  <c r="W110" i="1"/>
  <c r="V110" i="1"/>
  <c r="AA109" i="1"/>
  <c r="Y109" i="1"/>
  <c r="X109" i="1"/>
  <c r="W109" i="1"/>
  <c r="V109" i="1"/>
  <c r="AA108" i="1"/>
  <c r="Y108" i="1"/>
  <c r="X108" i="1"/>
  <c r="W108" i="1"/>
  <c r="V108" i="1"/>
  <c r="AA107" i="1"/>
  <c r="Y107" i="1"/>
  <c r="X107" i="1"/>
  <c r="W107" i="1"/>
  <c r="V107" i="1"/>
  <c r="AA106" i="1"/>
  <c r="Y106" i="1"/>
  <c r="X106" i="1"/>
  <c r="W106" i="1"/>
  <c r="V106" i="1"/>
  <c r="AA105" i="1"/>
  <c r="Y105" i="1"/>
  <c r="X105" i="1"/>
  <c r="W105" i="1"/>
  <c r="V105" i="1"/>
  <c r="AA104" i="1"/>
  <c r="Y104" i="1"/>
  <c r="X104" i="1"/>
  <c r="W104" i="1"/>
  <c r="V104" i="1"/>
  <c r="AA103" i="1"/>
  <c r="Y103" i="1"/>
  <c r="X103" i="1"/>
  <c r="W103" i="1"/>
  <c r="V103" i="1"/>
  <c r="AA102" i="1"/>
  <c r="Y102" i="1"/>
  <c r="X102" i="1"/>
  <c r="W102" i="1"/>
  <c r="V102" i="1"/>
  <c r="AA101" i="1"/>
  <c r="Y101" i="1"/>
  <c r="X101" i="1"/>
  <c r="W101" i="1"/>
  <c r="V101" i="1"/>
  <c r="AA100" i="1"/>
  <c r="Y100" i="1"/>
  <c r="X100" i="1"/>
  <c r="W100" i="1"/>
  <c r="V100" i="1"/>
  <c r="AA99" i="1"/>
  <c r="Y99" i="1"/>
  <c r="X99" i="1"/>
  <c r="W99" i="1"/>
  <c r="V99" i="1"/>
  <c r="AA98" i="1"/>
  <c r="Y98" i="1"/>
  <c r="X98" i="1"/>
  <c r="W98" i="1"/>
  <c r="V98" i="1"/>
  <c r="AA97" i="1"/>
  <c r="Y97" i="1"/>
  <c r="X97" i="1"/>
  <c r="W97" i="1"/>
  <c r="V97" i="1"/>
  <c r="AA96" i="1"/>
  <c r="Y96" i="1"/>
  <c r="X96" i="1"/>
  <c r="W96" i="1"/>
  <c r="V96" i="1"/>
  <c r="AA95" i="1"/>
  <c r="Y95" i="1"/>
  <c r="X95" i="1"/>
  <c r="W95" i="1"/>
  <c r="V95" i="1"/>
  <c r="AA94" i="1"/>
  <c r="Y94" i="1"/>
  <c r="X94" i="1"/>
  <c r="W94" i="1"/>
  <c r="V94" i="1"/>
  <c r="AA93" i="1"/>
  <c r="Y93" i="1"/>
  <c r="X93" i="1"/>
  <c r="W93" i="1"/>
  <c r="V93" i="1"/>
  <c r="AA92" i="1"/>
  <c r="Y92" i="1"/>
  <c r="X92" i="1"/>
  <c r="W92" i="1"/>
  <c r="V92" i="1"/>
  <c r="AA91" i="1"/>
  <c r="Y91" i="1"/>
  <c r="X91" i="1"/>
  <c r="W91" i="1"/>
  <c r="V91" i="1"/>
  <c r="AA90" i="1"/>
  <c r="Y90" i="1"/>
  <c r="X90" i="1"/>
  <c r="W90" i="1"/>
  <c r="V90" i="1"/>
  <c r="AA89" i="1"/>
  <c r="Y89" i="1"/>
  <c r="X89" i="1"/>
  <c r="W89" i="1"/>
  <c r="V89" i="1"/>
  <c r="AA88" i="1"/>
  <c r="Y88" i="1"/>
  <c r="X88" i="1"/>
  <c r="W88" i="1"/>
  <c r="V88" i="1"/>
  <c r="AA87" i="1"/>
  <c r="Y87" i="1"/>
  <c r="X87" i="1"/>
  <c r="W87" i="1"/>
  <c r="V87" i="1"/>
  <c r="AA86" i="1"/>
  <c r="Y86" i="1"/>
  <c r="X86" i="1"/>
  <c r="W86" i="1"/>
  <c r="V86" i="1"/>
  <c r="AA85" i="1"/>
  <c r="Y85" i="1"/>
  <c r="X85" i="1"/>
  <c r="W85" i="1"/>
  <c r="V85" i="1"/>
  <c r="AA84" i="1"/>
  <c r="Y84" i="1"/>
  <c r="X84" i="1"/>
  <c r="W84" i="1"/>
  <c r="V84" i="1"/>
  <c r="AA83" i="1"/>
  <c r="Y83" i="1"/>
  <c r="X83" i="1"/>
  <c r="W83" i="1"/>
  <c r="V83" i="1"/>
  <c r="AA82" i="1"/>
  <c r="Y82" i="1"/>
  <c r="X82" i="1"/>
  <c r="W82" i="1"/>
  <c r="V82" i="1"/>
  <c r="AA81" i="1"/>
  <c r="Y81" i="1"/>
  <c r="X81" i="1"/>
  <c r="W81" i="1"/>
  <c r="V81" i="1"/>
  <c r="AA80" i="1"/>
  <c r="Y80" i="1"/>
  <c r="X80" i="1"/>
  <c r="W80" i="1"/>
  <c r="V80" i="1"/>
  <c r="AA79" i="1"/>
  <c r="Y79" i="1"/>
  <c r="X79" i="1"/>
  <c r="W79" i="1"/>
  <c r="V79" i="1"/>
  <c r="AA78" i="1"/>
  <c r="Y78" i="1"/>
  <c r="X78" i="1"/>
  <c r="W78" i="1"/>
  <c r="V78" i="1"/>
  <c r="AA77" i="1"/>
  <c r="Y77" i="1"/>
  <c r="X77" i="1"/>
  <c r="W77" i="1"/>
  <c r="V77" i="1"/>
  <c r="AA76" i="1"/>
  <c r="Y76" i="1"/>
  <c r="X76" i="1"/>
  <c r="W76" i="1"/>
  <c r="V76" i="1"/>
  <c r="AA75" i="1"/>
  <c r="Y75" i="1"/>
  <c r="X75" i="1"/>
  <c r="W75" i="1"/>
  <c r="V75" i="1"/>
  <c r="AA74" i="1"/>
  <c r="Y74" i="1"/>
  <c r="X74" i="1"/>
  <c r="W74" i="1"/>
  <c r="V74" i="1"/>
  <c r="AA73" i="1"/>
  <c r="Y73" i="1"/>
  <c r="X73" i="1"/>
  <c r="W73" i="1"/>
  <c r="V73" i="1"/>
  <c r="AA72" i="1"/>
  <c r="Y72" i="1"/>
  <c r="X72" i="1"/>
  <c r="W72" i="1"/>
  <c r="V72" i="1"/>
  <c r="AA71" i="1"/>
  <c r="Y71" i="1"/>
  <c r="X71" i="1"/>
  <c r="W71" i="1"/>
  <c r="V71" i="1"/>
  <c r="AA70" i="1"/>
  <c r="Y70" i="1"/>
  <c r="X70" i="1"/>
  <c r="W70" i="1"/>
  <c r="V70" i="1"/>
  <c r="AA69" i="1"/>
  <c r="Y69" i="1"/>
  <c r="X69" i="1"/>
  <c r="W69" i="1"/>
  <c r="V69" i="1"/>
  <c r="AA68" i="1"/>
  <c r="Y68" i="1"/>
  <c r="X68" i="1"/>
  <c r="W68" i="1"/>
  <c r="V68" i="1"/>
  <c r="AA67" i="1"/>
  <c r="Y67" i="1"/>
  <c r="X67" i="1"/>
  <c r="W67" i="1"/>
  <c r="V67" i="1"/>
  <c r="AA66" i="1"/>
  <c r="Y66" i="1"/>
  <c r="X66" i="1"/>
  <c r="W66" i="1"/>
  <c r="V66" i="1"/>
  <c r="AA65" i="1"/>
  <c r="Y65" i="1"/>
  <c r="X65" i="1"/>
  <c r="W65" i="1"/>
  <c r="V65" i="1"/>
  <c r="AA64" i="1"/>
  <c r="Y64" i="1"/>
  <c r="X64" i="1"/>
  <c r="W64" i="1"/>
  <c r="V64" i="1"/>
  <c r="AA63" i="1"/>
  <c r="Y63" i="1"/>
  <c r="X63" i="1"/>
  <c r="W63" i="1"/>
  <c r="V63" i="1"/>
  <c r="AA62" i="1"/>
  <c r="Y62" i="1"/>
  <c r="X62" i="1"/>
  <c r="W62" i="1"/>
  <c r="V62" i="1"/>
  <c r="AA61" i="1"/>
  <c r="Y61" i="1"/>
  <c r="X61" i="1"/>
  <c r="W61" i="1"/>
  <c r="V61" i="1"/>
  <c r="AA60" i="1"/>
  <c r="Y60" i="1"/>
  <c r="X60" i="1"/>
  <c r="W60" i="1"/>
  <c r="V60" i="1"/>
  <c r="AA59" i="1"/>
  <c r="Y59" i="1"/>
  <c r="X59" i="1"/>
  <c r="W59" i="1"/>
  <c r="V59" i="1"/>
  <c r="AA58" i="1"/>
  <c r="Y58" i="1"/>
  <c r="X58" i="1"/>
  <c r="W58" i="1"/>
  <c r="V58" i="1"/>
  <c r="AA57" i="1"/>
  <c r="Y57" i="1"/>
  <c r="X57" i="1"/>
  <c r="W57" i="1"/>
  <c r="V57" i="1"/>
  <c r="AA56" i="1"/>
  <c r="Y56" i="1"/>
  <c r="X56" i="1"/>
  <c r="W56" i="1"/>
  <c r="V56" i="1"/>
  <c r="AA55" i="1"/>
  <c r="Y55" i="1"/>
  <c r="X55" i="1"/>
  <c r="W55" i="1"/>
  <c r="V55" i="1"/>
  <c r="AA54" i="1"/>
  <c r="Y54" i="1"/>
  <c r="X54" i="1"/>
  <c r="W54" i="1"/>
  <c r="V54" i="1"/>
  <c r="AA53" i="1"/>
  <c r="Y53" i="1"/>
  <c r="X53" i="1"/>
  <c r="W53" i="1"/>
  <c r="V53" i="1"/>
  <c r="AA52" i="1"/>
  <c r="Y52" i="1"/>
  <c r="X52" i="1"/>
  <c r="W52" i="1"/>
  <c r="V52" i="1"/>
  <c r="AA51" i="1"/>
  <c r="Y51" i="1"/>
  <c r="X51" i="1"/>
  <c r="W51" i="1"/>
  <c r="V51" i="1"/>
  <c r="AA50" i="1"/>
  <c r="Y50" i="1"/>
  <c r="X50" i="1"/>
  <c r="W50" i="1"/>
  <c r="V50" i="1"/>
  <c r="AA49" i="1"/>
  <c r="Y49" i="1"/>
  <c r="X49" i="1"/>
  <c r="W49" i="1"/>
  <c r="V49" i="1"/>
  <c r="AA48" i="1"/>
  <c r="Y48" i="1"/>
  <c r="X48" i="1"/>
  <c r="W48" i="1"/>
  <c r="V48" i="1"/>
  <c r="AA47" i="1"/>
  <c r="Y47" i="1"/>
  <c r="X47" i="1"/>
  <c r="W47" i="1"/>
  <c r="V47" i="1"/>
  <c r="AA46" i="1"/>
  <c r="Y46" i="1"/>
  <c r="X46" i="1"/>
  <c r="W46" i="1"/>
  <c r="V46" i="1"/>
  <c r="AA45" i="1"/>
  <c r="Y45" i="1"/>
  <c r="X45" i="1"/>
  <c r="W45" i="1"/>
  <c r="V45" i="1"/>
  <c r="AA44" i="1"/>
  <c r="Y44" i="1"/>
  <c r="X44" i="1"/>
  <c r="W44" i="1"/>
  <c r="V44" i="1"/>
  <c r="AA43" i="1"/>
  <c r="Y43" i="1"/>
  <c r="X43" i="1"/>
  <c r="W43" i="1"/>
  <c r="V43" i="1"/>
  <c r="AA42" i="1"/>
  <c r="Y42" i="1"/>
  <c r="X42" i="1"/>
  <c r="W42" i="1"/>
  <c r="V42" i="1"/>
  <c r="AA41" i="1"/>
  <c r="Y41" i="1"/>
  <c r="X41" i="1"/>
  <c r="W41" i="1"/>
  <c r="V41" i="1"/>
  <c r="AA40" i="1"/>
  <c r="Y40" i="1"/>
  <c r="X40" i="1"/>
  <c r="W40" i="1"/>
  <c r="V40" i="1"/>
  <c r="AA39" i="1"/>
  <c r="Y39" i="1"/>
  <c r="X39" i="1"/>
  <c r="W39" i="1"/>
  <c r="V39" i="1"/>
  <c r="AA38" i="1"/>
  <c r="Y38" i="1"/>
  <c r="X38" i="1"/>
  <c r="W38" i="1"/>
  <c r="V38" i="1"/>
  <c r="AA37" i="1"/>
  <c r="Y37" i="1"/>
  <c r="X37" i="1"/>
  <c r="W37" i="1"/>
  <c r="V37" i="1"/>
  <c r="AA36" i="1"/>
  <c r="Y36" i="1"/>
  <c r="X36" i="1"/>
  <c r="W36" i="1"/>
  <c r="V36" i="1"/>
  <c r="AA35" i="1"/>
  <c r="Y35" i="1"/>
  <c r="X35" i="1"/>
  <c r="W35" i="1"/>
  <c r="V35" i="1"/>
  <c r="AA34" i="1"/>
  <c r="Y34" i="1"/>
  <c r="X34" i="1"/>
  <c r="W34" i="1"/>
  <c r="V34" i="1"/>
  <c r="AA33" i="1"/>
  <c r="Y33" i="1"/>
  <c r="X33" i="1"/>
  <c r="W33" i="1"/>
  <c r="V33" i="1"/>
  <c r="AA32" i="1"/>
  <c r="Y32" i="1"/>
  <c r="X32" i="1"/>
  <c r="W32" i="1"/>
  <c r="V32" i="1"/>
  <c r="AA31" i="1"/>
  <c r="Y31" i="1"/>
  <c r="X31" i="1"/>
  <c r="W31" i="1"/>
  <c r="V31" i="1"/>
  <c r="AA30" i="1"/>
  <c r="Y30" i="1"/>
  <c r="X30" i="1"/>
  <c r="W30" i="1"/>
  <c r="V30" i="1"/>
  <c r="AA29" i="1"/>
  <c r="Y29" i="1"/>
  <c r="X29" i="1"/>
  <c r="W29" i="1"/>
  <c r="V29" i="1"/>
  <c r="AA28" i="1"/>
  <c r="Y28" i="1"/>
  <c r="X28" i="1"/>
  <c r="W28" i="1"/>
  <c r="V28" i="1"/>
  <c r="AA27" i="1"/>
  <c r="Y27" i="1"/>
  <c r="X27" i="1"/>
  <c r="W27" i="1"/>
  <c r="V27" i="1"/>
  <c r="AA26" i="1"/>
  <c r="Y26" i="1"/>
  <c r="X26" i="1"/>
  <c r="W26" i="1"/>
  <c r="V26" i="1"/>
  <c r="AA25" i="1"/>
  <c r="Y25" i="1"/>
  <c r="X25" i="1"/>
  <c r="W25" i="1"/>
  <c r="V25" i="1"/>
  <c r="AA24" i="1"/>
  <c r="Y24" i="1"/>
  <c r="X24" i="1"/>
  <c r="W24" i="1"/>
  <c r="V24" i="1"/>
  <c r="AA23" i="1"/>
  <c r="Y23" i="1"/>
  <c r="X23" i="1"/>
  <c r="W23" i="1"/>
  <c r="V23" i="1"/>
  <c r="AA22" i="1"/>
  <c r="Y22" i="1"/>
  <c r="X22" i="1"/>
  <c r="W22" i="1"/>
  <c r="V22" i="1"/>
  <c r="AA21" i="1"/>
  <c r="Y21" i="1"/>
  <c r="X21" i="1"/>
  <c r="W21" i="1"/>
  <c r="V21" i="1"/>
  <c r="AA20" i="1"/>
  <c r="Y20" i="1"/>
  <c r="X20" i="1"/>
  <c r="W20" i="1"/>
  <c r="V20" i="1"/>
  <c r="AA19" i="1"/>
  <c r="Y19" i="1"/>
  <c r="X19" i="1"/>
  <c r="W19" i="1"/>
  <c r="V19" i="1"/>
  <c r="AA18" i="1"/>
  <c r="Y18" i="1"/>
  <c r="X18" i="1"/>
  <c r="W18" i="1"/>
  <c r="V18" i="1"/>
  <c r="AA17" i="1"/>
  <c r="Y17" i="1"/>
  <c r="X17" i="1"/>
  <c r="W17" i="1"/>
  <c r="V17" i="1"/>
  <c r="AA16" i="1"/>
  <c r="Y16" i="1"/>
  <c r="X16" i="1"/>
  <c r="W16" i="1"/>
  <c r="V16" i="1"/>
  <c r="AA15" i="1"/>
  <c r="Y15" i="1"/>
  <c r="X15" i="1"/>
  <c r="W15" i="1"/>
  <c r="V15" i="1"/>
  <c r="AA14" i="1"/>
  <c r="Y14" i="1"/>
  <c r="X14" i="1"/>
  <c r="W14" i="1"/>
  <c r="V14" i="1"/>
  <c r="AA13" i="1"/>
  <c r="Y13" i="1"/>
  <c r="X13" i="1"/>
  <c r="W13" i="1"/>
  <c r="V13" i="1"/>
  <c r="AA12" i="1"/>
  <c r="Y12" i="1"/>
  <c r="X12" i="1"/>
  <c r="W12" i="1"/>
  <c r="V12" i="1"/>
  <c r="AA11" i="1"/>
  <c r="Y11" i="1"/>
  <c r="X11" i="1"/>
  <c r="W11" i="1"/>
  <c r="V11" i="1"/>
  <c r="AA10" i="1"/>
  <c r="Y10" i="1"/>
  <c r="X10" i="1"/>
  <c r="W10" i="1"/>
  <c r="V10" i="1"/>
  <c r="AA9" i="1"/>
  <c r="Y9" i="1"/>
  <c r="X9" i="1"/>
  <c r="W9" i="1"/>
  <c r="V9" i="1"/>
  <c r="AA8" i="1"/>
  <c r="Y8" i="1"/>
  <c r="X8" i="1"/>
  <c r="W8" i="1"/>
  <c r="V8" i="1"/>
  <c r="AA7" i="1"/>
  <c r="Y7" i="1"/>
  <c r="X7" i="1"/>
  <c r="W7" i="1"/>
  <c r="V7" i="1"/>
  <c r="AA6" i="1"/>
  <c r="Y6" i="1"/>
  <c r="X6" i="1"/>
  <c r="W6" i="1"/>
  <c r="V6" i="1"/>
  <c r="AA5" i="1"/>
  <c r="Y5" i="1"/>
  <c r="X5" i="1"/>
  <c r="W5" i="1"/>
  <c r="V5" i="1"/>
  <c r="AA4" i="1"/>
  <c r="Y4" i="1"/>
  <c r="X4" i="1"/>
  <c r="W4" i="1"/>
  <c r="V4" i="1"/>
  <c r="AA3" i="1"/>
  <c r="Y3" i="1"/>
  <c r="X3" i="1"/>
  <c r="W3" i="1"/>
  <c r="V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C28" i="48" l="1"/>
  <c r="C38" i="48"/>
  <c r="C10" i="48"/>
  <c r="C32" i="48"/>
  <c r="C13" i="48"/>
  <c r="C7" i="48"/>
  <c r="C4" i="4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14278_uab_0813_vk6pH6i4_highQ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<sst xmlns="http://schemas.openxmlformats.org/spreadsheetml/2006/main" count="1130" uniqueCount="682">
  <si>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</si>
  <si>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</si>
  <si>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</si>
  <si>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</si>
  <si>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</si>
  <si>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</si>
  <si>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</si>
  <si>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</si>
  <si>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</si>
  <si>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</si>
  <si>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</si>
  <si>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</si>
  <si>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</si>
  <si>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</si>
  <si>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</si>
  <si>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</si>
  <si>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</si>
  <si>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</si>
  <si>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</si>
  <si>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</si>
  <si>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</si>
  <si>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</si>
  <si>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</si>
  <si>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</si>
  <si>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</si>
  <si>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</si>
  <si>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</si>
  <si>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</si>
  <si>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</si>
  <si>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</si>
  <si>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</si>
  <si>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</si>
  <si>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</si>
  <si>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</si>
  <si>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</si>
  <si>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</si>
  <si>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</si>
  <si>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</si>
  <si>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</si>
  <si>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</si>
  <si>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</si>
  <si>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</si>
  <si>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</si>
  <si>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</si>
  <si>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</si>
  <si>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</si>
  <si>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</si>
  <si>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</si>
  <si>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</si>
  <si>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</si>
  <si>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</si>
  <si>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</si>
  <si>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</si>
  <si>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</si>
  <si>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</si>
  <si>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</si>
  <si>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</si>
  <si>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</si>
  <si>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</si>
  <si>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</si>
  <si>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</si>
  <si>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</si>
  <si>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</si>
  <si>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</si>
  <si>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</si>
  <si>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</si>
  <si>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</si>
  <si>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</si>
  <si>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</si>
  <si>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</si>
  <si>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</si>
  <si>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</si>
  <si>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</si>
  <si>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</si>
  <si>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</si>
  <si>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</si>
  <si>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</si>
  <si>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</si>
  <si>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</si>
  <si>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</si>
  <si>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</si>
  <si>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</si>
  <si>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</si>
  <si>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</si>
  <si>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</si>
  <si>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</si>
  <si>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</si>
  <si>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</si>
  <si>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</si>
  <si>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</si>
  <si>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</si>
  <si>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</si>
  <si>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</si>
  <si>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</si>
  <si>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</si>
  <si>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</si>
  <si>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</si>
  <si>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</si>
  <si>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</si>
  <si>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</si>
  <si>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</si>
  <si>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</si>
  <si>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</si>
  <si>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</si>
  <si>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</si>
  <si>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</si>
  <si>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</si>
  <si>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</si>
  <si>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</si>
  <si>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</si>
  <si>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</si>
  <si>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</si>
  <si>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</si>
  <si>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</si>
  <si>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</si>
  <si>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</si>
  <si>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</si>
  <si>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</si>
  <si>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</si>
  <si>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</si>
  <si>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</si>
  <si>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</si>
  <si>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</si>
  <si>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</si>
  <si>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</si>
  <si>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</si>
  <si>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</si>
  <si>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</si>
  <si>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</si>
  <si>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</si>
  <si>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</si>
  <si>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</si>
  <si>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</si>
  <si>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</si>
  <si>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</si>
  <si>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</si>
  <si>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</si>
  <si>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</si>
  <si>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</si>
  <si>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</si>
  <si>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</si>
  <si>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</si>
  <si>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</si>
  <si>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</si>
  <si>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</si>
  <si>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</si>
  <si>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</si>
  <si>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</si>
  <si>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</si>
  <si>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</si>
  <si>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</si>
  <si>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</si>
  <si>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</si>
  <si>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</si>
  <si>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</si>
  <si>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</si>
  <si>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</si>
  <si>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</si>
  <si>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</si>
  <si>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</si>
  <si>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</si>
  <si>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</si>
  <si>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</si>
  <si>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</si>
  <si>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</si>
  <si>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</si>
  <si>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</si>
  <si>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</si>
  <si>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</si>
  <si>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</si>
  <si>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</si>
  <si>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</si>
  <si>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</si>
  <si>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</si>
  <si>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</si>
  <si>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</si>
  <si>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</si>
  <si>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</si>
  <si>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</si>
  <si>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</si>
  <si>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</si>
  <si>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</si>
  <si>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</si>
  <si>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</si>
  <si>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</si>
  <si>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</si>
  <si>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</si>
  <si>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</si>
  <si>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</si>
  <si>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</si>
  <si>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</si>
  <si>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</si>
  <si>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</si>
  <si>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</si>
  <si>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</si>
  <si>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</si>
  <si>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</si>
  <si>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</si>
  <si>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</si>
  <si>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</si>
  <si>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</si>
  <si>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</si>
  <si>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</si>
  <si>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</si>
  <si>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</si>
  <si>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</si>
  <si>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</si>
  <si>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</si>
  <si>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</si>
  <si>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</si>
  <si>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</si>
  <si>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</si>
  <si>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</si>
  <si>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</si>
  <si>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</si>
  <si>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</si>
  <si>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</si>
  <si>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</si>
  <si>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</si>
  <si>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</si>
  <si>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</si>
  <si>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</si>
  <si>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</si>
  <si>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</si>
  <si>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</si>
  <si>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</si>
  <si>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</si>
  <si>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</si>
  <si>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</si>
  <si>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</si>
  <si>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</si>
  <si>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</si>
  <si>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</si>
  <si>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</si>
  <si>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</si>
  <si>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</si>
  <si>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</si>
  <si>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</si>
  <si>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</si>
  <si>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</si>
  <si>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</si>
  <si>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</si>
  <si>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</si>
  <si>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</si>
  <si>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</si>
  <si>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</si>
  <si>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</si>
  <si>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</si>
  <si>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</si>
  <si>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</si>
  <si>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</si>
  <si>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</si>
  <si>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</si>
  <si>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</si>
  <si>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</si>
  <si>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</si>
  <si>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</si>
  <si>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</si>
  <si>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</si>
  <si>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</si>
  <si>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</si>
  <si>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</si>
  <si>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</si>
  <si>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</si>
  <si>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</si>
  <si>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</si>
  <si>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</si>
  <si>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</si>
  <si>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</si>
  <si>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</si>
  <si>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</si>
  <si>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</si>
  <si>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</si>
  <si>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</si>
  <si>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</si>
  <si>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</si>
  <si>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</si>
  <si>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</si>
  <si>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</si>
  <si>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</si>
  <si>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</si>
  <si>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</si>
  <si>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</si>
  <si>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</si>
  <si>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</si>
  <si>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</si>
  <si>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</si>
  <si>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</si>
  <si>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</si>
  <si>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</si>
  <si>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</si>
  <si>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</si>
  <si>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</si>
  <si>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</si>
  <si>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</si>
  <si>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</si>
  <si>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</si>
  <si>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</si>
  <si>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</si>
  <si>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</si>
  <si>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</si>
  <si>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</si>
  <si>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</si>
  <si>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</si>
  <si>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</si>
  <si>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</si>
  <si>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</si>
  <si>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</si>
  <si>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</si>
  <si>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</si>
  <si>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</si>
  <si>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</si>
  <si>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</si>
  <si>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</si>
  <si>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</si>
  <si>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</si>
  <si>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</si>
  <si>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</si>
  <si>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</si>
  <si>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</si>
  <si>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</si>
  <si>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</si>
  <si>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</si>
  <si>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</si>
  <si>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</si>
  <si>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</si>
  <si>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</si>
  <si>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</si>
  <si>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</si>
  <si>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</si>
  <si>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</si>
  <si>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</si>
  <si>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</si>
  <si>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</si>
  <si>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</si>
  <si>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</si>
  <si>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</si>
  <si>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</si>
  <si>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</si>
  <si>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</si>
  <si>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</si>
  <si>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</si>
  <si>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</si>
  <si>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</si>
  <si>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</si>
  <si>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</si>
  <si>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</si>
  <si>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</si>
  <si>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</si>
  <si>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</si>
  <si>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</si>
  <si>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</si>
  <si>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</si>
  <si>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</si>
  <si>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</si>
  <si>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</si>
  <si>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</si>
  <si>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</si>
  <si>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</si>
  <si>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</si>
  <si>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</si>
  <si>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</si>
  <si>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</si>
  <si>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</si>
  <si>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</si>
  <si>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</si>
  <si>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</si>
  <si>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</si>
  <si>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</si>
  <si>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</si>
  <si>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</si>
  <si>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</si>
  <si>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</si>
  <si>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</si>
  <si>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</si>
  <si>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</si>
  <si>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</si>
  <si>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</si>
  <si>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</si>
  <si>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</si>
  <si>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</si>
  <si>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</si>
  <si>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</si>
  <si>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</si>
  <si>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</si>
  <si>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</si>
  <si>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</si>
  <si>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</si>
  <si>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</si>
  <si>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</si>
  <si>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</si>
  <si>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</si>
  <si>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</si>
  <si>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</si>
  <si>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</si>
  <si>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</si>
  <si>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</si>
  <si>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</si>
  <si>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</si>
  <si>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</si>
  <si>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</si>
  <si>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</si>
  <si>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</si>
  <si>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</si>
  <si>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</si>
  <si>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</si>
  <si>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</si>
  <si>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</si>
  <si>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</si>
  <si>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</si>
  <si>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</si>
  <si>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</si>
  <si>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</si>
  <si>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</si>
  <si>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</si>
  <si>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</si>
  <si>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</si>
  <si>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</si>
  <si>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</si>
  <si>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</si>
  <si>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</si>
  <si>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</si>
  <si>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</si>
  <si>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</si>
  <si>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</si>
  <si>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</si>
  <si>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</si>
  <si>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</si>
  <si>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</si>
  <si>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</si>
  <si>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</si>
  <si>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</si>
  <si>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</si>
  <si>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</si>
  <si>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</si>
  <si>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</si>
  <si>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</si>
  <si>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</si>
  <si>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</si>
  <si>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</si>
  <si>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</si>
  <si>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</si>
  <si>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</si>
  <si>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</si>
  <si>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</si>
  <si>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</si>
  <si>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</si>
  <si>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</si>
  <si>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</si>
  <si>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</si>
  <si>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</si>
  <si>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</si>
  <si>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</si>
  <si>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</si>
  <si>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</si>
  <si>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</si>
  <si>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</si>
  <si>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</si>
  <si>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</si>
  <si>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</si>
  <si>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</si>
  <si>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</si>
  <si>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</si>
  <si>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</si>
  <si>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</si>
  <si>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</si>
  <si>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</si>
  <si>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</si>
  <si>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</si>
  <si>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</si>
  <si>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</si>
  <si>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</si>
  <si>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</si>
  <si>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</si>
  <si>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</si>
  <si>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</si>
  <si>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</si>
  <si>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</si>
  <si>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</si>
  <si>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</si>
  <si>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</si>
  <si>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</si>
  <si>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</si>
  <si>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</si>
  <si>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</si>
  <si>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</si>
  <si>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</si>
  <si>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</si>
  <si>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</si>
  <si>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</si>
  <si>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</si>
  <si>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</si>
  <si>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</si>
  <si>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</si>
  <si>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</si>
  <si>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</si>
  <si>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</si>
  <si>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</si>
  <si>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</si>
  <si>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</si>
  <si>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</si>
  <si>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</si>
  <si>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</si>
  <si>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</si>
  <si>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</si>
  <si>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</si>
  <si>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</si>
  <si>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</si>
  <si>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</si>
  <si>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</si>
  <si>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</si>
  <si>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</si>
  <si>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</si>
  <si>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</si>
  <si>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</si>
  <si>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</si>
  <si>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</si>
  <si>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</si>
  <si>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</si>
  <si>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</si>
  <si>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</si>
  <si>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</si>
  <si>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</si>
  <si>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</si>
  <si>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</si>
  <si>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</si>
  <si>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</si>
  <si>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</si>
  <si>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</si>
  <si>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</si>
  <si>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</si>
  <si>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</si>
  <si>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</si>
  <si>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</si>
  <si>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</si>
  <si>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</si>
  <si>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</si>
  <si>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</si>
  <si>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</si>
  <si>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</si>
  <si>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</si>
  <si>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</si>
  <si>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</si>
  <si>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</si>
  <si>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</si>
  <si>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</si>
  <si>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H2O</t>
  </si>
  <si>
    <t>G7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</si>
  <si>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</si>
  <si>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</si>
  <si>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</si>
  <si>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</si>
  <si>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</si>
  <si>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</si>
  <si>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</si>
  <si>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</si>
  <si>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</si>
  <si>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</si>
  <si>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</si>
  <si>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</si>
  <si>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</si>
  <si>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</si>
  <si>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</si>
  <si>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</si>
  <si>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</si>
  <si>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</si>
  <si>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</si>
  <si>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</si>
  <si>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</si>
  <si>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</si>
  <si>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</si>
  <si>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</si>
  <si>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</si>
  <si>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</si>
  <si>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</si>
  <si>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</si>
  <si>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</si>
  <si>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</si>
  <si>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</si>
  <si>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</si>
  <si>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</si>
  <si>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</si>
  <si>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</si>
  <si>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</si>
  <si>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</si>
  <si>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</si>
  <si>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</si>
  <si>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</si>
  <si>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</si>
  <si>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</si>
  <si>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</si>
  <si>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</si>
  <si>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</si>
  <si>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</si>
  <si>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SiO</t>
    </r>
    <r>
      <rPr>
        <i/>
        <vertAlign val="subscript"/>
        <sz val="12"/>
        <rFont val="Times New Roman"/>
        <family val="1"/>
      </rPr>
      <t>x</t>
    </r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</si>
  <si>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</si>
  <si>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</si>
  <si>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</si>
  <si>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IPTS-12090</t>
  </si>
  <si>
    <t>Mon</t>
  </si>
  <si>
    <t>Aug</t>
  </si>
  <si>
    <t>3.12.1</t>
  </si>
  <si>
    <t>13_08_2018</t>
  </si>
  <si>
    <t>uab_0813_vk6xpH6i4-2.</t>
  </si>
  <si>
    <t>2014-05-25T18:56:22.680335666</t>
  </si>
  <si>
    <t>δp</t>
  </si>
  <si>
    <t>SI Units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</si>
  <si>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</si>
  <si>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</si>
  <si>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</si>
  <si>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PMAAx</t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</si>
  <si>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</si>
  <si>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</si>
  <si>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</si>
  <si>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</si>
  <si>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t>Air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</si>
  <si>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</si>
  <si>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</si>
  <si>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</si>
  <si>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</si>
  <si>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</si>
  <si>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</si>
  <si>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</si>
  <si>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</si>
  <si>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</si>
  <si>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</si>
  <si>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</si>
  <si>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</si>
  <si>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</si>
  <si>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</si>
  <si>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</si>
  <si>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</si>
  <si>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</si>
  <si>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</si>
  <si>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</si>
  <si>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</si>
  <si>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</si>
  <si>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</si>
  <si>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</si>
  <si>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</si>
  <si>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</si>
  <si>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</si>
  <si>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</si>
  <si>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t>HB Model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</si>
  <si>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</si>
  <si>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</si>
  <si>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t>PVPON/PMAA</t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</si>
  <si>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</si>
  <si>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</si>
  <si>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</si>
  <si>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</si>
  <si>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</si>
  <si>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</si>
  <si>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t>H14</t>
  </si>
  <si>
    <t>dPMAA (bottom marker)</t>
  </si>
  <si>
    <t>dPMAAx (bottom marker)</t>
  </si>
  <si>
    <t>PMAAx (top markers)</t>
  </si>
  <si>
    <t>PVPON/dPMAA (top markers)</t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</si>
  <si>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</si>
  <si>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</si>
  <si>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</si>
  <si>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×(5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) (Å)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</si>
  <si>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</si>
  <si>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</si>
  <si>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/2)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</si>
  <si>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</si>
  <si>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</si>
  <si>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×(4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/2) (Å)</t>
    </r>
  </si>
  <si>
    <t>Average Swell Ratio</t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</si>
  <si>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</si>
  <si>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</si>
  <si>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</si>
  <si>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</si>
  <si>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</si>
  <si>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</si>
  <si>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</si>
  <si>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</si>
  <si>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</si>
  <si>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</si>
  <si>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+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[(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]/5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</si>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</sst>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5" fontId="10" fillId="31" borderId="0" xfId="0" applyNumberFormat="1" applyFont="1" applyFill="1"/>
    <xf numFmtId="166" fontId="10" fillId="31" borderId="0" xfId="0" applyNumberFormat="1" applyFont="1" applyFill="1"/>
    <xf numFmtId="11" fontId="10" fillId="31" borderId="0" xfId="0" applyNumberFormat="1" applyFont="1" applyFill="1"/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3" borderId="0" xfId="0" applyFont="1" applyFill="1" applyAlignment="1">
      <alignment horizontal="center" vertical="center"/>
    </xf>
    <xf numFmtId="1" fontId="0" fillId="34" borderId="0" xfId="0" applyNumberFormat="1" applyFill="1"/>
    <xf numFmtId="2" fontId="17" fillId="35" borderId="0" xfId="0" applyFont="1" applyFill="1" applyAlignment="1">
      <alignment horizontal="center" vertical="center"/>
    </xf>
    <xf numFmtId="2" fontId="0" fillId="36" borderId="0" xfId="0" applyNumberFormat="1" applyFill="1"/>
    <xf numFmtId="2" fontId="0" fillId="36" borderId="0" xfId="0" applyFill="1"/>
    <xf numFmtId="164" fontId="0" fillId="36" borderId="0" xfId="0" applyNumberFormat="1" applyFill="1"/>
    <xf numFmtId="11" fontId="16" fillId="33" borderId="0" xfId="0" applyNumberFormat="1" applyFont="1" applyFill="1" applyAlignment="1">
      <alignment horizontal="center" vertical="center"/>
    </xf>
    <xf numFmtId="11" fontId="0" fillId="34" borderId="0" xfId="0" applyNumberForma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0" fillId="36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0" fillId="39" borderId="0" xfId="0" applyNumberFormat="1" applyFill="1"/>
    <xf numFmtId="165" fontId="0" fillId="40" borderId="0" xfId="0" applyNumberFormat="1" applyFill="1"/>
    <xf numFmtId="11" fontId="10" fillId="40" borderId="0" xfId="0" applyNumberFormat="1" applyFont="1" applyFill="1"/>
    <xf numFmtId="11" fontId="0" fillId="40" borderId="0" xfId="0" applyNumberFormat="1" applyFill="1"/>
    <xf numFmtId="166" fontId="10" fillId="41" borderId="0" xfId="0" applyNumberFormat="1" applyFont="1" applyFill="1"/>
    <xf numFmtId="166" fontId="0" fillId="40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164" fontId="17" fillId="37" borderId="0" xfId="0" applyNumberFormat="1" applyFont="1" applyFill="1" applyAlignment="1">
      <alignment horizontal="center"/>
    </xf>
    <xf numFmtId="166" fontId="0" fillId="39" borderId="0" xfId="0" applyNumberFormat="1" applyFill="1"/>
    <xf numFmtId="2" fontId="10" fillId="38" borderId="0" xfId="0" applyFont="1" applyFill="1"/>
    <xf numFmtId="2" fontId="10" fillId="38" borderId="0" xfId="0" applyFont="1" applyFill="1" applyAlignment="1">
      <alignment horizontal="right"/>
    </xf>
    <xf numFmtId="164" fontId="0" fillId="41" borderId="0" xfId="0" applyNumberFormat="1" applyFill="1"/>
    <xf numFmtId="166" fontId="0" fillId="34" borderId="0" xfId="0" applyNumberFormat="1" applyFill="1"/>
    <xf numFmtId="166" fontId="0" fillId="36" borderId="0" xfId="0" applyNumberFormat="1" applyFill="1"/>
    <xf numFmtId="166" fontId="0" fillId="41" borderId="0" xfId="0" applyNumberFormat="1" applyFill="1"/>
    <xf numFmtId="166" fontId="10" fillId="39" borderId="0" xfId="0" applyNumberFormat="1" applyFont="1" applyFill="1"/>
    <xf numFmtId="2" fontId="0" fillId="38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2" borderId="0" xfId="0" applyNumberFormat="1" applyFill="1"/>
    <xf numFmtId="165" fontId="16" fillId="37" borderId="0" xfId="0" applyNumberFormat="1" applyFont="1" applyFill="1" applyAlignment="1">
      <alignment horizontal="center" vertical="center"/>
    </xf>
    <xf numFmtId="11" fontId="17" fillId="37" borderId="0" xfId="0" applyNumberFormat="1" applyFont="1" applyFill="1" applyAlignment="1">
      <alignment horizontal="center" vertical="center"/>
    </xf>
    <xf numFmtId="11" fontId="19" fillId="37" borderId="0" xfId="0" applyNumberFormat="1" applyFont="1" applyFill="1" applyAlignment="1">
      <alignment horizontal="center" vertical="center"/>
    </xf>
    <xf numFmtId="166" fontId="17" fillId="37" borderId="0" xfId="0" applyNumberFormat="1" applyFont="1" applyFill="1" applyAlignment="1">
      <alignment horizontal="center" vertical="center"/>
    </xf>
    <xf numFmtId="166" fontId="19" fillId="37" borderId="0" xfId="0" applyNumberFormat="1" applyFont="1" applyFill="1" applyAlignment="1">
      <alignment horizontal="center" vertical="center"/>
    </xf>
    <xf numFmtId="2" fontId="0" fillId="37" borderId="0" xfId="0" applyFill="1" applyAlignment="1">
      <alignment vertical="center"/>
    </xf>
    <xf numFmtId="2" fontId="16" fillId="33" borderId="0" xfId="0" applyFont="1" applyFill="1" applyAlignment="1">
      <alignment horizontal="center" vertical="center"/>
    </xf>
    <xf numFmtId="21" fontId="0" fillId="0" borderId="0" xfId="0" applyNumberFormat="1"/>
    <xf numFmtId="2" fontId="0" fillId="34" borderId="0" xfId="0" applyNumberFormat="1" applyFill="1"/>
    <xf numFmtId="164" fontId="48" fillId="29" borderId="0" xfId="0" applyNumberFormat="1" applyFont="1" applyFill="1"/>
    <xf numFmtId="2" fontId="10" fillId="31" borderId="0" xfId="0" applyFont="1" applyFill="1"/>
    <xf numFmtId="166" fontId="10" fillId="32" borderId="0" xfId="0" applyNumberFormat="1" applyFont="1" applyFill="1"/>
    <xf numFmtId="165" fontId="16" fillId="0" borderId="0" xfId="0" applyNumberFormat="1" applyFont="1" applyFill="1" applyAlignment="1"/>
    <xf numFmtId="2" fontId="16" fillId="0" borderId="0" xfId="0" applyFont="1" applyFill="1" applyAlignment="1"/>
    <xf numFmtId="165" fontId="17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right"/>
    </xf>
    <xf numFmtId="11" fontId="19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center" vertical="center"/>
    </xf>
    <xf numFmtId="11" fontId="10" fillId="34" borderId="0" xfId="0" applyNumberFormat="1" applyFont="1" applyFill="1"/>
    <xf numFmtId="11" fontId="0" fillId="34" borderId="0" xfId="0" applyNumberFormat="1" applyFont="1" applyFill="1"/>
    <xf numFmtId="11" fontId="0" fillId="34" borderId="0" xfId="0" applyNumberFormat="1" applyFill="1"/>
    <xf numFmtId="164" fontId="0" fillId="39" borderId="0" xfId="0" applyNumberFormat="1" applyFill="1"/>
    <xf numFmtId="2" fontId="0" fillId="35" borderId="0" xfId="0" applyFill="1"/>
    <xf numFmtId="2" fontId="16" fillId="35" borderId="0" xfId="0" applyFont="1" applyFill="1" applyAlignment="1">
      <alignment horizontal="center" vertical="center"/>
    </xf>
    <xf numFmtId="166" fontId="0" fillId="43" borderId="0" xfId="0" applyNumberFormat="1" applyFill="1"/>
    <xf numFmtId="2" fontId="16" fillId="37" borderId="0" xfId="0" applyFont="1" applyFill="1" applyAlignment="1">
      <alignment horizontal="center" vertical="center"/>
    </xf>
    <xf numFmtId="2" fontId="16" fillId="33" borderId="0" xfId="0" applyFont="1" applyFill="1" applyAlignment="1">
      <alignment horizontal="center" vertical="center"/>
    </xf>
    <xf numFmtId="2" fontId="17" fillId="37" borderId="0" xfId="0" applyFont="1" applyFill="1" applyAlignment="1">
      <alignment horizontal="center"/>
    </xf>
    <xf numFmtId="166" fontId="10" fillId="40" borderId="0" xfId="0" applyNumberFormat="1" applyFont="1" applyFill="1"/>
    <xf numFmtId="165" fontId="0" fillId="31" borderId="0" xfId="0" applyNumberFormat="1" applyFill="1"/>
    <xf numFmtId="2" fontId="0" fillId="41" borderId="0" xfId="0" applyFill="1"/>
    <xf numFmtId="2" fontId="0" fillId="39" borderId="0" xfId="0" applyFill="1" applyAlignment="1">
      <alignment horizontal="right" vertical="center"/>
    </xf>
    <xf numFmtId="164" fontId="0" fillId="37" borderId="0" xfId="0" applyNumberFormat="1" applyFill="1"/>
    <xf numFmtId="2" fontId="17" fillId="37" borderId="0" xfId="0" applyFont="1" applyFill="1" applyAlignment="1">
      <alignment horizontal="center" vertical="center"/>
    </xf>
    <xf numFmtId="2" fontId="0" fillId="39" borderId="0" xfId="0" applyFill="1"/>
    <xf numFmtId="166" fontId="10" fillId="38" borderId="0" xfId="0" applyNumberFormat="1" applyFont="1" applyFill="1"/>
    <xf numFmtId="2" fontId="0" fillId="43" borderId="0" xfId="0" applyFill="1"/>
    <xf numFmtId="11" fontId="0" fillId="43" borderId="0" xfId="0" applyNumberFormat="1" applyFill="1"/>
    <xf numFmtId="1" fontId="0" fillId="0" borderId="0" xfId="0" applyNumberFormat="1" applyFill="1"/>
    <xf numFmtId="166" fontId="0" fillId="0" borderId="0" xfId="0" applyNumberFormat="1" applyFill="1"/>
    <xf numFmtId="2" fontId="16" fillId="37" borderId="0" xfId="0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7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165" fontId="16" fillId="42" borderId="0" xfId="0" applyNumberFormat="1" applyFont="1" applyFill="1" applyAlignment="1">
      <alignment horizontal="center" vertical="center"/>
    </xf>
    <xf numFmtId="2" fontId="16" fillId="33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106.86263867904944</c:v>
                </c:pt>
                <c:pt idx="26">
                  <c:v>106.86263867904944</c:v>
                </c:pt>
                <c:pt idx="27">
                  <c:v>107.57193920675115</c:v>
                </c:pt>
                <c:pt idx="28">
                  <c:v>107.57193920675115</c:v>
                </c:pt>
                <c:pt idx="29">
                  <c:v>108.28123973445287</c:v>
                </c:pt>
                <c:pt idx="30">
                  <c:v>108.28123973445287</c:v>
                </c:pt>
                <c:pt idx="31">
                  <c:v>108.99054026215458</c:v>
                </c:pt>
                <c:pt idx="32">
                  <c:v>108.99054026215458</c:v>
                </c:pt>
                <c:pt idx="33">
                  <c:v>109.6998407898563</c:v>
                </c:pt>
                <c:pt idx="34">
                  <c:v>109.6998407898563</c:v>
                </c:pt>
                <c:pt idx="35">
                  <c:v>110.40914131755801</c:v>
                </c:pt>
                <c:pt idx="36">
                  <c:v>110.40914131755801</c:v>
                </c:pt>
                <c:pt idx="37">
                  <c:v>111.11844184525972</c:v>
                </c:pt>
                <c:pt idx="38">
                  <c:v>111.11844184525972</c:v>
                </c:pt>
                <c:pt idx="39">
                  <c:v>111.82774237296144</c:v>
                </c:pt>
                <c:pt idx="40">
                  <c:v>111.82774237296144</c:v>
                </c:pt>
                <c:pt idx="41">
                  <c:v>112.53704290066315</c:v>
                </c:pt>
                <c:pt idx="42">
                  <c:v>112.53704290066315</c:v>
                </c:pt>
                <c:pt idx="43">
                  <c:v>113.24634342836487</c:v>
                </c:pt>
                <c:pt idx="44">
                  <c:v>113.24634342836487</c:v>
                </c:pt>
                <c:pt idx="45">
                  <c:v>113.95564395606658</c:v>
                </c:pt>
                <c:pt idx="46">
                  <c:v>113.95564395606658</c:v>
                </c:pt>
                <c:pt idx="47">
                  <c:v>114.66494448376829</c:v>
                </c:pt>
                <c:pt idx="48">
                  <c:v>114.66494448376829</c:v>
                </c:pt>
                <c:pt idx="49">
                  <c:v>115.37424501147001</c:v>
                </c:pt>
                <c:pt idx="50">
                  <c:v>115.37424501147001</c:v>
                </c:pt>
                <c:pt idx="51">
                  <c:v>116.08354553917172</c:v>
                </c:pt>
                <c:pt idx="52">
                  <c:v>116.08354553917172</c:v>
                </c:pt>
                <c:pt idx="53">
                  <c:v>116.79284606687344</c:v>
                </c:pt>
                <c:pt idx="54">
                  <c:v>116.79284606687344</c:v>
                </c:pt>
                <c:pt idx="55">
                  <c:v>117.50214659457515</c:v>
                </c:pt>
                <c:pt idx="56">
                  <c:v>117.50214659457515</c:v>
                </c:pt>
                <c:pt idx="57">
                  <c:v>118.21144712227687</c:v>
                </c:pt>
                <c:pt idx="58">
                  <c:v>118.21144712227687</c:v>
                </c:pt>
                <c:pt idx="59">
                  <c:v>118.92074764997858</c:v>
                </c:pt>
                <c:pt idx="60">
                  <c:v>118.92074764997858</c:v>
                </c:pt>
                <c:pt idx="61">
                  <c:v>119.63004817768029</c:v>
                </c:pt>
                <c:pt idx="62">
                  <c:v>119.63004817768029</c:v>
                </c:pt>
                <c:pt idx="63">
                  <c:v>120.33934870538201</c:v>
                </c:pt>
                <c:pt idx="64">
                  <c:v>120.33934870538201</c:v>
                </c:pt>
                <c:pt idx="65">
                  <c:v>121.04864923308372</c:v>
                </c:pt>
                <c:pt idx="66">
                  <c:v>121.04864923308372</c:v>
                </c:pt>
                <c:pt idx="67">
                  <c:v>121.75794976078544</c:v>
                </c:pt>
                <c:pt idx="68">
                  <c:v>121.75794976078544</c:v>
                </c:pt>
                <c:pt idx="69">
                  <c:v>122.11260002463629</c:v>
                </c:pt>
                <c:pt idx="70">
                  <c:v>122.11260002463629</c:v>
                </c:pt>
                <c:pt idx="71">
                  <c:v>122.35890397078914</c:v>
                </c:pt>
                <c:pt idx="72">
                  <c:v>122.35890397078914</c:v>
                </c:pt>
                <c:pt idx="73">
                  <c:v>122.85151186309484</c:v>
                </c:pt>
                <c:pt idx="74">
                  <c:v>122.85151186309484</c:v>
                </c:pt>
                <c:pt idx="75">
                  <c:v>123.34411975540054</c:v>
                </c:pt>
                <c:pt idx="76">
                  <c:v>123.34411975540054</c:v>
                </c:pt>
                <c:pt idx="77">
                  <c:v>123.83672764770624</c:v>
                </c:pt>
                <c:pt idx="78">
                  <c:v>123.83672764770624</c:v>
                </c:pt>
                <c:pt idx="79">
                  <c:v>124.32933554001194</c:v>
                </c:pt>
                <c:pt idx="80">
                  <c:v>124.32933554001194</c:v>
                </c:pt>
                <c:pt idx="81">
                  <c:v>124.82194343231764</c:v>
                </c:pt>
                <c:pt idx="82">
                  <c:v>124.82194343231764</c:v>
                </c:pt>
                <c:pt idx="83">
                  <c:v>125.31455132462334</c:v>
                </c:pt>
                <c:pt idx="84">
                  <c:v>125.31455132462334</c:v>
                </c:pt>
                <c:pt idx="85">
                  <c:v>125.80715921692904</c:v>
                </c:pt>
                <c:pt idx="86">
                  <c:v>125.80715921692904</c:v>
                </c:pt>
                <c:pt idx="87">
                  <c:v>126.29976710923474</c:v>
                </c:pt>
                <c:pt idx="88">
                  <c:v>126.29976710923474</c:v>
                </c:pt>
                <c:pt idx="89">
                  <c:v>126.79237500154044</c:v>
                </c:pt>
                <c:pt idx="90">
                  <c:v>126.79237500154044</c:v>
                </c:pt>
                <c:pt idx="91">
                  <c:v>127.28498289384613</c:v>
                </c:pt>
                <c:pt idx="92">
                  <c:v>127.28498289384613</c:v>
                </c:pt>
                <c:pt idx="93">
                  <c:v>127.77759078615183</c:v>
                </c:pt>
                <c:pt idx="94">
                  <c:v>127.77759078615183</c:v>
                </c:pt>
                <c:pt idx="95">
                  <c:v>128.27019867845755</c:v>
                </c:pt>
                <c:pt idx="96">
                  <c:v>128.27019867845755</c:v>
                </c:pt>
                <c:pt idx="97">
                  <c:v>128.76280657076325</c:v>
                </c:pt>
                <c:pt idx="98">
                  <c:v>128.76280657076325</c:v>
                </c:pt>
                <c:pt idx="99">
                  <c:v>129.25541446306894</c:v>
                </c:pt>
                <c:pt idx="100">
                  <c:v>129.25541446306894</c:v>
                </c:pt>
                <c:pt idx="101">
                  <c:v>129.74802235537464</c:v>
                </c:pt>
                <c:pt idx="102">
                  <c:v>129.74802235537464</c:v>
                </c:pt>
                <c:pt idx="103">
                  <c:v>130.24063024768034</c:v>
                </c:pt>
                <c:pt idx="104">
                  <c:v>130.24063024768034</c:v>
                </c:pt>
                <c:pt idx="105">
                  <c:v>130.73323813998604</c:v>
                </c:pt>
                <c:pt idx="106">
                  <c:v>130.73323813998604</c:v>
                </c:pt>
                <c:pt idx="107">
                  <c:v>131.22584603229174</c:v>
                </c:pt>
                <c:pt idx="108">
                  <c:v>131.22584603229174</c:v>
                </c:pt>
                <c:pt idx="109">
                  <c:v>131.71845392459744</c:v>
                </c:pt>
                <c:pt idx="110">
                  <c:v>131.71845392459744</c:v>
                </c:pt>
                <c:pt idx="111">
                  <c:v>132.21106181690314</c:v>
                </c:pt>
                <c:pt idx="112">
                  <c:v>132.21106181690314</c:v>
                </c:pt>
                <c:pt idx="113">
                  <c:v>132.70366970920884</c:v>
                </c:pt>
                <c:pt idx="114">
                  <c:v>132.70366970920884</c:v>
                </c:pt>
                <c:pt idx="115">
                  <c:v>132.9499736553617</c:v>
                </c:pt>
                <c:pt idx="116">
                  <c:v>132.9499736553617</c:v>
                </c:pt>
                <c:pt idx="117">
                  <c:v>133.54457872821075</c:v>
                </c:pt>
                <c:pt idx="118">
                  <c:v>133.54457872821075</c:v>
                </c:pt>
                <c:pt idx="119">
                  <c:v>134.14934281341297</c:v>
                </c:pt>
                <c:pt idx="120">
                  <c:v>134.14934281341297</c:v>
                </c:pt>
                <c:pt idx="121">
                  <c:v>134.77551647103064</c:v>
                </c:pt>
                <c:pt idx="122">
                  <c:v>134.77551647103064</c:v>
                </c:pt>
                <c:pt idx="123">
                  <c:v>135.43684738540335</c:v>
                </c:pt>
                <c:pt idx="124">
                  <c:v>135.43684738540335</c:v>
                </c:pt>
                <c:pt idx="125">
                  <c:v>136.15179943539755</c:v>
                </c:pt>
                <c:pt idx="126">
                  <c:v>136.15179943539755</c:v>
                </c:pt>
                <c:pt idx="127">
                  <c:v>136.94765585987122</c:v>
                </c:pt>
                <c:pt idx="128">
                  <c:v>136.94765585987122</c:v>
                </c:pt>
                <c:pt idx="129">
                  <c:v>137.86931342510678</c:v>
                </c:pt>
                <c:pt idx="130">
                  <c:v>137.86931342510678</c:v>
                </c:pt>
                <c:pt idx="131">
                  <c:v>139.00186819257954</c:v>
                </c:pt>
                <c:pt idx="132">
                  <c:v>139.00186819257954</c:v>
                </c:pt>
                <c:pt idx="133">
                  <c:v>140.54766172288367</c:v>
                </c:pt>
                <c:pt idx="134">
                  <c:v>140.54766172288367</c:v>
                </c:pt>
                <c:pt idx="135">
                  <c:v>143.32547321956528</c:v>
                </c:pt>
                <c:pt idx="136">
                  <c:v>143.32547321956528</c:v>
                </c:pt>
                <c:pt idx="137">
                  <c:v>147.05587406334959</c:v>
                </c:pt>
                <c:pt idx="138">
                  <c:v>147.05587406334959</c:v>
                </c:pt>
                <c:pt idx="139">
                  <c:v>220.44793998987728</c:v>
                </c:pt>
                <c:pt idx="140">
                  <c:v>220.44793998987728</c:v>
                </c:pt>
                <c:pt idx="141">
                  <c:v>261.48948730289777</c:v>
                </c:pt>
                <c:pt idx="142">
                  <c:v>261.48948730289777</c:v>
                </c:pt>
                <c:pt idx="143">
                  <c:v>292.0507290412138</c:v>
                </c:pt>
                <c:pt idx="144">
                  <c:v>292.0507290412138</c:v>
                </c:pt>
                <c:pt idx="145">
                  <c:v>309.05741571292805</c:v>
                </c:pt>
                <c:pt idx="146">
                  <c:v>309.05741571292805</c:v>
                </c:pt>
                <c:pt idx="147">
                  <c:v>321.5176852711632</c:v>
                </c:pt>
                <c:pt idx="148">
                  <c:v>321.5176852711632</c:v>
                </c:pt>
                <c:pt idx="149">
                  <c:v>331.657682058116</c:v>
                </c:pt>
                <c:pt idx="150">
                  <c:v>331.657682058116</c:v>
                </c:pt>
                <c:pt idx="151">
                  <c:v>340.41362557926124</c:v>
                </c:pt>
                <c:pt idx="152">
                  <c:v>340.41362557926124</c:v>
                </c:pt>
                <c:pt idx="153">
                  <c:v>348.27946617257697</c:v>
                </c:pt>
                <c:pt idx="154">
                  <c:v>348.27946617257697</c:v>
                </c:pt>
                <c:pt idx="155">
                  <c:v>355.55537167131592</c:v>
                </c:pt>
                <c:pt idx="156">
                  <c:v>355.55537167131592</c:v>
                </c:pt>
                <c:pt idx="157">
                  <c:v>362.44448007319255</c:v>
                </c:pt>
                <c:pt idx="158">
                  <c:v>362.44448007319255</c:v>
                </c:pt>
                <c:pt idx="159">
                  <c:v>369.09804221180281</c:v>
                </c:pt>
                <c:pt idx="160">
                  <c:v>369.09804221180281</c:v>
                </c:pt>
                <c:pt idx="161">
                  <c:v>375.63983577550471</c:v>
                </c:pt>
                <c:pt idx="162">
                  <c:v>375.63983577550471</c:v>
                </c:pt>
                <c:pt idx="163">
                  <c:v>378.62117853008544</c:v>
                </c:pt>
                <c:pt idx="164">
                  <c:v>378.62117853008544</c:v>
                </c:pt>
                <c:pt idx="165">
                  <c:v>384.58386403924692</c:v>
                </c:pt>
                <c:pt idx="166">
                  <c:v>384.58386403924692</c:v>
                </c:pt>
                <c:pt idx="167">
                  <c:v>390.54654954840839</c:v>
                </c:pt>
                <c:pt idx="168">
                  <c:v>390.54654954840839</c:v>
                </c:pt>
                <c:pt idx="169">
                  <c:v>396.50923505756987</c:v>
                </c:pt>
                <c:pt idx="170">
                  <c:v>396.50923505756987</c:v>
                </c:pt>
                <c:pt idx="171">
                  <c:v>402.47192056673134</c:v>
                </c:pt>
                <c:pt idx="172">
                  <c:v>402.47192056673134</c:v>
                </c:pt>
                <c:pt idx="173">
                  <c:v>408.43460607589282</c:v>
                </c:pt>
                <c:pt idx="174">
                  <c:v>408.43460607589282</c:v>
                </c:pt>
                <c:pt idx="175">
                  <c:v>414.39729158505429</c:v>
                </c:pt>
                <c:pt idx="176">
                  <c:v>414.39729158505429</c:v>
                </c:pt>
                <c:pt idx="177">
                  <c:v>420.35997709421576</c:v>
                </c:pt>
                <c:pt idx="178">
                  <c:v>420.35997709421576</c:v>
                </c:pt>
                <c:pt idx="179">
                  <c:v>426.32266260337724</c:v>
                </c:pt>
                <c:pt idx="180">
                  <c:v>426.32266260337724</c:v>
                </c:pt>
                <c:pt idx="181">
                  <c:v>432.28534811253871</c:v>
                </c:pt>
                <c:pt idx="182">
                  <c:v>432.28534811253871</c:v>
                </c:pt>
                <c:pt idx="183">
                  <c:v>438.24803362170019</c:v>
                </c:pt>
                <c:pt idx="184">
                  <c:v>438.24803362170019</c:v>
                </c:pt>
                <c:pt idx="185">
                  <c:v>444.21071913086166</c:v>
                </c:pt>
                <c:pt idx="186">
                  <c:v>444.21071913086166</c:v>
                </c:pt>
                <c:pt idx="187">
                  <c:v>450.17340464002314</c:v>
                </c:pt>
                <c:pt idx="188">
                  <c:v>450.17340464002314</c:v>
                </c:pt>
                <c:pt idx="189">
                  <c:v>456.13609014918461</c:v>
                </c:pt>
                <c:pt idx="190">
                  <c:v>456.13609014918461</c:v>
                </c:pt>
                <c:pt idx="191">
                  <c:v>462.09877565834609</c:v>
                </c:pt>
                <c:pt idx="192">
                  <c:v>462.09877565834609</c:v>
                </c:pt>
                <c:pt idx="193">
                  <c:v>468.06146116750756</c:v>
                </c:pt>
                <c:pt idx="194">
                  <c:v>468.06146116750756</c:v>
                </c:pt>
                <c:pt idx="195">
                  <c:v>474.02414667666903</c:v>
                </c:pt>
                <c:pt idx="196">
                  <c:v>474.02414667666903</c:v>
                </c:pt>
                <c:pt idx="197">
                  <c:v>479.98683218583051</c:v>
                </c:pt>
                <c:pt idx="198">
                  <c:v>479.98683218583051</c:v>
                </c:pt>
                <c:pt idx="199">
                  <c:v>485.94951769499198</c:v>
                </c:pt>
                <c:pt idx="200">
                  <c:v>485.94951769499198</c:v>
                </c:pt>
                <c:pt idx="201">
                  <c:v>491.91220320415346</c:v>
                </c:pt>
                <c:pt idx="202">
                  <c:v>491.91220320415346</c:v>
                </c:pt>
                <c:pt idx="203">
                  <c:v>497.87488871331493</c:v>
                </c:pt>
                <c:pt idx="204">
                  <c:v>497.87488871331493</c:v>
                </c:pt>
                <c:pt idx="205">
                  <c:v>503.83757422247641</c:v>
                </c:pt>
                <c:pt idx="206">
                  <c:v>503.83757422247641</c:v>
                </c:pt>
                <c:pt idx="207">
                  <c:v>506.81891697705714</c:v>
                </c:pt>
                <c:pt idx="208">
                  <c:v>506.81891697705714</c:v>
                </c:pt>
                <c:pt idx="209">
                  <c:v>510.58300814614608</c:v>
                </c:pt>
                <c:pt idx="210">
                  <c:v>510.58300814614608</c:v>
                </c:pt>
                <c:pt idx="211">
                  <c:v>518.11119048432397</c:v>
                </c:pt>
                <c:pt idx="212">
                  <c:v>518.11119048432397</c:v>
                </c:pt>
                <c:pt idx="213">
                  <c:v>525.63937282250185</c:v>
                </c:pt>
                <c:pt idx="214">
                  <c:v>525.63937282250185</c:v>
                </c:pt>
                <c:pt idx="215">
                  <c:v>533.16755516067974</c:v>
                </c:pt>
                <c:pt idx="216">
                  <c:v>533.16755516067974</c:v>
                </c:pt>
                <c:pt idx="217">
                  <c:v>540.69573749885762</c:v>
                </c:pt>
                <c:pt idx="218">
                  <c:v>540.69573749885762</c:v>
                </c:pt>
                <c:pt idx="219">
                  <c:v>548.22391983703551</c:v>
                </c:pt>
                <c:pt idx="220">
                  <c:v>548.22391983703551</c:v>
                </c:pt>
                <c:pt idx="221">
                  <c:v>555.75210217521339</c:v>
                </c:pt>
                <c:pt idx="222">
                  <c:v>555.75210217521339</c:v>
                </c:pt>
                <c:pt idx="223">
                  <c:v>563.28028451339128</c:v>
                </c:pt>
                <c:pt idx="224">
                  <c:v>563.28028451339128</c:v>
                </c:pt>
                <c:pt idx="225">
                  <c:v>570.80846685156916</c:v>
                </c:pt>
                <c:pt idx="226">
                  <c:v>570.80846685156916</c:v>
                </c:pt>
                <c:pt idx="227">
                  <c:v>578.33664918974705</c:v>
                </c:pt>
                <c:pt idx="228">
                  <c:v>578.33664918974705</c:v>
                </c:pt>
                <c:pt idx="229">
                  <c:v>585.86483152792493</c:v>
                </c:pt>
                <c:pt idx="230">
                  <c:v>585.86483152792493</c:v>
                </c:pt>
                <c:pt idx="231">
                  <c:v>593.39301386610282</c:v>
                </c:pt>
                <c:pt idx="232">
                  <c:v>593.39301386610282</c:v>
                </c:pt>
                <c:pt idx="233">
                  <c:v>600.9211962042807</c:v>
                </c:pt>
                <c:pt idx="234">
                  <c:v>600.9211962042807</c:v>
                </c:pt>
                <c:pt idx="235">
                  <c:v>608.44937854245859</c:v>
                </c:pt>
                <c:pt idx="236">
                  <c:v>608.44937854245859</c:v>
                </c:pt>
                <c:pt idx="237">
                  <c:v>615.97756088063647</c:v>
                </c:pt>
                <c:pt idx="238">
                  <c:v>615.97756088063647</c:v>
                </c:pt>
                <c:pt idx="239">
                  <c:v>623.50574321881436</c:v>
                </c:pt>
                <c:pt idx="240">
                  <c:v>623.50574321881436</c:v>
                </c:pt>
                <c:pt idx="241">
                  <c:v>631.03392555699224</c:v>
                </c:pt>
                <c:pt idx="242">
                  <c:v>631.03392555699224</c:v>
                </c:pt>
                <c:pt idx="243">
                  <c:v>638.56210789517013</c:v>
                </c:pt>
                <c:pt idx="244">
                  <c:v>638.56210789517013</c:v>
                </c:pt>
                <c:pt idx="245">
                  <c:v>646.09029023334801</c:v>
                </c:pt>
                <c:pt idx="246">
                  <c:v>646.09029023334801</c:v>
                </c:pt>
                <c:pt idx="247">
                  <c:v>653.6184725715259</c:v>
                </c:pt>
                <c:pt idx="248">
                  <c:v>653.6184725715259</c:v>
                </c:pt>
                <c:pt idx="249">
                  <c:v>661.14665490970378</c:v>
                </c:pt>
                <c:pt idx="250">
                  <c:v>661.14665490970378</c:v>
                </c:pt>
                <c:pt idx="251">
                  <c:v>668.67483724788167</c:v>
                </c:pt>
                <c:pt idx="252">
                  <c:v>668.67483724788167</c:v>
                </c:pt>
                <c:pt idx="253">
                  <c:v>672.43892841697061</c:v>
                </c:pt>
                <c:pt idx="254">
                  <c:v>672.43892841697061</c:v>
                </c:pt>
                <c:pt idx="255">
                  <c:v>689.95480357156828</c:v>
                </c:pt>
                <c:pt idx="256">
                  <c:v>689.95480357156828</c:v>
                </c:pt>
                <c:pt idx="257">
                  <c:v>724.98655388076361</c:v>
                </c:pt>
                <c:pt idx="258">
                  <c:v>724.98655388076361</c:v>
                </c:pt>
                <c:pt idx="259">
                  <c:v>760.01830418995894</c:v>
                </c:pt>
                <c:pt idx="260">
                  <c:v>760.01830418995894</c:v>
                </c:pt>
                <c:pt idx="261">
                  <c:v>795.05005449915427</c:v>
                </c:pt>
                <c:pt idx="262">
                  <c:v>795.05005449915427</c:v>
                </c:pt>
                <c:pt idx="263">
                  <c:v>830.0818048083496</c:v>
                </c:pt>
                <c:pt idx="264">
                  <c:v>830.0818048083496</c:v>
                </c:pt>
                <c:pt idx="265">
                  <c:v>865.11355511754493</c:v>
                </c:pt>
                <c:pt idx="266">
                  <c:v>865.11355511754493</c:v>
                </c:pt>
                <c:pt idx="267">
                  <c:v>900.14530542674026</c:v>
                </c:pt>
                <c:pt idx="268">
                  <c:v>900.14530542674026</c:v>
                </c:pt>
                <c:pt idx="269">
                  <c:v>935.1770557359356</c:v>
                </c:pt>
                <c:pt idx="270">
                  <c:v>935.1770557359356</c:v>
                </c:pt>
                <c:pt idx="271">
                  <c:v>970.20880604513093</c:v>
                </c:pt>
                <c:pt idx="272">
                  <c:v>970.20880604513093</c:v>
                </c:pt>
                <c:pt idx="273">
                  <c:v>1005.2405563543263</c:v>
                </c:pt>
                <c:pt idx="274">
                  <c:v>1005.2405563543263</c:v>
                </c:pt>
                <c:pt idx="275">
                  <c:v>1040.2723066635217</c:v>
                </c:pt>
                <c:pt idx="276">
                  <c:v>1040.2723066635217</c:v>
                </c:pt>
                <c:pt idx="277">
                  <c:v>1075.304056972717</c:v>
                </c:pt>
                <c:pt idx="278">
                  <c:v>1075.304056972717</c:v>
                </c:pt>
                <c:pt idx="279">
                  <c:v>1110.3358072819124</c:v>
                </c:pt>
                <c:pt idx="280">
                  <c:v>1110.3358072819124</c:v>
                </c:pt>
                <c:pt idx="281">
                  <c:v>1145.3675575911077</c:v>
                </c:pt>
                <c:pt idx="282">
                  <c:v>1145.3675575911077</c:v>
                </c:pt>
                <c:pt idx="283">
                  <c:v>1180.399307900303</c:v>
                </c:pt>
                <c:pt idx="284">
                  <c:v>1180.399307900303</c:v>
                </c:pt>
                <c:pt idx="285">
                  <c:v>1215.4310582094984</c:v>
                </c:pt>
                <c:pt idx="286">
                  <c:v>1215.4310582094984</c:v>
                </c:pt>
                <c:pt idx="287">
                  <c:v>1250.4628085186937</c:v>
                </c:pt>
                <c:pt idx="288">
                  <c:v>1250.4628085186937</c:v>
                </c:pt>
                <c:pt idx="289">
                  <c:v>1285.494558827889</c:v>
                </c:pt>
                <c:pt idx="290">
                  <c:v>1285.494558827889</c:v>
                </c:pt>
                <c:pt idx="291">
                  <c:v>1320.5263091370844</c:v>
                </c:pt>
                <c:pt idx="292">
                  <c:v>1320.5263091370844</c:v>
                </c:pt>
                <c:pt idx="293">
                  <c:v>1355.5580594462797</c:v>
                </c:pt>
                <c:pt idx="294">
                  <c:v>1355.5580594462797</c:v>
                </c:pt>
                <c:pt idx="295">
                  <c:v>1390.589809755475</c:v>
                </c:pt>
                <c:pt idx="296">
                  <c:v>1390.589809755475</c:v>
                </c:pt>
                <c:pt idx="297">
                  <c:v>1425.6215600646703</c:v>
                </c:pt>
                <c:pt idx="298">
                  <c:v>1425.6215600646703</c:v>
                </c:pt>
                <c:pt idx="299">
                  <c:v>1443.1374352192681</c:v>
                </c:pt>
                <c:pt idx="300">
                  <c:v>1443.1374352192681</c:v>
                </c:pt>
                <c:pt idx="301">
                  <c:v>1476.7923376073841</c:v>
                </c:pt>
                <c:pt idx="302">
                  <c:v>1476.7923376073841</c:v>
                </c:pt>
                <c:pt idx="303">
                  <c:v>1511.0222444559697</c:v>
                </c:pt>
                <c:pt idx="304">
                  <c:v>1511.0222444559697</c:v>
                </c:pt>
                <c:pt idx="305">
                  <c:v>1546.4639422944304</c:v>
                </c:pt>
                <c:pt idx="306">
                  <c:v>1546.4639422944304</c:v>
                </c:pt>
                <c:pt idx="307">
                  <c:v>1583.8955559582905</c:v>
                </c:pt>
                <c:pt idx="308">
                  <c:v>1583.8955559582905</c:v>
                </c:pt>
                <c:pt idx="309">
                  <c:v>1624.3621489179618</c:v>
                </c:pt>
                <c:pt idx="310">
                  <c:v>1624.3621489179618</c:v>
                </c:pt>
                <c:pt idx="311">
                  <c:v>1669.4079642055426</c:v>
                </c:pt>
                <c:pt idx="312">
                  <c:v>1669.4079642055426</c:v>
                </c:pt>
                <c:pt idx="313">
                  <c:v>1721.5741780668668</c:v>
                </c:pt>
                <c:pt idx="314">
                  <c:v>1721.5741780668668</c:v>
                </c:pt>
                <c:pt idx="315">
                  <c:v>1785.677264113305</c:v>
                </c:pt>
                <c:pt idx="316">
                  <c:v>1785.677264113305</c:v>
                </c:pt>
                <c:pt idx="317">
                  <c:v>1873.1698415400267</c:v>
                </c:pt>
                <c:pt idx="318">
                  <c:v>1873.1698415400267</c:v>
                </c:pt>
                <c:pt idx="319">
                  <c:v>2030.3951647708952</c:v>
                </c:pt>
                <c:pt idx="320">
                  <c:v>2030.3951647708952</c:v>
                </c:pt>
                <c:pt idx="321">
                  <c:v>2241.5374539958289</c:v>
                </c:pt>
                <c:pt idx="322">
                  <c:v>2241.5374539958289</c:v>
                </c:pt>
                <c:pt idx="323">
                  <c:v>2991.5374539958289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2.0744206344668262E-6</c:v>
                </c:pt>
                <c:pt idx="3">
                  <c:v>2.0744206344668262E-6</c:v>
                </c:pt>
                <c:pt idx="4">
                  <c:v>2.1064140446251916E-6</c:v>
                </c:pt>
                <c:pt idx="5">
                  <c:v>2.1064140446251916E-6</c:v>
                </c:pt>
                <c:pt idx="6">
                  <c:v>2.1526973164368536E-6</c:v>
                </c:pt>
                <c:pt idx="7">
                  <c:v>2.1526973164368536E-6</c:v>
                </c:pt>
                <c:pt idx="8">
                  <c:v>2.2050692598636893E-6</c:v>
                </c:pt>
                <c:pt idx="9">
                  <c:v>2.2050692598636893E-6</c:v>
                </c:pt>
                <c:pt idx="10">
                  <c:v>2.260340000055443E-6</c:v>
                </c:pt>
                <c:pt idx="11">
                  <c:v>2.260340000055443E-6</c:v>
                </c:pt>
                <c:pt idx="12">
                  <c:v>2.3170492376261371E-6</c:v>
                </c:pt>
                <c:pt idx="13">
                  <c:v>2.3170492376261371E-6</c:v>
                </c:pt>
                <c:pt idx="14">
                  <c:v>2.3744689964723878E-6</c:v>
                </c:pt>
                <c:pt idx="15">
                  <c:v>2.3744689964723878E-6</c:v>
                </c:pt>
                <c:pt idx="16">
                  <c:v>2.4322232629614909E-6</c:v>
                </c:pt>
                <c:pt idx="17">
                  <c:v>2.4322232629614909E-6</c:v>
                </c:pt>
                <c:pt idx="18">
                  <c:v>2.4901193458592496E-6</c:v>
                </c:pt>
                <c:pt idx="19">
                  <c:v>2.4901193458592496E-6</c:v>
                </c:pt>
                <c:pt idx="20">
                  <c:v>2.5480645534610619E-6</c:v>
                </c:pt>
                <c:pt idx="21">
                  <c:v>2.5480645534610619E-6</c:v>
                </c:pt>
                <c:pt idx="22">
                  <c:v>2.6060210967765958E-6</c:v>
                </c:pt>
                <c:pt idx="23">
                  <c:v>2.6060210967765958E-6</c:v>
                </c:pt>
                <c:pt idx="24">
                  <c:v>2.6716788165692057E-6</c:v>
                </c:pt>
                <c:pt idx="25">
                  <c:v>2.6716788165692057E-6</c:v>
                </c:pt>
                <c:pt idx="26">
                  <c:v>2.7814366377763264E-6</c:v>
                </c:pt>
                <c:pt idx="27">
                  <c:v>2.7814366377763264E-6</c:v>
                </c:pt>
                <c:pt idx="28">
                  <c:v>2.9128250808041695E-6</c:v>
                </c:pt>
                <c:pt idx="29">
                  <c:v>2.9128250808041695E-6</c:v>
                </c:pt>
                <c:pt idx="30">
                  <c:v>3.0173705697747014E-6</c:v>
                </c:pt>
                <c:pt idx="31">
                  <c:v>3.0173705697747014E-6</c:v>
                </c:pt>
                <c:pt idx="32">
                  <c:v>3.0910807968949879E-6</c:v>
                </c:pt>
                <c:pt idx="33">
                  <c:v>3.0910807968949879E-6</c:v>
                </c:pt>
                <c:pt idx="34">
                  <c:v>3.1362734799881689E-6</c:v>
                </c:pt>
                <c:pt idx="35">
                  <c:v>3.1362734799881689E-6</c:v>
                </c:pt>
                <c:pt idx="36">
                  <c:v>3.1588249357666538E-6</c:v>
                </c:pt>
                <c:pt idx="37">
                  <c:v>3.1588249357666538E-6</c:v>
                </c:pt>
                <c:pt idx="38">
                  <c:v>3.1651375280203552E-6</c:v>
                </c:pt>
                <c:pt idx="39">
                  <c:v>3.1651375280203552E-6</c:v>
                </c:pt>
                <c:pt idx="40">
                  <c:v>3.1601366089108343E-6</c:v>
                </c:pt>
                <c:pt idx="41">
                  <c:v>3.1601366089108343E-6</c:v>
                </c:pt>
                <c:pt idx="42">
                  <c:v>3.1466071492555918E-6</c:v>
                </c:pt>
                <c:pt idx="43">
                  <c:v>3.1466071492555918E-6</c:v>
                </c:pt>
                <c:pt idx="44">
                  <c:v>3.1254566018365903E-6</c:v>
                </c:pt>
                <c:pt idx="45">
                  <c:v>3.1254566018365903E-6</c:v>
                </c:pt>
                <c:pt idx="46">
                  <c:v>3.0963277202946193E-6</c:v>
                </c:pt>
                <c:pt idx="47">
                  <c:v>3.0963277202946193E-6</c:v>
                </c:pt>
                <c:pt idx="48">
                  <c:v>3.0581830842352785E-6</c:v>
                </c:pt>
                <c:pt idx="49">
                  <c:v>3.0581830842352785E-6</c:v>
                </c:pt>
                <c:pt idx="50">
                  <c:v>3.00973495490867E-6</c:v>
                </c:pt>
                <c:pt idx="51">
                  <c:v>3.00973495490867E-6</c:v>
                </c:pt>
                <c:pt idx="52">
                  <c:v>2.9497396207335916E-6</c:v>
                </c:pt>
                <c:pt idx="53">
                  <c:v>2.9497396207335916E-6</c:v>
                </c:pt>
                <c:pt idx="54">
                  <c:v>2.8772111022195653E-6</c:v>
                </c:pt>
                <c:pt idx="55">
                  <c:v>2.8772111022195653E-6</c:v>
                </c:pt>
                <c:pt idx="56">
                  <c:v>2.7915911000141908E-6</c:v>
                </c:pt>
                <c:pt idx="57">
                  <c:v>2.7915911000141908E-6</c:v>
                </c:pt>
                <c:pt idx="58">
                  <c:v>2.6928854068739308E-6</c:v>
                </c:pt>
                <c:pt idx="59">
                  <c:v>2.6928854068739308E-6</c:v>
                </c:pt>
                <c:pt idx="60">
                  <c:v>2.581759759891549E-6</c:v>
                </c:pt>
                <c:pt idx="61">
                  <c:v>2.581759759891549E-6</c:v>
                </c:pt>
                <c:pt idx="62">
                  <c:v>2.459582073943824E-6</c:v>
                </c:pt>
                <c:pt idx="63">
                  <c:v>2.459582073943824E-6</c:v>
                </c:pt>
                <c:pt idx="64">
                  <c:v>2.3283999989479499E-6</c:v>
                </c:pt>
                <c:pt idx="65">
                  <c:v>2.3283999989479499E-6</c:v>
                </c:pt>
                <c:pt idx="66">
                  <c:v>2.190849536476276E-6</c:v>
                </c:pt>
                <c:pt idx="67">
                  <c:v>2.190849536476276E-6</c:v>
                </c:pt>
                <c:pt idx="68">
                  <c:v>2.085342824269891E-6</c:v>
                </c:pt>
                <c:pt idx="69">
                  <c:v>2.085342824269891E-6</c:v>
                </c:pt>
                <c:pt idx="70">
                  <c:v>2.0154272105384767E-6</c:v>
                </c:pt>
                <c:pt idx="71">
                  <c:v>2.0154272105384767E-6</c:v>
                </c:pt>
                <c:pt idx="72">
                  <c:v>1.9395994347680165E-6</c:v>
                </c:pt>
                <c:pt idx="73">
                  <c:v>1.9395994347680165E-6</c:v>
                </c:pt>
                <c:pt idx="74">
                  <c:v>1.8388165174128811E-6</c:v>
                </c:pt>
                <c:pt idx="75">
                  <c:v>1.8388165174128811E-6</c:v>
                </c:pt>
                <c:pt idx="76">
                  <c:v>1.7392288282093958E-6</c:v>
                </c:pt>
                <c:pt idx="77">
                  <c:v>1.7392288282093958E-6</c:v>
                </c:pt>
                <c:pt idx="78">
                  <c:v>1.6416532682362442E-6</c:v>
                </c:pt>
                <c:pt idx="79">
                  <c:v>1.6416532682362442E-6</c:v>
                </c:pt>
                <c:pt idx="80">
                  <c:v>1.5467863174684187E-6</c:v>
                </c:pt>
                <c:pt idx="81">
                  <c:v>1.5467863174684187E-6</c:v>
                </c:pt>
                <c:pt idx="82">
                  <c:v>1.4551821025035989E-6</c:v>
                </c:pt>
                <c:pt idx="83">
                  <c:v>1.4551821025035989E-6</c:v>
                </c:pt>
                <c:pt idx="84">
                  <c:v>1.3672390271258606E-6</c:v>
                </c:pt>
                <c:pt idx="85">
                  <c:v>1.3672390271258606E-6</c:v>
                </c:pt>
                <c:pt idx="86">
                  <c:v>1.2831955951949341E-6</c:v>
                </c:pt>
                <c:pt idx="87">
                  <c:v>1.2831955951949341E-6</c:v>
                </c:pt>
                <c:pt idx="88">
                  <c:v>1.2031354120068039E-6</c:v>
                </c:pt>
                <c:pt idx="89">
                  <c:v>1.2031354120068039E-6</c:v>
                </c:pt>
                <c:pt idx="90">
                  <c:v>1.1270007130490522E-6</c:v>
                </c:pt>
                <c:pt idx="91">
                  <c:v>1.1270007130490522E-6</c:v>
                </c:pt>
                <c:pt idx="92">
                  <c:v>1.0546131923342263E-6</c:v>
                </c:pt>
                <c:pt idx="93">
                  <c:v>1.0546131923342263E-6</c:v>
                </c:pt>
                <c:pt idx="94">
                  <c:v>9.8570043350972847E-7</c:v>
                </c:pt>
                <c:pt idx="95">
                  <c:v>9.8570043350972847E-7</c:v>
                </c:pt>
                <c:pt idx="96">
                  <c:v>9.1992592163938513E-7</c:v>
                </c:pt>
                <c:pt idx="97">
                  <c:v>9.1992592163938513E-7</c:v>
                </c:pt>
                <c:pt idx="98">
                  <c:v>8.5692045364586323E-7</c:v>
                </c:pt>
                <c:pt idx="99">
                  <c:v>8.5692045364586323E-7</c:v>
                </c:pt>
                <c:pt idx="100">
                  <c:v>7.9631277712199623E-7</c:v>
                </c:pt>
                <c:pt idx="101">
                  <c:v>7.9631277712199623E-7</c:v>
                </c:pt>
                <c:pt idx="102">
                  <c:v>7.377574616028341E-7</c:v>
                </c:pt>
                <c:pt idx="103">
                  <c:v>7.377574616028341E-7</c:v>
                </c:pt>
                <c:pt idx="104">
                  <c:v>6.8095832099825387E-7</c:v>
                </c:pt>
                <c:pt idx="105">
                  <c:v>6.8095832099825387E-7</c:v>
                </c:pt>
                <c:pt idx="106">
                  <c:v>6.2568612761774851E-7</c:v>
                </c:pt>
                <c:pt idx="107">
                  <c:v>6.2568612761774851E-7</c:v>
                </c:pt>
                <c:pt idx="108">
                  <c:v>5.7178984688645829E-7</c:v>
                </c:pt>
                <c:pt idx="109">
                  <c:v>5.7178984688645829E-7</c:v>
                </c:pt>
                <c:pt idx="110">
                  <c:v>5.1920113411803777E-7</c:v>
                </c:pt>
                <c:pt idx="111">
                  <c:v>5.1920113411803777E-7</c:v>
                </c:pt>
                <c:pt idx="112">
                  <c:v>4.6793232802493216E-7</c:v>
                </c:pt>
                <c:pt idx="113">
                  <c:v>4.6793232802493216E-7</c:v>
                </c:pt>
                <c:pt idx="114">
                  <c:v>4.3039574979162564E-7</c:v>
                </c:pt>
                <c:pt idx="115">
                  <c:v>4.3039574979162564E-7</c:v>
                </c:pt>
                <c:pt idx="116">
                  <c:v>3.7093655921173862E-7</c:v>
                </c:pt>
                <c:pt idx="117">
                  <c:v>3.7093655921173862E-7</c:v>
                </c:pt>
                <c:pt idx="118">
                  <c:v>3.1931407119528129E-7</c:v>
                </c:pt>
                <c:pt idx="119">
                  <c:v>3.1931407119528129E-7</c:v>
                </c:pt>
                <c:pt idx="120">
                  <c:v>2.6770168022851038E-7</c:v>
                </c:pt>
                <c:pt idx="121">
                  <c:v>2.6770168022851038E-7</c:v>
                </c:pt>
                <c:pt idx="122">
                  <c:v>2.1613304531628025E-7</c:v>
                </c:pt>
                <c:pt idx="123">
                  <c:v>2.1613304531628025E-7</c:v>
                </c:pt>
                <c:pt idx="124">
                  <c:v>1.6469072786878456E-7</c:v>
                </c:pt>
                <c:pt idx="125">
                  <c:v>1.6469072786878456E-7</c:v>
                </c:pt>
                <c:pt idx="126">
                  <c:v>1.135463598872365E-7</c:v>
                </c:pt>
                <c:pt idx="127">
                  <c:v>1.135463598872365E-7</c:v>
                </c:pt>
                <c:pt idx="128">
                  <c:v>6.3034860477006078E-8</c:v>
                </c:pt>
                <c:pt idx="129">
                  <c:v>6.3034860477006078E-8</c:v>
                </c:pt>
                <c:pt idx="130">
                  <c:v>1.3804645238789169E-8</c:v>
                </c:pt>
                <c:pt idx="131">
                  <c:v>1.3804645238789169E-8</c:v>
                </c:pt>
                <c:pt idx="132">
                  <c:v>-3.2843582614555694E-8</c:v>
                </c:pt>
                <c:pt idx="133">
                  <c:v>-3.2843582614555694E-8</c:v>
                </c:pt>
                <c:pt idx="134">
                  <c:v>-7.4068570392775506E-8</c:v>
                </c:pt>
                <c:pt idx="135">
                  <c:v>-7.4068570392775506E-8</c:v>
                </c:pt>
                <c:pt idx="136">
                  <c:v>-1.0256543542518148E-7</c:v>
                </c:pt>
                <c:pt idx="137">
                  <c:v>-1.0256543542518148E-7</c:v>
                </c:pt>
                <c:pt idx="138">
                  <c:v>-1.0650310006447951E-7</c:v>
                </c:pt>
                <c:pt idx="139">
                  <c:v>-1.0650310006447951E-7</c:v>
                </c:pt>
                <c:pt idx="140">
                  <c:v>-1.0427195365546227E-7</c:v>
                </c:pt>
                <c:pt idx="141">
                  <c:v>-1.0427195365546227E-7</c:v>
                </c:pt>
                <c:pt idx="142">
                  <c:v>-8.8121086884522301E-8</c:v>
                </c:pt>
                <c:pt idx="143">
                  <c:v>-8.8121086884522301E-8</c:v>
                </c:pt>
                <c:pt idx="144">
                  <c:v>-6.4756225418433981E-8</c:v>
                </c:pt>
                <c:pt idx="145">
                  <c:v>-6.4756225418433981E-8</c:v>
                </c:pt>
                <c:pt idx="146">
                  <c:v>-3.8317485707196619E-8</c:v>
                </c:pt>
                <c:pt idx="147">
                  <c:v>-3.8317485707196619E-8</c:v>
                </c:pt>
                <c:pt idx="148">
                  <c:v>-1.0415357190217397E-8</c:v>
                </c:pt>
                <c:pt idx="149">
                  <c:v>-1.0415357190217397E-8</c:v>
                </c:pt>
                <c:pt idx="150">
                  <c:v>1.821290134177122E-8</c:v>
                </c:pt>
                <c:pt idx="151">
                  <c:v>1.821290134177122E-8</c:v>
                </c:pt>
                <c:pt idx="152">
                  <c:v>4.7199751425728284E-8</c:v>
                </c:pt>
                <c:pt idx="153">
                  <c:v>4.7199751425728284E-8</c:v>
                </c:pt>
                <c:pt idx="154">
                  <c:v>7.6355342285344033E-8</c:v>
                </c:pt>
                <c:pt idx="155">
                  <c:v>7.6355342285344033E-8</c:v>
                </c:pt>
                <c:pt idx="156">
                  <c:v>1.0558237001133763E-7</c:v>
                </c:pt>
                <c:pt idx="157">
                  <c:v>1.0558237001133763E-7</c:v>
                </c:pt>
                <c:pt idx="158">
                  <c:v>1.3483400983699516E-7</c:v>
                </c:pt>
                <c:pt idx="159">
                  <c:v>1.3483400983699516E-7</c:v>
                </c:pt>
                <c:pt idx="160">
                  <c:v>1.640911464886134E-7</c:v>
                </c:pt>
                <c:pt idx="161">
                  <c:v>1.640911464886134E-7</c:v>
                </c:pt>
                <c:pt idx="162">
                  <c:v>1.8244276200765448E-7</c:v>
                </c:pt>
                <c:pt idx="163">
                  <c:v>1.8244276200765448E-7</c:v>
                </c:pt>
                <c:pt idx="164">
                  <c:v>2.0163219444061871E-7</c:v>
                </c:pt>
                <c:pt idx="165">
                  <c:v>2.0163219444061871E-7</c:v>
                </c:pt>
                <c:pt idx="166">
                  <c:v>2.2654095222626238E-7</c:v>
                </c:pt>
                <c:pt idx="167">
                  <c:v>2.2654095222626238E-7</c:v>
                </c:pt>
                <c:pt idx="168">
                  <c:v>2.5026347843578832E-7</c:v>
                </c:pt>
                <c:pt idx="169">
                  <c:v>2.5026347843578832E-7</c:v>
                </c:pt>
                <c:pt idx="170">
                  <c:v>2.7236259236974594E-7</c:v>
                </c:pt>
                <c:pt idx="171">
                  <c:v>2.7236259236974594E-7</c:v>
                </c:pt>
                <c:pt idx="172">
                  <c:v>2.9242649840919498E-7</c:v>
                </c:pt>
                <c:pt idx="173">
                  <c:v>2.9242649840919498E-7</c:v>
                </c:pt>
                <c:pt idx="174">
                  <c:v>3.1007969524040864E-7</c:v>
                </c:pt>
                <c:pt idx="175">
                  <c:v>3.1007969524040864E-7</c:v>
                </c:pt>
                <c:pt idx="176">
                  <c:v>3.2499195386294657E-7</c:v>
                </c:pt>
                <c:pt idx="177">
                  <c:v>3.2499195386294657E-7</c:v>
                </c:pt>
                <c:pt idx="178">
                  <c:v>3.3688530657017765E-7</c:v>
                </c:pt>
                <c:pt idx="179">
                  <c:v>3.3688530657017765E-7</c:v>
                </c:pt>
                <c:pt idx="180">
                  <c:v>3.4553917078010434E-7</c:v>
                </c:pt>
                <c:pt idx="181">
                  <c:v>3.4553917078010434E-7</c:v>
                </c:pt>
                <c:pt idx="182">
                  <c:v>3.507938589870198E-7</c:v>
                </c:pt>
                <c:pt idx="183">
                  <c:v>3.507938589870198E-7</c:v>
                </c:pt>
                <c:pt idx="184">
                  <c:v>3.5255278228797346E-7</c:v>
                </c:pt>
                <c:pt idx="185">
                  <c:v>3.5255278228797346E-7</c:v>
                </c:pt>
                <c:pt idx="186">
                  <c:v>3.5078363578760186E-7</c:v>
                </c:pt>
                <c:pt idx="187">
                  <c:v>3.5078363578760186E-7</c:v>
                </c:pt>
                <c:pt idx="188">
                  <c:v>3.4551876901195769E-7</c:v>
                </c:pt>
                <c:pt idx="189">
                  <c:v>3.4551876901195769E-7</c:v>
                </c:pt>
                <c:pt idx="190">
                  <c:v>3.3685481431995451E-7</c:v>
                </c:pt>
                <c:pt idx="191">
                  <c:v>3.3685481431995451E-7</c:v>
                </c:pt>
                <c:pt idx="192">
                  <c:v>3.2495150023199967E-7</c:v>
                </c:pt>
                <c:pt idx="193">
                  <c:v>3.2495150023199967E-7</c:v>
                </c:pt>
                <c:pt idx="194">
                  <c:v>3.1002944646981877E-7</c:v>
                </c:pt>
                <c:pt idx="195">
                  <c:v>3.1002944646981877E-7</c:v>
                </c:pt>
                <c:pt idx="196">
                  <c:v>2.9236665235952196E-7</c:v>
                </c:pt>
                <c:pt idx="197">
                  <c:v>2.9236665235952196E-7</c:v>
                </c:pt>
                <c:pt idx="198">
                  <c:v>2.722933711413985E-7</c:v>
                </c:pt>
                <c:pt idx="199">
                  <c:v>2.722933711413985E-7</c:v>
                </c:pt>
                <c:pt idx="200">
                  <c:v>2.5018511896114646E-7</c:v>
                </c:pt>
                <c:pt idx="201">
                  <c:v>2.5018511896114646E-7</c:v>
                </c:pt>
                <c:pt idx="202">
                  <c:v>2.2645369475778471E-7</c:v>
                </c:pt>
                <c:pt idx="203">
                  <c:v>2.2645369475778471E-7</c:v>
                </c:pt>
                <c:pt idx="204">
                  <c:v>2.0153626899431859E-7</c:v>
                </c:pt>
                <c:pt idx="205">
                  <c:v>2.0153626899431859E-7</c:v>
                </c:pt>
                <c:pt idx="206">
                  <c:v>1.8234047173973536E-7</c:v>
                </c:pt>
                <c:pt idx="207">
                  <c:v>1.8234047173973536E-7</c:v>
                </c:pt>
                <c:pt idx="208">
                  <c:v>1.7224189801926213E-7</c:v>
                </c:pt>
                <c:pt idx="209">
                  <c:v>1.7224189801926213E-7</c:v>
                </c:pt>
                <c:pt idx="210">
                  <c:v>1.4747180211177516E-7</c:v>
                </c:pt>
                <c:pt idx="211">
                  <c:v>1.4747180211177516E-7</c:v>
                </c:pt>
                <c:pt idx="212">
                  <c:v>1.1529478534589312E-7</c:v>
                </c:pt>
                <c:pt idx="213">
                  <c:v>1.1529478534589312E-7</c:v>
                </c:pt>
                <c:pt idx="214">
                  <c:v>8.4748251958013344E-8</c:v>
                </c:pt>
                <c:pt idx="215">
                  <c:v>8.4748251958013344E-8</c:v>
                </c:pt>
                <c:pt idx="216">
                  <c:v>5.6468270646790653E-8</c:v>
                </c:pt>
                <c:pt idx="217">
                  <c:v>5.6468270646790653E-8</c:v>
                </c:pt>
                <c:pt idx="218">
                  <c:v>3.0970387267626458E-8</c:v>
                </c:pt>
                <c:pt idx="219">
                  <c:v>3.0970387267626458E-8</c:v>
                </c:pt>
                <c:pt idx="220">
                  <c:v>8.6280785406804081E-9</c:v>
                </c:pt>
                <c:pt idx="221">
                  <c:v>8.6280785406804081E-9</c:v>
                </c:pt>
                <c:pt idx="222">
                  <c:v>-1.0335322616540614E-8</c:v>
                </c:pt>
                <c:pt idx="223">
                  <c:v>-1.0335322616540614E-8</c:v>
                </c:pt>
                <c:pt idx="224">
                  <c:v>-2.5841847633072109E-8</c:v>
                </c:pt>
                <c:pt idx="225">
                  <c:v>-2.5841847633072109E-8</c:v>
                </c:pt>
                <c:pt idx="226">
                  <c:v>-3.7943372813582647E-8</c:v>
                </c:pt>
                <c:pt idx="227">
                  <c:v>-3.7943372813582647E-8</c:v>
                </c:pt>
                <c:pt idx="228">
                  <c:v>-4.6798506417247585E-8</c:v>
                </c:pt>
                <c:pt idx="229">
                  <c:v>-4.6798506417247585E-8</c:v>
                </c:pt>
                <c:pt idx="230">
                  <c:v>-5.2645480951259452E-8</c:v>
                </c:pt>
                <c:pt idx="231">
                  <c:v>-5.2645480951259452E-8</c:v>
                </c:pt>
                <c:pt idx="232">
                  <c:v>-5.5774525690624269E-8</c:v>
                </c:pt>
                <c:pt idx="233">
                  <c:v>-5.5774525690624269E-8</c:v>
                </c:pt>
                <c:pt idx="234">
                  <c:v>-5.6502603030362772E-8</c:v>
                </c:pt>
                <c:pt idx="235">
                  <c:v>-5.6502603030362772E-8</c:v>
                </c:pt>
                <c:pt idx="236">
                  <c:v>-5.5152507186030143E-8</c:v>
                </c:pt>
                <c:pt idx="237">
                  <c:v>-5.5152507186030143E-8</c:v>
                </c:pt>
                <c:pt idx="238">
                  <c:v>-5.203733974284717E-8</c:v>
                </c:pt>
                <c:pt idx="239">
                  <c:v>-5.203733974284717E-8</c:v>
                </c:pt>
                <c:pt idx="240">
                  <c:v>-4.7450467561413826E-8</c:v>
                </c:pt>
                <c:pt idx="241">
                  <c:v>-4.7450467561413826E-8</c:v>
                </c:pt>
                <c:pt idx="242">
                  <c:v>-4.1660358834923703E-8</c:v>
                </c:pt>
                <c:pt idx="243">
                  <c:v>-4.1660358834923703E-8</c:v>
                </c:pt>
                <c:pt idx="244">
                  <c:v>-3.4909244835778788E-8</c:v>
                </c:pt>
                <c:pt idx="245">
                  <c:v>-3.4909244835778788E-8</c:v>
                </c:pt>
                <c:pt idx="246">
                  <c:v>-2.7414371325403462E-8</c:v>
                </c:pt>
                <c:pt idx="247">
                  <c:v>-2.7414371325403462E-8</c:v>
                </c:pt>
                <c:pt idx="248">
                  <c:v>-1.9370643233259848E-8</c:v>
                </c:pt>
                <c:pt idx="249">
                  <c:v>-1.9370643233259848E-8</c:v>
                </c:pt>
                <c:pt idx="250">
                  <c:v>-1.0953662140957107E-8</c:v>
                </c:pt>
                <c:pt idx="251">
                  <c:v>-1.0953662140957107E-8</c:v>
                </c:pt>
                <c:pt idx="252">
                  <c:v>-4.4921951060246798E-9</c:v>
                </c:pt>
                <c:pt idx="253">
                  <c:v>-4.4921951060246798E-9</c:v>
                </c:pt>
                <c:pt idx="254">
                  <c:v>7.4713100638008914E-9</c:v>
                </c:pt>
                <c:pt idx="255">
                  <c:v>7.4713100638008914E-9</c:v>
                </c:pt>
                <c:pt idx="256">
                  <c:v>3.6626118828282051E-8</c:v>
                </c:pt>
                <c:pt idx="257">
                  <c:v>3.6626118828282051E-8</c:v>
                </c:pt>
                <c:pt idx="258">
                  <c:v>6.7169084833884082E-8</c:v>
                </c:pt>
                <c:pt idx="259">
                  <c:v>6.7169084833884082E-8</c:v>
                </c:pt>
                <c:pt idx="260">
                  <c:v>8.5300001899933708E-8</c:v>
                </c:pt>
                <c:pt idx="261">
                  <c:v>8.5300001899933708E-8</c:v>
                </c:pt>
                <c:pt idx="262">
                  <c:v>9.2981985702233913E-8</c:v>
                </c:pt>
                <c:pt idx="263">
                  <c:v>9.2981985702233913E-8</c:v>
                </c:pt>
                <c:pt idx="264">
                  <c:v>9.4260979744637784E-8</c:v>
                </c:pt>
                <c:pt idx="265">
                  <c:v>9.4260979744637784E-8</c:v>
                </c:pt>
                <c:pt idx="266">
                  <c:v>9.2261535109524606E-8</c:v>
                </c:pt>
                <c:pt idx="267">
                  <c:v>9.2261535109524606E-8</c:v>
                </c:pt>
                <c:pt idx="268">
                  <c:v>8.8442338857872349E-8</c:v>
                </c:pt>
                <c:pt idx="269">
                  <c:v>8.8442338857872349E-8</c:v>
                </c:pt>
                <c:pt idx="270">
                  <c:v>8.3161289140809462E-8</c:v>
                </c:pt>
                <c:pt idx="271">
                  <c:v>8.3161289140809462E-8</c:v>
                </c:pt>
                <c:pt idx="272">
                  <c:v>7.6310696555185055E-8</c:v>
                </c:pt>
                <c:pt idx="273">
                  <c:v>7.6310696555185055E-8</c:v>
                </c:pt>
                <c:pt idx="274">
                  <c:v>6.7640306234118517E-8</c:v>
                </c:pt>
                <c:pt idx="275">
                  <c:v>6.7640306234118517E-8</c:v>
                </c:pt>
                <c:pt idx="276">
                  <c:v>5.6871316369828523E-8</c:v>
                </c:pt>
                <c:pt idx="277">
                  <c:v>5.6871316369828523E-8</c:v>
                </c:pt>
                <c:pt idx="278">
                  <c:v>4.3736062781913744E-8</c:v>
                </c:pt>
                <c:pt idx="279">
                  <c:v>4.3736062781913744E-8</c:v>
                </c:pt>
                <c:pt idx="280">
                  <c:v>2.8001393030087308E-8</c:v>
                </c:pt>
                <c:pt idx="281">
                  <c:v>2.8001393030087308E-8</c:v>
                </c:pt>
                <c:pt idx="282">
                  <c:v>9.4901839567471559E-9</c:v>
                </c:pt>
                <c:pt idx="283">
                  <c:v>9.4901839567471559E-9</c:v>
                </c:pt>
                <c:pt idx="284">
                  <c:v>-1.1897818834569036E-8</c:v>
                </c:pt>
                <c:pt idx="285">
                  <c:v>-1.1897818834569036E-8</c:v>
                </c:pt>
                <c:pt idx="286">
                  <c:v>-3.6167500362088396E-8</c:v>
                </c:pt>
                <c:pt idx="287">
                  <c:v>-3.6167500362088396E-8</c:v>
                </c:pt>
                <c:pt idx="288">
                  <c:v>-6.3214324243931046E-8</c:v>
                </c:pt>
                <c:pt idx="289">
                  <c:v>-6.3214324243931046E-8</c:v>
                </c:pt>
                <c:pt idx="290">
                  <c:v>-9.2816700656750596E-8</c:v>
                </c:pt>
                <c:pt idx="291">
                  <c:v>-9.2816700656750596E-8</c:v>
                </c:pt>
                <c:pt idx="292">
                  <c:v>-1.2463629108631613E-7</c:v>
                </c:pt>
                <c:pt idx="293">
                  <c:v>-1.2463629108631613E-7</c:v>
                </c:pt>
                <c:pt idx="294">
                  <c:v>-1.582270603326501E-7</c:v>
                </c:pt>
                <c:pt idx="295">
                  <c:v>-1.582270603326501E-7</c:v>
                </c:pt>
                <c:pt idx="296">
                  <c:v>-1.9305301009247049E-7</c:v>
                </c:pt>
                <c:pt idx="297">
                  <c:v>-1.9305301009247049E-7</c:v>
                </c:pt>
                <c:pt idx="298">
                  <c:v>-2.1962336630489992E-7</c:v>
                </c:pt>
                <c:pt idx="299">
                  <c:v>-2.1962336630489992E-7</c:v>
                </c:pt>
                <c:pt idx="300">
                  <c:v>-2.4551556763031348E-7</c:v>
                </c:pt>
                <c:pt idx="301">
                  <c:v>-2.4551556763031348E-7</c:v>
                </c:pt>
                <c:pt idx="302">
                  <c:v>-2.7951876402743489E-7</c:v>
                </c:pt>
                <c:pt idx="303">
                  <c:v>-2.7951876402743489E-7</c:v>
                </c:pt>
                <c:pt idx="304">
                  <c:v>-3.1351530974323625E-7</c:v>
                </c:pt>
                <c:pt idx="305">
                  <c:v>-3.1351530974323625E-7</c:v>
                </c:pt>
                <c:pt idx="306">
                  <c:v>-3.4748303391682108E-7</c:v>
                </c:pt>
                <c:pt idx="307">
                  <c:v>-3.4748303391682108E-7</c:v>
                </c:pt>
                <c:pt idx="308">
                  <c:v>-3.8136755417726759E-7</c:v>
                </c:pt>
                <c:pt idx="309">
                  <c:v>-3.8136755417726759E-7</c:v>
                </c:pt>
                <c:pt idx="310">
                  <c:v>-4.1505581827015193E-7</c:v>
                </c:pt>
                <c:pt idx="311">
                  <c:v>-4.1505581827015193E-7</c:v>
                </c:pt>
                <c:pt idx="312">
                  <c:v>-4.4832721839746879E-7</c:v>
                </c:pt>
                <c:pt idx="313">
                  <c:v>-4.4832721839746879E-7</c:v>
                </c:pt>
                <c:pt idx="314">
                  <c:v>-4.8075464981832683E-7</c:v>
                </c:pt>
                <c:pt idx="315">
                  <c:v>-4.8075464981832683E-7</c:v>
                </c:pt>
                <c:pt idx="316">
                  <c:v>-5.1148135255396569E-7</c:v>
                </c:pt>
                <c:pt idx="317">
                  <c:v>-5.1148135255396569E-7</c:v>
                </c:pt>
                <c:pt idx="318">
                  <c:v>-5.3863582194226491E-7</c:v>
                </c:pt>
                <c:pt idx="319">
                  <c:v>-5.3863582194226491E-7</c:v>
                </c:pt>
                <c:pt idx="320">
                  <c:v>-5.5740640670791933E-7</c:v>
                </c:pt>
                <c:pt idx="321">
                  <c:v>-5.5740640670791933E-7</c:v>
                </c:pt>
                <c:pt idx="322">
                  <c:v>-5.6000000000000014E-7</c:v>
                </c:pt>
                <c:pt idx="323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9.7072685899100009E-3</c:v>
                </c:pt>
                <c:pt idx="1">
                  <c:v>9.9014139617099994E-3</c:v>
                </c:pt>
                <c:pt idx="2">
                  <c:v>1.00994422409E-2</c:v>
                </c:pt>
                <c:pt idx="3">
                  <c:v>1.0301431085800001E-2</c:v>
                </c:pt>
                <c:pt idx="4">
                  <c:v>1.05074597075E-2</c:v>
                </c:pt>
                <c:pt idx="5">
                  <c:v>1.07176089016E-2</c:v>
                </c:pt>
                <c:pt idx="6">
                  <c:v>1.0931961079700001E-2</c:v>
                </c:pt>
                <c:pt idx="7">
                  <c:v>1.1150600301300001E-2</c:v>
                </c:pt>
                <c:pt idx="8">
                  <c:v>1.13736123073E-2</c:v>
                </c:pt>
                <c:pt idx="9">
                  <c:v>1.1601084553400001E-2</c:v>
                </c:pt>
                <c:pt idx="10">
                  <c:v>1.18331062445E-2</c:v>
                </c:pt>
                <c:pt idx="11">
                  <c:v>1.20697683694E-2</c:v>
                </c:pt>
                <c:pt idx="12">
                  <c:v>1.2311163736799999E-2</c:v>
                </c:pt>
                <c:pt idx="13">
                  <c:v>1.25573870115E-2</c:v>
                </c:pt>
                <c:pt idx="14">
                  <c:v>1.2808534751700001E-2</c:v>
                </c:pt>
                <c:pt idx="15">
                  <c:v>1.3064705446799999E-2</c:v>
                </c:pt>
                <c:pt idx="16">
                  <c:v>1.33259995557E-2</c:v>
                </c:pt>
                <c:pt idx="17">
                  <c:v>1.35925195468E-2</c:v>
                </c:pt>
                <c:pt idx="18">
                  <c:v>1.3864369937800001E-2</c:v>
                </c:pt>
                <c:pt idx="19">
                  <c:v>1.41416573365E-2</c:v>
                </c:pt>
                <c:pt idx="20">
                  <c:v>1.4424490483200001E-2</c:v>
                </c:pt>
                <c:pt idx="21">
                  <c:v>1.47129802929E-2</c:v>
                </c:pt>
                <c:pt idx="22">
                  <c:v>1.50072398988E-2</c:v>
                </c:pt>
                <c:pt idx="23">
                  <c:v>1.53073846967E-2</c:v>
                </c:pt>
                <c:pt idx="24">
                  <c:v>1.56135323907E-2</c:v>
                </c:pt>
                <c:pt idx="25">
                  <c:v>1.5925803038500001E-2</c:v>
                </c:pt>
                <c:pt idx="26">
                  <c:v>1.6244319099299999E-2</c:v>
                </c:pt>
                <c:pt idx="27">
                  <c:v>1.65692054812E-2</c:v>
                </c:pt>
                <c:pt idx="28">
                  <c:v>1.69005895909E-2</c:v>
                </c:pt>
                <c:pt idx="29">
                  <c:v>1.7238601382699999E-2</c:v>
                </c:pt>
                <c:pt idx="30">
                  <c:v>1.7583373410300002E-2</c:v>
                </c:pt>
                <c:pt idx="31">
                  <c:v>1.7935040878500001E-2</c:v>
                </c:pt>
                <c:pt idx="32">
                  <c:v>1.8293741696099999E-2</c:v>
                </c:pt>
                <c:pt idx="33">
                  <c:v>1.8659616529999999E-2</c:v>
                </c:pt>
                <c:pt idx="34">
                  <c:v>1.9032808860599999E-2</c:v>
                </c:pt>
                <c:pt idx="35">
                  <c:v>1.94134650379E-2</c:v>
                </c:pt>
                <c:pt idx="36">
                  <c:v>1.98017343386E-2</c:v>
                </c:pt>
                <c:pt idx="37">
                  <c:v>2.0197769025399999E-2</c:v>
                </c:pt>
                <c:pt idx="38">
                  <c:v>2.0601724405899999E-2</c:v>
                </c:pt>
                <c:pt idx="39">
                  <c:v>2.1013758893999999E-2</c:v>
                </c:pt>
                <c:pt idx="40">
                  <c:v>2.1434034071900001E-2</c:v>
                </c:pt>
                <c:pt idx="41">
                  <c:v>2.1862714753300001E-2</c:v>
                </c:pt>
                <c:pt idx="42">
                  <c:v>2.2299969048399999E-2</c:v>
                </c:pt>
                <c:pt idx="43">
                  <c:v>2.27459684294E-2</c:v>
                </c:pt>
                <c:pt idx="44">
                  <c:v>2.3200887797899999E-2</c:v>
                </c:pt>
                <c:pt idx="45">
                  <c:v>2.3664905553899999E-2</c:v>
                </c:pt>
                <c:pt idx="46">
                  <c:v>2.4138203665E-2</c:v>
                </c:pt>
                <c:pt idx="47">
                  <c:v>2.4620967738300002E-2</c:v>
                </c:pt>
                <c:pt idx="48">
                  <c:v>2.5113387093100001E-2</c:v>
                </c:pt>
                <c:pt idx="49">
                  <c:v>2.5615654834900001E-2</c:v>
                </c:pt>
                <c:pt idx="50">
                  <c:v>2.61279679316E-2</c:v>
                </c:pt>
                <c:pt idx="51">
                  <c:v>2.66505272902E-2</c:v>
                </c:pt>
                <c:pt idx="52">
                  <c:v>2.7183537835999999E-2</c:v>
                </c:pt>
                <c:pt idx="53">
                  <c:v>2.77272085928E-2</c:v>
                </c:pt>
                <c:pt idx="54">
                  <c:v>2.8281752764600002E-2</c:v>
                </c:pt>
                <c:pt idx="55">
                  <c:v>2.8847387819900001E-2</c:v>
                </c:pt>
                <c:pt idx="56">
                  <c:v>2.94243355763E-2</c:v>
                </c:pt>
                <c:pt idx="57">
                  <c:v>3.0012822287800001E-2</c:v>
                </c:pt>
                <c:pt idx="58">
                  <c:v>3.0613078733599999E-2</c:v>
                </c:pt>
                <c:pt idx="59">
                  <c:v>3.1225340308300001E-2</c:v>
                </c:pt>
                <c:pt idx="60">
                  <c:v>3.1849847114399997E-2</c:v>
                </c:pt>
                <c:pt idx="61">
                  <c:v>3.24868440567E-2</c:v>
                </c:pt>
                <c:pt idx="62">
                  <c:v>3.31365809379E-2</c:v>
                </c:pt>
                <c:pt idx="63">
                  <c:v>3.37993125566E-2</c:v>
                </c:pt>
                <c:pt idx="64">
                  <c:v>3.4475298807699999E-2</c:v>
                </c:pt>
                <c:pt idx="65">
                  <c:v>3.5164804783900001E-2</c:v>
                </c:pt>
                <c:pt idx="66">
                  <c:v>3.5868100879599997E-2</c:v>
                </c:pt>
                <c:pt idx="67">
                  <c:v>3.6585462897200001E-2</c:v>
                </c:pt>
                <c:pt idx="68">
                  <c:v>3.7317172155099998E-2</c:v>
                </c:pt>
                <c:pt idx="69">
                  <c:v>3.8063515598200003E-2</c:v>
                </c:pt>
                <c:pt idx="70">
                  <c:v>3.8824785910199999E-2</c:v>
                </c:pt>
                <c:pt idx="71">
                  <c:v>3.9601281628400001E-2</c:v>
                </c:pt>
                <c:pt idx="72">
                  <c:v>4.0393307261000003E-2</c:v>
                </c:pt>
                <c:pt idx="73">
                  <c:v>4.1201173406199998E-2</c:v>
                </c:pt>
                <c:pt idx="74">
                  <c:v>4.2025196874300001E-2</c:v>
                </c:pt>
                <c:pt idx="75">
                  <c:v>4.2865700811800002E-2</c:v>
                </c:pt>
                <c:pt idx="76">
                  <c:v>4.3723014827999999E-2</c:v>
                </c:pt>
                <c:pt idx="77">
                  <c:v>4.4597475124600001E-2</c:v>
                </c:pt>
                <c:pt idx="78">
                  <c:v>4.5489424627099997E-2</c:v>
                </c:pt>
                <c:pt idx="79">
                  <c:v>4.6399213119599998E-2</c:v>
                </c:pt>
                <c:pt idx="80">
                  <c:v>4.7327197382000002E-2</c:v>
                </c:pt>
                <c:pt idx="81">
                  <c:v>4.8273741329600002E-2</c:v>
                </c:pt>
                <c:pt idx="82">
                  <c:v>4.92392161562E-2</c:v>
                </c:pt>
                <c:pt idx="83">
                  <c:v>5.0224000479399997E-2</c:v>
                </c:pt>
                <c:pt idx="84">
                  <c:v>5.1228480489E-2</c:v>
                </c:pt>
                <c:pt idx="85">
                  <c:v>5.2253050098700002E-2</c:v>
                </c:pt>
                <c:pt idx="86">
                  <c:v>5.3298111100699999E-2</c:v>
                </c:pt>
                <c:pt idx="87">
                  <c:v>5.4364073322699998E-2</c:v>
                </c:pt>
                <c:pt idx="88">
                  <c:v>5.5451354789199998E-2</c:v>
                </c:pt>
                <c:pt idx="89">
                  <c:v>5.6560381884999997E-2</c:v>
                </c:pt>
                <c:pt idx="90">
                  <c:v>5.7691589522700003E-2</c:v>
                </c:pt>
                <c:pt idx="91">
                  <c:v>5.8845421313099999E-2</c:v>
                </c:pt>
                <c:pt idx="92">
                  <c:v>6.0022329739399999E-2</c:v>
                </c:pt>
                <c:pt idx="93">
                  <c:v>6.1222776334200001E-2</c:v>
                </c:pt>
                <c:pt idx="94">
                  <c:v>6.24472318608E-2</c:v>
                </c:pt>
                <c:pt idx="95">
                  <c:v>6.3696176498099999E-2</c:v>
                </c:pt>
                <c:pt idx="96">
                  <c:v>6.4970100027999994E-2</c:v>
                </c:pt>
                <c:pt idx="97">
                  <c:v>6.6269502028600005E-2</c:v>
                </c:pt>
                <c:pt idx="98">
                  <c:v>6.7594892069199997E-2</c:v>
                </c:pt>
                <c:pt idx="99">
                  <c:v>6.8946789910500003E-2</c:v>
                </c:pt>
                <c:pt idx="100">
                  <c:v>7.0325725708699993E-2</c:v>
                </c:pt>
                <c:pt idx="101">
                  <c:v>7.1732240222900007E-2</c:v>
                </c:pt>
                <c:pt idx="102">
                  <c:v>7.31668850274E-2</c:v>
                </c:pt>
                <c:pt idx="103">
                  <c:v>7.46302227279E-2</c:v>
                </c:pt>
                <c:pt idx="104">
                  <c:v>7.6122827182500005E-2</c:v>
                </c:pt>
                <c:pt idx="105">
                  <c:v>7.7645283726099995E-2</c:v>
                </c:pt>
                <c:pt idx="106">
                  <c:v>7.9198189400700003E-2</c:v>
                </c:pt>
                <c:pt idx="107">
                  <c:v>8.0782153188699996E-2</c:v>
                </c:pt>
                <c:pt idx="108">
                  <c:v>8.2397796252399999E-2</c:v>
                </c:pt>
                <c:pt idx="109">
                  <c:v>8.4045752177500002E-2</c:v>
                </c:pt>
                <c:pt idx="110">
                  <c:v>8.5726667221000002E-2</c:v>
                </c:pt>
                <c:pt idx="111">
                  <c:v>8.7441200565500005E-2</c:v>
                </c:pt>
                <c:pt idx="112">
                  <c:v>8.9190024576800003E-2</c:v>
                </c:pt>
                <c:pt idx="113">
                  <c:v>9.0973825068299999E-2</c:v>
                </c:pt>
                <c:pt idx="114">
                  <c:v>9.2793301569700004E-2</c:v>
                </c:pt>
                <c:pt idx="115">
                  <c:v>9.4649167601099995E-2</c:v>
                </c:pt>
                <c:pt idx="116">
                  <c:v>9.6542150953099995E-2</c:v>
                </c:pt>
                <c:pt idx="117">
                  <c:v>9.8472993972199996E-2</c:v>
                </c:pt>
                <c:pt idx="118">
                  <c:v>0.100442453852</c:v>
                </c:pt>
                <c:pt idx="119">
                  <c:v>0.102451302929</c:v>
                </c:pt>
                <c:pt idx="120">
                  <c:v>0.104500328987</c:v>
                </c:pt>
                <c:pt idx="121">
                  <c:v>0.106590335567</c:v>
                </c:pt>
                <c:pt idx="122">
                  <c:v>0.10872214227800001</c:v>
                </c:pt>
                <c:pt idx="123">
                  <c:v>0.110896585124</c:v>
                </c:pt>
                <c:pt idx="124">
                  <c:v>0.113114516826</c:v>
                </c:pt>
                <c:pt idx="125">
                  <c:v>0.115376807163</c:v>
                </c:pt>
                <c:pt idx="126">
                  <c:v>0.117684343306</c:v>
                </c:pt>
                <c:pt idx="127">
                  <c:v>0.120038030172</c:v>
                </c:pt>
                <c:pt idx="128">
                  <c:v>0.12243879077600001</c:v>
                </c:pt>
                <c:pt idx="129">
                  <c:v>0.124887566591</c:v>
                </c:pt>
                <c:pt idx="130">
                  <c:v>0.12738531792300001</c:v>
                </c:pt>
                <c:pt idx="131">
                  <c:v>0.12993302428100001</c:v>
                </c:pt>
                <c:pt idx="132">
                  <c:v>0.132531684767</c:v>
                </c:pt>
                <c:pt idx="133">
                  <c:v>0.13518231846199999</c:v>
                </c:pt>
                <c:pt idx="134">
                  <c:v>0.137885964832</c:v>
                </c:pt>
                <c:pt idx="135">
                  <c:v>0.14064368412799999</c:v>
                </c:pt>
                <c:pt idx="136">
                  <c:v>0.143456557811</c:v>
                </c:pt>
                <c:pt idx="137">
                  <c:v>0.14632568896699999</c:v>
                </c:pt>
                <c:pt idx="138">
                  <c:v>0.14925220274600001</c:v>
                </c:pt>
                <c:pt idx="139">
                  <c:v>0.15223724680100001</c:v>
                </c:pt>
                <c:pt idx="140">
                  <c:v>0.155281991737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5.3547168853239076E-2</c:v>
                </c:pt>
                <c:pt idx="1">
                  <c:v>5.1445979789893702E-2</c:v>
                </c:pt>
                <c:pt idx="2">
                  <c:v>4.9385366984588737E-2</c:v>
                </c:pt>
                <c:pt idx="3">
                  <c:v>4.7364858523407098E-2</c:v>
                </c:pt>
                <c:pt idx="4">
                  <c:v>4.5388724266754749E-2</c:v>
                </c:pt>
                <c:pt idx="5">
                  <c:v>4.3455320111917099E-2</c:v>
                </c:pt>
                <c:pt idx="6">
                  <c:v>4.1561698709730414E-2</c:v>
                </c:pt>
                <c:pt idx="7">
                  <c:v>3.9704672525216284E-2</c:v>
                </c:pt>
                <c:pt idx="8">
                  <c:v>3.7880914456016067E-2</c:v>
                </c:pt>
                <c:pt idx="9">
                  <c:v>3.6087118906564755E-2</c:v>
                </c:pt>
                <c:pt idx="10">
                  <c:v>3.4320222585238772E-2</c:v>
                </c:pt>
                <c:pt idx="11">
                  <c:v>3.2577675659007758E-2</c:v>
                </c:pt>
                <c:pt idx="12">
                  <c:v>3.0857743290923039E-2</c:v>
                </c:pt>
                <c:pt idx="13">
                  <c:v>2.9159806062083564E-2</c:v>
                </c:pt>
                <c:pt idx="14">
                  <c:v>2.7486844941177663E-2</c:v>
                </c:pt>
                <c:pt idx="15">
                  <c:v>2.5836430925777556E-2</c:v>
                </c:pt>
                <c:pt idx="16">
                  <c:v>2.4214919424617808E-2</c:v>
                </c:pt>
                <c:pt idx="17">
                  <c:v>2.2627536326260491E-2</c:v>
                </c:pt>
                <c:pt idx="18">
                  <c:v>2.1080509040340447E-2</c:v>
                </c:pt>
                <c:pt idx="19">
                  <c:v>1.9580478680681065E-2</c:v>
                </c:pt>
                <c:pt idx="20">
                  <c:v>1.813376040859957E-2</c:v>
                </c:pt>
                <c:pt idx="21">
                  <c:v>1.6745553569395635E-2</c:v>
                </c:pt>
                <c:pt idx="22">
                  <c:v>1.5417304040348433E-2</c:v>
                </c:pt>
                <c:pt idx="23">
                  <c:v>1.4154299569796429E-2</c:v>
                </c:pt>
                <c:pt idx="24">
                  <c:v>1.2953213435323744E-2</c:v>
                </c:pt>
                <c:pt idx="25">
                  <c:v>1.1811206328019973E-2</c:v>
                </c:pt>
                <c:pt idx="26">
                  <c:v>1.0724717792067014E-2</c:v>
                </c:pt>
                <c:pt idx="27">
                  <c:v>9.6908257714489552E-3</c:v>
                </c:pt>
                <c:pt idx="28">
                  <c:v>8.7086335553296004E-3</c:v>
                </c:pt>
                <c:pt idx="29">
                  <c:v>7.7802624304773938E-3</c:v>
                </c:pt>
                <c:pt idx="30">
                  <c:v>6.9110280673901989E-3</c:v>
                </c:pt>
                <c:pt idx="31">
                  <c:v>6.10853033912817E-3</c:v>
                </c:pt>
                <c:pt idx="32">
                  <c:v>5.3806952291943523E-3</c:v>
                </c:pt>
                <c:pt idx="33">
                  <c:v>4.7332131724504324E-3</c:v>
                </c:pt>
                <c:pt idx="34">
                  <c:v>4.1671858318874776E-3</c:v>
                </c:pt>
                <c:pt idx="35">
                  <c:v>3.6779411033382023E-3</c:v>
                </c:pt>
                <c:pt idx="36">
                  <c:v>3.2557450864162366E-3</c:v>
                </c:pt>
                <c:pt idx="37">
                  <c:v>2.8884921003549668E-3</c:v>
                </c:pt>
                <c:pt idx="38">
                  <c:v>2.5655558830243591E-3</c:v>
                </c:pt>
                <c:pt idx="39">
                  <c:v>2.2812135940807592E-3</c:v>
                </c:pt>
                <c:pt idx="40">
                  <c:v>2.0358780249379112E-3</c:v>
                </c:pt>
                <c:pt idx="41">
                  <c:v>1.8341142403296401E-3</c:v>
                </c:pt>
                <c:pt idx="42">
                  <c:v>1.6799750212636764E-3</c:v>
                </c:pt>
                <c:pt idx="43">
                  <c:v>1.5719013252861649E-3</c:v>
                </c:pt>
                <c:pt idx="44">
                  <c:v>1.5002500266363124E-3</c:v>
                </c:pt>
                <c:pt idx="45">
                  <c:v>1.4495612254163466E-3</c:v>
                </c:pt>
                <c:pt idx="46">
                  <c:v>1.4050046183406348E-3</c:v>
                </c:pt>
                <c:pt idx="47">
                  <c:v>1.3593941741153338E-3</c:v>
                </c:pt>
                <c:pt idx="48">
                  <c:v>1.3158993643425966E-3</c:v>
                </c:pt>
                <c:pt idx="49">
                  <c:v>1.2836941566406954E-3</c:v>
                </c:pt>
                <c:pt idx="50">
                  <c:v>1.2686862874620088E-3</c:v>
                </c:pt>
                <c:pt idx="51">
                  <c:v>1.2659613207782903E-3</c:v>
                </c:pt>
                <c:pt idx="52">
                  <c:v>1.2606068109172167E-3</c:v>
                </c:pt>
                <c:pt idx="53">
                  <c:v>1.2376968049401945E-3</c:v>
                </c:pt>
                <c:pt idx="54">
                  <c:v>1.1940683210621629E-3</c:v>
                </c:pt>
                <c:pt idx="55">
                  <c:v>1.1412771418243585E-3</c:v>
                </c:pt>
                <c:pt idx="56">
                  <c:v>1.0954602118322036E-3</c:v>
                </c:pt>
                <c:pt idx="57">
                  <c:v>1.0620281442880481E-3</c:v>
                </c:pt>
                <c:pt idx="58">
                  <c:v>1.0299024444165182E-3</c:v>
                </c:pt>
                <c:pt idx="59">
                  <c:v>9.8251044029224453E-4</c:v>
                </c:pt>
                <c:pt idx="60">
                  <c:v>9.1567582764796667E-4</c:v>
                </c:pt>
                <c:pt idx="61">
                  <c:v>8.4328510688538676E-4</c:v>
                </c:pt>
                <c:pt idx="62">
                  <c:v>7.8301500411835569E-4</c:v>
                </c:pt>
                <c:pt idx="63">
                  <c:v>7.371258330089069E-4</c:v>
                </c:pt>
                <c:pt idx="64">
                  <c:v>6.9116328620014232E-4</c:v>
                </c:pt>
                <c:pt idx="65">
                  <c:v>6.3327335298018605E-4</c:v>
                </c:pt>
                <c:pt idx="66">
                  <c:v>5.7032728656893528E-4</c:v>
                </c:pt>
                <c:pt idx="67">
                  <c:v>5.1926419274419622E-4</c:v>
                </c:pt>
                <c:pt idx="68">
                  <c:v>4.8446311190485515E-4</c:v>
                </c:pt>
                <c:pt idx="69">
                  <c:v>4.5247992294392749E-4</c:v>
                </c:pt>
                <c:pt idx="70">
                  <c:v>4.1226011287665416E-4</c:v>
                </c:pt>
                <c:pt idx="71">
                  <c:v>3.7144133241613555E-4</c:v>
                </c:pt>
                <c:pt idx="72">
                  <c:v>3.4384063284677654E-4</c:v>
                </c:pt>
                <c:pt idx="73">
                  <c:v>3.2723290464195461E-4</c:v>
                </c:pt>
                <c:pt idx="74">
                  <c:v>3.0698310193210667E-4</c:v>
                </c:pt>
                <c:pt idx="75">
                  <c:v>2.7991395409622489E-4</c:v>
                </c:pt>
                <c:pt idx="76">
                  <c:v>2.582693040694069E-4</c:v>
                </c:pt>
                <c:pt idx="77">
                  <c:v>2.4680269538784069E-4</c:v>
                </c:pt>
                <c:pt idx="78">
                  <c:v>2.341654245825491E-4</c:v>
                </c:pt>
                <c:pt idx="79">
                  <c:v>2.1475768559611714E-4</c:v>
                </c:pt>
                <c:pt idx="80">
                  <c:v>1.9885598512622417E-4</c:v>
                </c:pt>
                <c:pt idx="81">
                  <c:v>1.9047627263710755E-4</c:v>
                </c:pt>
                <c:pt idx="82">
                  <c:v>1.7904944952509426E-4</c:v>
                </c:pt>
                <c:pt idx="83">
                  <c:v>1.6319641711684462E-4</c:v>
                </c:pt>
                <c:pt idx="84">
                  <c:v>1.5336906908787083E-4</c:v>
                </c:pt>
                <c:pt idx="85">
                  <c:v>1.4701218795541091E-4</c:v>
                </c:pt>
                <c:pt idx="86">
                  <c:v>1.3520067946585495E-4</c:v>
                </c:pt>
                <c:pt idx="87">
                  <c:v>1.2402326786362561E-4</c:v>
                </c:pt>
                <c:pt idx="88">
                  <c:v>1.1833527312008053E-4</c:v>
                </c:pt>
                <c:pt idx="89">
                  <c:v>1.1096178309381904E-4</c:v>
                </c:pt>
                <c:pt idx="90">
                  <c:v>1.0192581892224012E-4</c:v>
                </c:pt>
                <c:pt idx="91">
                  <c:v>9.599220259227649E-5</c:v>
                </c:pt>
                <c:pt idx="92">
                  <c:v>9.0802852875457584E-5</c:v>
                </c:pt>
                <c:pt idx="93">
                  <c:v>8.4644453248141314E-5</c:v>
                </c:pt>
                <c:pt idx="94">
                  <c:v>7.9271850753228384E-5</c:v>
                </c:pt>
                <c:pt idx="95">
                  <c:v>7.50766469774662E-5</c:v>
                </c:pt>
                <c:pt idx="96">
                  <c:v>6.9606489093688547E-5</c:v>
                </c:pt>
                <c:pt idx="97">
                  <c:v>6.4654908739435231E-5</c:v>
                </c:pt>
                <c:pt idx="98">
                  <c:v>6.1668369194177339E-5</c:v>
                </c:pt>
                <c:pt idx="99">
                  <c:v>5.6013696847003821E-5</c:v>
                </c:pt>
                <c:pt idx="100">
                  <c:v>5.2813802896982464E-5</c:v>
                </c:pt>
                <c:pt idx="101">
                  <c:v>5.0664194157756348E-5</c:v>
                </c:pt>
                <c:pt idx="102">
                  <c:v>4.5657701415730727E-5</c:v>
                </c:pt>
                <c:pt idx="103">
                  <c:v>4.4495122164649937E-5</c:v>
                </c:pt>
                <c:pt idx="104">
                  <c:v>4.0771362275784498E-5</c:v>
                </c:pt>
                <c:pt idx="105">
                  <c:v>3.7938432317201821E-5</c:v>
                </c:pt>
                <c:pt idx="106">
                  <c:v>3.5825614067784309E-5</c:v>
                </c:pt>
                <c:pt idx="107">
                  <c:v>3.2275703736489362E-5</c:v>
                </c:pt>
                <c:pt idx="108">
                  <c:v>3.1494125008971884E-5</c:v>
                </c:pt>
                <c:pt idx="109">
                  <c:v>2.7979739699644694E-5</c:v>
                </c:pt>
                <c:pt idx="110">
                  <c:v>2.7619320262395967E-5</c:v>
                </c:pt>
                <c:pt idx="111">
                  <c:v>2.4726059176475972E-5</c:v>
                </c:pt>
                <c:pt idx="112">
                  <c:v>2.3542157362108715E-5</c:v>
                </c:pt>
                <c:pt idx="113">
                  <c:v>2.1615220564607176E-5</c:v>
                </c:pt>
                <c:pt idx="114">
                  <c:v>2.0039946394613504E-5</c:v>
                </c:pt>
                <c:pt idx="115">
                  <c:v>1.8862606436416431E-5</c:v>
                </c:pt>
                <c:pt idx="116">
                  <c:v>1.7476431561237996E-5</c:v>
                </c:pt>
                <c:pt idx="117">
                  <c:v>1.6377363742635017E-5</c:v>
                </c:pt>
                <c:pt idx="118">
                  <c:v>1.5088512041976297E-5</c:v>
                </c:pt>
                <c:pt idx="119">
                  <c:v>1.3933131090814484E-5</c:v>
                </c:pt>
                <c:pt idx="120">
                  <c:v>1.3035090606738183E-5</c:v>
                </c:pt>
                <c:pt idx="121">
                  <c:v>1.2052853420486956E-5</c:v>
                </c:pt>
                <c:pt idx="122">
                  <c:v>1.1409979187493137E-5</c:v>
                </c:pt>
                <c:pt idx="123">
                  <c:v>1.0356826204640822E-5</c:v>
                </c:pt>
                <c:pt idx="124">
                  <c:v>9.6210377989327289E-6</c:v>
                </c:pt>
                <c:pt idx="125">
                  <c:v>8.7410022257732477E-6</c:v>
                </c:pt>
                <c:pt idx="126">
                  <c:v>8.473350695386959E-6</c:v>
                </c:pt>
                <c:pt idx="127">
                  <c:v>7.4978581393111666E-6</c:v>
                </c:pt>
                <c:pt idx="128">
                  <c:v>6.9764664271596576E-6</c:v>
                </c:pt>
                <c:pt idx="129">
                  <c:v>6.72299207792781E-6</c:v>
                </c:pt>
                <c:pt idx="130">
                  <c:v>5.6007474029533079E-6</c:v>
                </c:pt>
                <c:pt idx="131">
                  <c:v>5.5491023250735223E-6</c:v>
                </c:pt>
                <c:pt idx="132">
                  <c:v>5.0158435667197503E-6</c:v>
                </c:pt>
                <c:pt idx="133">
                  <c:v>4.3464073200128468E-6</c:v>
                </c:pt>
                <c:pt idx="134">
                  <c:v>4.1617171265571367E-6</c:v>
                </c:pt>
                <c:pt idx="135">
                  <c:v>3.7200524408872924E-6</c:v>
                </c:pt>
                <c:pt idx="136">
                  <c:v>3.3744236446377883E-6</c:v>
                </c:pt>
                <c:pt idx="137">
                  <c:v>3.0576872850103312E-6</c:v>
                </c:pt>
                <c:pt idx="138">
                  <c:v>2.7924092772349765E-6</c:v>
                </c:pt>
                <c:pt idx="139">
                  <c:v>2.4178556503933604E-6</c:v>
                </c:pt>
                <c:pt idx="140">
                  <c:v>2.2616495703311947E-6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4.0618142422688581E-3</c:v>
                  </c:pt>
                  <c:pt idx="1">
                    <c:v>3.8032625560787989E-3</c:v>
                  </c:pt>
                  <c:pt idx="2">
                    <c:v>3.5484908165435724E-3</c:v>
                  </c:pt>
                  <c:pt idx="3">
                    <c:v>3.0334801545016474E-3</c:v>
                  </c:pt>
                  <c:pt idx="4">
                    <c:v>2.9202395608834883E-3</c:v>
                  </c:pt>
                  <c:pt idx="5">
                    <c:v>2.658215841727402E-3</c:v>
                  </c:pt>
                  <c:pt idx="6">
                    <c:v>2.3080414178436857E-3</c:v>
                  </c:pt>
                  <c:pt idx="7">
                    <c:v>2.0953598931152092E-3</c:v>
                  </c:pt>
                  <c:pt idx="8">
                    <c:v>1.9677299483316685E-3</c:v>
                  </c:pt>
                  <c:pt idx="9">
                    <c:v>1.9256440999368381E-3</c:v>
                  </c:pt>
                  <c:pt idx="10">
                    <c:v>1.7613961844164892E-3</c:v>
                  </c:pt>
                  <c:pt idx="11">
                    <c:v>1.3850436857829132E-3</c:v>
                  </c:pt>
                  <c:pt idx="12">
                    <c:v>2.7894804286466833E-3</c:v>
                  </c:pt>
                  <c:pt idx="13">
                    <c:v>2.6383108420113869E-3</c:v>
                  </c:pt>
                  <c:pt idx="14">
                    <c:v>2.1483613737927486E-3</c:v>
                  </c:pt>
                  <c:pt idx="15">
                    <c:v>2.182464847853954E-3</c:v>
                  </c:pt>
                  <c:pt idx="16">
                    <c:v>1.8985401691711359E-3</c:v>
                  </c:pt>
                  <c:pt idx="17">
                    <c:v>1.8796776728807506E-3</c:v>
                  </c:pt>
                  <c:pt idx="18">
                    <c:v>1.7361619802973168E-3</c:v>
                  </c:pt>
                  <c:pt idx="19">
                    <c:v>1.4330556313302829E-3</c:v>
                  </c:pt>
                  <c:pt idx="20">
                    <c:v>1.2533162667818655E-3</c:v>
                  </c:pt>
                  <c:pt idx="21">
                    <c:v>1.1925751511367502E-3</c:v>
                  </c:pt>
                  <c:pt idx="22">
                    <c:v>1.0195512311355407E-3</c:v>
                  </c:pt>
                  <c:pt idx="23">
                    <c:v>8.9946310992981837E-4</c:v>
                  </c:pt>
                  <c:pt idx="24">
                    <c:v>7.7950752393704764E-4</c:v>
                  </c:pt>
                  <c:pt idx="25">
                    <c:v>6.723508815557461E-4</c:v>
                  </c:pt>
                  <c:pt idx="26">
                    <c:v>4.5964473162408428E-4</c:v>
                  </c:pt>
                  <c:pt idx="27">
                    <c:v>6.7962994145760974E-4</c:v>
                  </c:pt>
                  <c:pt idx="28">
                    <c:v>5.6533837943799337E-4</c:v>
                  </c:pt>
                  <c:pt idx="29">
                    <c:v>5.4204095922873174E-4</c:v>
                  </c:pt>
                  <c:pt idx="30">
                    <c:v>4.8531538878523382E-4</c:v>
                  </c:pt>
                  <c:pt idx="31">
                    <c:v>4.3609260246994347E-4</c:v>
                  </c:pt>
                  <c:pt idx="32">
                    <c:v>3.7427493502231886E-4</c:v>
                  </c:pt>
                  <c:pt idx="33">
                    <c:v>3.652348673223759E-4</c:v>
                  </c:pt>
                  <c:pt idx="34">
                    <c:v>3.7452602872888209E-4</c:v>
                  </c:pt>
                  <c:pt idx="35">
                    <c:v>3.3901327014022772E-4</c:v>
                  </c:pt>
                  <c:pt idx="36">
                    <c:v>2.9249715497599559E-4</c:v>
                  </c:pt>
                  <c:pt idx="37">
                    <c:v>2.7324509993941875E-4</c:v>
                  </c:pt>
                  <c:pt idx="38">
                    <c:v>2.3694566333346757E-4</c:v>
                  </c:pt>
                  <c:pt idx="39">
                    <c:v>2.4122657983044108E-4</c:v>
                  </c:pt>
                  <c:pt idx="40">
                    <c:v>1.9290289185447637E-4</c:v>
                  </c:pt>
                  <c:pt idx="41">
                    <c:v>1.8588606520216706E-4</c:v>
                  </c:pt>
                  <c:pt idx="42">
                    <c:v>1.6984041072609049E-4</c:v>
                  </c:pt>
                  <c:pt idx="43">
                    <c:v>1.5594064590487104E-4</c:v>
                  </c:pt>
                  <c:pt idx="44">
                    <c:v>1.549809590795416E-4</c:v>
                  </c:pt>
                  <c:pt idx="45">
                    <c:v>1.338931733215431E-4</c:v>
                  </c:pt>
                  <c:pt idx="46">
                    <c:v>1.2687942812830266E-4</c:v>
                  </c:pt>
                  <c:pt idx="47">
                    <c:v>1.2338170260836961E-4</c:v>
                  </c:pt>
                  <c:pt idx="48">
                    <c:v>1.358704730890173E-4</c:v>
                  </c:pt>
                  <c:pt idx="49">
                    <c:v>1.2047424159827227E-4</c:v>
                  </c:pt>
                  <c:pt idx="50">
                    <c:v>5.514748420102802E-5</c:v>
                  </c:pt>
                  <c:pt idx="51">
                    <c:v>5.9006781190610555E-5</c:v>
                  </c:pt>
                  <c:pt idx="52">
                    <c:v>5.5688042207728699E-5</c:v>
                  </c:pt>
                  <c:pt idx="53">
                    <c:v>5.3285800754499332E-5</c:v>
                  </c:pt>
                  <c:pt idx="54">
                    <c:v>5.7472490489432261E-5</c:v>
                  </c:pt>
                  <c:pt idx="55">
                    <c:v>5.4606269191272827E-5</c:v>
                  </c:pt>
                  <c:pt idx="56">
                    <c:v>5.2280946475689084E-5</c:v>
                  </c:pt>
                  <c:pt idx="57">
                    <c:v>5.109018377757256E-5</c:v>
                  </c:pt>
                  <c:pt idx="58">
                    <c:v>4.7070652894674083E-5</c:v>
                  </c:pt>
                  <c:pt idx="59">
                    <c:v>4.7207889331285173E-5</c:v>
                  </c:pt>
                  <c:pt idx="60">
                    <c:v>4.7980878267463548E-5</c:v>
                  </c:pt>
                  <c:pt idx="61">
                    <c:v>4.8803106020467816E-5</c:v>
                  </c:pt>
                  <c:pt idx="62">
                    <c:v>4.7899211069423641E-5</c:v>
                  </c:pt>
                  <c:pt idx="63">
                    <c:v>4.5908247845728331E-5</c:v>
                  </c:pt>
                  <c:pt idx="64">
                    <c:v>4.4426237921148153E-5</c:v>
                  </c:pt>
                  <c:pt idx="65">
                    <c:v>3.9411853213733578E-5</c:v>
                  </c:pt>
                  <c:pt idx="66">
                    <c:v>3.86816468237264E-5</c:v>
                  </c:pt>
                  <c:pt idx="67">
                    <c:v>3.7279526928522056E-5</c:v>
                  </c:pt>
                  <c:pt idx="68">
                    <c:v>3.3476757561143593E-5</c:v>
                  </c:pt>
                  <c:pt idx="69">
                    <c:v>3.2738395504270126E-5</c:v>
                  </c:pt>
                  <c:pt idx="70">
                    <c:v>3.1576226035098229E-5</c:v>
                  </c:pt>
                  <c:pt idx="71">
                    <c:v>2.9168425782424078E-5</c:v>
                  </c:pt>
                  <c:pt idx="72">
                    <c:v>2.7303312586383368E-5</c:v>
                  </c:pt>
                  <c:pt idx="73">
                    <c:v>2.4893178777599621E-5</c:v>
                  </c:pt>
                  <c:pt idx="74">
                    <c:v>2.544765807724298E-5</c:v>
                  </c:pt>
                  <c:pt idx="75">
                    <c:v>2.5514457006585065E-5</c:v>
                  </c:pt>
                  <c:pt idx="76">
                    <c:v>2.473094129511545E-5</c:v>
                  </c:pt>
                  <c:pt idx="77">
                    <c:v>2.3489364297324618E-5</c:v>
                  </c:pt>
                  <c:pt idx="78">
                    <c:v>2.1508258837927967E-5</c:v>
                  </c:pt>
                  <c:pt idx="79">
                    <c:v>2.3839323948761398E-5</c:v>
                  </c:pt>
                  <c:pt idx="80">
                    <c:v>2.4076380565324416E-5</c:v>
                  </c:pt>
                  <c:pt idx="81">
                    <c:v>2.1739453387509796E-5</c:v>
                  </c:pt>
                  <c:pt idx="82">
                    <c:v>2.3230083584486838E-5</c:v>
                  </c:pt>
                  <c:pt idx="83">
                    <c:v>2.3500186230146679E-5</c:v>
                  </c:pt>
                  <c:pt idx="84">
                    <c:v>2.076069261865581E-5</c:v>
                  </c:pt>
                  <c:pt idx="85">
                    <c:v>1.1173654463970947E-5</c:v>
                  </c:pt>
                  <c:pt idx="86">
                    <c:v>1.1119839570907919E-5</c:v>
                  </c:pt>
                  <c:pt idx="87">
                    <c:v>1.0015218109628064E-5</c:v>
                  </c:pt>
                  <c:pt idx="88">
                    <c:v>9.8129265719240998E-6</c:v>
                  </c:pt>
                  <c:pt idx="89">
                    <c:v>9.6548792729710825E-6</c:v>
                  </c:pt>
                  <c:pt idx="90">
                    <c:v>9.4769197891341568E-6</c:v>
                  </c:pt>
                  <c:pt idx="91">
                    <c:v>1.0143930971129835E-5</c:v>
                  </c:pt>
                  <c:pt idx="92">
                    <c:v>9.9117795484869199E-6</c:v>
                  </c:pt>
                  <c:pt idx="93">
                    <c:v>9.6277072245729239E-6</c:v>
                  </c:pt>
                  <c:pt idx="94">
                    <c:v>9.4190846590653237E-6</c:v>
                  </c:pt>
                  <c:pt idx="95">
                    <c:v>8.9422835470887577E-6</c:v>
                  </c:pt>
                  <c:pt idx="96">
                    <c:v>9.6681122980809223E-6</c:v>
                  </c:pt>
                  <c:pt idx="97">
                    <c:v>8.6759565060177293E-6</c:v>
                  </c:pt>
                  <c:pt idx="98">
                    <c:v>8.3874746329197415E-6</c:v>
                  </c:pt>
                  <c:pt idx="99">
                    <c:v>8.3689844434923483E-6</c:v>
                  </c:pt>
                  <c:pt idx="100">
                    <c:v>7.7846597118803377E-6</c:v>
                  </c:pt>
                  <c:pt idx="101">
                    <c:v>8.1365505182870608E-6</c:v>
                  </c:pt>
                  <c:pt idx="102">
                    <c:v>8.3039712266618962E-6</c:v>
                  </c:pt>
                  <c:pt idx="103">
                    <c:v>8.062700052169989E-6</c:v>
                  </c:pt>
                  <c:pt idx="104">
                    <c:v>7.79593230504421E-6</c:v>
                  </c:pt>
                  <c:pt idx="105">
                    <c:v>7.1592693610801661E-6</c:v>
                  </c:pt>
                  <c:pt idx="106">
                    <c:v>6.4000739374881939E-6</c:v>
                  </c:pt>
                  <c:pt idx="107">
                    <c:v>6.4384756709613022E-6</c:v>
                  </c:pt>
                  <c:pt idx="108">
                    <c:v>6.2899896053171751E-6</c:v>
                  </c:pt>
                  <c:pt idx="109">
                    <c:v>6.2038328078625513E-6</c:v>
                  </c:pt>
                  <c:pt idx="110">
                    <c:v>5.9221319151874868E-6</c:v>
                  </c:pt>
                  <c:pt idx="111">
                    <c:v>6.0781964966807533E-6</c:v>
                  </c:pt>
                  <c:pt idx="112">
                    <c:v>5.8029479634157462E-6</c:v>
                  </c:pt>
                  <c:pt idx="113">
                    <c:v>6.2526236140233226E-6</c:v>
                  </c:pt>
                  <c:pt idx="114">
                    <c:v>6.2530887325567222E-6</c:v>
                  </c:pt>
                  <c:pt idx="115">
                    <c:v>6.1247361508811608E-6</c:v>
                  </c:pt>
                  <c:pt idx="116">
                    <c:v>5.4614777752381769E-6</c:v>
                  </c:pt>
                  <c:pt idx="117">
                    <c:v>5.4568847169184372E-6</c:v>
                  </c:pt>
                  <c:pt idx="118">
                    <c:v>5.2961562636223529E-6</c:v>
                  </c:pt>
                  <c:pt idx="119">
                    <c:v>2.7220663828858452E-6</c:v>
                  </c:pt>
                  <c:pt idx="120">
                    <c:v>2.5515823775800746E-6</c:v>
                  </c:pt>
                  <c:pt idx="121">
                    <c:v>2.8379409575659546E-6</c:v>
                  </c:pt>
                  <c:pt idx="122">
                    <c:v>2.7305230958657363E-6</c:v>
                  </c:pt>
                  <c:pt idx="123">
                    <c:v>2.7238778829963893E-6</c:v>
                  </c:pt>
                  <c:pt idx="124">
                    <c:v>2.6375921976672942E-6</c:v>
                  </c:pt>
                  <c:pt idx="125">
                    <c:v>2.9368209158287469E-6</c:v>
                  </c:pt>
                  <c:pt idx="126">
                    <c:v>2.7750799961436438E-6</c:v>
                  </c:pt>
                  <c:pt idx="127">
                    <c:v>3.0608753322202354E-6</c:v>
                  </c:pt>
                  <c:pt idx="128">
                    <c:v>2.6458129903673523E-6</c:v>
                  </c:pt>
                  <c:pt idx="129">
                    <c:v>2.8240796015491118E-6</c:v>
                  </c:pt>
                  <c:pt idx="130">
                    <c:v>2.7782302027896575E-6</c:v>
                  </c:pt>
                  <c:pt idx="131">
                    <c:v>2.7908695809625407E-6</c:v>
                  </c:pt>
                  <c:pt idx="132">
                    <c:v>2.761965889237817E-6</c:v>
                  </c:pt>
                  <c:pt idx="133">
                    <c:v>2.862667937838747E-6</c:v>
                  </c:pt>
                  <c:pt idx="134">
                    <c:v>2.7165218684669641E-6</c:v>
                  </c:pt>
                  <c:pt idx="135">
                    <c:v>2.7700023208036311E-6</c:v>
                  </c:pt>
                  <c:pt idx="136">
                    <c:v>2.5949050204608409E-6</c:v>
                  </c:pt>
                  <c:pt idx="137">
                    <c:v>2.8539060633523797E-6</c:v>
                  </c:pt>
                  <c:pt idx="138">
                    <c:v>2.9765792311062181E-6</c:v>
                  </c:pt>
                  <c:pt idx="139">
                    <c:v>2.9959790224035478E-6</c:v>
                  </c:pt>
                  <c:pt idx="140">
                    <c:v>2.5913115875369213E-6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4.0618142422688581E-3</c:v>
                  </c:pt>
                  <c:pt idx="1">
                    <c:v>3.8032625560787989E-3</c:v>
                  </c:pt>
                  <c:pt idx="2">
                    <c:v>3.5484908165435724E-3</c:v>
                  </c:pt>
                  <c:pt idx="3">
                    <c:v>3.0334801545016474E-3</c:v>
                  </c:pt>
                  <c:pt idx="4">
                    <c:v>2.9202395608834883E-3</c:v>
                  </c:pt>
                  <c:pt idx="5">
                    <c:v>2.658215841727402E-3</c:v>
                  </c:pt>
                  <c:pt idx="6">
                    <c:v>2.3080414178436857E-3</c:v>
                  </c:pt>
                  <c:pt idx="7">
                    <c:v>2.0953598931152092E-3</c:v>
                  </c:pt>
                  <c:pt idx="8">
                    <c:v>1.9677299483316685E-3</c:v>
                  </c:pt>
                  <c:pt idx="9">
                    <c:v>1.9256440999368381E-3</c:v>
                  </c:pt>
                  <c:pt idx="10">
                    <c:v>1.7613961844164892E-3</c:v>
                  </c:pt>
                  <c:pt idx="11">
                    <c:v>1.3850436857829132E-3</c:v>
                  </c:pt>
                  <c:pt idx="12">
                    <c:v>2.7894804286466833E-3</c:v>
                  </c:pt>
                  <c:pt idx="13">
                    <c:v>2.6383108420113869E-3</c:v>
                  </c:pt>
                  <c:pt idx="14">
                    <c:v>2.1483613737927486E-3</c:v>
                  </c:pt>
                  <c:pt idx="15">
                    <c:v>2.182464847853954E-3</c:v>
                  </c:pt>
                  <c:pt idx="16">
                    <c:v>1.8985401691711359E-3</c:v>
                  </c:pt>
                  <c:pt idx="17">
                    <c:v>1.8796776728807506E-3</c:v>
                  </c:pt>
                  <c:pt idx="18">
                    <c:v>1.7361619802973168E-3</c:v>
                  </c:pt>
                  <c:pt idx="19">
                    <c:v>1.4330556313302829E-3</c:v>
                  </c:pt>
                  <c:pt idx="20">
                    <c:v>1.2533162667818655E-3</c:v>
                  </c:pt>
                  <c:pt idx="21">
                    <c:v>1.1925751511367502E-3</c:v>
                  </c:pt>
                  <c:pt idx="22">
                    <c:v>1.0195512311355407E-3</c:v>
                  </c:pt>
                  <c:pt idx="23">
                    <c:v>8.9946310992981837E-4</c:v>
                  </c:pt>
                  <c:pt idx="24">
                    <c:v>7.7950752393704764E-4</c:v>
                  </c:pt>
                  <c:pt idx="25">
                    <c:v>6.723508815557461E-4</c:v>
                  </c:pt>
                  <c:pt idx="26">
                    <c:v>4.5964473162408428E-4</c:v>
                  </c:pt>
                  <c:pt idx="27">
                    <c:v>6.7962994145760974E-4</c:v>
                  </c:pt>
                  <c:pt idx="28">
                    <c:v>5.6533837943799337E-4</c:v>
                  </c:pt>
                  <c:pt idx="29">
                    <c:v>5.4204095922873174E-4</c:v>
                  </c:pt>
                  <c:pt idx="30">
                    <c:v>4.8531538878523382E-4</c:v>
                  </c:pt>
                  <c:pt idx="31">
                    <c:v>4.3609260246994347E-4</c:v>
                  </c:pt>
                  <c:pt idx="32">
                    <c:v>3.7427493502231886E-4</c:v>
                  </c:pt>
                  <c:pt idx="33">
                    <c:v>3.652348673223759E-4</c:v>
                  </c:pt>
                  <c:pt idx="34">
                    <c:v>3.7452602872888209E-4</c:v>
                  </c:pt>
                  <c:pt idx="35">
                    <c:v>3.3901327014022772E-4</c:v>
                  </c:pt>
                  <c:pt idx="36">
                    <c:v>2.9249715497599559E-4</c:v>
                  </c:pt>
                  <c:pt idx="37">
                    <c:v>2.7324509993941875E-4</c:v>
                  </c:pt>
                  <c:pt idx="38">
                    <c:v>2.3694566333346757E-4</c:v>
                  </c:pt>
                  <c:pt idx="39">
                    <c:v>2.4122657983044108E-4</c:v>
                  </c:pt>
                  <c:pt idx="40">
                    <c:v>1.9290289185447637E-4</c:v>
                  </c:pt>
                  <c:pt idx="41">
                    <c:v>1.8588606520216706E-4</c:v>
                  </c:pt>
                  <c:pt idx="42">
                    <c:v>1.6984041072609049E-4</c:v>
                  </c:pt>
                  <c:pt idx="43">
                    <c:v>1.5594064590487104E-4</c:v>
                  </c:pt>
                  <c:pt idx="44">
                    <c:v>1.549809590795416E-4</c:v>
                  </c:pt>
                  <c:pt idx="45">
                    <c:v>1.338931733215431E-4</c:v>
                  </c:pt>
                  <c:pt idx="46">
                    <c:v>1.2687942812830266E-4</c:v>
                  </c:pt>
                  <c:pt idx="47">
                    <c:v>1.2338170260836961E-4</c:v>
                  </c:pt>
                  <c:pt idx="48">
                    <c:v>1.358704730890173E-4</c:v>
                  </c:pt>
                  <c:pt idx="49">
                    <c:v>1.2047424159827227E-4</c:v>
                  </c:pt>
                  <c:pt idx="50">
                    <c:v>5.514748420102802E-5</c:v>
                  </c:pt>
                  <c:pt idx="51">
                    <c:v>5.9006781190610555E-5</c:v>
                  </c:pt>
                  <c:pt idx="52">
                    <c:v>5.5688042207728699E-5</c:v>
                  </c:pt>
                  <c:pt idx="53">
                    <c:v>5.3285800754499332E-5</c:v>
                  </c:pt>
                  <c:pt idx="54">
                    <c:v>5.7472490489432261E-5</c:v>
                  </c:pt>
                  <c:pt idx="55">
                    <c:v>5.4606269191272827E-5</c:v>
                  </c:pt>
                  <c:pt idx="56">
                    <c:v>5.2280946475689084E-5</c:v>
                  </c:pt>
                  <c:pt idx="57">
                    <c:v>5.109018377757256E-5</c:v>
                  </c:pt>
                  <c:pt idx="58">
                    <c:v>4.7070652894674083E-5</c:v>
                  </c:pt>
                  <c:pt idx="59">
                    <c:v>4.7207889331285173E-5</c:v>
                  </c:pt>
                  <c:pt idx="60">
                    <c:v>4.7980878267463548E-5</c:v>
                  </c:pt>
                  <c:pt idx="61">
                    <c:v>4.8803106020467816E-5</c:v>
                  </c:pt>
                  <c:pt idx="62">
                    <c:v>4.7899211069423641E-5</c:v>
                  </c:pt>
                  <c:pt idx="63">
                    <c:v>4.5908247845728331E-5</c:v>
                  </c:pt>
                  <c:pt idx="64">
                    <c:v>4.4426237921148153E-5</c:v>
                  </c:pt>
                  <c:pt idx="65">
                    <c:v>3.9411853213733578E-5</c:v>
                  </c:pt>
                  <c:pt idx="66">
                    <c:v>3.86816468237264E-5</c:v>
                  </c:pt>
                  <c:pt idx="67">
                    <c:v>3.7279526928522056E-5</c:v>
                  </c:pt>
                  <c:pt idx="68">
                    <c:v>3.3476757561143593E-5</c:v>
                  </c:pt>
                  <c:pt idx="69">
                    <c:v>3.2738395504270126E-5</c:v>
                  </c:pt>
                  <c:pt idx="70">
                    <c:v>3.1576226035098229E-5</c:v>
                  </c:pt>
                  <c:pt idx="71">
                    <c:v>2.9168425782424078E-5</c:v>
                  </c:pt>
                  <c:pt idx="72">
                    <c:v>2.7303312586383368E-5</c:v>
                  </c:pt>
                  <c:pt idx="73">
                    <c:v>2.4893178777599621E-5</c:v>
                  </c:pt>
                  <c:pt idx="74">
                    <c:v>2.544765807724298E-5</c:v>
                  </c:pt>
                  <c:pt idx="75">
                    <c:v>2.5514457006585065E-5</c:v>
                  </c:pt>
                  <c:pt idx="76">
                    <c:v>2.473094129511545E-5</c:v>
                  </c:pt>
                  <c:pt idx="77">
                    <c:v>2.3489364297324618E-5</c:v>
                  </c:pt>
                  <c:pt idx="78">
                    <c:v>2.1508258837927967E-5</c:v>
                  </c:pt>
                  <c:pt idx="79">
                    <c:v>2.3839323948761398E-5</c:v>
                  </c:pt>
                  <c:pt idx="80">
                    <c:v>2.4076380565324416E-5</c:v>
                  </c:pt>
                  <c:pt idx="81">
                    <c:v>2.1739453387509796E-5</c:v>
                  </c:pt>
                  <c:pt idx="82">
                    <c:v>2.3230083584486838E-5</c:v>
                  </c:pt>
                  <c:pt idx="83">
                    <c:v>2.3500186230146679E-5</c:v>
                  </c:pt>
                  <c:pt idx="84">
                    <c:v>2.076069261865581E-5</c:v>
                  </c:pt>
                  <c:pt idx="85">
                    <c:v>1.1173654463970947E-5</c:v>
                  </c:pt>
                  <c:pt idx="86">
                    <c:v>1.1119839570907919E-5</c:v>
                  </c:pt>
                  <c:pt idx="87">
                    <c:v>1.0015218109628064E-5</c:v>
                  </c:pt>
                  <c:pt idx="88">
                    <c:v>9.8129265719240998E-6</c:v>
                  </c:pt>
                  <c:pt idx="89">
                    <c:v>9.6548792729710825E-6</c:v>
                  </c:pt>
                  <c:pt idx="90">
                    <c:v>9.4769197891341568E-6</c:v>
                  </c:pt>
                  <c:pt idx="91">
                    <c:v>1.0143930971129835E-5</c:v>
                  </c:pt>
                  <c:pt idx="92">
                    <c:v>9.9117795484869199E-6</c:v>
                  </c:pt>
                  <c:pt idx="93">
                    <c:v>9.6277072245729239E-6</c:v>
                  </c:pt>
                  <c:pt idx="94">
                    <c:v>9.4190846590653237E-6</c:v>
                  </c:pt>
                  <c:pt idx="95">
                    <c:v>8.9422835470887577E-6</c:v>
                  </c:pt>
                  <c:pt idx="96">
                    <c:v>9.6681122980809223E-6</c:v>
                  </c:pt>
                  <c:pt idx="97">
                    <c:v>8.6759565060177293E-6</c:v>
                  </c:pt>
                  <c:pt idx="98">
                    <c:v>8.3874746329197415E-6</c:v>
                  </c:pt>
                  <c:pt idx="99">
                    <c:v>8.3689844434923483E-6</c:v>
                  </c:pt>
                  <c:pt idx="100">
                    <c:v>7.7846597118803377E-6</c:v>
                  </c:pt>
                  <c:pt idx="101">
                    <c:v>8.1365505182870608E-6</c:v>
                  </c:pt>
                  <c:pt idx="102">
                    <c:v>8.3039712266618962E-6</c:v>
                  </c:pt>
                  <c:pt idx="103">
                    <c:v>8.062700052169989E-6</c:v>
                  </c:pt>
                  <c:pt idx="104">
                    <c:v>7.79593230504421E-6</c:v>
                  </c:pt>
                  <c:pt idx="105">
                    <c:v>7.1592693610801661E-6</c:v>
                  </c:pt>
                  <c:pt idx="106">
                    <c:v>6.4000739374881939E-6</c:v>
                  </c:pt>
                  <c:pt idx="107">
                    <c:v>6.4384756709613022E-6</c:v>
                  </c:pt>
                  <c:pt idx="108">
                    <c:v>6.2899896053171751E-6</c:v>
                  </c:pt>
                  <c:pt idx="109">
                    <c:v>6.2038328078625513E-6</c:v>
                  </c:pt>
                  <c:pt idx="110">
                    <c:v>5.9221319151874868E-6</c:v>
                  </c:pt>
                  <c:pt idx="111">
                    <c:v>6.0781964966807533E-6</c:v>
                  </c:pt>
                  <c:pt idx="112">
                    <c:v>5.8029479634157462E-6</c:v>
                  </c:pt>
                  <c:pt idx="113">
                    <c:v>6.2526236140233226E-6</c:v>
                  </c:pt>
                  <c:pt idx="114">
                    <c:v>6.2530887325567222E-6</c:v>
                  </c:pt>
                  <c:pt idx="115">
                    <c:v>6.1247361508811608E-6</c:v>
                  </c:pt>
                  <c:pt idx="116">
                    <c:v>5.4614777752381769E-6</c:v>
                  </c:pt>
                  <c:pt idx="117">
                    <c:v>5.4568847169184372E-6</c:v>
                  </c:pt>
                  <c:pt idx="118">
                    <c:v>5.2961562636223529E-6</c:v>
                  </c:pt>
                  <c:pt idx="119">
                    <c:v>2.7220663828858452E-6</c:v>
                  </c:pt>
                  <c:pt idx="120">
                    <c:v>2.5515823775800746E-6</c:v>
                  </c:pt>
                  <c:pt idx="121">
                    <c:v>2.8379409575659546E-6</c:v>
                  </c:pt>
                  <c:pt idx="122">
                    <c:v>2.7305230958657363E-6</c:v>
                  </c:pt>
                  <c:pt idx="123">
                    <c:v>2.7238778829963893E-6</c:v>
                  </c:pt>
                  <c:pt idx="124">
                    <c:v>2.6375921976672942E-6</c:v>
                  </c:pt>
                  <c:pt idx="125">
                    <c:v>2.9368209158287469E-6</c:v>
                  </c:pt>
                  <c:pt idx="126">
                    <c:v>2.7750799961436438E-6</c:v>
                  </c:pt>
                  <c:pt idx="127">
                    <c:v>3.0608753322202354E-6</c:v>
                  </c:pt>
                  <c:pt idx="128">
                    <c:v>2.6458129903673523E-6</c:v>
                  </c:pt>
                  <c:pt idx="129">
                    <c:v>2.8240796015491118E-6</c:v>
                  </c:pt>
                  <c:pt idx="130">
                    <c:v>2.7782302027896575E-6</c:v>
                  </c:pt>
                  <c:pt idx="131">
                    <c:v>2.7908695809625407E-6</c:v>
                  </c:pt>
                  <c:pt idx="132">
                    <c:v>2.761965889237817E-6</c:v>
                  </c:pt>
                  <c:pt idx="133">
                    <c:v>2.862667937838747E-6</c:v>
                  </c:pt>
                  <c:pt idx="134">
                    <c:v>2.7165218684669641E-6</c:v>
                  </c:pt>
                  <c:pt idx="135">
                    <c:v>2.7700023208036311E-6</c:v>
                  </c:pt>
                  <c:pt idx="136">
                    <c:v>2.5949050204608409E-6</c:v>
                  </c:pt>
                  <c:pt idx="137">
                    <c:v>2.8539060633523797E-6</c:v>
                  </c:pt>
                  <c:pt idx="138">
                    <c:v>2.9765792311062181E-6</c:v>
                  </c:pt>
                  <c:pt idx="139">
                    <c:v>2.9959790224035478E-6</c:v>
                  </c:pt>
                  <c:pt idx="140">
                    <c:v>2.5913115875369213E-6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9.7072685899100009E-3</c:v>
                </c:pt>
                <c:pt idx="1">
                  <c:v>9.9014139617099994E-3</c:v>
                </c:pt>
                <c:pt idx="2">
                  <c:v>1.00994422409E-2</c:v>
                </c:pt>
                <c:pt idx="3">
                  <c:v>1.0301431085800001E-2</c:v>
                </c:pt>
                <c:pt idx="4">
                  <c:v>1.05074597075E-2</c:v>
                </c:pt>
                <c:pt idx="5">
                  <c:v>1.07176089016E-2</c:v>
                </c:pt>
                <c:pt idx="6">
                  <c:v>1.0931961079700001E-2</c:v>
                </c:pt>
                <c:pt idx="7">
                  <c:v>1.1150600301300001E-2</c:v>
                </c:pt>
                <c:pt idx="8">
                  <c:v>1.13736123073E-2</c:v>
                </c:pt>
                <c:pt idx="9">
                  <c:v>1.1601084553400001E-2</c:v>
                </c:pt>
                <c:pt idx="10">
                  <c:v>1.18331062445E-2</c:v>
                </c:pt>
                <c:pt idx="11">
                  <c:v>1.20697683694E-2</c:v>
                </c:pt>
                <c:pt idx="12">
                  <c:v>1.2311163736799999E-2</c:v>
                </c:pt>
                <c:pt idx="13">
                  <c:v>1.25573870115E-2</c:v>
                </c:pt>
                <c:pt idx="14">
                  <c:v>1.2808534751700001E-2</c:v>
                </c:pt>
                <c:pt idx="15">
                  <c:v>1.3064705446799999E-2</c:v>
                </c:pt>
                <c:pt idx="16">
                  <c:v>1.33259995557E-2</c:v>
                </c:pt>
                <c:pt idx="17">
                  <c:v>1.35925195468E-2</c:v>
                </c:pt>
                <c:pt idx="18">
                  <c:v>1.3864369937800001E-2</c:v>
                </c:pt>
                <c:pt idx="19">
                  <c:v>1.41416573365E-2</c:v>
                </c:pt>
                <c:pt idx="20">
                  <c:v>1.4424490483200001E-2</c:v>
                </c:pt>
                <c:pt idx="21">
                  <c:v>1.47129802929E-2</c:v>
                </c:pt>
                <c:pt idx="22">
                  <c:v>1.50072398988E-2</c:v>
                </c:pt>
                <c:pt idx="23">
                  <c:v>1.53073846967E-2</c:v>
                </c:pt>
                <c:pt idx="24">
                  <c:v>1.56135323907E-2</c:v>
                </c:pt>
                <c:pt idx="25">
                  <c:v>1.5925803038500001E-2</c:v>
                </c:pt>
                <c:pt idx="26">
                  <c:v>1.6244319099299999E-2</c:v>
                </c:pt>
                <c:pt idx="27">
                  <c:v>1.65692054812E-2</c:v>
                </c:pt>
                <c:pt idx="28">
                  <c:v>1.69005895909E-2</c:v>
                </c:pt>
                <c:pt idx="29">
                  <c:v>1.7238601382699999E-2</c:v>
                </c:pt>
                <c:pt idx="30">
                  <c:v>1.7583373410300002E-2</c:v>
                </c:pt>
                <c:pt idx="31">
                  <c:v>1.7935040878500001E-2</c:v>
                </c:pt>
                <c:pt idx="32">
                  <c:v>1.8293741696099999E-2</c:v>
                </c:pt>
                <c:pt idx="33">
                  <c:v>1.8659616529999999E-2</c:v>
                </c:pt>
                <c:pt idx="34">
                  <c:v>1.9032808860599999E-2</c:v>
                </c:pt>
                <c:pt idx="35">
                  <c:v>1.94134650379E-2</c:v>
                </c:pt>
                <c:pt idx="36">
                  <c:v>1.98017343386E-2</c:v>
                </c:pt>
                <c:pt idx="37">
                  <c:v>2.0197769025399999E-2</c:v>
                </c:pt>
                <c:pt idx="38">
                  <c:v>2.0601724405899999E-2</c:v>
                </c:pt>
                <c:pt idx="39">
                  <c:v>2.1013758893999999E-2</c:v>
                </c:pt>
                <c:pt idx="40">
                  <c:v>2.1434034071900001E-2</c:v>
                </c:pt>
                <c:pt idx="41">
                  <c:v>2.1862714753300001E-2</c:v>
                </c:pt>
                <c:pt idx="42">
                  <c:v>2.2299969048399999E-2</c:v>
                </c:pt>
                <c:pt idx="43">
                  <c:v>2.27459684294E-2</c:v>
                </c:pt>
                <c:pt idx="44">
                  <c:v>2.3200887797899999E-2</c:v>
                </c:pt>
                <c:pt idx="45">
                  <c:v>2.3664905553899999E-2</c:v>
                </c:pt>
                <c:pt idx="46">
                  <c:v>2.4138203665E-2</c:v>
                </c:pt>
                <c:pt idx="47">
                  <c:v>2.4620967738300002E-2</c:v>
                </c:pt>
                <c:pt idx="48">
                  <c:v>2.5113387093100001E-2</c:v>
                </c:pt>
                <c:pt idx="49">
                  <c:v>2.5615654834900001E-2</c:v>
                </c:pt>
                <c:pt idx="50">
                  <c:v>2.61279679316E-2</c:v>
                </c:pt>
                <c:pt idx="51">
                  <c:v>2.66505272902E-2</c:v>
                </c:pt>
                <c:pt idx="52">
                  <c:v>2.7183537835999999E-2</c:v>
                </c:pt>
                <c:pt idx="53">
                  <c:v>2.77272085928E-2</c:v>
                </c:pt>
                <c:pt idx="54">
                  <c:v>2.8281752764600002E-2</c:v>
                </c:pt>
                <c:pt idx="55">
                  <c:v>2.8847387819900001E-2</c:v>
                </c:pt>
                <c:pt idx="56">
                  <c:v>2.94243355763E-2</c:v>
                </c:pt>
                <c:pt idx="57">
                  <c:v>3.0012822287800001E-2</c:v>
                </c:pt>
                <c:pt idx="58">
                  <c:v>3.0613078733599999E-2</c:v>
                </c:pt>
                <c:pt idx="59">
                  <c:v>3.1225340308300001E-2</c:v>
                </c:pt>
                <c:pt idx="60">
                  <c:v>3.1849847114399997E-2</c:v>
                </c:pt>
                <c:pt idx="61">
                  <c:v>3.24868440567E-2</c:v>
                </c:pt>
                <c:pt idx="62">
                  <c:v>3.31365809379E-2</c:v>
                </c:pt>
                <c:pt idx="63">
                  <c:v>3.37993125566E-2</c:v>
                </c:pt>
                <c:pt idx="64">
                  <c:v>3.4475298807699999E-2</c:v>
                </c:pt>
                <c:pt idx="65">
                  <c:v>3.5164804783900001E-2</c:v>
                </c:pt>
                <c:pt idx="66">
                  <c:v>3.5868100879599997E-2</c:v>
                </c:pt>
                <c:pt idx="67">
                  <c:v>3.6585462897200001E-2</c:v>
                </c:pt>
                <c:pt idx="68">
                  <c:v>3.7317172155099998E-2</c:v>
                </c:pt>
                <c:pt idx="69">
                  <c:v>3.8063515598200003E-2</c:v>
                </c:pt>
                <c:pt idx="70">
                  <c:v>3.8824785910199999E-2</c:v>
                </c:pt>
                <c:pt idx="71">
                  <c:v>3.9601281628400001E-2</c:v>
                </c:pt>
                <c:pt idx="72">
                  <c:v>4.0393307261000003E-2</c:v>
                </c:pt>
                <c:pt idx="73">
                  <c:v>4.1201173406199998E-2</c:v>
                </c:pt>
                <c:pt idx="74">
                  <c:v>4.2025196874300001E-2</c:v>
                </c:pt>
                <c:pt idx="75">
                  <c:v>4.2865700811800002E-2</c:v>
                </c:pt>
                <c:pt idx="76">
                  <c:v>4.3723014827999999E-2</c:v>
                </c:pt>
                <c:pt idx="77">
                  <c:v>4.4597475124600001E-2</c:v>
                </c:pt>
                <c:pt idx="78">
                  <c:v>4.5489424627099997E-2</c:v>
                </c:pt>
                <c:pt idx="79">
                  <c:v>4.6399213119599998E-2</c:v>
                </c:pt>
                <c:pt idx="80">
                  <c:v>4.7327197382000002E-2</c:v>
                </c:pt>
                <c:pt idx="81">
                  <c:v>4.8273741329600002E-2</c:v>
                </c:pt>
                <c:pt idx="82">
                  <c:v>4.92392161562E-2</c:v>
                </c:pt>
                <c:pt idx="83">
                  <c:v>5.0224000479399997E-2</c:v>
                </c:pt>
                <c:pt idx="84">
                  <c:v>5.1228480489E-2</c:v>
                </c:pt>
                <c:pt idx="85">
                  <c:v>5.2253050098700002E-2</c:v>
                </c:pt>
                <c:pt idx="86">
                  <c:v>5.3298111100699999E-2</c:v>
                </c:pt>
                <c:pt idx="87">
                  <c:v>5.4364073322699998E-2</c:v>
                </c:pt>
                <c:pt idx="88">
                  <c:v>5.5451354789199998E-2</c:v>
                </c:pt>
                <c:pt idx="89">
                  <c:v>5.6560381884999997E-2</c:v>
                </c:pt>
                <c:pt idx="90">
                  <c:v>5.7691589522700003E-2</c:v>
                </c:pt>
                <c:pt idx="91">
                  <c:v>5.8845421313099999E-2</c:v>
                </c:pt>
                <c:pt idx="92">
                  <c:v>6.0022329739399999E-2</c:v>
                </c:pt>
                <c:pt idx="93">
                  <c:v>6.1222776334200001E-2</c:v>
                </c:pt>
                <c:pt idx="94">
                  <c:v>6.24472318608E-2</c:v>
                </c:pt>
                <c:pt idx="95">
                  <c:v>6.3696176498099999E-2</c:v>
                </c:pt>
                <c:pt idx="96">
                  <c:v>6.4970100027999994E-2</c:v>
                </c:pt>
                <c:pt idx="97">
                  <c:v>6.6269502028600005E-2</c:v>
                </c:pt>
                <c:pt idx="98">
                  <c:v>6.7594892069199997E-2</c:v>
                </c:pt>
                <c:pt idx="99">
                  <c:v>6.8946789910500003E-2</c:v>
                </c:pt>
                <c:pt idx="100">
                  <c:v>7.0325725708699993E-2</c:v>
                </c:pt>
                <c:pt idx="101">
                  <c:v>7.1732240222900007E-2</c:v>
                </c:pt>
                <c:pt idx="102">
                  <c:v>7.31668850274E-2</c:v>
                </c:pt>
                <c:pt idx="103">
                  <c:v>7.46302227279E-2</c:v>
                </c:pt>
                <c:pt idx="104">
                  <c:v>7.6122827182500005E-2</c:v>
                </c:pt>
                <c:pt idx="105">
                  <c:v>7.7645283726099995E-2</c:v>
                </c:pt>
                <c:pt idx="106">
                  <c:v>7.9198189400700003E-2</c:v>
                </c:pt>
                <c:pt idx="107">
                  <c:v>8.0782153188699996E-2</c:v>
                </c:pt>
                <c:pt idx="108">
                  <c:v>8.2397796252399999E-2</c:v>
                </c:pt>
                <c:pt idx="109">
                  <c:v>8.4045752177500002E-2</c:v>
                </c:pt>
                <c:pt idx="110">
                  <c:v>8.5726667221000002E-2</c:v>
                </c:pt>
                <c:pt idx="111">
                  <c:v>8.7441200565500005E-2</c:v>
                </c:pt>
                <c:pt idx="112">
                  <c:v>8.9190024576800003E-2</c:v>
                </c:pt>
                <c:pt idx="113">
                  <c:v>9.0973825068299999E-2</c:v>
                </c:pt>
                <c:pt idx="114">
                  <c:v>9.2793301569700004E-2</c:v>
                </c:pt>
                <c:pt idx="115">
                  <c:v>9.4649167601099995E-2</c:v>
                </c:pt>
                <c:pt idx="116">
                  <c:v>9.6542150953099995E-2</c:v>
                </c:pt>
                <c:pt idx="117">
                  <c:v>9.8472993972199996E-2</c:v>
                </c:pt>
                <c:pt idx="118">
                  <c:v>0.100442453852</c:v>
                </c:pt>
                <c:pt idx="119">
                  <c:v>0.102451302929</c:v>
                </c:pt>
                <c:pt idx="120">
                  <c:v>0.104500328987</c:v>
                </c:pt>
                <c:pt idx="121">
                  <c:v>0.106590335567</c:v>
                </c:pt>
                <c:pt idx="122">
                  <c:v>0.10872214227800001</c:v>
                </c:pt>
                <c:pt idx="123">
                  <c:v>0.110896585124</c:v>
                </c:pt>
                <c:pt idx="124">
                  <c:v>0.113114516826</c:v>
                </c:pt>
                <c:pt idx="125">
                  <c:v>0.115376807163</c:v>
                </c:pt>
                <c:pt idx="126">
                  <c:v>0.117684343306</c:v>
                </c:pt>
                <c:pt idx="127">
                  <c:v>0.120038030172</c:v>
                </c:pt>
                <c:pt idx="128">
                  <c:v>0.12243879077600001</c:v>
                </c:pt>
                <c:pt idx="129">
                  <c:v>0.124887566591</c:v>
                </c:pt>
                <c:pt idx="130">
                  <c:v>0.12738531792300001</c:v>
                </c:pt>
                <c:pt idx="131">
                  <c:v>0.12993302428100001</c:v>
                </c:pt>
                <c:pt idx="132">
                  <c:v>0.132531684767</c:v>
                </c:pt>
                <c:pt idx="133">
                  <c:v>0.13518231846199999</c:v>
                </c:pt>
                <c:pt idx="134">
                  <c:v>0.137885964832</c:v>
                </c:pt>
                <c:pt idx="135">
                  <c:v>0.14064368412799999</c:v>
                </c:pt>
                <c:pt idx="136">
                  <c:v>0.143456557811</c:v>
                </c:pt>
                <c:pt idx="137">
                  <c:v>0.14632568896699999</c:v>
                </c:pt>
                <c:pt idx="138">
                  <c:v>0.14925220274600001</c:v>
                </c:pt>
                <c:pt idx="139">
                  <c:v>0.15223724680100001</c:v>
                </c:pt>
                <c:pt idx="140">
                  <c:v>0.155281991737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4.8190985262641789E-2</c:v>
                </c:pt>
                <c:pt idx="1">
                  <c:v>4.7536210607849863E-2</c:v>
                </c:pt>
                <c:pt idx="2">
                  <c:v>4.2367647681195227E-2</c:v>
                </c:pt>
                <c:pt idx="3">
                  <c:v>4.2042961390653132E-2</c:v>
                </c:pt>
                <c:pt idx="4">
                  <c:v>4.3899754760220809E-2</c:v>
                </c:pt>
                <c:pt idx="5">
                  <c:v>4.1853580350273395E-2</c:v>
                </c:pt>
                <c:pt idx="6">
                  <c:v>3.5959634329804709E-2</c:v>
                </c:pt>
                <c:pt idx="7">
                  <c:v>3.415138027095807E-2</c:v>
                </c:pt>
                <c:pt idx="8">
                  <c:v>3.4088296464991542E-2</c:v>
                </c:pt>
                <c:pt idx="9">
                  <c:v>3.596820331421801E-2</c:v>
                </c:pt>
                <c:pt idx="10">
                  <c:v>3.3533030046164002E-2</c:v>
                </c:pt>
                <c:pt idx="11">
                  <c:v>3.0365360908982914E-2</c:v>
                </c:pt>
                <c:pt idx="12">
                  <c:v>3.2443002787420717E-2</c:v>
                </c:pt>
                <c:pt idx="13">
                  <c:v>3.1525578990049132E-2</c:v>
                </c:pt>
                <c:pt idx="14">
                  <c:v>2.5496260978349304E-2</c:v>
                </c:pt>
                <c:pt idx="15">
                  <c:v>2.6833315891142358E-2</c:v>
                </c:pt>
                <c:pt idx="16">
                  <c:v>2.3565054021369353E-2</c:v>
                </c:pt>
                <c:pt idx="17">
                  <c:v>2.4181442625402401E-2</c:v>
                </c:pt>
                <c:pt idx="18">
                  <c:v>2.3284470975208367E-2</c:v>
                </c:pt>
                <c:pt idx="19">
                  <c:v>1.9177794453435842E-2</c:v>
                </c:pt>
                <c:pt idx="20">
                  <c:v>1.6789107477148797E-2</c:v>
                </c:pt>
                <c:pt idx="21">
                  <c:v>1.6321976127822532E-2</c:v>
                </c:pt>
                <c:pt idx="22">
                  <c:v>1.4239028081938653E-2</c:v>
                </c:pt>
                <c:pt idx="23">
                  <c:v>1.3398807955934181E-2</c:v>
                </c:pt>
                <c:pt idx="24">
                  <c:v>1.1601191668608471E-2</c:v>
                </c:pt>
                <c:pt idx="25">
                  <c:v>1.0407418620448592E-2</c:v>
                </c:pt>
                <c:pt idx="26">
                  <c:v>8.3555538597400066E-3</c:v>
                </c:pt>
                <c:pt idx="27">
                  <c:v>7.4574705366713713E-3</c:v>
                </c:pt>
                <c:pt idx="28">
                  <c:v>5.8016703509265978E-3</c:v>
                </c:pt>
                <c:pt idx="29">
                  <c:v>6.1974564932179843E-3</c:v>
                </c:pt>
                <c:pt idx="30">
                  <c:v>5.6643040614511751E-3</c:v>
                </c:pt>
                <c:pt idx="31">
                  <c:v>4.9074017156797304E-3</c:v>
                </c:pt>
                <c:pt idx="32">
                  <c:v>3.8270837341157532E-3</c:v>
                </c:pt>
                <c:pt idx="33">
                  <c:v>3.8414467497118448E-3</c:v>
                </c:pt>
                <c:pt idx="34">
                  <c:v>4.474270237033018E-3</c:v>
                </c:pt>
                <c:pt idx="35">
                  <c:v>3.8476865491223191E-3</c:v>
                </c:pt>
                <c:pt idx="36">
                  <c:v>3.4073870894401172E-3</c:v>
                </c:pt>
                <c:pt idx="37">
                  <c:v>3.314793859223294E-3</c:v>
                </c:pt>
                <c:pt idx="38">
                  <c:v>2.4414955463515535E-3</c:v>
                </c:pt>
                <c:pt idx="39">
                  <c:v>2.8570275526068867E-3</c:v>
                </c:pt>
                <c:pt idx="40">
                  <c:v>1.9063355921928229E-3</c:v>
                </c:pt>
                <c:pt idx="41">
                  <c:v>1.8061389058617991E-3</c:v>
                </c:pt>
                <c:pt idx="42">
                  <c:v>1.6627382787507508E-3</c:v>
                </c:pt>
                <c:pt idx="43">
                  <c:v>1.5679564942983034E-3</c:v>
                </c:pt>
                <c:pt idx="44">
                  <c:v>1.6019323095924913E-3</c:v>
                </c:pt>
                <c:pt idx="45">
                  <c:v>1.2798444677124161E-3</c:v>
                </c:pt>
                <c:pt idx="46">
                  <c:v>1.192951011995746E-3</c:v>
                </c:pt>
                <c:pt idx="47">
                  <c:v>1.1193340147097018E-3</c:v>
                </c:pt>
                <c:pt idx="48">
                  <c:v>1.4608295369262776E-3</c:v>
                </c:pt>
                <c:pt idx="49">
                  <c:v>1.173283287961895E-3</c:v>
                </c:pt>
                <c:pt idx="50">
                  <c:v>1.1487110066475184E-3</c:v>
                </c:pt>
                <c:pt idx="51">
                  <c:v>1.0758824320457499E-3</c:v>
                </c:pt>
                <c:pt idx="52">
                  <c:v>1.0443868598340564E-3</c:v>
                </c:pt>
                <c:pt idx="53">
                  <c:v>1.0246752036345069E-3</c:v>
                </c:pt>
                <c:pt idx="54">
                  <c:v>1.1306535567879668E-3</c:v>
                </c:pt>
                <c:pt idx="55">
                  <c:v>1.1109712132396784E-3</c:v>
                </c:pt>
                <c:pt idx="56">
                  <c:v>1.0892529576606016E-3</c:v>
                </c:pt>
                <c:pt idx="57">
                  <c:v>1.0284600937814227E-3</c:v>
                </c:pt>
                <c:pt idx="58">
                  <c:v>9.5542025757753516E-4</c:v>
                </c:pt>
                <c:pt idx="59">
                  <c:v>9.0642235015162573E-4</c:v>
                </c:pt>
                <c:pt idx="60">
                  <c:v>9.1202467219051093E-4</c:v>
                </c:pt>
                <c:pt idx="61">
                  <c:v>9.043595276418886E-4</c:v>
                </c:pt>
                <c:pt idx="62">
                  <c:v>8.3728086489112251E-4</c:v>
                </c:pt>
                <c:pt idx="63">
                  <c:v>8.0512451618791668E-4</c:v>
                </c:pt>
                <c:pt idx="64">
                  <c:v>7.832623033386622E-4</c:v>
                </c:pt>
                <c:pt idx="65">
                  <c:v>6.4792064058505361E-4</c:v>
                </c:pt>
                <c:pt idx="66">
                  <c:v>6.1511847784446896E-4</c:v>
                </c:pt>
                <c:pt idx="67">
                  <c:v>5.4357617090082175E-4</c:v>
                </c:pt>
                <c:pt idx="68">
                  <c:v>3.7757889799782746E-4</c:v>
                </c:pt>
                <c:pt idx="69">
                  <c:v>4.0965106557537832E-4</c:v>
                </c:pt>
                <c:pt idx="70">
                  <c:v>3.7601901705872391E-4</c:v>
                </c:pt>
                <c:pt idx="71">
                  <c:v>3.2853419247090305E-4</c:v>
                </c:pt>
                <c:pt idx="72">
                  <c:v>2.8349649551076019E-4</c:v>
                </c:pt>
                <c:pt idx="73">
                  <c:v>2.4070834049079093E-4</c:v>
                </c:pt>
                <c:pt idx="74">
                  <c:v>2.6918810114358224E-4</c:v>
                </c:pt>
                <c:pt idx="75">
                  <c:v>2.5401804418577354E-4</c:v>
                </c:pt>
                <c:pt idx="76">
                  <c:v>2.3928885820437127E-4</c:v>
                </c:pt>
                <c:pt idx="77">
                  <c:v>2.1638711495524705E-4</c:v>
                </c:pt>
                <c:pt idx="78">
                  <c:v>1.6530763307577727E-4</c:v>
                </c:pt>
                <c:pt idx="79">
                  <c:v>2.2941043926060823E-4</c:v>
                </c:pt>
                <c:pt idx="80">
                  <c:v>2.3678254321061868E-4</c:v>
                </c:pt>
                <c:pt idx="81">
                  <c:v>1.7878981857233884E-4</c:v>
                </c:pt>
                <c:pt idx="82">
                  <c:v>2.1082829179047848E-4</c:v>
                </c:pt>
                <c:pt idx="83">
                  <c:v>1.9643390449044961E-4</c:v>
                </c:pt>
                <c:pt idx="84">
                  <c:v>1.4697272373389829E-4</c:v>
                </c:pt>
                <c:pt idx="85">
                  <c:v>1.824314686488919E-4</c:v>
                </c:pt>
                <c:pt idx="86">
                  <c:v>1.7219747330976255E-4</c:v>
                </c:pt>
                <c:pt idx="87">
                  <c:v>1.351526502122331E-4</c:v>
                </c:pt>
                <c:pt idx="88">
                  <c:v>1.4064521106344963E-4</c:v>
                </c:pt>
                <c:pt idx="89">
                  <c:v>1.4107227109505556E-4</c:v>
                </c:pt>
                <c:pt idx="90">
                  <c:v>1.4406663543752333E-4</c:v>
                </c:pt>
                <c:pt idx="91">
                  <c:v>1.3805662997512006E-4</c:v>
                </c:pt>
                <c:pt idx="92">
                  <c:v>1.2876136308821905E-4</c:v>
                </c:pt>
                <c:pt idx="93">
                  <c:v>1.2237967252236529E-4</c:v>
                </c:pt>
                <c:pt idx="94">
                  <c:v>1.1879838710577655E-4</c:v>
                </c:pt>
                <c:pt idx="95">
                  <c:v>1.0520676368883526E-4</c:v>
                </c:pt>
                <c:pt idx="96">
                  <c:v>1.1993723049287246E-4</c:v>
                </c:pt>
                <c:pt idx="97">
                  <c:v>9.6520198445719822E-5</c:v>
                </c:pt>
                <c:pt idx="98">
                  <c:v>9.7082049193236158E-5</c:v>
                </c:pt>
                <c:pt idx="99">
                  <c:v>8.7439850409949045E-5</c:v>
                </c:pt>
                <c:pt idx="100">
                  <c:v>8.6757042113102322E-5</c:v>
                </c:pt>
                <c:pt idx="101">
                  <c:v>8.2832704986911306E-5</c:v>
                </c:pt>
                <c:pt idx="102">
                  <c:v>7.0208368355645834E-5</c:v>
                </c:pt>
                <c:pt idx="103">
                  <c:v>7.2033029750756986E-5</c:v>
                </c:pt>
                <c:pt idx="104">
                  <c:v>5.7401445283432537E-5</c:v>
                </c:pt>
                <c:pt idx="105">
                  <c:v>5.5648074637702675E-5</c:v>
                </c:pt>
                <c:pt idx="106">
                  <c:v>4.2524323608600191E-5</c:v>
                </c:pt>
                <c:pt idx="107">
                  <c:v>4.4342737584557447E-5</c:v>
                </c:pt>
                <c:pt idx="108">
                  <c:v>3.7713093900841322E-5</c:v>
                </c:pt>
                <c:pt idx="109">
                  <c:v>4.1124013370799925E-5</c:v>
                </c:pt>
                <c:pt idx="110">
                  <c:v>3.2861339282832822E-5</c:v>
                </c:pt>
                <c:pt idx="111">
                  <c:v>3.358348144656282E-5</c:v>
                </c:pt>
                <c:pt idx="112">
                  <c:v>3.8967145638630111E-5</c:v>
                </c:pt>
                <c:pt idx="113">
                  <c:v>3.8518042750672441E-5</c:v>
                </c:pt>
                <c:pt idx="114">
                  <c:v>4.292764373657732E-5</c:v>
                </c:pt>
                <c:pt idx="115">
                  <c:v>3.6674932387831488E-5</c:v>
                </c:pt>
                <c:pt idx="116">
                  <c:v>3.0061421913440189E-5</c:v>
                </c:pt>
                <c:pt idx="117">
                  <c:v>2.4925210296322276E-5</c:v>
                </c:pt>
                <c:pt idx="118">
                  <c:v>1.8007073614572709E-5</c:v>
                </c:pt>
                <c:pt idx="119">
                  <c:v>1.7748675870415407E-5</c:v>
                </c:pt>
                <c:pt idx="120">
                  <c:v>1.5792500983655823E-5</c:v>
                </c:pt>
                <c:pt idx="121">
                  <c:v>2.4906667592792084E-5</c:v>
                </c:pt>
                <c:pt idx="122">
                  <c:v>2.0208582694076028E-5</c:v>
                </c:pt>
                <c:pt idx="123">
                  <c:v>1.9809263493382674E-5</c:v>
                </c:pt>
                <c:pt idx="124">
                  <c:v>1.9997646757114219E-5</c:v>
                </c:pt>
                <c:pt idx="125">
                  <c:v>2.1559300175276211E-5</c:v>
                </c:pt>
                <c:pt idx="126">
                  <c:v>1.5401990790469902E-5</c:v>
                </c:pt>
                <c:pt idx="127">
                  <c:v>2.3842222336355384E-5</c:v>
                </c:pt>
                <c:pt idx="128">
                  <c:v>1.3040952927907266E-5</c:v>
                </c:pt>
                <c:pt idx="129">
                  <c:v>1.6841812496849359E-5</c:v>
                </c:pt>
                <c:pt idx="130">
                  <c:v>2.04117935606813E-5</c:v>
                </c:pt>
                <c:pt idx="131">
                  <c:v>1.4707008037840016E-5</c:v>
                </c:pt>
                <c:pt idx="132">
                  <c:v>1.6885596085112797E-5</c:v>
                </c:pt>
                <c:pt idx="133">
                  <c:v>1.7013026142542095E-5</c:v>
                </c:pt>
                <c:pt idx="134">
                  <c:v>1.2317847448040731E-5</c:v>
                </c:pt>
                <c:pt idx="135">
                  <c:v>1.6349063960994818E-5</c:v>
                </c:pt>
                <c:pt idx="136">
                  <c:v>9.6288234863598754E-6</c:v>
                </c:pt>
                <c:pt idx="137">
                  <c:v>8.633456781468739E-6</c:v>
                </c:pt>
                <c:pt idx="138">
                  <c:v>1.5189384806982255E-5</c:v>
                </c:pt>
                <c:pt idx="139">
                  <c:v>1.5890632413892896E-5</c:v>
                </c:pt>
                <c:pt idx="140">
                  <c:v>3.8158903651611225E-6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swellRatio!$A$4:$A$23</c:f>
              <c:numCache>
                <c:formatCode>0.00</c:formatCode>
                <c:ptCount val="20"/>
                <c:pt idx="0">
                  <c:v>2.7</c:v>
                </c:pt>
                <c:pt idx="1">
                  <c:v>2.74</c:v>
                </c:pt>
                <c:pt idx="2">
                  <c:v>2.7800000000000002</c:v>
                </c:pt>
                <c:pt idx="3">
                  <c:v>2.8200000000000003</c:v>
                </c:pt>
                <c:pt idx="4">
                  <c:v>2.8600000000000003</c:v>
                </c:pt>
                <c:pt idx="5">
                  <c:v>2.9000000000000004</c:v>
                </c:pt>
                <c:pt idx="6">
                  <c:v>2.94</c:v>
                </c:pt>
                <c:pt idx="7">
                  <c:v>2.98</c:v>
                </c:pt>
                <c:pt idx="8">
                  <c:v>3.02</c:v>
                </c:pt>
                <c:pt idx="9">
                  <c:v>3.06</c:v>
                </c:pt>
                <c:pt idx="10">
                  <c:v>3.1</c:v>
                </c:pt>
              </c:numCache>
            </c:numRef>
          </c:xVal>
          <c:yVal>
            <c:numRef>
              <c:f>swellRatio!$B$4:$B$23</c:f>
              <c:numCache>
                <c:formatCode>0.00</c:formatCode>
                <c:ptCount val="20"/>
                <c:pt idx="0">
                  <c:v>8.6003233030319546</c:v>
                </c:pt>
                <c:pt idx="1">
                  <c:v>7.9264446103919637</c:v>
                </c:pt>
                <c:pt idx="2">
                  <c:v>7.4295714411786857</c:v>
                </c:pt>
                <c:pt idx="3">
                  <c:v>7.1020474777292275</c:v>
                </c:pt>
                <c:pt idx="4">
                  <c:v>6.9037174398334162</c:v>
                </c:pt>
                <c:pt idx="5">
                  <c:v>6.835809029794901</c:v>
                </c:pt>
                <c:pt idx="6">
                  <c:v>6.8907469204801854</c:v>
                </c:pt>
                <c:pt idx="7">
                  <c:v>7.0345018048908381</c:v>
                </c:pt>
                <c:pt idx="8">
                  <c:v>7.2655020267359403</c:v>
                </c:pt>
                <c:pt idx="9">
                  <c:v>7.5600781914957818</c:v>
                </c:pt>
                <c:pt idx="10">
                  <c:v>7.8953683545805156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E9-4AB9-BF0A-B101D202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98</c:v>
                </c:pt>
                <c:pt idx="1">
                  <c:v>102</c:v>
                </c:pt>
                <c:pt idx="2">
                  <c:v>106</c:v>
                </c:pt>
                <c:pt idx="3">
                  <c:v>110</c:v>
                </c:pt>
                <c:pt idx="4">
                  <c:v>114</c:v>
                </c:pt>
                <c:pt idx="5">
                  <c:v>118</c:v>
                </c:pt>
                <c:pt idx="6">
                  <c:v>122</c:v>
                </c:pt>
                <c:pt idx="7">
                  <c:v>126</c:v>
                </c:pt>
                <c:pt idx="8">
                  <c:v>130</c:v>
                </c:pt>
                <c:pt idx="9">
                  <c:v>134</c:v>
                </c:pt>
                <c:pt idx="10">
                  <c:v>138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6.5944680216756142</c:v>
                </c:pt>
                <c:pt idx="1">
                  <c:v>6.4464440006791293</c:v>
                </c:pt>
                <c:pt idx="2">
                  <c:v>6.3336322587004039</c:v>
                </c:pt>
                <c:pt idx="3">
                  <c:v>6.2544244011089898</c:v>
                </c:pt>
                <c:pt idx="4">
                  <c:v>6.2070273837702148</c:v>
                </c:pt>
                <c:pt idx="5">
                  <c:v>6.1895430778974854</c:v>
                </c:pt>
                <c:pt idx="6">
                  <c:v>6.2000639076778246</c:v>
                </c:pt>
                <c:pt idx="7">
                  <c:v>6.2367465790562289</c:v>
                </c:pt>
                <c:pt idx="8">
                  <c:v>6.2978279009190787</c:v>
                </c:pt>
                <c:pt idx="9">
                  <c:v>6.3815710025751509</c:v>
                </c:pt>
                <c:pt idx="10">
                  <c:v>6.4861679419801748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5-4B0D-81A8-664AD5954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461963</xdr:colOff>
      <xdr:row>4</xdr:row>
      <xdr:rowOff>0</xdr:rowOff>
    </xdr:from>
    <xdr:to>
      <xdr:col>15</xdr:col>
      <xdr:colOff>750093</xdr:colOff>
      <xdr:row>25</xdr:row>
      <xdr:rowOff>9525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166686</xdr:colOff>
      <xdr:row>11</xdr:row>
      <xdr:rowOff>85721</xdr:rowOff>
    </xdr:from>
    <xdr:to>
      <xdr:col>30</xdr:col>
      <xdr:colOff>116681</xdr:colOff>
      <xdr:row>38</xdr:row>
      <xdr:rowOff>95245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557"/>
  <sheetViews>
    <sheetView zoomScale="80" workbookViewId="0">
      <selection activeCell="C9" sqref="C9"/>
    </sheetView>
  </sheetViews>
  <sheetFormatPr defaultRowHeight="15.75" x14ac:dyDescent="0.25"/>
  <cols>
    <col min="1" max="1" width="19.375" style="64" bestFit="1" customWidth="1"/>
    <col min="2" max="2" width="27.12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875" style="39" bestFit="1" customWidth="1"/>
    <col min="7" max="7" width="8.375" style="39" bestFit="1" customWidth="1"/>
    <col min="8" max="8" width="26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4" bestFit="1" customWidth="1"/>
    <col min="21" max="21" width="8.625" style="92" bestFit="1" customWidth="1"/>
    <col min="22" max="22" width="8.625" style="93" bestFit="1" customWidth="1"/>
    <col min="23" max="23" width="8.625" style="83" bestFit="1" customWidth="1"/>
    <col min="24" max="24" width="8.25" style="75" bestFit="1" customWidth="1"/>
    <col min="25" max="25" width="9" style="84"/>
    <col min="26" max="26" width="12.5" style="84" bestFit="1" customWidth="1"/>
    <col min="27" max="27" width="10" style="84" bestFit="1" customWidth="1"/>
    <col min="28" max="28" width="6.375" style="85" bestFit="1" customWidth="1"/>
    <col min="29" max="29" width="7.375" style="85" bestFit="1" customWidth="1"/>
    <col min="30" max="30" width="8.625" style="84" bestFit="1" customWidth="1"/>
    <col min="31" max="31" width="12.25" style="84" bestFit="1" customWidth="1"/>
    <col min="32" max="32" width="9" style="83"/>
  </cols>
  <sheetData>
    <row r="1" spans="1:32" x14ac:dyDescent="0.25">
      <c r="A1" s="103" t="s">
        <v>525</v>
      </c>
      <c r="B1" s="184" t="s">
        <v>491</v>
      </c>
      <c r="C1" s="184"/>
      <c r="D1" s="184"/>
      <c r="E1" s="184"/>
      <c r="F1" s="184"/>
      <c r="G1" s="184"/>
      <c r="H1" s="184"/>
      <c r="I1" s="185" t="s">
        <v>507</v>
      </c>
      <c r="J1" s="185"/>
      <c r="K1" s="185"/>
      <c r="L1" s="68" t="s">
        <v>505</v>
      </c>
      <c r="M1" s="186" t="s">
        <v>489</v>
      </c>
      <c r="N1" s="186"/>
      <c r="O1" s="186"/>
      <c r="P1" s="186"/>
      <c r="Q1" s="186"/>
      <c r="R1" s="183" t="s">
        <v>490</v>
      </c>
      <c r="S1" s="183"/>
      <c r="T1" s="74"/>
      <c r="U1" s="153"/>
      <c r="V1" s="187" t="s">
        <v>606</v>
      </c>
      <c r="W1" s="187"/>
      <c r="X1" s="187"/>
      <c r="Y1" s="187"/>
      <c r="Z1" s="187"/>
      <c r="AA1" s="187"/>
      <c r="AB1" s="154"/>
      <c r="AC1" s="182"/>
      <c r="AD1" s="182"/>
      <c r="AE1" s="74"/>
      <c r="AF1" s="76"/>
    </row>
    <row r="2" spans="1:32" s="16" customFormat="1" ht="18.75" x14ac:dyDescent="0.25">
      <c r="A2" s="104" t="s">
        <v>526</v>
      </c>
      <c r="B2" s="141" t="s">
        <v>481</v>
      </c>
      <c r="C2" s="142" t="s">
        <v>492</v>
      </c>
      <c r="D2" s="143" t="s">
        <v>493</v>
      </c>
      <c r="E2" s="143" t="s">
        <v>494</v>
      </c>
      <c r="F2" s="144" t="s">
        <v>495</v>
      </c>
      <c r="G2" s="145" t="s">
        <v>496</v>
      </c>
      <c r="H2" s="146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80"/>
      <c r="U2" s="77"/>
      <c r="V2" s="155" t="s">
        <v>595</v>
      </c>
      <c r="W2" s="156" t="s">
        <v>0</v>
      </c>
      <c r="X2" s="157" t="s">
        <v>500</v>
      </c>
      <c r="Y2" s="158" t="s">
        <v>506</v>
      </c>
      <c r="Z2" s="158" t="s">
        <v>596</v>
      </c>
      <c r="AA2" s="158" t="s">
        <v>597</v>
      </c>
      <c r="AB2" s="79"/>
      <c r="AC2" s="79"/>
      <c r="AD2" s="78"/>
      <c r="AE2" s="80"/>
      <c r="AF2" s="81"/>
    </row>
    <row r="3" spans="1:32" ht="19.5" x14ac:dyDescent="0.3">
      <c r="A3" s="104" t="s">
        <v>527</v>
      </c>
      <c r="B3" s="94" t="s">
        <v>52</v>
      </c>
      <c r="C3" s="96">
        <v>2.0700000000000001E-6</v>
      </c>
      <c r="D3" s="96">
        <v>4.7498147887006942E-11</v>
      </c>
      <c r="E3" s="96">
        <v>1.9976998807213682E-12</v>
      </c>
      <c r="F3" s="95">
        <v>100</v>
      </c>
      <c r="G3" s="95">
        <v>0</v>
      </c>
      <c r="H3" s="168" t="s">
        <v>607</v>
      </c>
      <c r="I3" s="137">
        <v>9.7072685899100009E-3</v>
      </c>
      <c r="J3" s="50">
        <v>4.8190985262641789E-2</v>
      </c>
      <c r="K3" s="50">
        <v>4.0618142422688581E-3</v>
      </c>
      <c r="L3" s="67">
        <v>5.3547168853239076E-2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02"/>
      <c r="V3" s="159">
        <f>I3*10</f>
        <v>9.7072685899100009E-2</v>
      </c>
      <c r="W3" s="160">
        <f>J3</f>
        <v>4.8190985262641789E-2</v>
      </c>
      <c r="X3" s="160">
        <f t="shared" ref="X3:Y66" si="0">K3</f>
        <v>4.0618142422688581E-3</v>
      </c>
      <c r="Y3" s="160">
        <f>L3</f>
        <v>5.3547168853239076E-2</v>
      </c>
      <c r="Z3" s="161">
        <f>(R3-125.11)/10</f>
        <v>-13.511000000000001</v>
      </c>
      <c r="AA3" s="161">
        <f>S3*100</f>
        <v>2.0700000000000002E-4</v>
      </c>
    </row>
    <row r="4" spans="1:32" ht="20.25" x14ac:dyDescent="0.35">
      <c r="A4" s="104" t="s">
        <v>528</v>
      </c>
      <c r="B4" s="170" t="s">
        <v>594</v>
      </c>
      <c r="C4" s="96">
        <v>3.1999999999999999E-6</v>
      </c>
      <c r="D4" s="96">
        <v>2.5307649463664093E-11</v>
      </c>
      <c r="E4" s="96">
        <v>1.486857631694136E-12</v>
      </c>
      <c r="F4" s="95">
        <f>F25</f>
        <v>15.604611609437757</v>
      </c>
      <c r="G4" s="95">
        <v>5</v>
      </c>
      <c r="H4" s="120">
        <f>((H$14-1)*C$10+H20)/H$14</f>
        <v>-1.0650279686805421E-7</v>
      </c>
      <c r="I4" s="137">
        <v>9.9014139617099994E-3</v>
      </c>
      <c r="J4" s="50">
        <v>4.7536210607849863E-2</v>
      </c>
      <c r="K4" s="50">
        <v>3.8032625560787989E-3</v>
      </c>
      <c r="L4" s="67">
        <v>5.1445979789893702E-2</v>
      </c>
      <c r="M4" s="27"/>
      <c r="N4" s="18">
        <v>4.420634466826037E-9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82"/>
      <c r="V4" s="159">
        <f t="shared" ref="V4:V67" si="1">I4*10</f>
        <v>9.9014139617099997E-2</v>
      </c>
      <c r="W4" s="160">
        <f t="shared" ref="W4:Y67" si="2">J4</f>
        <v>4.7536210607849863E-2</v>
      </c>
      <c r="X4" s="160">
        <f t="shared" si="0"/>
        <v>3.8032625560787989E-3</v>
      </c>
      <c r="Y4" s="160">
        <f t="shared" si="0"/>
        <v>5.1445979789893702E-2</v>
      </c>
      <c r="Z4" s="161">
        <f t="shared" ref="Z4:Z67" si="3">(R4-125.11)/10</f>
        <v>-2.5110000000000001</v>
      </c>
      <c r="AA4" s="161">
        <f t="shared" ref="AA4:AA67" si="4">S4*100</f>
        <v>2.0700000000000002E-4</v>
      </c>
    </row>
    <row r="5" spans="1:32" ht="19.5" x14ac:dyDescent="0.3">
      <c r="A5" s="105"/>
      <c r="B5" s="21" t="s">
        <v>539</v>
      </c>
      <c r="C5" s="118">
        <v>8.9999999999999996E-7</v>
      </c>
      <c r="D5" s="118">
        <v>1.5392483148537927E-10</v>
      </c>
      <c r="E5" s="118">
        <v>5.0509225500401457E-8</v>
      </c>
      <c r="F5" s="119">
        <f>F24</f>
        <v>10.837373630725429</v>
      </c>
      <c r="G5" s="39">
        <f>F5</f>
        <v>10.837373630725429</v>
      </c>
      <c r="H5" s="168" t="s">
        <v>608</v>
      </c>
      <c r="I5" s="137">
        <v>1.00994422409E-2</v>
      </c>
      <c r="J5" s="50">
        <v>4.2367647681195227E-2</v>
      </c>
      <c r="K5" s="50">
        <v>3.5484908165435724E-3</v>
      </c>
      <c r="L5" s="67">
        <v>4.9385366984588737E-2</v>
      </c>
      <c r="M5" s="27"/>
      <c r="N5" s="18">
        <v>3.6414044625191582E-8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2.0744206344668262E-6</v>
      </c>
      <c r="U5" s="82"/>
      <c r="V5" s="159">
        <f t="shared" si="1"/>
        <v>0.100994422409</v>
      </c>
      <c r="W5" s="160">
        <f t="shared" si="2"/>
        <v>4.2367647681195227E-2</v>
      </c>
      <c r="X5" s="160">
        <f t="shared" si="0"/>
        <v>3.5484908165435724E-3</v>
      </c>
      <c r="Y5" s="160">
        <f t="shared" si="0"/>
        <v>4.9385366984588737E-2</v>
      </c>
      <c r="Z5" s="161">
        <f t="shared" si="3"/>
        <v>-2.5110000000000001</v>
      </c>
      <c r="AA5" s="161">
        <f t="shared" si="4"/>
        <v>2.0744206344668262E-4</v>
      </c>
    </row>
    <row r="6" spans="1:32" x14ac:dyDescent="0.25">
      <c r="B6" s="117" t="s">
        <v>610</v>
      </c>
      <c r="C6" s="118">
        <f>H4</f>
        <v>-1.0650279686805421E-7</v>
      </c>
      <c r="D6" s="118">
        <v>1.5392483148537927E-10</v>
      </c>
      <c r="E6" s="118">
        <v>5.0509225500401457E-8</v>
      </c>
      <c r="F6" s="119">
        <f>F23*H14</f>
        <v>242.689862120143</v>
      </c>
      <c r="G6" s="39">
        <f>F5</f>
        <v>10.837373630725429</v>
      </c>
      <c r="H6" s="120">
        <f>((H$14-1)*C$10+H22)/H$14</f>
        <v>4.6397349206880264E-7</v>
      </c>
      <c r="I6" s="137">
        <v>1.0301431085800001E-2</v>
      </c>
      <c r="J6" s="50">
        <v>4.2042961390653132E-2</v>
      </c>
      <c r="K6" s="50">
        <v>3.0334801545016474E-3</v>
      </c>
      <c r="L6" s="67">
        <v>4.7364858523407098E-2</v>
      </c>
      <c r="M6" s="27"/>
      <c r="N6" s="18">
        <v>8.2697316436853693E-8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2.0744206344668262E-6</v>
      </c>
      <c r="U6" s="82"/>
      <c r="V6" s="159">
        <f t="shared" si="1"/>
        <v>0.103014310858</v>
      </c>
      <c r="W6" s="160">
        <f t="shared" si="2"/>
        <v>4.2042961390653132E-2</v>
      </c>
      <c r="X6" s="160">
        <f t="shared" si="0"/>
        <v>3.0334801545016474E-3</v>
      </c>
      <c r="Y6" s="160">
        <f t="shared" si="0"/>
        <v>4.7364858523407098E-2</v>
      </c>
      <c r="Z6" s="161">
        <f t="shared" si="3"/>
        <v>-2.338891841192587</v>
      </c>
      <c r="AA6" s="161">
        <f t="shared" si="4"/>
        <v>2.0744206344668262E-4</v>
      </c>
    </row>
    <row r="7" spans="1:32" ht="19.5" x14ac:dyDescent="0.3">
      <c r="A7" s="72" t="s">
        <v>529</v>
      </c>
      <c r="B7" s="121" t="s">
        <v>655</v>
      </c>
      <c r="C7" s="122">
        <f>H16*C10+(1-H16)*H22</f>
        <v>4.6397349206880259E-7</v>
      </c>
      <c r="D7" s="123">
        <v>7.9300000000000003E-12</v>
      </c>
      <c r="E7" s="123">
        <v>3.6399999999999998E-10</v>
      </c>
      <c r="F7" s="169">
        <f>F22*H14</f>
        <v>131.17908120155212</v>
      </c>
      <c r="G7" s="134">
        <v>119.23184698915308</v>
      </c>
      <c r="H7" s="127" t="s">
        <v>609</v>
      </c>
      <c r="I7" s="137">
        <v>1.05074597075E-2</v>
      </c>
      <c r="J7" s="50">
        <v>4.3899754760220809E-2</v>
      </c>
      <c r="K7" s="50">
        <v>2.9202395608834883E-3</v>
      </c>
      <c r="L7" s="67">
        <v>4.5388724266754749E-2</v>
      </c>
      <c r="M7" s="27"/>
      <c r="N7" s="18">
        <v>1.3506925986368902E-7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2.1064140446251916E-6</v>
      </c>
      <c r="U7" s="82"/>
      <c r="V7" s="159">
        <f t="shared" si="1"/>
        <v>0.105074597075</v>
      </c>
      <c r="W7" s="160">
        <f t="shared" si="2"/>
        <v>4.3899754760220809E-2</v>
      </c>
      <c r="X7" s="160">
        <f t="shared" si="0"/>
        <v>2.9202395608834883E-3</v>
      </c>
      <c r="Y7" s="160">
        <f t="shared" si="0"/>
        <v>4.5388724266754749E-2</v>
      </c>
      <c r="Z7" s="161">
        <f t="shared" si="3"/>
        <v>-2.338891841192587</v>
      </c>
      <c r="AA7" s="161">
        <f t="shared" si="4"/>
        <v>2.1064140446251916E-4</v>
      </c>
    </row>
    <row r="8" spans="1:32" x14ac:dyDescent="0.25">
      <c r="A8" s="106" t="b">
        <v>0</v>
      </c>
      <c r="B8" s="117" t="s">
        <v>610</v>
      </c>
      <c r="C8" s="118">
        <f>H4</f>
        <v>-1.0650279686805421E-7</v>
      </c>
      <c r="D8" s="118">
        <v>1.5392483148537927E-10</v>
      </c>
      <c r="E8" s="118">
        <v>5.0509225500401457E-8</v>
      </c>
      <c r="F8" s="119">
        <f>F21*H14</f>
        <v>165.62001143991327</v>
      </c>
      <c r="G8" s="119">
        <f>G7</f>
        <v>119.23184698915308</v>
      </c>
      <c r="H8" s="128">
        <f>H24</f>
        <v>26.396624599877441</v>
      </c>
      <c r="I8" s="137">
        <v>1.07176089016E-2</v>
      </c>
      <c r="J8" s="50">
        <v>4.1853580350273395E-2</v>
      </c>
      <c r="K8" s="50">
        <v>2.658215841727402E-3</v>
      </c>
      <c r="L8" s="67">
        <v>4.3455320111917099E-2</v>
      </c>
      <c r="M8" s="27"/>
      <c r="N8" s="18">
        <v>1.9034000005544272E-7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2.1064140446251916E-6</v>
      </c>
      <c r="U8" s="82"/>
      <c r="V8" s="159">
        <f t="shared" si="1"/>
        <v>0.107176089016</v>
      </c>
      <c r="W8" s="160">
        <f t="shared" si="2"/>
        <v>4.1853580350273395E-2</v>
      </c>
      <c r="X8" s="160">
        <f t="shared" si="0"/>
        <v>2.658215841727402E-3</v>
      </c>
      <c r="Y8" s="160">
        <f t="shared" si="0"/>
        <v>4.3455320111917099E-2</v>
      </c>
      <c r="Z8" s="161">
        <f t="shared" si="3"/>
        <v>-2.2107329536551985</v>
      </c>
      <c r="AA8" s="161">
        <f t="shared" si="4"/>
        <v>2.1064140446251916E-4</v>
      </c>
    </row>
    <row r="9" spans="1:32" ht="19.5" x14ac:dyDescent="0.3">
      <c r="A9" s="72" t="s">
        <v>522</v>
      </c>
      <c r="B9" s="121" t="s">
        <v>656</v>
      </c>
      <c r="C9" s="123">
        <f>H16*C10+(1-H16)*C20</f>
        <v>1.029728022176272E-7</v>
      </c>
      <c r="D9" s="123">
        <v>1.5392483148537927E-10</v>
      </c>
      <c r="E9" s="123">
        <v>5.0509225500401457E-8</v>
      </c>
      <c r="F9" s="125">
        <f>F20*H14</f>
        <v>770.69850680229774</v>
      </c>
      <c r="G9" s="125">
        <f>F8</f>
        <v>165.62001143991327</v>
      </c>
      <c r="H9" s="127" t="s">
        <v>611</v>
      </c>
      <c r="I9" s="137">
        <v>1.0931961079700001E-2</v>
      </c>
      <c r="J9" s="50">
        <v>3.5959634329804709E-2</v>
      </c>
      <c r="K9" s="50">
        <v>2.3080414178436857E-3</v>
      </c>
      <c r="L9" s="67">
        <v>4.1561698709730414E-2</v>
      </c>
      <c r="M9" s="27"/>
      <c r="N9" s="18">
        <v>2.4704923762613688E-7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2.1526973164368536E-6</v>
      </c>
      <c r="U9" s="82"/>
      <c r="V9" s="159">
        <f t="shared" si="1"/>
        <v>0.10931961079700001</v>
      </c>
      <c r="W9" s="160">
        <f t="shared" si="2"/>
        <v>3.5959634329804709E-2</v>
      </c>
      <c r="X9" s="160">
        <f t="shared" si="0"/>
        <v>2.3080414178436857E-3</v>
      </c>
      <c r="Y9" s="160">
        <f t="shared" si="0"/>
        <v>4.1561698709730414E-2</v>
      </c>
      <c r="Z9" s="161">
        <f t="shared" si="3"/>
        <v>-2.2107329536551985</v>
      </c>
      <c r="AA9" s="161">
        <f t="shared" si="4"/>
        <v>2.1526973164368536E-4</v>
      </c>
    </row>
    <row r="10" spans="1:32" x14ac:dyDescent="0.25">
      <c r="A10" s="73">
        <v>6.4681741529254912</v>
      </c>
      <c r="B10" s="170" t="s">
        <v>546</v>
      </c>
      <c r="C10" s="140">
        <v>-5.6000000000000004E-7</v>
      </c>
      <c r="D10" s="140">
        <v>1.2366419808836742E-10</v>
      </c>
      <c r="E10" s="140">
        <v>5.3639993783027661E-8</v>
      </c>
      <c r="F10" s="95">
        <v>750</v>
      </c>
      <c r="G10" s="135">
        <v>613.4</v>
      </c>
      <c r="H10" s="128">
        <f>H26*H14</f>
        <v>385.34925340114887</v>
      </c>
      <c r="I10" s="137">
        <v>1.1150600301300001E-2</v>
      </c>
      <c r="J10" s="50">
        <v>3.415138027095807E-2</v>
      </c>
      <c r="K10" s="50">
        <v>2.0953598931152092E-3</v>
      </c>
      <c r="L10" s="67">
        <v>3.9704672525216284E-2</v>
      </c>
      <c r="M10" s="27"/>
      <c r="N10" s="18">
        <v>3.0446899647238756E-7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2.1526973164368536E-6</v>
      </c>
      <c r="U10" s="82"/>
      <c r="V10" s="159">
        <f t="shared" si="1"/>
        <v>0.11150600301300001</v>
      </c>
      <c r="W10" s="160">
        <f t="shared" si="2"/>
        <v>3.415138027095807E-2</v>
      </c>
      <c r="X10" s="160">
        <f t="shared" si="0"/>
        <v>2.0953598931152092E-3</v>
      </c>
      <c r="Y10" s="160">
        <f t="shared" si="0"/>
        <v>3.9704672525216284E-2</v>
      </c>
      <c r="Z10" s="161">
        <f t="shared" si="3"/>
        <v>-2.1394152348528492</v>
      </c>
      <c r="AA10" s="161">
        <f t="shared" si="4"/>
        <v>2.1526973164368536E-4</v>
      </c>
    </row>
    <row r="11" spans="1:32" ht="19.5" x14ac:dyDescent="0.3">
      <c r="C11" s="19"/>
      <c r="H11" s="127" t="s">
        <v>612</v>
      </c>
      <c r="I11" s="137">
        <v>1.13736123073E-2</v>
      </c>
      <c r="J11" s="50">
        <v>3.4088296464991542E-2</v>
      </c>
      <c r="K11" s="50">
        <v>1.9677299483316685E-3</v>
      </c>
      <c r="L11" s="67">
        <v>3.7880914456016067E-2</v>
      </c>
      <c r="M11" s="27"/>
      <c r="N11" s="18">
        <v>3.6222326296149097E-7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2.2050692598636893E-6</v>
      </c>
      <c r="U11" s="82"/>
      <c r="V11" s="159">
        <f t="shared" si="1"/>
        <v>0.11373612307299999</v>
      </c>
      <c r="W11" s="160">
        <f t="shared" si="2"/>
        <v>3.4088296464991542E-2</v>
      </c>
      <c r="X11" s="160">
        <f t="shared" si="0"/>
        <v>1.9677299483316685E-3</v>
      </c>
      <c r="Y11" s="160">
        <f t="shared" si="0"/>
        <v>3.7880914456016067E-2</v>
      </c>
      <c r="Z11" s="161">
        <f t="shared" si="3"/>
        <v>-2.1394152348528492</v>
      </c>
      <c r="AA11" s="161">
        <f t="shared" si="4"/>
        <v>2.2050692598636891E-4</v>
      </c>
    </row>
    <row r="12" spans="1:32" ht="19.5" x14ac:dyDescent="0.3">
      <c r="A12" s="97" t="s">
        <v>515</v>
      </c>
      <c r="C12" s="19"/>
      <c r="H12" s="128">
        <f>SUM(F6:F9)</f>
        <v>1310.1874615639063</v>
      </c>
      <c r="I12" s="137">
        <v>1.1601084553400001E-2</v>
      </c>
      <c r="J12" s="50">
        <v>3.596820331421801E-2</v>
      </c>
      <c r="K12" s="50">
        <v>1.9256440999368381E-3</v>
      </c>
      <c r="L12" s="67">
        <v>3.6087118906564755E-2</v>
      </c>
      <c r="M12" s="27"/>
      <c r="N12" s="18">
        <v>4.2011934585924942E-7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2.2050692598636893E-6</v>
      </c>
      <c r="U12" s="82"/>
      <c r="V12" s="159">
        <f t="shared" si="1"/>
        <v>0.11601084553400001</v>
      </c>
      <c r="W12" s="160">
        <f t="shared" si="2"/>
        <v>3.596820331421801E-2</v>
      </c>
      <c r="X12" s="160">
        <f t="shared" si="0"/>
        <v>1.9256440999368381E-3</v>
      </c>
      <c r="Y12" s="160">
        <f t="shared" si="0"/>
        <v>3.6087118906564755E-2</v>
      </c>
      <c r="Z12" s="161">
        <f t="shared" si="3"/>
        <v>-2.0871629638661857</v>
      </c>
      <c r="AA12" s="161">
        <f t="shared" si="4"/>
        <v>2.2050692598636891E-4</v>
      </c>
    </row>
    <row r="13" spans="1:32" ht="18.75" x14ac:dyDescent="0.25">
      <c r="A13" s="100">
        <v>2.0000000000000001E-4</v>
      </c>
      <c r="C13" s="19"/>
      <c r="H13" s="166" t="s">
        <v>613</v>
      </c>
      <c r="I13" s="137">
        <v>1.18331062445E-2</v>
      </c>
      <c r="J13" s="50">
        <v>3.3533030046164002E-2</v>
      </c>
      <c r="K13" s="50">
        <v>1.7613961844164892E-3</v>
      </c>
      <c r="L13" s="67">
        <v>3.4320222585238772E-2</v>
      </c>
      <c r="M13" s="27"/>
      <c r="N13" s="18">
        <v>4.7806455346106161E-7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2.260340000055443E-6</v>
      </c>
      <c r="U13" s="82"/>
      <c r="V13" s="159">
        <f t="shared" si="1"/>
        <v>0.118331062445</v>
      </c>
      <c r="W13" s="160">
        <f t="shared" si="2"/>
        <v>3.3533030046164002E-2</v>
      </c>
      <c r="X13" s="160">
        <f t="shared" si="0"/>
        <v>1.7613961844164892E-3</v>
      </c>
      <c r="Y13" s="160">
        <f t="shared" si="0"/>
        <v>3.4320222585238772E-2</v>
      </c>
      <c r="Z13" s="161">
        <f t="shared" si="3"/>
        <v>-2.0871629638661857</v>
      </c>
      <c r="AA13" s="161">
        <f t="shared" si="4"/>
        <v>2.260340000055443E-4</v>
      </c>
    </row>
    <row r="14" spans="1:32" ht="17.25" x14ac:dyDescent="0.3">
      <c r="A14" s="97" t="s">
        <v>517</v>
      </c>
      <c r="B14" s="129"/>
      <c r="C14" s="130"/>
      <c r="D14" s="130"/>
      <c r="E14" s="130"/>
      <c r="F14" s="130"/>
      <c r="G14" s="130"/>
      <c r="H14" s="171">
        <v>2.9181735072131159</v>
      </c>
      <c r="I14" s="137">
        <v>1.20697683694E-2</v>
      </c>
      <c r="J14" s="50">
        <v>3.0365360908982914E-2</v>
      </c>
      <c r="K14" s="50">
        <v>1.3850436857829132E-3</v>
      </c>
      <c r="L14" s="67">
        <v>3.2577675659007758E-2</v>
      </c>
      <c r="M14" s="27"/>
      <c r="N14" s="18">
        <v>5.360210967765956E-7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2.260340000055443E-6</v>
      </c>
      <c r="U14" s="82"/>
      <c r="V14" s="159">
        <f t="shared" si="1"/>
        <v>0.120697683694</v>
      </c>
      <c r="W14" s="160">
        <f t="shared" si="2"/>
        <v>3.0365360908982914E-2</v>
      </c>
      <c r="X14" s="160">
        <f t="shared" si="0"/>
        <v>1.3850436857829132E-3</v>
      </c>
      <c r="Y14" s="160">
        <f t="shared" si="0"/>
        <v>3.2577675659007758E-2</v>
      </c>
      <c r="Z14" s="161">
        <f t="shared" si="3"/>
        <v>-2.0446407810643237</v>
      </c>
      <c r="AA14" s="161">
        <f t="shared" si="4"/>
        <v>2.260340000055443E-4</v>
      </c>
    </row>
    <row r="15" spans="1:32" ht="18.75" x14ac:dyDescent="0.25">
      <c r="A15" s="150">
        <v>2.3E-2</v>
      </c>
      <c r="B15" s="129"/>
      <c r="C15" s="130"/>
      <c r="D15" s="130"/>
      <c r="E15" s="130"/>
      <c r="F15" s="130"/>
      <c r="G15" s="130"/>
      <c r="H15" s="126" t="s">
        <v>614</v>
      </c>
      <c r="I15" s="137">
        <v>1.2311163736799999E-2</v>
      </c>
      <c r="J15" s="50">
        <v>3.2443002787420717E-2</v>
      </c>
      <c r="K15" s="50">
        <v>2.7894804286466833E-3</v>
      </c>
      <c r="L15" s="67">
        <v>3.0857743290923039E-2</v>
      </c>
      <c r="M15" s="27"/>
      <c r="N15" s="18">
        <v>6.0167881656920552E-7</v>
      </c>
      <c r="O15" s="18">
        <v>3.571610745034529E-11</v>
      </c>
      <c r="P15" s="18">
        <v>2.2002251003321772E-11</v>
      </c>
      <c r="Q15" s="28">
        <v>0.35465026385085813</v>
      </c>
      <c r="R15" s="61">
        <v>104.66359218935676</v>
      </c>
      <c r="S15" s="58">
        <v>2.3170492376261371E-6</v>
      </c>
      <c r="U15" s="82"/>
      <c r="V15" s="159">
        <f t="shared" si="1"/>
        <v>0.12311163736799999</v>
      </c>
      <c r="W15" s="160">
        <f t="shared" si="2"/>
        <v>3.2443002787420717E-2</v>
      </c>
      <c r="X15" s="160">
        <f t="shared" si="0"/>
        <v>2.7894804286466833E-3</v>
      </c>
      <c r="Y15" s="160">
        <f t="shared" si="0"/>
        <v>3.0857743290923039E-2</v>
      </c>
      <c r="Z15" s="161">
        <f t="shared" si="3"/>
        <v>-2.0446407810643237</v>
      </c>
      <c r="AA15" s="161">
        <f t="shared" si="4"/>
        <v>2.3170492376261371E-4</v>
      </c>
    </row>
    <row r="16" spans="1:32" x14ac:dyDescent="0.25">
      <c r="A16" s="98" t="s">
        <v>516</v>
      </c>
      <c r="B16" s="136"/>
      <c r="C16" s="130"/>
      <c r="D16" s="130"/>
      <c r="E16" s="130"/>
      <c r="F16" s="130"/>
      <c r="G16" s="130"/>
      <c r="H16" s="172">
        <f>1-1/H14</f>
        <v>0.65731989632274823</v>
      </c>
      <c r="I16" s="137">
        <v>1.25573870115E-2</v>
      </c>
      <c r="J16" s="50">
        <v>3.1525578990049132E-2</v>
      </c>
      <c r="K16" s="50">
        <v>2.6383108420113869E-3</v>
      </c>
      <c r="L16" s="67">
        <v>2.9159806062083564E-2</v>
      </c>
      <c r="M16" s="27"/>
      <c r="N16" s="18">
        <v>7.1143663777632624E-7</v>
      </c>
      <c r="O16" s="18">
        <v>3.3577759315655541E-11</v>
      </c>
      <c r="P16" s="18">
        <v>3.2261585234523479E-11</v>
      </c>
      <c r="Q16" s="28">
        <v>0.70930052770171625</v>
      </c>
      <c r="R16" s="61">
        <v>105.03077359861321</v>
      </c>
      <c r="S16" s="58">
        <v>2.3170492376261371E-6</v>
      </c>
      <c r="U16" s="82"/>
      <c r="V16" s="159">
        <f t="shared" si="1"/>
        <v>0.12557387011500001</v>
      </c>
      <c r="W16" s="160">
        <f t="shared" si="2"/>
        <v>3.1525578990049132E-2</v>
      </c>
      <c r="X16" s="160">
        <f t="shared" si="0"/>
        <v>2.6383108420113869E-3</v>
      </c>
      <c r="Y16" s="160">
        <f t="shared" si="0"/>
        <v>2.9159806062083564E-2</v>
      </c>
      <c r="Z16" s="161">
        <f t="shared" si="3"/>
        <v>-2.0079226401386792</v>
      </c>
      <c r="AA16" s="161">
        <f t="shared" si="4"/>
        <v>2.3170492376261371E-4</v>
      </c>
    </row>
    <row r="17" spans="1:32" x14ac:dyDescent="0.25">
      <c r="A17" s="99">
        <v>4.25</v>
      </c>
      <c r="I17" s="137">
        <v>1.2808534751700001E-2</v>
      </c>
      <c r="J17" s="50">
        <v>2.5496260978349304E-2</v>
      </c>
      <c r="K17" s="50">
        <v>2.1483613737927486E-3</v>
      </c>
      <c r="L17" s="67">
        <v>2.7486844941177663E-2</v>
      </c>
      <c r="M17" s="27"/>
      <c r="N17" s="18">
        <v>8.428250808041693E-7</v>
      </c>
      <c r="O17" s="18">
        <v>3.1032814010507679E-11</v>
      </c>
      <c r="P17" s="18">
        <v>5.3512108287987325E-11</v>
      </c>
      <c r="Q17" s="28">
        <v>0.70930052770171625</v>
      </c>
      <c r="R17" s="61">
        <v>105.03077359861321</v>
      </c>
      <c r="S17" s="58">
        <v>2.3744689964723878E-6</v>
      </c>
      <c r="U17" s="82"/>
      <c r="V17" s="159">
        <f t="shared" si="1"/>
        <v>0.12808534751700001</v>
      </c>
      <c r="W17" s="160">
        <f t="shared" si="2"/>
        <v>2.5496260978349304E-2</v>
      </c>
      <c r="X17" s="160">
        <f t="shared" si="0"/>
        <v>2.1483613737927486E-3</v>
      </c>
      <c r="Y17" s="160">
        <f t="shared" si="0"/>
        <v>2.7486844941177663E-2</v>
      </c>
      <c r="Z17" s="161">
        <f t="shared" si="3"/>
        <v>-2.0079226401386792</v>
      </c>
      <c r="AA17" s="161">
        <f t="shared" si="4"/>
        <v>2.3744689964723878E-4</v>
      </c>
    </row>
    <row r="18" spans="1:32" x14ac:dyDescent="0.25">
      <c r="B18" s="181" t="s">
        <v>593</v>
      </c>
      <c r="C18" s="181"/>
      <c r="D18" s="181"/>
      <c r="E18" s="181"/>
      <c r="F18" s="181"/>
      <c r="G18" s="181"/>
      <c r="H18" s="173"/>
      <c r="I18" s="137">
        <v>1.3064705446799999E-2</v>
      </c>
      <c r="J18" s="50">
        <v>2.6833315891142358E-2</v>
      </c>
      <c r="K18" s="50">
        <v>2.182464847853954E-3</v>
      </c>
      <c r="L18" s="67">
        <v>2.5836430925777556E-2</v>
      </c>
      <c r="N18" s="18">
        <v>9.4737056977470141E-7</v>
      </c>
      <c r="O18" s="18">
        <v>2.9036354660657086E-11</v>
      </c>
      <c r="P18" s="18">
        <v>8.7699119343936199E-11</v>
      </c>
      <c r="Q18" s="28">
        <v>0.70930052770171625</v>
      </c>
      <c r="R18" s="61">
        <v>105.36062844830079</v>
      </c>
      <c r="S18" s="58">
        <v>2.3744689964723878E-6</v>
      </c>
      <c r="U18" s="82"/>
      <c r="V18" s="159">
        <f t="shared" si="1"/>
        <v>0.13064705446799998</v>
      </c>
      <c r="W18" s="160">
        <f t="shared" si="2"/>
        <v>2.6833315891142358E-2</v>
      </c>
      <c r="X18" s="160">
        <f t="shared" si="0"/>
        <v>2.182464847853954E-3</v>
      </c>
      <c r="Y18" s="160">
        <f t="shared" si="0"/>
        <v>2.5836430925777556E-2</v>
      </c>
      <c r="Z18" s="161">
        <f t="shared" si="3"/>
        <v>-1.9749371551699213</v>
      </c>
      <c r="AA18" s="161">
        <f t="shared" si="4"/>
        <v>2.3744689964723878E-4</v>
      </c>
    </row>
    <row r="19" spans="1:32" ht="19.5" x14ac:dyDescent="0.3">
      <c r="B19" s="94" t="s">
        <v>615</v>
      </c>
      <c r="C19" s="151">
        <v>0</v>
      </c>
      <c r="D19" s="151">
        <v>0</v>
      </c>
      <c r="E19" s="151">
        <v>0</v>
      </c>
      <c r="F19" s="95">
        <v>100</v>
      </c>
      <c r="G19" s="95">
        <v>0</v>
      </c>
      <c r="H19" s="168" t="s">
        <v>616</v>
      </c>
      <c r="I19" s="137">
        <v>1.33259995557E-2</v>
      </c>
      <c r="J19" s="50">
        <v>2.3565054021369353E-2</v>
      </c>
      <c r="K19" s="50">
        <v>1.8985401691711359E-3</v>
      </c>
      <c r="L19" s="67">
        <v>2.4214919424617808E-2</v>
      </c>
      <c r="N19" s="18">
        <v>1.021080796894988E-6</v>
      </c>
      <c r="O19" s="18">
        <v>2.7677604081573943E-11</v>
      </c>
      <c r="P19" s="18">
        <v>1.4137507055564422E-10</v>
      </c>
      <c r="Q19" s="28">
        <v>0.70930052770171625</v>
      </c>
      <c r="R19" s="61">
        <v>105.36062844830079</v>
      </c>
      <c r="S19" s="58">
        <v>2.4322232629614909E-6</v>
      </c>
      <c r="U19" s="82"/>
      <c r="V19" s="159">
        <f t="shared" si="1"/>
        <v>0.13325999555699999</v>
      </c>
      <c r="W19" s="160">
        <f t="shared" si="2"/>
        <v>2.3565054021369353E-2</v>
      </c>
      <c r="X19" s="160">
        <f t="shared" si="0"/>
        <v>1.8985401691711359E-3</v>
      </c>
      <c r="Y19" s="160">
        <f t="shared" si="0"/>
        <v>2.4214919424617808E-2</v>
      </c>
      <c r="Z19" s="161">
        <f t="shared" si="3"/>
        <v>-1.9749371551699213</v>
      </c>
      <c r="AA19" s="161">
        <f t="shared" si="4"/>
        <v>2.4322232629614909E-4</v>
      </c>
    </row>
    <row r="20" spans="1:32" x14ac:dyDescent="0.25">
      <c r="B20" s="121" t="s">
        <v>656</v>
      </c>
      <c r="C20" s="123">
        <f>H20+(1/5)*(0.0000000000000001*(H36/H34)*H32*C35-H20)</f>
        <v>1.3746696674343207E-6</v>
      </c>
      <c r="D20" s="123">
        <v>1.5392483148537927E-10</v>
      </c>
      <c r="E20" s="123">
        <v>5.0509225500401457E-8</v>
      </c>
      <c r="F20" s="125">
        <f>F50*H30</f>
        <v>264.10304421491452</v>
      </c>
      <c r="G20" s="128">
        <v>169.2</v>
      </c>
      <c r="H20" s="120">
        <f>0.0000000000000001*H32*H38</f>
        <v>7.6338352377488905E-7</v>
      </c>
      <c r="I20" s="137">
        <v>1.35925195468E-2</v>
      </c>
      <c r="J20" s="50">
        <v>2.4181442625402401E-2</v>
      </c>
      <c r="K20" s="50">
        <v>1.8796776728807506E-3</v>
      </c>
      <c r="L20" s="67">
        <v>2.2627536326260491E-2</v>
      </c>
      <c r="N20" s="18">
        <v>1.0662734799881691E-6</v>
      </c>
      <c r="O20" s="18">
        <v>2.6926092458378773E-11</v>
      </c>
      <c r="P20" s="18">
        <v>2.2364434250452411E-10</v>
      </c>
      <c r="Q20" s="28">
        <v>0.70930052770171625</v>
      </c>
      <c r="R20" s="61">
        <v>105.66574430796707</v>
      </c>
      <c r="S20" s="58">
        <v>2.4322232629614909E-6</v>
      </c>
      <c r="U20" s="82"/>
      <c r="V20" s="159">
        <f t="shared" si="1"/>
        <v>0.135925195468</v>
      </c>
      <c r="W20" s="160">
        <f t="shared" si="2"/>
        <v>2.4181442625402401E-2</v>
      </c>
      <c r="X20" s="160">
        <f t="shared" si="0"/>
        <v>1.8796776728807506E-3</v>
      </c>
      <c r="Y20" s="160">
        <f t="shared" si="0"/>
        <v>2.2627536326260491E-2</v>
      </c>
      <c r="Z20" s="161">
        <f t="shared" si="3"/>
        <v>-1.9444255692032926</v>
      </c>
      <c r="AA20" s="161">
        <f t="shared" si="4"/>
        <v>2.4322232629614909E-4</v>
      </c>
    </row>
    <row r="21" spans="1:32" s="17" customFormat="1" ht="18.75" x14ac:dyDescent="0.25">
      <c r="A21" s="64"/>
      <c r="B21" s="117" t="s">
        <v>610</v>
      </c>
      <c r="C21" s="118">
        <f>H20</f>
        <v>7.6338352377488905E-7</v>
      </c>
      <c r="D21" s="118">
        <v>1.5392483148537927E-10</v>
      </c>
      <c r="E21" s="118">
        <v>5.0509225500401457E-8</v>
      </c>
      <c r="F21" s="119">
        <f>F51*H30-(F22-H30*F52)/2</f>
        <v>56.754682691257102</v>
      </c>
      <c r="G21" s="119">
        <f>F21</f>
        <v>56.754682691257102</v>
      </c>
      <c r="H21" s="126" t="s">
        <v>617</v>
      </c>
      <c r="I21" s="137">
        <v>1.3864369937800001E-2</v>
      </c>
      <c r="J21" s="50">
        <v>2.3284470975208367E-2</v>
      </c>
      <c r="K21" s="50">
        <v>1.7361619802973168E-3</v>
      </c>
      <c r="L21" s="67">
        <v>2.1080509040340447E-2</v>
      </c>
      <c r="M21" s="31"/>
      <c r="N21" s="18">
        <v>1.0888249357666537E-6</v>
      </c>
      <c r="O21" s="18">
        <v>2.668667262112794E-11</v>
      </c>
      <c r="P21" s="30">
        <v>3.4675993109100201E-10</v>
      </c>
      <c r="Q21" s="66">
        <v>0.70930052770171625</v>
      </c>
      <c r="R21" s="63">
        <v>105.66574430796707</v>
      </c>
      <c r="S21" s="62">
        <v>2.4901193458592496E-6</v>
      </c>
      <c r="T21" s="84"/>
      <c r="U21" s="82"/>
      <c r="V21" s="159">
        <f t="shared" si="1"/>
        <v>0.138643699378</v>
      </c>
      <c r="W21" s="160">
        <f t="shared" si="2"/>
        <v>2.3284470975208367E-2</v>
      </c>
      <c r="X21" s="160">
        <f t="shared" si="0"/>
        <v>1.7361619802973168E-3</v>
      </c>
      <c r="Y21" s="160">
        <f t="shared" si="0"/>
        <v>2.1080509040340447E-2</v>
      </c>
      <c r="Z21" s="161">
        <f t="shared" si="3"/>
        <v>-1.9444255692032926</v>
      </c>
      <c r="AA21" s="161">
        <f t="shared" si="4"/>
        <v>2.4901193458592497E-4</v>
      </c>
      <c r="AB21" s="87"/>
      <c r="AC21" s="87"/>
      <c r="AD21" s="83"/>
      <c r="AE21" s="84"/>
      <c r="AF21" s="83"/>
    </row>
    <row r="22" spans="1:32" x14ac:dyDescent="0.25">
      <c r="B22" s="121" t="s">
        <v>655</v>
      </c>
      <c r="C22" s="122">
        <f>H22</f>
        <v>2.4281323166436794E-6</v>
      </c>
      <c r="D22" s="123">
        <v>7.9300000000000003E-12</v>
      </c>
      <c r="E22" s="123">
        <v>3.6399999999999998E-10</v>
      </c>
      <c r="F22" s="124">
        <v>44.952461146434516</v>
      </c>
      <c r="G22" s="134">
        <v>45.018952166048443</v>
      </c>
      <c r="H22" s="120">
        <f>0.0000000000000001*(H40*H32*(H36/H34))</f>
        <v>2.4281323166436794E-6</v>
      </c>
      <c r="I22" s="137">
        <v>1.41416573365E-2</v>
      </c>
      <c r="J22" s="50">
        <v>1.9177794453435842E-2</v>
      </c>
      <c r="K22" s="50">
        <v>1.4330556313302829E-3</v>
      </c>
      <c r="L22" s="67">
        <v>1.9580478680681065E-2</v>
      </c>
      <c r="N22" s="18">
        <v>1.0951375280203549E-6</v>
      </c>
      <c r="O22" s="18">
        <v>2.6859970713336036E-11</v>
      </c>
      <c r="P22" s="18">
        <v>5.2666867711988864E-10</v>
      </c>
      <c r="Q22" s="28">
        <v>0.70930052770171625</v>
      </c>
      <c r="R22" s="61">
        <v>105.95463979083682</v>
      </c>
      <c r="S22" s="58">
        <v>2.4901193458592496E-6</v>
      </c>
      <c r="U22" s="82"/>
      <c r="V22" s="159">
        <f t="shared" si="1"/>
        <v>0.14141657336499999</v>
      </c>
      <c r="W22" s="160">
        <f t="shared" si="2"/>
        <v>1.9177794453435842E-2</v>
      </c>
      <c r="X22" s="160">
        <f t="shared" si="0"/>
        <v>1.4330556313302829E-3</v>
      </c>
      <c r="Y22" s="160">
        <f t="shared" si="0"/>
        <v>1.9580478680681065E-2</v>
      </c>
      <c r="Z22" s="161">
        <f t="shared" si="3"/>
        <v>-1.9155360209163177</v>
      </c>
      <c r="AA22" s="161">
        <f t="shared" si="4"/>
        <v>2.4901193458592497E-4</v>
      </c>
    </row>
    <row r="23" spans="1:32" ht="19.5" x14ac:dyDescent="0.3">
      <c r="B23" s="117" t="s">
        <v>610</v>
      </c>
      <c r="C23" s="118">
        <f>H20</f>
        <v>7.6338352377488905E-7</v>
      </c>
      <c r="D23" s="118">
        <v>1.5392483148537927E-10</v>
      </c>
      <c r="E23" s="118">
        <v>5.0509225500401457E-8</v>
      </c>
      <c r="F23" s="119">
        <f>F53*H30-(F22-H30*F52)/2</f>
        <v>83.164987112748548</v>
      </c>
      <c r="G23" s="119">
        <f>G22</f>
        <v>45.018952166048443</v>
      </c>
      <c r="H23" s="127" t="s">
        <v>618</v>
      </c>
      <c r="I23" s="137">
        <v>1.4424490483200001E-2</v>
      </c>
      <c r="J23" s="50">
        <v>1.6789107477148797E-2</v>
      </c>
      <c r="K23" s="50">
        <v>1.2533162667818655E-3</v>
      </c>
      <c r="L23" s="67">
        <v>1.813376040859957E-2</v>
      </c>
      <c r="N23" s="18">
        <v>1.090136608910834E-6</v>
      </c>
      <c r="O23" s="18">
        <v>2.7382362628125531E-11</v>
      </c>
      <c r="P23" s="18">
        <v>7.834002150686707E-10</v>
      </c>
      <c r="Q23" s="28">
        <v>0.70930052770171625</v>
      </c>
      <c r="R23" s="61">
        <v>105.95463979083682</v>
      </c>
      <c r="S23" s="58">
        <v>2.5480645534610619E-6</v>
      </c>
      <c r="U23" s="82"/>
      <c r="V23" s="159">
        <f t="shared" si="1"/>
        <v>0.144244904832</v>
      </c>
      <c r="W23" s="160">
        <f t="shared" si="2"/>
        <v>1.6789107477148797E-2</v>
      </c>
      <c r="X23" s="160">
        <f t="shared" si="0"/>
        <v>1.2533162667818655E-3</v>
      </c>
      <c r="Y23" s="160">
        <f t="shared" si="0"/>
        <v>1.813376040859957E-2</v>
      </c>
      <c r="Z23" s="161">
        <f t="shared" si="3"/>
        <v>-1.9155360209163177</v>
      </c>
      <c r="AA23" s="161">
        <f t="shared" si="4"/>
        <v>2.548064553461062E-4</v>
      </c>
    </row>
    <row r="24" spans="1:32" x14ac:dyDescent="0.25">
      <c r="B24" s="21" t="s">
        <v>539</v>
      </c>
      <c r="C24" s="118">
        <f>C54</f>
        <v>8.9999999999999996E-7</v>
      </c>
      <c r="D24" s="118">
        <f t="shared" ref="D24:E24" si="5">D55</f>
        <v>2.5307649463664093E-11</v>
      </c>
      <c r="E24" s="118">
        <f t="shared" si="5"/>
        <v>1.486857631694136E-12</v>
      </c>
      <c r="F24" s="134">
        <v>10.837373630725429</v>
      </c>
      <c r="G24" s="119">
        <f>F24</f>
        <v>10.837373630725429</v>
      </c>
      <c r="H24" s="128">
        <f>H54</f>
        <v>26.396624599877441</v>
      </c>
      <c r="I24" s="137">
        <v>1.47129802929E-2</v>
      </c>
      <c r="J24" s="50">
        <v>1.6321976127822532E-2</v>
      </c>
      <c r="K24" s="50">
        <v>1.1925751511367502E-3</v>
      </c>
      <c r="L24" s="67">
        <v>1.6745553569395635E-2</v>
      </c>
      <c r="N24" s="18">
        <v>1.0766071492555918E-6</v>
      </c>
      <c r="O24" s="18">
        <v>2.8239172112386721E-11</v>
      </c>
      <c r="P24" s="18">
        <v>1.1411708329043236E-9</v>
      </c>
      <c r="Q24" s="28">
        <v>0.70930052770171625</v>
      </c>
      <c r="R24" s="61">
        <v>106.23365761646924</v>
      </c>
      <c r="S24" s="58">
        <v>2.5480645534610619E-6</v>
      </c>
      <c r="U24" s="82"/>
      <c r="V24" s="159">
        <f t="shared" si="1"/>
        <v>0.14712980292899999</v>
      </c>
      <c r="W24" s="160">
        <f t="shared" si="2"/>
        <v>1.6321976127822532E-2</v>
      </c>
      <c r="X24" s="160">
        <f t="shared" si="0"/>
        <v>1.1925751511367502E-3</v>
      </c>
      <c r="Y24" s="160">
        <f t="shared" si="0"/>
        <v>1.6745553569395635E-2</v>
      </c>
      <c r="Z24" s="161">
        <f t="shared" si="3"/>
        <v>-1.8876342383530755</v>
      </c>
      <c r="AA24" s="161">
        <f t="shared" si="4"/>
        <v>2.548064553461062E-4</v>
      </c>
    </row>
    <row r="25" spans="1:32" ht="20.25" x14ac:dyDescent="0.35">
      <c r="B25" s="170" t="s">
        <v>594</v>
      </c>
      <c r="C25" s="96">
        <v>3.1999999999999999E-6</v>
      </c>
      <c r="D25" s="96">
        <v>2.5307649463664093E-11</v>
      </c>
      <c r="E25" s="96">
        <v>1.486857631694136E-12</v>
      </c>
      <c r="F25" s="124">
        <v>15.604611609437757</v>
      </c>
      <c r="G25" s="152">
        <f>F24</f>
        <v>10.837373630725429</v>
      </c>
      <c r="H25" s="127" t="s">
        <v>619</v>
      </c>
      <c r="I25" s="137">
        <v>1.50072398988E-2</v>
      </c>
      <c r="J25" s="50">
        <v>1.4239028081938653E-2</v>
      </c>
      <c r="K25" s="50">
        <v>1.0195512311355407E-3</v>
      </c>
      <c r="L25" s="67">
        <v>1.5417304040348433E-2</v>
      </c>
      <c r="N25" s="18">
        <v>1.0554566018365902E-6</v>
      </c>
      <c r="O25" s="18">
        <v>2.9458979673903948E-11</v>
      </c>
      <c r="P25" s="18">
        <v>1.6280631355587823E-9</v>
      </c>
      <c r="Q25" s="28">
        <v>0.70930052770171625</v>
      </c>
      <c r="R25" s="61">
        <v>106.23365761646924</v>
      </c>
      <c r="S25" s="58">
        <v>2.6060210967765958E-6</v>
      </c>
      <c r="U25" s="82"/>
      <c r="V25" s="159">
        <f t="shared" si="1"/>
        <v>0.15007239898800001</v>
      </c>
      <c r="W25" s="160">
        <f t="shared" si="2"/>
        <v>1.4239028081938653E-2</v>
      </c>
      <c r="X25" s="160">
        <f t="shared" si="0"/>
        <v>1.0195512311355407E-3</v>
      </c>
      <c r="Y25" s="160">
        <f t="shared" si="0"/>
        <v>1.5417304040348433E-2</v>
      </c>
      <c r="Z25" s="161">
        <f t="shared" si="3"/>
        <v>-1.8876342383530755</v>
      </c>
      <c r="AA25" s="161">
        <f t="shared" si="4"/>
        <v>2.6060210967765956E-4</v>
      </c>
    </row>
    <row r="26" spans="1:32" x14ac:dyDescent="0.25">
      <c r="B26" s="94" t="s">
        <v>52</v>
      </c>
      <c r="C26" s="96">
        <v>2.0700000000000001E-6</v>
      </c>
      <c r="D26" s="96">
        <v>4.7498147887006942E-11</v>
      </c>
      <c r="E26" s="96">
        <v>1.9976998807213682E-12</v>
      </c>
      <c r="F26" s="95">
        <v>100</v>
      </c>
      <c r="G26" s="95">
        <v>5</v>
      </c>
      <c r="H26" s="128">
        <f>H56*H30</f>
        <v>132.05152210745726</v>
      </c>
      <c r="I26" s="137">
        <v>1.53073846967E-2</v>
      </c>
      <c r="J26" s="50">
        <v>1.3398807955934181E-2</v>
      </c>
      <c r="K26" s="50">
        <v>8.9946310992981837E-4</v>
      </c>
      <c r="L26" s="67">
        <v>1.4154299569796429E-2</v>
      </c>
      <c r="N26" s="18">
        <v>1.0263277202946192E-6</v>
      </c>
      <c r="O26" s="18">
        <v>3.1100148339118657E-11</v>
      </c>
      <c r="P26" s="18">
        <v>2.2751542731265199E-9</v>
      </c>
      <c r="Q26" s="28">
        <v>0.70930052770171625</v>
      </c>
      <c r="R26" s="61">
        <v>106.50798841519858</v>
      </c>
      <c r="S26" s="58">
        <v>2.6060210967765958E-6</v>
      </c>
      <c r="U26" s="82"/>
      <c r="V26" s="159">
        <f t="shared" si="1"/>
        <v>0.15307384696699999</v>
      </c>
      <c r="W26" s="160">
        <f t="shared" si="2"/>
        <v>1.3398807955934181E-2</v>
      </c>
      <c r="X26" s="160">
        <f t="shared" si="0"/>
        <v>8.9946310992981837E-4</v>
      </c>
      <c r="Y26" s="160">
        <f t="shared" si="0"/>
        <v>1.4154299569796429E-2</v>
      </c>
      <c r="Z26" s="161">
        <f t="shared" si="3"/>
        <v>-1.8602011584801417</v>
      </c>
      <c r="AA26" s="161">
        <f t="shared" si="4"/>
        <v>2.6060210967765956E-4</v>
      </c>
    </row>
    <row r="27" spans="1:32" ht="19.5" x14ac:dyDescent="0.3">
      <c r="B27" s="129"/>
      <c r="C27" s="130"/>
      <c r="D27" s="130"/>
      <c r="E27" s="130"/>
      <c r="F27" s="130"/>
      <c r="G27" s="130"/>
      <c r="H27" s="127" t="s">
        <v>620</v>
      </c>
      <c r="I27" s="137">
        <v>1.56135323907E-2</v>
      </c>
      <c r="J27" s="50">
        <v>1.1601191668608471E-2</v>
      </c>
      <c r="K27" s="50">
        <v>7.7950752393704764E-4</v>
      </c>
      <c r="L27" s="67">
        <v>1.2953213435323744E-2</v>
      </c>
      <c r="N27" s="18">
        <v>9.881830842352784E-7</v>
      </c>
      <c r="O27" s="18">
        <v>3.3236851269573991E-11</v>
      </c>
      <c r="P27" s="18">
        <v>3.1150064144403331E-9</v>
      </c>
      <c r="Q27" s="28">
        <v>0.70930052770171625</v>
      </c>
      <c r="R27" s="61">
        <v>106.50798841519858</v>
      </c>
      <c r="S27" s="58">
        <v>2.6716788165692057E-6</v>
      </c>
      <c r="U27" s="82"/>
      <c r="V27" s="159">
        <f t="shared" si="1"/>
        <v>0.156135323907</v>
      </c>
      <c r="W27" s="160">
        <f t="shared" si="2"/>
        <v>1.1601191668608471E-2</v>
      </c>
      <c r="X27" s="160">
        <f t="shared" si="0"/>
        <v>7.7950752393704764E-4</v>
      </c>
      <c r="Y27" s="160">
        <f t="shared" si="0"/>
        <v>1.2953213435323744E-2</v>
      </c>
      <c r="Z27" s="161">
        <f t="shared" si="3"/>
        <v>-1.8602011584801417</v>
      </c>
      <c r="AA27" s="161">
        <f t="shared" si="4"/>
        <v>2.6716788165692055E-4</v>
      </c>
    </row>
    <row r="28" spans="1:32" x14ac:dyDescent="0.25">
      <c r="B28" s="129"/>
      <c r="C28" s="130"/>
      <c r="D28" s="130"/>
      <c r="E28" s="130"/>
      <c r="F28" s="130"/>
      <c r="G28" s="130"/>
      <c r="H28" s="128">
        <f>SUM(F20:F23)</f>
        <v>448.9751751653547</v>
      </c>
      <c r="I28" s="137">
        <v>1.5925803038500001E-2</v>
      </c>
      <c r="J28" s="50">
        <v>1.0407418620448592E-2</v>
      </c>
      <c r="K28" s="50">
        <v>6.723508815557461E-4</v>
      </c>
      <c r="L28" s="67">
        <v>1.1811206328019973E-2</v>
      </c>
      <c r="N28" s="18">
        <v>9.3973495490866998E-7</v>
      </c>
      <c r="O28" s="18">
        <v>3.5947059983021593E-11</v>
      </c>
      <c r="P28" s="18">
        <v>4.179505621422242E-9</v>
      </c>
      <c r="Q28" s="28">
        <v>0.70930052770171625</v>
      </c>
      <c r="R28" s="61">
        <v>106.86263867904944</v>
      </c>
      <c r="S28" s="58">
        <v>2.6716788165692057E-6</v>
      </c>
      <c r="U28" s="82"/>
      <c r="V28" s="159">
        <f t="shared" si="1"/>
        <v>0.159258030385</v>
      </c>
      <c r="W28" s="160">
        <f t="shared" si="2"/>
        <v>1.0407418620448592E-2</v>
      </c>
      <c r="X28" s="160">
        <f t="shared" si="0"/>
        <v>6.723508815557461E-4</v>
      </c>
      <c r="Y28" s="160">
        <f t="shared" si="0"/>
        <v>1.1811206328019973E-2</v>
      </c>
      <c r="Z28" s="161">
        <f t="shared" si="3"/>
        <v>-1.8247361320950559</v>
      </c>
      <c r="AA28" s="161">
        <f t="shared" si="4"/>
        <v>2.6716788165692055E-4</v>
      </c>
    </row>
    <row r="29" spans="1:32" ht="18.75" x14ac:dyDescent="0.25">
      <c r="B29" s="129"/>
      <c r="C29" s="130"/>
      <c r="D29" s="130"/>
      <c r="E29" s="130"/>
      <c r="F29" s="130"/>
      <c r="G29" s="130"/>
      <c r="H29" s="174" t="s">
        <v>621</v>
      </c>
      <c r="I29" s="137">
        <v>1.6244319099299999E-2</v>
      </c>
      <c r="J29" s="50">
        <v>8.3555538597400066E-3</v>
      </c>
      <c r="K29" s="50">
        <v>4.5964473162408428E-4</v>
      </c>
      <c r="L29" s="67">
        <v>1.0724717792067014E-2</v>
      </c>
      <c r="N29" s="18">
        <v>8.7973962073359158E-7</v>
      </c>
      <c r="O29" s="18">
        <v>3.9302258814086751E-11</v>
      </c>
      <c r="P29" s="18">
        <v>5.4971349836006062E-9</v>
      </c>
      <c r="Q29" s="28">
        <v>0.70930052770171625</v>
      </c>
      <c r="R29" s="61">
        <v>106.86263867904944</v>
      </c>
      <c r="S29" s="58">
        <v>2.7814366377763264E-6</v>
      </c>
      <c r="U29" s="82"/>
      <c r="V29" s="159">
        <f t="shared" si="1"/>
        <v>0.16244319099299998</v>
      </c>
      <c r="W29" s="160">
        <f t="shared" si="2"/>
        <v>8.3555538597400066E-3</v>
      </c>
      <c r="X29" s="160">
        <f t="shared" si="0"/>
        <v>4.5964473162408428E-4</v>
      </c>
      <c r="Y29" s="160">
        <f t="shared" si="0"/>
        <v>1.0724717792067014E-2</v>
      </c>
      <c r="Z29" s="161">
        <f t="shared" si="3"/>
        <v>-1.8247361320950559</v>
      </c>
      <c r="AA29" s="161">
        <f t="shared" si="4"/>
        <v>2.7814366377763264E-4</v>
      </c>
    </row>
    <row r="30" spans="1:32" x14ac:dyDescent="0.25">
      <c r="G30" s="130"/>
      <c r="H30" s="131">
        <v>0.75138919923239622</v>
      </c>
      <c r="I30" s="137">
        <v>1.65692054812E-2</v>
      </c>
      <c r="J30" s="50">
        <v>7.4574705366713713E-3</v>
      </c>
      <c r="K30" s="50">
        <v>6.7962994145760974E-4</v>
      </c>
      <c r="L30" s="67">
        <v>9.6908257714489552E-3</v>
      </c>
      <c r="N30" s="18">
        <v>8.0721110221956514E-7</v>
      </c>
      <c r="O30" s="18">
        <v>4.335813930971083E-11</v>
      </c>
      <c r="P30" s="18">
        <v>7.0898824407930677E-9</v>
      </c>
      <c r="Q30" s="28">
        <v>0.70930052770171625</v>
      </c>
      <c r="R30" s="61">
        <v>107.57193920675115</v>
      </c>
      <c r="S30" s="58">
        <v>2.7814366377763264E-6</v>
      </c>
      <c r="U30" s="82"/>
      <c r="V30" s="159">
        <f t="shared" si="1"/>
        <v>0.165692054812</v>
      </c>
      <c r="W30" s="160">
        <f t="shared" si="2"/>
        <v>7.4574705366713713E-3</v>
      </c>
      <c r="X30" s="160">
        <f t="shared" si="0"/>
        <v>6.7962994145760974E-4</v>
      </c>
      <c r="Y30" s="160">
        <f t="shared" si="0"/>
        <v>9.6908257714489552E-3</v>
      </c>
      <c r="Z30" s="161">
        <f t="shared" si="3"/>
        <v>-1.7538060793248846</v>
      </c>
      <c r="AA30" s="161">
        <f t="shared" si="4"/>
        <v>2.7814366377763264E-4</v>
      </c>
    </row>
    <row r="31" spans="1:32" ht="18.75" x14ac:dyDescent="0.25">
      <c r="G31" s="130"/>
      <c r="H31" s="126" t="s">
        <v>622</v>
      </c>
      <c r="I31" s="137">
        <v>1.69005895909E-2</v>
      </c>
      <c r="J31" s="50">
        <v>5.8016703509265978E-3</v>
      </c>
      <c r="K31" s="50">
        <v>5.6533837943799337E-4</v>
      </c>
      <c r="L31" s="67">
        <v>8.7086335553296004E-3</v>
      </c>
      <c r="N31" s="18">
        <v>7.2159110001419057E-7</v>
      </c>
      <c r="O31" s="18">
        <v>4.8146062829846575E-11</v>
      </c>
      <c r="P31" s="18">
        <v>8.9700935043268398E-9</v>
      </c>
      <c r="Q31" s="28">
        <v>0.70930052770171625</v>
      </c>
      <c r="R31" s="61">
        <v>107.57193920675115</v>
      </c>
      <c r="S31" s="58">
        <v>2.9128250808041695E-6</v>
      </c>
      <c r="U31" s="82"/>
      <c r="V31" s="159">
        <f t="shared" si="1"/>
        <v>0.169005895909</v>
      </c>
      <c r="W31" s="160">
        <f t="shared" si="2"/>
        <v>5.8016703509265978E-3</v>
      </c>
      <c r="X31" s="160">
        <f t="shared" si="0"/>
        <v>5.6533837943799337E-4</v>
      </c>
      <c r="Y31" s="160">
        <f t="shared" si="0"/>
        <v>8.7086335553296004E-3</v>
      </c>
      <c r="Z31" s="161">
        <f t="shared" si="3"/>
        <v>-1.7538060793248846</v>
      </c>
      <c r="AA31" s="161">
        <f t="shared" si="4"/>
        <v>2.9128250808041695E-4</v>
      </c>
    </row>
    <row r="32" spans="1:32" ht="19.5" x14ac:dyDescent="0.3">
      <c r="B32" s="127" t="s">
        <v>623</v>
      </c>
      <c r="C32" s="127" t="s">
        <v>624</v>
      </c>
      <c r="D32" s="127" t="s">
        <v>625</v>
      </c>
      <c r="E32" s="127" t="s">
        <v>626</v>
      </c>
      <c r="F32" s="127" t="s">
        <v>627</v>
      </c>
      <c r="H32" s="175">
        <f>H62*H34/B33</f>
        <v>0.72025807173005219</v>
      </c>
      <c r="I32" s="137">
        <v>1.7238601382699999E-2</v>
      </c>
      <c r="J32" s="50">
        <v>6.1974564932179843E-3</v>
      </c>
      <c r="K32" s="50">
        <v>5.4204095922873174E-4</v>
      </c>
      <c r="L32" s="67">
        <v>7.7802624304773938E-3</v>
      </c>
      <c r="N32" s="18">
        <v>6.228854068739308E-7</v>
      </c>
      <c r="O32" s="18">
        <v>5.3665737206470183E-11</v>
      </c>
      <c r="P32" s="18">
        <v>1.1137660191559577E-8</v>
      </c>
      <c r="Q32" s="28">
        <v>0.70930052770171625</v>
      </c>
      <c r="R32" s="61">
        <v>108.28123973445287</v>
      </c>
      <c r="S32" s="58">
        <v>2.9128250808041695E-6</v>
      </c>
      <c r="U32" s="82"/>
      <c r="V32" s="159">
        <f t="shared" si="1"/>
        <v>0.172386013827</v>
      </c>
      <c r="W32" s="160">
        <f t="shared" si="2"/>
        <v>6.1974564932179843E-3</v>
      </c>
      <c r="X32" s="160">
        <f t="shared" si="0"/>
        <v>5.4204095922873174E-4</v>
      </c>
      <c r="Y32" s="160">
        <f t="shared" si="0"/>
        <v>7.7802624304773938E-3</v>
      </c>
      <c r="Z32" s="161">
        <f t="shared" si="3"/>
        <v>-1.6828760265547131</v>
      </c>
      <c r="AA32" s="161">
        <f t="shared" si="4"/>
        <v>2.9128250808041695E-4</v>
      </c>
    </row>
    <row r="33" spans="2:27" ht="19.5" x14ac:dyDescent="0.3">
      <c r="B33" s="175">
        <v>86.1</v>
      </c>
      <c r="C33" s="175">
        <v>92.1</v>
      </c>
      <c r="D33" s="175">
        <v>196.28</v>
      </c>
      <c r="E33" s="175">
        <v>208.28</v>
      </c>
      <c r="F33" s="175">
        <v>202.28</v>
      </c>
      <c r="H33" s="127" t="s">
        <v>628</v>
      </c>
      <c r="I33" s="137">
        <v>1.7583373410300002E-2</v>
      </c>
      <c r="J33" s="50">
        <v>5.6643040614511751E-3</v>
      </c>
      <c r="K33" s="50">
        <v>4.8531538878523382E-4</v>
      </c>
      <c r="L33" s="67">
        <v>6.9110280673901989E-3</v>
      </c>
      <c r="N33" s="18">
        <v>5.1175975989154903E-7</v>
      </c>
      <c r="O33" s="18">
        <v>5.9879940439282519E-11</v>
      </c>
      <c r="P33" s="18">
        <v>1.3577966840893535E-8</v>
      </c>
      <c r="Q33" s="28">
        <v>0.70930052770171625</v>
      </c>
      <c r="R33" s="61">
        <v>108.28123973445287</v>
      </c>
      <c r="S33" s="58">
        <v>3.0173705697747014E-6</v>
      </c>
      <c r="U33" s="82"/>
      <c r="V33" s="159">
        <f t="shared" si="1"/>
        <v>0.17583373410300002</v>
      </c>
      <c r="W33" s="160">
        <f t="shared" si="2"/>
        <v>5.6643040614511751E-3</v>
      </c>
      <c r="X33" s="160">
        <f t="shared" si="0"/>
        <v>4.8531538878523382E-4</v>
      </c>
      <c r="Y33" s="160">
        <f t="shared" si="0"/>
        <v>6.9110280673901989E-3</v>
      </c>
      <c r="Z33" s="161">
        <f t="shared" si="3"/>
        <v>-1.6828760265547131</v>
      </c>
      <c r="AA33" s="161">
        <f t="shared" si="4"/>
        <v>3.0173705697747016E-4</v>
      </c>
    </row>
    <row r="34" spans="2:27" ht="19.5" x14ac:dyDescent="0.3">
      <c r="B34" s="127" t="s">
        <v>629</v>
      </c>
      <c r="C34" s="127" t="s">
        <v>630</v>
      </c>
      <c r="D34" s="127" t="s">
        <v>631</v>
      </c>
      <c r="E34" s="127" t="s">
        <v>632</v>
      </c>
      <c r="F34" s="127" t="s">
        <v>633</v>
      </c>
      <c r="G34" s="130"/>
      <c r="H34" s="175">
        <f>(2*(1-H42)*B33+H42*D33)/2</f>
        <v>87.003</v>
      </c>
      <c r="I34" s="137">
        <v>1.7935040878500001E-2</v>
      </c>
      <c r="J34" s="50">
        <v>4.9074017156797304E-3</v>
      </c>
      <c r="K34" s="50">
        <v>4.3609260246994347E-4</v>
      </c>
      <c r="L34" s="67">
        <v>6.10853033912817E-3</v>
      </c>
      <c r="N34" s="18">
        <v>3.8958207394382412E-7</v>
      </c>
      <c r="O34" s="18">
        <v>6.6712179158128091E-11</v>
      </c>
      <c r="P34" s="18">
        <v>1.6260974882670622E-8</v>
      </c>
      <c r="Q34" s="28">
        <v>0.70930052770171625</v>
      </c>
      <c r="R34" s="61">
        <v>108.99054026215458</v>
      </c>
      <c r="S34" s="58">
        <v>3.0173705697747014E-6</v>
      </c>
      <c r="U34" s="82"/>
      <c r="V34" s="159">
        <f t="shared" si="1"/>
        <v>0.17935040878500003</v>
      </c>
      <c r="W34" s="160">
        <f t="shared" si="2"/>
        <v>4.9074017156797304E-3</v>
      </c>
      <c r="X34" s="160">
        <f t="shared" si="0"/>
        <v>4.3609260246994347E-4</v>
      </c>
      <c r="Y34" s="160">
        <f t="shared" si="0"/>
        <v>6.10853033912817E-3</v>
      </c>
      <c r="Z34" s="161">
        <f t="shared" si="3"/>
        <v>-1.6119459737845419</v>
      </c>
      <c r="AA34" s="161">
        <f t="shared" si="4"/>
        <v>3.0173705697747016E-4</v>
      </c>
    </row>
    <row r="35" spans="2:27" ht="19.5" x14ac:dyDescent="0.3">
      <c r="B35" s="120">
        <v>11000000000</v>
      </c>
      <c r="C35" s="120">
        <v>51100000000</v>
      </c>
      <c r="D35" s="120">
        <v>11300000000</v>
      </c>
      <c r="E35" s="120">
        <v>46800000000</v>
      </c>
      <c r="F35" s="120">
        <v>29600000000</v>
      </c>
      <c r="H35" s="127" t="s">
        <v>634</v>
      </c>
      <c r="I35" s="137">
        <v>1.8293741696099999E-2</v>
      </c>
      <c r="J35" s="50">
        <v>3.8270837341157532E-3</v>
      </c>
      <c r="K35" s="50">
        <v>3.7427493502231886E-4</v>
      </c>
      <c r="L35" s="67">
        <v>5.3806952291943523E-3</v>
      </c>
      <c r="N35" s="18">
        <v>2.583999989479497E-7</v>
      </c>
      <c r="O35" s="18">
        <v>7.4047947906907113E-11</v>
      </c>
      <c r="P35" s="18">
        <v>1.9141718266111133E-8</v>
      </c>
      <c r="Q35" s="28">
        <v>0.70930052770171625</v>
      </c>
      <c r="R35" s="61">
        <v>108.99054026215458</v>
      </c>
      <c r="S35" s="58">
        <v>3.0910807968949879E-6</v>
      </c>
      <c r="U35" s="82"/>
      <c r="V35" s="159">
        <f t="shared" si="1"/>
        <v>0.18293741696099999</v>
      </c>
      <c r="W35" s="160">
        <f t="shared" si="2"/>
        <v>3.8270837341157532E-3</v>
      </c>
      <c r="X35" s="160">
        <f t="shared" si="0"/>
        <v>3.7427493502231886E-4</v>
      </c>
      <c r="Y35" s="160">
        <f t="shared" si="0"/>
        <v>5.3806952291943523E-3</v>
      </c>
      <c r="Z35" s="161">
        <f t="shared" si="3"/>
        <v>-1.6119459737845419</v>
      </c>
      <c r="AA35" s="161">
        <f t="shared" si="4"/>
        <v>3.0910807968949881E-4</v>
      </c>
    </row>
    <row r="36" spans="2:27" ht="17.25" x14ac:dyDescent="0.3">
      <c r="B36" s="168" t="s">
        <v>635</v>
      </c>
      <c r="C36" s="168" t="s">
        <v>636</v>
      </c>
      <c r="D36" s="168" t="s">
        <v>637</v>
      </c>
      <c r="E36" s="168" t="s">
        <v>638</v>
      </c>
      <c r="F36" s="130"/>
      <c r="H36" s="175">
        <f>(2*(1-H42)*(H44*C33+(1-H44)*B33)+H42*(B37*E33+2*C37*F33+E37*D33))/2</f>
        <v>90.295776598167464</v>
      </c>
      <c r="I36" s="137">
        <v>1.8659616529999999E-2</v>
      </c>
      <c r="J36" s="50">
        <v>3.8414467497118448E-3</v>
      </c>
      <c r="K36" s="50">
        <v>3.652348673223759E-4</v>
      </c>
      <c r="L36" s="67">
        <v>4.7332131724504324E-3</v>
      </c>
      <c r="N36" s="18">
        <v>1.2084953647627571E-7</v>
      </c>
      <c r="O36" s="18">
        <v>8.1739840148327473E-11</v>
      </c>
      <c r="P36" s="18">
        <v>2.2162310711577013E-8</v>
      </c>
      <c r="Q36" s="28">
        <v>0.70930052770171625</v>
      </c>
      <c r="R36" s="61">
        <v>109.6998407898563</v>
      </c>
      <c r="S36" s="58">
        <v>3.0910807968949879E-6</v>
      </c>
      <c r="U36" s="82"/>
      <c r="V36" s="159">
        <f t="shared" si="1"/>
        <v>0.18659616530000001</v>
      </c>
      <c r="W36" s="160">
        <f t="shared" si="2"/>
        <v>3.8414467497118448E-3</v>
      </c>
      <c r="X36" s="160">
        <f t="shared" si="0"/>
        <v>3.652348673223759E-4</v>
      </c>
      <c r="Y36" s="160">
        <f t="shared" si="0"/>
        <v>4.7332131724504324E-3</v>
      </c>
      <c r="Z36" s="161">
        <f t="shared" si="3"/>
        <v>-1.5410159210143703</v>
      </c>
      <c r="AA36" s="161">
        <f t="shared" si="4"/>
        <v>3.0910807968949881E-4</v>
      </c>
    </row>
    <row r="37" spans="2:27" ht="19.5" x14ac:dyDescent="0.3">
      <c r="B37" s="162">
        <f>H42*H42</f>
        <v>5.6249999999999998E-3</v>
      </c>
      <c r="C37" s="162">
        <f>H42*(1-H42)</f>
        <v>6.9375000000000006E-2</v>
      </c>
      <c r="D37" s="162">
        <f>C37</f>
        <v>6.9375000000000006E-2</v>
      </c>
      <c r="E37" s="162">
        <f>(1-H42)*(1-H42)</f>
        <v>0.85562500000000008</v>
      </c>
      <c r="H37" s="127" t="s">
        <v>639</v>
      </c>
      <c r="I37" s="137">
        <v>1.9032808860599999E-2</v>
      </c>
      <c r="J37" s="50">
        <v>4.474270237033018E-3</v>
      </c>
      <c r="K37" s="50">
        <v>3.7452602872888209E-4</v>
      </c>
      <c r="L37" s="67">
        <v>4.1671858318874776E-3</v>
      </c>
      <c r="N37" s="18">
        <v>1.5342824269891062E-8</v>
      </c>
      <c r="O37" s="18">
        <v>8.7639829481359875E-11</v>
      </c>
      <c r="P37" s="18">
        <v>2.4479226061573885E-8</v>
      </c>
      <c r="Q37" s="28">
        <v>0.35465026385085813</v>
      </c>
      <c r="R37" s="61">
        <v>109.6998407898563</v>
      </c>
      <c r="S37" s="58">
        <v>3.1362734799881689E-6</v>
      </c>
      <c r="U37" s="82"/>
      <c r="V37" s="159">
        <f t="shared" si="1"/>
        <v>0.19032808860599998</v>
      </c>
      <c r="W37" s="160">
        <f t="shared" si="2"/>
        <v>4.474270237033018E-3</v>
      </c>
      <c r="X37" s="160">
        <f t="shared" si="0"/>
        <v>3.7452602872888209E-4</v>
      </c>
      <c r="Y37" s="160">
        <f t="shared" si="0"/>
        <v>4.1671858318874776E-3</v>
      </c>
      <c r="Z37" s="161">
        <f t="shared" si="3"/>
        <v>-1.5410159210143703</v>
      </c>
      <c r="AA37" s="161">
        <f t="shared" si="4"/>
        <v>3.1362734799881691E-4</v>
      </c>
    </row>
    <row r="38" spans="2:27" x14ac:dyDescent="0.25">
      <c r="H38" s="120">
        <f>(2*(1-H42)*B35+H42*D35)/2</f>
        <v>10598750000</v>
      </c>
      <c r="I38" s="137">
        <v>1.94134650379E-2</v>
      </c>
      <c r="J38" s="50">
        <v>3.8476865491223191E-3</v>
      </c>
      <c r="K38" s="50">
        <v>3.3901327014022772E-4</v>
      </c>
      <c r="L38" s="67">
        <v>3.6779411033382023E-3</v>
      </c>
      <c r="N38" s="18">
        <v>-5.4572789461523243E-8</v>
      </c>
      <c r="O38" s="18">
        <v>9.0989042361135801E-11</v>
      </c>
      <c r="P38" s="18">
        <v>2.5794456021128194E-8</v>
      </c>
      <c r="Q38" s="28">
        <v>0.24630394615285064</v>
      </c>
      <c r="R38" s="61">
        <v>110.40914131755801</v>
      </c>
      <c r="S38" s="58">
        <v>3.1362734799881689E-6</v>
      </c>
      <c r="U38" s="82"/>
      <c r="V38" s="159">
        <f t="shared" si="1"/>
        <v>0.19413465037900002</v>
      </c>
      <c r="W38" s="160">
        <f t="shared" si="2"/>
        <v>3.8476865491223191E-3</v>
      </c>
      <c r="X38" s="160">
        <f t="shared" si="0"/>
        <v>3.3901327014022772E-4</v>
      </c>
      <c r="Y38" s="160">
        <f t="shared" si="0"/>
        <v>3.6779411033382023E-3</v>
      </c>
      <c r="Z38" s="161">
        <f t="shared" si="3"/>
        <v>-1.4700858682441988</v>
      </c>
      <c r="AA38" s="161">
        <f t="shared" si="4"/>
        <v>3.1362734799881691E-4</v>
      </c>
    </row>
    <row r="39" spans="2:27" ht="19.5" x14ac:dyDescent="0.3">
      <c r="H39" s="127" t="s">
        <v>640</v>
      </c>
      <c r="I39" s="137">
        <v>1.98017343386E-2</v>
      </c>
      <c r="J39" s="50">
        <v>3.4073870894401172E-3</v>
      </c>
      <c r="K39" s="50">
        <v>2.9249715497599559E-4</v>
      </c>
      <c r="L39" s="67">
        <v>3.2557450864162366E-3</v>
      </c>
      <c r="N39" s="18">
        <v>-1.3040056523198355E-7</v>
      </c>
      <c r="O39" s="18">
        <v>9.5097597073795744E-11</v>
      </c>
      <c r="P39" s="18">
        <v>2.740787817229846E-8</v>
      </c>
      <c r="Q39" s="28">
        <v>0.49260789230570129</v>
      </c>
      <c r="R39" s="61">
        <v>110.40914131755801</v>
      </c>
      <c r="S39" s="58">
        <v>3.1588249357666538E-6</v>
      </c>
      <c r="U39" s="82"/>
      <c r="V39" s="159">
        <f t="shared" si="1"/>
        <v>0.19801734338599999</v>
      </c>
      <c r="W39" s="160">
        <f t="shared" si="2"/>
        <v>3.4073870894401172E-3</v>
      </c>
      <c r="X39" s="160">
        <f t="shared" si="0"/>
        <v>2.9249715497599559E-4</v>
      </c>
      <c r="Y39" s="160">
        <f t="shared" si="0"/>
        <v>3.2557450864162366E-3</v>
      </c>
      <c r="Z39" s="161">
        <f t="shared" si="3"/>
        <v>-1.4700858682441988</v>
      </c>
      <c r="AA39" s="161">
        <f t="shared" si="4"/>
        <v>3.158824935766654E-4</v>
      </c>
    </row>
    <row r="40" spans="2:27" x14ac:dyDescent="0.25">
      <c r="H40" s="120">
        <f>(2*(1-H42)*((1-H44)*B35+H44*C35)+H42*(B37*E35+D37*F35+C37*F35+D35*E37))/2</f>
        <v>32482616566.502586</v>
      </c>
      <c r="I40" s="137">
        <v>2.0197769025399999E-2</v>
      </c>
      <c r="J40" s="50">
        <v>3.314793859223294E-3</v>
      </c>
      <c r="K40" s="50">
        <v>2.7324509993941875E-4</v>
      </c>
      <c r="L40" s="67">
        <v>2.8884921003549668E-3</v>
      </c>
      <c r="N40" s="18">
        <v>-2.3118348258711908E-7</v>
      </c>
      <c r="O40" s="18">
        <v>1.005165550480252E-10</v>
      </c>
      <c r="P40" s="18">
        <v>2.9535893361505807E-8</v>
      </c>
      <c r="Q40" s="28">
        <v>0.49260789230570129</v>
      </c>
      <c r="R40" s="61">
        <v>111.11844184525972</v>
      </c>
      <c r="S40" s="58">
        <v>3.1588249357666538E-6</v>
      </c>
      <c r="U40" s="82"/>
      <c r="V40" s="159">
        <f t="shared" si="1"/>
        <v>0.20197769025399998</v>
      </c>
      <c r="W40" s="160">
        <f t="shared" si="2"/>
        <v>3.314793859223294E-3</v>
      </c>
      <c r="X40" s="160">
        <f t="shared" si="0"/>
        <v>2.7324509993941875E-4</v>
      </c>
      <c r="Y40" s="160">
        <f t="shared" si="0"/>
        <v>2.8884921003549668E-3</v>
      </c>
      <c r="Z40" s="161">
        <f t="shared" si="3"/>
        <v>-1.3991558154740276</v>
      </c>
      <c r="AA40" s="161">
        <f t="shared" si="4"/>
        <v>3.158824935766654E-4</v>
      </c>
    </row>
    <row r="41" spans="2:27" ht="17.25" x14ac:dyDescent="0.25">
      <c r="H41" s="126" t="s">
        <v>641</v>
      </c>
      <c r="I41" s="138">
        <v>2.0601724405899999E-2</v>
      </c>
      <c r="J41" s="50">
        <v>2.4414955463515535E-3</v>
      </c>
      <c r="K41" s="50">
        <v>2.3694566333346757E-4</v>
      </c>
      <c r="L41" s="67">
        <v>2.5655558830243591E-3</v>
      </c>
      <c r="N41" s="18">
        <v>-3.3077117179060425E-7</v>
      </c>
      <c r="O41" s="18">
        <v>1.0581289336841416E-10</v>
      </c>
      <c r="P41" s="18">
        <v>3.1615756031009577E-8</v>
      </c>
      <c r="Q41" s="28">
        <v>0.49260789230570129</v>
      </c>
      <c r="R41" s="61">
        <v>111.11844184525972</v>
      </c>
      <c r="S41" s="58">
        <v>3.1651375280203552E-6</v>
      </c>
      <c r="U41" s="82"/>
      <c r="V41" s="159">
        <f t="shared" si="1"/>
        <v>0.20601724405899999</v>
      </c>
      <c r="W41" s="160">
        <f t="shared" si="2"/>
        <v>2.4414955463515535E-3</v>
      </c>
      <c r="X41" s="160">
        <f t="shared" si="0"/>
        <v>2.3694566333346757E-4</v>
      </c>
      <c r="Y41" s="160">
        <f t="shared" si="0"/>
        <v>2.5655558830243591E-3</v>
      </c>
      <c r="Z41" s="161">
        <f t="shared" si="3"/>
        <v>-1.3991558154740276</v>
      </c>
      <c r="AA41" s="161">
        <f t="shared" si="4"/>
        <v>3.1651375280203554E-4</v>
      </c>
    </row>
    <row r="42" spans="2:27" x14ac:dyDescent="0.25">
      <c r="H42" s="162">
        <v>7.4999999999999997E-2</v>
      </c>
      <c r="I42" s="138">
        <v>2.1013758893999999E-2</v>
      </c>
      <c r="J42" s="50">
        <v>2.8570275526068867E-3</v>
      </c>
      <c r="K42" s="50">
        <v>2.4122657983044108E-4</v>
      </c>
      <c r="L42" s="67">
        <v>2.2812135940807592E-3</v>
      </c>
      <c r="N42" s="18">
        <v>-4.2834673176375584E-7</v>
      </c>
      <c r="O42" s="18">
        <v>1.109304837490182E-10</v>
      </c>
      <c r="P42" s="18">
        <v>3.3625424702742487E-8</v>
      </c>
      <c r="Q42" s="28">
        <v>0.49260789230570129</v>
      </c>
      <c r="R42" s="61">
        <v>111.82774237296144</v>
      </c>
      <c r="S42" s="58">
        <v>3.1651375280203552E-6</v>
      </c>
      <c r="U42" s="82"/>
      <c r="V42" s="159">
        <f t="shared" si="1"/>
        <v>0.21013758894000001</v>
      </c>
      <c r="W42" s="160">
        <f t="shared" si="2"/>
        <v>2.8570275526068867E-3</v>
      </c>
      <c r="X42" s="160">
        <f t="shared" si="0"/>
        <v>2.4122657983044108E-4</v>
      </c>
      <c r="Y42" s="160">
        <f t="shared" si="0"/>
        <v>2.2812135940807592E-3</v>
      </c>
      <c r="Z42" s="161">
        <f t="shared" si="3"/>
        <v>-1.3282257627038561</v>
      </c>
      <c r="AA42" s="161">
        <f t="shared" si="4"/>
        <v>3.1651375280203554E-4</v>
      </c>
    </row>
    <row r="43" spans="2:27" ht="18.75" x14ac:dyDescent="0.25">
      <c r="H43" s="126" t="s">
        <v>642</v>
      </c>
      <c r="I43" s="138">
        <v>2.1434034071900001E-2</v>
      </c>
      <c r="J43" s="50">
        <v>1.9063355921928229E-3</v>
      </c>
      <c r="K43" s="50">
        <v>1.9290289185447637E-4</v>
      </c>
      <c r="L43" s="67">
        <v>2.0358780249379112E-3</v>
      </c>
      <c r="N43" s="18">
        <v>-5.2321368253158136E-7</v>
      </c>
      <c r="O43" s="18">
        <v>1.1581908484376279E-10</v>
      </c>
      <c r="P43" s="18">
        <v>3.5545169689454686E-8</v>
      </c>
      <c r="Q43" s="28">
        <v>0.49260789230570129</v>
      </c>
      <c r="R43" s="61">
        <v>111.82774237296144</v>
      </c>
      <c r="S43" s="58">
        <v>3.1601366089108343E-6</v>
      </c>
      <c r="U43" s="82"/>
      <c r="V43" s="159">
        <f t="shared" si="1"/>
        <v>0.21434034071900002</v>
      </c>
      <c r="W43" s="160">
        <f t="shared" si="2"/>
        <v>1.9063355921928229E-3</v>
      </c>
      <c r="X43" s="160">
        <f t="shared" si="0"/>
        <v>1.9290289185447637E-4</v>
      </c>
      <c r="Y43" s="160">
        <f t="shared" si="0"/>
        <v>2.0358780249379112E-3</v>
      </c>
      <c r="Z43" s="161">
        <f t="shared" si="3"/>
        <v>-1.3282257627038561</v>
      </c>
      <c r="AA43" s="161">
        <f t="shared" si="4"/>
        <v>3.1601366089108342E-4</v>
      </c>
    </row>
    <row r="44" spans="2:27" x14ac:dyDescent="0.25">
      <c r="H44" s="175">
        <f>H24/F22</f>
        <v>0.58721199966981419</v>
      </c>
      <c r="I44" s="138">
        <v>2.1862714753300001E-2</v>
      </c>
      <c r="J44" s="50">
        <v>1.8061389058617991E-3</v>
      </c>
      <c r="K44" s="50">
        <v>1.8588606520216706E-4</v>
      </c>
      <c r="L44" s="67">
        <v>1.8341142403296401E-3</v>
      </c>
      <c r="N44" s="18">
        <v>-6.1481789749640106E-7</v>
      </c>
      <c r="O44" s="18">
        <v>1.2043579848150296E-10</v>
      </c>
      <c r="P44" s="18">
        <v>3.7358144955631844E-8</v>
      </c>
      <c r="Q44" s="28">
        <v>0.49260789230570129</v>
      </c>
      <c r="R44" s="61">
        <v>112.53704290066315</v>
      </c>
      <c r="S44" s="58">
        <v>3.1601366089108343E-6</v>
      </c>
      <c r="U44" s="82"/>
      <c r="V44" s="159">
        <f t="shared" si="1"/>
        <v>0.218627147533</v>
      </c>
      <c r="W44" s="160">
        <f t="shared" si="2"/>
        <v>1.8061389058617991E-3</v>
      </c>
      <c r="X44" s="160">
        <f t="shared" si="0"/>
        <v>1.8588606520216706E-4</v>
      </c>
      <c r="Y44" s="160">
        <f t="shared" si="0"/>
        <v>1.8341142403296401E-3</v>
      </c>
      <c r="Z44" s="161">
        <f t="shared" si="3"/>
        <v>-1.2572957099336848</v>
      </c>
      <c r="AA44" s="161">
        <f t="shared" si="4"/>
        <v>3.1601366089108342E-4</v>
      </c>
    </row>
    <row r="45" spans="2:27" x14ac:dyDescent="0.25">
      <c r="I45" s="138">
        <v>2.2299969048399999E-2</v>
      </c>
      <c r="J45" s="50">
        <v>1.6627382787507508E-3</v>
      </c>
      <c r="K45" s="50">
        <v>1.6984041072609049E-4</v>
      </c>
      <c r="L45" s="67">
        <v>1.6799750212636764E-3</v>
      </c>
      <c r="N45" s="18">
        <v>-7.0276097287413944E-7</v>
      </c>
      <c r="O45" s="18">
        <v>1.2474613048306147E-10</v>
      </c>
      <c r="P45" s="18">
        <v>3.9050804698459378E-8</v>
      </c>
      <c r="Q45" s="28">
        <v>0.49260789230570129</v>
      </c>
      <c r="R45" s="61">
        <v>112.53704290066315</v>
      </c>
      <c r="S45" s="58">
        <v>3.1466071492555918E-6</v>
      </c>
      <c r="U45" s="82"/>
      <c r="V45" s="159">
        <f t="shared" si="1"/>
        <v>0.22299969048399998</v>
      </c>
      <c r="W45" s="160">
        <f t="shared" si="2"/>
        <v>1.6627382787507508E-3</v>
      </c>
      <c r="X45" s="160">
        <f t="shared" si="0"/>
        <v>1.6984041072609049E-4</v>
      </c>
      <c r="Y45" s="160">
        <f t="shared" si="0"/>
        <v>1.6799750212636764E-3</v>
      </c>
      <c r="Z45" s="161">
        <f t="shared" si="3"/>
        <v>-1.2572957099336848</v>
      </c>
      <c r="AA45" s="161">
        <f t="shared" si="4"/>
        <v>3.1466071492555921E-4</v>
      </c>
    </row>
    <row r="46" spans="2:27" x14ac:dyDescent="0.25">
      <c r="I46" s="138">
        <v>2.27459684294E-2</v>
      </c>
      <c r="J46" s="50">
        <v>1.5679564942983034E-3</v>
      </c>
      <c r="K46" s="50">
        <v>1.5594064590487104E-4</v>
      </c>
      <c r="L46" s="67">
        <v>1.5719013252861649E-3</v>
      </c>
      <c r="N46" s="18">
        <v>-7.8680440480506608E-7</v>
      </c>
      <c r="O46" s="18">
        <v>1.2872461962432339E-10</v>
      </c>
      <c r="P46" s="18">
        <v>4.0613150340511244E-8</v>
      </c>
      <c r="Q46" s="28">
        <v>0.49260789230570129</v>
      </c>
      <c r="R46" s="61">
        <v>113.24634342836487</v>
      </c>
      <c r="S46" s="58">
        <v>3.1466071492555918E-6</v>
      </c>
      <c r="U46" s="82"/>
      <c r="V46" s="159">
        <f t="shared" si="1"/>
        <v>0.22745968429399999</v>
      </c>
      <c r="W46" s="160">
        <f t="shared" si="2"/>
        <v>1.5679564942983034E-3</v>
      </c>
      <c r="X46" s="160">
        <f t="shared" si="0"/>
        <v>1.5594064590487104E-4</v>
      </c>
      <c r="Y46" s="160">
        <f t="shared" si="0"/>
        <v>1.5719013252861649E-3</v>
      </c>
      <c r="Z46" s="161">
        <f t="shared" si="3"/>
        <v>-1.1863656571635133</v>
      </c>
      <c r="AA46" s="161">
        <f t="shared" si="4"/>
        <v>3.1466071492555921E-4</v>
      </c>
    </row>
    <row r="47" spans="2:27" x14ac:dyDescent="0.25">
      <c r="I47" s="138">
        <v>2.3200887797899999E-2</v>
      </c>
      <c r="J47" s="50">
        <v>1.6019323095924913E-3</v>
      </c>
      <c r="K47" s="50">
        <v>1.549809590795416E-4</v>
      </c>
      <c r="L47" s="67">
        <v>1.5002500266363124E-3</v>
      </c>
      <c r="N47" s="18">
        <v>-8.6686458799319609E-7</v>
      </c>
      <c r="O47" s="18">
        <v>1.323550278753498E-10</v>
      </c>
      <c r="P47" s="18">
        <v>4.2038805236311476E-8</v>
      </c>
      <c r="Q47" s="28">
        <v>0.49260789230570129</v>
      </c>
      <c r="R47" s="61">
        <v>113.24634342836487</v>
      </c>
      <c r="S47" s="58">
        <v>3.1254566018365903E-6</v>
      </c>
      <c r="U47" s="82"/>
      <c r="V47" s="159">
        <f t="shared" si="1"/>
        <v>0.23200887797899999</v>
      </c>
      <c r="W47" s="160">
        <f t="shared" si="2"/>
        <v>1.6019323095924913E-3</v>
      </c>
      <c r="X47" s="160">
        <f t="shared" si="0"/>
        <v>1.549809590795416E-4</v>
      </c>
      <c r="Y47" s="160">
        <f t="shared" si="0"/>
        <v>1.5002500266363124E-3</v>
      </c>
      <c r="Z47" s="161">
        <f t="shared" si="3"/>
        <v>-1.1863656571635133</v>
      </c>
      <c r="AA47" s="161">
        <f t="shared" si="4"/>
        <v>3.1254566018365905E-4</v>
      </c>
    </row>
    <row r="48" spans="2:27" x14ac:dyDescent="0.25">
      <c r="B48" s="181" t="s">
        <v>643</v>
      </c>
      <c r="C48" s="181"/>
      <c r="D48" s="181"/>
      <c r="E48" s="181"/>
      <c r="F48" s="181"/>
      <c r="G48" s="181"/>
      <c r="H48" s="173"/>
      <c r="I48" s="138">
        <v>2.3664905553899999E-2</v>
      </c>
      <c r="J48" s="50">
        <v>1.2798444677124161E-3</v>
      </c>
      <c r="K48" s="50">
        <v>1.338931733215431E-4</v>
      </c>
      <c r="L48" s="67">
        <v>1.4495612254163466E-3</v>
      </c>
      <c r="N48" s="18">
        <v>-9.4299928695094787E-7</v>
      </c>
      <c r="O48" s="18">
        <v>1.3563011361443713E-10</v>
      </c>
      <c r="P48" s="18">
        <v>4.3324925613898668E-8</v>
      </c>
      <c r="Q48" s="28">
        <v>0.49260789230570129</v>
      </c>
      <c r="R48" s="61">
        <v>113.95564395606658</v>
      </c>
      <c r="S48" s="58">
        <v>3.1254566018365903E-6</v>
      </c>
      <c r="U48" s="82"/>
      <c r="V48" s="159">
        <f t="shared" si="1"/>
        <v>0.23664905553899998</v>
      </c>
      <c r="W48" s="160">
        <f t="shared" si="2"/>
        <v>1.2798444677124161E-3</v>
      </c>
      <c r="X48" s="160">
        <f t="shared" si="0"/>
        <v>1.338931733215431E-4</v>
      </c>
      <c r="Y48" s="160">
        <f t="shared" si="0"/>
        <v>1.4495612254163466E-3</v>
      </c>
      <c r="Z48" s="161">
        <f t="shared" si="3"/>
        <v>-1.1154356043933418</v>
      </c>
      <c r="AA48" s="161">
        <f t="shared" si="4"/>
        <v>3.1254566018365905E-4</v>
      </c>
    </row>
    <row r="49" spans="2:27" ht="19.5" x14ac:dyDescent="0.3">
      <c r="B49" s="94" t="s">
        <v>615</v>
      </c>
      <c r="C49" s="151">
        <v>0</v>
      </c>
      <c r="D49" s="151">
        <v>0</v>
      </c>
      <c r="E49" s="151">
        <v>0</v>
      </c>
      <c r="F49" s="95">
        <v>100</v>
      </c>
      <c r="G49" s="95">
        <v>0</v>
      </c>
      <c r="H49" s="168" t="s">
        <v>644</v>
      </c>
      <c r="I49" s="138">
        <v>2.4138203665E-2</v>
      </c>
      <c r="J49" s="50">
        <v>1.192951011995746E-3</v>
      </c>
      <c r="K49" s="50">
        <v>1.2687942812830266E-4</v>
      </c>
      <c r="L49" s="67">
        <v>1.4050046183406348E-3</v>
      </c>
      <c r="N49" s="18">
        <v>-1.0153868076657738E-6</v>
      </c>
      <c r="O49" s="18">
        <v>1.3855103461599271E-10</v>
      </c>
      <c r="P49" s="18">
        <v>4.4471966129226349E-8</v>
      </c>
      <c r="Q49" s="28">
        <v>0.49260789230570129</v>
      </c>
      <c r="R49" s="61">
        <v>113.95564395606658</v>
      </c>
      <c r="S49" s="58">
        <v>3.0963277202946193E-6</v>
      </c>
      <c r="U49" s="82"/>
      <c r="V49" s="159">
        <f t="shared" si="1"/>
        <v>0.24138203664999999</v>
      </c>
      <c r="W49" s="160">
        <f t="shared" si="2"/>
        <v>1.192951011995746E-3</v>
      </c>
      <c r="X49" s="160">
        <f t="shared" si="0"/>
        <v>1.2687942812830266E-4</v>
      </c>
      <c r="Y49" s="160">
        <f t="shared" si="0"/>
        <v>1.4050046183406348E-3</v>
      </c>
      <c r="Z49" s="161">
        <f t="shared" si="3"/>
        <v>-1.1154356043933418</v>
      </c>
      <c r="AA49" s="161">
        <f t="shared" si="4"/>
        <v>3.0963277202946196E-4</v>
      </c>
    </row>
    <row r="50" spans="2:27" x14ac:dyDescent="0.25">
      <c r="B50" s="121" t="s">
        <v>657</v>
      </c>
      <c r="C50" s="123">
        <f>H50+(1/5)*H60*(0.0000000000000001*(C60/B60)*H62*C62-H50)</f>
        <v>1.2605444348916719E-6</v>
      </c>
      <c r="D50" s="123">
        <v>1.5392483148537927E-10</v>
      </c>
      <c r="E50" s="123">
        <v>5.0509225500401457E-8</v>
      </c>
      <c r="F50" s="125">
        <f>(10/5)*H56</f>
        <v>351.48634620342796</v>
      </c>
      <c r="G50" s="134">
        <v>332.18064235444302</v>
      </c>
      <c r="H50" s="120">
        <f>0.0000000000000001*H62*(H60*B62+(1-H60)*D62)</f>
        <v>7.9470977345601922E-7</v>
      </c>
      <c r="I50" s="138">
        <v>2.4620967738300002E-2</v>
      </c>
      <c r="J50" s="50">
        <v>1.1193340147097018E-3</v>
      </c>
      <c r="K50" s="50">
        <v>1.2338170260836961E-4</v>
      </c>
      <c r="L50" s="67">
        <v>1.3593941741153338E-3</v>
      </c>
      <c r="N50" s="18">
        <v>-1.0842995664902716E-6</v>
      </c>
      <c r="O50" s="18">
        <v>1.4112644728402627E-10</v>
      </c>
      <c r="P50" s="18">
        <v>4.5483326136757184E-8</v>
      </c>
      <c r="Q50" s="28">
        <v>0.49260789230570129</v>
      </c>
      <c r="R50" s="61">
        <v>114.66494448376829</v>
      </c>
      <c r="S50" s="58">
        <v>3.0963277202946193E-6</v>
      </c>
      <c r="U50" s="82"/>
      <c r="V50" s="159">
        <f t="shared" si="1"/>
        <v>0.24620967738300001</v>
      </c>
      <c r="W50" s="160">
        <f t="shared" si="2"/>
        <v>1.1193340147097018E-3</v>
      </c>
      <c r="X50" s="160">
        <f t="shared" si="0"/>
        <v>1.2338170260836961E-4</v>
      </c>
      <c r="Y50" s="160">
        <f t="shared" si="0"/>
        <v>1.3593941741153338E-3</v>
      </c>
      <c r="Z50" s="161">
        <f t="shared" si="3"/>
        <v>-1.0445055516231705</v>
      </c>
      <c r="AA50" s="161">
        <f t="shared" si="4"/>
        <v>3.0963277202946196E-4</v>
      </c>
    </row>
    <row r="51" spans="2:27" ht="18.75" x14ac:dyDescent="0.25">
      <c r="B51" s="117" t="s">
        <v>646</v>
      </c>
      <c r="C51" s="118">
        <f>H50</f>
        <v>7.9470977345601922E-7</v>
      </c>
      <c r="D51" s="118">
        <v>1.5392483148537927E-10</v>
      </c>
      <c r="E51" s="118">
        <v>5.0509225500401457E-8</v>
      </c>
      <c r="F51" s="119">
        <f>(3/5)*H56-F52/2</f>
        <v>74.407345041618456</v>
      </c>
      <c r="G51" s="119">
        <f>F51</f>
        <v>74.407345041618456</v>
      </c>
      <c r="H51" s="126" t="s">
        <v>645</v>
      </c>
      <c r="I51" s="138">
        <v>2.5113387093100001E-2</v>
      </c>
      <c r="J51" s="50">
        <v>1.4608295369262776E-3</v>
      </c>
      <c r="K51" s="50">
        <v>1.358704730890173E-4</v>
      </c>
      <c r="L51" s="67">
        <v>1.3158993643425966E-3</v>
      </c>
      <c r="N51" s="18">
        <v>-1.150074078360615E-6</v>
      </c>
      <c r="O51" s="18">
        <v>1.4337138158051394E-10</v>
      </c>
      <c r="P51" s="18">
        <v>4.6364907875832291E-8</v>
      </c>
      <c r="Q51" s="28">
        <v>0.49260789230570129</v>
      </c>
      <c r="R51" s="61">
        <v>114.66494448376829</v>
      </c>
      <c r="S51" s="58">
        <v>3.0581830842352785E-6</v>
      </c>
      <c r="U51" s="82"/>
      <c r="V51" s="159">
        <f t="shared" si="1"/>
        <v>0.25113387093100004</v>
      </c>
      <c r="W51" s="160">
        <f t="shared" si="2"/>
        <v>1.4608295369262776E-3</v>
      </c>
      <c r="X51" s="160">
        <f t="shared" si="0"/>
        <v>1.358704730890173E-4</v>
      </c>
      <c r="Y51" s="160">
        <f t="shared" si="0"/>
        <v>1.3158993643425966E-3</v>
      </c>
      <c r="Z51" s="161">
        <f t="shared" si="3"/>
        <v>-1.0445055516231705</v>
      </c>
      <c r="AA51" s="161">
        <f t="shared" si="4"/>
        <v>3.0581830842352784E-4</v>
      </c>
    </row>
    <row r="52" spans="2:27" x14ac:dyDescent="0.25">
      <c r="B52" s="121" t="s">
        <v>654</v>
      </c>
      <c r="C52" s="122">
        <f>H52</f>
        <v>1.6567282923091531E-6</v>
      </c>
      <c r="D52" s="123">
        <v>7.9300000000000003E-12</v>
      </c>
      <c r="E52" s="123">
        <v>3.6399999999999998E-10</v>
      </c>
      <c r="F52" s="124">
        <v>62.077117638819857</v>
      </c>
      <c r="G52" s="125">
        <f>G53</f>
        <v>28.41836508397434</v>
      </c>
      <c r="H52" s="120">
        <f>0.0000000000000001*(H62*(C60/B60)*H64*C62+(1-H64)*H50)</f>
        <v>1.6567282923091531E-6</v>
      </c>
      <c r="I52" s="138">
        <v>2.5615654834900001E-2</v>
      </c>
      <c r="J52" s="50">
        <v>1.173283287961895E-3</v>
      </c>
      <c r="K52" s="50">
        <v>1.2047424159827227E-4</v>
      </c>
      <c r="L52" s="67">
        <v>1.2836941566406954E-3</v>
      </c>
      <c r="N52" s="18">
        <v>-1.2130795463541369E-6</v>
      </c>
      <c r="O52" s="18">
        <v>1.4530597687974822E-10</v>
      </c>
      <c r="P52" s="18">
        <v>4.7124620042922685E-8</v>
      </c>
      <c r="Q52" s="28">
        <v>0.49260789230570129</v>
      </c>
      <c r="R52" s="61">
        <v>115.37424501147001</v>
      </c>
      <c r="S52" s="58">
        <v>3.0581830842352785E-6</v>
      </c>
      <c r="U52" s="82"/>
      <c r="V52" s="159">
        <f t="shared" si="1"/>
        <v>0.25615654834900004</v>
      </c>
      <c r="W52" s="160">
        <f t="shared" si="2"/>
        <v>1.173283287961895E-3</v>
      </c>
      <c r="X52" s="160">
        <f t="shared" si="0"/>
        <v>1.2047424159827227E-4</v>
      </c>
      <c r="Y52" s="160">
        <f t="shared" si="0"/>
        <v>1.2836941566406954E-3</v>
      </c>
      <c r="Z52" s="161">
        <f t="shared" si="3"/>
        <v>-0.97357549885299899</v>
      </c>
      <c r="AA52" s="161">
        <f t="shared" si="4"/>
        <v>3.0581830842352784E-4</v>
      </c>
    </row>
    <row r="53" spans="2:27" ht="19.5" x14ac:dyDescent="0.3">
      <c r="B53" s="117" t="s">
        <v>646</v>
      </c>
      <c r="C53" s="118">
        <f>H50</f>
        <v>7.9470977345601922E-7</v>
      </c>
      <c r="D53" s="118">
        <v>1.5392483148537927E-10</v>
      </c>
      <c r="E53" s="118">
        <v>5.0509225500401457E-8</v>
      </c>
      <c r="F53" s="119">
        <f>(4/5)*H56-F52/2</f>
        <v>109.55597966196126</v>
      </c>
      <c r="G53" s="134">
        <v>28.41836508397434</v>
      </c>
      <c r="H53" s="127" t="s">
        <v>618</v>
      </c>
      <c r="I53" s="138">
        <v>2.61279679316E-2</v>
      </c>
      <c r="J53" s="50">
        <v>1.1487110066475184E-3</v>
      </c>
      <c r="K53" s="50">
        <v>5.514748420102802E-5</v>
      </c>
      <c r="L53" s="67">
        <v>1.2686862874620088E-3</v>
      </c>
      <c r="N53" s="18">
        <v>-1.2736872228780039E-6</v>
      </c>
      <c r="O53" s="18">
        <v>1.4695416281453665E-10</v>
      </c>
      <c r="P53" s="18">
        <v>4.7771859762277584E-8</v>
      </c>
      <c r="Q53" s="28">
        <v>0.49260789230570129</v>
      </c>
      <c r="R53" s="61">
        <v>115.37424501147001</v>
      </c>
      <c r="S53" s="58">
        <v>3.00973495490867E-6</v>
      </c>
      <c r="U53" s="82"/>
      <c r="V53" s="159">
        <f t="shared" si="1"/>
        <v>0.26127967931599999</v>
      </c>
      <c r="W53" s="160">
        <f t="shared" si="2"/>
        <v>1.1487110066475184E-3</v>
      </c>
      <c r="X53" s="160">
        <f t="shared" si="0"/>
        <v>5.514748420102802E-5</v>
      </c>
      <c r="Y53" s="160">
        <f t="shared" si="0"/>
        <v>1.2686862874620088E-3</v>
      </c>
      <c r="Z53" s="161">
        <f t="shared" si="3"/>
        <v>-0.97357549885299899</v>
      </c>
      <c r="AA53" s="161">
        <f t="shared" si="4"/>
        <v>3.0097349549086698E-4</v>
      </c>
    </row>
    <row r="54" spans="2:27" x14ac:dyDescent="0.25">
      <c r="B54" s="21" t="s">
        <v>539</v>
      </c>
      <c r="C54" s="118">
        <v>8.9999999999999996E-7</v>
      </c>
      <c r="D54" s="118">
        <v>1.5392483148537927E-10</v>
      </c>
      <c r="E54" s="118">
        <v>5.0509225500401457E-8</v>
      </c>
      <c r="F54" s="119">
        <v>10.8</v>
      </c>
      <c r="G54" s="39">
        <f>F54</f>
        <v>10.8</v>
      </c>
      <c r="H54" s="128">
        <f>H60*H56/5</f>
        <v>26.396624599877441</v>
      </c>
      <c r="I54" s="138">
        <v>2.66505272902E-2</v>
      </c>
      <c r="J54" s="50">
        <v>1.0758824320457499E-3</v>
      </c>
      <c r="K54" s="50">
        <v>5.9006781190610555E-5</v>
      </c>
      <c r="L54" s="67">
        <v>1.2659613207782903E-3</v>
      </c>
      <c r="N54" s="18">
        <v>-1.332242538397166E-6</v>
      </c>
      <c r="O54" s="18">
        <v>1.4834236195868283E-10</v>
      </c>
      <c r="P54" s="18">
        <v>4.831700313164181E-8</v>
      </c>
      <c r="Q54" s="28">
        <v>0.49260789230570129</v>
      </c>
      <c r="R54" s="61">
        <v>116.08354553917172</v>
      </c>
      <c r="S54" s="58">
        <v>3.00973495490867E-6</v>
      </c>
      <c r="U54" s="82"/>
      <c r="V54" s="159">
        <f t="shared" si="1"/>
        <v>0.26650527290199999</v>
      </c>
      <c r="W54" s="160">
        <f t="shared" si="2"/>
        <v>1.0758824320457499E-3</v>
      </c>
      <c r="X54" s="160">
        <f t="shared" si="0"/>
        <v>5.9006781190610555E-5</v>
      </c>
      <c r="Y54" s="160">
        <f t="shared" si="0"/>
        <v>1.2659613207782903E-3</v>
      </c>
      <c r="Z54" s="161">
        <f t="shared" si="3"/>
        <v>-0.9026454460828276</v>
      </c>
      <c r="AA54" s="161">
        <f t="shared" si="4"/>
        <v>3.0097349549086698E-4</v>
      </c>
    </row>
    <row r="55" spans="2:27" ht="20.25" x14ac:dyDescent="0.35">
      <c r="B55" s="170" t="s">
        <v>594</v>
      </c>
      <c r="C55" s="96">
        <v>3.1999999999999999E-6</v>
      </c>
      <c r="D55" s="96">
        <v>2.5307649463664093E-11</v>
      </c>
      <c r="E55" s="96">
        <v>1.486857631694136E-12</v>
      </c>
      <c r="F55" s="152">
        <v>15.6</v>
      </c>
      <c r="G55" s="95">
        <f>F54</f>
        <v>10.8</v>
      </c>
      <c r="H55" s="127" t="s">
        <v>647</v>
      </c>
      <c r="I55" s="138">
        <v>2.7183537835999999E-2</v>
      </c>
      <c r="J55" s="50">
        <v>1.0443868598340564E-3</v>
      </c>
      <c r="K55" s="50">
        <v>5.5688042207728699E-5</v>
      </c>
      <c r="L55" s="67">
        <v>1.2606068109172167E-3</v>
      </c>
      <c r="N55" s="18">
        <v>-1.3890416790017462E-6</v>
      </c>
      <c r="O55" s="18">
        <v>1.4949827927620444E-10</v>
      </c>
      <c r="P55" s="18">
        <v>4.8770929841116661E-8</v>
      </c>
      <c r="Q55" s="28">
        <v>0.49260789230570129</v>
      </c>
      <c r="R55" s="61">
        <v>116.08354553917172</v>
      </c>
      <c r="S55" s="58">
        <v>2.9497396207335916E-6</v>
      </c>
      <c r="U55" s="82"/>
      <c r="V55" s="159">
        <f t="shared" si="1"/>
        <v>0.27183537835999999</v>
      </c>
      <c r="W55" s="160">
        <f t="shared" si="2"/>
        <v>1.0443868598340564E-3</v>
      </c>
      <c r="X55" s="160">
        <f t="shared" si="0"/>
        <v>5.5688042207728699E-5</v>
      </c>
      <c r="Y55" s="160">
        <f t="shared" si="0"/>
        <v>1.2606068109172167E-3</v>
      </c>
      <c r="Z55" s="161">
        <f t="shared" si="3"/>
        <v>-0.9026454460828276</v>
      </c>
      <c r="AA55" s="161">
        <f t="shared" si="4"/>
        <v>2.9497396207335915E-4</v>
      </c>
    </row>
    <row r="56" spans="2:27" x14ac:dyDescent="0.25">
      <c r="B56" s="94" t="s">
        <v>52</v>
      </c>
      <c r="C56" s="96">
        <v>2.0700000000000001E-6</v>
      </c>
      <c r="D56" s="96">
        <v>4.7498147887006942E-11</v>
      </c>
      <c r="E56" s="96">
        <v>1.9976998807213682E-12</v>
      </c>
      <c r="F56" s="95">
        <v>100</v>
      </c>
      <c r="G56" s="95">
        <v>5</v>
      </c>
      <c r="H56" s="134">
        <v>175.74317310171398</v>
      </c>
      <c r="I56" s="138">
        <v>2.77272085928E-2</v>
      </c>
      <c r="J56" s="50">
        <v>1.0246752036345069E-3</v>
      </c>
      <c r="K56" s="50">
        <v>5.3285800754499332E-5</v>
      </c>
      <c r="L56" s="67">
        <v>1.2376968049401945E-3</v>
      </c>
      <c r="N56" s="18">
        <v>-1.4443138723822516E-6</v>
      </c>
      <c r="O56" s="18">
        <v>1.5044982829335644E-10</v>
      </c>
      <c r="P56" s="18">
        <v>4.914460148282311E-8</v>
      </c>
      <c r="Q56" s="28">
        <v>0.49260789230570129</v>
      </c>
      <c r="R56" s="61">
        <v>116.79284606687344</v>
      </c>
      <c r="S56" s="58">
        <v>2.9497396207335916E-6</v>
      </c>
      <c r="U56" s="82"/>
      <c r="V56" s="159">
        <f t="shared" si="1"/>
        <v>0.27727208592800001</v>
      </c>
      <c r="W56" s="160">
        <f t="shared" si="2"/>
        <v>1.0246752036345069E-3</v>
      </c>
      <c r="X56" s="160">
        <f t="shared" si="0"/>
        <v>5.3285800754499332E-5</v>
      </c>
      <c r="Y56" s="160">
        <f t="shared" si="0"/>
        <v>1.2376968049401945E-3</v>
      </c>
      <c r="Z56" s="161">
        <f t="shared" si="3"/>
        <v>-0.8317153933126562</v>
      </c>
      <c r="AA56" s="161">
        <f t="shared" si="4"/>
        <v>2.9497396207335915E-4</v>
      </c>
    </row>
    <row r="57" spans="2:27" ht="19.5" x14ac:dyDescent="0.3">
      <c r="B57" s="129"/>
      <c r="C57" s="130"/>
      <c r="D57" s="130"/>
      <c r="E57" s="130"/>
      <c r="F57" s="130"/>
      <c r="G57" s="130"/>
      <c r="H57" s="127" t="s">
        <v>648</v>
      </c>
      <c r="I57" s="138">
        <v>2.8281752764600002E-2</v>
      </c>
      <c r="J57" s="50">
        <v>1.1306535567879668E-3</v>
      </c>
      <c r="K57" s="50">
        <v>5.7472490489432261E-5</v>
      </c>
      <c r="L57" s="67">
        <v>1.1940683210621629E-3</v>
      </c>
      <c r="N57" s="18">
        <v>-1.4982101531135418E-6</v>
      </c>
      <c r="O57" s="18">
        <v>1.5122422760697556E-10</v>
      </c>
      <c r="P57" s="18">
        <v>4.944870675133549E-8</v>
      </c>
      <c r="Q57" s="28">
        <v>0.49260789230570129</v>
      </c>
      <c r="R57" s="61">
        <v>116.79284606687344</v>
      </c>
      <c r="S57" s="58">
        <v>2.8772111022195653E-6</v>
      </c>
      <c r="U57" s="82"/>
      <c r="V57" s="159">
        <f t="shared" si="1"/>
        <v>0.28281752764599999</v>
      </c>
      <c r="W57" s="160">
        <f t="shared" si="2"/>
        <v>1.1306535567879668E-3</v>
      </c>
      <c r="X57" s="160">
        <f t="shared" si="0"/>
        <v>5.7472490489432261E-5</v>
      </c>
      <c r="Y57" s="160">
        <f t="shared" si="0"/>
        <v>1.1940683210621629E-3</v>
      </c>
      <c r="Z57" s="161">
        <f t="shared" si="3"/>
        <v>-0.8317153933126562</v>
      </c>
      <c r="AA57" s="161">
        <f t="shared" si="4"/>
        <v>2.8772111022195651E-4</v>
      </c>
    </row>
    <row r="58" spans="2:27" x14ac:dyDescent="0.25">
      <c r="B58" s="129"/>
      <c r="C58" s="130"/>
      <c r="D58" s="130"/>
      <c r="E58" s="130"/>
      <c r="F58" s="130"/>
      <c r="G58" s="130"/>
      <c r="H58" s="128">
        <f>SUM(F50:F53)</f>
        <v>597.52678854582746</v>
      </c>
      <c r="I58" s="138">
        <v>2.8847387819900001E-2</v>
      </c>
      <c r="J58" s="50">
        <v>1.1109712132396784E-3</v>
      </c>
      <c r="K58" s="50">
        <v>5.4606269191272827E-5</v>
      </c>
      <c r="L58" s="67">
        <v>1.1412771418243585E-3</v>
      </c>
      <c r="N58" s="18">
        <v>-1.5507988658819623E-6</v>
      </c>
      <c r="O58" s="18">
        <v>1.5184728519851792E-10</v>
      </c>
      <c r="P58" s="18">
        <v>4.9693380395076935E-8</v>
      </c>
      <c r="Q58" s="28">
        <v>0.49260789230570129</v>
      </c>
      <c r="R58" s="61">
        <v>117.50214659457515</v>
      </c>
      <c r="S58" s="58">
        <v>2.8772111022195653E-6</v>
      </c>
      <c r="U58" s="82"/>
      <c r="V58" s="159">
        <f t="shared" si="1"/>
        <v>0.288473878199</v>
      </c>
      <c r="W58" s="160">
        <f t="shared" si="2"/>
        <v>1.1109712132396784E-3</v>
      </c>
      <c r="X58" s="160">
        <f t="shared" si="0"/>
        <v>5.4606269191272827E-5</v>
      </c>
      <c r="Y58" s="160">
        <f t="shared" si="0"/>
        <v>1.1412771418243585E-3</v>
      </c>
      <c r="Z58" s="161">
        <f t="shared" si="3"/>
        <v>-0.76078534054248481</v>
      </c>
      <c r="AA58" s="161">
        <f t="shared" si="4"/>
        <v>2.8772111022195651E-4</v>
      </c>
    </row>
    <row r="59" spans="2:27" ht="19.5" x14ac:dyDescent="0.3">
      <c r="B59" s="127" t="s">
        <v>623</v>
      </c>
      <c r="C59" s="127" t="s">
        <v>624</v>
      </c>
      <c r="D59" s="127" t="s">
        <v>649</v>
      </c>
      <c r="H59" s="174" t="s">
        <v>621</v>
      </c>
      <c r="I59" s="138">
        <v>2.94243355763E-2</v>
      </c>
      <c r="J59" s="50">
        <v>1.0892529576606016E-3</v>
      </c>
      <c r="K59" s="50">
        <v>5.2280946475689084E-5</v>
      </c>
      <c r="L59" s="67">
        <v>1.0954602118322036E-3</v>
      </c>
      <c r="N59" s="18">
        <v>-1.6020676719750679E-6</v>
      </c>
      <c r="O59" s="18">
        <v>1.5234287337505701E-10</v>
      </c>
      <c r="P59" s="18">
        <v>4.9887997026582963E-8</v>
      </c>
      <c r="Q59" s="28">
        <v>0.49260789230570129</v>
      </c>
      <c r="R59" s="61">
        <v>117.50214659457515</v>
      </c>
      <c r="S59" s="58">
        <v>2.7915911000141908E-6</v>
      </c>
      <c r="U59" s="82"/>
      <c r="V59" s="159">
        <f t="shared" si="1"/>
        <v>0.29424335576299998</v>
      </c>
      <c r="W59" s="160">
        <f t="shared" si="2"/>
        <v>1.0892529576606016E-3</v>
      </c>
      <c r="X59" s="160">
        <f t="shared" si="0"/>
        <v>5.2280946475689084E-5</v>
      </c>
      <c r="Y59" s="160">
        <f t="shared" si="0"/>
        <v>1.0954602118322036E-3</v>
      </c>
      <c r="Z59" s="161">
        <f t="shared" si="3"/>
        <v>-0.76078534054248481</v>
      </c>
      <c r="AA59" s="161">
        <f t="shared" si="4"/>
        <v>2.7915911000141907E-4</v>
      </c>
    </row>
    <row r="60" spans="2:27" x14ac:dyDescent="0.25">
      <c r="B60" s="175">
        <v>86.1</v>
      </c>
      <c r="C60" s="175">
        <v>92.1</v>
      </c>
      <c r="D60" s="175">
        <v>111.16</v>
      </c>
      <c r="H60" s="162">
        <v>0.751</v>
      </c>
      <c r="I60" s="138">
        <v>3.0012822287800001E-2</v>
      </c>
      <c r="J60" s="50">
        <v>1.0284600937814227E-3</v>
      </c>
      <c r="K60" s="50">
        <v>5.109018377757256E-5</v>
      </c>
      <c r="L60" s="67">
        <v>1.0620281442880481E-3</v>
      </c>
      <c r="N60" s="18">
        <v>-1.6396042502083744E-6</v>
      </c>
      <c r="O60" s="18">
        <v>1.5264399380304361E-10</v>
      </c>
      <c r="P60" s="18">
        <v>5.0006246510318276E-8</v>
      </c>
      <c r="Q60" s="28">
        <v>0.24630394615285064</v>
      </c>
      <c r="R60" s="61">
        <v>118.21144712227687</v>
      </c>
      <c r="S60" s="58">
        <v>2.7915911000141908E-6</v>
      </c>
      <c r="U60" s="82"/>
      <c r="V60" s="159">
        <f t="shared" si="1"/>
        <v>0.30012822287800001</v>
      </c>
      <c r="W60" s="160">
        <f t="shared" si="2"/>
        <v>1.0284600937814227E-3</v>
      </c>
      <c r="X60" s="160">
        <f t="shared" si="0"/>
        <v>5.109018377757256E-5</v>
      </c>
      <c r="Y60" s="160">
        <f t="shared" si="0"/>
        <v>1.0620281442880481E-3</v>
      </c>
      <c r="Z60" s="161">
        <f t="shared" si="3"/>
        <v>-0.68985528777231342</v>
      </c>
      <c r="AA60" s="161">
        <f t="shared" si="4"/>
        <v>2.7915911000141907E-4</v>
      </c>
    </row>
    <row r="61" spans="2:27" ht="19.5" x14ac:dyDescent="0.3">
      <c r="B61" s="127" t="s">
        <v>629</v>
      </c>
      <c r="C61" s="127" t="s">
        <v>630</v>
      </c>
      <c r="D61" s="127" t="s">
        <v>651</v>
      </c>
      <c r="H61" s="126" t="s">
        <v>650</v>
      </c>
      <c r="I61" s="138">
        <v>3.0613078733599999E-2</v>
      </c>
      <c r="J61" s="50">
        <v>9.5542025757753516E-4</v>
      </c>
      <c r="K61" s="50">
        <v>4.7070652894674083E-5</v>
      </c>
      <c r="L61" s="67">
        <v>1.0299024444165182E-3</v>
      </c>
      <c r="N61" s="18">
        <v>-1.6990634407882615E-6</v>
      </c>
      <c r="O61" s="18">
        <v>1.5392482398563145E-10</v>
      </c>
      <c r="P61" s="18">
        <v>5.0509226276326147E-8</v>
      </c>
      <c r="Q61" s="28">
        <v>0.59460507284904895</v>
      </c>
      <c r="R61" s="61">
        <v>118.21144712227687</v>
      </c>
      <c r="S61" s="58">
        <v>2.6928854068739308E-6</v>
      </c>
      <c r="U61" s="82"/>
      <c r="V61" s="159">
        <f t="shared" si="1"/>
        <v>0.30613078733599997</v>
      </c>
      <c r="W61" s="160">
        <f t="shared" si="2"/>
        <v>9.5542025757753516E-4</v>
      </c>
      <c r="X61" s="160">
        <f t="shared" si="0"/>
        <v>4.7070652894674083E-5</v>
      </c>
      <c r="Y61" s="160">
        <f t="shared" si="0"/>
        <v>1.0299024444165182E-3</v>
      </c>
      <c r="Z61" s="161">
        <f t="shared" si="3"/>
        <v>-0.68985528777231342</v>
      </c>
      <c r="AA61" s="161">
        <f t="shared" si="4"/>
        <v>2.6928854068739309E-4</v>
      </c>
    </row>
    <row r="62" spans="2:27" x14ac:dyDescent="0.25">
      <c r="B62" s="120">
        <v>11000000000</v>
      </c>
      <c r="C62" s="120">
        <v>51100000000</v>
      </c>
      <c r="D62" s="120">
        <v>11600000000</v>
      </c>
      <c r="H62" s="171">
        <v>0.71278254745189806</v>
      </c>
      <c r="I62" s="138">
        <v>3.1225340308300001E-2</v>
      </c>
      <c r="J62" s="50">
        <v>9.0642235015162573E-4</v>
      </c>
      <c r="K62" s="50">
        <v>4.7207889331285173E-5</v>
      </c>
      <c r="L62" s="67">
        <v>9.8251044029224453E-4</v>
      </c>
      <c r="N62" s="18">
        <v>-1.7506859288047188E-6</v>
      </c>
      <c r="O62" s="18">
        <v>1.5392482389512073E-10</v>
      </c>
      <c r="P62" s="18">
        <v>5.0509226285690394E-8</v>
      </c>
      <c r="Q62" s="28">
        <v>0.60476408520223135</v>
      </c>
      <c r="R62" s="61">
        <v>118.92074764997858</v>
      </c>
      <c r="S62" s="58">
        <v>2.6928854068739308E-6</v>
      </c>
      <c r="U62" s="82"/>
      <c r="V62" s="159">
        <f t="shared" si="1"/>
        <v>0.31225340308299998</v>
      </c>
      <c r="W62" s="160">
        <f t="shared" si="2"/>
        <v>9.0642235015162573E-4</v>
      </c>
      <c r="X62" s="160">
        <f t="shared" si="0"/>
        <v>4.7207889331285173E-5</v>
      </c>
      <c r="Y62" s="160">
        <f t="shared" si="0"/>
        <v>9.8251044029224453E-4</v>
      </c>
      <c r="Z62" s="161">
        <f t="shared" si="3"/>
        <v>-0.61892523500214192</v>
      </c>
      <c r="AA62" s="161">
        <f t="shared" si="4"/>
        <v>2.6928854068739309E-4</v>
      </c>
    </row>
    <row r="63" spans="2:27" ht="18.75" x14ac:dyDescent="0.25">
      <c r="H63" s="126" t="s">
        <v>652</v>
      </c>
      <c r="I63" s="138">
        <v>3.1849847114399997E-2</v>
      </c>
      <c r="J63" s="50">
        <v>9.1202467219051093E-4</v>
      </c>
      <c r="K63" s="50">
        <v>4.7980878267463548E-5</v>
      </c>
      <c r="L63" s="67">
        <v>9.1567582764796667E-4</v>
      </c>
      <c r="N63" s="18">
        <v>-1.8022983197714897E-6</v>
      </c>
      <c r="O63" s="18">
        <v>1.5392482380113264E-10</v>
      </c>
      <c r="P63" s="18">
        <v>5.0509226295414412E-8</v>
      </c>
      <c r="Q63" s="28">
        <v>0.62617365761765809</v>
      </c>
      <c r="R63" s="61">
        <v>118.92074764997858</v>
      </c>
      <c r="S63" s="58">
        <v>2.581759759891549E-6</v>
      </c>
      <c r="U63" s="82"/>
      <c r="V63" s="159">
        <f t="shared" si="1"/>
        <v>0.31849847114399998</v>
      </c>
      <c r="W63" s="160">
        <f t="shared" si="2"/>
        <v>9.1202467219051093E-4</v>
      </c>
      <c r="X63" s="160">
        <f t="shared" si="0"/>
        <v>4.7980878267463548E-5</v>
      </c>
      <c r="Y63" s="160">
        <f t="shared" si="0"/>
        <v>9.1567582764796667E-4</v>
      </c>
      <c r="Z63" s="161">
        <f t="shared" si="3"/>
        <v>-0.61892523500214192</v>
      </c>
      <c r="AA63" s="161">
        <f t="shared" si="4"/>
        <v>2.5817597598915492E-4</v>
      </c>
    </row>
    <row r="64" spans="2:27" x14ac:dyDescent="0.25">
      <c r="E64" s="129"/>
      <c r="F64" s="176"/>
      <c r="G64" s="176"/>
      <c r="H64" s="175">
        <f>H54/F52</f>
        <v>0.42522310319656886</v>
      </c>
      <c r="I64" s="138">
        <v>3.24868440567E-2</v>
      </c>
      <c r="J64" s="50">
        <v>9.043595276418886E-4</v>
      </c>
      <c r="K64" s="50">
        <v>4.8803106020467816E-5</v>
      </c>
      <c r="L64" s="67">
        <v>8.4328510688538676E-4</v>
      </c>
      <c r="N64" s="18">
        <v>-1.8538669546837198E-6</v>
      </c>
      <c r="O64" s="18">
        <v>1.5392482370162483E-10</v>
      </c>
      <c r="P64" s="18">
        <v>5.0509226305709502E-8</v>
      </c>
      <c r="Q64" s="28">
        <v>0.66133091437271119</v>
      </c>
      <c r="R64" s="61">
        <v>119.63004817768029</v>
      </c>
      <c r="S64" s="58">
        <v>2.581759759891549E-6</v>
      </c>
      <c r="U64" s="82"/>
      <c r="V64" s="159">
        <f t="shared" si="1"/>
        <v>0.32486844056699998</v>
      </c>
      <c r="W64" s="160">
        <f t="shared" si="2"/>
        <v>9.043595276418886E-4</v>
      </c>
      <c r="X64" s="160">
        <f t="shared" si="0"/>
        <v>4.8803106020467816E-5</v>
      </c>
      <c r="Y64" s="160">
        <f t="shared" si="0"/>
        <v>8.4328510688538676E-4</v>
      </c>
      <c r="Z64" s="161">
        <f t="shared" si="3"/>
        <v>-0.54799518223197052</v>
      </c>
      <c r="AA64" s="161">
        <f t="shared" si="4"/>
        <v>2.5817597598915492E-4</v>
      </c>
    </row>
    <row r="65" spans="8:27" x14ac:dyDescent="0.25">
      <c r="H65" s="175" t="e">
        <f>H55/F54</f>
        <v>#VALUE!</v>
      </c>
      <c r="I65" s="138">
        <v>3.31365809379E-2</v>
      </c>
      <c r="J65" s="50">
        <v>8.3728086489112251E-4</v>
      </c>
      <c r="K65" s="50">
        <v>4.7899211069423641E-5</v>
      </c>
      <c r="L65" s="67">
        <v>7.8301500411835569E-4</v>
      </c>
      <c r="N65" s="18">
        <v>-1.9053092721312155E-6</v>
      </c>
      <c r="O65" s="18">
        <v>1.5392482359388174E-10</v>
      </c>
      <c r="P65" s="18">
        <v>5.0509226316856614E-8</v>
      </c>
      <c r="Q65" s="28">
        <v>0.71495204999419848</v>
      </c>
      <c r="R65" s="61">
        <v>119.63004817768029</v>
      </c>
      <c r="S65" s="58">
        <v>2.459582073943824E-6</v>
      </c>
      <c r="U65" s="82"/>
      <c r="V65" s="159">
        <f t="shared" si="1"/>
        <v>0.33136580937900001</v>
      </c>
      <c r="W65" s="160">
        <f t="shared" si="2"/>
        <v>8.3728086489112251E-4</v>
      </c>
      <c r="X65" s="160">
        <f t="shared" si="0"/>
        <v>4.7899211069423641E-5</v>
      </c>
      <c r="Y65" s="160">
        <f t="shared" si="0"/>
        <v>7.8301500411835569E-4</v>
      </c>
      <c r="Z65" s="161">
        <f t="shared" si="3"/>
        <v>-0.54799518223197052</v>
      </c>
      <c r="AA65" s="161">
        <f t="shared" si="4"/>
        <v>2.4595820739438238E-4</v>
      </c>
    </row>
    <row r="66" spans="8:27" x14ac:dyDescent="0.25">
      <c r="I66" s="138">
        <v>3.37993125566E-2</v>
      </c>
      <c r="J66" s="50">
        <v>8.0512451618791668E-4</v>
      </c>
      <c r="K66" s="50">
        <v>4.5908247845728331E-5</v>
      </c>
      <c r="L66" s="67">
        <v>7.371258330089069E-4</v>
      </c>
      <c r="N66" s="18">
        <v>-1.9564536401127636E-6</v>
      </c>
      <c r="O66" s="18">
        <v>1.5392482347395151E-10</v>
      </c>
      <c r="P66" s="18">
        <v>5.0509226329264608E-8</v>
      </c>
      <c r="Q66" s="28">
        <v>0.79585642447368043</v>
      </c>
      <c r="R66" s="61">
        <v>120.33934870538201</v>
      </c>
      <c r="S66" s="58">
        <v>2.459582073943824E-6</v>
      </c>
      <c r="U66" s="82"/>
      <c r="V66" s="159">
        <f t="shared" si="1"/>
        <v>0.33799312556600003</v>
      </c>
      <c r="W66" s="160">
        <f t="shared" si="2"/>
        <v>8.0512451618791668E-4</v>
      </c>
      <c r="X66" s="160">
        <f t="shared" si="0"/>
        <v>4.5908247845728331E-5</v>
      </c>
      <c r="Y66" s="160">
        <f t="shared" si="0"/>
        <v>7.371258330089069E-4</v>
      </c>
      <c r="Z66" s="161">
        <f t="shared" si="3"/>
        <v>-0.47706512946179913</v>
      </c>
      <c r="AA66" s="161">
        <f t="shared" si="4"/>
        <v>2.4595820739438238E-4</v>
      </c>
    </row>
    <row r="67" spans="8:27" x14ac:dyDescent="0.25">
      <c r="I67" s="138">
        <v>3.4475298807699999E-2</v>
      </c>
      <c r="J67" s="50">
        <v>7.832623033386622E-4</v>
      </c>
      <c r="K67" s="50">
        <v>4.4426237921148153E-5</v>
      </c>
      <c r="L67" s="67">
        <v>6.9116328620014232E-4</v>
      </c>
      <c r="N67" s="18">
        <v>-2.006965139522994E-6</v>
      </c>
      <c r="O67" s="18">
        <v>1.5392482333547788E-10</v>
      </c>
      <c r="P67" s="18">
        <v>5.0509226343591105E-8</v>
      </c>
      <c r="Q67" s="28">
        <v>0.92165756523557085</v>
      </c>
      <c r="R67" s="61">
        <v>120.33934870538201</v>
      </c>
      <c r="S67" s="58">
        <v>2.3283999989479499E-6</v>
      </c>
      <c r="U67" s="82"/>
      <c r="V67" s="159">
        <f t="shared" si="1"/>
        <v>0.344752988077</v>
      </c>
      <c r="W67" s="160">
        <f t="shared" si="2"/>
        <v>7.832623033386622E-4</v>
      </c>
      <c r="X67" s="160">
        <f t="shared" si="2"/>
        <v>4.4426237921148153E-5</v>
      </c>
      <c r="Y67" s="160">
        <f t="shared" si="2"/>
        <v>6.9116328620014232E-4</v>
      </c>
      <c r="Z67" s="161">
        <f t="shared" si="3"/>
        <v>-0.47706512946179913</v>
      </c>
      <c r="AA67" s="161">
        <f t="shared" si="4"/>
        <v>2.3283999989479498E-4</v>
      </c>
    </row>
    <row r="68" spans="8:27" x14ac:dyDescent="0.25">
      <c r="I68" s="138">
        <v>3.5164804783900001E-2</v>
      </c>
      <c r="J68" s="50">
        <v>6.4792064058505361E-4</v>
      </c>
      <c r="K68" s="50">
        <v>3.9411853213733578E-5</v>
      </c>
      <c r="L68" s="67">
        <v>6.3327335298018605E-4</v>
      </c>
      <c r="N68" s="18">
        <v>-2.0561953547612109E-6</v>
      </c>
      <c r="O68" s="18">
        <v>1.5392482316682609E-10</v>
      </c>
      <c r="P68" s="18">
        <v>5.0509226361039838E-8</v>
      </c>
      <c r="Q68" s="28">
        <v>1.1325547674727638</v>
      </c>
      <c r="R68" s="61">
        <v>121.04864923308372</v>
      </c>
      <c r="S68" s="58">
        <v>2.3283999989479499E-6</v>
      </c>
      <c r="U68" s="82"/>
      <c r="V68" s="159">
        <f t="shared" ref="V68:V131" si="6">I68*10</f>
        <v>0.351648047839</v>
      </c>
      <c r="W68" s="160">
        <f t="shared" ref="W68:Y131" si="7">J68</f>
        <v>6.4792064058505361E-4</v>
      </c>
      <c r="X68" s="160">
        <f t="shared" si="7"/>
        <v>3.9411853213733578E-5</v>
      </c>
      <c r="Y68" s="160">
        <f t="shared" si="7"/>
        <v>6.3327335298018605E-4</v>
      </c>
      <c r="Z68" s="161">
        <f t="shared" ref="Z68:Z131" si="8">(R68-125.11)/10</f>
        <v>-0.40613507669162774</v>
      </c>
      <c r="AA68" s="161">
        <f t="shared" ref="AA68:AA131" si="9">S68*100</f>
        <v>2.3283999989479498E-4</v>
      </c>
    </row>
    <row r="69" spans="8:27" x14ac:dyDescent="0.25">
      <c r="I69" s="138">
        <v>3.5868100879599997E-2</v>
      </c>
      <c r="J69" s="50">
        <v>6.1511847784446896E-4</v>
      </c>
      <c r="K69" s="50">
        <v>3.86816468237264E-5</v>
      </c>
      <c r="L69" s="67">
        <v>5.7032728656893528E-4</v>
      </c>
      <c r="N69" s="18">
        <v>-2.1028435826145558E-6</v>
      </c>
      <c r="O69" s="18">
        <v>1.5392482294187259E-10</v>
      </c>
      <c r="P69" s="18">
        <v>5.0509226384313551E-8</v>
      </c>
      <c r="Q69" s="28">
        <v>1.545793530304135</v>
      </c>
      <c r="R69" s="61">
        <v>121.04864923308372</v>
      </c>
      <c r="S69" s="58">
        <v>2.190849536476276E-6</v>
      </c>
      <c r="U69" s="82"/>
      <c r="V69" s="159">
        <f t="shared" si="6"/>
        <v>0.35868100879599996</v>
      </c>
      <c r="W69" s="160">
        <f t="shared" si="7"/>
        <v>6.1511847784446896E-4</v>
      </c>
      <c r="X69" s="160">
        <f t="shared" si="7"/>
        <v>3.86816468237264E-5</v>
      </c>
      <c r="Y69" s="160">
        <f t="shared" si="7"/>
        <v>5.7032728656893528E-4</v>
      </c>
      <c r="Z69" s="161">
        <f t="shared" si="8"/>
        <v>-0.40613507669162774</v>
      </c>
      <c r="AA69" s="161">
        <f t="shared" si="9"/>
        <v>2.1908495364762759E-4</v>
      </c>
    </row>
    <row r="70" spans="8:27" x14ac:dyDescent="0.25">
      <c r="I70" s="138">
        <v>3.6585462897200001E-2</v>
      </c>
      <c r="J70" s="50">
        <v>5.4357617090082175E-4</v>
      </c>
      <c r="K70" s="50">
        <v>3.7279526928522056E-5</v>
      </c>
      <c r="L70" s="67">
        <v>5.1926419274419622E-4</v>
      </c>
      <c r="N70" s="18">
        <v>-2.1440685703927756E-6</v>
      </c>
      <c r="O70" s="18">
        <v>1.5392482256630806E-10</v>
      </c>
      <c r="P70" s="18">
        <v>5.0509226423169493E-8</v>
      </c>
      <c r="Q70" s="28">
        <v>2.7778114966816063</v>
      </c>
      <c r="R70" s="61">
        <v>121.75794976078544</v>
      </c>
      <c r="S70" s="58">
        <v>2.190849536476276E-6</v>
      </c>
      <c r="U70" s="82"/>
      <c r="V70" s="159">
        <f t="shared" si="6"/>
        <v>0.365854628972</v>
      </c>
      <c r="W70" s="160">
        <f t="shared" si="7"/>
        <v>5.4357617090082175E-4</v>
      </c>
      <c r="X70" s="160">
        <f t="shared" si="7"/>
        <v>3.7279526928522056E-5</v>
      </c>
      <c r="Y70" s="160">
        <f t="shared" si="7"/>
        <v>5.1926419274419622E-4</v>
      </c>
      <c r="Z70" s="161">
        <f t="shared" si="8"/>
        <v>-0.33520502392145629</v>
      </c>
      <c r="AA70" s="161">
        <f t="shared" si="9"/>
        <v>2.1908495364762759E-4</v>
      </c>
    </row>
    <row r="71" spans="8:27" x14ac:dyDescent="0.25">
      <c r="I71" s="138">
        <v>3.7317172155099998E-2</v>
      </c>
      <c r="J71" s="50">
        <v>3.7757889799782746E-4</v>
      </c>
      <c r="K71" s="50">
        <v>3.3476757561143593E-5</v>
      </c>
      <c r="L71" s="67">
        <v>4.8446311190485515E-4</v>
      </c>
      <c r="N71" s="18">
        <v>-2.1725654354251816E-6</v>
      </c>
      <c r="O71" s="18">
        <v>1.5392482197081547E-10</v>
      </c>
      <c r="P71" s="18">
        <v>5.0509226484779215E-8</v>
      </c>
      <c r="Q71" s="28">
        <v>3.7304008437843104</v>
      </c>
      <c r="R71" s="61">
        <v>121.75794976078544</v>
      </c>
      <c r="S71" s="58">
        <v>2.085342824269891E-6</v>
      </c>
      <c r="U71" s="82"/>
      <c r="V71" s="159">
        <f t="shared" si="6"/>
        <v>0.37317172155099998</v>
      </c>
      <c r="W71" s="160">
        <f t="shared" si="7"/>
        <v>3.7757889799782746E-4</v>
      </c>
      <c r="X71" s="160">
        <f t="shared" si="7"/>
        <v>3.3476757561143593E-5</v>
      </c>
      <c r="Y71" s="160">
        <f t="shared" si="7"/>
        <v>4.8446311190485515E-4</v>
      </c>
      <c r="Z71" s="161">
        <f t="shared" si="8"/>
        <v>-0.33520502392145629</v>
      </c>
      <c r="AA71" s="161">
        <f t="shared" si="9"/>
        <v>2.085342824269891E-4</v>
      </c>
    </row>
    <row r="72" spans="8:27" x14ac:dyDescent="0.25">
      <c r="I72" s="138">
        <v>3.8063515598200003E-2</v>
      </c>
      <c r="J72" s="50">
        <v>4.0965106557537832E-4</v>
      </c>
      <c r="K72" s="50">
        <v>3.2738395504270126E-5</v>
      </c>
      <c r="L72" s="67">
        <v>4.5247992294392749E-4</v>
      </c>
      <c r="N72" s="18">
        <v>-2.1765031000644796E-6</v>
      </c>
      <c r="O72" s="18">
        <v>1.539248112539075E-10</v>
      </c>
      <c r="P72" s="18">
        <v>5.0509227593551636E-8</v>
      </c>
      <c r="Q72" s="28">
        <v>73.392065926527707</v>
      </c>
      <c r="R72" s="61">
        <v>122.11260002463629</v>
      </c>
      <c r="S72" s="58">
        <v>2.085342824269891E-6</v>
      </c>
      <c r="U72" s="82"/>
      <c r="V72" s="159">
        <f t="shared" si="6"/>
        <v>0.38063515598200004</v>
      </c>
      <c r="W72" s="160">
        <f t="shared" si="7"/>
        <v>4.0965106557537832E-4</v>
      </c>
      <c r="X72" s="160">
        <f t="shared" si="7"/>
        <v>3.2738395504270126E-5</v>
      </c>
      <c r="Y72" s="160">
        <f t="shared" si="7"/>
        <v>4.5247992294392749E-4</v>
      </c>
      <c r="Z72" s="161">
        <f t="shared" si="8"/>
        <v>-0.29973999753637059</v>
      </c>
      <c r="AA72" s="161">
        <f t="shared" si="9"/>
        <v>2.085342824269891E-4</v>
      </c>
    </row>
    <row r="73" spans="8:27" x14ac:dyDescent="0.25">
      <c r="I73" s="138">
        <v>3.8824785910199999E-2</v>
      </c>
      <c r="J73" s="50">
        <v>3.7601901705872391E-4</v>
      </c>
      <c r="K73" s="50">
        <v>3.1576226035098229E-5</v>
      </c>
      <c r="L73" s="67">
        <v>4.1226011287665416E-4</v>
      </c>
      <c r="N73" s="18">
        <v>-2.1742719536554624E-6</v>
      </c>
      <c r="O73" s="18">
        <v>1.5335363160582558E-10</v>
      </c>
      <c r="P73" s="18">
        <v>5.0313060626569893E-8</v>
      </c>
      <c r="Q73" s="28">
        <v>41.041547313020502</v>
      </c>
      <c r="R73" s="61">
        <v>122.11260002463629</v>
      </c>
      <c r="S73" s="58">
        <v>2.0154272105384767E-6</v>
      </c>
      <c r="U73" s="82"/>
      <c r="V73" s="159">
        <f t="shared" si="6"/>
        <v>0.38824785910199999</v>
      </c>
      <c r="W73" s="160">
        <f t="shared" si="7"/>
        <v>3.7601901705872391E-4</v>
      </c>
      <c r="X73" s="160">
        <f t="shared" si="7"/>
        <v>3.1576226035098229E-5</v>
      </c>
      <c r="Y73" s="160">
        <f t="shared" si="7"/>
        <v>4.1226011287665416E-4</v>
      </c>
      <c r="Z73" s="161">
        <f t="shared" si="8"/>
        <v>-0.29973999753637059</v>
      </c>
      <c r="AA73" s="161">
        <f t="shared" si="9"/>
        <v>2.0154272105384765E-4</v>
      </c>
    </row>
    <row r="74" spans="8:27" x14ac:dyDescent="0.25">
      <c r="I74" s="138">
        <v>3.9601281628400001E-2</v>
      </c>
      <c r="J74" s="50">
        <v>3.2853419247090305E-4</v>
      </c>
      <c r="K74" s="50">
        <v>2.9168425782424078E-5</v>
      </c>
      <c r="L74" s="67">
        <v>3.7144133241613555E-4</v>
      </c>
      <c r="N74" s="18">
        <v>-2.1581210868845224E-6</v>
      </c>
      <c r="O74" s="18">
        <v>1.492200779172928E-10</v>
      </c>
      <c r="P74" s="18">
        <v>4.8893322675329294E-8</v>
      </c>
      <c r="Q74" s="28">
        <v>30.561241738316038</v>
      </c>
      <c r="R74" s="61">
        <v>122.35890397078914</v>
      </c>
      <c r="S74" s="58">
        <v>2.0154272105384767E-6</v>
      </c>
      <c r="U74" s="82"/>
      <c r="V74" s="159">
        <f t="shared" si="6"/>
        <v>0.39601281628399998</v>
      </c>
      <c r="W74" s="160">
        <f t="shared" si="7"/>
        <v>3.2853419247090305E-4</v>
      </c>
      <c r="X74" s="160">
        <f t="shared" si="7"/>
        <v>2.9168425782424078E-5</v>
      </c>
      <c r="Y74" s="160">
        <f t="shared" si="7"/>
        <v>3.7144133241613555E-4</v>
      </c>
      <c r="Z74" s="161">
        <f t="shared" si="8"/>
        <v>-0.27510960292108566</v>
      </c>
      <c r="AA74" s="161">
        <f t="shared" si="9"/>
        <v>2.0154272105384765E-4</v>
      </c>
    </row>
    <row r="75" spans="8:27" x14ac:dyDescent="0.25">
      <c r="I75" s="138">
        <v>4.0393307261000003E-2</v>
      </c>
      <c r="J75" s="50">
        <v>2.8349649551076019E-4</v>
      </c>
      <c r="K75" s="50">
        <v>2.7303312586383368E-5</v>
      </c>
      <c r="L75" s="67">
        <v>3.4384063284677654E-4</v>
      </c>
      <c r="N75" s="18">
        <v>-2.1347562254184341E-6</v>
      </c>
      <c r="O75" s="18">
        <v>1.4324031064427141E-10</v>
      </c>
      <c r="P75" s="18">
        <v>4.6839463381768263E-8</v>
      </c>
      <c r="Q75" s="28">
        <v>17.006686671714231</v>
      </c>
      <c r="R75" s="61">
        <v>122.35890397078914</v>
      </c>
      <c r="S75" s="58">
        <v>1.9395994347680165E-6</v>
      </c>
      <c r="U75" s="82"/>
      <c r="V75" s="159">
        <f t="shared" si="6"/>
        <v>0.40393307261</v>
      </c>
      <c r="W75" s="160">
        <f t="shared" si="7"/>
        <v>2.8349649551076019E-4</v>
      </c>
      <c r="X75" s="160">
        <f t="shared" si="7"/>
        <v>2.7303312586383368E-5</v>
      </c>
      <c r="Y75" s="160">
        <f t="shared" si="7"/>
        <v>3.4384063284677654E-4</v>
      </c>
      <c r="Z75" s="161">
        <f t="shared" si="8"/>
        <v>-0.27510960292108566</v>
      </c>
      <c r="AA75" s="161">
        <f t="shared" si="9"/>
        <v>1.9395994347680165E-4</v>
      </c>
    </row>
    <row r="76" spans="8:27" x14ac:dyDescent="0.25">
      <c r="I76" s="138">
        <v>4.1201173406199998E-2</v>
      </c>
      <c r="J76" s="50">
        <v>2.4070834049079093E-4</v>
      </c>
      <c r="K76" s="50">
        <v>2.4893178777599621E-5</v>
      </c>
      <c r="L76" s="67">
        <v>3.2723290464195461E-4</v>
      </c>
      <c r="N76" s="18">
        <v>-2.1083174857071967E-6</v>
      </c>
      <c r="O76" s="18">
        <v>1.3647392698810307E-10</v>
      </c>
      <c r="P76" s="18">
        <v>4.4515418963806993E-8</v>
      </c>
      <c r="Q76" s="28">
        <v>12.460269558235153</v>
      </c>
      <c r="R76" s="61">
        <v>122.85151186309484</v>
      </c>
      <c r="S76" s="58">
        <v>1.9395994347680165E-6</v>
      </c>
      <c r="U76" s="82"/>
      <c r="V76" s="159">
        <f t="shared" si="6"/>
        <v>0.41201173406199998</v>
      </c>
      <c r="W76" s="160">
        <f t="shared" si="7"/>
        <v>2.4070834049079093E-4</v>
      </c>
      <c r="X76" s="160">
        <f t="shared" si="7"/>
        <v>2.4893178777599621E-5</v>
      </c>
      <c r="Y76" s="160">
        <f t="shared" si="7"/>
        <v>3.2723290464195461E-4</v>
      </c>
      <c r="Z76" s="161">
        <f t="shared" si="8"/>
        <v>-0.22584881369051574</v>
      </c>
      <c r="AA76" s="161">
        <f t="shared" si="9"/>
        <v>1.9395994347680165E-4</v>
      </c>
    </row>
    <row r="77" spans="8:27" x14ac:dyDescent="0.25">
      <c r="I77" s="138">
        <v>4.2025196874300001E-2</v>
      </c>
      <c r="J77" s="50">
        <v>2.6918810114358224E-4</v>
      </c>
      <c r="K77" s="50">
        <v>2.544765807724298E-5</v>
      </c>
      <c r="L77" s="67">
        <v>3.0698310193210667E-4</v>
      </c>
      <c r="N77" s="18">
        <v>-2.0804153571902175E-6</v>
      </c>
      <c r="O77" s="18">
        <v>1.2933304873146874E-10</v>
      </c>
      <c r="P77" s="18">
        <v>4.2062744788853068E-8</v>
      </c>
      <c r="Q77" s="28">
        <v>10.13999678695281</v>
      </c>
      <c r="R77" s="61">
        <v>122.85151186309484</v>
      </c>
      <c r="S77" s="58">
        <v>1.8388165174128811E-6</v>
      </c>
      <c r="U77" s="82"/>
      <c r="V77" s="159">
        <f t="shared" si="6"/>
        <v>0.42025196874300003</v>
      </c>
      <c r="W77" s="160">
        <f t="shared" si="7"/>
        <v>2.6918810114358224E-4</v>
      </c>
      <c r="X77" s="160">
        <f t="shared" si="7"/>
        <v>2.544765807724298E-5</v>
      </c>
      <c r="Y77" s="160">
        <f t="shared" si="7"/>
        <v>3.0698310193210667E-4</v>
      </c>
      <c r="Z77" s="161">
        <f t="shared" si="8"/>
        <v>-0.22584881369051574</v>
      </c>
      <c r="AA77" s="161">
        <f t="shared" si="9"/>
        <v>1.838816517412881E-4</v>
      </c>
    </row>
    <row r="78" spans="8:27" x14ac:dyDescent="0.25">
      <c r="I78" s="138">
        <v>4.2865700811800002E-2</v>
      </c>
      <c r="J78" s="50">
        <v>2.5401804418577354E-4</v>
      </c>
      <c r="K78" s="50">
        <v>2.5514457006585065E-5</v>
      </c>
      <c r="L78" s="67">
        <v>2.7991395409622489E-4</v>
      </c>
      <c r="N78" s="18">
        <v>-2.0517870986582289E-6</v>
      </c>
      <c r="O78" s="18">
        <v>1.2200634319809804E-10</v>
      </c>
      <c r="P78" s="18">
        <v>3.9546243844340246E-8</v>
      </c>
      <c r="Q78" s="28">
        <v>8.7559435211452161</v>
      </c>
      <c r="R78" s="61">
        <v>123.34411975540054</v>
      </c>
      <c r="S78" s="58">
        <v>1.8388165174128811E-6</v>
      </c>
      <c r="U78" s="82"/>
      <c r="V78" s="159">
        <f t="shared" si="6"/>
        <v>0.428657008118</v>
      </c>
      <c r="W78" s="160">
        <f t="shared" si="7"/>
        <v>2.5401804418577354E-4</v>
      </c>
      <c r="X78" s="160">
        <f t="shared" si="7"/>
        <v>2.5514457006585065E-5</v>
      </c>
      <c r="Y78" s="160">
        <f t="shared" si="7"/>
        <v>2.7991395409622489E-4</v>
      </c>
      <c r="Z78" s="161">
        <f t="shared" si="8"/>
        <v>-0.17658802445994581</v>
      </c>
      <c r="AA78" s="161">
        <f t="shared" si="9"/>
        <v>1.838816517412881E-4</v>
      </c>
    </row>
    <row r="79" spans="8:27" x14ac:dyDescent="0.25">
      <c r="I79" s="138">
        <v>4.3723014827999999E-2</v>
      </c>
      <c r="J79" s="50">
        <v>2.3928885820437127E-4</v>
      </c>
      <c r="K79" s="50">
        <v>2.473094129511545E-5</v>
      </c>
      <c r="L79" s="67">
        <v>2.582693040694069E-4</v>
      </c>
      <c r="N79" s="18">
        <v>-2.0228002485742718E-6</v>
      </c>
      <c r="O79" s="18">
        <v>1.1458786394612103E-10</v>
      </c>
      <c r="P79" s="18">
        <v>3.6998221500611883E-8</v>
      </c>
      <c r="Q79" s="28">
        <v>7.8658405933157338</v>
      </c>
      <c r="R79" s="61">
        <v>123.34411975540054</v>
      </c>
      <c r="S79" s="58">
        <v>1.7392288282093958E-6</v>
      </c>
      <c r="U79" s="82"/>
      <c r="V79" s="159">
        <f t="shared" si="6"/>
        <v>0.43723014828000001</v>
      </c>
      <c r="W79" s="160">
        <f t="shared" si="7"/>
        <v>2.3928885820437127E-4</v>
      </c>
      <c r="X79" s="160">
        <f t="shared" si="7"/>
        <v>2.473094129511545E-5</v>
      </c>
      <c r="Y79" s="160">
        <f t="shared" si="7"/>
        <v>2.582693040694069E-4</v>
      </c>
      <c r="Z79" s="161">
        <f t="shared" si="8"/>
        <v>-0.17658802445994581</v>
      </c>
      <c r="AA79" s="161">
        <f t="shared" si="9"/>
        <v>1.7392288282093958E-4</v>
      </c>
    </row>
    <row r="80" spans="8:27" x14ac:dyDescent="0.25">
      <c r="I80" s="138">
        <v>4.4597475124600001E-2</v>
      </c>
      <c r="J80" s="50">
        <v>2.1638711495524705E-4</v>
      </c>
      <c r="K80" s="50">
        <v>2.3489364297324618E-5</v>
      </c>
      <c r="L80" s="67">
        <v>2.4680269538784069E-4</v>
      </c>
      <c r="N80" s="18">
        <v>-1.9936446577146561E-6</v>
      </c>
      <c r="O80" s="18">
        <v>1.0712619243602455E-10</v>
      </c>
      <c r="P80" s="18">
        <v>3.4435364589712034E-8</v>
      </c>
      <c r="Q80" s="28">
        <v>7.2759054987389638</v>
      </c>
      <c r="R80" s="61">
        <v>123.83672764770624</v>
      </c>
      <c r="S80" s="58">
        <v>1.7392288282093958E-6</v>
      </c>
      <c r="U80" s="82"/>
      <c r="V80" s="159">
        <f t="shared" si="6"/>
        <v>0.445974751246</v>
      </c>
      <c r="W80" s="160">
        <f t="shared" si="7"/>
        <v>2.1638711495524705E-4</v>
      </c>
      <c r="X80" s="160">
        <f t="shared" si="7"/>
        <v>2.3489364297324618E-5</v>
      </c>
      <c r="Y80" s="160">
        <f t="shared" si="7"/>
        <v>2.4680269538784069E-4</v>
      </c>
      <c r="Z80" s="161">
        <f t="shared" si="8"/>
        <v>-0.12732723522937589</v>
      </c>
      <c r="AA80" s="161">
        <f t="shared" si="9"/>
        <v>1.7392288282093958E-4</v>
      </c>
    </row>
    <row r="81" spans="2:27" x14ac:dyDescent="0.25">
      <c r="I81" s="138">
        <v>4.5489424627099997E-2</v>
      </c>
      <c r="J81" s="50">
        <v>1.6530763307577727E-4</v>
      </c>
      <c r="K81" s="50">
        <v>2.1508258837927967E-5</v>
      </c>
      <c r="L81" s="67">
        <v>2.341654245825491E-4</v>
      </c>
      <c r="N81" s="18">
        <v>-1.9644176299886625E-6</v>
      </c>
      <c r="O81" s="18">
        <v>9.964622603323832E-11</v>
      </c>
      <c r="P81" s="18">
        <v>3.1866225081552032E-8</v>
      </c>
      <c r="Q81" s="28">
        <v>6.8891084018766433</v>
      </c>
      <c r="R81" s="61">
        <v>123.83672764770624</v>
      </c>
      <c r="S81" s="58">
        <v>1.6416532682362442E-6</v>
      </c>
      <c r="U81" s="82"/>
      <c r="V81" s="159">
        <f t="shared" si="6"/>
        <v>0.45489424627099995</v>
      </c>
      <c r="W81" s="160">
        <f t="shared" si="7"/>
        <v>1.6530763307577727E-4</v>
      </c>
      <c r="X81" s="160">
        <f t="shared" si="7"/>
        <v>2.1508258837927967E-5</v>
      </c>
      <c r="Y81" s="160">
        <f t="shared" si="7"/>
        <v>2.341654245825491E-4</v>
      </c>
      <c r="Z81" s="161">
        <f t="shared" si="8"/>
        <v>-0.12732723522937589</v>
      </c>
      <c r="AA81" s="161">
        <f t="shared" si="9"/>
        <v>1.6416532682362442E-4</v>
      </c>
    </row>
    <row r="82" spans="2:27" x14ac:dyDescent="0.25">
      <c r="I82" s="138">
        <v>4.6399213119599998E-2</v>
      </c>
      <c r="J82" s="50">
        <v>2.2941043926060823E-4</v>
      </c>
      <c r="K82" s="50">
        <v>2.3839323948761398E-5</v>
      </c>
      <c r="L82" s="67">
        <v>2.1475768559611714E-4</v>
      </c>
      <c r="N82" s="18">
        <v>-1.9351659901630049E-6</v>
      </c>
      <c r="O82" s="18">
        <v>9.2159943297879094E-11</v>
      </c>
      <c r="P82" s="18">
        <v>2.9294917719165229E-8</v>
      </c>
      <c r="Q82" s="28">
        <v>6.653562138610229</v>
      </c>
      <c r="R82" s="61">
        <v>124.32933554001194</v>
      </c>
      <c r="S82" s="58">
        <v>1.6416532682362442E-6</v>
      </c>
      <c r="U82" s="82"/>
      <c r="V82" s="159">
        <f t="shared" si="6"/>
        <v>0.46399213119599997</v>
      </c>
      <c r="W82" s="160">
        <f t="shared" si="7"/>
        <v>2.2941043926060823E-4</v>
      </c>
      <c r="X82" s="160">
        <f t="shared" si="7"/>
        <v>2.3839323948761398E-5</v>
      </c>
      <c r="Y82" s="160">
        <f t="shared" si="7"/>
        <v>2.1475768559611714E-4</v>
      </c>
      <c r="Z82" s="161">
        <f t="shared" si="8"/>
        <v>-7.8066445998805994E-2</v>
      </c>
      <c r="AA82" s="161">
        <f t="shared" si="9"/>
        <v>1.6416532682362442E-4</v>
      </c>
    </row>
    <row r="83" spans="2:27" x14ac:dyDescent="0.25">
      <c r="I83" s="138">
        <v>4.7327197382000002E-2</v>
      </c>
      <c r="J83" s="50">
        <v>2.3678254321061868E-4</v>
      </c>
      <c r="K83" s="50">
        <v>2.4076380565324416E-5</v>
      </c>
      <c r="L83" s="67">
        <v>1.9885598512622417E-4</v>
      </c>
      <c r="N83" s="18">
        <v>-1.9059088535113867E-6</v>
      </c>
      <c r="O83" s="18">
        <v>8.4672230649200346E-11</v>
      </c>
      <c r="P83" s="18">
        <v>2.6723121363260074E-8</v>
      </c>
      <c r="Q83" s="28">
        <v>6.5417935637018747</v>
      </c>
      <c r="R83" s="61">
        <v>124.32933554001194</v>
      </c>
      <c r="S83" s="58">
        <v>1.5467863174684187E-6</v>
      </c>
      <c r="U83" s="82"/>
      <c r="V83" s="159">
        <f t="shared" si="6"/>
        <v>0.47327197382000002</v>
      </c>
      <c r="W83" s="160">
        <f t="shared" si="7"/>
        <v>2.3678254321061868E-4</v>
      </c>
      <c r="X83" s="160">
        <f t="shared" si="7"/>
        <v>2.4076380565324416E-5</v>
      </c>
      <c r="Y83" s="160">
        <f t="shared" si="7"/>
        <v>1.9885598512622417E-4</v>
      </c>
      <c r="Z83" s="161">
        <f t="shared" si="8"/>
        <v>-7.8066445998805994E-2</v>
      </c>
      <c r="AA83" s="161">
        <f t="shared" si="9"/>
        <v>1.5467863174684188E-4</v>
      </c>
    </row>
    <row r="84" spans="2:27" x14ac:dyDescent="0.25">
      <c r="I84" s="138">
        <v>4.8273741329600002E-2</v>
      </c>
      <c r="J84" s="50">
        <v>1.7878981857233884E-4</v>
      </c>
      <c r="K84" s="50">
        <v>2.1739453387509796E-5</v>
      </c>
      <c r="L84" s="67">
        <v>1.9047627263710755E-4</v>
      </c>
      <c r="N84" s="18">
        <v>-1.8875572379923456E-6</v>
      </c>
      <c r="O84" s="18">
        <v>7.9975494523717102E-11</v>
      </c>
      <c r="P84" s="18">
        <v>2.5109943125322422E-8</v>
      </c>
      <c r="Q84" s="28">
        <v>2.9813427545807301</v>
      </c>
      <c r="R84" s="61">
        <v>124.82194343231764</v>
      </c>
      <c r="S84" s="58">
        <v>1.5467863174684187E-6</v>
      </c>
      <c r="U84" s="82"/>
      <c r="V84" s="159">
        <f t="shared" si="6"/>
        <v>0.48273741329600001</v>
      </c>
      <c r="W84" s="160">
        <f t="shared" si="7"/>
        <v>1.7878981857233884E-4</v>
      </c>
      <c r="X84" s="160">
        <f t="shared" si="7"/>
        <v>2.1739453387509796E-5</v>
      </c>
      <c r="Y84" s="160">
        <f t="shared" si="7"/>
        <v>1.9047627263710755E-4</v>
      </c>
      <c r="Z84" s="161">
        <f t="shared" si="8"/>
        <v>-2.8805656768236078E-2</v>
      </c>
      <c r="AA84" s="161">
        <f t="shared" si="9"/>
        <v>1.5467863174684188E-4</v>
      </c>
    </row>
    <row r="85" spans="2:27" x14ac:dyDescent="0.25">
      <c r="I85" s="138">
        <v>4.92392161562E-2</v>
      </c>
      <c r="J85" s="50">
        <v>2.1082829179047848E-4</v>
      </c>
      <c r="K85" s="50">
        <v>2.3230083584486838E-5</v>
      </c>
      <c r="L85" s="67">
        <v>1.7904944952509426E-4</v>
      </c>
      <c r="N85" s="18">
        <v>-1.8683678055593814E-6</v>
      </c>
      <c r="O85" s="18">
        <v>7.5064344109935028E-11</v>
      </c>
      <c r="P85" s="18">
        <v>2.3423119667847868E-8</v>
      </c>
      <c r="Q85" s="28">
        <v>5.9626855091614601</v>
      </c>
      <c r="R85" s="61">
        <v>124.82194343231764</v>
      </c>
      <c r="S85" s="58">
        <v>1.4551821025035989E-6</v>
      </c>
      <c r="U85" s="82"/>
      <c r="V85" s="159">
        <f t="shared" si="6"/>
        <v>0.492392161562</v>
      </c>
      <c r="W85" s="160">
        <f t="shared" si="7"/>
        <v>2.1082829179047848E-4</v>
      </c>
      <c r="X85" s="160">
        <f t="shared" si="7"/>
        <v>2.3230083584486838E-5</v>
      </c>
      <c r="Y85" s="160">
        <f t="shared" si="7"/>
        <v>1.7904944952509426E-4</v>
      </c>
      <c r="Z85" s="161">
        <f t="shared" si="8"/>
        <v>-2.8805656768236078E-2</v>
      </c>
      <c r="AA85" s="161">
        <f t="shared" si="9"/>
        <v>1.455182102503599E-4</v>
      </c>
    </row>
    <row r="86" spans="2:27" x14ac:dyDescent="0.25">
      <c r="B86" s="42"/>
      <c r="C86" s="42"/>
      <c r="D86" s="20"/>
      <c r="E86" s="20"/>
      <c r="F86" s="43"/>
      <c r="G86" s="43"/>
      <c r="I86" s="138">
        <v>5.0224000479399997E-2</v>
      </c>
      <c r="J86" s="50">
        <v>1.9643390449044961E-4</v>
      </c>
      <c r="K86" s="50">
        <v>2.3500186230146679E-5</v>
      </c>
      <c r="L86" s="67">
        <v>1.6319641711684462E-4</v>
      </c>
      <c r="N86" s="18">
        <v>-1.8434590477737377E-6</v>
      </c>
      <c r="O86" s="18">
        <v>6.8689411350315694E-11</v>
      </c>
      <c r="P86" s="18">
        <v>2.1233536983370534E-8</v>
      </c>
      <c r="Q86" s="28">
        <v>5.9626855091614601</v>
      </c>
      <c r="R86" s="61">
        <v>125.31455132462334</v>
      </c>
      <c r="S86" s="58">
        <v>1.4551821025035989E-6</v>
      </c>
      <c r="U86" s="82"/>
      <c r="V86" s="159">
        <f t="shared" si="6"/>
        <v>0.50224000479399999</v>
      </c>
      <c r="W86" s="160">
        <f t="shared" si="7"/>
        <v>1.9643390449044961E-4</v>
      </c>
      <c r="X86" s="160">
        <f t="shared" si="7"/>
        <v>2.3500186230146679E-5</v>
      </c>
      <c r="Y86" s="160">
        <f t="shared" si="7"/>
        <v>1.6319641711684462E-4</v>
      </c>
      <c r="Z86" s="161">
        <f t="shared" si="8"/>
        <v>2.0455132462333835E-2</v>
      </c>
      <c r="AA86" s="161">
        <f t="shared" si="9"/>
        <v>1.455182102503599E-4</v>
      </c>
    </row>
    <row r="87" spans="2:27" x14ac:dyDescent="0.25">
      <c r="I87" s="138">
        <v>5.1228480489E-2</v>
      </c>
      <c r="J87" s="50">
        <v>1.4697272373389829E-4</v>
      </c>
      <c r="K87" s="50">
        <v>2.076069261865581E-5</v>
      </c>
      <c r="L87" s="67">
        <v>1.5336906908787083E-4</v>
      </c>
      <c r="N87" s="18">
        <v>-1.8197365215642118E-6</v>
      </c>
      <c r="O87" s="18">
        <v>6.2618022200496103E-11</v>
      </c>
      <c r="P87" s="18">
        <v>1.9148216332648486E-8</v>
      </c>
      <c r="Q87" s="28">
        <v>5.9626855091614601</v>
      </c>
      <c r="R87" s="61">
        <v>125.31455132462334</v>
      </c>
      <c r="S87" s="58">
        <v>1.3672390271258606E-6</v>
      </c>
      <c r="U87" s="82"/>
      <c r="V87" s="159">
        <f t="shared" si="6"/>
        <v>0.51228480488999995</v>
      </c>
      <c r="W87" s="160">
        <f t="shared" si="7"/>
        <v>1.4697272373389829E-4</v>
      </c>
      <c r="X87" s="160">
        <f t="shared" si="7"/>
        <v>2.076069261865581E-5</v>
      </c>
      <c r="Y87" s="160">
        <f t="shared" si="7"/>
        <v>1.5336906908787083E-4</v>
      </c>
      <c r="Z87" s="161">
        <f t="shared" si="8"/>
        <v>2.0455132462333835E-2</v>
      </c>
      <c r="AA87" s="161">
        <f t="shared" si="9"/>
        <v>1.3672390271258608E-4</v>
      </c>
    </row>
    <row r="88" spans="2:27" x14ac:dyDescent="0.25">
      <c r="I88" s="138">
        <v>5.2253050098700002E-2</v>
      </c>
      <c r="J88" s="50">
        <v>1.824314686488919E-4</v>
      </c>
      <c r="K88" s="50">
        <v>1.1173654463970947E-5</v>
      </c>
      <c r="L88" s="67">
        <v>1.4701218795541091E-4</v>
      </c>
      <c r="N88" s="18">
        <v>-1.7976374076302541E-6</v>
      </c>
      <c r="O88" s="18">
        <v>5.6962055766517138E-11</v>
      </c>
      <c r="P88" s="18">
        <v>1.7205585406782139E-8</v>
      </c>
      <c r="Q88" s="28">
        <v>5.9626855091614601</v>
      </c>
      <c r="R88" s="61">
        <v>125.80715921692904</v>
      </c>
      <c r="S88" s="58">
        <v>1.3672390271258606E-6</v>
      </c>
      <c r="U88" s="82"/>
      <c r="V88" s="159">
        <f t="shared" si="6"/>
        <v>0.52253050098700005</v>
      </c>
      <c r="W88" s="160">
        <f t="shared" si="7"/>
        <v>1.824314686488919E-4</v>
      </c>
      <c r="X88" s="160">
        <f t="shared" si="7"/>
        <v>1.1173654463970947E-5</v>
      </c>
      <c r="Y88" s="160">
        <f t="shared" si="7"/>
        <v>1.4701218795541091E-4</v>
      </c>
      <c r="Z88" s="161">
        <f t="shared" si="8"/>
        <v>6.9715921692903748E-2</v>
      </c>
      <c r="AA88" s="161">
        <f t="shared" si="9"/>
        <v>1.3672390271258608E-4</v>
      </c>
    </row>
    <row r="89" spans="2:27" x14ac:dyDescent="0.25">
      <c r="I89" s="138">
        <v>5.3298111100699999E-2</v>
      </c>
      <c r="J89" s="50">
        <v>1.7219747330976255E-4</v>
      </c>
      <c r="K89" s="50">
        <v>1.1119839570907919E-5</v>
      </c>
      <c r="L89" s="67">
        <v>1.3520067946585495E-4</v>
      </c>
      <c r="N89" s="18">
        <v>-1.7775735015908051E-6</v>
      </c>
      <c r="O89" s="18">
        <v>5.1826894414471254E-11</v>
      </c>
      <c r="P89" s="18">
        <v>1.5441840468241341E-8</v>
      </c>
      <c r="Q89" s="28">
        <v>5.9626855091614601</v>
      </c>
      <c r="R89" s="61">
        <v>125.80715921692904</v>
      </c>
      <c r="S89" s="58">
        <v>1.2831955951949341E-6</v>
      </c>
      <c r="U89" s="82"/>
      <c r="V89" s="159">
        <f t="shared" si="6"/>
        <v>0.53298111100699996</v>
      </c>
      <c r="W89" s="160">
        <f t="shared" si="7"/>
        <v>1.7219747330976255E-4</v>
      </c>
      <c r="X89" s="160">
        <f t="shared" si="7"/>
        <v>1.1119839570907919E-5</v>
      </c>
      <c r="Y89" s="160">
        <f t="shared" si="7"/>
        <v>1.3520067946585495E-4</v>
      </c>
      <c r="Z89" s="161">
        <f t="shared" si="8"/>
        <v>6.9715921692903748E-2</v>
      </c>
      <c r="AA89" s="161">
        <f t="shared" si="9"/>
        <v>1.283195595194934E-4</v>
      </c>
    </row>
    <row r="90" spans="2:27" x14ac:dyDescent="0.25">
      <c r="I90" s="138">
        <v>5.4364073322699998E-2</v>
      </c>
      <c r="J90" s="50">
        <v>1.351526502122331E-4</v>
      </c>
      <c r="K90" s="50">
        <v>1.0015218109628064E-5</v>
      </c>
      <c r="L90" s="67">
        <v>1.2402326786362561E-4</v>
      </c>
      <c r="N90" s="18">
        <v>-1.7599203047595914E-6</v>
      </c>
      <c r="O90" s="18">
        <v>4.730863189052792E-11</v>
      </c>
      <c r="P90" s="18">
        <v>1.3889987418336652E-8</v>
      </c>
      <c r="Q90" s="28">
        <v>5.9626855091614601</v>
      </c>
      <c r="R90" s="61">
        <v>126.29976710923474</v>
      </c>
      <c r="S90" s="58">
        <v>1.2831955951949341E-6</v>
      </c>
      <c r="U90" s="82"/>
      <c r="V90" s="159">
        <f t="shared" si="6"/>
        <v>0.54364073322700002</v>
      </c>
      <c r="W90" s="160">
        <f t="shared" si="7"/>
        <v>1.351526502122331E-4</v>
      </c>
      <c r="X90" s="160">
        <f t="shared" si="7"/>
        <v>1.0015218109628064E-5</v>
      </c>
      <c r="Y90" s="160">
        <f t="shared" si="7"/>
        <v>1.2402326786362561E-4</v>
      </c>
      <c r="Z90" s="161">
        <f t="shared" si="8"/>
        <v>0.11897671092347366</v>
      </c>
      <c r="AA90" s="161">
        <f t="shared" si="9"/>
        <v>1.283195595194934E-4</v>
      </c>
    </row>
    <row r="91" spans="2:27" x14ac:dyDescent="0.25">
      <c r="I91" s="138">
        <v>5.5451354789199998E-2</v>
      </c>
      <c r="J91" s="50">
        <v>1.4064521106344963E-4</v>
      </c>
      <c r="K91" s="50">
        <v>9.8129265719240998E-6</v>
      </c>
      <c r="L91" s="67">
        <v>1.1833527312008053E-4</v>
      </c>
      <c r="N91" s="18">
        <v>-1.7450080461370535E-6</v>
      </c>
      <c r="O91" s="18">
        <v>4.3491775671742248E-11</v>
      </c>
      <c r="P91" s="18">
        <v>1.2579052619540507E-8</v>
      </c>
      <c r="Q91" s="28">
        <v>5.9626855091614601</v>
      </c>
      <c r="R91" s="61">
        <v>126.29976710923474</v>
      </c>
      <c r="S91" s="58">
        <v>1.2031354120068039E-6</v>
      </c>
      <c r="U91" s="82"/>
      <c r="V91" s="159">
        <f t="shared" si="6"/>
        <v>0.55451354789200002</v>
      </c>
      <c r="W91" s="160">
        <f t="shared" si="7"/>
        <v>1.4064521106344963E-4</v>
      </c>
      <c r="X91" s="160">
        <f t="shared" si="7"/>
        <v>9.8129265719240998E-6</v>
      </c>
      <c r="Y91" s="160">
        <f t="shared" si="7"/>
        <v>1.1833527312008053E-4</v>
      </c>
      <c r="Z91" s="161">
        <f t="shared" si="8"/>
        <v>0.11897671092347366</v>
      </c>
      <c r="AA91" s="161">
        <f t="shared" si="9"/>
        <v>1.2031354120068039E-4</v>
      </c>
    </row>
    <row r="92" spans="2:27" x14ac:dyDescent="0.25">
      <c r="I92" s="138">
        <v>5.6560381884999997E-2</v>
      </c>
      <c r="J92" s="50">
        <v>1.4107227109505556E-4</v>
      </c>
      <c r="K92" s="50">
        <v>9.6548792729710825E-6</v>
      </c>
      <c r="L92" s="67">
        <v>1.1096178309381904E-4</v>
      </c>
      <c r="N92" s="18">
        <v>-1.7331146934298224E-6</v>
      </c>
      <c r="O92" s="18">
        <v>4.0447458342405734E-11</v>
      </c>
      <c r="P92" s="18">
        <v>1.1533468554258686E-8</v>
      </c>
      <c r="Q92" s="28">
        <v>5.9626855091614601</v>
      </c>
      <c r="R92" s="61">
        <v>126.79237500154044</v>
      </c>
      <c r="S92" s="58">
        <v>1.2031354120068039E-6</v>
      </c>
      <c r="U92" s="82"/>
      <c r="V92" s="159">
        <f t="shared" si="6"/>
        <v>0.56560381885</v>
      </c>
      <c r="W92" s="160">
        <f t="shared" si="7"/>
        <v>1.4107227109505556E-4</v>
      </c>
      <c r="X92" s="160">
        <f t="shared" si="7"/>
        <v>9.6548792729710825E-6</v>
      </c>
      <c r="Y92" s="160">
        <f t="shared" si="7"/>
        <v>1.1096178309381904E-4</v>
      </c>
      <c r="Z92" s="161">
        <f t="shared" si="8"/>
        <v>0.16823750015404357</v>
      </c>
      <c r="AA92" s="161">
        <f t="shared" si="9"/>
        <v>1.2031354120068039E-4</v>
      </c>
    </row>
    <row r="93" spans="2:27" x14ac:dyDescent="0.25">
      <c r="I93" s="138">
        <v>5.7691589522700003E-2</v>
      </c>
      <c r="J93" s="50">
        <v>1.4406663543752333E-4</v>
      </c>
      <c r="K93" s="50">
        <v>9.4769197891341568E-6</v>
      </c>
      <c r="L93" s="67">
        <v>1.0192581892224012E-4</v>
      </c>
      <c r="N93" s="18">
        <v>-1.7244608292198957E-6</v>
      </c>
      <c r="O93" s="18">
        <v>3.823212629337364E-11</v>
      </c>
      <c r="P93" s="18">
        <v>1.077262343109499E-8</v>
      </c>
      <c r="Q93" s="28">
        <v>5.9626855091614601</v>
      </c>
      <c r="R93" s="61">
        <v>126.79237500154044</v>
      </c>
      <c r="S93" s="58">
        <v>1.1270007130490522E-6</v>
      </c>
      <c r="U93" s="82"/>
      <c r="V93" s="159">
        <f t="shared" si="6"/>
        <v>0.57691589522700004</v>
      </c>
      <c r="W93" s="160">
        <f t="shared" si="7"/>
        <v>1.4406663543752333E-4</v>
      </c>
      <c r="X93" s="160">
        <f t="shared" si="7"/>
        <v>9.4769197891341568E-6</v>
      </c>
      <c r="Y93" s="160">
        <f t="shared" si="7"/>
        <v>1.0192581892224012E-4</v>
      </c>
      <c r="Z93" s="161">
        <f t="shared" si="8"/>
        <v>0.16823750015404357</v>
      </c>
      <c r="AA93" s="161">
        <f t="shared" si="9"/>
        <v>1.1270007130490522E-4</v>
      </c>
    </row>
    <row r="94" spans="2:27" x14ac:dyDescent="0.25">
      <c r="I94" s="138">
        <v>5.8845421313099999E-2</v>
      </c>
      <c r="J94" s="50">
        <v>1.3805662997512006E-4</v>
      </c>
      <c r="K94" s="50">
        <v>1.0143930971129835E-5</v>
      </c>
      <c r="L94" s="67">
        <v>9.599220259227649E-5</v>
      </c>
      <c r="N94" s="18">
        <v>-1.7192061410129803E-6</v>
      </c>
      <c r="O94" s="18">
        <v>3.6886641439791531E-11</v>
      </c>
      <c r="P94" s="18">
        <v>1.0310552651754377E-8</v>
      </c>
      <c r="Q94" s="28">
        <v>5.9626855091614601</v>
      </c>
      <c r="R94" s="61">
        <v>127.28498289384613</v>
      </c>
      <c r="S94" s="58">
        <v>1.1270007130490522E-6</v>
      </c>
      <c r="U94" s="82"/>
      <c r="V94" s="159">
        <f t="shared" si="6"/>
        <v>0.58845421313099999</v>
      </c>
      <c r="W94" s="160">
        <f t="shared" si="7"/>
        <v>1.3805662997512006E-4</v>
      </c>
      <c r="X94" s="160">
        <f t="shared" si="7"/>
        <v>1.0143930971129835E-5</v>
      </c>
      <c r="Y94" s="160">
        <f t="shared" si="7"/>
        <v>9.599220259227649E-5</v>
      </c>
      <c r="Z94" s="161">
        <f t="shared" si="8"/>
        <v>0.21749828938461349</v>
      </c>
      <c r="AA94" s="161">
        <f t="shared" si="9"/>
        <v>1.1270007130490522E-4</v>
      </c>
    </row>
    <row r="95" spans="2:27" x14ac:dyDescent="0.25">
      <c r="I95" s="138">
        <v>6.0022329739399999E-2</v>
      </c>
      <c r="J95" s="50">
        <v>1.2876136308821905E-4</v>
      </c>
      <c r="K95" s="50">
        <v>9.9117795484869199E-6</v>
      </c>
      <c r="L95" s="67">
        <v>9.0802852875457584E-5</v>
      </c>
      <c r="N95" s="18">
        <v>-1.7174472177120266E-6</v>
      </c>
      <c r="O95" s="18">
        <v>3.6435717274320073E-11</v>
      </c>
      <c r="P95" s="18">
        <v>1.0155745113169529E-8</v>
      </c>
      <c r="Q95" s="28">
        <v>5.9626855091614601</v>
      </c>
      <c r="R95" s="61">
        <v>127.28498289384613</v>
      </c>
      <c r="S95" s="58">
        <v>1.0546131923342263E-6</v>
      </c>
      <c r="U95" s="82"/>
      <c r="V95" s="159">
        <f t="shared" si="6"/>
        <v>0.60022329739400004</v>
      </c>
      <c r="W95" s="160">
        <f t="shared" si="7"/>
        <v>1.2876136308821905E-4</v>
      </c>
      <c r="X95" s="160">
        <f t="shared" si="7"/>
        <v>9.9117795484869199E-6</v>
      </c>
      <c r="Y95" s="160">
        <f t="shared" si="7"/>
        <v>9.0802852875457584E-5</v>
      </c>
      <c r="Z95" s="161">
        <f t="shared" si="8"/>
        <v>0.21749828938461349</v>
      </c>
      <c r="AA95" s="161">
        <f t="shared" si="9"/>
        <v>1.0546131923342263E-4</v>
      </c>
    </row>
    <row r="96" spans="2:27" x14ac:dyDescent="0.25">
      <c r="I96" s="138">
        <v>6.1222776334200001E-2</v>
      </c>
      <c r="J96" s="50">
        <v>1.2237967252236529E-4</v>
      </c>
      <c r="K96" s="50">
        <v>9.6277072245729239E-6</v>
      </c>
      <c r="L96" s="67">
        <v>8.4644453248141314E-5</v>
      </c>
      <c r="N96" s="18">
        <v>-1.7192163642123982E-6</v>
      </c>
      <c r="O96" s="18">
        <v>3.6887615473880439E-11</v>
      </c>
      <c r="P96" s="18">
        <v>1.0311039002768917E-8</v>
      </c>
      <c r="Q96" s="28">
        <v>5.9626855091614601</v>
      </c>
      <c r="R96" s="61">
        <v>127.77759078615183</v>
      </c>
      <c r="S96" s="58">
        <v>1.0546131923342263E-6</v>
      </c>
      <c r="U96" s="82"/>
      <c r="V96" s="159">
        <f t="shared" si="6"/>
        <v>0.61222776334200002</v>
      </c>
      <c r="W96" s="160">
        <f t="shared" si="7"/>
        <v>1.2237967252236529E-4</v>
      </c>
      <c r="X96" s="160">
        <f t="shared" si="7"/>
        <v>9.6277072245729239E-6</v>
      </c>
      <c r="Y96" s="160">
        <f t="shared" si="7"/>
        <v>8.4644453248141314E-5</v>
      </c>
      <c r="Z96" s="161">
        <f t="shared" si="8"/>
        <v>0.26675907861518339</v>
      </c>
      <c r="AA96" s="161">
        <f t="shared" si="9"/>
        <v>1.0546131923342263E-4</v>
      </c>
    </row>
    <row r="97" spans="9:27" x14ac:dyDescent="0.25">
      <c r="I97" s="138">
        <v>6.24472318608E-2</v>
      </c>
      <c r="J97" s="50">
        <v>1.1879838710577655E-4</v>
      </c>
      <c r="K97" s="50">
        <v>9.4190846590653237E-6</v>
      </c>
      <c r="L97" s="67">
        <v>7.9271850753228384E-5</v>
      </c>
      <c r="N97" s="18">
        <v>-1.7244812309880424E-6</v>
      </c>
      <c r="O97" s="18">
        <v>3.8234051075180196E-11</v>
      </c>
      <c r="P97" s="18">
        <v>1.0773589231558619E-8</v>
      </c>
      <c r="Q97" s="28">
        <v>5.9626855091614601</v>
      </c>
      <c r="R97" s="61">
        <v>127.77759078615183</v>
      </c>
      <c r="S97" s="58">
        <v>9.8570043350972847E-7</v>
      </c>
      <c r="U97" s="82"/>
      <c r="V97" s="159">
        <f t="shared" si="6"/>
        <v>0.62447231860800001</v>
      </c>
      <c r="W97" s="160">
        <f t="shared" si="7"/>
        <v>1.1879838710577655E-4</v>
      </c>
      <c r="X97" s="160">
        <f t="shared" si="7"/>
        <v>9.4190846590653237E-6</v>
      </c>
      <c r="Y97" s="160">
        <f t="shared" si="7"/>
        <v>7.9271850753228384E-5</v>
      </c>
      <c r="Z97" s="161">
        <f t="shared" si="8"/>
        <v>0.26675907861518339</v>
      </c>
      <c r="AA97" s="161">
        <f t="shared" si="9"/>
        <v>9.8570043350972849E-5</v>
      </c>
    </row>
    <row r="98" spans="9:27" x14ac:dyDescent="0.25">
      <c r="I98" s="138">
        <v>6.3696176498099999E-2</v>
      </c>
      <c r="J98" s="50">
        <v>1.0520676368883526E-4</v>
      </c>
      <c r="K98" s="50">
        <v>8.9422835470887577E-6</v>
      </c>
      <c r="L98" s="67">
        <v>7.50766469774662E-5</v>
      </c>
      <c r="N98" s="18">
        <v>-1.7331451856800456E-6</v>
      </c>
      <c r="O98" s="18">
        <v>4.0450287539887833E-11</v>
      </c>
      <c r="P98" s="18">
        <v>1.1534900089254178E-8</v>
      </c>
      <c r="Q98" s="28">
        <v>5.9626855091614601</v>
      </c>
      <c r="R98" s="61">
        <v>128.27019867845755</v>
      </c>
      <c r="S98" s="58">
        <v>9.8570043350972847E-7</v>
      </c>
      <c r="U98" s="82"/>
      <c r="V98" s="159">
        <f t="shared" si="6"/>
        <v>0.63696176498099999</v>
      </c>
      <c r="W98" s="160">
        <f t="shared" si="7"/>
        <v>1.0520676368883526E-4</v>
      </c>
      <c r="X98" s="160">
        <f t="shared" si="7"/>
        <v>8.9422835470887577E-6</v>
      </c>
      <c r="Y98" s="160">
        <f t="shared" si="7"/>
        <v>7.50766469774662E-5</v>
      </c>
      <c r="Z98" s="161">
        <f t="shared" si="8"/>
        <v>0.31601986784575475</v>
      </c>
      <c r="AA98" s="161">
        <f t="shared" si="9"/>
        <v>9.8570043350972849E-5</v>
      </c>
    </row>
    <row r="99" spans="9:27" x14ac:dyDescent="0.25">
      <c r="I99" s="138">
        <v>6.4970100027999994E-2</v>
      </c>
      <c r="J99" s="50">
        <v>1.1993723049287246E-4</v>
      </c>
      <c r="K99" s="50">
        <v>9.6681122980809223E-6</v>
      </c>
      <c r="L99" s="67">
        <v>6.9606489093688547E-5</v>
      </c>
      <c r="N99" s="18">
        <v>-1.7450484997680004E-6</v>
      </c>
      <c r="O99" s="18">
        <v>4.3495440411940646E-11</v>
      </c>
      <c r="P99" s="18">
        <v>1.2580929545260474E-8</v>
      </c>
      <c r="Q99" s="28">
        <v>5.9626855091614601</v>
      </c>
      <c r="R99" s="61">
        <v>128.27019867845755</v>
      </c>
      <c r="S99" s="58">
        <v>9.1992592163938513E-7</v>
      </c>
      <c r="U99" s="82"/>
      <c r="V99" s="159">
        <f t="shared" si="6"/>
        <v>0.64970100027999989</v>
      </c>
      <c r="W99" s="160">
        <f t="shared" si="7"/>
        <v>1.1993723049287246E-4</v>
      </c>
      <c r="X99" s="160">
        <f t="shared" si="7"/>
        <v>9.6681122980809223E-6</v>
      </c>
      <c r="Y99" s="160">
        <f t="shared" si="7"/>
        <v>6.9606489093688547E-5</v>
      </c>
      <c r="Z99" s="161">
        <f t="shared" si="8"/>
        <v>0.31601986784575475</v>
      </c>
      <c r="AA99" s="161">
        <f t="shared" si="9"/>
        <v>9.1992592163938513E-5</v>
      </c>
    </row>
    <row r="100" spans="9:27" x14ac:dyDescent="0.25">
      <c r="I100" s="138">
        <v>6.6269502028600005E-2</v>
      </c>
      <c r="J100" s="50">
        <v>9.6520198445719822E-5</v>
      </c>
      <c r="K100" s="50">
        <v>8.6759565060177293E-6</v>
      </c>
      <c r="L100" s="67">
        <v>6.4654908739435231E-5</v>
      </c>
      <c r="N100" s="18">
        <v>-1.7599705535301813E-6</v>
      </c>
      <c r="O100" s="18">
        <v>4.7313041570871139E-11</v>
      </c>
      <c r="P100" s="18">
        <v>1.3892283057416258E-8</v>
      </c>
      <c r="Q100" s="28">
        <v>5.9626855091614601</v>
      </c>
      <c r="R100" s="61">
        <v>128.76280657076325</v>
      </c>
      <c r="S100" s="58">
        <v>9.1992592163938513E-7</v>
      </c>
      <c r="U100" s="82"/>
      <c r="V100" s="159">
        <f t="shared" si="6"/>
        <v>0.66269502028600002</v>
      </c>
      <c r="W100" s="160">
        <f t="shared" si="7"/>
        <v>9.6520198445719822E-5</v>
      </c>
      <c r="X100" s="160">
        <f t="shared" si="7"/>
        <v>8.6759565060177293E-6</v>
      </c>
      <c r="Y100" s="160">
        <f t="shared" si="7"/>
        <v>6.4654908739435231E-5</v>
      </c>
      <c r="Z100" s="161">
        <f t="shared" si="8"/>
        <v>0.36528065707632462</v>
      </c>
      <c r="AA100" s="161">
        <f t="shared" si="9"/>
        <v>9.1992592163938513E-5</v>
      </c>
    </row>
    <row r="101" spans="9:27" x14ac:dyDescent="0.25">
      <c r="I101" s="138">
        <v>6.7594892069199997E-2</v>
      </c>
      <c r="J101" s="50">
        <v>9.7082049193236158E-5</v>
      </c>
      <c r="K101" s="50">
        <v>8.3874746329197415E-6</v>
      </c>
      <c r="L101" s="67">
        <v>6.1668369194177339E-5</v>
      </c>
      <c r="N101" s="18">
        <v>-1.7776333476404781E-6</v>
      </c>
      <c r="O101" s="18">
        <v>5.1831937874349686E-11</v>
      </c>
      <c r="P101" s="18">
        <v>1.5444522234452218E-8</v>
      </c>
      <c r="Q101" s="28">
        <v>5.9626855091614601</v>
      </c>
      <c r="R101" s="61">
        <v>128.76280657076325</v>
      </c>
      <c r="S101" s="58">
        <v>8.5692045364586323E-7</v>
      </c>
      <c r="U101" s="82"/>
      <c r="V101" s="159">
        <f t="shared" si="6"/>
        <v>0.67594892069199997</v>
      </c>
      <c r="W101" s="160">
        <f t="shared" si="7"/>
        <v>9.7082049193236158E-5</v>
      </c>
      <c r="X101" s="160">
        <f t="shared" si="7"/>
        <v>8.3874746329197415E-6</v>
      </c>
      <c r="Y101" s="160">
        <f t="shared" si="7"/>
        <v>6.1668369194177339E-5</v>
      </c>
      <c r="Z101" s="161">
        <f t="shared" si="8"/>
        <v>0.36528065707632462</v>
      </c>
      <c r="AA101" s="161">
        <f t="shared" si="9"/>
        <v>8.569204536458632E-5</v>
      </c>
    </row>
    <row r="102" spans="9:27" x14ac:dyDescent="0.25">
      <c r="I102" s="138">
        <v>6.8946789910500003E-2</v>
      </c>
      <c r="J102" s="50">
        <v>8.7439850409949045E-5</v>
      </c>
      <c r="K102" s="50">
        <v>8.3689844434923483E-6</v>
      </c>
      <c r="L102" s="67">
        <v>5.6013696847003821E-5</v>
      </c>
      <c r="N102" s="18">
        <v>-1.7977066288586016E-6</v>
      </c>
      <c r="O102" s="18">
        <v>5.696760287335164E-11</v>
      </c>
      <c r="P102" s="18">
        <v>1.7208615377764775E-8</v>
      </c>
      <c r="Q102" s="28">
        <v>5.9626855091614601</v>
      </c>
      <c r="R102" s="61">
        <v>129.25541446306894</v>
      </c>
      <c r="S102" s="58">
        <v>8.5692045364586323E-7</v>
      </c>
      <c r="U102" s="82"/>
      <c r="V102" s="159">
        <f t="shared" si="6"/>
        <v>0.68946789910500006</v>
      </c>
      <c r="W102" s="160">
        <f t="shared" si="7"/>
        <v>8.7439850409949045E-5</v>
      </c>
      <c r="X102" s="160">
        <f t="shared" si="7"/>
        <v>8.3689844434923483E-6</v>
      </c>
      <c r="Y102" s="160">
        <f t="shared" si="7"/>
        <v>5.6013696847003821E-5</v>
      </c>
      <c r="Z102" s="161">
        <f t="shared" si="8"/>
        <v>0.41454144630689455</v>
      </c>
      <c r="AA102" s="161">
        <f t="shared" si="9"/>
        <v>8.569204536458632E-5</v>
      </c>
    </row>
    <row r="103" spans="9:27" x14ac:dyDescent="0.25">
      <c r="I103" s="138">
        <v>7.0325725708699993E-2</v>
      </c>
      <c r="J103" s="50">
        <v>8.6757042113102322E-5</v>
      </c>
      <c r="K103" s="50">
        <v>7.7846597118803377E-6</v>
      </c>
      <c r="L103" s="67">
        <v>5.2813802896982464E-5</v>
      </c>
      <c r="N103" s="18">
        <v>-1.8198148810388536E-6</v>
      </c>
      <c r="O103" s="18">
        <v>6.2623925892811963E-11</v>
      </c>
      <c r="P103" s="18">
        <v>1.9151551985349617E-8</v>
      </c>
      <c r="Q103" s="28">
        <v>5.9626855091614601</v>
      </c>
      <c r="R103" s="61">
        <v>129.25541446306894</v>
      </c>
      <c r="S103" s="58">
        <v>7.9631277712199623E-7</v>
      </c>
      <c r="U103" s="82"/>
      <c r="V103" s="159">
        <f t="shared" si="6"/>
        <v>0.70325725708699993</v>
      </c>
      <c r="W103" s="160">
        <f t="shared" si="7"/>
        <v>8.6757042113102322E-5</v>
      </c>
      <c r="X103" s="160">
        <f t="shared" si="7"/>
        <v>7.7846597118803377E-6</v>
      </c>
      <c r="Y103" s="160">
        <f t="shared" si="7"/>
        <v>5.2813802896982464E-5</v>
      </c>
      <c r="Z103" s="161">
        <f t="shared" si="8"/>
        <v>0.41454144630689455</v>
      </c>
      <c r="AA103" s="161">
        <f t="shared" si="9"/>
        <v>7.9631277712199629E-5</v>
      </c>
    </row>
    <row r="104" spans="9:27" x14ac:dyDescent="0.25">
      <c r="I104" s="138">
        <v>7.1732240222900007E-2</v>
      </c>
      <c r="J104" s="50">
        <v>8.2832704986911306E-5</v>
      </c>
      <c r="K104" s="50">
        <v>8.1365505182870608E-6</v>
      </c>
      <c r="L104" s="67">
        <v>5.0664194157756348E-5</v>
      </c>
      <c r="N104" s="18">
        <v>-1.8435463052422154E-6</v>
      </c>
      <c r="O104" s="18">
        <v>6.8695510156369317E-11</v>
      </c>
      <c r="P104" s="18">
        <v>2.1237132098633975E-8</v>
      </c>
      <c r="Q104" s="28">
        <v>5.9626855091614601</v>
      </c>
      <c r="R104" s="61">
        <v>129.74802235537464</v>
      </c>
      <c r="S104" s="58">
        <v>7.9631277712199623E-7</v>
      </c>
      <c r="U104" s="82"/>
      <c r="V104" s="159">
        <f t="shared" si="6"/>
        <v>0.71732240222900012</v>
      </c>
      <c r="W104" s="160">
        <f t="shared" si="7"/>
        <v>8.2832704986911306E-5</v>
      </c>
      <c r="X104" s="160">
        <f t="shared" si="7"/>
        <v>8.1365505182870608E-6</v>
      </c>
      <c r="Y104" s="160">
        <f t="shared" si="7"/>
        <v>5.0664194157756348E-5</v>
      </c>
      <c r="Z104" s="161">
        <f t="shared" si="8"/>
        <v>0.46380223553746447</v>
      </c>
      <c r="AA104" s="161">
        <f t="shared" si="9"/>
        <v>7.9631277712199629E-5</v>
      </c>
    </row>
    <row r="105" spans="9:27" x14ac:dyDescent="0.25">
      <c r="I105" s="138">
        <v>7.31668850274E-2</v>
      </c>
      <c r="J105" s="50">
        <v>7.0208368355645834E-5</v>
      </c>
      <c r="K105" s="50">
        <v>8.3039712266618962E-6</v>
      </c>
      <c r="L105" s="67">
        <v>4.5657701415730727E-5</v>
      </c>
      <c r="N105" s="18">
        <v>-1.8684637310056815E-6</v>
      </c>
      <c r="O105" s="18">
        <v>7.5070465125718007E-11</v>
      </c>
      <c r="P105" s="18">
        <v>2.342692539869334E-8</v>
      </c>
      <c r="Q105" s="28">
        <v>5.9626855091614601</v>
      </c>
      <c r="R105" s="61">
        <v>129.74802235537464</v>
      </c>
      <c r="S105" s="58">
        <v>7.377574616028341E-7</v>
      </c>
      <c r="U105" s="82"/>
      <c r="V105" s="159">
        <f t="shared" si="6"/>
        <v>0.73166885027399997</v>
      </c>
      <c r="W105" s="160">
        <f t="shared" si="7"/>
        <v>7.0208368355645834E-5</v>
      </c>
      <c r="X105" s="160">
        <f t="shared" si="7"/>
        <v>8.3039712266618962E-6</v>
      </c>
      <c r="Y105" s="160">
        <f t="shared" si="7"/>
        <v>4.5657701415730727E-5</v>
      </c>
      <c r="Z105" s="161">
        <f t="shared" si="8"/>
        <v>0.46380223553746447</v>
      </c>
      <c r="AA105" s="161">
        <f t="shared" si="9"/>
        <v>7.3775746160283413E-5</v>
      </c>
    </row>
    <row r="106" spans="9:27" x14ac:dyDescent="0.25">
      <c r="I106" s="138">
        <v>7.46302227279E-2</v>
      </c>
      <c r="J106" s="50">
        <v>7.2033029750756986E-5</v>
      </c>
      <c r="K106" s="50">
        <v>8.062700052169989E-6</v>
      </c>
      <c r="L106" s="67">
        <v>4.4495122164649937E-5</v>
      </c>
      <c r="N106" s="18">
        <v>-1.8876595282602647E-6</v>
      </c>
      <c r="O106" s="18">
        <v>7.9981513747583716E-11</v>
      </c>
      <c r="P106" s="18">
        <v>2.5113873861366814E-8</v>
      </c>
      <c r="Q106" s="28">
        <v>2.9813427545807301</v>
      </c>
      <c r="R106" s="61">
        <v>130.24063024768034</v>
      </c>
      <c r="S106" s="58">
        <v>7.377574616028341E-7</v>
      </c>
      <c r="U106" s="82"/>
      <c r="V106" s="159">
        <f t="shared" si="6"/>
        <v>0.74630222727899997</v>
      </c>
      <c r="W106" s="160">
        <f t="shared" si="7"/>
        <v>7.2033029750756986E-5</v>
      </c>
      <c r="X106" s="160">
        <f t="shared" si="7"/>
        <v>8.062700052169989E-6</v>
      </c>
      <c r="Y106" s="160">
        <f t="shared" si="7"/>
        <v>4.4495122164649937E-5</v>
      </c>
      <c r="Z106" s="161">
        <f t="shared" si="8"/>
        <v>0.51306302476803434</v>
      </c>
      <c r="AA106" s="161">
        <f t="shared" si="9"/>
        <v>7.3775746160283413E-5</v>
      </c>
    </row>
    <row r="107" spans="9:27" x14ac:dyDescent="0.25">
      <c r="I107" s="138">
        <v>7.6122827182500005E-2</v>
      </c>
      <c r="J107" s="50">
        <v>5.7401445283432537E-5</v>
      </c>
      <c r="K107" s="50">
        <v>7.79593230504421E-6</v>
      </c>
      <c r="L107" s="67">
        <v>4.0771362275784498E-5</v>
      </c>
      <c r="N107" s="18">
        <v>-1.897758101980738E-6</v>
      </c>
      <c r="O107" s="18">
        <v>8.3098497107784846E-11</v>
      </c>
      <c r="P107" s="18">
        <v>2.618458196224953E-8</v>
      </c>
      <c r="Q107" s="28">
        <v>3.764091169088938</v>
      </c>
      <c r="R107" s="61">
        <v>130.24063024768034</v>
      </c>
      <c r="S107" s="58">
        <v>6.8095832099825387E-7</v>
      </c>
      <c r="U107" s="82"/>
      <c r="V107" s="159">
        <f t="shared" si="6"/>
        <v>0.76122827182500008</v>
      </c>
      <c r="W107" s="160">
        <f t="shared" si="7"/>
        <v>5.7401445283432537E-5</v>
      </c>
      <c r="X107" s="160">
        <f t="shared" si="7"/>
        <v>7.79593230504421E-6</v>
      </c>
      <c r="Y107" s="160">
        <f t="shared" si="7"/>
        <v>4.0771362275784498E-5</v>
      </c>
      <c r="Z107" s="161">
        <f t="shared" si="8"/>
        <v>0.51306302476803434</v>
      </c>
      <c r="AA107" s="161">
        <f t="shared" si="9"/>
        <v>6.8095832099825381E-5</v>
      </c>
    </row>
    <row r="108" spans="9:27" x14ac:dyDescent="0.25">
      <c r="I108" s="138">
        <v>7.7645283726099995E-2</v>
      </c>
      <c r="J108" s="50">
        <v>5.5648074637702675E-5</v>
      </c>
      <c r="K108" s="50">
        <v>7.1592693610801661E-6</v>
      </c>
      <c r="L108" s="67">
        <v>3.7938432317201821E-5</v>
      </c>
      <c r="N108" s="18">
        <v>-1.9225281978882249E-6</v>
      </c>
      <c r="O108" s="18">
        <v>8.9560960817397907E-11</v>
      </c>
      <c r="P108" s="18">
        <v>2.8404456650730637E-8</v>
      </c>
      <c r="Q108" s="28">
        <v>7.5281823381778761</v>
      </c>
      <c r="R108" s="61">
        <v>130.73323813998604</v>
      </c>
      <c r="S108" s="58">
        <v>6.8095832099825387E-7</v>
      </c>
      <c r="U108" s="82"/>
      <c r="V108" s="159">
        <f t="shared" si="6"/>
        <v>0.77645283726100001</v>
      </c>
      <c r="W108" s="160">
        <f t="shared" si="7"/>
        <v>5.5648074637702675E-5</v>
      </c>
      <c r="X108" s="160">
        <f t="shared" si="7"/>
        <v>7.1592693610801661E-6</v>
      </c>
      <c r="Y108" s="160">
        <f t="shared" si="7"/>
        <v>3.7938432317201821E-5</v>
      </c>
      <c r="Z108" s="161">
        <f t="shared" si="8"/>
        <v>0.56232381399860432</v>
      </c>
      <c r="AA108" s="161">
        <f t="shared" si="9"/>
        <v>6.8095832099825381E-5</v>
      </c>
    </row>
    <row r="109" spans="9:27" x14ac:dyDescent="0.25">
      <c r="I109" s="138">
        <v>7.9198189400700003E-2</v>
      </c>
      <c r="J109" s="50">
        <v>4.2524323608600191E-5</v>
      </c>
      <c r="K109" s="50">
        <v>6.4000739374881939E-6</v>
      </c>
      <c r="L109" s="67">
        <v>3.5825614067784309E-5</v>
      </c>
      <c r="N109" s="18">
        <v>-1.954705214654107E-6</v>
      </c>
      <c r="O109" s="18">
        <v>9.799904381794383E-11</v>
      </c>
      <c r="P109" s="18">
        <v>3.1302992207654154E-8</v>
      </c>
      <c r="Q109" s="28">
        <v>7.5281823381778761</v>
      </c>
      <c r="R109" s="61">
        <v>130.73323813998604</v>
      </c>
      <c r="S109" s="58">
        <v>6.2568612761774851E-7</v>
      </c>
      <c r="U109" s="82"/>
      <c r="V109" s="159">
        <f t="shared" si="6"/>
        <v>0.79198189400700003</v>
      </c>
      <c r="W109" s="160">
        <f t="shared" si="7"/>
        <v>4.2524323608600191E-5</v>
      </c>
      <c r="X109" s="160">
        <f t="shared" si="7"/>
        <v>6.4000739374881939E-6</v>
      </c>
      <c r="Y109" s="160">
        <f t="shared" si="7"/>
        <v>3.5825614067784309E-5</v>
      </c>
      <c r="Z109" s="161">
        <f t="shared" si="8"/>
        <v>0.56232381399860432</v>
      </c>
      <c r="AA109" s="161">
        <f t="shared" si="9"/>
        <v>6.2568612761774848E-5</v>
      </c>
    </row>
    <row r="110" spans="9:27" x14ac:dyDescent="0.25">
      <c r="I110" s="138">
        <v>8.0782153188699996E-2</v>
      </c>
      <c r="J110" s="50">
        <v>4.4342737584557447E-5</v>
      </c>
      <c r="K110" s="50">
        <v>6.4384756709613022E-6</v>
      </c>
      <c r="L110" s="67">
        <v>3.2275703736489362E-5</v>
      </c>
      <c r="N110" s="18">
        <v>-1.9852517480419867E-6</v>
      </c>
      <c r="O110" s="18">
        <v>1.0607263266063582E-10</v>
      </c>
      <c r="P110" s="18">
        <v>3.407636468734355E-8</v>
      </c>
      <c r="Q110" s="28">
        <v>7.5281823381778761</v>
      </c>
      <c r="R110" s="61">
        <v>131.22584603229174</v>
      </c>
      <c r="S110" s="58">
        <v>6.2568612761774851E-7</v>
      </c>
      <c r="U110" s="82"/>
      <c r="V110" s="159">
        <f t="shared" si="6"/>
        <v>0.8078215318869999</v>
      </c>
      <c r="W110" s="160">
        <f t="shared" si="7"/>
        <v>4.4342737584557447E-5</v>
      </c>
      <c r="X110" s="160">
        <f t="shared" si="7"/>
        <v>6.4384756709613022E-6</v>
      </c>
      <c r="Y110" s="160">
        <f t="shared" si="7"/>
        <v>3.2275703736489362E-5</v>
      </c>
      <c r="Z110" s="161">
        <f t="shared" si="8"/>
        <v>0.61158460322917418</v>
      </c>
      <c r="AA110" s="161">
        <f t="shared" si="9"/>
        <v>6.2568612761774848E-5</v>
      </c>
    </row>
    <row r="111" spans="9:27" x14ac:dyDescent="0.25">
      <c r="I111" s="138">
        <v>8.2397796252399999E-2</v>
      </c>
      <c r="J111" s="50">
        <v>3.7713093900841322E-5</v>
      </c>
      <c r="K111" s="50">
        <v>6.2899896053171751E-6</v>
      </c>
      <c r="L111" s="67">
        <v>3.1494125008971884E-5</v>
      </c>
      <c r="N111" s="18">
        <v>-2.0135317293532094E-6</v>
      </c>
      <c r="O111" s="18">
        <v>1.136288555319448E-10</v>
      </c>
      <c r="P111" s="18">
        <v>3.6672069818386595E-8</v>
      </c>
      <c r="Q111" s="28">
        <v>7.5281823381778761</v>
      </c>
      <c r="R111" s="61">
        <v>131.22584603229174</v>
      </c>
      <c r="S111" s="58">
        <v>5.7178984688645829E-7</v>
      </c>
      <c r="U111" s="82"/>
      <c r="V111" s="159">
        <f t="shared" si="6"/>
        <v>0.82397796252400002</v>
      </c>
      <c r="W111" s="160">
        <f t="shared" si="7"/>
        <v>3.7713093900841322E-5</v>
      </c>
      <c r="X111" s="160">
        <f t="shared" si="7"/>
        <v>6.2899896053171751E-6</v>
      </c>
      <c r="Y111" s="160">
        <f t="shared" si="7"/>
        <v>3.1494125008971884E-5</v>
      </c>
      <c r="Z111" s="161">
        <f t="shared" si="8"/>
        <v>0.61158460322917418</v>
      </c>
      <c r="AA111" s="161">
        <f t="shared" si="9"/>
        <v>5.7178984688645828E-5</v>
      </c>
    </row>
    <row r="112" spans="9:27" x14ac:dyDescent="0.25">
      <c r="I112" s="138">
        <v>8.4045752177500002E-2</v>
      </c>
      <c r="J112" s="50">
        <v>4.1124013370799925E-5</v>
      </c>
      <c r="K112" s="50">
        <v>6.2038328078625513E-6</v>
      </c>
      <c r="L112" s="67">
        <v>2.7979739699644694E-5</v>
      </c>
      <c r="N112" s="18">
        <v>-2.0390296127323736E-6</v>
      </c>
      <c r="O112" s="18">
        <v>1.2054648603807658E-10</v>
      </c>
      <c r="P112" s="18">
        <v>3.9048472925946585E-8</v>
      </c>
      <c r="Q112" s="28">
        <v>7.5281823381778761</v>
      </c>
      <c r="R112" s="61">
        <v>131.71845392459744</v>
      </c>
      <c r="S112" s="58">
        <v>5.7178984688645829E-7</v>
      </c>
      <c r="U112" s="82"/>
      <c r="V112" s="159">
        <f t="shared" si="6"/>
        <v>0.84045752177499999</v>
      </c>
      <c r="W112" s="160">
        <f t="shared" si="7"/>
        <v>4.1124013370799925E-5</v>
      </c>
      <c r="X112" s="160">
        <f t="shared" si="7"/>
        <v>6.2038328078625513E-6</v>
      </c>
      <c r="Y112" s="160">
        <f t="shared" si="7"/>
        <v>2.7979739699644694E-5</v>
      </c>
      <c r="Z112" s="161">
        <f t="shared" si="8"/>
        <v>0.66084539245974416</v>
      </c>
      <c r="AA112" s="161">
        <f t="shared" si="9"/>
        <v>5.7178984688645828E-5</v>
      </c>
    </row>
    <row r="113" spans="9:27" x14ac:dyDescent="0.25">
      <c r="I113" s="138">
        <v>8.5726667221000002E-2</v>
      </c>
      <c r="J113" s="50">
        <v>3.2861339282832822E-5</v>
      </c>
      <c r="K113" s="50">
        <v>5.9221319151874868E-6</v>
      </c>
      <c r="L113" s="67">
        <v>2.7619320262395967E-5</v>
      </c>
      <c r="N113" s="18">
        <v>-2.0613719214593197E-6</v>
      </c>
      <c r="O113" s="18">
        <v>1.2674123770238295E-10</v>
      </c>
      <c r="P113" s="18">
        <v>4.1176627465771006E-8</v>
      </c>
      <c r="Q113" s="28">
        <v>7.5281823381778761</v>
      </c>
      <c r="R113" s="61">
        <v>131.71845392459744</v>
      </c>
      <c r="S113" s="58">
        <v>5.1920113411803777E-7</v>
      </c>
      <c r="U113" s="82"/>
      <c r="V113" s="159">
        <f t="shared" si="6"/>
        <v>0.85726667220999997</v>
      </c>
      <c r="W113" s="160">
        <f t="shared" si="7"/>
        <v>3.2861339282832822E-5</v>
      </c>
      <c r="X113" s="160">
        <f t="shared" si="7"/>
        <v>5.9221319151874868E-6</v>
      </c>
      <c r="Y113" s="160">
        <f t="shared" si="7"/>
        <v>2.7619320262395967E-5</v>
      </c>
      <c r="Z113" s="161">
        <f t="shared" si="8"/>
        <v>0.66084539245974416</v>
      </c>
      <c r="AA113" s="161">
        <f t="shared" si="9"/>
        <v>5.1920113411803777E-5</v>
      </c>
    </row>
    <row r="114" spans="9:27" x14ac:dyDescent="0.25">
      <c r="I114" s="138">
        <v>8.7441200565500005E-2</v>
      </c>
      <c r="J114" s="50">
        <v>3.358348144656282E-5</v>
      </c>
      <c r="K114" s="50">
        <v>6.0781964966807533E-6</v>
      </c>
      <c r="L114" s="67">
        <v>2.4726059176475972E-5</v>
      </c>
      <c r="N114" s="18">
        <v>-2.0803353226165407E-6</v>
      </c>
      <c r="O114" s="18">
        <v>1.3216753133059415E-10</v>
      </c>
      <c r="P114" s="18">
        <v>4.3040882085953592E-8</v>
      </c>
      <c r="Q114" s="28">
        <v>7.5281823381778761</v>
      </c>
      <c r="R114" s="61">
        <v>132.21106181690314</v>
      </c>
      <c r="S114" s="58">
        <v>5.1920113411803777E-7</v>
      </c>
      <c r="U114" s="82"/>
      <c r="V114" s="159">
        <f t="shared" si="6"/>
        <v>0.87441200565499999</v>
      </c>
      <c r="W114" s="160">
        <f t="shared" si="7"/>
        <v>3.358348144656282E-5</v>
      </c>
      <c r="X114" s="160">
        <f t="shared" si="7"/>
        <v>6.0781964966807533E-6</v>
      </c>
      <c r="Y114" s="160">
        <f t="shared" si="7"/>
        <v>2.4726059176475972E-5</v>
      </c>
      <c r="Z114" s="161">
        <f t="shared" si="8"/>
        <v>0.71010618169031403</v>
      </c>
      <c r="AA114" s="161">
        <f t="shared" si="9"/>
        <v>5.1920113411803777E-5</v>
      </c>
    </row>
    <row r="115" spans="9:27" x14ac:dyDescent="0.25">
      <c r="I115" s="138">
        <v>8.9190024576800003E-2</v>
      </c>
      <c r="J115" s="50">
        <v>3.8967145638630111E-5</v>
      </c>
      <c r="K115" s="50">
        <v>5.8029479634157462E-6</v>
      </c>
      <c r="L115" s="67">
        <v>2.3542157362108715E-5</v>
      </c>
      <c r="N115" s="18">
        <v>-2.0958418476330722E-6</v>
      </c>
      <c r="O115" s="18">
        <v>1.3681689446739373E-10</v>
      </c>
      <c r="P115" s="18">
        <v>4.4638330905388374E-8</v>
      </c>
      <c r="Q115" s="28">
        <v>7.5281823381778761</v>
      </c>
      <c r="R115" s="61">
        <v>132.21106181690314</v>
      </c>
      <c r="S115" s="58">
        <v>4.6793232802493216E-7</v>
      </c>
      <c r="U115" s="82"/>
      <c r="V115" s="159">
        <f t="shared" si="6"/>
        <v>0.89190024576800009</v>
      </c>
      <c r="W115" s="160">
        <f t="shared" si="7"/>
        <v>3.8967145638630111E-5</v>
      </c>
      <c r="X115" s="160">
        <f t="shared" si="7"/>
        <v>5.8029479634157462E-6</v>
      </c>
      <c r="Y115" s="160">
        <f t="shared" si="7"/>
        <v>2.3542157362108715E-5</v>
      </c>
      <c r="Z115" s="161">
        <f t="shared" si="8"/>
        <v>0.71010618169031403</v>
      </c>
      <c r="AA115" s="161">
        <f t="shared" si="9"/>
        <v>4.6793232802493216E-5</v>
      </c>
    </row>
    <row r="116" spans="9:27" x14ac:dyDescent="0.25">
      <c r="I116" s="138">
        <v>9.0973825068299999E-2</v>
      </c>
      <c r="J116" s="50">
        <v>3.8518042750672441E-5</v>
      </c>
      <c r="K116" s="50">
        <v>6.2526236140233226E-6</v>
      </c>
      <c r="L116" s="67">
        <v>2.1615220564607176E-5</v>
      </c>
      <c r="N116" s="18">
        <v>-2.1079433728135827E-6</v>
      </c>
      <c r="O116" s="18">
        <v>1.4071354128865485E-10</v>
      </c>
      <c r="P116" s="18">
        <v>4.5977295350186701E-8</v>
      </c>
      <c r="Q116" s="28">
        <v>7.5281823381778761</v>
      </c>
      <c r="R116" s="61">
        <v>132.70366970920884</v>
      </c>
      <c r="S116" s="58">
        <v>4.6793232802493216E-7</v>
      </c>
      <c r="U116" s="82"/>
      <c r="V116" s="159">
        <f t="shared" si="6"/>
        <v>0.90973825068299996</v>
      </c>
      <c r="W116" s="160">
        <f t="shared" si="7"/>
        <v>3.8518042750672441E-5</v>
      </c>
      <c r="X116" s="160">
        <f t="shared" si="7"/>
        <v>6.2526236140233226E-6</v>
      </c>
      <c r="Y116" s="160">
        <f t="shared" si="7"/>
        <v>2.1615220564607176E-5</v>
      </c>
      <c r="Z116" s="161">
        <f t="shared" si="8"/>
        <v>0.7593669709208839</v>
      </c>
      <c r="AA116" s="161">
        <f t="shared" si="9"/>
        <v>4.6793232802493216E-5</v>
      </c>
    </row>
    <row r="117" spans="9:27" x14ac:dyDescent="0.25">
      <c r="I117" s="138">
        <v>9.2793301569700004E-2</v>
      </c>
      <c r="J117" s="50">
        <v>4.292764373657732E-5</v>
      </c>
      <c r="K117" s="50">
        <v>6.2530887325567222E-6</v>
      </c>
      <c r="L117" s="67">
        <v>2.0039946394613504E-5</v>
      </c>
      <c r="N117" s="18">
        <v>-2.1167985064172477E-6</v>
      </c>
      <c r="O117" s="18">
        <v>1.4390795223335182E-10</v>
      </c>
      <c r="P117" s="18">
        <v>4.7075118956556585E-8</v>
      </c>
      <c r="Q117" s="28">
        <v>7.5281823381778761</v>
      </c>
      <c r="R117" s="61">
        <v>132.70366970920884</v>
      </c>
      <c r="S117" s="58">
        <v>4.3039574979162564E-7</v>
      </c>
      <c r="U117" s="82"/>
      <c r="V117" s="159">
        <f t="shared" si="6"/>
        <v>0.92793301569700004</v>
      </c>
      <c r="W117" s="160">
        <f t="shared" si="7"/>
        <v>4.292764373657732E-5</v>
      </c>
      <c r="X117" s="160">
        <f t="shared" si="7"/>
        <v>6.2530887325567222E-6</v>
      </c>
      <c r="Y117" s="160">
        <f t="shared" si="7"/>
        <v>2.0039946394613504E-5</v>
      </c>
      <c r="Z117" s="161">
        <f t="shared" si="8"/>
        <v>0.7593669709208839</v>
      </c>
      <c r="AA117" s="161">
        <f t="shared" si="9"/>
        <v>4.3039574979162561E-5</v>
      </c>
    </row>
    <row r="118" spans="9:27" x14ac:dyDescent="0.25">
      <c r="I118" s="138">
        <v>9.4649167601099995E-2</v>
      </c>
      <c r="J118" s="50">
        <v>3.6674932387831488E-5</v>
      </c>
      <c r="K118" s="50">
        <v>6.1247361508811608E-6</v>
      </c>
      <c r="L118" s="67">
        <v>1.8862606436416431E-5</v>
      </c>
      <c r="N118" s="18">
        <v>-2.1226454809512595E-6</v>
      </c>
      <c r="O118" s="18">
        <v>1.4646939519751197E-10</v>
      </c>
      <c r="P118" s="18">
        <v>4.7955598630337912E-8</v>
      </c>
      <c r="Q118" s="28">
        <v>7.5281823381778761</v>
      </c>
      <c r="R118" s="61">
        <v>132.9499736553617</v>
      </c>
      <c r="S118" s="58">
        <v>4.3039574979162564E-7</v>
      </c>
      <c r="U118" s="82"/>
      <c r="V118" s="159">
        <f t="shared" si="6"/>
        <v>0.94649167601099993</v>
      </c>
      <c r="W118" s="160">
        <f t="shared" si="7"/>
        <v>3.6674932387831488E-5</v>
      </c>
      <c r="X118" s="160">
        <f t="shared" si="7"/>
        <v>6.1247361508811608E-6</v>
      </c>
      <c r="Y118" s="160">
        <f t="shared" si="7"/>
        <v>1.8862606436416431E-5</v>
      </c>
      <c r="Z118" s="161">
        <f t="shared" si="8"/>
        <v>0.78399736553617028</v>
      </c>
      <c r="AA118" s="161">
        <f t="shared" si="9"/>
        <v>4.3039574979162561E-5</v>
      </c>
    </row>
    <row r="119" spans="9:27" x14ac:dyDescent="0.25">
      <c r="I119" s="138">
        <v>9.6542150953099995E-2</v>
      </c>
      <c r="J119" s="50">
        <v>3.0061421913440189E-5</v>
      </c>
      <c r="K119" s="50">
        <v>5.4614777752381769E-6</v>
      </c>
      <c r="L119" s="67">
        <v>1.7476431561237996E-5</v>
      </c>
      <c r="N119" s="18">
        <v>-2.1257745256906244E-6</v>
      </c>
      <c r="O119" s="18">
        <v>1.48478304713458E-10</v>
      </c>
      <c r="P119" s="18">
        <v>4.8646367129481082E-8</v>
      </c>
      <c r="Q119" s="28">
        <v>7.5281823381778761</v>
      </c>
      <c r="R119" s="61">
        <v>132.9499736553617</v>
      </c>
      <c r="S119" s="58">
        <v>3.7093655921173862E-7</v>
      </c>
      <c r="U119" s="82"/>
      <c r="V119" s="159">
        <f t="shared" si="6"/>
        <v>0.96542150953099992</v>
      </c>
      <c r="W119" s="160">
        <f t="shared" si="7"/>
        <v>3.0061421913440189E-5</v>
      </c>
      <c r="X119" s="160">
        <f t="shared" si="7"/>
        <v>5.4614777752381769E-6</v>
      </c>
      <c r="Y119" s="160">
        <f t="shared" si="7"/>
        <v>1.7476431561237996E-5</v>
      </c>
      <c r="Z119" s="161">
        <f t="shared" si="8"/>
        <v>0.78399736553617028</v>
      </c>
      <c r="AA119" s="161">
        <f t="shared" si="9"/>
        <v>3.709365592117386E-5</v>
      </c>
    </row>
    <row r="120" spans="9:27" x14ac:dyDescent="0.25">
      <c r="I120" s="138">
        <v>9.8472993972199996E-2</v>
      </c>
      <c r="J120" s="50">
        <v>2.4925210296322276E-5</v>
      </c>
      <c r="K120" s="50">
        <v>5.4568847169184372E-6</v>
      </c>
      <c r="L120" s="67">
        <v>1.6377363742635017E-5</v>
      </c>
      <c r="N120" s="18">
        <v>-2.1265026030303629E-6</v>
      </c>
      <c r="O120" s="18">
        <v>1.5001928915404953E-10</v>
      </c>
      <c r="P120" s="18">
        <v>4.9176491257015264E-8</v>
      </c>
      <c r="Q120" s="28">
        <v>7.5281823381778761</v>
      </c>
      <c r="R120" s="61">
        <v>133.54457872821075</v>
      </c>
      <c r="S120" s="58">
        <v>3.7093655921173862E-7</v>
      </c>
      <c r="U120" s="82"/>
      <c r="V120" s="159">
        <f t="shared" si="6"/>
        <v>0.98472993972199996</v>
      </c>
      <c r="W120" s="160">
        <f t="shared" si="7"/>
        <v>2.4925210296322276E-5</v>
      </c>
      <c r="X120" s="160">
        <f t="shared" si="7"/>
        <v>5.4568847169184372E-6</v>
      </c>
      <c r="Y120" s="160">
        <f t="shared" si="7"/>
        <v>1.6377363742635017E-5</v>
      </c>
      <c r="Z120" s="161">
        <f t="shared" si="8"/>
        <v>0.84345787282107521</v>
      </c>
      <c r="AA120" s="161">
        <f t="shared" si="9"/>
        <v>3.709365592117386E-5</v>
      </c>
    </row>
    <row r="121" spans="9:27" x14ac:dyDescent="0.25">
      <c r="I121" s="138">
        <v>0.100442453852</v>
      </c>
      <c r="J121" s="50">
        <v>1.8007073614572709E-5</v>
      </c>
      <c r="K121" s="50">
        <v>5.2961562636223529E-6</v>
      </c>
      <c r="L121" s="67">
        <v>1.5088512041976297E-5</v>
      </c>
      <c r="N121" s="18">
        <v>-2.1251525071860302E-6</v>
      </c>
      <c r="O121" s="18">
        <v>1.5117531249943534E-10</v>
      </c>
      <c r="P121" s="18">
        <v>4.9574473485163386E-8</v>
      </c>
      <c r="Q121" s="28">
        <v>7.5281823381778761</v>
      </c>
      <c r="R121" s="61">
        <v>133.54457872821075</v>
      </c>
      <c r="S121" s="58">
        <v>3.1931407119528129E-7</v>
      </c>
      <c r="U121" s="82"/>
      <c r="V121" s="159">
        <f t="shared" si="6"/>
        <v>1.0044245385199999</v>
      </c>
      <c r="W121" s="160">
        <f t="shared" si="7"/>
        <v>1.8007073614572709E-5</v>
      </c>
      <c r="X121" s="160">
        <f t="shared" si="7"/>
        <v>5.2961562636223529E-6</v>
      </c>
      <c r="Y121" s="160">
        <f t="shared" si="7"/>
        <v>1.5088512041976297E-5</v>
      </c>
      <c r="Z121" s="161">
        <f t="shared" si="8"/>
        <v>0.84345787282107521</v>
      </c>
      <c r="AA121" s="161">
        <f t="shared" si="9"/>
        <v>3.1931407119528129E-5</v>
      </c>
    </row>
    <row r="122" spans="9:27" x14ac:dyDescent="0.25">
      <c r="I122" s="138">
        <v>0.102451302929</v>
      </c>
      <c r="J122" s="50">
        <v>1.7748675870415407E-5</v>
      </c>
      <c r="K122" s="50">
        <v>2.7220663828858452E-6</v>
      </c>
      <c r="L122" s="67">
        <v>1.3933131090814484E-5</v>
      </c>
      <c r="N122" s="18">
        <v>-2.1220373397428473E-6</v>
      </c>
      <c r="O122" s="18">
        <v>1.5202334585616814E-10</v>
      </c>
      <c r="P122" s="18">
        <v>4.9866758400219026E-8</v>
      </c>
      <c r="Q122" s="28">
        <v>7.5281823381778761</v>
      </c>
      <c r="R122" s="61">
        <v>134.14934281341297</v>
      </c>
      <c r="S122" s="58">
        <v>3.1931407119528129E-7</v>
      </c>
      <c r="U122" s="82"/>
      <c r="V122" s="159">
        <f t="shared" si="6"/>
        <v>1.02451302929</v>
      </c>
      <c r="W122" s="160">
        <f t="shared" si="7"/>
        <v>1.7748675870415407E-5</v>
      </c>
      <c r="X122" s="160">
        <f t="shared" si="7"/>
        <v>2.7220663828858452E-6</v>
      </c>
      <c r="Y122" s="160">
        <f t="shared" si="7"/>
        <v>1.3933131090814484E-5</v>
      </c>
      <c r="Z122" s="161">
        <f t="shared" si="8"/>
        <v>0.90393428134129716</v>
      </c>
      <c r="AA122" s="161">
        <f t="shared" si="9"/>
        <v>3.1931407119528129E-5</v>
      </c>
    </row>
    <row r="123" spans="9:27" x14ac:dyDescent="0.25">
      <c r="I123" s="138">
        <v>0.104500328987</v>
      </c>
      <c r="J123" s="50">
        <v>1.5792500983655823E-5</v>
      </c>
      <c r="K123" s="50">
        <v>2.5515823775800746E-6</v>
      </c>
      <c r="L123" s="67">
        <v>1.3035090606738183E-5</v>
      </c>
      <c r="N123" s="18">
        <v>-2.1174504675614139E-6</v>
      </c>
      <c r="O123" s="18">
        <v>1.5263154887024783E-10</v>
      </c>
      <c r="P123" s="18">
        <v>5.0076764625144894E-8</v>
      </c>
      <c r="Q123" s="28">
        <v>7.5281823381778761</v>
      </c>
      <c r="R123" s="61">
        <v>134.14934281341297</v>
      </c>
      <c r="S123" s="58">
        <v>2.6770168022851038E-7</v>
      </c>
      <c r="U123" s="82"/>
      <c r="V123" s="159">
        <f t="shared" si="6"/>
        <v>1.0450032898699999</v>
      </c>
      <c r="W123" s="160">
        <f t="shared" si="7"/>
        <v>1.5792500983655823E-5</v>
      </c>
      <c r="X123" s="160">
        <f t="shared" si="7"/>
        <v>2.5515823775800746E-6</v>
      </c>
      <c r="Y123" s="160">
        <f t="shared" si="7"/>
        <v>1.3035090606738183E-5</v>
      </c>
      <c r="Z123" s="161">
        <f t="shared" si="8"/>
        <v>0.90393428134129716</v>
      </c>
      <c r="AA123" s="161">
        <f t="shared" si="9"/>
        <v>2.6770168022851037E-5</v>
      </c>
    </row>
    <row r="124" spans="9:27" x14ac:dyDescent="0.25">
      <c r="I124" s="138">
        <v>0.106590335567</v>
      </c>
      <c r="J124" s="50">
        <v>2.4906667592792084E-5</v>
      </c>
      <c r="K124" s="50">
        <v>2.8379409575659546E-6</v>
      </c>
      <c r="L124" s="67">
        <v>1.2052853420486956E-5</v>
      </c>
      <c r="N124" s="18">
        <v>-2.1116603588349238E-6</v>
      </c>
      <c r="O124" s="18">
        <v>1.5305785412252822E-10</v>
      </c>
      <c r="P124" s="18">
        <v>5.022439862921922E-8</v>
      </c>
      <c r="Q124" s="28">
        <v>7.5281823381778761</v>
      </c>
      <c r="R124" s="61">
        <v>134.77551647103064</v>
      </c>
      <c r="S124" s="58">
        <v>2.6770168022851038E-7</v>
      </c>
      <c r="U124" s="82"/>
      <c r="V124" s="159">
        <f t="shared" si="6"/>
        <v>1.0659033556699999</v>
      </c>
      <c r="W124" s="160">
        <f t="shared" si="7"/>
        <v>2.4906667592792084E-5</v>
      </c>
      <c r="X124" s="160">
        <f t="shared" si="7"/>
        <v>2.8379409575659546E-6</v>
      </c>
      <c r="Y124" s="160">
        <f t="shared" si="7"/>
        <v>1.2052853420486956E-5</v>
      </c>
      <c r="Z124" s="161">
        <f t="shared" si="8"/>
        <v>0.96655164710306418</v>
      </c>
      <c r="AA124" s="161">
        <f t="shared" si="9"/>
        <v>2.6770168022851037E-5</v>
      </c>
    </row>
    <row r="125" spans="9:27" x14ac:dyDescent="0.25">
      <c r="I125" s="138">
        <v>0.10872214227800001</v>
      </c>
      <c r="J125" s="50">
        <v>2.0208582694076028E-5</v>
      </c>
      <c r="K125" s="50">
        <v>2.7305230958657363E-6</v>
      </c>
      <c r="L125" s="67">
        <v>1.1409979187493137E-5</v>
      </c>
      <c r="N125" s="18">
        <v>-2.1049092448357789E-6</v>
      </c>
      <c r="O125" s="18">
        <v>1.5334970465822241E-10</v>
      </c>
      <c r="P125" s="18">
        <v>5.0325964608658393E-8</v>
      </c>
      <c r="Q125" s="28">
        <v>7.5281823381778761</v>
      </c>
      <c r="R125" s="61">
        <v>134.77551647103064</v>
      </c>
      <c r="S125" s="58">
        <v>2.1613304531628025E-7</v>
      </c>
      <c r="U125" s="82"/>
      <c r="V125" s="159">
        <f t="shared" si="6"/>
        <v>1.0872214227800001</v>
      </c>
      <c r="W125" s="160">
        <f t="shared" si="7"/>
        <v>2.0208582694076028E-5</v>
      </c>
      <c r="X125" s="160">
        <f t="shared" si="7"/>
        <v>2.7305230958657363E-6</v>
      </c>
      <c r="Y125" s="160">
        <f t="shared" si="7"/>
        <v>1.1409979187493137E-5</v>
      </c>
      <c r="Z125" s="161">
        <f t="shared" si="8"/>
        <v>0.96655164710306418</v>
      </c>
      <c r="AA125" s="161">
        <f t="shared" si="9"/>
        <v>2.1613304531628025E-5</v>
      </c>
    </row>
    <row r="126" spans="9:27" x14ac:dyDescent="0.25">
      <c r="I126" s="138">
        <v>0.110896585124</v>
      </c>
      <c r="J126" s="50">
        <v>1.9809263493382674E-5</v>
      </c>
      <c r="K126" s="50">
        <v>2.7238778829963893E-6</v>
      </c>
      <c r="L126" s="67">
        <v>1.0356826204640822E-5</v>
      </c>
      <c r="N126" s="18">
        <v>-2.0974143713254035E-6</v>
      </c>
      <c r="O126" s="18">
        <v>1.5354463734024033E-10</v>
      </c>
      <c r="P126" s="18">
        <v>5.0394364885512772E-8</v>
      </c>
      <c r="Q126" s="28">
        <v>7.5281823381778761</v>
      </c>
      <c r="R126" s="61">
        <v>135.43684738540335</v>
      </c>
      <c r="S126" s="58">
        <v>2.1613304531628025E-7</v>
      </c>
      <c r="U126" s="82"/>
      <c r="V126" s="159">
        <f t="shared" si="6"/>
        <v>1.10896585124</v>
      </c>
      <c r="W126" s="160">
        <f t="shared" si="7"/>
        <v>1.9809263493382674E-5</v>
      </c>
      <c r="X126" s="160">
        <f t="shared" si="7"/>
        <v>2.7238778829963893E-6</v>
      </c>
      <c r="Y126" s="160">
        <f t="shared" si="7"/>
        <v>1.0356826204640822E-5</v>
      </c>
      <c r="Z126" s="161">
        <f t="shared" si="8"/>
        <v>1.0326847385403355</v>
      </c>
      <c r="AA126" s="161">
        <f t="shared" si="9"/>
        <v>2.1613304531628025E-5</v>
      </c>
    </row>
    <row r="127" spans="9:27" x14ac:dyDescent="0.25">
      <c r="I127" s="138">
        <v>0.113114516826</v>
      </c>
      <c r="J127" s="50">
        <v>1.9997646757114219E-5</v>
      </c>
      <c r="K127" s="50">
        <v>2.6375921976672942E-6</v>
      </c>
      <c r="L127" s="67">
        <v>9.6210377989327289E-6</v>
      </c>
      <c r="N127" s="18">
        <v>-2.0893706432332599E-6</v>
      </c>
      <c r="O127" s="18">
        <v>1.5367140292696314E-10</v>
      </c>
      <c r="P127" s="18">
        <v>5.0439484657605948E-8</v>
      </c>
      <c r="Q127" s="28">
        <v>7.5281823381778761</v>
      </c>
      <c r="R127" s="61">
        <v>135.43684738540335</v>
      </c>
      <c r="S127" s="58">
        <v>1.6469072786878456E-7</v>
      </c>
      <c r="U127" s="82"/>
      <c r="V127" s="159">
        <f t="shared" si="6"/>
        <v>1.13114516826</v>
      </c>
      <c r="W127" s="160">
        <f t="shared" si="7"/>
        <v>1.9997646757114219E-5</v>
      </c>
      <c r="X127" s="160">
        <f t="shared" si="7"/>
        <v>2.6375921976672942E-6</v>
      </c>
      <c r="Y127" s="160">
        <f t="shared" si="7"/>
        <v>9.6210377989327289E-6</v>
      </c>
      <c r="Z127" s="161">
        <f t="shared" si="8"/>
        <v>1.0326847385403355</v>
      </c>
      <c r="AA127" s="161">
        <f t="shared" si="9"/>
        <v>1.6469072786878454E-5</v>
      </c>
    </row>
    <row r="128" spans="9:27" x14ac:dyDescent="0.25">
      <c r="I128" s="138">
        <v>0.115376807163</v>
      </c>
      <c r="J128" s="50">
        <v>2.1559300175276211E-5</v>
      </c>
      <c r="K128" s="50">
        <v>2.9368209158287469E-6</v>
      </c>
      <c r="L128" s="67">
        <v>8.7410022257732477E-6</v>
      </c>
      <c r="N128" s="18">
        <v>-2.0809536621409572E-6</v>
      </c>
      <c r="O128" s="18">
        <v>1.5375135157069013E-10</v>
      </c>
      <c r="P128" s="18">
        <v>5.0468667914042296E-8</v>
      </c>
      <c r="Q128" s="28">
        <v>7.5281823381778761</v>
      </c>
      <c r="R128" s="61">
        <v>136.15179943539755</v>
      </c>
      <c r="S128" s="58">
        <v>1.6469072786878456E-7</v>
      </c>
      <c r="U128" s="82"/>
      <c r="V128" s="159">
        <f t="shared" si="6"/>
        <v>1.1537680716300001</v>
      </c>
      <c r="W128" s="160">
        <f t="shared" si="7"/>
        <v>2.1559300175276211E-5</v>
      </c>
      <c r="X128" s="160">
        <f t="shared" si="7"/>
        <v>2.9368209158287469E-6</v>
      </c>
      <c r="Y128" s="160">
        <f t="shared" si="7"/>
        <v>8.7410022257732477E-6</v>
      </c>
      <c r="Z128" s="161">
        <f t="shared" si="8"/>
        <v>1.104179943539755</v>
      </c>
      <c r="AA128" s="161">
        <f t="shared" si="9"/>
        <v>1.6469072786878454E-5</v>
      </c>
    </row>
    <row r="129" spans="9:27" x14ac:dyDescent="0.25">
      <c r="I129" s="138">
        <v>0.117684343306</v>
      </c>
      <c r="J129" s="50">
        <v>1.5401990790469902E-5</v>
      </c>
      <c r="K129" s="50">
        <v>2.7750799961436438E-6</v>
      </c>
      <c r="L129" s="67">
        <v>8.473350695386959E-6</v>
      </c>
      <c r="N129" s="18">
        <v>-2.0744921951060248E-6</v>
      </c>
      <c r="O129" s="18">
        <v>1.5379003200994655E-10</v>
      </c>
      <c r="P129" s="18">
        <v>5.0483347190723978E-8</v>
      </c>
      <c r="Q129" s="28">
        <v>3.764091169088938</v>
      </c>
      <c r="R129" s="61">
        <v>136.15179943539755</v>
      </c>
      <c r="S129" s="58">
        <v>1.135463598872365E-7</v>
      </c>
      <c r="U129" s="82"/>
      <c r="V129" s="159">
        <f t="shared" si="6"/>
        <v>1.1768434330599999</v>
      </c>
      <c r="W129" s="160">
        <f t="shared" si="7"/>
        <v>1.5401990790469902E-5</v>
      </c>
      <c r="X129" s="160">
        <f t="shared" si="7"/>
        <v>2.7750799961436438E-6</v>
      </c>
      <c r="Y129" s="160">
        <f t="shared" si="7"/>
        <v>8.473350695386959E-6</v>
      </c>
      <c r="Z129" s="161">
        <f t="shared" si="8"/>
        <v>1.104179943539755</v>
      </c>
      <c r="AA129" s="161">
        <f t="shared" si="9"/>
        <v>1.135463598872365E-5</v>
      </c>
    </row>
    <row r="130" spans="9:27" x14ac:dyDescent="0.25">
      <c r="I130" s="138">
        <v>0.120038030172</v>
      </c>
      <c r="J130" s="50">
        <v>2.3842222336355384E-5</v>
      </c>
      <c r="K130" s="50">
        <v>3.0608753322202354E-6</v>
      </c>
      <c r="L130" s="67">
        <v>7.4978581393111666E-6</v>
      </c>
      <c r="N130" s="18">
        <v>-2.0625286899361992E-6</v>
      </c>
      <c r="O130" s="18">
        <v>1.5387269033122328E-10</v>
      </c>
      <c r="P130" s="18">
        <v>5.0514620029640466E-8</v>
      </c>
      <c r="Q130" s="28">
        <v>17.515875154597676</v>
      </c>
      <c r="R130" s="61">
        <v>136.94765585987122</v>
      </c>
      <c r="S130" s="58">
        <v>1.135463598872365E-7</v>
      </c>
      <c r="U130" s="82"/>
      <c r="V130" s="159">
        <f t="shared" si="6"/>
        <v>1.2003803017200001</v>
      </c>
      <c r="W130" s="160">
        <f t="shared" si="7"/>
        <v>2.3842222336355384E-5</v>
      </c>
      <c r="X130" s="160">
        <f t="shared" si="7"/>
        <v>3.0608753322202354E-6</v>
      </c>
      <c r="Y130" s="160">
        <f t="shared" si="7"/>
        <v>7.4978581393111666E-6</v>
      </c>
      <c r="Z130" s="161">
        <f t="shared" si="8"/>
        <v>1.1837655859871219</v>
      </c>
      <c r="AA130" s="161">
        <f t="shared" si="9"/>
        <v>1.135463598872365E-5</v>
      </c>
    </row>
    <row r="131" spans="9:27" x14ac:dyDescent="0.25">
      <c r="I131" s="138">
        <v>0.12243879077600001</v>
      </c>
      <c r="J131" s="50">
        <v>1.3040952927907266E-5</v>
      </c>
      <c r="K131" s="50">
        <v>2.6458129903673523E-6</v>
      </c>
      <c r="L131" s="67">
        <v>6.9764664271596576E-6</v>
      </c>
      <c r="N131" s="18">
        <v>-2.033373881171718E-6</v>
      </c>
      <c r="O131" s="18">
        <v>1.5385307171984202E-10</v>
      </c>
      <c r="P131" s="18">
        <v>5.0516649773217075E-8</v>
      </c>
      <c r="Q131" s="28">
        <v>35.031750309195353</v>
      </c>
      <c r="R131" s="61">
        <v>136.94765585987122</v>
      </c>
      <c r="S131" s="58">
        <v>6.3034860477006078E-8</v>
      </c>
      <c r="U131" s="84"/>
      <c r="V131" s="159">
        <f t="shared" si="6"/>
        <v>1.2243879077600002</v>
      </c>
      <c r="W131" s="160">
        <f t="shared" si="7"/>
        <v>1.3040952927907266E-5</v>
      </c>
      <c r="X131" s="160">
        <f t="shared" si="7"/>
        <v>2.6458129903673523E-6</v>
      </c>
      <c r="Y131" s="160">
        <f t="shared" si="7"/>
        <v>6.9764664271596576E-6</v>
      </c>
      <c r="Z131" s="161">
        <f t="shared" si="8"/>
        <v>1.1837655859871219</v>
      </c>
      <c r="AA131" s="161">
        <f t="shared" si="9"/>
        <v>6.3034860477006078E-6</v>
      </c>
    </row>
    <row r="132" spans="9:27" x14ac:dyDescent="0.25">
      <c r="I132" s="138">
        <v>0.124887566591</v>
      </c>
      <c r="J132" s="50">
        <v>1.6841812496849359E-5</v>
      </c>
      <c r="K132" s="50">
        <v>2.8240796015491118E-6</v>
      </c>
      <c r="L132" s="67">
        <v>6.72299207792781E-6</v>
      </c>
      <c r="N132" s="18">
        <v>-2.002830915166116E-6</v>
      </c>
      <c r="O132" s="18">
        <v>1.5381657032410895E-10</v>
      </c>
      <c r="P132" s="18">
        <v>5.0520426211420901E-8</v>
      </c>
      <c r="Q132" s="28">
        <v>35.031750309195353</v>
      </c>
      <c r="R132" s="61">
        <v>137.86931342510678</v>
      </c>
      <c r="S132" s="58">
        <v>6.3034860477006078E-8</v>
      </c>
      <c r="U132" s="84"/>
      <c r="V132" s="159">
        <f t="shared" ref="V132:V143" si="10">I132*10</f>
        <v>1.24887566591</v>
      </c>
      <c r="W132" s="160">
        <f t="shared" ref="W132:Y143" si="11">J132</f>
        <v>1.6841812496849359E-5</v>
      </c>
      <c r="X132" s="160">
        <f t="shared" si="11"/>
        <v>2.8240796015491118E-6</v>
      </c>
      <c r="Y132" s="160">
        <f t="shared" si="11"/>
        <v>6.72299207792781E-6</v>
      </c>
      <c r="Z132" s="161">
        <f t="shared" ref="Z132:Z195" si="12">(R132-125.11)/10</f>
        <v>1.2759313425106782</v>
      </c>
      <c r="AA132" s="161">
        <f t="shared" ref="AA132:AA195" si="13">S132*100</f>
        <v>6.3034860477006078E-6</v>
      </c>
    </row>
    <row r="133" spans="9:27" x14ac:dyDescent="0.25">
      <c r="I133" s="138">
        <v>0.12738531792300001</v>
      </c>
      <c r="J133" s="50">
        <v>2.04117935606813E-5</v>
      </c>
      <c r="K133" s="50">
        <v>2.7782302027896575E-6</v>
      </c>
      <c r="L133" s="67">
        <v>5.6007474029533079E-6</v>
      </c>
      <c r="N133" s="18">
        <v>-1.9846999981000664E-6</v>
      </c>
      <c r="O133" s="18">
        <v>1.5376419235134658E-10</v>
      </c>
      <c r="P133" s="18">
        <v>5.0525845241937589E-8</v>
      </c>
      <c r="Q133" s="28">
        <v>35.031750309195353</v>
      </c>
      <c r="R133" s="61">
        <v>137.86931342510678</v>
      </c>
      <c r="S133" s="58">
        <v>1.3804645238789169E-8</v>
      </c>
      <c r="U133" s="84"/>
      <c r="V133" s="159">
        <f t="shared" si="10"/>
        <v>1.2738531792300001</v>
      </c>
      <c r="W133" s="160">
        <f t="shared" si="11"/>
        <v>2.04117935606813E-5</v>
      </c>
      <c r="X133" s="160">
        <f t="shared" si="11"/>
        <v>2.7782302027896575E-6</v>
      </c>
      <c r="Y133" s="160">
        <f t="shared" si="11"/>
        <v>5.6007474029533079E-6</v>
      </c>
      <c r="Z133" s="161">
        <f t="shared" si="12"/>
        <v>1.2759313425106782</v>
      </c>
      <c r="AA133" s="161">
        <f t="shared" si="13"/>
        <v>1.3804645238789169E-6</v>
      </c>
    </row>
    <row r="134" spans="9:27" x14ac:dyDescent="0.25">
      <c r="I134" s="138">
        <v>0.12993302428100001</v>
      </c>
      <c r="J134" s="50">
        <v>1.4707008037840016E-5</v>
      </c>
      <c r="K134" s="50">
        <v>2.7908695809625407E-6</v>
      </c>
      <c r="L134" s="67">
        <v>5.5491023250735223E-6</v>
      </c>
      <c r="N134" s="18">
        <v>-1.9770180142977662E-6</v>
      </c>
      <c r="O134" s="18">
        <v>1.5369037696863336E-10</v>
      </c>
      <c r="P134" s="18">
        <v>5.053348218912031E-8</v>
      </c>
      <c r="Q134" s="28">
        <v>35.031750309195353</v>
      </c>
      <c r="R134" s="61">
        <v>139.00186819257954</v>
      </c>
      <c r="S134" s="58">
        <v>1.3804645238789169E-8</v>
      </c>
      <c r="U134" s="84"/>
      <c r="V134" s="159">
        <f t="shared" si="10"/>
        <v>1.29933024281</v>
      </c>
      <c r="W134" s="160">
        <f t="shared" si="11"/>
        <v>1.4707008037840016E-5</v>
      </c>
      <c r="X134" s="160">
        <f t="shared" si="11"/>
        <v>2.7908695809625407E-6</v>
      </c>
      <c r="Y134" s="160">
        <f t="shared" si="11"/>
        <v>5.5491023250735223E-6</v>
      </c>
      <c r="Z134" s="161">
        <f t="shared" si="12"/>
        <v>1.3891868192579537</v>
      </c>
      <c r="AA134" s="161">
        <f t="shared" si="13"/>
        <v>1.3804645238789169E-6</v>
      </c>
    </row>
    <row r="135" spans="9:27" x14ac:dyDescent="0.25">
      <c r="I135" s="138">
        <v>0.132531684767</v>
      </c>
      <c r="J135" s="50">
        <v>1.6885596085112797E-5</v>
      </c>
      <c r="K135" s="50">
        <v>2.761965889237817E-6</v>
      </c>
      <c r="L135" s="67">
        <v>5.0158435667197503E-6</v>
      </c>
      <c r="N135" s="18">
        <v>-1.9757390202553623E-6</v>
      </c>
      <c r="O135" s="18">
        <v>1.5358821161423247E-10</v>
      </c>
      <c r="P135" s="18">
        <v>5.0544052227326222E-8</v>
      </c>
      <c r="Q135" s="28">
        <v>35.031750309195353</v>
      </c>
      <c r="R135" s="61">
        <v>139.00186819257954</v>
      </c>
      <c r="S135" s="58">
        <v>-3.2843582614555694E-8</v>
      </c>
      <c r="U135" s="84"/>
      <c r="V135" s="159">
        <f t="shared" si="10"/>
        <v>1.3253168476699999</v>
      </c>
      <c r="W135" s="160">
        <f t="shared" si="11"/>
        <v>1.6885596085112797E-5</v>
      </c>
      <c r="X135" s="160">
        <f t="shared" si="11"/>
        <v>2.761965889237817E-6</v>
      </c>
      <c r="Y135" s="160">
        <f t="shared" si="11"/>
        <v>5.0158435667197503E-6</v>
      </c>
      <c r="Z135" s="161">
        <f t="shared" si="12"/>
        <v>1.3891868192579537</v>
      </c>
      <c r="AA135" s="161">
        <f t="shared" si="13"/>
        <v>-3.2843582614555694E-6</v>
      </c>
    </row>
    <row r="136" spans="9:27" x14ac:dyDescent="0.25">
      <c r="I136" s="138">
        <v>0.13518231846199999</v>
      </c>
      <c r="J136" s="50">
        <v>1.7013026142542095E-5</v>
      </c>
      <c r="K136" s="50">
        <v>2.862667937838747E-6</v>
      </c>
      <c r="L136" s="67">
        <v>4.3464073200128468E-6</v>
      </c>
      <c r="N136" s="18">
        <v>-1.9777384648904755E-6</v>
      </c>
      <c r="O136" s="18">
        <v>1.5344933834886737E-10</v>
      </c>
      <c r="P136" s="18">
        <v>5.0558420069823292E-8</v>
      </c>
      <c r="Q136" s="28">
        <v>35.031750309195353</v>
      </c>
      <c r="R136" s="61">
        <v>140.54766172288367</v>
      </c>
      <c r="S136" s="58">
        <v>-3.2843582614555694E-8</v>
      </c>
      <c r="U136" s="84"/>
      <c r="V136" s="159">
        <f t="shared" si="10"/>
        <v>1.35182318462</v>
      </c>
      <c r="W136" s="160">
        <f t="shared" si="11"/>
        <v>1.7013026142542095E-5</v>
      </c>
      <c r="X136" s="160">
        <f t="shared" si="11"/>
        <v>2.862667937838747E-6</v>
      </c>
      <c r="Y136" s="160">
        <f t="shared" si="11"/>
        <v>4.3464073200128468E-6</v>
      </c>
      <c r="Z136" s="161">
        <f t="shared" si="12"/>
        <v>1.5437661722883675</v>
      </c>
      <c r="AA136" s="161">
        <f t="shared" si="13"/>
        <v>-3.2843582614555694E-6</v>
      </c>
    </row>
    <row r="137" spans="9:27" x14ac:dyDescent="0.25">
      <c r="I137" s="138">
        <v>0.137885964832</v>
      </c>
      <c r="J137" s="50">
        <v>1.2317847448040731E-5</v>
      </c>
      <c r="K137" s="50">
        <v>2.7165218684669641E-6</v>
      </c>
      <c r="L137" s="67">
        <v>4.1617171265571367E-6</v>
      </c>
      <c r="N137" s="18">
        <v>-1.9815576611421277E-6</v>
      </c>
      <c r="O137" s="18">
        <v>1.5326394609154166E-10</v>
      </c>
      <c r="P137" s="18">
        <v>5.0577600772073135E-8</v>
      </c>
      <c r="Q137" s="28">
        <v>35.031750309195353</v>
      </c>
      <c r="R137" s="61">
        <v>140.54766172288367</v>
      </c>
      <c r="S137" s="58">
        <v>-7.4068570392775506E-8</v>
      </c>
      <c r="U137" s="84"/>
      <c r="V137" s="159">
        <f t="shared" si="10"/>
        <v>1.37885964832</v>
      </c>
      <c r="W137" s="160">
        <f t="shared" si="11"/>
        <v>1.2317847448040731E-5</v>
      </c>
      <c r="X137" s="160">
        <f t="shared" si="11"/>
        <v>2.7165218684669641E-6</v>
      </c>
      <c r="Y137" s="160">
        <f t="shared" si="11"/>
        <v>4.1617171265571367E-6</v>
      </c>
      <c r="Z137" s="161">
        <f t="shared" si="12"/>
        <v>1.5437661722883675</v>
      </c>
      <c r="AA137" s="161">
        <f t="shared" si="13"/>
        <v>-7.4068570392775506E-6</v>
      </c>
    </row>
    <row r="138" spans="9:27" x14ac:dyDescent="0.25">
      <c r="I138" s="138">
        <v>0.14064368412799999</v>
      </c>
      <c r="J138" s="50">
        <v>1.6349063960994818E-5</v>
      </c>
      <c r="K138" s="50">
        <v>2.7700023208036311E-6</v>
      </c>
      <c r="L138" s="67">
        <v>3.7200524408872924E-6</v>
      </c>
      <c r="N138" s="18">
        <v>-1.9868387108591906E-6</v>
      </c>
      <c r="O138" s="18">
        <v>1.5302088118183941E-10</v>
      </c>
      <c r="P138" s="18">
        <v>5.0602748292943942E-8</v>
      </c>
      <c r="Q138" s="28">
        <v>35.031750309195353</v>
      </c>
      <c r="R138" s="61">
        <v>143.32547321956528</v>
      </c>
      <c r="S138" s="58">
        <v>-7.4068570392775506E-8</v>
      </c>
      <c r="U138" s="84"/>
      <c r="V138" s="159">
        <f t="shared" si="10"/>
        <v>1.4064368412799999</v>
      </c>
      <c r="W138" s="160">
        <f t="shared" si="11"/>
        <v>1.6349063960994818E-5</v>
      </c>
      <c r="X138" s="160">
        <f t="shared" si="11"/>
        <v>2.7700023208036311E-6</v>
      </c>
      <c r="Y138" s="160">
        <f t="shared" si="11"/>
        <v>3.7200524408872924E-6</v>
      </c>
      <c r="Z138" s="161">
        <f t="shared" si="12"/>
        <v>1.8215473219565284</v>
      </c>
      <c r="AA138" s="161">
        <f t="shared" si="13"/>
        <v>-7.4068570392775506E-6</v>
      </c>
    </row>
    <row r="139" spans="9:27" x14ac:dyDescent="0.25">
      <c r="I139" s="138">
        <v>0.143456557811</v>
      </c>
      <c r="J139" s="50">
        <v>9.6288234863598754E-6</v>
      </c>
      <c r="K139" s="50">
        <v>2.5949050204608409E-6</v>
      </c>
      <c r="L139" s="67">
        <v>3.3744236446377883E-6</v>
      </c>
      <c r="N139" s="18">
        <v>-1.993689303444815E-6</v>
      </c>
      <c r="O139" s="18">
        <v>1.5270790554251334E-10</v>
      </c>
      <c r="P139" s="18">
        <v>5.0635128785182202E-8</v>
      </c>
      <c r="Q139" s="28">
        <v>35.031750309195353</v>
      </c>
      <c r="R139" s="61">
        <v>143.32547321956528</v>
      </c>
      <c r="S139" s="58">
        <v>-1.0256543542518148E-7</v>
      </c>
      <c r="U139" s="84"/>
      <c r="V139" s="159">
        <f t="shared" si="10"/>
        <v>1.43456557811</v>
      </c>
      <c r="W139" s="160">
        <f t="shared" si="11"/>
        <v>9.6288234863598754E-6</v>
      </c>
      <c r="X139" s="160">
        <f t="shared" si="11"/>
        <v>2.5949050204608409E-6</v>
      </c>
      <c r="Y139" s="160">
        <f t="shared" si="11"/>
        <v>3.3744236446377883E-6</v>
      </c>
      <c r="Z139" s="161">
        <f t="shared" si="12"/>
        <v>1.8215473219565284</v>
      </c>
      <c r="AA139" s="161">
        <f t="shared" si="13"/>
        <v>-1.0256543542518148E-5</v>
      </c>
    </row>
    <row r="140" spans="9:27" x14ac:dyDescent="0.25">
      <c r="I140" s="138">
        <v>0.14632568896699999</v>
      </c>
      <c r="J140" s="50">
        <v>8.633456781468739E-6</v>
      </c>
      <c r="K140" s="50">
        <v>2.8539060633523797E-6</v>
      </c>
      <c r="L140" s="67">
        <v>3.0576872850103312E-6</v>
      </c>
      <c r="N140" s="18">
        <v>-2.0023596937658816E-6</v>
      </c>
      <c r="O140" s="18">
        <v>1.5231212325385564E-10</v>
      </c>
      <c r="P140" s="18">
        <v>5.0676076461983874E-8</v>
      </c>
      <c r="Q140" s="28">
        <v>35.031750309195353</v>
      </c>
      <c r="R140" s="61">
        <v>147.05587406334959</v>
      </c>
      <c r="S140" s="58">
        <v>-1.0256543542518148E-7</v>
      </c>
      <c r="U140" s="84"/>
      <c r="V140" s="159">
        <f t="shared" si="10"/>
        <v>1.4632568896699998</v>
      </c>
      <c r="W140" s="160">
        <f t="shared" si="11"/>
        <v>8.633456781468739E-6</v>
      </c>
      <c r="X140" s="160">
        <f t="shared" si="11"/>
        <v>2.8539060633523797E-6</v>
      </c>
      <c r="Y140" s="160">
        <f t="shared" si="11"/>
        <v>3.0576872850103312E-6</v>
      </c>
      <c r="Z140" s="161">
        <f t="shared" si="12"/>
        <v>2.1945874063349593</v>
      </c>
      <c r="AA140" s="161">
        <f t="shared" si="13"/>
        <v>-1.0256543542518148E-5</v>
      </c>
    </row>
    <row r="141" spans="9:27" x14ac:dyDescent="0.25">
      <c r="I141" s="138">
        <v>0.14925220274600001</v>
      </c>
      <c r="J141" s="50">
        <v>1.5189384806982255E-5</v>
      </c>
      <c r="K141" s="50">
        <v>2.9765792311062181E-6</v>
      </c>
      <c r="L141" s="67">
        <v>2.7924092772349765E-6</v>
      </c>
      <c r="N141" s="18">
        <v>-2.0131286836301716E-6</v>
      </c>
      <c r="O141" s="18">
        <v>1.5182058222893887E-10</v>
      </c>
      <c r="P141" s="18">
        <v>5.0726931347611313E-8</v>
      </c>
      <c r="Q141" s="28">
        <v>35.031750309195353</v>
      </c>
      <c r="R141" s="61">
        <v>147.05587406334959</v>
      </c>
      <c r="S141" s="58">
        <v>-1.0650310006447951E-7</v>
      </c>
      <c r="U141" s="84"/>
      <c r="V141" s="159">
        <f t="shared" si="10"/>
        <v>1.4925220274600002</v>
      </c>
      <c r="W141" s="160">
        <f t="shared" si="11"/>
        <v>1.5189384806982255E-5</v>
      </c>
      <c r="X141" s="160">
        <f t="shared" si="11"/>
        <v>2.9765792311062181E-6</v>
      </c>
      <c r="Y141" s="160">
        <f t="shared" si="11"/>
        <v>2.7924092772349765E-6</v>
      </c>
      <c r="Z141" s="161">
        <f t="shared" si="12"/>
        <v>2.1945874063349593</v>
      </c>
      <c r="AA141" s="161">
        <f t="shared" si="13"/>
        <v>-1.0650310006447951E-5</v>
      </c>
    </row>
    <row r="142" spans="9:27" x14ac:dyDescent="0.25">
      <c r="I142" s="138">
        <v>0.15223724680100001</v>
      </c>
      <c r="J142" s="50">
        <v>1.5890632413892896E-5</v>
      </c>
      <c r="K142" s="50">
        <v>2.9959790224035478E-6</v>
      </c>
      <c r="L142" s="67">
        <v>2.4178556503933604E-6</v>
      </c>
      <c r="N142" s="18">
        <v>-2.0262639372180863E-6</v>
      </c>
      <c r="O142" s="18">
        <v>1.5122103844521395E-10</v>
      </c>
      <c r="P142" s="18">
        <v>5.0788960209912558E-8</v>
      </c>
      <c r="Q142" s="28">
        <v>35.031750309195353</v>
      </c>
      <c r="R142" s="61">
        <v>220.44793998987728</v>
      </c>
      <c r="S142" s="58">
        <v>-1.0650310006447951E-7</v>
      </c>
      <c r="U142" s="84"/>
      <c r="V142" s="159">
        <f t="shared" si="10"/>
        <v>1.5223724680100001</v>
      </c>
      <c r="W142" s="160">
        <f t="shared" si="11"/>
        <v>1.5890632413892896E-5</v>
      </c>
      <c r="X142" s="160">
        <f t="shared" si="11"/>
        <v>2.9959790224035478E-6</v>
      </c>
      <c r="Y142" s="160">
        <f t="shared" si="11"/>
        <v>2.4178556503933604E-6</v>
      </c>
      <c r="Z142" s="161">
        <f t="shared" si="12"/>
        <v>9.5337939989877292</v>
      </c>
      <c r="AA142" s="161">
        <f t="shared" si="13"/>
        <v>-1.0650310006447951E-5</v>
      </c>
    </row>
    <row r="143" spans="9:27" x14ac:dyDescent="0.25">
      <c r="I143" s="138">
        <v>0.155281991737</v>
      </c>
      <c r="J143" s="50">
        <v>3.8158903651611225E-6</v>
      </c>
      <c r="K143" s="50">
        <v>2.5913115875369213E-6</v>
      </c>
      <c r="L143" s="67">
        <v>2.2616495703311947E-6</v>
      </c>
      <c r="N143" s="18">
        <v>-2.0419986069699128E-6</v>
      </c>
      <c r="O143" s="18">
        <v>1.5050284747519013E-10</v>
      </c>
      <c r="P143" s="18">
        <v>5.086326432246432E-8</v>
      </c>
      <c r="Q143" s="28">
        <v>35.031750309195353</v>
      </c>
      <c r="R143" s="61">
        <v>220.44793998987728</v>
      </c>
      <c r="S143" s="58">
        <v>-1.0427195365546227E-7</v>
      </c>
      <c r="U143" s="84"/>
      <c r="V143" s="159">
        <f t="shared" si="10"/>
        <v>1.5528199173699999</v>
      </c>
      <c r="W143" s="160">
        <f t="shared" si="11"/>
        <v>3.8158903651611225E-6</v>
      </c>
      <c r="X143" s="160">
        <f t="shared" si="11"/>
        <v>2.5913115875369213E-6</v>
      </c>
      <c r="Y143" s="160">
        <f t="shared" si="11"/>
        <v>2.2616495703311947E-6</v>
      </c>
      <c r="Z143" s="161">
        <f t="shared" si="12"/>
        <v>9.5337939989877292</v>
      </c>
      <c r="AA143" s="161">
        <f t="shared" si="13"/>
        <v>-1.0427195365546227E-5</v>
      </c>
    </row>
    <row r="144" spans="9:27" x14ac:dyDescent="0.25">
      <c r="I144" s="138"/>
      <c r="J144" s="50"/>
      <c r="K144" s="50"/>
      <c r="N144" s="18">
        <v>-2.0605098160432529E-6</v>
      </c>
      <c r="O144" s="30">
        <v>1.4965792456142554E-10</v>
      </c>
      <c r="P144" s="18">
        <v>5.0950680135113483E-8</v>
      </c>
      <c r="Q144" s="28">
        <v>35.031750309195353</v>
      </c>
      <c r="R144" s="61">
        <v>261.48948730289777</v>
      </c>
      <c r="S144" s="58">
        <v>-1.0427195365546227E-7</v>
      </c>
      <c r="U144" s="84"/>
      <c r="V144" s="159"/>
      <c r="W144" s="160"/>
      <c r="X144" s="160"/>
      <c r="Y144" s="160"/>
      <c r="Z144" s="161">
        <f t="shared" si="12"/>
        <v>13.637948730289775</v>
      </c>
      <c r="AA144" s="161">
        <f t="shared" si="13"/>
        <v>-1.0427195365546227E-5</v>
      </c>
    </row>
    <row r="145" spans="9:27" x14ac:dyDescent="0.25">
      <c r="I145" s="138"/>
      <c r="J145" s="50"/>
      <c r="K145" s="50"/>
      <c r="N145" s="18">
        <v>-2.0818978188345691E-6</v>
      </c>
      <c r="O145" s="18">
        <v>1.4868169369734294E-10</v>
      </c>
      <c r="P145" s="18">
        <v>5.1051681081977086E-8</v>
      </c>
      <c r="Q145" s="28">
        <v>35.031750309195353</v>
      </c>
      <c r="R145" s="61">
        <v>261.48948730289777</v>
      </c>
      <c r="S145" s="58">
        <v>-8.8121086884522301E-8</v>
      </c>
      <c r="U145" s="84"/>
      <c r="V145" s="159"/>
      <c r="W145" s="160"/>
      <c r="X145" s="160"/>
      <c r="Y145" s="160"/>
      <c r="Z145" s="161">
        <f t="shared" si="12"/>
        <v>13.637948730289775</v>
      </c>
      <c r="AA145" s="161">
        <f t="shared" si="13"/>
        <v>-8.8121086884522301E-6</v>
      </c>
    </row>
    <row r="146" spans="9:27" x14ac:dyDescent="0.25">
      <c r="I146" s="138"/>
      <c r="J146" s="50"/>
      <c r="K146" s="50"/>
      <c r="N146" s="18">
        <v>-2.1061675003620885E-6</v>
      </c>
      <c r="O146" s="18">
        <v>1.4757393191147496E-10</v>
      </c>
      <c r="P146" s="18">
        <v>5.1166290231706362E-8</v>
      </c>
      <c r="Q146" s="28">
        <v>35.031750309195353</v>
      </c>
      <c r="R146" s="61">
        <v>292.0507290412138</v>
      </c>
      <c r="S146" s="58">
        <v>-8.8121086884522301E-8</v>
      </c>
      <c r="U146" s="84"/>
      <c r="V146" s="159"/>
      <c r="W146" s="160"/>
      <c r="X146" s="160"/>
      <c r="Y146" s="160"/>
      <c r="Z146" s="161">
        <f t="shared" si="12"/>
        <v>16.694072904121377</v>
      </c>
      <c r="AA146" s="161">
        <f t="shared" si="13"/>
        <v>-8.8121086884522301E-6</v>
      </c>
    </row>
    <row r="147" spans="9:27" x14ac:dyDescent="0.25">
      <c r="I147" s="138"/>
      <c r="J147" s="50"/>
      <c r="K147" s="50"/>
      <c r="N147" s="18">
        <v>-2.1332143242439311E-6</v>
      </c>
      <c r="O147" s="18">
        <v>1.4633941064709687E-10</v>
      </c>
      <c r="P147" s="18">
        <v>5.1294013930283147E-8</v>
      </c>
      <c r="Q147" s="28">
        <v>35.031750309195353</v>
      </c>
      <c r="R147" s="61">
        <v>292.0507290412138</v>
      </c>
      <c r="S147" s="58">
        <v>-6.4756225418433981E-8</v>
      </c>
      <c r="U147" s="84"/>
      <c r="V147" s="159"/>
      <c r="W147" s="160"/>
      <c r="X147" s="160"/>
      <c r="Y147" s="160"/>
      <c r="Z147" s="161">
        <f t="shared" si="12"/>
        <v>16.694072904121377</v>
      </c>
      <c r="AA147" s="161">
        <f t="shared" si="13"/>
        <v>-6.4756225418433981E-6</v>
      </c>
    </row>
    <row r="148" spans="9:27" x14ac:dyDescent="0.25">
      <c r="I148" s="138"/>
      <c r="J148" s="50"/>
      <c r="K148" s="50"/>
      <c r="N148" s="18">
        <v>-2.1628167006567507E-6</v>
      </c>
      <c r="O148" s="18">
        <v>1.4498824411762191E-10</v>
      </c>
      <c r="P148" s="18">
        <v>5.1433805760134404E-8</v>
      </c>
      <c r="Q148" s="28">
        <v>35.031750309195353</v>
      </c>
      <c r="R148" s="61">
        <v>309.05741571292805</v>
      </c>
      <c r="S148" s="58">
        <v>-6.4756225418433981E-8</v>
      </c>
      <c r="U148" s="84"/>
      <c r="V148" s="159"/>
      <c r="W148" s="160"/>
      <c r="X148" s="160"/>
      <c r="Y148" s="160"/>
      <c r="Z148" s="161">
        <f t="shared" si="12"/>
        <v>18.394741571292805</v>
      </c>
      <c r="AA148" s="161">
        <f t="shared" si="13"/>
        <v>-6.4756225418433981E-6</v>
      </c>
    </row>
    <row r="149" spans="9:27" x14ac:dyDescent="0.25">
      <c r="I149" s="138"/>
      <c r="J149" s="50"/>
      <c r="K149" s="50"/>
      <c r="N149" s="18">
        <v>-2.1946362910863162E-6</v>
      </c>
      <c r="O149" s="18">
        <v>1.4353587539659545E-10</v>
      </c>
      <c r="P149" s="18">
        <v>5.1584067979262876E-8</v>
      </c>
      <c r="Q149" s="28">
        <v>35.031750309195353</v>
      </c>
      <c r="R149" s="61">
        <v>309.05741571292805</v>
      </c>
      <c r="S149" s="58">
        <v>-3.8317485707196619E-8</v>
      </c>
      <c r="U149" s="84"/>
      <c r="V149" s="159"/>
      <c r="W149" s="160"/>
      <c r="X149" s="160"/>
      <c r="Y149" s="160"/>
      <c r="Z149" s="161">
        <f t="shared" si="12"/>
        <v>18.394741571292805</v>
      </c>
      <c r="AA149" s="161">
        <f t="shared" si="13"/>
        <v>-3.8317485707196619E-6</v>
      </c>
    </row>
    <row r="150" spans="9:27" x14ac:dyDescent="0.25">
      <c r="I150" s="138"/>
      <c r="J150" s="50"/>
      <c r="K150" s="50"/>
      <c r="N150" s="18">
        <v>-2.2282270603326502E-6</v>
      </c>
      <c r="O150" s="18">
        <v>1.4200266324929943E-10</v>
      </c>
      <c r="P150" s="18">
        <v>5.17426942676923E-8</v>
      </c>
      <c r="Q150" s="28">
        <v>35.031750309195353</v>
      </c>
      <c r="R150" s="61">
        <v>321.5176852711632</v>
      </c>
      <c r="S150" s="58">
        <v>-3.8317485707196619E-8</v>
      </c>
      <c r="U150" s="84"/>
      <c r="V150" s="159"/>
      <c r="W150" s="160"/>
      <c r="X150" s="160"/>
      <c r="Y150" s="160"/>
      <c r="Z150" s="161">
        <f t="shared" si="12"/>
        <v>19.640768527116318</v>
      </c>
      <c r="AA150" s="161">
        <f t="shared" si="13"/>
        <v>-3.8317485707196619E-6</v>
      </c>
    </row>
    <row r="151" spans="9:27" x14ac:dyDescent="0.25">
      <c r="I151" s="138"/>
      <c r="J151" s="50"/>
      <c r="K151" s="50"/>
      <c r="N151" s="18">
        <v>-2.2630530100924706E-6</v>
      </c>
      <c r="O151" s="18">
        <v>1.4041307270371514E-10</v>
      </c>
      <c r="P151" s="18">
        <v>5.1907153471079937E-8</v>
      </c>
      <c r="Q151" s="28">
        <v>35.031750309195353</v>
      </c>
      <c r="R151" s="61">
        <v>321.5176852711632</v>
      </c>
      <c r="S151" s="58">
        <v>-1.0415357190217397E-8</v>
      </c>
      <c r="U151" s="84"/>
      <c r="V151" s="159"/>
      <c r="W151" s="160"/>
      <c r="X151" s="160"/>
      <c r="Y151" s="160"/>
      <c r="Z151" s="161">
        <f t="shared" si="12"/>
        <v>19.640768527116318</v>
      </c>
      <c r="AA151" s="161">
        <f t="shared" si="13"/>
        <v>-1.0415357190217397E-6</v>
      </c>
    </row>
    <row r="152" spans="9:27" x14ac:dyDescent="0.25">
      <c r="I152" s="138"/>
      <c r="J152" s="50"/>
      <c r="K152" s="50"/>
      <c r="N152" s="18">
        <v>-2.2896233663049E-6</v>
      </c>
      <c r="O152" s="18">
        <v>1.3920029925979276E-10</v>
      </c>
      <c r="P152" s="18">
        <v>5.2032627137887531E-8</v>
      </c>
      <c r="Q152" s="28">
        <v>17.515875154597676</v>
      </c>
      <c r="R152" s="61">
        <v>331.657682058116</v>
      </c>
      <c r="S152" s="58">
        <v>-1.0415357190217397E-8</v>
      </c>
      <c r="U152" s="84"/>
      <c r="V152" s="159"/>
      <c r="W152" s="160"/>
      <c r="X152" s="160"/>
      <c r="Y152" s="160"/>
      <c r="Z152" s="161">
        <f t="shared" si="12"/>
        <v>20.6547682058116</v>
      </c>
      <c r="AA152" s="161">
        <f t="shared" si="13"/>
        <v>-1.0415357190217397E-6</v>
      </c>
    </row>
    <row r="153" spans="9:27" x14ac:dyDescent="0.25">
      <c r="I153" s="138"/>
      <c r="J153" s="50"/>
      <c r="K153" s="50"/>
      <c r="N153" s="18">
        <v>-2.3155155676303136E-6</v>
      </c>
      <c r="O153" s="18">
        <v>1.3801847941812032E-10</v>
      </c>
      <c r="P153" s="18">
        <v>5.2154898341782817E-8</v>
      </c>
      <c r="Q153" s="28">
        <v>33.654902388116</v>
      </c>
      <c r="R153" s="61">
        <v>331.657682058116</v>
      </c>
      <c r="S153" s="58">
        <v>1.821290134177122E-8</v>
      </c>
      <c r="U153" s="84"/>
      <c r="V153" s="159"/>
      <c r="W153" s="160"/>
      <c r="X153" s="160"/>
      <c r="Y153" s="160"/>
      <c r="Z153" s="161">
        <f t="shared" si="12"/>
        <v>20.6547682058116</v>
      </c>
      <c r="AA153" s="161">
        <f t="shared" si="13"/>
        <v>1.821290134177122E-6</v>
      </c>
    </row>
    <row r="154" spans="9:27" x14ac:dyDescent="0.25">
      <c r="I154" s="138"/>
      <c r="J154" s="50"/>
      <c r="K154" s="50"/>
      <c r="N154" s="18">
        <v>-2.349518764027435E-6</v>
      </c>
      <c r="O154" s="18">
        <v>1.3646644250641287E-10</v>
      </c>
      <c r="P154" s="18">
        <v>5.2315472242298679E-8</v>
      </c>
      <c r="Q154" s="28">
        <v>34.229906848585543</v>
      </c>
      <c r="R154" s="61">
        <v>340.41362557926124</v>
      </c>
      <c r="S154" s="58">
        <v>1.821290134177122E-8</v>
      </c>
      <c r="U154" s="84"/>
      <c r="V154" s="159"/>
      <c r="W154" s="160"/>
      <c r="X154" s="160"/>
      <c r="Y154" s="160"/>
      <c r="Z154" s="161">
        <f t="shared" si="12"/>
        <v>21.530362557926122</v>
      </c>
      <c r="AA154" s="161">
        <f t="shared" si="13"/>
        <v>1.821290134177122E-6</v>
      </c>
    </row>
    <row r="155" spans="9:27" x14ac:dyDescent="0.25">
      <c r="I155" s="138"/>
      <c r="J155" s="50"/>
      <c r="K155" s="50"/>
      <c r="N155" s="18">
        <v>-2.3835153097432363E-6</v>
      </c>
      <c r="O155" s="18">
        <v>1.3491470915742863E-10</v>
      </c>
      <c r="P155" s="18">
        <v>5.2476014736183582E-8</v>
      </c>
      <c r="Q155" s="28">
        <v>35.441697838460613</v>
      </c>
      <c r="R155" s="61">
        <v>340.41362557926124</v>
      </c>
      <c r="S155" s="58">
        <v>4.7199751425728284E-8</v>
      </c>
      <c r="U155" s="84"/>
      <c r="V155" s="159"/>
      <c r="W155" s="160"/>
      <c r="X155" s="160"/>
      <c r="Y155" s="160"/>
      <c r="Z155" s="161">
        <f t="shared" si="12"/>
        <v>21.530362557926122</v>
      </c>
      <c r="AA155" s="161">
        <f t="shared" si="13"/>
        <v>4.7199751425728284E-6</v>
      </c>
    </row>
    <row r="156" spans="9:27" x14ac:dyDescent="0.25">
      <c r="I156" s="138"/>
      <c r="J156" s="50"/>
      <c r="K156" s="50"/>
      <c r="N156" s="18">
        <v>-2.4174830339168212E-6</v>
      </c>
      <c r="O156" s="18">
        <v>1.3336429133469229E-10</v>
      </c>
      <c r="P156" s="18">
        <v>5.2636421125585883E-8</v>
      </c>
      <c r="Q156" s="28">
        <v>37.431613663860276</v>
      </c>
      <c r="R156" s="61">
        <v>348.27946617257697</v>
      </c>
      <c r="S156" s="58">
        <v>4.7199751425728284E-8</v>
      </c>
      <c r="U156" s="84"/>
      <c r="V156" s="159"/>
      <c r="W156" s="160"/>
      <c r="X156" s="160"/>
      <c r="Y156" s="160"/>
      <c r="Z156" s="161">
        <f t="shared" si="12"/>
        <v>22.316946617257695</v>
      </c>
      <c r="AA156" s="161">
        <f t="shared" si="13"/>
        <v>4.7199751425728284E-6</v>
      </c>
    </row>
    <row r="157" spans="9:27" x14ac:dyDescent="0.25">
      <c r="I157" s="138"/>
      <c r="J157" s="50"/>
      <c r="K157" s="50"/>
      <c r="N157" s="18">
        <v>-2.4513675541772677E-6</v>
      </c>
      <c r="O157" s="18">
        <v>1.3181767125917008E-10</v>
      </c>
      <c r="P157" s="18">
        <v>5.2796434599665906E-8</v>
      </c>
      <c r="Q157" s="28">
        <v>40.466592959671324</v>
      </c>
      <c r="R157" s="61">
        <v>348.27946617257697</v>
      </c>
      <c r="S157" s="58">
        <v>7.6355342285344033E-8</v>
      </c>
      <c r="U157" s="84"/>
      <c r="V157" s="159"/>
      <c r="W157" s="160"/>
      <c r="X157" s="160"/>
      <c r="Y157" s="160"/>
      <c r="Z157" s="161">
        <f t="shared" si="12"/>
        <v>22.316946617257695</v>
      </c>
      <c r="AA157" s="161">
        <f t="shared" si="13"/>
        <v>7.6355342285344033E-6</v>
      </c>
    </row>
    <row r="158" spans="9:27" x14ac:dyDescent="0.25">
      <c r="I158" s="138"/>
      <c r="J158" s="50"/>
      <c r="K158" s="50"/>
      <c r="N158" s="18">
        <v>-2.485055818270152E-6</v>
      </c>
      <c r="O158" s="18">
        <v>1.3028000907139025E-10</v>
      </c>
      <c r="P158" s="18">
        <v>5.2955521289747224E-8</v>
      </c>
      <c r="Q158" s="28">
        <v>45.045815287580709</v>
      </c>
      <c r="R158" s="61">
        <v>355.55537167131592</v>
      </c>
      <c r="S158" s="58">
        <v>7.6355342285344033E-8</v>
      </c>
      <c r="U158" s="84"/>
      <c r="V158" s="159"/>
      <c r="W158" s="160"/>
      <c r="X158" s="160"/>
      <c r="Y158" s="160"/>
      <c r="Z158" s="161">
        <f t="shared" si="12"/>
        <v>23.04453716713159</v>
      </c>
      <c r="AA158" s="161">
        <f t="shared" si="13"/>
        <v>7.6355342285344033E-6</v>
      </c>
    </row>
    <row r="159" spans="9:27" x14ac:dyDescent="0.25">
      <c r="I159" s="138"/>
      <c r="J159" s="50"/>
      <c r="K159" s="50"/>
      <c r="N159" s="18">
        <v>-2.5183272183974689E-6</v>
      </c>
      <c r="O159" s="18">
        <v>1.2876137416134526E-10</v>
      </c>
      <c r="P159" s="18">
        <v>5.3112639415692571E-8</v>
      </c>
      <c r="Q159" s="28">
        <v>52.16621386132428</v>
      </c>
      <c r="R159" s="61">
        <v>355.55537167131592</v>
      </c>
      <c r="S159" s="58">
        <v>1.0558237001133763E-7</v>
      </c>
      <c r="U159" s="84"/>
      <c r="V159" s="159"/>
      <c r="W159" s="160"/>
      <c r="X159" s="160"/>
      <c r="Y159" s="160"/>
      <c r="Z159" s="161">
        <f t="shared" si="12"/>
        <v>23.04453716713159</v>
      </c>
      <c r="AA159" s="161">
        <f t="shared" si="13"/>
        <v>1.0558237001133763E-5</v>
      </c>
    </row>
    <row r="160" spans="9:27" x14ac:dyDescent="0.25">
      <c r="I160" s="138"/>
      <c r="J160" s="50"/>
      <c r="K160" s="50"/>
      <c r="L160" s="70"/>
      <c r="M160" s="32"/>
      <c r="N160" s="18">
        <v>-2.5507546498183269E-6</v>
      </c>
      <c r="O160" s="18">
        <v>1.272812612352177E-10</v>
      </c>
      <c r="P160" s="18">
        <v>5.3265772053170106E-8</v>
      </c>
      <c r="Q160" s="28">
        <v>64.103086046438278</v>
      </c>
      <c r="R160" s="61">
        <v>362.44448007319255</v>
      </c>
      <c r="S160" s="58">
        <v>1.0558237001133763E-7</v>
      </c>
      <c r="U160" s="84"/>
      <c r="V160" s="159"/>
      <c r="W160" s="160"/>
      <c r="X160" s="160"/>
      <c r="Y160" s="160"/>
      <c r="Z160" s="161">
        <f t="shared" si="12"/>
        <v>23.733448007319254</v>
      </c>
      <c r="AA160" s="161">
        <f t="shared" si="13"/>
        <v>1.0558237001133763E-5</v>
      </c>
    </row>
    <row r="161" spans="1:32" x14ac:dyDescent="0.25">
      <c r="I161" s="138"/>
      <c r="J161" s="50"/>
      <c r="K161" s="50"/>
      <c r="L161" s="70"/>
      <c r="M161" s="32"/>
      <c r="N161" s="18">
        <v>-2.5814813525539658E-6</v>
      </c>
      <c r="O161" s="18">
        <v>1.2587877611988274E-10</v>
      </c>
      <c r="P161" s="18">
        <v>5.3410873309258807E-8</v>
      </c>
      <c r="Q161" s="28">
        <v>87.492577426721681</v>
      </c>
      <c r="R161" s="61">
        <v>362.44448007319255</v>
      </c>
      <c r="S161" s="58">
        <v>1.3483400983699516E-7</v>
      </c>
      <c r="U161" s="84"/>
      <c r="V161" s="159"/>
      <c r="W161" s="160"/>
      <c r="X161" s="160"/>
      <c r="Y161" s="160"/>
      <c r="Z161" s="161">
        <f t="shared" si="12"/>
        <v>23.733448007319254</v>
      </c>
      <c r="AA161" s="161">
        <f t="shared" si="13"/>
        <v>1.3483400983699516E-5</v>
      </c>
    </row>
    <row r="162" spans="1:32" x14ac:dyDescent="0.25">
      <c r="I162" s="138"/>
      <c r="J162" s="50"/>
      <c r="K162" s="50"/>
      <c r="L162" s="70"/>
      <c r="M162" s="32"/>
      <c r="N162" s="18">
        <v>-2.608635821942265E-6</v>
      </c>
      <c r="O162" s="18">
        <v>1.2463934149978808E-10</v>
      </c>
      <c r="P162" s="18">
        <v>5.3539105344129711E-8</v>
      </c>
      <c r="Q162" s="28">
        <v>157.22532323086858</v>
      </c>
      <c r="R162" s="61">
        <v>369.09804221180281</v>
      </c>
      <c r="S162" s="58">
        <v>1.3483400983699516E-7</v>
      </c>
      <c r="U162" s="84"/>
      <c r="V162" s="159"/>
      <c r="W162" s="160"/>
      <c r="X162" s="160"/>
      <c r="Y162" s="160"/>
      <c r="Z162" s="161">
        <f t="shared" si="12"/>
        <v>24.398804221180278</v>
      </c>
      <c r="AA162" s="161">
        <f t="shared" si="13"/>
        <v>1.3483400983699516E-5</v>
      </c>
    </row>
    <row r="163" spans="1:32" x14ac:dyDescent="0.25">
      <c r="I163" s="138"/>
      <c r="J163" s="50"/>
      <c r="K163" s="50"/>
      <c r="L163" s="70"/>
      <c r="M163" s="32"/>
      <c r="N163" s="18">
        <v>-2.6274064067079194E-6</v>
      </c>
      <c r="O163" s="18">
        <v>1.237825796803876E-10</v>
      </c>
      <c r="P163" s="18">
        <v>5.3627746011188882E-8</v>
      </c>
      <c r="Q163" s="28">
        <v>211.14228922493348</v>
      </c>
      <c r="R163" s="61">
        <v>369.09804221180281</v>
      </c>
      <c r="S163" s="58">
        <v>1.640911464886134E-7</v>
      </c>
      <c r="U163" s="84"/>
      <c r="V163" s="159"/>
      <c r="W163" s="160"/>
      <c r="X163" s="160"/>
      <c r="Y163" s="160"/>
      <c r="Z163" s="161">
        <f t="shared" si="12"/>
        <v>24.398804221180278</v>
      </c>
      <c r="AA163" s="161">
        <f t="shared" si="13"/>
        <v>1.6409114648861339E-5</v>
      </c>
    </row>
    <row r="164" spans="1:32" x14ac:dyDescent="0.25">
      <c r="I164" s="138"/>
      <c r="J164" s="50"/>
      <c r="K164" s="50"/>
      <c r="L164" s="70"/>
      <c r="M164" s="32"/>
      <c r="N164" s="18">
        <v>-2.6300000000000002E-6</v>
      </c>
      <c r="O164" s="18">
        <v>1.2366419808836742E-10</v>
      </c>
      <c r="P164" s="18">
        <v>5.3639993783027661E-8</v>
      </c>
      <c r="Q164" s="28">
        <v>750</v>
      </c>
      <c r="R164" s="61">
        <v>375.63983577550471</v>
      </c>
      <c r="S164" s="58">
        <v>1.640911464886134E-7</v>
      </c>
      <c r="U164" s="84"/>
      <c r="V164" s="159"/>
      <c r="W164" s="160"/>
      <c r="X164" s="160"/>
      <c r="Y164" s="160"/>
      <c r="Z164" s="161">
        <f t="shared" si="12"/>
        <v>25.052983577550471</v>
      </c>
      <c r="AA164" s="161">
        <f t="shared" si="13"/>
        <v>1.6409114648861339E-5</v>
      </c>
    </row>
    <row r="165" spans="1:32" x14ac:dyDescent="0.25">
      <c r="I165" s="138"/>
      <c r="J165" s="50"/>
      <c r="K165" s="50"/>
      <c r="L165" s="70"/>
      <c r="M165" s="32"/>
      <c r="R165" s="61">
        <v>375.63983577550471</v>
      </c>
      <c r="S165" s="58">
        <v>1.8244276200765448E-7</v>
      </c>
      <c r="U165" s="84"/>
      <c r="V165" s="159"/>
      <c r="W165" s="160"/>
      <c r="X165" s="160"/>
      <c r="Y165" s="160"/>
      <c r="Z165" s="161">
        <f t="shared" si="12"/>
        <v>25.052983577550471</v>
      </c>
      <c r="AA165" s="161">
        <f t="shared" si="13"/>
        <v>1.8244276200765448E-5</v>
      </c>
    </row>
    <row r="166" spans="1:32" x14ac:dyDescent="0.25">
      <c r="I166" s="138"/>
      <c r="J166" s="50"/>
      <c r="K166" s="50"/>
      <c r="L166" s="70"/>
      <c r="M166" s="32"/>
      <c r="R166" s="61">
        <v>378.62117853008544</v>
      </c>
      <c r="S166" s="58">
        <v>1.8244276200765448E-7</v>
      </c>
      <c r="U166" s="84"/>
      <c r="V166" s="159"/>
      <c r="W166" s="160"/>
      <c r="X166" s="160"/>
      <c r="Y166" s="160"/>
      <c r="Z166" s="161">
        <f t="shared" si="12"/>
        <v>25.351117853008542</v>
      </c>
      <c r="AA166" s="161">
        <f t="shared" si="13"/>
        <v>1.8244276200765448E-5</v>
      </c>
    </row>
    <row r="167" spans="1:32" x14ac:dyDescent="0.25">
      <c r="I167" s="138"/>
      <c r="J167" s="50"/>
      <c r="K167" s="50"/>
      <c r="L167" s="70"/>
      <c r="M167" s="32"/>
      <c r="R167" s="61">
        <v>378.62117853008544</v>
      </c>
      <c r="S167" s="58">
        <v>2.0163219444061871E-7</v>
      </c>
      <c r="U167" s="84"/>
      <c r="V167" s="159"/>
      <c r="W167" s="160"/>
      <c r="X167" s="160"/>
      <c r="Y167" s="160"/>
      <c r="Z167" s="161">
        <f t="shared" si="12"/>
        <v>25.351117853008542</v>
      </c>
      <c r="AA167" s="161">
        <f t="shared" si="13"/>
        <v>2.016321944406187E-5</v>
      </c>
    </row>
    <row r="168" spans="1:32" x14ac:dyDescent="0.25">
      <c r="I168" s="138"/>
      <c r="J168" s="50"/>
      <c r="K168" s="50"/>
      <c r="L168" s="70"/>
      <c r="M168" s="32"/>
      <c r="R168" s="61">
        <v>384.58386403924692</v>
      </c>
      <c r="S168" s="58">
        <v>2.0163219444061871E-7</v>
      </c>
      <c r="U168" s="84"/>
      <c r="V168" s="159"/>
      <c r="W168" s="160"/>
      <c r="X168" s="160"/>
      <c r="Y168" s="160"/>
      <c r="Z168" s="161">
        <f t="shared" si="12"/>
        <v>25.947386403924689</v>
      </c>
      <c r="AA168" s="161">
        <f t="shared" si="13"/>
        <v>2.016321944406187E-5</v>
      </c>
    </row>
    <row r="169" spans="1:32" x14ac:dyDescent="0.25">
      <c r="I169" s="138"/>
      <c r="J169" s="50"/>
      <c r="K169" s="50"/>
      <c r="L169" s="70"/>
      <c r="M169" s="32"/>
      <c r="R169" s="61">
        <v>384.58386403924692</v>
      </c>
      <c r="S169" s="58">
        <v>2.2654095222626238E-7</v>
      </c>
      <c r="U169" s="84"/>
      <c r="V169" s="159"/>
      <c r="W169" s="160"/>
      <c r="X169" s="160"/>
      <c r="Y169" s="160"/>
      <c r="Z169" s="161">
        <f t="shared" si="12"/>
        <v>25.947386403924689</v>
      </c>
      <c r="AA169" s="161">
        <f t="shared" si="13"/>
        <v>2.2654095222626239E-5</v>
      </c>
    </row>
    <row r="170" spans="1:32" x14ac:dyDescent="0.25">
      <c r="I170" s="138"/>
      <c r="J170" s="50"/>
      <c r="K170" s="50"/>
      <c r="L170" s="70"/>
      <c r="M170" s="32"/>
      <c r="R170" s="61">
        <v>390.54654954840839</v>
      </c>
      <c r="S170" s="58">
        <v>2.2654095222626238E-7</v>
      </c>
      <c r="U170" s="84"/>
      <c r="V170" s="159"/>
      <c r="W170" s="160"/>
      <c r="X170" s="160"/>
      <c r="Y170" s="160"/>
      <c r="Z170" s="161">
        <f t="shared" si="12"/>
        <v>26.543654954840839</v>
      </c>
      <c r="AA170" s="161">
        <f t="shared" si="13"/>
        <v>2.2654095222626239E-5</v>
      </c>
    </row>
    <row r="171" spans="1:32" x14ac:dyDescent="0.25">
      <c r="I171" s="138"/>
      <c r="J171" s="50"/>
      <c r="K171" s="50"/>
      <c r="L171" s="70"/>
      <c r="M171" s="32"/>
      <c r="R171" s="61">
        <v>390.54654954840839</v>
      </c>
      <c r="S171" s="58">
        <v>2.5026347843578832E-7</v>
      </c>
      <c r="U171" s="84"/>
      <c r="V171" s="159"/>
      <c r="W171" s="160"/>
      <c r="X171" s="160"/>
      <c r="Y171" s="160"/>
      <c r="Z171" s="161">
        <f t="shared" si="12"/>
        <v>26.543654954840839</v>
      </c>
      <c r="AA171" s="161">
        <f t="shared" si="13"/>
        <v>2.5026347843578831E-5</v>
      </c>
    </row>
    <row r="172" spans="1:32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38"/>
      <c r="J172" s="50"/>
      <c r="K172" s="50"/>
      <c r="L172" s="70"/>
      <c r="M172" s="32"/>
      <c r="N172" s="18"/>
      <c r="O172" s="18"/>
      <c r="P172" s="30"/>
      <c r="Q172" s="66"/>
      <c r="R172" s="63">
        <v>396.50923505756987</v>
      </c>
      <c r="S172" s="62">
        <v>2.5026347843578832E-7</v>
      </c>
      <c r="T172" s="84"/>
      <c r="U172" s="84"/>
      <c r="V172" s="159"/>
      <c r="W172" s="160"/>
      <c r="X172" s="160"/>
      <c r="Y172" s="160"/>
      <c r="Z172" s="161">
        <f t="shared" si="12"/>
        <v>27.139923505756986</v>
      </c>
      <c r="AA172" s="161">
        <f t="shared" si="13"/>
        <v>2.5026347843578831E-5</v>
      </c>
      <c r="AB172" s="87"/>
      <c r="AC172" s="87"/>
      <c r="AD172" s="83"/>
      <c r="AE172" s="84"/>
      <c r="AF172" s="83"/>
    </row>
    <row r="173" spans="1:32" x14ac:dyDescent="0.25">
      <c r="I173" s="138"/>
      <c r="J173" s="50"/>
      <c r="K173" s="50"/>
      <c r="L173" s="70"/>
      <c r="M173" s="32"/>
      <c r="R173" s="61">
        <v>396.50923505756987</v>
      </c>
      <c r="S173" s="58">
        <v>2.7236259236974594E-7</v>
      </c>
      <c r="U173" s="84"/>
      <c r="V173" s="159"/>
      <c r="W173" s="160"/>
      <c r="X173" s="160"/>
      <c r="Y173" s="160"/>
      <c r="Z173" s="161">
        <f t="shared" si="12"/>
        <v>27.139923505756986</v>
      </c>
      <c r="AA173" s="161">
        <f t="shared" si="13"/>
        <v>2.7236259236974594E-5</v>
      </c>
    </row>
    <row r="174" spans="1:32" x14ac:dyDescent="0.25">
      <c r="I174" s="138"/>
      <c r="J174" s="50"/>
      <c r="K174" s="50"/>
      <c r="L174" s="70"/>
      <c r="M174" s="32"/>
      <c r="R174" s="61">
        <v>402.47192056673134</v>
      </c>
      <c r="S174" s="58">
        <v>2.7236259236974594E-7</v>
      </c>
      <c r="U174" s="84"/>
      <c r="V174" s="159"/>
      <c r="W174" s="160"/>
      <c r="X174" s="160"/>
      <c r="Y174" s="160"/>
      <c r="Z174" s="161">
        <f t="shared" si="12"/>
        <v>27.736192056673133</v>
      </c>
      <c r="AA174" s="161">
        <f t="shared" si="13"/>
        <v>2.7236259236974594E-5</v>
      </c>
    </row>
    <row r="175" spans="1:32" x14ac:dyDescent="0.25">
      <c r="I175" s="138"/>
      <c r="J175" s="50"/>
      <c r="K175" s="50"/>
      <c r="L175" s="70"/>
      <c r="M175" s="32"/>
      <c r="R175" s="61">
        <v>402.47192056673134</v>
      </c>
      <c r="S175" s="58">
        <v>2.9242649840919498E-7</v>
      </c>
      <c r="U175" s="84"/>
      <c r="V175" s="159"/>
      <c r="W175" s="160"/>
      <c r="X175" s="160"/>
      <c r="Y175" s="160"/>
      <c r="Z175" s="161">
        <f t="shared" si="12"/>
        <v>27.736192056673133</v>
      </c>
      <c r="AA175" s="161">
        <f t="shared" si="13"/>
        <v>2.9242649840919498E-5</v>
      </c>
    </row>
    <row r="176" spans="1:32" x14ac:dyDescent="0.25">
      <c r="I176" s="138"/>
      <c r="J176" s="50"/>
      <c r="K176" s="50"/>
      <c r="L176" s="70"/>
      <c r="M176" s="32"/>
      <c r="R176" s="61">
        <v>408.43460607589282</v>
      </c>
      <c r="S176" s="58">
        <v>2.9242649840919498E-7</v>
      </c>
      <c r="U176" s="84"/>
      <c r="V176" s="159"/>
      <c r="W176" s="160"/>
      <c r="X176" s="160"/>
      <c r="Y176" s="160"/>
      <c r="Z176" s="161">
        <f t="shared" si="12"/>
        <v>28.33246060758928</v>
      </c>
      <c r="AA176" s="161">
        <f t="shared" si="13"/>
        <v>2.9242649840919498E-5</v>
      </c>
    </row>
    <row r="177" spans="9:32" x14ac:dyDescent="0.25">
      <c r="I177" s="138"/>
      <c r="J177" s="50"/>
      <c r="K177" s="50"/>
      <c r="M177" s="33"/>
      <c r="R177" s="61">
        <v>408.43460607589282</v>
      </c>
      <c r="S177" s="58">
        <v>3.1007969524040864E-7</v>
      </c>
      <c r="U177" s="84"/>
      <c r="V177" s="159"/>
      <c r="W177" s="160"/>
      <c r="X177" s="160"/>
      <c r="Y177" s="160"/>
      <c r="Z177" s="161">
        <f t="shared" si="12"/>
        <v>28.33246060758928</v>
      </c>
      <c r="AA177" s="161">
        <f t="shared" si="13"/>
        <v>3.1007969524040867E-5</v>
      </c>
    </row>
    <row r="178" spans="9:32" x14ac:dyDescent="0.25">
      <c r="I178" s="138"/>
      <c r="J178" s="50"/>
      <c r="K178" s="50"/>
      <c r="M178" s="33"/>
      <c r="R178" s="61">
        <v>414.39729158505429</v>
      </c>
      <c r="S178" s="58">
        <v>3.1007969524040864E-7</v>
      </c>
      <c r="U178" s="84"/>
      <c r="V178" s="159"/>
      <c r="W178" s="160"/>
      <c r="X178" s="160"/>
      <c r="Y178" s="160"/>
      <c r="Z178" s="161">
        <f t="shared" si="12"/>
        <v>28.928729158505426</v>
      </c>
      <c r="AA178" s="161">
        <f t="shared" si="13"/>
        <v>3.1007969524040867E-5</v>
      </c>
    </row>
    <row r="179" spans="9:32" x14ac:dyDescent="0.25">
      <c r="I179" s="138"/>
      <c r="J179" s="50"/>
      <c r="K179" s="50"/>
      <c r="M179" s="33"/>
      <c r="R179" s="61">
        <v>414.39729158505429</v>
      </c>
      <c r="S179" s="58">
        <v>3.2499195386294657E-7</v>
      </c>
      <c r="U179" s="84"/>
      <c r="V179" s="159"/>
      <c r="W179" s="160"/>
      <c r="X179" s="160"/>
      <c r="Y179" s="160"/>
      <c r="Z179" s="161">
        <f t="shared" si="12"/>
        <v>28.928729158505426</v>
      </c>
      <c r="AA179" s="161">
        <f t="shared" si="13"/>
        <v>3.2499195386294656E-5</v>
      </c>
    </row>
    <row r="180" spans="9:32" x14ac:dyDescent="0.25">
      <c r="I180" s="138"/>
      <c r="J180" s="50"/>
      <c r="K180" s="50"/>
      <c r="M180" s="33"/>
      <c r="R180" s="61">
        <v>420.35997709421576</v>
      </c>
      <c r="S180" s="58">
        <v>3.2499195386294657E-7</v>
      </c>
      <c r="U180" s="84"/>
      <c r="V180" s="159"/>
      <c r="W180" s="160"/>
      <c r="X180" s="160"/>
      <c r="Y180" s="160"/>
      <c r="Z180" s="161">
        <f t="shared" si="12"/>
        <v>29.524997709421577</v>
      </c>
      <c r="AA180" s="161">
        <f t="shared" si="13"/>
        <v>3.2499195386294656E-5</v>
      </c>
    </row>
    <row r="181" spans="9:32" x14ac:dyDescent="0.25">
      <c r="I181" s="138"/>
      <c r="J181" s="50"/>
      <c r="K181" s="50"/>
      <c r="M181" s="33"/>
      <c r="R181" s="61">
        <v>420.35997709421576</v>
      </c>
      <c r="S181" s="58">
        <v>3.3688530657017765E-7</v>
      </c>
      <c r="U181" s="84"/>
      <c r="V181" s="159"/>
      <c r="W181" s="160"/>
      <c r="X181" s="160"/>
      <c r="Y181" s="160"/>
      <c r="Z181" s="161">
        <f t="shared" si="12"/>
        <v>29.524997709421577</v>
      </c>
      <c r="AA181" s="161">
        <f t="shared" si="13"/>
        <v>3.3688530657017765E-5</v>
      </c>
    </row>
    <row r="182" spans="9:32" x14ac:dyDescent="0.25">
      <c r="I182" s="138"/>
      <c r="J182" s="50"/>
      <c r="K182" s="50"/>
      <c r="M182" s="33"/>
      <c r="R182" s="61">
        <v>426.32266260337724</v>
      </c>
      <c r="S182" s="58">
        <v>3.3688530657017765E-7</v>
      </c>
      <c r="U182" s="84"/>
      <c r="V182" s="159"/>
      <c r="W182" s="160"/>
      <c r="X182" s="160"/>
      <c r="Y182" s="160"/>
      <c r="Z182" s="161">
        <f t="shared" si="12"/>
        <v>30.121266260337723</v>
      </c>
      <c r="AA182" s="161">
        <f t="shared" si="13"/>
        <v>3.3688530657017765E-5</v>
      </c>
      <c r="AF182" s="82"/>
    </row>
    <row r="183" spans="9:32" x14ac:dyDescent="0.25">
      <c r="I183" s="138"/>
      <c r="J183" s="50"/>
      <c r="K183" s="50"/>
      <c r="M183" s="33"/>
      <c r="R183" s="61">
        <v>426.32266260337724</v>
      </c>
      <c r="S183" s="58">
        <v>3.4553917078010434E-7</v>
      </c>
      <c r="U183" s="84"/>
      <c r="V183" s="159"/>
      <c r="W183" s="160"/>
      <c r="X183" s="160"/>
      <c r="Y183" s="160"/>
      <c r="Z183" s="161">
        <f t="shared" si="12"/>
        <v>30.121266260337723</v>
      </c>
      <c r="AA183" s="161">
        <f t="shared" si="13"/>
        <v>3.4553917078010435E-5</v>
      </c>
      <c r="AF183" s="82"/>
    </row>
    <row r="184" spans="9:32" x14ac:dyDescent="0.25">
      <c r="I184" s="138"/>
      <c r="J184" s="50"/>
      <c r="K184" s="50"/>
      <c r="M184" s="33"/>
      <c r="R184" s="61">
        <v>432.28534811253871</v>
      </c>
      <c r="S184" s="58">
        <v>3.4553917078010434E-7</v>
      </c>
      <c r="U184" s="84"/>
      <c r="V184" s="159"/>
      <c r="W184" s="160"/>
      <c r="X184" s="160"/>
      <c r="Y184" s="160"/>
      <c r="Z184" s="161">
        <f t="shared" si="12"/>
        <v>30.71753481125387</v>
      </c>
      <c r="AA184" s="161">
        <f t="shared" si="13"/>
        <v>3.4553917078010435E-5</v>
      </c>
      <c r="AF184" s="82"/>
    </row>
    <row r="185" spans="9:32" x14ac:dyDescent="0.25">
      <c r="I185" s="138"/>
      <c r="J185" s="50"/>
      <c r="K185" s="50"/>
      <c r="M185" s="33"/>
      <c r="R185" s="61">
        <v>432.28534811253871</v>
      </c>
      <c r="S185" s="58">
        <v>3.507938589870198E-7</v>
      </c>
      <c r="U185" s="84"/>
      <c r="V185" s="159"/>
      <c r="W185" s="160"/>
      <c r="X185" s="160"/>
      <c r="Y185" s="160"/>
      <c r="Z185" s="161">
        <f t="shared" si="12"/>
        <v>30.71753481125387</v>
      </c>
      <c r="AA185" s="161">
        <f t="shared" si="13"/>
        <v>3.5079385898701978E-5</v>
      </c>
    </row>
    <row r="186" spans="9:32" x14ac:dyDescent="0.25">
      <c r="I186" s="138"/>
      <c r="J186" s="50"/>
      <c r="K186" s="50"/>
      <c r="M186" s="33"/>
      <c r="R186" s="61">
        <v>438.24803362170019</v>
      </c>
      <c r="S186" s="58">
        <v>3.507938589870198E-7</v>
      </c>
      <c r="U186" s="84"/>
      <c r="V186" s="159"/>
      <c r="W186" s="160"/>
      <c r="X186" s="160"/>
      <c r="Y186" s="160"/>
      <c r="Z186" s="161">
        <f t="shared" si="12"/>
        <v>31.313803362170017</v>
      </c>
      <c r="AA186" s="161">
        <f t="shared" si="13"/>
        <v>3.5079385898701978E-5</v>
      </c>
    </row>
    <row r="187" spans="9:32" x14ac:dyDescent="0.25">
      <c r="I187" s="138"/>
      <c r="J187" s="50"/>
      <c r="K187" s="50"/>
      <c r="M187" s="33"/>
      <c r="R187" s="61">
        <v>438.24803362170019</v>
      </c>
      <c r="S187" s="58">
        <v>3.5255278228797346E-7</v>
      </c>
      <c r="U187" s="84"/>
      <c r="V187" s="159"/>
      <c r="W187" s="160"/>
      <c r="X187" s="160"/>
      <c r="Y187" s="160"/>
      <c r="Z187" s="161">
        <f t="shared" si="12"/>
        <v>31.313803362170017</v>
      </c>
      <c r="AA187" s="161">
        <f t="shared" si="13"/>
        <v>3.5255278228797349E-5</v>
      </c>
    </row>
    <row r="188" spans="9:32" x14ac:dyDescent="0.25">
      <c r="I188" s="138"/>
      <c r="J188" s="50"/>
      <c r="K188" s="50"/>
      <c r="M188" s="33"/>
      <c r="R188" s="61">
        <v>444.21071913086166</v>
      </c>
      <c r="S188" s="58">
        <v>3.5255278228797346E-7</v>
      </c>
      <c r="U188" s="84"/>
      <c r="V188" s="159"/>
      <c r="W188" s="160"/>
      <c r="X188" s="160"/>
      <c r="Y188" s="160"/>
      <c r="Z188" s="161">
        <f t="shared" si="12"/>
        <v>31.910071913086163</v>
      </c>
      <c r="AA188" s="161">
        <f t="shared" si="13"/>
        <v>3.5255278228797349E-5</v>
      </c>
    </row>
    <row r="189" spans="9:32" x14ac:dyDescent="0.25">
      <c r="I189" s="138"/>
      <c r="J189" s="50"/>
      <c r="K189" s="50"/>
      <c r="M189" s="33"/>
      <c r="R189" s="61">
        <v>444.21071913086166</v>
      </c>
      <c r="S189" s="58">
        <v>3.5078363578760186E-7</v>
      </c>
      <c r="U189" s="84"/>
      <c r="V189" s="159"/>
      <c r="W189" s="160"/>
      <c r="X189" s="160"/>
      <c r="Y189" s="160"/>
      <c r="Z189" s="161">
        <f t="shared" si="12"/>
        <v>31.910071913086163</v>
      </c>
      <c r="AA189" s="161">
        <f t="shared" si="13"/>
        <v>3.5078363578760189E-5</v>
      </c>
    </row>
    <row r="190" spans="9:32" x14ac:dyDescent="0.25">
      <c r="I190" s="138"/>
      <c r="J190" s="50"/>
      <c r="K190" s="50"/>
      <c r="M190" s="33"/>
      <c r="R190" s="61">
        <v>450.17340464002314</v>
      </c>
      <c r="S190" s="58">
        <v>3.5078363578760186E-7</v>
      </c>
      <c r="U190" s="84"/>
      <c r="V190" s="159"/>
      <c r="W190" s="160"/>
      <c r="X190" s="160"/>
      <c r="Y190" s="160"/>
      <c r="Z190" s="161">
        <f t="shared" si="12"/>
        <v>32.506340464002314</v>
      </c>
      <c r="AA190" s="161">
        <f t="shared" si="13"/>
        <v>3.5078363578760189E-5</v>
      </c>
    </row>
    <row r="191" spans="9:32" x14ac:dyDescent="0.25">
      <c r="I191" s="138"/>
      <c r="J191" s="50"/>
      <c r="K191" s="50"/>
      <c r="M191" s="33"/>
      <c r="R191" s="61">
        <v>450.17340464002314</v>
      </c>
      <c r="S191" s="58">
        <v>3.4551876901195769E-7</v>
      </c>
      <c r="U191" s="84"/>
      <c r="V191" s="159"/>
      <c r="W191" s="160"/>
      <c r="X191" s="160"/>
      <c r="Y191" s="160"/>
      <c r="Z191" s="161">
        <f t="shared" si="12"/>
        <v>32.506340464002314</v>
      </c>
      <c r="AA191" s="161">
        <f t="shared" si="13"/>
        <v>3.4551876901195769E-5</v>
      </c>
    </row>
    <row r="192" spans="9:32" x14ac:dyDescent="0.25">
      <c r="I192" s="138"/>
      <c r="J192" s="50"/>
      <c r="K192" s="50"/>
      <c r="M192" s="33"/>
      <c r="R192" s="61">
        <v>456.13609014918461</v>
      </c>
      <c r="S192" s="58">
        <v>3.4551876901195769E-7</v>
      </c>
      <c r="U192" s="84"/>
      <c r="V192" s="159"/>
      <c r="W192" s="160"/>
      <c r="X192" s="160"/>
      <c r="Y192" s="160"/>
      <c r="Z192" s="161">
        <f t="shared" si="12"/>
        <v>33.102609014918457</v>
      </c>
      <c r="AA192" s="161">
        <f t="shared" si="13"/>
        <v>3.4551876901195769E-5</v>
      </c>
    </row>
    <row r="193" spans="9:27" x14ac:dyDescent="0.25">
      <c r="I193" s="138"/>
      <c r="J193" s="50"/>
      <c r="K193" s="50"/>
      <c r="M193" s="33"/>
      <c r="R193" s="61">
        <v>456.13609014918461</v>
      </c>
      <c r="S193" s="58">
        <v>3.3685481431995451E-7</v>
      </c>
      <c r="U193" s="84"/>
      <c r="V193" s="159"/>
      <c r="W193" s="160"/>
      <c r="X193" s="160"/>
      <c r="Y193" s="160"/>
      <c r="Z193" s="161">
        <f t="shared" si="12"/>
        <v>33.102609014918457</v>
      </c>
      <c r="AA193" s="161">
        <f t="shared" si="13"/>
        <v>3.3685481431995452E-5</v>
      </c>
    </row>
    <row r="194" spans="9:27" x14ac:dyDescent="0.25">
      <c r="I194" s="138"/>
      <c r="J194" s="50"/>
      <c r="K194" s="50"/>
      <c r="M194" s="33"/>
      <c r="R194" s="61">
        <v>462.09877565834609</v>
      </c>
      <c r="S194" s="58">
        <v>3.3685481431995451E-7</v>
      </c>
      <c r="U194" s="84"/>
      <c r="V194" s="159"/>
      <c r="W194" s="160"/>
      <c r="X194" s="160"/>
      <c r="Y194" s="160"/>
      <c r="Z194" s="161">
        <f t="shared" si="12"/>
        <v>33.698877565834607</v>
      </c>
      <c r="AA194" s="161">
        <f t="shared" si="13"/>
        <v>3.3685481431995452E-5</v>
      </c>
    </row>
    <row r="195" spans="9:27" x14ac:dyDescent="0.25">
      <c r="I195" s="137"/>
      <c r="J195" s="50"/>
      <c r="K195" s="50"/>
      <c r="M195" s="33"/>
      <c r="R195" s="61">
        <v>462.09877565834609</v>
      </c>
      <c r="S195" s="58">
        <v>3.2495150023199967E-7</v>
      </c>
      <c r="U195" s="84"/>
      <c r="V195" s="159"/>
      <c r="W195" s="160"/>
      <c r="X195" s="160"/>
      <c r="Y195" s="160"/>
      <c r="Z195" s="161">
        <f t="shared" si="12"/>
        <v>33.698877565834607</v>
      </c>
      <c r="AA195" s="161">
        <f t="shared" si="13"/>
        <v>3.2495150023199965E-5</v>
      </c>
    </row>
    <row r="196" spans="9:27" x14ac:dyDescent="0.25">
      <c r="I196" s="137"/>
      <c r="J196" s="50"/>
      <c r="K196" s="50"/>
      <c r="M196" s="33"/>
      <c r="R196" s="61">
        <v>468.06146116750756</v>
      </c>
      <c r="S196" s="58">
        <v>3.2495150023199967E-7</v>
      </c>
      <c r="U196" s="84"/>
      <c r="V196" s="159"/>
      <c r="W196" s="160"/>
      <c r="X196" s="160"/>
      <c r="Y196" s="160"/>
      <c r="Z196" s="161">
        <f t="shared" ref="Z196:Z259" si="14">(R196-125.11)/10</f>
        <v>34.295146116750757</v>
      </c>
      <c r="AA196" s="161">
        <f t="shared" ref="AA196:AA259" si="15">S196*100</f>
        <v>3.2495150023199965E-5</v>
      </c>
    </row>
    <row r="197" spans="9:27" x14ac:dyDescent="0.25">
      <c r="I197" s="137"/>
      <c r="J197" s="50"/>
      <c r="K197" s="50"/>
      <c r="M197" s="33"/>
      <c r="R197" s="61">
        <v>468.06146116750756</v>
      </c>
      <c r="S197" s="58">
        <v>3.1002944646981877E-7</v>
      </c>
      <c r="U197" s="84"/>
      <c r="V197" s="159"/>
      <c r="W197" s="160"/>
      <c r="X197" s="160"/>
      <c r="Y197" s="160"/>
      <c r="Z197" s="161">
        <f t="shared" si="14"/>
        <v>34.295146116750757</v>
      </c>
      <c r="AA197" s="161">
        <f t="shared" si="15"/>
        <v>3.1002944646981879E-5</v>
      </c>
    </row>
    <row r="198" spans="9:27" x14ac:dyDescent="0.25">
      <c r="I198" s="137"/>
      <c r="J198" s="50"/>
      <c r="K198" s="50"/>
      <c r="M198" s="33"/>
      <c r="R198" s="61">
        <v>474.02414667666903</v>
      </c>
      <c r="S198" s="58">
        <v>3.1002944646981877E-7</v>
      </c>
      <c r="U198" s="84"/>
      <c r="V198" s="159"/>
      <c r="W198" s="160"/>
      <c r="X198" s="160"/>
      <c r="Y198" s="160"/>
      <c r="Z198" s="161">
        <f t="shared" si="14"/>
        <v>34.891414667666901</v>
      </c>
      <c r="AA198" s="161">
        <f t="shared" si="15"/>
        <v>3.1002944646981879E-5</v>
      </c>
    </row>
    <row r="199" spans="9:27" x14ac:dyDescent="0.25">
      <c r="I199" s="137"/>
      <c r="J199" s="50"/>
      <c r="K199" s="50"/>
      <c r="M199" s="33"/>
      <c r="R199" s="61">
        <v>474.02414667666903</v>
      </c>
      <c r="S199" s="58">
        <v>2.9236665235952196E-7</v>
      </c>
      <c r="U199" s="84"/>
      <c r="V199" s="159"/>
      <c r="W199" s="160"/>
      <c r="X199" s="160"/>
      <c r="Y199" s="160"/>
      <c r="Z199" s="161">
        <f t="shared" si="14"/>
        <v>34.891414667666901</v>
      </c>
      <c r="AA199" s="161">
        <f t="shared" si="15"/>
        <v>2.9236665235952196E-5</v>
      </c>
    </row>
    <row r="200" spans="9:27" x14ac:dyDescent="0.25">
      <c r="I200" s="137"/>
      <c r="J200" s="50"/>
      <c r="K200" s="50"/>
      <c r="M200" s="33"/>
      <c r="R200" s="61">
        <v>479.98683218583051</v>
      </c>
      <c r="S200" s="58">
        <v>2.9236665235952196E-7</v>
      </c>
      <c r="U200" s="84"/>
      <c r="V200" s="159"/>
      <c r="W200" s="160"/>
      <c r="X200" s="160"/>
      <c r="Y200" s="160"/>
      <c r="Z200" s="161">
        <f t="shared" si="14"/>
        <v>35.487683218583051</v>
      </c>
      <c r="AA200" s="161">
        <f t="shared" si="15"/>
        <v>2.9236665235952196E-5</v>
      </c>
    </row>
    <row r="201" spans="9:27" x14ac:dyDescent="0.25">
      <c r="I201" s="137"/>
      <c r="J201" s="50"/>
      <c r="K201" s="50"/>
      <c r="M201" s="33"/>
      <c r="R201" s="61">
        <v>479.98683218583051</v>
      </c>
      <c r="S201" s="58">
        <v>2.722933711413985E-7</v>
      </c>
      <c r="U201" s="84"/>
      <c r="V201" s="159"/>
      <c r="W201" s="160"/>
      <c r="X201" s="160"/>
      <c r="Y201" s="160"/>
      <c r="Z201" s="161">
        <f t="shared" si="14"/>
        <v>35.487683218583051</v>
      </c>
      <c r="AA201" s="161">
        <f t="shared" si="15"/>
        <v>2.7229337114139849E-5</v>
      </c>
    </row>
    <row r="202" spans="9:27" x14ac:dyDescent="0.25">
      <c r="I202" s="137"/>
      <c r="J202" s="50"/>
      <c r="K202" s="50"/>
      <c r="M202" s="33"/>
      <c r="R202" s="61">
        <v>485.94951769499198</v>
      </c>
      <c r="S202" s="58">
        <v>2.722933711413985E-7</v>
      </c>
      <c r="U202" s="84"/>
      <c r="V202" s="159"/>
      <c r="W202" s="160"/>
      <c r="X202" s="160"/>
      <c r="Y202" s="160"/>
      <c r="Z202" s="161">
        <f t="shared" si="14"/>
        <v>36.083951769499194</v>
      </c>
      <c r="AA202" s="161">
        <f t="shared" si="15"/>
        <v>2.7229337114139849E-5</v>
      </c>
    </row>
    <row r="203" spans="9:27" x14ac:dyDescent="0.25">
      <c r="I203" s="137"/>
      <c r="J203" s="50"/>
      <c r="K203" s="50"/>
      <c r="M203" s="33"/>
      <c r="R203" s="61">
        <v>485.94951769499198</v>
      </c>
      <c r="S203" s="58">
        <v>2.5018511896114646E-7</v>
      </c>
      <c r="U203" s="84"/>
      <c r="V203" s="159"/>
      <c r="W203" s="160"/>
      <c r="X203" s="160"/>
      <c r="Y203" s="160"/>
      <c r="Z203" s="161">
        <f t="shared" si="14"/>
        <v>36.083951769499194</v>
      </c>
      <c r="AA203" s="161">
        <f t="shared" si="15"/>
        <v>2.5018511896114645E-5</v>
      </c>
    </row>
    <row r="204" spans="9:27" x14ac:dyDescent="0.25">
      <c r="I204" s="137"/>
      <c r="J204" s="50"/>
      <c r="K204" s="50"/>
      <c r="M204" s="33"/>
      <c r="R204" s="61">
        <v>491.91220320415346</v>
      </c>
      <c r="S204" s="58">
        <v>2.5018511896114646E-7</v>
      </c>
      <c r="U204" s="84"/>
      <c r="V204" s="159"/>
      <c r="W204" s="160"/>
      <c r="X204" s="160"/>
      <c r="Y204" s="160"/>
      <c r="Z204" s="161">
        <f t="shared" si="14"/>
        <v>36.680220320415344</v>
      </c>
      <c r="AA204" s="161">
        <f t="shared" si="15"/>
        <v>2.5018511896114645E-5</v>
      </c>
    </row>
    <row r="205" spans="9:27" x14ac:dyDescent="0.25">
      <c r="I205" s="138"/>
      <c r="J205" s="50"/>
      <c r="K205" s="50"/>
      <c r="M205" s="33"/>
      <c r="R205" s="61">
        <v>491.91220320415346</v>
      </c>
      <c r="S205" s="58">
        <v>2.2645369475778471E-7</v>
      </c>
      <c r="U205" s="84"/>
      <c r="V205" s="159"/>
      <c r="W205" s="160"/>
      <c r="X205" s="160"/>
      <c r="Y205" s="160"/>
      <c r="Z205" s="161">
        <f t="shared" si="14"/>
        <v>36.680220320415344</v>
      </c>
      <c r="AA205" s="161">
        <f t="shared" si="15"/>
        <v>2.2645369475778471E-5</v>
      </c>
    </row>
    <row r="206" spans="9:27" x14ac:dyDescent="0.25">
      <c r="I206" s="138"/>
      <c r="J206" s="50"/>
      <c r="K206" s="50"/>
      <c r="M206" s="33"/>
      <c r="R206" s="61">
        <v>497.87488871331493</v>
      </c>
      <c r="S206" s="58">
        <v>2.2645369475778471E-7</v>
      </c>
      <c r="U206" s="84"/>
      <c r="V206" s="159"/>
      <c r="W206" s="160"/>
      <c r="X206" s="160"/>
      <c r="Y206" s="160"/>
      <c r="Z206" s="161">
        <f t="shared" si="14"/>
        <v>37.276488871331495</v>
      </c>
      <c r="AA206" s="161">
        <f t="shared" si="15"/>
        <v>2.2645369475778471E-5</v>
      </c>
    </row>
    <row r="207" spans="9:27" x14ac:dyDescent="0.25">
      <c r="I207" s="138"/>
      <c r="J207" s="50"/>
      <c r="K207" s="50"/>
      <c r="M207" s="33"/>
      <c r="R207" s="61">
        <v>497.87488871331493</v>
      </c>
      <c r="S207" s="58">
        <v>2.0153626899431859E-7</v>
      </c>
      <c r="U207" s="84"/>
      <c r="V207" s="159"/>
      <c r="W207" s="160"/>
      <c r="X207" s="160"/>
      <c r="Y207" s="160"/>
      <c r="Z207" s="161">
        <f t="shared" si="14"/>
        <v>37.276488871331495</v>
      </c>
      <c r="AA207" s="161">
        <f t="shared" si="15"/>
        <v>2.015362689943186E-5</v>
      </c>
    </row>
    <row r="208" spans="9:27" x14ac:dyDescent="0.25">
      <c r="I208" s="138"/>
      <c r="J208" s="50"/>
      <c r="K208" s="50"/>
      <c r="M208" s="33"/>
      <c r="R208" s="61">
        <v>503.83757422247641</v>
      </c>
      <c r="S208" s="58">
        <v>2.0153626899431859E-7</v>
      </c>
      <c r="U208" s="84"/>
      <c r="V208" s="159"/>
      <c r="W208" s="160"/>
      <c r="X208" s="160"/>
      <c r="Y208" s="160"/>
      <c r="Z208" s="161">
        <f t="shared" si="14"/>
        <v>37.872757422247638</v>
      </c>
      <c r="AA208" s="161">
        <f t="shared" si="15"/>
        <v>2.015362689943186E-5</v>
      </c>
    </row>
    <row r="209" spans="9:32" x14ac:dyDescent="0.25">
      <c r="I209" s="137"/>
      <c r="J209" s="50"/>
      <c r="K209" s="50"/>
      <c r="M209" s="33"/>
      <c r="R209" s="61">
        <v>503.83757422247641</v>
      </c>
      <c r="S209" s="58">
        <v>1.8234047173973536E-7</v>
      </c>
      <c r="U209" s="84"/>
      <c r="V209" s="159"/>
      <c r="W209" s="160"/>
      <c r="X209" s="160"/>
      <c r="Y209" s="160"/>
      <c r="Z209" s="161">
        <f t="shared" si="14"/>
        <v>37.872757422247638</v>
      </c>
      <c r="AA209" s="161">
        <f t="shared" si="15"/>
        <v>1.8234047173973537E-5</v>
      </c>
    </row>
    <row r="210" spans="9:32" x14ac:dyDescent="0.25">
      <c r="I210" s="137"/>
      <c r="J210" s="50"/>
      <c r="K210" s="50"/>
      <c r="L210" s="70"/>
      <c r="M210" s="18"/>
      <c r="R210" s="61">
        <v>506.81891697705714</v>
      </c>
      <c r="S210" s="58">
        <v>1.8234047173973536E-7</v>
      </c>
      <c r="U210" s="84"/>
      <c r="V210" s="159"/>
      <c r="W210" s="160"/>
      <c r="X210" s="160"/>
      <c r="Y210" s="160"/>
      <c r="Z210" s="161">
        <f t="shared" si="14"/>
        <v>38.170891697705713</v>
      </c>
      <c r="AA210" s="161">
        <f t="shared" si="15"/>
        <v>1.8234047173973537E-5</v>
      </c>
    </row>
    <row r="211" spans="9:32" x14ac:dyDescent="0.25">
      <c r="I211" s="137"/>
      <c r="J211" s="50"/>
      <c r="K211" s="50"/>
      <c r="L211" s="70"/>
      <c r="M211" s="18"/>
      <c r="R211" s="61">
        <v>506.81891697705714</v>
      </c>
      <c r="S211" s="58">
        <v>1.7224189801926213E-7</v>
      </c>
      <c r="U211" s="84"/>
      <c r="V211" s="159"/>
      <c r="W211" s="160"/>
      <c r="X211" s="160"/>
      <c r="Y211" s="160"/>
      <c r="Z211" s="161">
        <f t="shared" si="14"/>
        <v>38.170891697705713</v>
      </c>
      <c r="AA211" s="161">
        <f t="shared" si="15"/>
        <v>1.7224189801926214E-5</v>
      </c>
    </row>
    <row r="212" spans="9:32" x14ac:dyDescent="0.25">
      <c r="I212" s="137"/>
      <c r="J212" s="50"/>
      <c r="K212" s="50"/>
      <c r="L212" s="70"/>
      <c r="M212" s="18"/>
      <c r="R212" s="61">
        <v>510.58300814614608</v>
      </c>
      <c r="S212" s="58">
        <v>1.7224189801926213E-7</v>
      </c>
      <c r="U212" s="84"/>
      <c r="V212" s="159"/>
      <c r="W212" s="160"/>
      <c r="X212" s="160"/>
      <c r="Y212" s="160"/>
      <c r="Z212" s="161">
        <f t="shared" si="14"/>
        <v>38.547300814614609</v>
      </c>
      <c r="AA212" s="161">
        <f t="shared" si="15"/>
        <v>1.7224189801926214E-5</v>
      </c>
    </row>
    <row r="213" spans="9:32" x14ac:dyDescent="0.25">
      <c r="I213" s="137"/>
      <c r="J213" s="50"/>
      <c r="K213" s="50"/>
      <c r="L213" s="70"/>
      <c r="M213" s="18"/>
      <c r="R213" s="61">
        <v>510.58300814614608</v>
      </c>
      <c r="S213" s="58">
        <v>1.4747180211177516E-7</v>
      </c>
      <c r="U213" s="84"/>
      <c r="V213" s="159"/>
      <c r="W213" s="160"/>
      <c r="X213" s="160"/>
      <c r="Y213" s="160"/>
      <c r="Z213" s="161">
        <f t="shared" si="14"/>
        <v>38.547300814614609</v>
      </c>
      <c r="AA213" s="161">
        <f t="shared" si="15"/>
        <v>1.4747180211177516E-5</v>
      </c>
    </row>
    <row r="214" spans="9:32" x14ac:dyDescent="0.25">
      <c r="I214" s="137"/>
      <c r="J214" s="50"/>
      <c r="K214" s="50"/>
      <c r="L214" s="70"/>
      <c r="M214" s="18"/>
      <c r="R214" s="61">
        <v>518.11119048432397</v>
      </c>
      <c r="S214" s="58">
        <v>1.4747180211177516E-7</v>
      </c>
      <c r="U214" s="84"/>
      <c r="V214" s="159"/>
      <c r="W214" s="160"/>
      <c r="X214" s="160"/>
      <c r="Y214" s="160"/>
      <c r="Z214" s="161">
        <f t="shared" si="14"/>
        <v>39.300119048432393</v>
      </c>
      <c r="AA214" s="161">
        <f t="shared" si="15"/>
        <v>1.4747180211177516E-5</v>
      </c>
    </row>
    <row r="215" spans="9:32" x14ac:dyDescent="0.25">
      <c r="I215" s="137"/>
      <c r="J215" s="50"/>
      <c r="K215" s="50"/>
      <c r="L215" s="70"/>
      <c r="M215" s="18"/>
      <c r="R215" s="61">
        <v>518.11119048432397</v>
      </c>
      <c r="S215" s="58">
        <v>1.1529478534589312E-7</v>
      </c>
      <c r="U215" s="84"/>
      <c r="V215" s="159"/>
      <c r="W215" s="160"/>
      <c r="X215" s="160"/>
      <c r="Y215" s="160"/>
      <c r="Z215" s="161">
        <f t="shared" si="14"/>
        <v>39.300119048432393</v>
      </c>
      <c r="AA215" s="161">
        <f t="shared" si="15"/>
        <v>1.1529478534589312E-5</v>
      </c>
    </row>
    <row r="216" spans="9:32" x14ac:dyDescent="0.25">
      <c r="I216" s="137"/>
      <c r="J216" s="50"/>
      <c r="K216" s="50"/>
      <c r="L216" s="70"/>
      <c r="M216" s="18"/>
      <c r="R216" s="61">
        <v>525.63937282250185</v>
      </c>
      <c r="S216" s="58">
        <v>1.1529478534589312E-7</v>
      </c>
      <c r="U216" s="84"/>
      <c r="V216" s="159"/>
      <c r="W216" s="160"/>
      <c r="X216" s="160"/>
      <c r="Y216" s="160"/>
      <c r="Z216" s="161">
        <f t="shared" si="14"/>
        <v>40.052937282250184</v>
      </c>
      <c r="AA216" s="161">
        <f t="shared" si="15"/>
        <v>1.1529478534589312E-5</v>
      </c>
    </row>
    <row r="217" spans="9:32" x14ac:dyDescent="0.25">
      <c r="I217" s="137"/>
      <c r="J217" s="50"/>
      <c r="K217" s="50"/>
      <c r="L217" s="70"/>
      <c r="M217" s="18"/>
      <c r="R217" s="61">
        <v>525.63937282250185</v>
      </c>
      <c r="S217" s="58">
        <v>8.4748251958013344E-8</v>
      </c>
      <c r="U217" s="84"/>
      <c r="V217" s="159"/>
      <c r="W217" s="160"/>
      <c r="X217" s="160"/>
      <c r="Y217" s="160"/>
      <c r="Z217" s="161">
        <f t="shared" si="14"/>
        <v>40.052937282250184</v>
      </c>
      <c r="AA217" s="161">
        <f t="shared" si="15"/>
        <v>8.4748251958013344E-6</v>
      </c>
    </row>
    <row r="218" spans="9:32" x14ac:dyDescent="0.25">
      <c r="I218" s="137"/>
      <c r="J218" s="50"/>
      <c r="K218" s="50"/>
      <c r="L218" s="70"/>
      <c r="M218" s="18"/>
      <c r="R218" s="61">
        <v>533.16755516067974</v>
      </c>
      <c r="S218" s="58">
        <v>8.4748251958013344E-8</v>
      </c>
      <c r="U218" s="84"/>
      <c r="V218" s="159"/>
      <c r="W218" s="160"/>
      <c r="X218" s="160"/>
      <c r="Y218" s="160"/>
      <c r="Z218" s="161">
        <f t="shared" si="14"/>
        <v>40.805755516067975</v>
      </c>
      <c r="AA218" s="161">
        <f t="shared" si="15"/>
        <v>8.4748251958013344E-6</v>
      </c>
      <c r="AF218" s="82"/>
    </row>
    <row r="219" spans="9:32" x14ac:dyDescent="0.25">
      <c r="I219" s="137"/>
      <c r="J219" s="50"/>
      <c r="K219" s="50"/>
      <c r="L219" s="70"/>
      <c r="M219" s="18"/>
      <c r="R219" s="61">
        <v>533.16755516067974</v>
      </c>
      <c r="S219" s="58">
        <v>5.6468270646790653E-8</v>
      </c>
      <c r="U219" s="84"/>
      <c r="V219" s="159"/>
      <c r="W219" s="160"/>
      <c r="X219" s="160"/>
      <c r="Y219" s="160"/>
      <c r="Z219" s="161">
        <f t="shared" si="14"/>
        <v>40.805755516067975</v>
      </c>
      <c r="AA219" s="161">
        <f t="shared" si="15"/>
        <v>5.6468270646790653E-6</v>
      </c>
      <c r="AF219" s="82"/>
    </row>
    <row r="220" spans="9:32" x14ac:dyDescent="0.25">
      <c r="I220" s="137"/>
      <c r="J220" s="50"/>
      <c r="K220" s="50"/>
      <c r="L220" s="70"/>
      <c r="M220" s="18"/>
      <c r="R220" s="61">
        <v>540.69573749885762</v>
      </c>
      <c r="S220" s="58">
        <v>5.6468270646790653E-8</v>
      </c>
      <c r="U220" s="84"/>
      <c r="V220" s="159"/>
      <c r="W220" s="160"/>
      <c r="X220" s="160"/>
      <c r="Y220" s="160"/>
      <c r="Z220" s="161">
        <f t="shared" si="14"/>
        <v>41.55857374988576</v>
      </c>
      <c r="AA220" s="161">
        <f t="shared" si="15"/>
        <v>5.6468270646790653E-6</v>
      </c>
      <c r="AF220" s="82"/>
    </row>
    <row r="221" spans="9:32" x14ac:dyDescent="0.25">
      <c r="I221" s="137"/>
      <c r="J221" s="50"/>
      <c r="K221" s="50"/>
      <c r="L221" s="70"/>
      <c r="M221" s="18"/>
      <c r="R221" s="61">
        <v>540.69573749885762</v>
      </c>
      <c r="S221" s="58">
        <v>3.0970387267626458E-8</v>
      </c>
      <c r="U221" s="84"/>
      <c r="V221" s="159"/>
      <c r="W221" s="160"/>
      <c r="X221" s="160"/>
      <c r="Y221" s="160"/>
      <c r="Z221" s="161">
        <f t="shared" si="14"/>
        <v>41.55857374988576</v>
      </c>
      <c r="AA221" s="161">
        <f t="shared" si="15"/>
        <v>3.0970387267626458E-6</v>
      </c>
      <c r="AF221" s="82"/>
    </row>
    <row r="222" spans="9:32" x14ac:dyDescent="0.25">
      <c r="I222" s="137"/>
      <c r="J222" s="50"/>
      <c r="K222" s="50"/>
      <c r="L222" s="70"/>
      <c r="M222" s="18"/>
      <c r="R222" s="61">
        <v>548.22391983703551</v>
      </c>
      <c r="S222" s="58">
        <v>3.0970387267626458E-8</v>
      </c>
      <c r="U222" s="84"/>
      <c r="V222" s="159"/>
      <c r="W222" s="160"/>
      <c r="X222" s="160"/>
      <c r="Y222" s="160"/>
      <c r="Z222" s="161">
        <f t="shared" si="14"/>
        <v>42.311391983703551</v>
      </c>
      <c r="AA222" s="161">
        <f t="shared" si="15"/>
        <v>3.0970387267626458E-6</v>
      </c>
      <c r="AF222" s="82"/>
    </row>
    <row r="223" spans="9:32" x14ac:dyDescent="0.25">
      <c r="I223" s="137"/>
      <c r="J223" s="50"/>
      <c r="K223" s="50"/>
      <c r="L223" s="70"/>
      <c r="M223" s="18"/>
      <c r="R223" s="61">
        <v>548.22391983703551</v>
      </c>
      <c r="S223" s="58">
        <v>8.6280785406804081E-9</v>
      </c>
      <c r="U223" s="84"/>
      <c r="V223" s="159"/>
      <c r="W223" s="160"/>
      <c r="X223" s="160"/>
      <c r="Y223" s="160"/>
      <c r="Z223" s="161">
        <f t="shared" si="14"/>
        <v>42.311391983703551</v>
      </c>
      <c r="AA223" s="161">
        <f t="shared" si="15"/>
        <v>8.6280785406804081E-7</v>
      </c>
      <c r="AF223" s="82"/>
    </row>
    <row r="224" spans="9:32" x14ac:dyDescent="0.25">
      <c r="I224" s="137"/>
      <c r="J224" s="50"/>
      <c r="K224" s="50"/>
      <c r="L224" s="70"/>
      <c r="M224" s="18"/>
      <c r="R224" s="61">
        <v>555.75210217521339</v>
      </c>
      <c r="S224" s="58">
        <v>8.6280785406804081E-9</v>
      </c>
      <c r="U224" s="84"/>
      <c r="V224" s="159"/>
      <c r="W224" s="160"/>
      <c r="X224" s="160"/>
      <c r="Y224" s="160"/>
      <c r="Z224" s="161">
        <f t="shared" si="14"/>
        <v>43.064210217521335</v>
      </c>
      <c r="AA224" s="161">
        <f t="shared" si="15"/>
        <v>8.6280785406804081E-7</v>
      </c>
      <c r="AF224" s="82"/>
    </row>
    <row r="225" spans="9:32" x14ac:dyDescent="0.25">
      <c r="I225" s="137"/>
      <c r="J225" s="50"/>
      <c r="K225" s="50"/>
      <c r="L225" s="70"/>
      <c r="M225" s="18"/>
      <c r="R225" s="61">
        <v>555.75210217521339</v>
      </c>
      <c r="S225" s="58">
        <v>-1.0335322616540614E-8</v>
      </c>
      <c r="U225" s="84"/>
      <c r="V225" s="159"/>
      <c r="W225" s="160"/>
      <c r="X225" s="160"/>
      <c r="Y225" s="160"/>
      <c r="Z225" s="161">
        <f t="shared" si="14"/>
        <v>43.064210217521335</v>
      </c>
      <c r="AA225" s="161">
        <f t="shared" si="15"/>
        <v>-1.0335322616540614E-6</v>
      </c>
      <c r="AF225" s="82"/>
    </row>
    <row r="226" spans="9:32" x14ac:dyDescent="0.25">
      <c r="I226" s="137"/>
      <c r="J226" s="50"/>
      <c r="K226" s="50"/>
      <c r="L226" s="70"/>
      <c r="M226" s="18"/>
      <c r="R226" s="61">
        <v>563.28028451339128</v>
      </c>
      <c r="S226" s="58">
        <v>-1.0335322616540614E-8</v>
      </c>
      <c r="U226" s="84"/>
      <c r="V226" s="159"/>
      <c r="W226" s="160"/>
      <c r="X226" s="160"/>
      <c r="Y226" s="160"/>
      <c r="Z226" s="161">
        <f t="shared" si="14"/>
        <v>43.817028451339127</v>
      </c>
      <c r="AA226" s="161">
        <f t="shared" si="15"/>
        <v>-1.0335322616540614E-6</v>
      </c>
      <c r="AF226" s="82"/>
    </row>
    <row r="227" spans="9:32" x14ac:dyDescent="0.25">
      <c r="I227" s="137"/>
      <c r="J227" s="50"/>
      <c r="K227" s="50"/>
      <c r="L227" s="70"/>
      <c r="M227" s="18"/>
      <c r="R227" s="61">
        <v>563.28028451339128</v>
      </c>
      <c r="S227" s="58">
        <v>-2.5841847633072109E-8</v>
      </c>
      <c r="U227" s="84"/>
      <c r="V227" s="159"/>
      <c r="W227" s="160"/>
      <c r="X227" s="160"/>
      <c r="Y227" s="160"/>
      <c r="Z227" s="161">
        <f t="shared" si="14"/>
        <v>43.817028451339127</v>
      </c>
      <c r="AA227" s="161">
        <f t="shared" si="15"/>
        <v>-2.5841847633072109E-6</v>
      </c>
      <c r="AF227" s="82"/>
    </row>
    <row r="228" spans="9:32" x14ac:dyDescent="0.25">
      <c r="I228" s="137"/>
      <c r="J228" s="50"/>
      <c r="K228" s="50"/>
      <c r="L228" s="70"/>
      <c r="M228" s="18"/>
      <c r="R228" s="61">
        <v>570.80846685156916</v>
      </c>
      <c r="S228" s="58">
        <v>-2.5841847633072109E-8</v>
      </c>
      <c r="U228" s="84"/>
      <c r="V228" s="159"/>
      <c r="W228" s="160"/>
      <c r="X228" s="160"/>
      <c r="Y228" s="160"/>
      <c r="Z228" s="161">
        <f t="shared" si="14"/>
        <v>44.569846685156918</v>
      </c>
      <c r="AA228" s="161">
        <f t="shared" si="15"/>
        <v>-2.5841847633072109E-6</v>
      </c>
      <c r="AF228" s="82"/>
    </row>
    <row r="229" spans="9:32" x14ac:dyDescent="0.25">
      <c r="I229" s="137"/>
      <c r="J229" s="50"/>
      <c r="K229" s="50"/>
      <c r="L229" s="70"/>
      <c r="M229" s="18"/>
      <c r="R229" s="61">
        <v>570.80846685156916</v>
      </c>
      <c r="S229" s="58">
        <v>-3.7943372813582647E-8</v>
      </c>
      <c r="U229" s="84"/>
      <c r="V229" s="159"/>
      <c r="W229" s="160"/>
      <c r="X229" s="160"/>
      <c r="Y229" s="160"/>
      <c r="Z229" s="161">
        <f t="shared" si="14"/>
        <v>44.569846685156918</v>
      </c>
      <c r="AA229" s="161">
        <f t="shared" si="15"/>
        <v>-3.7943372813582647E-6</v>
      </c>
      <c r="AF229" s="82"/>
    </row>
    <row r="230" spans="9:32" x14ac:dyDescent="0.25">
      <c r="I230" s="137"/>
      <c r="J230" s="50"/>
      <c r="K230" s="50"/>
      <c r="L230" s="70"/>
      <c r="M230" s="27"/>
      <c r="R230" s="61">
        <v>578.33664918974705</v>
      </c>
      <c r="S230" s="58">
        <v>-3.7943372813582647E-8</v>
      </c>
      <c r="U230" s="84"/>
      <c r="V230" s="159"/>
      <c r="W230" s="160"/>
      <c r="X230" s="160"/>
      <c r="Y230" s="160"/>
      <c r="Z230" s="161">
        <f t="shared" si="14"/>
        <v>45.322664918974702</v>
      </c>
      <c r="AA230" s="161">
        <f t="shared" si="15"/>
        <v>-3.7943372813582647E-6</v>
      </c>
      <c r="AF230" s="82"/>
    </row>
    <row r="231" spans="9:32" x14ac:dyDescent="0.25">
      <c r="I231" s="137"/>
      <c r="J231" s="50"/>
      <c r="K231" s="50"/>
      <c r="L231" s="70"/>
      <c r="M231" s="27"/>
      <c r="R231" s="61">
        <v>578.33664918974705</v>
      </c>
      <c r="S231" s="58">
        <v>-4.6798506417247585E-8</v>
      </c>
      <c r="U231" s="84"/>
      <c r="V231" s="159"/>
      <c r="W231" s="160"/>
      <c r="X231" s="160"/>
      <c r="Y231" s="160"/>
      <c r="Z231" s="161">
        <f t="shared" si="14"/>
        <v>45.322664918974702</v>
      </c>
      <c r="AA231" s="161">
        <f t="shared" si="15"/>
        <v>-4.6798506417247585E-6</v>
      </c>
      <c r="AF231" s="82"/>
    </row>
    <row r="232" spans="9:32" x14ac:dyDescent="0.25">
      <c r="I232" s="137"/>
      <c r="J232" s="50"/>
      <c r="K232" s="50"/>
      <c r="L232" s="70"/>
      <c r="M232" s="27"/>
      <c r="R232" s="61">
        <v>585.86483152792493</v>
      </c>
      <c r="S232" s="58">
        <v>-4.6798506417247585E-8</v>
      </c>
      <c r="U232" s="84"/>
      <c r="V232" s="159"/>
      <c r="W232" s="160"/>
      <c r="X232" s="160"/>
      <c r="Y232" s="160"/>
      <c r="Z232" s="161">
        <f t="shared" si="14"/>
        <v>46.075483152792494</v>
      </c>
      <c r="AA232" s="161">
        <f t="shared" si="15"/>
        <v>-4.6798506417247585E-6</v>
      </c>
      <c r="AF232" s="82"/>
    </row>
    <row r="233" spans="9:32" x14ac:dyDescent="0.25">
      <c r="I233" s="137"/>
      <c r="J233" s="50"/>
      <c r="K233" s="50"/>
      <c r="L233" s="70"/>
      <c r="M233" s="27"/>
      <c r="R233" s="61">
        <v>585.86483152792493</v>
      </c>
      <c r="S233" s="58">
        <v>-5.2645480951259452E-8</v>
      </c>
      <c r="U233" s="84"/>
      <c r="V233" s="159"/>
      <c r="W233" s="160"/>
      <c r="X233" s="160"/>
      <c r="Y233" s="160"/>
      <c r="Z233" s="161">
        <f t="shared" si="14"/>
        <v>46.075483152792494</v>
      </c>
      <c r="AA233" s="161">
        <f t="shared" si="15"/>
        <v>-5.2645480951259452E-6</v>
      </c>
      <c r="AF233" s="82"/>
    </row>
    <row r="234" spans="9:32" x14ac:dyDescent="0.25">
      <c r="I234" s="137"/>
      <c r="J234" s="50"/>
      <c r="K234" s="50"/>
      <c r="L234" s="70"/>
      <c r="M234" s="27"/>
      <c r="R234" s="61">
        <v>593.39301386610282</v>
      </c>
      <c r="S234" s="58">
        <v>-5.2645480951259452E-8</v>
      </c>
      <c r="U234" s="84"/>
      <c r="V234" s="159"/>
      <c r="W234" s="160"/>
      <c r="X234" s="160"/>
      <c r="Y234" s="160"/>
      <c r="Z234" s="161">
        <f t="shared" si="14"/>
        <v>46.828301386610278</v>
      </c>
      <c r="AA234" s="161">
        <f t="shared" si="15"/>
        <v>-5.2645480951259452E-6</v>
      </c>
      <c r="AF234" s="82"/>
    </row>
    <row r="235" spans="9:32" x14ac:dyDescent="0.25">
      <c r="I235" s="137"/>
      <c r="J235" s="50"/>
      <c r="K235" s="50"/>
      <c r="L235" s="70"/>
      <c r="M235" s="27"/>
      <c r="R235" s="61">
        <v>593.39301386610282</v>
      </c>
      <c r="S235" s="58">
        <v>-5.5774525690624269E-8</v>
      </c>
      <c r="U235" s="84"/>
      <c r="V235" s="159"/>
      <c r="W235" s="160"/>
      <c r="X235" s="160"/>
      <c r="Y235" s="160"/>
      <c r="Z235" s="161">
        <f t="shared" si="14"/>
        <v>46.828301386610278</v>
      </c>
      <c r="AA235" s="161">
        <f t="shared" si="15"/>
        <v>-5.5774525690624269E-6</v>
      </c>
      <c r="AF235" s="82"/>
    </row>
    <row r="236" spans="9:32" x14ac:dyDescent="0.25">
      <c r="I236" s="137"/>
      <c r="J236" s="50"/>
      <c r="K236" s="50"/>
      <c r="L236" s="70"/>
      <c r="M236" s="27"/>
      <c r="R236" s="61">
        <v>600.9211962042807</v>
      </c>
      <c r="S236" s="58">
        <v>-5.5774525690624269E-8</v>
      </c>
      <c r="U236" s="84"/>
      <c r="V236" s="159"/>
      <c r="W236" s="160"/>
      <c r="X236" s="160"/>
      <c r="Y236" s="160"/>
      <c r="Z236" s="161">
        <f t="shared" si="14"/>
        <v>47.581119620428069</v>
      </c>
      <c r="AA236" s="161">
        <f t="shared" si="15"/>
        <v>-5.5774525690624269E-6</v>
      </c>
      <c r="AF236" s="82"/>
    </row>
    <row r="237" spans="9:32" x14ac:dyDescent="0.25">
      <c r="I237" s="137"/>
      <c r="J237" s="50"/>
      <c r="K237" s="50"/>
      <c r="L237" s="70"/>
      <c r="M237" s="27"/>
      <c r="R237" s="61">
        <v>600.9211962042807</v>
      </c>
      <c r="S237" s="58">
        <v>-5.6502603030362772E-8</v>
      </c>
      <c r="U237" s="84"/>
      <c r="V237" s="159"/>
      <c r="W237" s="160"/>
      <c r="X237" s="160"/>
      <c r="Y237" s="160"/>
      <c r="Z237" s="161">
        <f t="shared" si="14"/>
        <v>47.581119620428069</v>
      </c>
      <c r="AA237" s="161">
        <f t="shared" si="15"/>
        <v>-5.6502603030362772E-6</v>
      </c>
      <c r="AF237" s="82"/>
    </row>
    <row r="238" spans="9:32" x14ac:dyDescent="0.25">
      <c r="I238" s="137"/>
      <c r="J238" s="50"/>
      <c r="K238" s="50"/>
      <c r="L238" s="70"/>
      <c r="M238" s="27"/>
      <c r="R238" s="61">
        <v>608.44937854245859</v>
      </c>
      <c r="S238" s="58">
        <v>-5.6502603030362772E-8</v>
      </c>
      <c r="U238" s="84"/>
      <c r="V238" s="159"/>
      <c r="W238" s="160"/>
      <c r="X238" s="160"/>
      <c r="Y238" s="160"/>
      <c r="Z238" s="161">
        <f t="shared" si="14"/>
        <v>48.33393785424586</v>
      </c>
      <c r="AA238" s="161">
        <f t="shared" si="15"/>
        <v>-5.6502603030362772E-6</v>
      </c>
      <c r="AF238" s="82"/>
    </row>
    <row r="239" spans="9:32" x14ac:dyDescent="0.25">
      <c r="I239" s="137"/>
      <c r="J239" s="50"/>
      <c r="K239" s="50"/>
      <c r="L239" s="70"/>
      <c r="M239" s="27"/>
      <c r="R239" s="61">
        <v>608.44937854245859</v>
      </c>
      <c r="S239" s="58">
        <v>-5.5152507186030143E-8</v>
      </c>
      <c r="U239" s="84"/>
      <c r="V239" s="159"/>
      <c r="W239" s="160"/>
      <c r="X239" s="160"/>
      <c r="Y239" s="160"/>
      <c r="Z239" s="161">
        <f t="shared" si="14"/>
        <v>48.33393785424586</v>
      </c>
      <c r="AA239" s="161">
        <f t="shared" si="15"/>
        <v>-5.5152507186030143E-6</v>
      </c>
      <c r="AF239" s="82"/>
    </row>
    <row r="240" spans="9:32" x14ac:dyDescent="0.25">
      <c r="I240" s="137"/>
      <c r="J240" s="50"/>
      <c r="K240" s="50"/>
      <c r="L240" s="70"/>
      <c r="M240" s="27"/>
      <c r="R240" s="61">
        <v>615.97756088063647</v>
      </c>
      <c r="S240" s="58">
        <v>-5.5152507186030143E-8</v>
      </c>
      <c r="U240" s="84"/>
      <c r="V240" s="159"/>
      <c r="W240" s="160"/>
      <c r="X240" s="160"/>
      <c r="Y240" s="160"/>
      <c r="Z240" s="161">
        <f t="shared" si="14"/>
        <v>49.086756088063645</v>
      </c>
      <c r="AA240" s="161">
        <f t="shared" si="15"/>
        <v>-5.5152507186030143E-6</v>
      </c>
      <c r="AF240" s="82"/>
    </row>
    <row r="241" spans="9:32" x14ac:dyDescent="0.25">
      <c r="I241" s="137"/>
      <c r="J241" s="50"/>
      <c r="K241" s="50"/>
      <c r="L241" s="70"/>
      <c r="M241" s="27"/>
      <c r="R241" s="61">
        <v>615.97756088063647</v>
      </c>
      <c r="S241" s="58">
        <v>-5.203733974284717E-8</v>
      </c>
      <c r="U241" s="84"/>
      <c r="V241" s="159"/>
      <c r="W241" s="160"/>
      <c r="X241" s="160"/>
      <c r="Y241" s="160"/>
      <c r="Z241" s="161">
        <f t="shared" si="14"/>
        <v>49.086756088063645</v>
      </c>
      <c r="AA241" s="161">
        <f t="shared" si="15"/>
        <v>-5.203733974284717E-6</v>
      </c>
      <c r="AF241" s="82"/>
    </row>
    <row r="242" spans="9:32" x14ac:dyDescent="0.25">
      <c r="I242" s="137"/>
      <c r="J242" s="50"/>
      <c r="K242" s="50"/>
      <c r="L242" s="70"/>
      <c r="M242" s="27"/>
      <c r="R242" s="61">
        <v>623.50574321881436</v>
      </c>
      <c r="S242" s="58">
        <v>-5.203733974284717E-8</v>
      </c>
      <c r="U242" s="84"/>
      <c r="V242" s="159"/>
      <c r="W242" s="160"/>
      <c r="X242" s="160"/>
      <c r="Y242" s="160"/>
      <c r="Z242" s="161">
        <f t="shared" si="14"/>
        <v>49.839574321881436</v>
      </c>
      <c r="AA242" s="161">
        <f t="shared" si="15"/>
        <v>-5.203733974284717E-6</v>
      </c>
      <c r="AF242" s="82"/>
    </row>
    <row r="243" spans="9:32" x14ac:dyDescent="0.25">
      <c r="I243" s="137"/>
      <c r="J243" s="50"/>
      <c r="K243" s="50"/>
      <c r="L243" s="70"/>
      <c r="M243" s="27"/>
      <c r="R243" s="61">
        <v>623.50574321881436</v>
      </c>
      <c r="S243" s="58">
        <v>-4.7450467561413826E-8</v>
      </c>
      <c r="U243" s="84"/>
      <c r="V243" s="159"/>
      <c r="W243" s="160"/>
      <c r="X243" s="160"/>
      <c r="Y243" s="160"/>
      <c r="Z243" s="161">
        <f t="shared" si="14"/>
        <v>49.839574321881436</v>
      </c>
      <c r="AA243" s="161">
        <f t="shared" si="15"/>
        <v>-4.7450467561413826E-6</v>
      </c>
      <c r="AF243" s="82"/>
    </row>
    <row r="244" spans="9:32" x14ac:dyDescent="0.25">
      <c r="I244" s="137"/>
      <c r="J244" s="50"/>
      <c r="K244" s="50"/>
      <c r="L244" s="70"/>
      <c r="M244" s="27"/>
      <c r="R244" s="61">
        <v>631.03392555699224</v>
      </c>
      <c r="S244" s="58">
        <v>-4.7450467561413826E-8</v>
      </c>
      <c r="U244" s="84"/>
      <c r="V244" s="159"/>
      <c r="W244" s="160"/>
      <c r="X244" s="160"/>
      <c r="Y244" s="160"/>
      <c r="Z244" s="161">
        <f t="shared" si="14"/>
        <v>50.59239255569922</v>
      </c>
      <c r="AA244" s="161">
        <f t="shared" si="15"/>
        <v>-4.7450467561413826E-6</v>
      </c>
      <c r="AF244" s="82"/>
    </row>
    <row r="245" spans="9:32" x14ac:dyDescent="0.25">
      <c r="I245" s="137"/>
      <c r="J245" s="50"/>
      <c r="K245" s="50"/>
      <c r="L245" s="70"/>
      <c r="M245" s="27"/>
      <c r="R245" s="61">
        <v>631.03392555699224</v>
      </c>
      <c r="S245" s="58">
        <v>-4.1660358834923703E-8</v>
      </c>
      <c r="U245" s="84"/>
      <c r="V245" s="159"/>
      <c r="W245" s="160"/>
      <c r="X245" s="160"/>
      <c r="Y245" s="160"/>
      <c r="Z245" s="161">
        <f t="shared" si="14"/>
        <v>50.59239255569922</v>
      </c>
      <c r="AA245" s="161">
        <f t="shared" si="15"/>
        <v>-4.1660358834923703E-6</v>
      </c>
      <c r="AF245" s="82"/>
    </row>
    <row r="246" spans="9:32" x14ac:dyDescent="0.25">
      <c r="I246" s="137"/>
      <c r="J246" s="50"/>
      <c r="K246" s="50"/>
      <c r="L246" s="70"/>
      <c r="M246" s="27"/>
      <c r="R246" s="61">
        <v>638.56210789517013</v>
      </c>
      <c r="S246" s="58">
        <v>-4.1660358834923703E-8</v>
      </c>
      <c r="U246" s="84"/>
      <c r="V246" s="159"/>
      <c r="W246" s="160"/>
      <c r="X246" s="160"/>
      <c r="Y246" s="160"/>
      <c r="Z246" s="161">
        <f t="shared" si="14"/>
        <v>51.345210789517012</v>
      </c>
      <c r="AA246" s="161">
        <f t="shared" si="15"/>
        <v>-4.1660358834923703E-6</v>
      </c>
      <c r="AF246" s="82"/>
    </row>
    <row r="247" spans="9:32" x14ac:dyDescent="0.25">
      <c r="I247" s="137"/>
      <c r="J247" s="50"/>
      <c r="K247" s="50"/>
      <c r="L247" s="70"/>
      <c r="M247" s="27"/>
      <c r="R247" s="61">
        <v>638.56210789517013</v>
      </c>
      <c r="S247" s="58">
        <v>-3.4909244835778788E-8</v>
      </c>
      <c r="U247" s="84"/>
      <c r="V247" s="159"/>
      <c r="W247" s="160"/>
      <c r="X247" s="160"/>
      <c r="Y247" s="160"/>
      <c r="Z247" s="161">
        <f t="shared" si="14"/>
        <v>51.345210789517012</v>
      </c>
      <c r="AA247" s="161">
        <f t="shared" si="15"/>
        <v>-3.4909244835778788E-6</v>
      </c>
      <c r="AF247" s="82"/>
    </row>
    <row r="248" spans="9:32" x14ac:dyDescent="0.25">
      <c r="I248" s="137"/>
      <c r="J248" s="50"/>
      <c r="K248" s="50"/>
      <c r="L248" s="70"/>
      <c r="M248" s="27"/>
      <c r="R248" s="61">
        <v>646.09029023334801</v>
      </c>
      <c r="S248" s="58">
        <v>-3.4909244835778788E-8</v>
      </c>
      <c r="U248" s="84"/>
      <c r="V248" s="159"/>
      <c r="W248" s="160"/>
      <c r="X248" s="160"/>
      <c r="Y248" s="160"/>
      <c r="Z248" s="161">
        <f t="shared" si="14"/>
        <v>52.098029023334803</v>
      </c>
      <c r="AA248" s="161">
        <f t="shared" si="15"/>
        <v>-3.4909244835778788E-6</v>
      </c>
      <c r="AF248" s="82"/>
    </row>
    <row r="249" spans="9:32" x14ac:dyDescent="0.25">
      <c r="I249" s="137"/>
      <c r="J249" s="50"/>
      <c r="K249" s="50"/>
      <c r="L249" s="70"/>
      <c r="M249" s="27"/>
      <c r="R249" s="61">
        <v>646.09029023334801</v>
      </c>
      <c r="S249" s="58">
        <v>-2.7414371325403462E-8</v>
      </c>
      <c r="U249" s="84"/>
      <c r="V249" s="159"/>
      <c r="W249" s="160"/>
      <c r="X249" s="160"/>
      <c r="Y249" s="160"/>
      <c r="Z249" s="161">
        <f t="shared" si="14"/>
        <v>52.098029023334803</v>
      </c>
      <c r="AA249" s="161">
        <f t="shared" si="15"/>
        <v>-2.7414371325403462E-6</v>
      </c>
      <c r="AF249" s="82"/>
    </row>
    <row r="250" spans="9:32" x14ac:dyDescent="0.25">
      <c r="I250" s="137"/>
      <c r="J250" s="50"/>
      <c r="K250" s="50"/>
      <c r="L250" s="70"/>
      <c r="M250" s="27"/>
      <c r="R250" s="61">
        <v>653.6184725715259</v>
      </c>
      <c r="S250" s="58">
        <v>-2.7414371325403462E-8</v>
      </c>
      <c r="U250" s="84"/>
      <c r="V250" s="159"/>
      <c r="W250" s="160"/>
      <c r="X250" s="160"/>
      <c r="Y250" s="160"/>
      <c r="Z250" s="161">
        <f t="shared" si="14"/>
        <v>52.850847257152587</v>
      </c>
      <c r="AA250" s="161">
        <f t="shared" si="15"/>
        <v>-2.7414371325403462E-6</v>
      </c>
      <c r="AF250" s="82"/>
    </row>
    <row r="251" spans="9:32" x14ac:dyDescent="0.25">
      <c r="I251" s="137"/>
      <c r="J251" s="50"/>
      <c r="K251" s="50"/>
      <c r="L251" s="70"/>
      <c r="M251" s="27"/>
      <c r="R251" s="61">
        <v>653.6184725715259</v>
      </c>
      <c r="S251" s="58">
        <v>-1.9370643233259848E-8</v>
      </c>
      <c r="U251" s="84"/>
      <c r="V251" s="159"/>
      <c r="W251" s="160"/>
      <c r="X251" s="160"/>
      <c r="Y251" s="160"/>
      <c r="Z251" s="161">
        <f t="shared" si="14"/>
        <v>52.850847257152587</v>
      </c>
      <c r="AA251" s="161">
        <f t="shared" si="15"/>
        <v>-1.9370643233259848E-6</v>
      </c>
      <c r="AF251" s="82"/>
    </row>
    <row r="252" spans="9:32" x14ac:dyDescent="0.25">
      <c r="I252" s="137"/>
      <c r="J252" s="50"/>
      <c r="K252" s="50"/>
      <c r="L252" s="70"/>
      <c r="M252" s="27"/>
      <c r="R252" s="61">
        <v>661.14665490970378</v>
      </c>
      <c r="S252" s="58">
        <v>-1.9370643233259848E-8</v>
      </c>
      <c r="U252" s="84"/>
      <c r="V252" s="159"/>
      <c r="W252" s="160"/>
      <c r="X252" s="160"/>
      <c r="Y252" s="160"/>
      <c r="Z252" s="161">
        <f t="shared" si="14"/>
        <v>53.603665490970378</v>
      </c>
      <c r="AA252" s="161">
        <f t="shared" si="15"/>
        <v>-1.9370643233259848E-6</v>
      </c>
      <c r="AF252" s="82"/>
    </row>
    <row r="253" spans="9:32" x14ac:dyDescent="0.25">
      <c r="I253" s="137"/>
      <c r="J253" s="50"/>
      <c r="K253" s="50"/>
      <c r="L253" s="70"/>
      <c r="M253" s="27"/>
      <c r="R253" s="61">
        <v>661.14665490970378</v>
      </c>
      <c r="S253" s="58">
        <v>-1.0953662140957107E-8</v>
      </c>
      <c r="U253" s="84"/>
      <c r="V253" s="159"/>
      <c r="W253" s="160"/>
      <c r="X253" s="160"/>
      <c r="Y253" s="160"/>
      <c r="Z253" s="161">
        <f t="shared" si="14"/>
        <v>53.603665490970378</v>
      </c>
      <c r="AA253" s="161">
        <f t="shared" si="15"/>
        <v>-1.0953662140957107E-6</v>
      </c>
      <c r="AF253" s="82"/>
    </row>
    <row r="254" spans="9:32" x14ac:dyDescent="0.25">
      <c r="I254" s="137"/>
      <c r="J254" s="50"/>
      <c r="K254" s="50"/>
      <c r="L254" s="70"/>
      <c r="M254" s="27"/>
      <c r="R254" s="61">
        <v>668.67483724788167</v>
      </c>
      <c r="S254" s="58">
        <v>-1.0953662140957107E-8</v>
      </c>
      <c r="U254" s="84"/>
      <c r="V254" s="159"/>
      <c r="W254" s="160"/>
      <c r="X254" s="160"/>
      <c r="Y254" s="160"/>
      <c r="Z254" s="161">
        <f t="shared" si="14"/>
        <v>54.356483724788163</v>
      </c>
      <c r="AA254" s="161">
        <f t="shared" si="15"/>
        <v>-1.0953662140957107E-6</v>
      </c>
      <c r="AF254" s="82"/>
    </row>
    <row r="255" spans="9:32" x14ac:dyDescent="0.25">
      <c r="I255" s="137"/>
      <c r="J255" s="50"/>
      <c r="K255" s="50"/>
      <c r="L255" s="70"/>
      <c r="M255" s="27"/>
      <c r="R255" s="61">
        <v>668.67483724788167</v>
      </c>
      <c r="S255" s="58">
        <v>-4.4921951060246798E-9</v>
      </c>
      <c r="U255" s="84"/>
      <c r="V255" s="159"/>
      <c r="W255" s="160"/>
      <c r="X255" s="160"/>
      <c r="Y255" s="160"/>
      <c r="Z255" s="161">
        <f t="shared" si="14"/>
        <v>54.356483724788163</v>
      </c>
      <c r="AA255" s="161">
        <f t="shared" si="15"/>
        <v>-4.4921951060246798E-7</v>
      </c>
      <c r="AF255" s="82"/>
    </row>
    <row r="256" spans="9:32" x14ac:dyDescent="0.25">
      <c r="I256" s="137"/>
      <c r="J256" s="50"/>
      <c r="K256" s="50"/>
      <c r="L256" s="70"/>
      <c r="M256" s="27"/>
      <c r="R256" s="61">
        <v>672.43892841697061</v>
      </c>
      <c r="S256" s="58">
        <v>-4.4921951060246798E-9</v>
      </c>
      <c r="U256" s="84"/>
      <c r="V256" s="159"/>
      <c r="W256" s="160"/>
      <c r="X256" s="160"/>
      <c r="Y256" s="160"/>
      <c r="Z256" s="161">
        <f t="shared" si="14"/>
        <v>54.732892841697058</v>
      </c>
      <c r="AA256" s="161">
        <f t="shared" si="15"/>
        <v>-4.4921951060246798E-7</v>
      </c>
      <c r="AF256" s="82"/>
    </row>
    <row r="257" spans="9:32" x14ac:dyDescent="0.25">
      <c r="I257" s="137"/>
      <c r="J257" s="50"/>
      <c r="K257" s="50"/>
      <c r="L257" s="70"/>
      <c r="M257" s="27"/>
      <c r="R257" s="61">
        <v>672.43892841697061</v>
      </c>
      <c r="S257" s="58">
        <v>7.4713100638008914E-9</v>
      </c>
      <c r="U257" s="84"/>
      <c r="V257" s="159"/>
      <c r="W257" s="160"/>
      <c r="X257" s="160"/>
      <c r="Y257" s="160"/>
      <c r="Z257" s="161">
        <f t="shared" si="14"/>
        <v>54.732892841697058</v>
      </c>
      <c r="AA257" s="161">
        <f t="shared" si="15"/>
        <v>7.4713100638008914E-7</v>
      </c>
      <c r="AF257" s="82"/>
    </row>
    <row r="258" spans="9:32" x14ac:dyDescent="0.25">
      <c r="I258" s="137"/>
      <c r="J258" s="50"/>
      <c r="K258" s="50"/>
      <c r="L258" s="70"/>
      <c r="M258" s="27"/>
      <c r="R258" s="61">
        <v>689.95480357156828</v>
      </c>
      <c r="S258" s="58">
        <v>7.4713100638008914E-9</v>
      </c>
      <c r="U258" s="84"/>
      <c r="V258" s="159"/>
      <c r="W258" s="160"/>
      <c r="X258" s="160"/>
      <c r="Y258" s="160"/>
      <c r="Z258" s="161">
        <f t="shared" si="14"/>
        <v>56.484480357156826</v>
      </c>
      <c r="AA258" s="161">
        <f t="shared" si="15"/>
        <v>7.4713100638008914E-7</v>
      </c>
      <c r="AF258" s="82"/>
    </row>
    <row r="259" spans="9:32" x14ac:dyDescent="0.25">
      <c r="I259" s="137"/>
      <c r="J259" s="50"/>
      <c r="K259" s="50"/>
      <c r="L259" s="70"/>
      <c r="M259" s="27"/>
      <c r="R259" s="61">
        <v>689.95480357156828</v>
      </c>
      <c r="S259" s="58">
        <v>3.6626118828282051E-8</v>
      </c>
      <c r="U259" s="84"/>
      <c r="V259" s="159"/>
      <c r="W259" s="160"/>
      <c r="X259" s="160"/>
      <c r="Y259" s="160"/>
      <c r="Z259" s="161">
        <f t="shared" si="14"/>
        <v>56.484480357156826</v>
      </c>
      <c r="AA259" s="161">
        <f t="shared" si="15"/>
        <v>3.6626118828282051E-6</v>
      </c>
      <c r="AF259" s="82"/>
    </row>
    <row r="260" spans="9:32" x14ac:dyDescent="0.25">
      <c r="I260" s="137"/>
      <c r="J260" s="50"/>
      <c r="K260" s="50"/>
      <c r="L260" s="70"/>
      <c r="M260" s="27"/>
      <c r="R260" s="61">
        <v>724.98655388076361</v>
      </c>
      <c r="S260" s="58">
        <v>3.6626118828282051E-8</v>
      </c>
      <c r="U260" s="84"/>
      <c r="V260" s="159"/>
      <c r="W260" s="160"/>
      <c r="X260" s="160"/>
      <c r="Y260" s="160"/>
      <c r="Z260" s="161">
        <f t="shared" ref="Z260:Z323" si="16">(R260-125.11)/10</f>
        <v>59.987655388076362</v>
      </c>
      <c r="AA260" s="161">
        <f t="shared" ref="AA260:AA323" si="17">S260*100</f>
        <v>3.6626118828282051E-6</v>
      </c>
      <c r="AF260" s="82"/>
    </row>
    <row r="261" spans="9:32" x14ac:dyDescent="0.25">
      <c r="I261" s="137"/>
      <c r="J261" s="50"/>
      <c r="K261" s="50"/>
      <c r="L261" s="70"/>
      <c r="M261" s="27"/>
      <c r="R261" s="61">
        <v>724.98655388076361</v>
      </c>
      <c r="S261" s="58">
        <v>6.7169084833884082E-8</v>
      </c>
      <c r="U261" s="84"/>
      <c r="V261" s="159"/>
      <c r="W261" s="160"/>
      <c r="X261" s="160"/>
      <c r="Y261" s="160"/>
      <c r="Z261" s="161">
        <f t="shared" si="16"/>
        <v>59.987655388076362</v>
      </c>
      <c r="AA261" s="161">
        <f t="shared" si="17"/>
        <v>6.7169084833884082E-6</v>
      </c>
      <c r="AF261" s="82"/>
    </row>
    <row r="262" spans="9:32" x14ac:dyDescent="0.25">
      <c r="I262" s="137"/>
      <c r="J262" s="50"/>
      <c r="K262" s="50"/>
      <c r="L262" s="70"/>
      <c r="M262" s="27"/>
      <c r="R262" s="61">
        <v>760.01830418995894</v>
      </c>
      <c r="S262" s="58">
        <v>6.7169084833884082E-8</v>
      </c>
      <c r="U262" s="84"/>
      <c r="V262" s="159"/>
      <c r="W262" s="160"/>
      <c r="X262" s="160"/>
      <c r="Y262" s="160"/>
      <c r="Z262" s="161">
        <f t="shared" si="16"/>
        <v>63.490830418995891</v>
      </c>
      <c r="AA262" s="161">
        <f t="shared" si="17"/>
        <v>6.7169084833884082E-6</v>
      </c>
      <c r="AF262" s="82"/>
    </row>
    <row r="263" spans="9:32" x14ac:dyDescent="0.25">
      <c r="I263" s="137"/>
      <c r="J263" s="50"/>
      <c r="K263" s="50"/>
      <c r="L263" s="70"/>
      <c r="M263" s="27"/>
      <c r="R263" s="61">
        <v>760.01830418995894</v>
      </c>
      <c r="S263" s="58">
        <v>8.5300001899933708E-8</v>
      </c>
      <c r="U263" s="84"/>
      <c r="V263" s="159"/>
      <c r="W263" s="160"/>
      <c r="X263" s="160"/>
      <c r="Y263" s="160"/>
      <c r="Z263" s="161">
        <f t="shared" si="16"/>
        <v>63.490830418995891</v>
      </c>
      <c r="AA263" s="161">
        <f t="shared" si="17"/>
        <v>8.5300001899933708E-6</v>
      </c>
      <c r="AF263" s="82"/>
    </row>
    <row r="264" spans="9:32" x14ac:dyDescent="0.25">
      <c r="I264" s="137"/>
      <c r="J264" s="50"/>
      <c r="K264" s="50"/>
      <c r="L264" s="70"/>
      <c r="M264" s="27"/>
      <c r="R264" s="61">
        <v>795.05005449915427</v>
      </c>
      <c r="S264" s="58">
        <v>8.5300001899933708E-8</v>
      </c>
      <c r="U264" s="84"/>
      <c r="V264" s="159"/>
      <c r="W264" s="160"/>
      <c r="X264" s="160"/>
      <c r="Y264" s="160"/>
      <c r="Z264" s="161">
        <f t="shared" si="16"/>
        <v>66.99400544991542</v>
      </c>
      <c r="AA264" s="161">
        <f t="shared" si="17"/>
        <v>8.5300001899933708E-6</v>
      </c>
      <c r="AF264" s="82"/>
    </row>
    <row r="265" spans="9:32" x14ac:dyDescent="0.25">
      <c r="I265" s="137"/>
      <c r="J265" s="50"/>
      <c r="K265" s="50"/>
      <c r="L265" s="70"/>
      <c r="M265" s="27"/>
      <c r="R265" s="61">
        <v>795.05005449915427</v>
      </c>
      <c r="S265" s="58">
        <v>9.2981985702233913E-8</v>
      </c>
      <c r="U265" s="84"/>
      <c r="V265" s="159"/>
      <c r="W265" s="160"/>
      <c r="X265" s="160"/>
      <c r="Y265" s="160"/>
      <c r="Z265" s="161">
        <f t="shared" si="16"/>
        <v>66.99400544991542</v>
      </c>
      <c r="AA265" s="161">
        <f t="shared" si="17"/>
        <v>9.2981985702233913E-6</v>
      </c>
      <c r="AF265" s="82"/>
    </row>
    <row r="266" spans="9:32" x14ac:dyDescent="0.25">
      <c r="I266" s="137"/>
      <c r="J266" s="50"/>
      <c r="K266" s="50"/>
      <c r="L266" s="70"/>
      <c r="M266" s="27"/>
      <c r="R266" s="61">
        <v>830.0818048083496</v>
      </c>
      <c r="S266" s="58">
        <v>9.2981985702233913E-8</v>
      </c>
      <c r="U266" s="84"/>
      <c r="V266" s="159"/>
      <c r="W266" s="160"/>
      <c r="X266" s="160"/>
      <c r="Y266" s="160"/>
      <c r="Z266" s="161">
        <f t="shared" si="16"/>
        <v>70.497180480834956</v>
      </c>
      <c r="AA266" s="161">
        <f t="shared" si="17"/>
        <v>9.2981985702233913E-6</v>
      </c>
      <c r="AF266" s="82"/>
    </row>
    <row r="267" spans="9:32" x14ac:dyDescent="0.25">
      <c r="I267" s="137"/>
      <c r="J267" s="50"/>
      <c r="K267" s="50"/>
      <c r="M267" s="34"/>
      <c r="R267" s="61">
        <v>830.0818048083496</v>
      </c>
      <c r="S267" s="58">
        <v>9.4260979744637784E-8</v>
      </c>
      <c r="U267" s="84"/>
      <c r="V267" s="159"/>
      <c r="W267" s="160"/>
      <c r="X267" s="160"/>
      <c r="Y267" s="160"/>
      <c r="Z267" s="161">
        <f t="shared" si="16"/>
        <v>70.497180480834956</v>
      </c>
      <c r="AA267" s="161">
        <f t="shared" si="17"/>
        <v>9.4260979744637784E-6</v>
      </c>
      <c r="AF267" s="82"/>
    </row>
    <row r="268" spans="9:32" x14ac:dyDescent="0.25">
      <c r="I268" s="137"/>
      <c r="J268" s="50"/>
      <c r="K268" s="50"/>
      <c r="M268" s="34"/>
      <c r="R268" s="61">
        <v>865.11355511754493</v>
      </c>
      <c r="S268" s="58">
        <v>9.4260979744637784E-8</v>
      </c>
      <c r="U268" s="84"/>
      <c r="V268" s="159"/>
      <c r="W268" s="160"/>
      <c r="X268" s="160"/>
      <c r="Y268" s="160"/>
      <c r="Z268" s="161">
        <f t="shared" si="16"/>
        <v>74.000355511754492</v>
      </c>
      <c r="AA268" s="161">
        <f t="shared" si="17"/>
        <v>9.4260979744637784E-6</v>
      </c>
      <c r="AF268" s="82"/>
    </row>
    <row r="269" spans="9:32" x14ac:dyDescent="0.25">
      <c r="I269" s="137"/>
      <c r="J269" s="50"/>
      <c r="K269" s="50"/>
      <c r="M269" s="33"/>
      <c r="R269" s="61">
        <v>865.11355511754493</v>
      </c>
      <c r="S269" s="58">
        <v>9.2261535109524606E-8</v>
      </c>
      <c r="U269" s="84"/>
      <c r="V269" s="159"/>
      <c r="W269" s="160"/>
      <c r="X269" s="160"/>
      <c r="Y269" s="160"/>
      <c r="Z269" s="161">
        <f t="shared" si="16"/>
        <v>74.000355511754492</v>
      </c>
      <c r="AA269" s="161">
        <f t="shared" si="17"/>
        <v>9.2261535109524606E-6</v>
      </c>
      <c r="AF269" s="82"/>
    </row>
    <row r="270" spans="9:32" x14ac:dyDescent="0.25">
      <c r="I270" s="137"/>
      <c r="J270" s="50"/>
      <c r="K270" s="50"/>
      <c r="M270" s="34"/>
      <c r="R270" s="61">
        <v>900.14530542674026</v>
      </c>
      <c r="S270" s="58">
        <v>9.2261535109524606E-8</v>
      </c>
      <c r="U270" s="84"/>
      <c r="V270" s="159"/>
      <c r="W270" s="160"/>
      <c r="X270" s="160"/>
      <c r="Y270" s="160"/>
      <c r="Z270" s="161">
        <f t="shared" si="16"/>
        <v>77.503530542674028</v>
      </c>
      <c r="AA270" s="161">
        <f t="shared" si="17"/>
        <v>9.2261535109524606E-6</v>
      </c>
      <c r="AF270" s="82"/>
    </row>
    <row r="271" spans="9:32" x14ac:dyDescent="0.25">
      <c r="I271" s="137"/>
      <c r="J271" s="50"/>
      <c r="K271" s="50"/>
      <c r="M271" s="35"/>
      <c r="R271" s="61">
        <v>900.14530542674026</v>
      </c>
      <c r="S271" s="58">
        <v>8.8442338857872349E-8</v>
      </c>
      <c r="U271" s="84"/>
      <c r="V271" s="159"/>
      <c r="W271" s="160"/>
      <c r="X271" s="160"/>
      <c r="Y271" s="160"/>
      <c r="Z271" s="161">
        <f t="shared" si="16"/>
        <v>77.503530542674028</v>
      </c>
      <c r="AA271" s="161">
        <f t="shared" si="17"/>
        <v>8.8442338857872349E-6</v>
      </c>
      <c r="AF271" s="82"/>
    </row>
    <row r="272" spans="9:32" x14ac:dyDescent="0.25">
      <c r="I272" s="137"/>
      <c r="J272" s="50"/>
      <c r="K272" s="50"/>
      <c r="M272" s="34"/>
      <c r="R272" s="61">
        <v>935.1770557359356</v>
      </c>
      <c r="S272" s="58">
        <v>8.8442338857872349E-8</v>
      </c>
      <c r="U272" s="84"/>
      <c r="V272" s="159"/>
      <c r="W272" s="160"/>
      <c r="X272" s="160"/>
      <c r="Y272" s="160"/>
      <c r="Z272" s="161">
        <f t="shared" si="16"/>
        <v>81.006705573593564</v>
      </c>
      <c r="AA272" s="161">
        <f t="shared" si="17"/>
        <v>8.8442338857872349E-6</v>
      </c>
      <c r="AF272" s="82"/>
    </row>
    <row r="273" spans="9:32" x14ac:dyDescent="0.25">
      <c r="I273" s="137"/>
      <c r="J273" s="50"/>
      <c r="K273" s="50"/>
      <c r="M273" s="33"/>
      <c r="R273" s="61">
        <v>935.1770557359356</v>
      </c>
      <c r="S273" s="58">
        <v>8.3161289140809462E-8</v>
      </c>
      <c r="U273" s="84"/>
      <c r="V273" s="159"/>
      <c r="W273" s="160"/>
      <c r="X273" s="160"/>
      <c r="Y273" s="160"/>
      <c r="Z273" s="161">
        <f t="shared" si="16"/>
        <v>81.006705573593564</v>
      </c>
      <c r="AA273" s="161">
        <f t="shared" si="17"/>
        <v>8.3161289140809462E-6</v>
      </c>
      <c r="AF273" s="82"/>
    </row>
    <row r="274" spans="9:32" x14ac:dyDescent="0.25">
      <c r="I274" s="137"/>
      <c r="J274" s="50"/>
      <c r="K274" s="50"/>
      <c r="M274" s="34"/>
      <c r="R274" s="61">
        <v>970.20880604513093</v>
      </c>
      <c r="S274" s="58">
        <v>8.3161289140809462E-8</v>
      </c>
      <c r="U274" s="84"/>
      <c r="V274" s="159"/>
      <c r="W274" s="160"/>
      <c r="X274" s="160"/>
      <c r="Y274" s="160"/>
      <c r="Z274" s="161">
        <f t="shared" si="16"/>
        <v>84.509880604513086</v>
      </c>
      <c r="AA274" s="161">
        <f t="shared" si="17"/>
        <v>8.3161289140809462E-6</v>
      </c>
      <c r="AF274" s="82"/>
    </row>
    <row r="275" spans="9:32" x14ac:dyDescent="0.25">
      <c r="I275" s="137"/>
      <c r="J275" s="50"/>
      <c r="K275" s="50"/>
      <c r="M275" s="34"/>
      <c r="R275" s="61">
        <v>970.20880604513093</v>
      </c>
      <c r="S275" s="58">
        <v>7.6310696555185055E-8</v>
      </c>
      <c r="U275" s="84"/>
      <c r="V275" s="159"/>
      <c r="W275" s="160"/>
      <c r="X275" s="160"/>
      <c r="Y275" s="160"/>
      <c r="Z275" s="161">
        <f t="shared" si="16"/>
        <v>84.509880604513086</v>
      </c>
      <c r="AA275" s="161">
        <f t="shared" si="17"/>
        <v>7.6310696555185055E-6</v>
      </c>
    </row>
    <row r="276" spans="9:32" x14ac:dyDescent="0.25">
      <c r="I276" s="137"/>
      <c r="J276" s="50"/>
      <c r="K276" s="50"/>
      <c r="M276" s="33"/>
      <c r="R276" s="61">
        <v>1005.2405563543263</v>
      </c>
      <c r="S276" s="58">
        <v>7.6310696555185055E-8</v>
      </c>
      <c r="U276" s="84"/>
      <c r="V276" s="159"/>
      <c r="W276" s="160"/>
      <c r="X276" s="160"/>
      <c r="Y276" s="160"/>
      <c r="Z276" s="161">
        <f t="shared" si="16"/>
        <v>88.013055635432622</v>
      </c>
      <c r="AA276" s="161">
        <f t="shared" si="17"/>
        <v>7.6310696555185055E-6</v>
      </c>
    </row>
    <row r="277" spans="9:32" x14ac:dyDescent="0.25">
      <c r="I277" s="137"/>
      <c r="J277" s="50"/>
      <c r="K277" s="50"/>
      <c r="M277" s="34"/>
      <c r="R277" s="61">
        <v>1005.2405563543263</v>
      </c>
      <c r="S277" s="58">
        <v>6.7640306234118517E-8</v>
      </c>
      <c r="U277" s="84"/>
      <c r="V277" s="159"/>
      <c r="W277" s="160"/>
      <c r="X277" s="160"/>
      <c r="Y277" s="160"/>
      <c r="Z277" s="161">
        <f t="shared" si="16"/>
        <v>88.013055635432622</v>
      </c>
      <c r="AA277" s="161">
        <f t="shared" si="17"/>
        <v>6.7640306234118517E-6</v>
      </c>
    </row>
    <row r="278" spans="9:32" x14ac:dyDescent="0.25">
      <c r="I278" s="137"/>
      <c r="J278" s="50"/>
      <c r="K278" s="50"/>
      <c r="M278" s="34"/>
      <c r="R278" s="61">
        <v>1040.2723066635217</v>
      </c>
      <c r="S278" s="58">
        <v>6.7640306234118517E-8</v>
      </c>
      <c r="U278" s="84"/>
      <c r="V278" s="159"/>
      <c r="W278" s="160"/>
      <c r="X278" s="160"/>
      <c r="Y278" s="160"/>
      <c r="Z278" s="161">
        <f t="shared" si="16"/>
        <v>91.516230666352172</v>
      </c>
      <c r="AA278" s="161">
        <f t="shared" si="17"/>
        <v>6.7640306234118517E-6</v>
      </c>
    </row>
    <row r="279" spans="9:32" x14ac:dyDescent="0.25">
      <c r="I279" s="137"/>
      <c r="J279" s="50"/>
      <c r="K279" s="50"/>
      <c r="M279" s="35"/>
      <c r="R279" s="61">
        <v>1040.2723066635217</v>
      </c>
      <c r="S279" s="58">
        <v>5.6871316369828523E-8</v>
      </c>
      <c r="U279" s="84"/>
      <c r="V279" s="159"/>
      <c r="W279" s="160"/>
      <c r="X279" s="160"/>
      <c r="Y279" s="160"/>
      <c r="Z279" s="161">
        <f t="shared" si="16"/>
        <v>91.516230666352172</v>
      </c>
      <c r="AA279" s="161">
        <f t="shared" si="17"/>
        <v>5.6871316369828523E-6</v>
      </c>
    </row>
    <row r="280" spans="9:32" x14ac:dyDescent="0.25">
      <c r="I280" s="137"/>
      <c r="J280" s="50"/>
      <c r="K280" s="50"/>
      <c r="M280" s="33"/>
      <c r="R280" s="61">
        <v>1075.304056972717</v>
      </c>
      <c r="S280" s="58">
        <v>5.6871316369828523E-8</v>
      </c>
      <c r="U280" s="84"/>
      <c r="V280" s="159"/>
      <c r="W280" s="160"/>
      <c r="X280" s="160"/>
      <c r="Y280" s="160"/>
      <c r="Z280" s="161">
        <f t="shared" si="16"/>
        <v>95.019405697271708</v>
      </c>
      <c r="AA280" s="161">
        <f t="shared" si="17"/>
        <v>5.6871316369828523E-6</v>
      </c>
    </row>
    <row r="281" spans="9:32" x14ac:dyDescent="0.25">
      <c r="I281" s="137"/>
      <c r="J281" s="50"/>
      <c r="K281" s="50"/>
      <c r="M281" s="34"/>
      <c r="R281" s="61">
        <v>1075.304056972717</v>
      </c>
      <c r="S281" s="58">
        <v>4.3736062781913744E-8</v>
      </c>
      <c r="U281" s="84"/>
      <c r="V281" s="159"/>
      <c r="W281" s="160"/>
      <c r="X281" s="160"/>
      <c r="Y281" s="160"/>
      <c r="Z281" s="161">
        <f t="shared" si="16"/>
        <v>95.019405697271708</v>
      </c>
      <c r="AA281" s="161">
        <f t="shared" si="17"/>
        <v>4.3736062781913744E-6</v>
      </c>
    </row>
    <row r="282" spans="9:32" x14ac:dyDescent="0.25">
      <c r="I282" s="137"/>
      <c r="J282" s="50"/>
      <c r="K282" s="50"/>
      <c r="M282" s="34"/>
      <c r="R282" s="61">
        <v>1110.3358072819124</v>
      </c>
      <c r="S282" s="58">
        <v>4.3736062781913744E-8</v>
      </c>
      <c r="U282" s="84"/>
      <c r="V282" s="159"/>
      <c r="W282" s="160"/>
      <c r="X282" s="160"/>
      <c r="Y282" s="160"/>
      <c r="Z282" s="161">
        <f t="shared" si="16"/>
        <v>98.52258072819123</v>
      </c>
      <c r="AA282" s="161">
        <f t="shared" si="17"/>
        <v>4.3736062781913744E-6</v>
      </c>
    </row>
    <row r="283" spans="9:32" x14ac:dyDescent="0.25">
      <c r="I283" s="137"/>
      <c r="J283" s="50"/>
      <c r="K283" s="50"/>
      <c r="M283" s="33"/>
      <c r="R283" s="61">
        <v>1110.3358072819124</v>
      </c>
      <c r="S283" s="58">
        <v>2.8001393030087308E-8</v>
      </c>
      <c r="U283" s="84"/>
      <c r="V283" s="159"/>
      <c r="W283" s="160"/>
      <c r="X283" s="160"/>
      <c r="Y283" s="160"/>
      <c r="Z283" s="161">
        <f t="shared" si="16"/>
        <v>98.52258072819123</v>
      </c>
      <c r="AA283" s="161">
        <f t="shared" si="17"/>
        <v>2.8001393030087308E-6</v>
      </c>
    </row>
    <row r="284" spans="9:32" x14ac:dyDescent="0.25">
      <c r="I284" s="137"/>
      <c r="J284" s="50"/>
      <c r="K284" s="50"/>
      <c r="M284" s="34"/>
      <c r="R284" s="61">
        <v>1145.3675575911077</v>
      </c>
      <c r="S284" s="58">
        <v>2.8001393030087308E-8</v>
      </c>
      <c r="U284" s="84"/>
      <c r="V284" s="159"/>
      <c r="W284" s="160"/>
      <c r="X284" s="160"/>
      <c r="Y284" s="160"/>
      <c r="Z284" s="161">
        <f t="shared" si="16"/>
        <v>102.02575575911077</v>
      </c>
      <c r="AA284" s="161">
        <f t="shared" si="17"/>
        <v>2.8001393030087308E-6</v>
      </c>
    </row>
    <row r="285" spans="9:32" x14ac:dyDescent="0.25">
      <c r="I285" s="137"/>
      <c r="J285" s="50"/>
      <c r="K285" s="50"/>
      <c r="M285" s="34"/>
      <c r="R285" s="61">
        <v>1145.3675575911077</v>
      </c>
      <c r="S285" s="58">
        <v>9.4901839567471559E-9</v>
      </c>
      <c r="U285" s="84"/>
      <c r="V285" s="159"/>
      <c r="W285" s="160"/>
      <c r="X285" s="160"/>
      <c r="Y285" s="160"/>
      <c r="Z285" s="161">
        <f t="shared" si="16"/>
        <v>102.02575575911077</v>
      </c>
      <c r="AA285" s="161">
        <f t="shared" si="17"/>
        <v>9.4901839567471559E-7</v>
      </c>
    </row>
    <row r="286" spans="9:32" x14ac:dyDescent="0.25">
      <c r="I286" s="137"/>
      <c r="J286" s="50"/>
      <c r="K286" s="50"/>
      <c r="M286" s="34"/>
      <c r="R286" s="61">
        <v>1180.399307900303</v>
      </c>
      <c r="S286" s="58">
        <v>9.4901839567471559E-9</v>
      </c>
      <c r="U286" s="84"/>
      <c r="V286" s="159"/>
      <c r="W286" s="160"/>
      <c r="X286" s="160"/>
      <c r="Y286" s="160"/>
      <c r="Z286" s="161">
        <f t="shared" si="16"/>
        <v>105.52893079003032</v>
      </c>
      <c r="AA286" s="161">
        <f t="shared" si="17"/>
        <v>9.4901839567471559E-7</v>
      </c>
    </row>
    <row r="287" spans="9:32" x14ac:dyDescent="0.25">
      <c r="I287" s="137"/>
      <c r="J287" s="50"/>
      <c r="K287" s="50"/>
      <c r="M287" s="33"/>
      <c r="R287" s="61">
        <v>1180.399307900303</v>
      </c>
      <c r="S287" s="58">
        <v>-1.1897818834569036E-8</v>
      </c>
      <c r="U287" s="84"/>
      <c r="V287" s="159"/>
      <c r="W287" s="160"/>
      <c r="X287" s="160"/>
      <c r="Y287" s="160"/>
      <c r="Z287" s="161">
        <f t="shared" si="16"/>
        <v>105.52893079003032</v>
      </c>
      <c r="AA287" s="161">
        <f t="shared" si="17"/>
        <v>-1.1897818834569036E-6</v>
      </c>
    </row>
    <row r="288" spans="9:32" x14ac:dyDescent="0.25">
      <c r="I288" s="137"/>
      <c r="J288" s="50"/>
      <c r="K288" s="50"/>
      <c r="M288" s="35"/>
      <c r="R288" s="61">
        <v>1215.4310582094984</v>
      </c>
      <c r="S288" s="58">
        <v>-1.1897818834569036E-8</v>
      </c>
      <c r="U288" s="84"/>
      <c r="V288" s="159"/>
      <c r="W288" s="160"/>
      <c r="X288" s="160"/>
      <c r="Y288" s="160"/>
      <c r="Z288" s="161">
        <f t="shared" si="16"/>
        <v>109.03210582094985</v>
      </c>
      <c r="AA288" s="161">
        <f t="shared" si="17"/>
        <v>-1.1897818834569036E-6</v>
      </c>
    </row>
    <row r="289" spans="9:27" x14ac:dyDescent="0.25">
      <c r="I289" s="137"/>
      <c r="J289" s="50"/>
      <c r="K289" s="50"/>
      <c r="M289" s="34"/>
      <c r="R289" s="61">
        <v>1215.4310582094984</v>
      </c>
      <c r="S289" s="58">
        <v>-3.6167500362088396E-8</v>
      </c>
      <c r="U289" s="84"/>
      <c r="V289" s="159"/>
      <c r="W289" s="160"/>
      <c r="X289" s="160"/>
      <c r="Y289" s="160"/>
      <c r="Z289" s="161">
        <f t="shared" si="16"/>
        <v>109.03210582094985</v>
      </c>
      <c r="AA289" s="161">
        <f t="shared" si="17"/>
        <v>-3.6167500362088396E-6</v>
      </c>
    </row>
    <row r="290" spans="9:27" x14ac:dyDescent="0.25">
      <c r="I290" s="137"/>
      <c r="J290" s="50"/>
      <c r="K290" s="50"/>
      <c r="M290" s="34"/>
      <c r="R290" s="61">
        <v>1250.4628085186937</v>
      </c>
      <c r="S290" s="58">
        <v>-3.6167500362088396E-8</v>
      </c>
      <c r="U290" s="84"/>
      <c r="V290" s="159"/>
      <c r="W290" s="160"/>
      <c r="X290" s="160"/>
      <c r="Y290" s="160"/>
      <c r="Z290" s="161">
        <f t="shared" si="16"/>
        <v>112.53528085186937</v>
      </c>
      <c r="AA290" s="161">
        <f t="shared" si="17"/>
        <v>-3.6167500362088396E-6</v>
      </c>
    </row>
    <row r="291" spans="9:27" x14ac:dyDescent="0.25">
      <c r="I291" s="137"/>
      <c r="J291" s="50"/>
      <c r="K291" s="50"/>
      <c r="M291" s="33"/>
      <c r="R291" s="61">
        <v>1250.4628085186937</v>
      </c>
      <c r="S291" s="58">
        <v>-6.3214324243931046E-8</v>
      </c>
      <c r="U291" s="84"/>
      <c r="V291" s="159"/>
      <c r="W291" s="160"/>
      <c r="X291" s="160"/>
      <c r="Y291" s="160"/>
      <c r="Z291" s="161">
        <f t="shared" si="16"/>
        <v>112.53528085186937</v>
      </c>
      <c r="AA291" s="161">
        <f t="shared" si="17"/>
        <v>-6.3214324243931046E-6</v>
      </c>
    </row>
    <row r="292" spans="9:27" x14ac:dyDescent="0.25">
      <c r="I292" s="137"/>
      <c r="J292" s="50"/>
      <c r="K292" s="50"/>
      <c r="M292" s="34"/>
      <c r="R292" s="61">
        <v>1285.494558827889</v>
      </c>
      <c r="S292" s="58">
        <v>-6.3214324243931046E-8</v>
      </c>
      <c r="U292" s="84"/>
      <c r="V292" s="159"/>
      <c r="W292" s="160"/>
      <c r="X292" s="160"/>
      <c r="Y292" s="160"/>
      <c r="Z292" s="161">
        <f t="shared" si="16"/>
        <v>116.03845588278891</v>
      </c>
      <c r="AA292" s="161">
        <f t="shared" si="17"/>
        <v>-6.3214324243931046E-6</v>
      </c>
    </row>
    <row r="293" spans="9:27" x14ac:dyDescent="0.25">
      <c r="I293" s="137"/>
      <c r="J293" s="50"/>
      <c r="K293" s="50"/>
      <c r="M293" s="34"/>
      <c r="R293" s="61">
        <v>1285.494558827889</v>
      </c>
      <c r="S293" s="58">
        <v>-9.2816700656750596E-8</v>
      </c>
      <c r="U293" s="84"/>
      <c r="V293" s="159"/>
      <c r="W293" s="160"/>
      <c r="X293" s="160"/>
      <c r="Y293" s="160"/>
      <c r="Z293" s="161">
        <f t="shared" si="16"/>
        <v>116.03845588278891</v>
      </c>
      <c r="AA293" s="161">
        <f t="shared" si="17"/>
        <v>-9.2816700656750596E-6</v>
      </c>
    </row>
    <row r="294" spans="9:27" x14ac:dyDescent="0.25">
      <c r="I294" s="137"/>
      <c r="J294" s="50"/>
      <c r="K294" s="50"/>
      <c r="M294" s="33"/>
      <c r="R294" s="61">
        <v>1320.5263091370844</v>
      </c>
      <c r="S294" s="58">
        <v>-9.2816700656750596E-8</v>
      </c>
      <c r="U294" s="84"/>
      <c r="V294" s="159"/>
      <c r="W294" s="160"/>
      <c r="X294" s="160"/>
      <c r="Y294" s="160"/>
      <c r="Z294" s="161">
        <f t="shared" si="16"/>
        <v>119.54163091370845</v>
      </c>
      <c r="AA294" s="161">
        <f t="shared" si="17"/>
        <v>-9.2816700656750596E-6</v>
      </c>
    </row>
    <row r="295" spans="9:27" x14ac:dyDescent="0.25">
      <c r="I295" s="137"/>
      <c r="J295" s="50"/>
      <c r="K295" s="50"/>
      <c r="M295" s="34"/>
      <c r="R295" s="61">
        <v>1320.5263091370844</v>
      </c>
      <c r="S295" s="58">
        <v>-1.2463629108631613E-7</v>
      </c>
      <c r="U295" s="84"/>
      <c r="V295" s="159"/>
      <c r="W295" s="160"/>
      <c r="X295" s="160"/>
      <c r="Y295" s="160"/>
      <c r="Z295" s="161">
        <f t="shared" si="16"/>
        <v>119.54163091370845</v>
      </c>
      <c r="AA295" s="161">
        <f t="shared" si="17"/>
        <v>-1.2463629108631613E-5</v>
      </c>
    </row>
    <row r="296" spans="9:27" x14ac:dyDescent="0.25">
      <c r="I296" s="138"/>
      <c r="J296" s="139"/>
      <c r="K296" s="139"/>
      <c r="M296" s="35"/>
      <c r="R296" s="61">
        <v>1355.5580594462797</v>
      </c>
      <c r="S296" s="58">
        <v>-1.2463629108631613E-7</v>
      </c>
      <c r="U296" s="84"/>
      <c r="V296" s="159"/>
      <c r="W296" s="160"/>
      <c r="X296" s="160"/>
      <c r="Y296" s="160"/>
      <c r="Z296" s="161">
        <f t="shared" si="16"/>
        <v>123.04480594462798</v>
      </c>
      <c r="AA296" s="161">
        <f t="shared" si="17"/>
        <v>-1.2463629108631613E-5</v>
      </c>
    </row>
    <row r="297" spans="9:27" x14ac:dyDescent="0.25">
      <c r="I297" s="138"/>
      <c r="J297" s="139"/>
      <c r="K297" s="139"/>
      <c r="M297" s="34"/>
      <c r="R297" s="61">
        <v>1355.5580594462797</v>
      </c>
      <c r="S297" s="58">
        <v>-1.582270603326501E-7</v>
      </c>
      <c r="U297" s="84"/>
      <c r="V297" s="159"/>
      <c r="W297" s="160"/>
      <c r="X297" s="160"/>
      <c r="Y297" s="160"/>
      <c r="Z297" s="161">
        <f t="shared" si="16"/>
        <v>123.04480594462798</v>
      </c>
      <c r="AA297" s="161">
        <f t="shared" si="17"/>
        <v>-1.582270603326501E-5</v>
      </c>
    </row>
    <row r="298" spans="9:27" x14ac:dyDescent="0.25">
      <c r="I298" s="138"/>
      <c r="J298" s="139"/>
      <c r="K298" s="139"/>
      <c r="M298" s="33"/>
      <c r="R298" s="61">
        <v>1390.589809755475</v>
      </c>
      <c r="S298" s="58">
        <v>-1.582270603326501E-7</v>
      </c>
      <c r="U298" s="82"/>
      <c r="V298" s="159"/>
      <c r="W298" s="160"/>
      <c r="X298" s="160"/>
      <c r="Y298" s="160"/>
      <c r="Z298" s="161">
        <f t="shared" si="16"/>
        <v>126.54798097554752</v>
      </c>
      <c r="AA298" s="161">
        <f t="shared" si="17"/>
        <v>-1.582270603326501E-5</v>
      </c>
    </row>
    <row r="299" spans="9:27" x14ac:dyDescent="0.25">
      <c r="I299" s="138"/>
      <c r="J299" s="139"/>
      <c r="K299" s="139"/>
      <c r="M299" s="34"/>
      <c r="R299" s="61">
        <v>1390.589809755475</v>
      </c>
      <c r="S299" s="58">
        <v>-1.9305301009247049E-7</v>
      </c>
      <c r="U299" s="82"/>
      <c r="V299" s="159"/>
      <c r="W299" s="160"/>
      <c r="X299" s="160"/>
      <c r="Y299" s="160"/>
      <c r="Z299" s="161">
        <f t="shared" si="16"/>
        <v>126.54798097554752</v>
      </c>
      <c r="AA299" s="161">
        <f t="shared" si="17"/>
        <v>-1.9305301009247048E-5</v>
      </c>
    </row>
    <row r="300" spans="9:27" x14ac:dyDescent="0.25">
      <c r="I300" s="138"/>
      <c r="J300" s="139"/>
      <c r="K300" s="139"/>
      <c r="M300" s="34"/>
      <c r="R300" s="61">
        <v>1425.6215600646703</v>
      </c>
      <c r="S300" s="58">
        <v>-1.9305301009247049E-7</v>
      </c>
      <c r="U300" s="82"/>
      <c r="V300" s="159"/>
      <c r="W300" s="160"/>
      <c r="X300" s="160"/>
      <c r="Y300" s="160"/>
      <c r="Z300" s="161">
        <f t="shared" si="16"/>
        <v>130.05115600646704</v>
      </c>
      <c r="AA300" s="161">
        <f t="shared" si="17"/>
        <v>-1.9305301009247048E-5</v>
      </c>
    </row>
    <row r="301" spans="9:27" x14ac:dyDescent="0.25">
      <c r="I301" s="138"/>
      <c r="J301" s="139"/>
      <c r="K301" s="139"/>
      <c r="M301" s="33"/>
      <c r="R301" s="61">
        <v>1425.6215600646703</v>
      </c>
      <c r="S301" s="58">
        <v>-2.1962336630489992E-7</v>
      </c>
      <c r="U301" s="82"/>
      <c r="V301" s="159"/>
      <c r="W301" s="160"/>
      <c r="X301" s="160"/>
      <c r="Y301" s="160"/>
      <c r="Z301" s="161">
        <f t="shared" si="16"/>
        <v>130.05115600646704</v>
      </c>
      <c r="AA301" s="161">
        <f t="shared" si="17"/>
        <v>-2.1962336630489994E-5</v>
      </c>
    </row>
    <row r="302" spans="9:27" x14ac:dyDescent="0.25">
      <c r="I302" s="138"/>
      <c r="J302" s="139"/>
      <c r="K302" s="139"/>
      <c r="M302" s="34"/>
      <c r="R302" s="61">
        <v>1443.1374352192681</v>
      </c>
      <c r="S302" s="58">
        <v>-2.1962336630489992E-7</v>
      </c>
      <c r="U302" s="82"/>
      <c r="V302" s="159"/>
      <c r="W302" s="160"/>
      <c r="X302" s="160"/>
      <c r="Y302" s="160"/>
      <c r="Z302" s="161">
        <f t="shared" si="16"/>
        <v>131.80274352192683</v>
      </c>
      <c r="AA302" s="161">
        <f t="shared" si="17"/>
        <v>-2.1962336630489994E-5</v>
      </c>
    </row>
    <row r="303" spans="9:27" x14ac:dyDescent="0.25">
      <c r="I303" s="138"/>
      <c r="J303" s="139"/>
      <c r="K303" s="139"/>
      <c r="M303" s="34"/>
      <c r="R303" s="61">
        <v>1443.1374352192681</v>
      </c>
      <c r="S303" s="58">
        <v>-2.4551556763031348E-7</v>
      </c>
      <c r="U303" s="82"/>
      <c r="V303" s="159"/>
      <c r="W303" s="160"/>
      <c r="X303" s="160"/>
      <c r="Y303" s="160"/>
      <c r="Z303" s="161">
        <f t="shared" si="16"/>
        <v>131.80274352192683</v>
      </c>
      <c r="AA303" s="161">
        <f t="shared" si="17"/>
        <v>-2.4551556763031348E-5</v>
      </c>
    </row>
    <row r="304" spans="9:27" x14ac:dyDescent="0.25">
      <c r="I304" s="138"/>
      <c r="J304" s="139"/>
      <c r="K304" s="139"/>
      <c r="M304" s="35"/>
      <c r="R304" s="61">
        <v>1476.7923376073841</v>
      </c>
      <c r="S304" s="58">
        <v>-2.4551556763031348E-7</v>
      </c>
      <c r="U304" s="82"/>
      <c r="V304" s="159"/>
      <c r="W304" s="160"/>
      <c r="X304" s="160"/>
      <c r="Y304" s="160"/>
      <c r="Z304" s="161">
        <f t="shared" si="16"/>
        <v>135.16823376073842</v>
      </c>
      <c r="AA304" s="161">
        <f t="shared" si="17"/>
        <v>-2.4551556763031348E-5</v>
      </c>
    </row>
    <row r="305" spans="9:27" x14ac:dyDescent="0.25">
      <c r="I305" s="138"/>
      <c r="J305" s="139"/>
      <c r="K305" s="139"/>
      <c r="M305" s="33"/>
      <c r="R305" s="61">
        <v>1476.7923376073841</v>
      </c>
      <c r="S305" s="58">
        <v>-2.7951876402743489E-7</v>
      </c>
      <c r="U305" s="82"/>
      <c r="V305" s="159"/>
      <c r="W305" s="160"/>
      <c r="X305" s="160"/>
      <c r="Y305" s="160"/>
      <c r="Z305" s="161">
        <f t="shared" si="16"/>
        <v>135.16823376073842</v>
      </c>
      <c r="AA305" s="161">
        <f t="shared" si="17"/>
        <v>-2.7951876402743489E-5</v>
      </c>
    </row>
    <row r="306" spans="9:27" x14ac:dyDescent="0.25">
      <c r="I306" s="138"/>
      <c r="J306" s="139"/>
      <c r="K306" s="139"/>
      <c r="M306" s="34"/>
      <c r="R306" s="61">
        <v>1511.0222444559697</v>
      </c>
      <c r="S306" s="58">
        <v>-2.7951876402743489E-7</v>
      </c>
      <c r="U306" s="82"/>
      <c r="V306" s="159"/>
      <c r="W306" s="160"/>
      <c r="X306" s="160"/>
      <c r="Y306" s="160"/>
      <c r="Z306" s="161">
        <f t="shared" si="16"/>
        <v>138.59122444559699</v>
      </c>
      <c r="AA306" s="161">
        <f t="shared" si="17"/>
        <v>-2.7951876402743489E-5</v>
      </c>
    </row>
    <row r="307" spans="9:27" x14ac:dyDescent="0.25">
      <c r="I307" s="138"/>
      <c r="J307" s="139"/>
      <c r="K307" s="139"/>
      <c r="M307" s="34"/>
      <c r="R307" s="61">
        <v>1511.0222444559697</v>
      </c>
      <c r="S307" s="58">
        <v>-3.1351530974323625E-7</v>
      </c>
      <c r="U307" s="82"/>
      <c r="V307" s="159"/>
      <c r="W307" s="160"/>
      <c r="X307" s="160"/>
      <c r="Y307" s="160"/>
      <c r="Z307" s="161">
        <f t="shared" si="16"/>
        <v>138.59122444559699</v>
      </c>
      <c r="AA307" s="161">
        <f t="shared" si="17"/>
        <v>-3.1351530974323624E-5</v>
      </c>
    </row>
    <row r="308" spans="9:27" x14ac:dyDescent="0.25">
      <c r="I308" s="138"/>
      <c r="J308" s="139"/>
      <c r="K308" s="139"/>
      <c r="M308" s="33"/>
      <c r="R308" s="61">
        <v>1546.4639422944304</v>
      </c>
      <c r="S308" s="58">
        <v>-3.1351530974323625E-7</v>
      </c>
      <c r="U308" s="82"/>
      <c r="V308" s="159"/>
      <c r="W308" s="160"/>
      <c r="X308" s="160"/>
      <c r="Y308" s="160"/>
      <c r="Z308" s="161">
        <f t="shared" si="16"/>
        <v>142.13539422944305</v>
      </c>
      <c r="AA308" s="161">
        <f t="shared" si="17"/>
        <v>-3.1351530974323624E-5</v>
      </c>
    </row>
    <row r="309" spans="9:27" x14ac:dyDescent="0.25">
      <c r="I309" s="138"/>
      <c r="J309" s="139"/>
      <c r="K309" s="139"/>
      <c r="M309" s="34"/>
      <c r="R309" s="61">
        <v>1546.4639422944304</v>
      </c>
      <c r="S309" s="58">
        <v>-3.4748303391682108E-7</v>
      </c>
      <c r="U309" s="82"/>
      <c r="V309" s="159"/>
      <c r="W309" s="160"/>
      <c r="X309" s="160"/>
      <c r="Y309" s="160"/>
      <c r="Z309" s="161">
        <f t="shared" si="16"/>
        <v>142.13539422944305</v>
      </c>
      <c r="AA309" s="161">
        <f t="shared" si="17"/>
        <v>-3.4748303391682111E-5</v>
      </c>
    </row>
    <row r="310" spans="9:27" x14ac:dyDescent="0.25">
      <c r="I310" s="138"/>
      <c r="J310" s="139"/>
      <c r="K310" s="139"/>
      <c r="M310" s="34"/>
      <c r="R310" s="61">
        <v>1583.8955559582905</v>
      </c>
      <c r="S310" s="58">
        <v>-3.4748303391682108E-7</v>
      </c>
      <c r="U310" s="82"/>
      <c r="V310" s="159"/>
      <c r="W310" s="160"/>
      <c r="X310" s="160"/>
      <c r="Y310" s="160"/>
      <c r="Z310" s="161">
        <f t="shared" si="16"/>
        <v>145.87855559582906</v>
      </c>
      <c r="AA310" s="161">
        <f t="shared" si="17"/>
        <v>-3.4748303391682111E-5</v>
      </c>
    </row>
    <row r="311" spans="9:27" x14ac:dyDescent="0.25">
      <c r="I311" s="138"/>
      <c r="J311" s="139"/>
      <c r="K311" s="139"/>
      <c r="M311" s="34"/>
      <c r="R311" s="61">
        <v>1583.8955559582905</v>
      </c>
      <c r="S311" s="58">
        <v>-3.8136755417726759E-7</v>
      </c>
      <c r="U311" s="82"/>
      <c r="V311" s="159"/>
      <c r="W311" s="160"/>
      <c r="X311" s="160"/>
      <c r="Y311" s="160"/>
      <c r="Z311" s="161">
        <f t="shared" si="16"/>
        <v>145.87855559582906</v>
      </c>
      <c r="AA311" s="161">
        <f t="shared" si="17"/>
        <v>-3.813675541772676E-5</v>
      </c>
    </row>
    <row r="312" spans="9:27" x14ac:dyDescent="0.25">
      <c r="I312" s="138"/>
      <c r="J312" s="139"/>
      <c r="K312" s="139"/>
      <c r="M312" s="33"/>
      <c r="R312" s="61">
        <v>1624.3621489179618</v>
      </c>
      <c r="S312" s="58">
        <v>-3.8136755417726759E-7</v>
      </c>
      <c r="U312" s="82"/>
      <c r="V312" s="159"/>
      <c r="W312" s="160"/>
      <c r="X312" s="160"/>
      <c r="Y312" s="160"/>
      <c r="Z312" s="161">
        <f t="shared" si="16"/>
        <v>149.9252148917962</v>
      </c>
      <c r="AA312" s="161">
        <f t="shared" si="17"/>
        <v>-3.813675541772676E-5</v>
      </c>
    </row>
    <row r="313" spans="9:27" x14ac:dyDescent="0.25">
      <c r="I313" s="138"/>
      <c r="J313" s="139"/>
      <c r="K313" s="139"/>
      <c r="M313" s="34"/>
      <c r="R313" s="61">
        <v>1624.3621489179618</v>
      </c>
      <c r="S313" s="58">
        <v>-4.1505581827015193E-7</v>
      </c>
      <c r="U313" s="82"/>
      <c r="V313" s="159"/>
      <c r="W313" s="160"/>
      <c r="X313" s="160"/>
      <c r="Y313" s="160"/>
      <c r="Z313" s="161">
        <f t="shared" si="16"/>
        <v>149.9252148917962</v>
      </c>
      <c r="AA313" s="161">
        <f t="shared" si="17"/>
        <v>-4.1505581827015193E-5</v>
      </c>
    </row>
    <row r="314" spans="9:27" x14ac:dyDescent="0.25">
      <c r="I314" s="138"/>
      <c r="J314" s="139"/>
      <c r="K314" s="139"/>
      <c r="M314" s="34"/>
      <c r="R314" s="61">
        <v>1669.4079642055426</v>
      </c>
      <c r="S314" s="58">
        <v>-4.1505581827015193E-7</v>
      </c>
      <c r="U314" s="82"/>
      <c r="V314" s="159"/>
      <c r="W314" s="160"/>
      <c r="X314" s="160"/>
      <c r="Y314" s="160"/>
      <c r="Z314" s="161">
        <f t="shared" si="16"/>
        <v>154.42979642055428</v>
      </c>
      <c r="AA314" s="161">
        <f t="shared" si="17"/>
        <v>-4.1505581827015193E-5</v>
      </c>
    </row>
    <row r="315" spans="9:27" x14ac:dyDescent="0.25">
      <c r="I315" s="138"/>
      <c r="J315" s="139"/>
      <c r="K315" s="139"/>
      <c r="M315" s="33"/>
      <c r="R315" s="61">
        <v>1669.4079642055426</v>
      </c>
      <c r="S315" s="58">
        <v>-4.4832721839746879E-7</v>
      </c>
      <c r="U315" s="82"/>
      <c r="V315" s="159"/>
      <c r="W315" s="160"/>
      <c r="X315" s="160"/>
      <c r="Y315" s="160"/>
      <c r="Z315" s="161">
        <f t="shared" si="16"/>
        <v>154.42979642055428</v>
      </c>
      <c r="AA315" s="161">
        <f t="shared" si="17"/>
        <v>-4.4832721839746878E-5</v>
      </c>
    </row>
    <row r="316" spans="9:27" x14ac:dyDescent="0.25">
      <c r="I316" s="138"/>
      <c r="J316" s="139"/>
      <c r="K316" s="139"/>
      <c r="M316" s="34"/>
      <c r="R316" s="61">
        <v>1721.5741780668668</v>
      </c>
      <c r="S316" s="58">
        <v>-4.4832721839746879E-7</v>
      </c>
      <c r="U316" s="82"/>
      <c r="V316" s="159"/>
      <c r="W316" s="160"/>
      <c r="X316" s="160"/>
      <c r="Y316" s="160"/>
      <c r="Z316" s="161">
        <f t="shared" si="16"/>
        <v>159.64641780668669</v>
      </c>
      <c r="AA316" s="161">
        <f t="shared" si="17"/>
        <v>-4.4832721839746878E-5</v>
      </c>
    </row>
    <row r="317" spans="9:27" x14ac:dyDescent="0.25">
      <c r="I317" s="138"/>
      <c r="J317" s="139"/>
      <c r="K317" s="139"/>
      <c r="M317" s="34"/>
      <c r="R317" s="61">
        <v>1721.5741780668668</v>
      </c>
      <c r="S317" s="58">
        <v>-4.8075464981832683E-7</v>
      </c>
      <c r="U317" s="82"/>
      <c r="V317" s="159"/>
      <c r="W317" s="160"/>
      <c r="X317" s="160"/>
      <c r="Y317" s="160"/>
      <c r="Z317" s="161">
        <f t="shared" si="16"/>
        <v>159.64641780668669</v>
      </c>
      <c r="AA317" s="161">
        <f t="shared" si="17"/>
        <v>-4.8075464981832683E-5</v>
      </c>
    </row>
    <row r="318" spans="9:27" x14ac:dyDescent="0.25">
      <c r="I318" s="138"/>
      <c r="J318" s="139"/>
      <c r="K318" s="139"/>
      <c r="M318" s="33"/>
      <c r="R318" s="61">
        <v>1785.677264113305</v>
      </c>
      <c r="S318" s="58">
        <v>-4.8075464981832683E-7</v>
      </c>
      <c r="U318" s="82"/>
      <c r="V318" s="159"/>
      <c r="W318" s="160"/>
      <c r="X318" s="160"/>
      <c r="Y318" s="160"/>
      <c r="Z318" s="161">
        <f t="shared" si="16"/>
        <v>166.05672641133052</v>
      </c>
      <c r="AA318" s="161">
        <f t="shared" si="17"/>
        <v>-4.8075464981832683E-5</v>
      </c>
    </row>
    <row r="319" spans="9:27" x14ac:dyDescent="0.25">
      <c r="I319" s="138"/>
      <c r="J319" s="139"/>
      <c r="K319" s="139"/>
      <c r="M319" s="34"/>
      <c r="R319" s="61">
        <v>1785.677264113305</v>
      </c>
      <c r="S319" s="58">
        <v>-5.1148135255396569E-7</v>
      </c>
      <c r="U319" s="82"/>
      <c r="V319" s="159"/>
      <c r="W319" s="160"/>
      <c r="X319" s="160"/>
      <c r="Y319" s="160"/>
      <c r="Z319" s="161">
        <f t="shared" si="16"/>
        <v>166.05672641133052</v>
      </c>
      <c r="AA319" s="161">
        <f t="shared" si="17"/>
        <v>-5.1148135255396569E-5</v>
      </c>
    </row>
    <row r="320" spans="9:27" x14ac:dyDescent="0.25">
      <c r="I320" s="138"/>
      <c r="J320" s="139"/>
      <c r="K320" s="139"/>
      <c r="M320" s="34"/>
      <c r="R320" s="61">
        <v>1873.1698415400267</v>
      </c>
      <c r="S320" s="58">
        <v>-5.1148135255396569E-7</v>
      </c>
      <c r="U320" s="82"/>
      <c r="V320" s="159"/>
      <c r="W320" s="160"/>
      <c r="X320" s="160"/>
      <c r="Y320" s="160"/>
      <c r="Z320" s="161">
        <f t="shared" si="16"/>
        <v>174.80598415400269</v>
      </c>
      <c r="AA320" s="161">
        <f t="shared" si="17"/>
        <v>-5.1148135255396569E-5</v>
      </c>
    </row>
    <row r="321" spans="9:27" x14ac:dyDescent="0.25">
      <c r="I321" s="138"/>
      <c r="J321" s="139"/>
      <c r="K321" s="139"/>
      <c r="M321" s="33"/>
      <c r="R321" s="61">
        <v>1873.1698415400267</v>
      </c>
      <c r="S321" s="58">
        <v>-5.3863582194226491E-7</v>
      </c>
      <c r="U321" s="82"/>
      <c r="V321" s="159"/>
      <c r="W321" s="160"/>
      <c r="X321" s="160"/>
      <c r="Y321" s="160"/>
      <c r="Z321" s="161">
        <f t="shared" si="16"/>
        <v>174.80598415400269</v>
      </c>
      <c r="AA321" s="161">
        <f t="shared" si="17"/>
        <v>-5.3863582194226492E-5</v>
      </c>
    </row>
    <row r="322" spans="9:27" x14ac:dyDescent="0.25">
      <c r="I322" s="138"/>
      <c r="J322" s="139"/>
      <c r="K322" s="139"/>
      <c r="M322" s="34"/>
      <c r="R322" s="61">
        <v>2030.3951647708952</v>
      </c>
      <c r="S322" s="58">
        <v>-5.3863582194226491E-7</v>
      </c>
      <c r="U322" s="82"/>
      <c r="V322" s="159"/>
      <c r="W322" s="160"/>
      <c r="X322" s="160"/>
      <c r="Y322" s="160"/>
      <c r="Z322" s="161">
        <f t="shared" si="16"/>
        <v>190.52851647708954</v>
      </c>
      <c r="AA322" s="161">
        <f t="shared" si="17"/>
        <v>-5.3863582194226492E-5</v>
      </c>
    </row>
    <row r="323" spans="9:27" x14ac:dyDescent="0.25">
      <c r="I323" s="138"/>
      <c r="J323" s="139"/>
      <c r="K323" s="139"/>
      <c r="M323" s="34"/>
      <c r="R323" s="61">
        <v>2030.3951647708952</v>
      </c>
      <c r="S323" s="58">
        <v>-5.5740640670791933E-7</v>
      </c>
      <c r="U323" s="82"/>
      <c r="V323" s="159"/>
      <c r="W323" s="160"/>
      <c r="X323" s="160"/>
      <c r="Y323" s="160"/>
      <c r="Z323" s="161">
        <f t="shared" si="16"/>
        <v>190.52851647708954</v>
      </c>
      <c r="AA323" s="161">
        <f t="shared" si="17"/>
        <v>-5.5740640670791936E-5</v>
      </c>
    </row>
    <row r="324" spans="9:27" x14ac:dyDescent="0.25">
      <c r="I324" s="138"/>
      <c r="J324" s="139"/>
      <c r="K324" s="139"/>
      <c r="M324" s="33"/>
      <c r="R324" s="61">
        <v>2241.5374539958289</v>
      </c>
      <c r="S324" s="58">
        <v>-5.5740640670791933E-7</v>
      </c>
      <c r="U324" s="82"/>
      <c r="V324" s="159"/>
      <c r="W324" s="160"/>
      <c r="X324" s="160"/>
      <c r="Y324" s="160"/>
      <c r="Z324" s="161">
        <f t="shared" ref="Z324:Z326" si="18">(R324-125.11)/10</f>
        <v>211.64274539958288</v>
      </c>
      <c r="AA324" s="161">
        <f t="shared" ref="AA324:AA326" si="19">S324*100</f>
        <v>-5.5740640670791936E-5</v>
      </c>
    </row>
    <row r="325" spans="9:27" x14ac:dyDescent="0.25">
      <c r="I325" s="138"/>
      <c r="J325" s="139"/>
      <c r="K325" s="139"/>
      <c r="M325" s="34"/>
      <c r="R325" s="61">
        <v>2241.5374539958289</v>
      </c>
      <c r="S325" s="58">
        <v>-5.6000000000000014E-7</v>
      </c>
      <c r="U325" s="82"/>
      <c r="V325" s="159"/>
      <c r="W325" s="160"/>
      <c r="X325" s="160"/>
      <c r="Y325" s="160"/>
      <c r="Z325" s="161">
        <f t="shared" si="18"/>
        <v>211.64274539958288</v>
      </c>
      <c r="AA325" s="161">
        <f t="shared" si="19"/>
        <v>-5.6000000000000013E-5</v>
      </c>
    </row>
    <row r="326" spans="9:27" x14ac:dyDescent="0.25">
      <c r="I326" s="138"/>
      <c r="J326" s="139"/>
      <c r="K326" s="139"/>
      <c r="M326" s="34"/>
      <c r="R326" s="61">
        <v>2991.5374539958289</v>
      </c>
      <c r="S326" s="58">
        <v>-5.6000000000000014E-7</v>
      </c>
      <c r="U326" s="82"/>
      <c r="V326" s="159"/>
      <c r="W326" s="160"/>
      <c r="X326" s="160"/>
      <c r="Y326" s="160"/>
      <c r="Z326" s="161">
        <f t="shared" si="18"/>
        <v>286.64274539958285</v>
      </c>
      <c r="AA326" s="161">
        <f t="shared" si="19"/>
        <v>-5.6000000000000013E-5</v>
      </c>
    </row>
    <row r="327" spans="9:27" x14ac:dyDescent="0.25">
      <c r="I327" s="138"/>
      <c r="J327" s="139"/>
      <c r="K327" s="139"/>
      <c r="M327" s="33"/>
      <c r="U327" s="82"/>
      <c r="V327" s="159"/>
      <c r="W327" s="160"/>
      <c r="X327" s="160"/>
      <c r="Y327" s="160"/>
      <c r="Z327" s="161"/>
      <c r="AA327" s="161"/>
    </row>
    <row r="328" spans="9:27" x14ac:dyDescent="0.25">
      <c r="I328" s="138"/>
      <c r="J328" s="139"/>
      <c r="K328" s="139"/>
      <c r="M328" s="34"/>
      <c r="U328" s="82"/>
      <c r="V328" s="159"/>
      <c r="W328" s="160"/>
      <c r="X328" s="160"/>
      <c r="Y328" s="160"/>
      <c r="Z328" s="161"/>
      <c r="AA328" s="161"/>
    </row>
    <row r="329" spans="9:27" x14ac:dyDescent="0.25">
      <c r="I329" s="138"/>
      <c r="J329" s="139"/>
      <c r="K329" s="139"/>
      <c r="M329" s="34"/>
      <c r="U329" s="82"/>
      <c r="V329" s="159"/>
      <c r="W329" s="160"/>
      <c r="X329" s="160"/>
      <c r="Y329" s="160"/>
      <c r="Z329" s="161"/>
      <c r="AA329" s="161"/>
    </row>
    <row r="330" spans="9:27" x14ac:dyDescent="0.25">
      <c r="I330" s="49"/>
      <c r="J330" s="49"/>
      <c r="K330" s="49"/>
      <c r="M330" s="36"/>
      <c r="U330" s="82"/>
      <c r="V330" s="159"/>
      <c r="W330" s="160"/>
      <c r="X330" s="160"/>
      <c r="Y330" s="160"/>
      <c r="Z330" s="161"/>
      <c r="AA330" s="161"/>
    </row>
    <row r="331" spans="9:27" x14ac:dyDescent="0.25">
      <c r="I331" s="49"/>
      <c r="J331" s="49"/>
      <c r="K331" s="49"/>
      <c r="M331" s="34"/>
      <c r="U331" s="82"/>
      <c r="V331" s="159"/>
      <c r="W331" s="160"/>
      <c r="X331" s="160"/>
      <c r="Y331" s="160"/>
      <c r="Z331" s="161"/>
      <c r="AA331" s="161"/>
    </row>
    <row r="332" spans="9:27" x14ac:dyDescent="0.25">
      <c r="I332" s="49"/>
      <c r="J332" s="49"/>
      <c r="K332" s="49"/>
      <c r="M332" s="34"/>
      <c r="U332" s="82"/>
      <c r="V332" s="159"/>
      <c r="W332" s="160"/>
      <c r="X332" s="160"/>
      <c r="Y332" s="160"/>
      <c r="Z332" s="161"/>
      <c r="AA332" s="161"/>
    </row>
    <row r="333" spans="9:27" x14ac:dyDescent="0.25">
      <c r="I333" s="49"/>
      <c r="J333" s="49"/>
      <c r="K333" s="49"/>
      <c r="M333" s="33"/>
      <c r="U333" s="82"/>
      <c r="V333" s="159"/>
      <c r="W333" s="160"/>
      <c r="X333" s="160"/>
      <c r="Y333" s="160"/>
      <c r="Z333" s="161"/>
      <c r="AA333" s="161"/>
    </row>
    <row r="334" spans="9:27" x14ac:dyDescent="0.25">
      <c r="I334" s="49"/>
      <c r="J334" s="49"/>
      <c r="K334" s="49"/>
      <c r="M334" s="34"/>
      <c r="U334" s="82"/>
      <c r="V334" s="159"/>
      <c r="W334" s="160"/>
      <c r="X334" s="160"/>
      <c r="Y334" s="160"/>
      <c r="Z334" s="161"/>
      <c r="AA334" s="161"/>
    </row>
    <row r="335" spans="9:27" x14ac:dyDescent="0.25">
      <c r="I335" s="49"/>
      <c r="J335" s="49"/>
      <c r="K335" s="49"/>
      <c r="M335" s="34"/>
      <c r="U335" s="82"/>
      <c r="V335" s="82"/>
      <c r="X335" s="88"/>
      <c r="Z335" s="161"/>
      <c r="AA335" s="161"/>
    </row>
    <row r="336" spans="9:27" x14ac:dyDescent="0.25">
      <c r="I336" s="49"/>
      <c r="J336" s="49"/>
      <c r="K336" s="49"/>
      <c r="M336" s="33"/>
      <c r="U336" s="82"/>
      <c r="V336" s="82"/>
      <c r="X336" s="83"/>
      <c r="Z336" s="161"/>
      <c r="AA336" s="161"/>
    </row>
    <row r="337" spans="9:27" x14ac:dyDescent="0.25">
      <c r="I337" s="49"/>
      <c r="J337" s="49"/>
      <c r="K337" s="49"/>
      <c r="M337" s="34"/>
      <c r="U337" s="82"/>
      <c r="V337" s="82"/>
      <c r="X337" s="88"/>
      <c r="Z337" s="161"/>
      <c r="AA337" s="161"/>
    </row>
    <row r="338" spans="9:27" x14ac:dyDescent="0.25">
      <c r="I338" s="49"/>
      <c r="J338" s="49"/>
      <c r="K338" s="49"/>
      <c r="M338" s="34"/>
      <c r="U338" s="82"/>
      <c r="V338" s="82"/>
      <c r="X338" s="88"/>
      <c r="Z338" s="161"/>
      <c r="AA338" s="161"/>
    </row>
    <row r="339" spans="9:27" x14ac:dyDescent="0.25">
      <c r="I339" s="49"/>
      <c r="J339" s="49"/>
      <c r="K339" s="49"/>
      <c r="M339" s="33"/>
      <c r="U339" s="82"/>
      <c r="V339" s="82"/>
      <c r="X339" s="83"/>
      <c r="Z339" s="161"/>
      <c r="AA339" s="161"/>
    </row>
    <row r="340" spans="9:27" x14ac:dyDescent="0.25">
      <c r="I340" s="49"/>
      <c r="J340" s="49"/>
      <c r="K340" s="49"/>
      <c r="M340" s="34"/>
      <c r="U340" s="82"/>
      <c r="V340" s="82"/>
      <c r="X340" s="88"/>
      <c r="Z340" s="161"/>
      <c r="AA340" s="161"/>
    </row>
    <row r="341" spans="9:27" x14ac:dyDescent="0.25">
      <c r="I341" s="49"/>
      <c r="J341" s="49"/>
      <c r="K341" s="49"/>
      <c r="M341" s="34"/>
      <c r="U341" s="82"/>
      <c r="V341" s="82"/>
      <c r="X341" s="88"/>
      <c r="Z341" s="161"/>
      <c r="AA341" s="161"/>
    </row>
    <row r="342" spans="9:27" x14ac:dyDescent="0.25">
      <c r="I342" s="49"/>
      <c r="J342" s="49"/>
      <c r="K342" s="49"/>
      <c r="M342" s="33"/>
      <c r="U342" s="82"/>
      <c r="V342" s="82"/>
      <c r="X342" s="83"/>
      <c r="Z342" s="161"/>
      <c r="AA342" s="161"/>
    </row>
    <row r="343" spans="9:27" x14ac:dyDescent="0.25">
      <c r="I343" s="49"/>
      <c r="J343" s="49"/>
      <c r="K343" s="49"/>
      <c r="M343" s="34"/>
      <c r="U343" s="82"/>
      <c r="V343" s="82"/>
      <c r="X343" s="88"/>
      <c r="Z343" s="161"/>
      <c r="AA343" s="161"/>
    </row>
    <row r="344" spans="9:27" x14ac:dyDescent="0.25">
      <c r="I344" s="49"/>
      <c r="J344" s="49"/>
      <c r="K344" s="49"/>
      <c r="M344" s="34"/>
      <c r="U344" s="82"/>
      <c r="V344" s="82"/>
      <c r="X344" s="88"/>
      <c r="Z344" s="161"/>
      <c r="AA344" s="161"/>
    </row>
    <row r="345" spans="9:27" x14ac:dyDescent="0.25">
      <c r="I345" s="49"/>
      <c r="J345" s="49"/>
      <c r="K345" s="49"/>
      <c r="M345" s="33"/>
      <c r="U345" s="82"/>
      <c r="V345" s="82"/>
      <c r="X345" s="83"/>
      <c r="Z345" s="161"/>
      <c r="AA345" s="161"/>
    </row>
    <row r="346" spans="9:27" x14ac:dyDescent="0.25">
      <c r="I346" s="49"/>
      <c r="J346" s="49"/>
      <c r="K346" s="49"/>
      <c r="M346" s="34"/>
      <c r="U346" s="82"/>
      <c r="V346" s="82"/>
      <c r="X346" s="88"/>
      <c r="Z346" s="161"/>
      <c r="AA346" s="161"/>
    </row>
    <row r="347" spans="9:27" x14ac:dyDescent="0.25">
      <c r="I347" s="49"/>
      <c r="J347" s="49"/>
      <c r="K347" s="49"/>
      <c r="M347" s="34"/>
      <c r="U347" s="82"/>
      <c r="V347" s="82"/>
      <c r="X347" s="88"/>
      <c r="Z347" s="161"/>
      <c r="AA347" s="161"/>
    </row>
    <row r="348" spans="9:27" x14ac:dyDescent="0.25">
      <c r="I348" s="49"/>
      <c r="J348" s="49"/>
      <c r="K348" s="49"/>
      <c r="M348" s="33"/>
      <c r="U348" s="82"/>
      <c r="V348" s="82"/>
      <c r="X348" s="83"/>
      <c r="Z348" s="161"/>
      <c r="AA348" s="161"/>
    </row>
    <row r="349" spans="9:27" x14ac:dyDescent="0.25">
      <c r="I349" s="49"/>
      <c r="J349" s="49"/>
      <c r="K349" s="49"/>
      <c r="M349" s="34"/>
      <c r="U349" s="82"/>
      <c r="V349" s="82"/>
      <c r="X349" s="88"/>
      <c r="Z349" s="161"/>
      <c r="AA349" s="161"/>
    </row>
    <row r="350" spans="9:27" x14ac:dyDescent="0.25">
      <c r="I350" s="49"/>
      <c r="J350" s="49"/>
      <c r="K350" s="49"/>
      <c r="M350" s="34"/>
      <c r="U350" s="82"/>
      <c r="V350" s="82"/>
      <c r="X350" s="88"/>
      <c r="Z350" s="161"/>
      <c r="AA350" s="161"/>
    </row>
    <row r="351" spans="9:27" x14ac:dyDescent="0.25">
      <c r="I351" s="49"/>
      <c r="J351" s="49"/>
      <c r="K351" s="49"/>
      <c r="M351" s="33"/>
      <c r="U351" s="82"/>
      <c r="V351" s="82"/>
      <c r="X351" s="83"/>
      <c r="Z351" s="161"/>
      <c r="AA351" s="161"/>
    </row>
    <row r="352" spans="9:27" x14ac:dyDescent="0.25">
      <c r="I352" s="49"/>
      <c r="J352" s="49"/>
      <c r="K352" s="49"/>
      <c r="M352" s="34"/>
      <c r="U352" s="82"/>
      <c r="V352" s="82"/>
      <c r="X352" s="88"/>
      <c r="Z352" s="161"/>
      <c r="AA352" s="161"/>
    </row>
    <row r="353" spans="9:27" x14ac:dyDescent="0.25">
      <c r="I353" s="49"/>
      <c r="J353" s="49"/>
      <c r="K353" s="49"/>
      <c r="M353" s="34"/>
      <c r="U353" s="82"/>
      <c r="V353" s="82"/>
      <c r="X353" s="88"/>
      <c r="Z353" s="161"/>
      <c r="AA353" s="161"/>
    </row>
    <row r="354" spans="9:27" x14ac:dyDescent="0.25">
      <c r="I354" s="49"/>
      <c r="J354" s="49"/>
      <c r="K354" s="49"/>
      <c r="M354" s="34"/>
      <c r="U354" s="82"/>
      <c r="V354" s="82"/>
      <c r="X354" s="88"/>
      <c r="Z354" s="161"/>
      <c r="AA354" s="161"/>
    </row>
    <row r="355" spans="9:27" x14ac:dyDescent="0.25">
      <c r="I355" s="49"/>
      <c r="J355" s="49"/>
      <c r="K355" s="49"/>
      <c r="M355" s="33"/>
      <c r="U355" s="82"/>
      <c r="V355" s="82"/>
      <c r="X355" s="83"/>
      <c r="Z355" s="161"/>
      <c r="AA355" s="161"/>
    </row>
    <row r="356" spans="9:27" x14ac:dyDescent="0.25">
      <c r="I356" s="49"/>
      <c r="J356" s="49"/>
      <c r="K356" s="49"/>
      <c r="M356" s="34"/>
      <c r="U356" s="82"/>
      <c r="V356" s="82"/>
      <c r="X356" s="88"/>
      <c r="Z356" s="161"/>
      <c r="AA356" s="161"/>
    </row>
    <row r="357" spans="9:27" x14ac:dyDescent="0.25">
      <c r="I357" s="49"/>
      <c r="J357" s="49"/>
      <c r="K357" s="49"/>
      <c r="M357" s="34"/>
      <c r="U357" s="82"/>
      <c r="V357" s="82"/>
      <c r="X357" s="88"/>
      <c r="Z357" s="161"/>
      <c r="AA357" s="161"/>
    </row>
    <row r="358" spans="9:27" x14ac:dyDescent="0.25">
      <c r="I358" s="49"/>
      <c r="J358" s="49"/>
      <c r="K358" s="49"/>
      <c r="M358" s="33"/>
      <c r="U358" s="82"/>
      <c r="V358" s="82"/>
      <c r="X358" s="83"/>
      <c r="Z358" s="161"/>
      <c r="AA358" s="161"/>
    </row>
    <row r="359" spans="9:27" x14ac:dyDescent="0.25">
      <c r="I359" s="49"/>
      <c r="J359" s="49"/>
      <c r="K359" s="49"/>
      <c r="M359" s="37"/>
      <c r="U359" s="82"/>
      <c r="V359" s="82"/>
      <c r="X359" s="90"/>
      <c r="Z359" s="161"/>
      <c r="AA359" s="161"/>
    </row>
    <row r="360" spans="9:27" x14ac:dyDescent="0.25">
      <c r="I360" s="49"/>
      <c r="J360" s="49"/>
      <c r="K360" s="49"/>
      <c r="M360" s="34"/>
      <c r="U360" s="82"/>
      <c r="V360" s="82"/>
      <c r="X360" s="88"/>
      <c r="Z360" s="161"/>
      <c r="AA360" s="161"/>
    </row>
    <row r="361" spans="9:27" x14ac:dyDescent="0.25">
      <c r="I361" s="49"/>
      <c r="J361" s="49"/>
      <c r="K361" s="49"/>
      <c r="M361" s="37"/>
      <c r="U361" s="82"/>
      <c r="V361" s="82"/>
      <c r="X361" s="90"/>
      <c r="Z361" s="161"/>
      <c r="AA361" s="161"/>
    </row>
    <row r="362" spans="9:27" x14ac:dyDescent="0.25">
      <c r="I362" s="49"/>
      <c r="J362" s="49"/>
      <c r="K362" s="49"/>
      <c r="M362" s="34"/>
      <c r="U362" s="82"/>
      <c r="V362" s="82"/>
      <c r="X362" s="88"/>
      <c r="Z362" s="161"/>
      <c r="AA362" s="161"/>
    </row>
    <row r="363" spans="9:27" x14ac:dyDescent="0.25">
      <c r="I363" s="49"/>
      <c r="J363" s="49"/>
      <c r="K363" s="49"/>
      <c r="M363" s="37"/>
      <c r="U363" s="82"/>
      <c r="V363" s="82"/>
      <c r="X363" s="90"/>
      <c r="Z363" s="161"/>
      <c r="AA363" s="161"/>
    </row>
    <row r="364" spans="9:27" x14ac:dyDescent="0.25">
      <c r="I364" s="49"/>
      <c r="J364" s="49"/>
      <c r="K364" s="49"/>
      <c r="M364" s="33"/>
      <c r="U364" s="82"/>
      <c r="V364" s="82"/>
      <c r="X364" s="83"/>
      <c r="Z364" s="161"/>
      <c r="AA364" s="161"/>
    </row>
    <row r="365" spans="9:27" x14ac:dyDescent="0.25">
      <c r="I365" s="49"/>
      <c r="J365" s="49"/>
      <c r="K365" s="49"/>
      <c r="M365" s="37"/>
      <c r="U365" s="82"/>
      <c r="V365" s="82"/>
      <c r="X365" s="90"/>
      <c r="Z365" s="161"/>
      <c r="AA365" s="161"/>
    </row>
    <row r="366" spans="9:27" x14ac:dyDescent="0.25">
      <c r="I366" s="49"/>
      <c r="J366" s="49"/>
      <c r="K366" s="49"/>
      <c r="M366" s="34"/>
      <c r="U366" s="82"/>
      <c r="V366" s="82"/>
      <c r="X366" s="88"/>
      <c r="Z366" s="161"/>
      <c r="AA366" s="161"/>
    </row>
    <row r="367" spans="9:27" x14ac:dyDescent="0.25">
      <c r="I367" s="49"/>
      <c r="J367" s="49"/>
      <c r="K367" s="49"/>
      <c r="M367" s="34"/>
      <c r="U367" s="82"/>
      <c r="V367" s="82"/>
      <c r="X367" s="88"/>
      <c r="Z367" s="161"/>
      <c r="AA367" s="161"/>
    </row>
    <row r="368" spans="9:27" x14ac:dyDescent="0.25">
      <c r="I368" s="49"/>
      <c r="J368" s="49"/>
      <c r="K368" s="49"/>
      <c r="M368" s="37"/>
      <c r="U368" s="82"/>
      <c r="V368" s="82"/>
      <c r="X368" s="90"/>
      <c r="Z368" s="161"/>
      <c r="AA368" s="161"/>
    </row>
    <row r="369" spans="9:27" x14ac:dyDescent="0.25">
      <c r="I369" s="49"/>
      <c r="J369" s="49"/>
      <c r="K369" s="49"/>
      <c r="M369" s="33"/>
      <c r="U369" s="82"/>
      <c r="V369" s="82"/>
      <c r="X369" s="83"/>
      <c r="Z369" s="161"/>
      <c r="AA369" s="161"/>
    </row>
    <row r="370" spans="9:27" x14ac:dyDescent="0.25">
      <c r="I370" s="49"/>
      <c r="J370" s="49"/>
      <c r="K370" s="49"/>
      <c r="M370" s="37"/>
      <c r="U370" s="82"/>
      <c r="V370" s="82"/>
      <c r="X370" s="90"/>
      <c r="Z370" s="161"/>
      <c r="AA370" s="161"/>
    </row>
    <row r="371" spans="9:27" x14ac:dyDescent="0.25">
      <c r="I371" s="49"/>
      <c r="J371" s="49"/>
      <c r="K371" s="49"/>
      <c r="M371" s="34"/>
      <c r="U371" s="82"/>
      <c r="V371" s="82"/>
      <c r="X371" s="88"/>
      <c r="Z371" s="161"/>
      <c r="AA371" s="161"/>
    </row>
    <row r="372" spans="9:27" x14ac:dyDescent="0.25">
      <c r="I372" s="49"/>
      <c r="J372" s="49"/>
      <c r="K372" s="49"/>
      <c r="M372" s="37"/>
      <c r="U372" s="82"/>
      <c r="V372" s="82"/>
      <c r="X372" s="90"/>
      <c r="Z372" s="161"/>
      <c r="AA372" s="161"/>
    </row>
    <row r="373" spans="9:27" x14ac:dyDescent="0.25">
      <c r="I373" s="49"/>
      <c r="J373" s="49"/>
      <c r="K373" s="49"/>
      <c r="M373" s="37"/>
      <c r="U373" s="82"/>
      <c r="V373" s="82"/>
      <c r="X373" s="90"/>
      <c r="Z373" s="161"/>
      <c r="AA373" s="161"/>
    </row>
    <row r="374" spans="9:27" x14ac:dyDescent="0.25">
      <c r="I374" s="49"/>
      <c r="J374" s="49"/>
      <c r="K374" s="49"/>
      <c r="M374" s="34"/>
      <c r="U374" s="82"/>
      <c r="V374" s="82"/>
      <c r="X374" s="88"/>
      <c r="Z374" s="161"/>
      <c r="AA374" s="161"/>
    </row>
    <row r="375" spans="9:27" x14ac:dyDescent="0.25">
      <c r="I375" s="49"/>
      <c r="J375" s="49"/>
      <c r="K375" s="49"/>
      <c r="M375" s="37"/>
      <c r="U375" s="82"/>
      <c r="V375" s="82"/>
      <c r="X375" s="90"/>
      <c r="Z375" s="161"/>
      <c r="AA375" s="161"/>
    </row>
    <row r="376" spans="9:27" x14ac:dyDescent="0.25">
      <c r="I376" s="49"/>
      <c r="J376" s="49"/>
      <c r="K376" s="49"/>
      <c r="M376" s="33"/>
      <c r="U376" s="82"/>
      <c r="V376" s="82"/>
      <c r="X376" s="83"/>
      <c r="Z376" s="161"/>
      <c r="AA376" s="161"/>
    </row>
    <row r="377" spans="9:27" x14ac:dyDescent="0.25">
      <c r="I377" s="49"/>
      <c r="J377" s="49"/>
      <c r="K377" s="49"/>
      <c r="M377" s="37"/>
      <c r="U377" s="82"/>
      <c r="V377" s="82"/>
      <c r="X377" s="90"/>
      <c r="Z377" s="161"/>
      <c r="AA377" s="161"/>
    </row>
    <row r="378" spans="9:27" x14ac:dyDescent="0.25">
      <c r="I378" s="49"/>
      <c r="J378" s="49"/>
      <c r="K378" s="49"/>
      <c r="M378" s="34"/>
      <c r="U378" s="82"/>
      <c r="V378" s="82"/>
      <c r="X378" s="88"/>
      <c r="Z378" s="161"/>
      <c r="AA378" s="161"/>
    </row>
    <row r="379" spans="9:27" x14ac:dyDescent="0.25">
      <c r="I379" s="49"/>
      <c r="J379" s="49"/>
      <c r="K379" s="49"/>
      <c r="M379" s="34"/>
      <c r="U379" s="82"/>
      <c r="V379" s="82"/>
      <c r="X379" s="88"/>
      <c r="Z379" s="161"/>
      <c r="AA379" s="161"/>
    </row>
    <row r="380" spans="9:27" x14ac:dyDescent="0.25">
      <c r="I380" s="49"/>
      <c r="J380" s="49"/>
      <c r="K380" s="49"/>
      <c r="M380" s="37"/>
      <c r="U380" s="82"/>
      <c r="V380" s="82"/>
      <c r="X380" s="90"/>
      <c r="Z380" s="161"/>
      <c r="AA380" s="161"/>
    </row>
    <row r="381" spans="9:27" x14ac:dyDescent="0.25">
      <c r="I381" s="49"/>
      <c r="J381" s="49"/>
      <c r="K381" s="49"/>
      <c r="M381" s="33"/>
      <c r="U381" s="82"/>
      <c r="V381" s="82"/>
      <c r="X381" s="83"/>
      <c r="Z381" s="161"/>
      <c r="AA381" s="161"/>
    </row>
    <row r="382" spans="9:27" x14ac:dyDescent="0.25">
      <c r="I382" s="49"/>
      <c r="J382" s="49"/>
      <c r="K382" s="49"/>
      <c r="M382" s="34"/>
      <c r="U382" s="82"/>
      <c r="V382" s="82"/>
      <c r="X382" s="88"/>
      <c r="Z382" s="161"/>
      <c r="AA382" s="161"/>
    </row>
    <row r="383" spans="9:27" x14ac:dyDescent="0.25">
      <c r="I383" s="49"/>
      <c r="J383" s="49"/>
      <c r="K383" s="49"/>
      <c r="M383" s="37"/>
      <c r="U383" s="82"/>
      <c r="V383" s="82"/>
      <c r="X383" s="90"/>
      <c r="Z383" s="161"/>
      <c r="AA383" s="161"/>
    </row>
    <row r="384" spans="9:27" x14ac:dyDescent="0.25">
      <c r="I384" s="49"/>
      <c r="J384" s="49"/>
      <c r="K384" s="49"/>
      <c r="M384" s="34"/>
      <c r="U384" s="82"/>
      <c r="V384" s="82"/>
      <c r="X384" s="88"/>
      <c r="Z384" s="161"/>
      <c r="AA384" s="161"/>
    </row>
    <row r="385" spans="9:31" x14ac:dyDescent="0.25">
      <c r="I385" s="49"/>
      <c r="J385" s="49"/>
      <c r="K385" s="49"/>
      <c r="M385" s="37"/>
      <c r="U385" s="82"/>
      <c r="V385" s="82"/>
      <c r="X385" s="90"/>
      <c r="Z385" s="161"/>
      <c r="AA385" s="161"/>
    </row>
    <row r="386" spans="9:31" x14ac:dyDescent="0.25">
      <c r="I386" s="49"/>
      <c r="J386" s="49"/>
      <c r="K386" s="49"/>
      <c r="M386" s="37"/>
      <c r="U386" s="82"/>
      <c r="V386" s="82"/>
      <c r="X386" s="90"/>
      <c r="Z386" s="161"/>
      <c r="AA386" s="161"/>
    </row>
    <row r="387" spans="9:31" x14ac:dyDescent="0.25">
      <c r="I387" s="49"/>
      <c r="J387" s="49"/>
      <c r="K387" s="49"/>
      <c r="M387" s="33"/>
      <c r="U387" s="82"/>
      <c r="V387" s="82"/>
      <c r="X387" s="83"/>
      <c r="Z387" s="161"/>
      <c r="AA387" s="161"/>
    </row>
    <row r="388" spans="9:31" x14ac:dyDescent="0.25">
      <c r="I388" s="49"/>
      <c r="J388" s="49"/>
      <c r="K388" s="49"/>
      <c r="M388" s="34"/>
      <c r="U388" s="82"/>
      <c r="V388" s="82"/>
      <c r="X388" s="88"/>
      <c r="Z388" s="161"/>
      <c r="AA388" s="161"/>
    </row>
    <row r="389" spans="9:31" x14ac:dyDescent="0.25">
      <c r="I389" s="49"/>
      <c r="J389" s="49"/>
      <c r="K389" s="49"/>
      <c r="M389" s="37"/>
      <c r="U389" s="82"/>
      <c r="V389" s="82"/>
      <c r="X389" s="90"/>
      <c r="Z389" s="161"/>
      <c r="AA389" s="161"/>
    </row>
    <row r="390" spans="9:31" x14ac:dyDescent="0.25">
      <c r="I390" s="49"/>
      <c r="J390" s="49"/>
      <c r="K390" s="49"/>
      <c r="M390" s="37"/>
      <c r="U390" s="82"/>
      <c r="V390" s="82"/>
      <c r="X390" s="90"/>
      <c r="Z390" s="161"/>
      <c r="AA390" s="161"/>
    </row>
    <row r="391" spans="9:31" x14ac:dyDescent="0.25">
      <c r="I391" s="49"/>
      <c r="J391" s="49"/>
      <c r="K391" s="49"/>
      <c r="M391" s="34"/>
      <c r="U391" s="82"/>
      <c r="V391" s="82"/>
      <c r="X391" s="88"/>
      <c r="Z391" s="161"/>
      <c r="AA391" s="161"/>
    </row>
    <row r="392" spans="9:31" x14ac:dyDescent="0.25">
      <c r="I392" s="49"/>
      <c r="J392" s="49"/>
      <c r="K392" s="49"/>
      <c r="M392" s="37"/>
      <c r="U392" s="82"/>
      <c r="V392" s="82"/>
      <c r="X392" s="90"/>
      <c r="Z392" s="161"/>
      <c r="AA392" s="161"/>
    </row>
    <row r="393" spans="9:31" x14ac:dyDescent="0.25">
      <c r="I393" s="49"/>
      <c r="J393" s="49"/>
      <c r="K393" s="49"/>
      <c r="M393" s="37"/>
      <c r="U393" s="82"/>
      <c r="V393" s="82"/>
      <c r="X393" s="90"/>
      <c r="Z393" s="161"/>
      <c r="AA393" s="161"/>
    </row>
    <row r="394" spans="9:31" x14ac:dyDescent="0.25">
      <c r="I394" s="49"/>
      <c r="J394" s="49"/>
      <c r="K394" s="49"/>
      <c r="M394" s="34"/>
      <c r="U394" s="82"/>
      <c r="V394" s="82"/>
      <c r="X394" s="88"/>
      <c r="Z394" s="161"/>
      <c r="AA394" s="161"/>
    </row>
    <row r="395" spans="9:31" x14ac:dyDescent="0.25">
      <c r="I395" s="49"/>
      <c r="J395" s="49"/>
      <c r="K395" s="49"/>
      <c r="M395" s="33"/>
      <c r="U395" s="82"/>
      <c r="V395" s="82"/>
      <c r="X395" s="83"/>
      <c r="Z395" s="161"/>
      <c r="AA395" s="161"/>
    </row>
    <row r="396" spans="9:31" x14ac:dyDescent="0.25">
      <c r="I396" s="49"/>
      <c r="J396" s="49"/>
      <c r="K396" s="49"/>
      <c r="M396" s="37"/>
      <c r="U396" s="82"/>
      <c r="V396" s="82"/>
      <c r="X396" s="90"/>
      <c r="Z396" s="161"/>
      <c r="AA396" s="161"/>
    </row>
    <row r="397" spans="9:31" x14ac:dyDescent="0.25">
      <c r="I397" s="49"/>
      <c r="J397" s="49"/>
      <c r="K397" s="49"/>
      <c r="M397" s="37"/>
      <c r="U397" s="82"/>
      <c r="V397" s="82"/>
      <c r="X397" s="90"/>
      <c r="Z397" s="161"/>
      <c r="AA397" s="161"/>
    </row>
    <row r="398" spans="9:31" x14ac:dyDescent="0.25">
      <c r="I398" s="49"/>
      <c r="J398" s="49"/>
      <c r="K398" s="49"/>
      <c r="M398" s="34"/>
      <c r="U398" s="82"/>
      <c r="V398" s="82"/>
      <c r="X398" s="88"/>
      <c r="Z398" s="161"/>
      <c r="AA398" s="161"/>
      <c r="AE398" s="86"/>
    </row>
    <row r="399" spans="9:31" x14ac:dyDescent="0.25">
      <c r="I399" s="49"/>
      <c r="J399" s="49"/>
      <c r="K399" s="49"/>
      <c r="M399" s="37"/>
      <c r="U399" s="82"/>
      <c r="V399" s="82"/>
      <c r="X399" s="90"/>
      <c r="Z399" s="161"/>
      <c r="AA399" s="161"/>
      <c r="AE399" s="86"/>
    </row>
    <row r="400" spans="9:31" x14ac:dyDescent="0.25">
      <c r="I400" s="49"/>
      <c r="J400" s="49"/>
      <c r="K400" s="49"/>
      <c r="M400" s="37"/>
      <c r="U400" s="82"/>
      <c r="V400" s="82"/>
      <c r="X400" s="90"/>
      <c r="Z400" s="161"/>
      <c r="AA400" s="161"/>
      <c r="AE400" s="86"/>
    </row>
    <row r="401" spans="9:31" x14ac:dyDescent="0.25">
      <c r="I401" s="49"/>
      <c r="J401" s="49"/>
      <c r="K401" s="49"/>
      <c r="M401" s="34"/>
      <c r="U401" s="82"/>
      <c r="V401" s="82"/>
      <c r="X401" s="88"/>
      <c r="Z401" s="161"/>
      <c r="AA401" s="161"/>
      <c r="AE401" s="86"/>
    </row>
    <row r="402" spans="9:31" x14ac:dyDescent="0.25">
      <c r="I402" s="49"/>
      <c r="J402" s="49"/>
      <c r="K402" s="49"/>
      <c r="M402" s="33"/>
      <c r="U402" s="82"/>
      <c r="V402" s="82"/>
      <c r="X402" s="83"/>
      <c r="Z402" s="161"/>
      <c r="AA402" s="161"/>
      <c r="AE402" s="86"/>
    </row>
    <row r="403" spans="9:31" x14ac:dyDescent="0.25">
      <c r="I403" s="49"/>
      <c r="J403" s="49"/>
      <c r="K403" s="49"/>
      <c r="M403" s="37"/>
      <c r="U403" s="82"/>
      <c r="V403" s="82"/>
      <c r="X403" s="90"/>
      <c r="Z403" s="161"/>
      <c r="AA403" s="161"/>
      <c r="AE403" s="86"/>
    </row>
    <row r="404" spans="9:31" x14ac:dyDescent="0.25">
      <c r="I404" s="49"/>
      <c r="J404" s="49"/>
      <c r="K404" s="49"/>
      <c r="M404" s="37"/>
      <c r="U404" s="82"/>
      <c r="V404" s="82"/>
      <c r="X404" s="90"/>
      <c r="Z404" s="161"/>
      <c r="AA404" s="161"/>
      <c r="AE404" s="86"/>
    </row>
    <row r="405" spans="9:31" x14ac:dyDescent="0.25">
      <c r="I405" s="49"/>
      <c r="J405" s="49"/>
      <c r="K405" s="49"/>
      <c r="M405" s="34"/>
      <c r="U405" s="82"/>
      <c r="V405" s="82"/>
      <c r="X405" s="88"/>
      <c r="Z405" s="161"/>
      <c r="AA405" s="161"/>
      <c r="AE405" s="86"/>
    </row>
    <row r="406" spans="9:31" x14ac:dyDescent="0.25">
      <c r="I406" s="49"/>
      <c r="J406" s="49"/>
      <c r="K406" s="49"/>
      <c r="M406" s="37"/>
      <c r="U406" s="82"/>
      <c r="V406" s="82"/>
      <c r="X406" s="90"/>
      <c r="Z406" s="161"/>
      <c r="AA406" s="161"/>
      <c r="AE406" s="86"/>
    </row>
    <row r="407" spans="9:31" x14ac:dyDescent="0.25">
      <c r="I407" s="49"/>
      <c r="J407" s="49"/>
      <c r="K407" s="49"/>
      <c r="M407" s="34"/>
      <c r="U407" s="82"/>
      <c r="V407" s="82"/>
      <c r="X407" s="88"/>
      <c r="Z407" s="161"/>
      <c r="AA407" s="161"/>
      <c r="AE407" s="86"/>
    </row>
    <row r="408" spans="9:31" x14ac:dyDescent="0.25">
      <c r="I408" s="49"/>
      <c r="J408" s="49"/>
      <c r="K408" s="49"/>
      <c r="M408" s="37"/>
      <c r="U408" s="82"/>
      <c r="V408" s="82"/>
      <c r="X408" s="90"/>
      <c r="Z408" s="161"/>
      <c r="AA408" s="161"/>
      <c r="AE408" s="86"/>
    </row>
    <row r="409" spans="9:31" x14ac:dyDescent="0.25">
      <c r="I409" s="49"/>
      <c r="J409" s="49"/>
      <c r="K409" s="49"/>
      <c r="M409" s="33"/>
      <c r="U409" s="82"/>
      <c r="V409" s="82"/>
      <c r="X409" s="83"/>
      <c r="Z409" s="161"/>
      <c r="AA409" s="161"/>
      <c r="AE409" s="86"/>
    </row>
    <row r="410" spans="9:31" x14ac:dyDescent="0.25">
      <c r="I410" s="49"/>
      <c r="J410" s="49"/>
      <c r="K410" s="49"/>
      <c r="M410" s="37"/>
      <c r="U410" s="82"/>
      <c r="V410" s="82"/>
      <c r="X410" s="90"/>
      <c r="Z410" s="161"/>
      <c r="AA410" s="161"/>
      <c r="AE410" s="86"/>
    </row>
    <row r="411" spans="9:31" x14ac:dyDescent="0.25">
      <c r="I411" s="49"/>
      <c r="J411" s="49"/>
      <c r="K411" s="49"/>
      <c r="M411" s="34"/>
      <c r="U411" s="82"/>
      <c r="V411" s="82"/>
      <c r="X411" s="88"/>
      <c r="Z411" s="161"/>
      <c r="AA411" s="161"/>
      <c r="AE411" s="86"/>
    </row>
    <row r="412" spans="9:31" x14ac:dyDescent="0.25">
      <c r="I412" s="49"/>
      <c r="J412" s="49"/>
      <c r="K412" s="49"/>
      <c r="M412" s="37"/>
      <c r="U412" s="82"/>
      <c r="V412" s="82"/>
      <c r="X412" s="90"/>
      <c r="Z412" s="161"/>
      <c r="AA412" s="161"/>
      <c r="AE412" s="86"/>
    </row>
    <row r="413" spans="9:31" x14ac:dyDescent="0.25">
      <c r="I413" s="49"/>
      <c r="J413" s="49"/>
      <c r="K413" s="49"/>
      <c r="M413" s="37"/>
      <c r="U413" s="82"/>
      <c r="V413" s="82"/>
      <c r="X413" s="90"/>
      <c r="Z413" s="161"/>
      <c r="AA413" s="161"/>
      <c r="AE413" s="86"/>
    </row>
    <row r="414" spans="9:31" x14ac:dyDescent="0.25">
      <c r="I414" s="49"/>
      <c r="J414" s="49"/>
      <c r="K414" s="49"/>
      <c r="M414" s="34"/>
      <c r="U414" s="82"/>
      <c r="V414" s="82"/>
      <c r="X414" s="88"/>
      <c r="Z414" s="161"/>
      <c r="AA414" s="161"/>
      <c r="AE414" s="86"/>
    </row>
    <row r="415" spans="9:31" x14ac:dyDescent="0.25">
      <c r="I415" s="49"/>
      <c r="J415" s="49"/>
      <c r="K415" s="49"/>
      <c r="M415" s="37"/>
      <c r="U415" s="82"/>
      <c r="V415" s="82"/>
      <c r="X415" s="90"/>
      <c r="Z415" s="161"/>
      <c r="AA415" s="161"/>
      <c r="AE415" s="86"/>
    </row>
    <row r="416" spans="9:31" x14ac:dyDescent="0.25">
      <c r="I416" s="49"/>
      <c r="J416" s="49"/>
      <c r="K416" s="49"/>
      <c r="M416" s="33"/>
      <c r="U416" s="82"/>
      <c r="V416" s="82"/>
      <c r="X416" s="83"/>
      <c r="Z416" s="161"/>
      <c r="AA416" s="161"/>
      <c r="AE416" s="86"/>
    </row>
    <row r="417" spans="9:31" x14ac:dyDescent="0.25">
      <c r="I417" s="49"/>
      <c r="J417" s="49"/>
      <c r="K417" s="49"/>
      <c r="M417" s="34"/>
      <c r="T417" s="86"/>
      <c r="U417" s="82"/>
      <c r="V417" s="82"/>
      <c r="X417" s="88"/>
      <c r="Z417" s="161"/>
      <c r="AA417" s="161"/>
      <c r="AE417" s="86"/>
    </row>
    <row r="418" spans="9:31" x14ac:dyDescent="0.25">
      <c r="I418" s="49"/>
      <c r="J418" s="49"/>
      <c r="K418" s="49"/>
      <c r="M418" s="37"/>
      <c r="T418" s="86"/>
      <c r="U418" s="82"/>
      <c r="V418" s="82"/>
      <c r="X418" s="90"/>
      <c r="Z418" s="161"/>
      <c r="AA418" s="161"/>
      <c r="AE418" s="86"/>
    </row>
    <row r="419" spans="9:31" x14ac:dyDescent="0.25">
      <c r="I419" s="49"/>
      <c r="J419" s="49"/>
      <c r="K419" s="49"/>
      <c r="M419" s="37"/>
      <c r="T419" s="86"/>
      <c r="U419" s="82"/>
      <c r="V419" s="82"/>
      <c r="X419" s="90"/>
      <c r="Z419" s="161"/>
      <c r="AA419" s="161"/>
      <c r="AE419" s="86"/>
    </row>
    <row r="420" spans="9:31" x14ac:dyDescent="0.25">
      <c r="I420" s="49"/>
      <c r="J420" s="49"/>
      <c r="K420" s="49"/>
      <c r="M420" s="34"/>
      <c r="T420" s="86"/>
      <c r="U420" s="82"/>
      <c r="V420" s="82"/>
      <c r="X420" s="88"/>
      <c r="Z420" s="161"/>
      <c r="AA420" s="161"/>
      <c r="AE420" s="86"/>
    </row>
    <row r="421" spans="9:31" x14ac:dyDescent="0.25">
      <c r="I421" s="49"/>
      <c r="J421" s="49"/>
      <c r="K421" s="49"/>
      <c r="M421" s="37"/>
      <c r="T421" s="86"/>
      <c r="U421" s="82"/>
      <c r="V421" s="82"/>
      <c r="X421" s="90"/>
      <c r="Z421" s="161"/>
      <c r="AA421" s="161"/>
      <c r="AE421" s="86"/>
    </row>
    <row r="422" spans="9:31" x14ac:dyDescent="0.25">
      <c r="I422" s="49"/>
      <c r="J422" s="49"/>
      <c r="K422" s="49"/>
      <c r="M422" s="33"/>
      <c r="T422" s="86"/>
      <c r="U422" s="82"/>
      <c r="V422" s="82"/>
      <c r="X422" s="83"/>
      <c r="Z422" s="161"/>
      <c r="AA422" s="161"/>
      <c r="AE422" s="86"/>
    </row>
    <row r="423" spans="9:31" x14ac:dyDescent="0.25">
      <c r="I423" s="49"/>
      <c r="J423" s="49"/>
      <c r="K423" s="49"/>
      <c r="M423" s="37"/>
      <c r="T423" s="86"/>
      <c r="U423" s="82"/>
      <c r="V423" s="82"/>
      <c r="X423" s="90"/>
      <c r="Z423" s="161"/>
      <c r="AA423" s="161"/>
      <c r="AE423" s="86"/>
    </row>
    <row r="424" spans="9:31" x14ac:dyDescent="0.25">
      <c r="I424" s="49"/>
      <c r="J424" s="49"/>
      <c r="K424" s="49"/>
      <c r="M424" s="34"/>
      <c r="T424" s="86"/>
      <c r="U424" s="82"/>
      <c r="V424" s="82"/>
      <c r="X424" s="88"/>
      <c r="Z424" s="161"/>
      <c r="AA424" s="161"/>
      <c r="AE424" s="86"/>
    </row>
    <row r="425" spans="9:31" x14ac:dyDescent="0.25">
      <c r="I425" s="49"/>
      <c r="J425" s="49"/>
      <c r="K425" s="49"/>
      <c r="M425" s="37"/>
      <c r="T425" s="86"/>
      <c r="U425" s="82"/>
      <c r="V425" s="82"/>
      <c r="X425" s="90"/>
      <c r="Z425" s="161"/>
      <c r="AA425" s="161"/>
      <c r="AE425" s="86"/>
    </row>
    <row r="426" spans="9:31" x14ac:dyDescent="0.25">
      <c r="I426" s="49"/>
      <c r="J426" s="49"/>
      <c r="K426" s="49"/>
      <c r="M426" s="37"/>
      <c r="T426" s="86"/>
      <c r="U426" s="82"/>
      <c r="V426" s="82"/>
      <c r="X426" s="90"/>
      <c r="Z426" s="161"/>
      <c r="AA426" s="161"/>
      <c r="AE426" s="86"/>
    </row>
    <row r="427" spans="9:31" x14ac:dyDescent="0.25">
      <c r="I427" s="49"/>
      <c r="J427" s="49"/>
      <c r="K427" s="49"/>
      <c r="M427" s="34"/>
      <c r="T427" s="86"/>
      <c r="U427" s="82"/>
      <c r="V427" s="82"/>
      <c r="X427" s="88"/>
      <c r="Z427" s="161"/>
      <c r="AA427" s="161"/>
      <c r="AE427" s="86"/>
    </row>
    <row r="428" spans="9:31" x14ac:dyDescent="0.25">
      <c r="I428" s="49"/>
      <c r="J428" s="49"/>
      <c r="K428" s="49"/>
      <c r="M428" s="37"/>
      <c r="T428" s="86"/>
      <c r="U428" s="82"/>
      <c r="V428" s="82"/>
      <c r="X428" s="90"/>
      <c r="Z428" s="161"/>
      <c r="AA428" s="161"/>
      <c r="AE428" s="86"/>
    </row>
    <row r="429" spans="9:31" x14ac:dyDescent="0.25">
      <c r="I429" s="49"/>
      <c r="J429" s="49"/>
      <c r="K429" s="49"/>
      <c r="M429" s="33"/>
      <c r="T429" s="86"/>
      <c r="U429" s="82"/>
      <c r="V429" s="82"/>
      <c r="X429" s="83"/>
      <c r="Z429" s="161"/>
      <c r="AA429" s="161"/>
      <c r="AE429" s="86"/>
    </row>
    <row r="430" spans="9:31" x14ac:dyDescent="0.25">
      <c r="I430" s="49"/>
      <c r="J430" s="49"/>
      <c r="K430" s="49"/>
      <c r="M430" s="34"/>
      <c r="T430" s="86"/>
      <c r="U430" s="82"/>
      <c r="V430" s="82"/>
      <c r="X430" s="88"/>
      <c r="Z430" s="161"/>
      <c r="AA430" s="161"/>
      <c r="AE430" s="86"/>
    </row>
    <row r="431" spans="9:31" x14ac:dyDescent="0.25">
      <c r="I431" s="49"/>
      <c r="J431" s="49"/>
      <c r="K431" s="49"/>
      <c r="M431" s="37"/>
      <c r="T431" s="86"/>
      <c r="U431" s="82"/>
      <c r="V431" s="82"/>
      <c r="X431" s="90"/>
      <c r="Z431" s="161"/>
      <c r="AA431" s="161"/>
      <c r="AE431" s="86"/>
    </row>
    <row r="432" spans="9:31" x14ac:dyDescent="0.25">
      <c r="I432" s="49"/>
      <c r="J432" s="49"/>
      <c r="K432" s="49"/>
      <c r="M432" s="34"/>
      <c r="T432" s="86"/>
      <c r="U432" s="82"/>
      <c r="V432" s="82"/>
      <c r="X432" s="88"/>
      <c r="Z432" s="161"/>
      <c r="AA432" s="161"/>
      <c r="AE432" s="86"/>
    </row>
    <row r="433" spans="9:31" x14ac:dyDescent="0.25">
      <c r="I433" s="49"/>
      <c r="J433" s="49"/>
      <c r="K433" s="49"/>
      <c r="M433" s="37"/>
      <c r="T433" s="86"/>
      <c r="U433" s="82"/>
      <c r="V433" s="82"/>
      <c r="X433" s="90"/>
      <c r="Z433" s="161"/>
      <c r="AA433" s="161"/>
      <c r="AE433" s="86"/>
    </row>
    <row r="434" spans="9:31" x14ac:dyDescent="0.25">
      <c r="I434" s="49"/>
      <c r="J434" s="49"/>
      <c r="K434" s="49"/>
      <c r="M434" s="37"/>
      <c r="T434" s="86"/>
      <c r="U434" s="82"/>
      <c r="V434" s="82"/>
      <c r="X434" s="90"/>
      <c r="Z434" s="161"/>
      <c r="AA434" s="161"/>
      <c r="AE434" s="86"/>
    </row>
    <row r="435" spans="9:31" x14ac:dyDescent="0.25">
      <c r="I435" s="49"/>
      <c r="J435" s="49"/>
      <c r="K435" s="49"/>
      <c r="M435" s="33"/>
      <c r="T435" s="86"/>
      <c r="U435" s="82"/>
      <c r="V435" s="82"/>
      <c r="X435" s="83"/>
      <c r="Z435" s="161"/>
      <c r="AA435" s="161"/>
      <c r="AE435" s="86"/>
    </row>
    <row r="436" spans="9:31" x14ac:dyDescent="0.25">
      <c r="I436" s="49"/>
      <c r="J436" s="49"/>
      <c r="K436" s="49"/>
      <c r="M436" s="34"/>
      <c r="T436" s="86"/>
      <c r="U436" s="82"/>
      <c r="V436" s="82"/>
      <c r="X436" s="88"/>
      <c r="Z436" s="161"/>
      <c r="AA436" s="161"/>
      <c r="AE436" s="86"/>
    </row>
    <row r="437" spans="9:31" x14ac:dyDescent="0.25">
      <c r="I437" s="49"/>
      <c r="J437" s="49"/>
      <c r="K437" s="49"/>
      <c r="M437" s="37"/>
      <c r="T437" s="86"/>
      <c r="U437" s="82"/>
      <c r="V437" s="82"/>
      <c r="X437" s="90"/>
      <c r="Z437" s="161"/>
      <c r="AA437" s="161"/>
      <c r="AE437" s="86"/>
    </row>
    <row r="438" spans="9:31" x14ac:dyDescent="0.25">
      <c r="I438" s="49"/>
      <c r="J438" s="49"/>
      <c r="K438" s="49"/>
      <c r="M438" s="37"/>
      <c r="T438" s="86"/>
      <c r="U438" s="82"/>
      <c r="V438" s="82"/>
      <c r="X438" s="90"/>
      <c r="Z438" s="161"/>
      <c r="AA438" s="161"/>
      <c r="AE438" s="86"/>
    </row>
    <row r="439" spans="9:31" x14ac:dyDescent="0.25">
      <c r="I439" s="49"/>
      <c r="J439" s="49"/>
      <c r="K439" s="49"/>
      <c r="M439" s="34"/>
      <c r="T439" s="86"/>
      <c r="U439" s="82"/>
      <c r="V439" s="82"/>
      <c r="X439" s="88"/>
      <c r="Z439" s="161"/>
      <c r="AA439" s="161"/>
      <c r="AE439" s="86"/>
    </row>
    <row r="440" spans="9:31" x14ac:dyDescent="0.25">
      <c r="I440" s="49"/>
      <c r="J440" s="49"/>
      <c r="K440" s="49"/>
      <c r="M440" s="37"/>
      <c r="T440" s="86"/>
      <c r="U440" s="82"/>
      <c r="V440" s="82"/>
      <c r="X440" s="90"/>
      <c r="Z440" s="161"/>
      <c r="AA440" s="161"/>
      <c r="AE440" s="86"/>
    </row>
    <row r="441" spans="9:31" x14ac:dyDescent="0.25">
      <c r="I441" s="49"/>
      <c r="J441" s="49"/>
      <c r="K441" s="49"/>
      <c r="M441" s="37"/>
      <c r="T441" s="86"/>
      <c r="U441" s="82"/>
      <c r="V441" s="82"/>
      <c r="X441" s="90"/>
      <c r="Z441" s="161"/>
      <c r="AA441" s="161"/>
      <c r="AE441" s="86"/>
    </row>
    <row r="442" spans="9:31" x14ac:dyDescent="0.25">
      <c r="I442" s="49"/>
      <c r="J442" s="49"/>
      <c r="K442" s="49"/>
      <c r="M442" s="34"/>
      <c r="T442" s="86"/>
      <c r="U442" s="82"/>
      <c r="V442" s="82"/>
      <c r="X442" s="88"/>
      <c r="Z442" s="161"/>
      <c r="AA442" s="161"/>
      <c r="AE442" s="86"/>
    </row>
    <row r="443" spans="9:31" x14ac:dyDescent="0.25">
      <c r="I443" s="49"/>
      <c r="J443" s="49"/>
      <c r="K443" s="49"/>
      <c r="M443" s="33"/>
      <c r="T443" s="86"/>
      <c r="U443" s="82"/>
      <c r="V443" s="82"/>
      <c r="X443" s="83"/>
      <c r="Z443" s="161"/>
      <c r="AA443" s="161"/>
      <c r="AE443" s="86"/>
    </row>
    <row r="444" spans="9:31" x14ac:dyDescent="0.25">
      <c r="I444" s="49"/>
      <c r="J444" s="49"/>
      <c r="K444" s="49"/>
      <c r="M444" s="37"/>
      <c r="T444" s="86"/>
      <c r="U444" s="82"/>
      <c r="V444" s="82"/>
      <c r="X444" s="90"/>
      <c r="Z444" s="161"/>
      <c r="AA444" s="161"/>
      <c r="AE444" s="86"/>
    </row>
    <row r="445" spans="9:31" x14ac:dyDescent="0.25">
      <c r="I445" s="49"/>
      <c r="J445" s="49"/>
      <c r="K445" s="49"/>
      <c r="M445" s="37"/>
      <c r="T445" s="86"/>
      <c r="U445" s="82"/>
      <c r="V445" s="82"/>
      <c r="X445" s="90"/>
      <c r="Z445" s="161"/>
      <c r="AA445" s="161"/>
      <c r="AE445" s="86"/>
    </row>
    <row r="446" spans="9:31" x14ac:dyDescent="0.25">
      <c r="I446" s="49"/>
      <c r="J446" s="49"/>
      <c r="K446" s="49"/>
      <c r="M446" s="34"/>
      <c r="T446" s="86"/>
      <c r="U446" s="82"/>
      <c r="V446" s="82"/>
      <c r="X446" s="88"/>
      <c r="Z446" s="161"/>
      <c r="AA446" s="161"/>
      <c r="AE446" s="86"/>
    </row>
    <row r="447" spans="9:31" x14ac:dyDescent="0.25">
      <c r="I447" s="49"/>
      <c r="J447" s="49"/>
      <c r="K447" s="49"/>
      <c r="M447" s="37"/>
      <c r="T447" s="86"/>
      <c r="U447" s="82"/>
      <c r="V447" s="82"/>
      <c r="X447" s="90"/>
      <c r="Z447" s="161"/>
      <c r="AA447" s="161"/>
      <c r="AE447" s="86"/>
    </row>
    <row r="448" spans="9:31" x14ac:dyDescent="0.25">
      <c r="I448" s="49"/>
      <c r="J448" s="49"/>
      <c r="K448" s="49"/>
      <c r="M448" s="37"/>
      <c r="T448" s="86"/>
      <c r="U448" s="82"/>
      <c r="V448" s="82"/>
      <c r="X448" s="90"/>
      <c r="Z448" s="161"/>
      <c r="AA448" s="161"/>
      <c r="AE448" s="86"/>
    </row>
    <row r="449" spans="9:31" x14ac:dyDescent="0.25">
      <c r="I449" s="49"/>
      <c r="J449" s="49"/>
      <c r="K449" s="49"/>
      <c r="M449" s="34"/>
      <c r="T449" s="86"/>
      <c r="U449" s="82"/>
      <c r="V449" s="82"/>
      <c r="X449" s="88"/>
      <c r="Z449" s="161"/>
      <c r="AA449" s="161"/>
      <c r="AE449" s="86"/>
    </row>
    <row r="450" spans="9:31" x14ac:dyDescent="0.25">
      <c r="I450" s="49"/>
      <c r="J450" s="49"/>
      <c r="K450" s="49"/>
      <c r="M450" s="33"/>
      <c r="T450" s="86"/>
      <c r="U450" s="82"/>
      <c r="V450" s="82"/>
      <c r="X450" s="83"/>
      <c r="Z450" s="161"/>
      <c r="AA450" s="161"/>
      <c r="AE450" s="86"/>
    </row>
    <row r="451" spans="9:31" x14ac:dyDescent="0.25">
      <c r="I451" s="49"/>
      <c r="J451" s="49"/>
      <c r="K451" s="49"/>
      <c r="M451" s="37"/>
      <c r="T451" s="86"/>
      <c r="U451" s="82"/>
      <c r="V451" s="82"/>
      <c r="X451" s="90"/>
      <c r="Z451" s="161"/>
      <c r="AA451" s="161"/>
      <c r="AE451" s="86"/>
    </row>
    <row r="452" spans="9:31" x14ac:dyDescent="0.25">
      <c r="I452" s="49"/>
      <c r="J452" s="49"/>
      <c r="K452" s="49"/>
      <c r="M452" s="37"/>
      <c r="T452" s="86"/>
      <c r="U452" s="82"/>
      <c r="V452" s="82"/>
      <c r="X452" s="90"/>
      <c r="Z452" s="161"/>
      <c r="AA452" s="161"/>
      <c r="AE452" s="86"/>
    </row>
    <row r="453" spans="9:31" x14ac:dyDescent="0.25">
      <c r="I453" s="49"/>
      <c r="J453" s="49"/>
      <c r="K453" s="49"/>
      <c r="M453" s="34"/>
      <c r="T453" s="86"/>
      <c r="U453" s="82"/>
      <c r="V453" s="82"/>
      <c r="X453" s="88"/>
      <c r="Z453" s="161"/>
      <c r="AA453" s="161"/>
      <c r="AE453" s="86"/>
    </row>
    <row r="454" spans="9:31" x14ac:dyDescent="0.25">
      <c r="I454" s="49"/>
      <c r="J454" s="49"/>
      <c r="K454" s="49"/>
      <c r="M454" s="37"/>
      <c r="T454" s="86"/>
      <c r="U454" s="82"/>
      <c r="V454" s="82"/>
      <c r="X454" s="90"/>
      <c r="Z454" s="161"/>
      <c r="AA454" s="161"/>
      <c r="AE454" s="86"/>
    </row>
    <row r="455" spans="9:31" x14ac:dyDescent="0.25">
      <c r="I455" s="49"/>
      <c r="J455" s="49"/>
      <c r="K455" s="49"/>
      <c r="M455" s="37"/>
      <c r="T455" s="86"/>
      <c r="U455" s="82"/>
      <c r="V455" s="82"/>
      <c r="X455" s="90"/>
      <c r="Z455" s="161"/>
      <c r="AA455" s="161"/>
      <c r="AE455" s="86"/>
    </row>
    <row r="456" spans="9:31" x14ac:dyDescent="0.25">
      <c r="I456" s="49"/>
      <c r="J456" s="49"/>
      <c r="K456" s="49"/>
      <c r="M456" s="34"/>
      <c r="T456" s="86"/>
      <c r="U456" s="82"/>
      <c r="V456" s="82"/>
      <c r="X456" s="88"/>
      <c r="Z456" s="161"/>
      <c r="AA456" s="161"/>
      <c r="AE456" s="86"/>
    </row>
    <row r="457" spans="9:31" x14ac:dyDescent="0.25">
      <c r="I457" s="49"/>
      <c r="J457" s="49"/>
      <c r="K457" s="49"/>
      <c r="M457" s="37"/>
      <c r="T457" s="86"/>
      <c r="U457" s="82"/>
      <c r="V457" s="82"/>
      <c r="X457" s="90"/>
      <c r="Z457" s="161"/>
      <c r="AA457" s="161"/>
      <c r="AE457" s="86"/>
    </row>
    <row r="458" spans="9:31" x14ac:dyDescent="0.25">
      <c r="I458" s="49"/>
      <c r="J458" s="49"/>
      <c r="K458" s="49"/>
      <c r="M458" s="33"/>
      <c r="T458" s="86"/>
      <c r="U458" s="82"/>
      <c r="V458" s="82"/>
      <c r="X458" s="83"/>
      <c r="Z458" s="161"/>
      <c r="AA458" s="161"/>
      <c r="AE458" s="86"/>
    </row>
    <row r="459" spans="9:31" x14ac:dyDescent="0.25">
      <c r="I459" s="49"/>
      <c r="J459" s="49"/>
      <c r="K459" s="49"/>
      <c r="M459" s="37"/>
      <c r="T459" s="86"/>
      <c r="U459" s="82"/>
      <c r="V459" s="82"/>
      <c r="X459" s="90"/>
      <c r="Z459" s="161"/>
      <c r="AA459" s="161"/>
      <c r="AE459" s="86"/>
    </row>
    <row r="460" spans="9:31" x14ac:dyDescent="0.25">
      <c r="I460" s="49"/>
      <c r="J460" s="49"/>
      <c r="K460" s="49"/>
      <c r="M460" s="34"/>
      <c r="T460" s="86"/>
      <c r="U460" s="82"/>
      <c r="V460" s="82"/>
      <c r="X460" s="88"/>
      <c r="Z460" s="161"/>
      <c r="AA460" s="161"/>
      <c r="AE460" s="86"/>
    </row>
    <row r="461" spans="9:31" x14ac:dyDescent="0.25">
      <c r="I461" s="49"/>
      <c r="J461" s="49"/>
      <c r="K461" s="49"/>
      <c r="M461" s="37"/>
      <c r="T461" s="86"/>
      <c r="U461" s="82"/>
      <c r="V461" s="82"/>
      <c r="X461" s="90"/>
      <c r="Z461" s="161"/>
      <c r="AA461" s="161"/>
      <c r="AE461" s="86"/>
    </row>
    <row r="462" spans="9:31" x14ac:dyDescent="0.25">
      <c r="I462" s="49"/>
      <c r="J462" s="49"/>
      <c r="K462" s="49"/>
      <c r="M462" s="37"/>
      <c r="T462" s="86"/>
      <c r="U462" s="82"/>
      <c r="V462" s="82"/>
      <c r="X462" s="90"/>
      <c r="Z462" s="161"/>
      <c r="AA462" s="161"/>
      <c r="AE462" s="86"/>
    </row>
    <row r="463" spans="9:31" x14ac:dyDescent="0.25">
      <c r="I463" s="49"/>
      <c r="J463" s="49"/>
      <c r="K463" s="49"/>
      <c r="M463" s="34"/>
      <c r="T463" s="86"/>
      <c r="U463" s="82"/>
      <c r="V463" s="82"/>
      <c r="X463" s="88"/>
      <c r="Z463" s="161"/>
      <c r="AA463" s="161"/>
      <c r="AE463" s="86"/>
    </row>
    <row r="464" spans="9:31" x14ac:dyDescent="0.25">
      <c r="I464" s="49"/>
      <c r="J464" s="49"/>
      <c r="K464" s="49"/>
      <c r="M464" s="37"/>
      <c r="T464" s="86"/>
      <c r="U464" s="82"/>
      <c r="V464" s="82"/>
      <c r="X464" s="90"/>
      <c r="Z464" s="161"/>
      <c r="AA464" s="161"/>
      <c r="AE464" s="86"/>
    </row>
    <row r="465" spans="9:31" x14ac:dyDescent="0.25">
      <c r="I465" s="49"/>
      <c r="J465" s="49"/>
      <c r="K465" s="49"/>
      <c r="M465" s="33"/>
      <c r="T465" s="86"/>
      <c r="U465" s="82"/>
      <c r="V465" s="82"/>
      <c r="X465" s="83"/>
      <c r="AE465" s="86"/>
    </row>
    <row r="466" spans="9:31" x14ac:dyDescent="0.25">
      <c r="I466" s="49"/>
      <c r="J466" s="49"/>
      <c r="K466" s="49"/>
      <c r="M466" s="37"/>
      <c r="T466" s="86"/>
      <c r="U466" s="82"/>
      <c r="V466" s="82"/>
      <c r="X466" s="90"/>
      <c r="AE466" s="86"/>
    </row>
    <row r="467" spans="9:31" x14ac:dyDescent="0.25">
      <c r="I467" s="49"/>
      <c r="J467" s="49"/>
      <c r="K467" s="49"/>
      <c r="M467" s="34"/>
      <c r="T467" s="86"/>
      <c r="U467" s="82"/>
      <c r="V467" s="82"/>
      <c r="X467" s="88"/>
      <c r="AE467" s="86"/>
    </row>
    <row r="468" spans="9:31" x14ac:dyDescent="0.25">
      <c r="I468" s="49"/>
      <c r="J468" s="49"/>
      <c r="K468" s="49"/>
      <c r="M468" s="37"/>
      <c r="T468" s="86"/>
      <c r="U468" s="82"/>
      <c r="V468" s="82"/>
      <c r="X468" s="90"/>
      <c r="AE468" s="86"/>
    </row>
    <row r="469" spans="9:31" x14ac:dyDescent="0.25">
      <c r="I469" s="49"/>
      <c r="J469" s="49"/>
      <c r="K469" s="49"/>
      <c r="M469" s="37"/>
      <c r="T469" s="86"/>
      <c r="U469" s="82"/>
      <c r="V469" s="82"/>
      <c r="X469" s="90"/>
      <c r="AE469" s="86"/>
    </row>
    <row r="470" spans="9:31" x14ac:dyDescent="0.25">
      <c r="I470" s="49"/>
      <c r="J470" s="49"/>
      <c r="K470" s="49"/>
      <c r="M470" s="34"/>
      <c r="T470" s="86"/>
      <c r="U470" s="82"/>
      <c r="V470" s="82"/>
      <c r="X470" s="88"/>
      <c r="AE470" s="86"/>
    </row>
    <row r="471" spans="9:31" x14ac:dyDescent="0.25">
      <c r="I471" s="49"/>
      <c r="J471" s="49"/>
      <c r="K471" s="49"/>
      <c r="M471" s="37"/>
      <c r="T471" s="86"/>
      <c r="U471" s="82"/>
      <c r="V471" s="82"/>
      <c r="X471" s="90"/>
      <c r="AE471" s="86"/>
    </row>
    <row r="472" spans="9:31" x14ac:dyDescent="0.25">
      <c r="I472" s="49"/>
      <c r="J472" s="49"/>
      <c r="K472" s="49"/>
      <c r="M472" s="33"/>
      <c r="T472" s="86"/>
      <c r="U472" s="82"/>
      <c r="V472" s="82"/>
      <c r="X472" s="83"/>
      <c r="AE472" s="86"/>
    </row>
    <row r="473" spans="9:31" x14ac:dyDescent="0.25">
      <c r="I473" s="49"/>
      <c r="J473" s="49"/>
      <c r="K473" s="49"/>
      <c r="M473" s="37"/>
      <c r="T473" s="86"/>
      <c r="U473" s="82"/>
      <c r="V473" s="82"/>
      <c r="X473" s="90"/>
      <c r="AE473" s="86"/>
    </row>
    <row r="474" spans="9:31" x14ac:dyDescent="0.25">
      <c r="I474" s="49"/>
      <c r="J474" s="49"/>
      <c r="K474" s="49"/>
      <c r="M474" s="34"/>
      <c r="T474" s="86"/>
      <c r="U474" s="82"/>
      <c r="V474" s="82"/>
      <c r="X474" s="88"/>
      <c r="AE474" s="86"/>
    </row>
    <row r="475" spans="9:31" x14ac:dyDescent="0.25">
      <c r="I475" s="49"/>
      <c r="J475" s="49"/>
      <c r="K475" s="49"/>
      <c r="M475" s="37"/>
      <c r="T475" s="86"/>
      <c r="U475" s="82"/>
      <c r="V475" s="82"/>
      <c r="X475" s="90"/>
      <c r="AE475" s="86"/>
    </row>
    <row r="476" spans="9:31" x14ac:dyDescent="0.25">
      <c r="I476" s="49"/>
      <c r="J476" s="49"/>
      <c r="K476" s="49"/>
      <c r="M476" s="37"/>
      <c r="T476" s="86"/>
      <c r="U476" s="82"/>
      <c r="V476" s="82"/>
      <c r="X476" s="90"/>
      <c r="AE476" s="86"/>
    </row>
    <row r="477" spans="9:31" x14ac:dyDescent="0.25">
      <c r="I477" s="49"/>
      <c r="J477" s="49"/>
      <c r="K477" s="49"/>
      <c r="M477" s="34"/>
      <c r="T477" s="86"/>
      <c r="U477" s="82"/>
      <c r="V477" s="82"/>
      <c r="X477" s="88"/>
      <c r="AE477" s="86"/>
    </row>
    <row r="478" spans="9:31" x14ac:dyDescent="0.25">
      <c r="I478" s="49"/>
      <c r="J478" s="49"/>
      <c r="K478" s="49"/>
      <c r="M478" s="37"/>
      <c r="T478" s="86"/>
      <c r="U478" s="82"/>
      <c r="V478" s="82"/>
      <c r="X478" s="90"/>
      <c r="AE478" s="86"/>
    </row>
    <row r="479" spans="9:31" x14ac:dyDescent="0.25">
      <c r="I479" s="49"/>
      <c r="J479" s="49"/>
      <c r="K479" s="49"/>
      <c r="M479" s="37"/>
      <c r="T479" s="86"/>
      <c r="U479" s="82"/>
      <c r="V479" s="82"/>
      <c r="X479" s="90"/>
      <c r="AE479" s="86"/>
    </row>
    <row r="480" spans="9:31" x14ac:dyDescent="0.25">
      <c r="I480" s="49"/>
      <c r="J480" s="49"/>
      <c r="K480" s="49"/>
      <c r="M480" s="33"/>
      <c r="T480" s="86"/>
      <c r="U480" s="82"/>
      <c r="V480" s="82"/>
      <c r="X480" s="83"/>
      <c r="AE480" s="86"/>
    </row>
    <row r="481" spans="9:31" x14ac:dyDescent="0.25">
      <c r="I481" s="49"/>
      <c r="J481" s="49"/>
      <c r="K481" s="49"/>
      <c r="M481" s="34"/>
      <c r="T481" s="86"/>
      <c r="U481" s="82"/>
      <c r="V481" s="82"/>
      <c r="X481" s="88"/>
      <c r="AE481" s="86"/>
    </row>
    <row r="482" spans="9:31" x14ac:dyDescent="0.25">
      <c r="I482" s="49"/>
      <c r="J482" s="49"/>
      <c r="K482" s="49"/>
      <c r="M482" s="37"/>
      <c r="T482" s="86"/>
      <c r="U482" s="82"/>
      <c r="V482" s="82"/>
      <c r="X482" s="90"/>
      <c r="AE482" s="86"/>
    </row>
    <row r="483" spans="9:31" x14ac:dyDescent="0.25">
      <c r="I483" s="49"/>
      <c r="J483" s="49"/>
      <c r="K483" s="49"/>
      <c r="M483" s="37"/>
      <c r="T483" s="86"/>
      <c r="U483" s="82"/>
      <c r="V483" s="82"/>
      <c r="X483" s="90"/>
      <c r="AE483" s="86"/>
    </row>
    <row r="484" spans="9:31" x14ac:dyDescent="0.25">
      <c r="I484" s="49"/>
      <c r="J484" s="49"/>
      <c r="K484" s="49"/>
      <c r="M484" s="34"/>
      <c r="T484" s="86"/>
      <c r="U484" s="82"/>
      <c r="V484" s="82"/>
      <c r="X484" s="88"/>
      <c r="AE484" s="86"/>
    </row>
    <row r="485" spans="9:31" x14ac:dyDescent="0.25">
      <c r="I485" s="49"/>
      <c r="J485" s="49"/>
      <c r="K485" s="49"/>
      <c r="M485" s="37"/>
      <c r="T485" s="86"/>
      <c r="U485" s="82"/>
      <c r="V485" s="82"/>
      <c r="X485" s="90"/>
      <c r="AE485" s="86"/>
    </row>
    <row r="486" spans="9:31" x14ac:dyDescent="0.25">
      <c r="I486" s="49"/>
      <c r="J486" s="49"/>
      <c r="K486" s="49"/>
      <c r="M486" s="37"/>
      <c r="T486" s="86"/>
      <c r="U486" s="82"/>
      <c r="V486" s="82"/>
      <c r="X486" s="90"/>
      <c r="AE486" s="86"/>
    </row>
    <row r="487" spans="9:31" x14ac:dyDescent="0.25">
      <c r="I487" s="49"/>
      <c r="J487" s="49"/>
      <c r="K487" s="49"/>
      <c r="M487" s="33"/>
      <c r="T487" s="86"/>
      <c r="U487" s="82"/>
      <c r="V487" s="82"/>
      <c r="X487" s="83"/>
      <c r="AE487" s="86"/>
    </row>
    <row r="488" spans="9:31" x14ac:dyDescent="0.25">
      <c r="I488" s="49"/>
      <c r="J488" s="49"/>
      <c r="K488" s="49"/>
      <c r="M488" s="34"/>
      <c r="T488" s="86"/>
      <c r="U488" s="82"/>
      <c r="V488" s="82"/>
      <c r="X488" s="88"/>
      <c r="AE488" s="86"/>
    </row>
    <row r="489" spans="9:31" x14ac:dyDescent="0.25">
      <c r="I489" s="49"/>
      <c r="J489" s="49"/>
      <c r="K489" s="49"/>
      <c r="M489" s="37"/>
      <c r="T489" s="86"/>
      <c r="U489" s="82"/>
      <c r="V489" s="82"/>
      <c r="X489" s="90"/>
      <c r="AE489" s="86"/>
    </row>
    <row r="490" spans="9:31" x14ac:dyDescent="0.25">
      <c r="I490" s="49"/>
      <c r="J490" s="49"/>
      <c r="K490" s="49"/>
      <c r="M490" s="37"/>
      <c r="T490" s="86"/>
      <c r="U490" s="82"/>
      <c r="V490" s="82"/>
      <c r="X490" s="90"/>
      <c r="AE490" s="86"/>
    </row>
    <row r="491" spans="9:31" x14ac:dyDescent="0.25">
      <c r="I491" s="49"/>
      <c r="J491" s="49"/>
      <c r="K491" s="49"/>
      <c r="M491" s="34"/>
      <c r="T491" s="86"/>
      <c r="U491" s="82"/>
      <c r="V491" s="82"/>
      <c r="X491" s="88"/>
      <c r="AE491" s="86"/>
    </row>
    <row r="492" spans="9:31" x14ac:dyDescent="0.25">
      <c r="I492" s="49"/>
      <c r="J492" s="49"/>
      <c r="K492" s="49"/>
      <c r="M492" s="37"/>
      <c r="T492" s="86"/>
      <c r="U492" s="82"/>
      <c r="V492" s="82"/>
      <c r="X492" s="90"/>
      <c r="AE492" s="86"/>
    </row>
    <row r="493" spans="9:31" x14ac:dyDescent="0.25">
      <c r="I493" s="49"/>
      <c r="J493" s="49"/>
      <c r="K493" s="49"/>
      <c r="M493" s="37"/>
      <c r="T493" s="86"/>
      <c r="U493" s="82"/>
      <c r="V493" s="82"/>
      <c r="X493" s="90"/>
      <c r="AE493" s="86"/>
    </row>
    <row r="494" spans="9:31" x14ac:dyDescent="0.25">
      <c r="I494" s="49"/>
      <c r="J494" s="49"/>
      <c r="K494" s="49"/>
      <c r="M494" s="34"/>
      <c r="T494" s="86"/>
      <c r="U494" s="82"/>
      <c r="V494" s="82"/>
      <c r="X494" s="88"/>
      <c r="AE494" s="86"/>
    </row>
    <row r="495" spans="9:31" x14ac:dyDescent="0.25">
      <c r="I495" s="49"/>
      <c r="J495" s="49"/>
      <c r="K495" s="49"/>
      <c r="M495" s="33"/>
      <c r="T495" s="86"/>
      <c r="U495" s="82"/>
      <c r="V495" s="82"/>
      <c r="X495" s="83"/>
      <c r="AE495" s="86"/>
    </row>
    <row r="496" spans="9:31" x14ac:dyDescent="0.25">
      <c r="I496" s="49"/>
      <c r="J496" s="49"/>
      <c r="K496" s="49"/>
      <c r="M496" s="37"/>
      <c r="T496" s="86"/>
      <c r="U496" s="82"/>
      <c r="V496" s="82"/>
      <c r="X496" s="90"/>
      <c r="AE496" s="86"/>
    </row>
    <row r="497" spans="9:31" x14ac:dyDescent="0.25">
      <c r="I497" s="49"/>
      <c r="J497" s="49"/>
      <c r="K497" s="49"/>
      <c r="M497" s="37"/>
      <c r="T497" s="86"/>
      <c r="U497" s="82"/>
      <c r="V497" s="82"/>
      <c r="X497" s="90"/>
      <c r="AE497" s="86"/>
    </row>
    <row r="498" spans="9:31" x14ac:dyDescent="0.25">
      <c r="I498" s="49"/>
      <c r="J498" s="49"/>
      <c r="K498" s="49"/>
      <c r="M498" s="34"/>
      <c r="T498" s="86"/>
      <c r="U498" s="82"/>
      <c r="V498" s="82"/>
      <c r="X498" s="88"/>
      <c r="AE498" s="86"/>
    </row>
    <row r="499" spans="9:31" x14ac:dyDescent="0.25">
      <c r="I499" s="49"/>
      <c r="J499" s="49"/>
      <c r="K499" s="49"/>
      <c r="M499" s="37"/>
      <c r="T499" s="86"/>
      <c r="U499" s="82"/>
      <c r="V499" s="82"/>
      <c r="X499" s="90"/>
      <c r="AE499" s="86"/>
    </row>
    <row r="500" spans="9:31" x14ac:dyDescent="0.25">
      <c r="I500" s="49"/>
      <c r="J500" s="49"/>
      <c r="K500" s="49"/>
      <c r="M500" s="37"/>
      <c r="T500" s="86"/>
      <c r="U500" s="82"/>
      <c r="V500" s="82"/>
      <c r="X500" s="90"/>
      <c r="AE500" s="86"/>
    </row>
    <row r="501" spans="9:31" x14ac:dyDescent="0.25">
      <c r="I501" s="49"/>
      <c r="J501" s="49"/>
      <c r="K501" s="49"/>
      <c r="M501" s="34"/>
      <c r="T501" s="86"/>
      <c r="U501" s="82"/>
      <c r="V501" s="82"/>
      <c r="X501" s="88"/>
      <c r="AE501" s="86"/>
    </row>
    <row r="502" spans="9:31" x14ac:dyDescent="0.25">
      <c r="I502" s="49"/>
      <c r="J502" s="49"/>
      <c r="K502" s="49"/>
      <c r="M502" s="33"/>
      <c r="T502" s="86"/>
      <c r="U502" s="82"/>
      <c r="V502" s="82"/>
      <c r="X502" s="83"/>
      <c r="AE502" s="86"/>
    </row>
    <row r="503" spans="9:31" x14ac:dyDescent="0.25">
      <c r="I503" s="49"/>
      <c r="J503" s="49"/>
      <c r="K503" s="49"/>
      <c r="M503" s="37"/>
      <c r="T503" s="86"/>
      <c r="U503" s="82"/>
      <c r="V503" s="82"/>
      <c r="X503" s="90"/>
      <c r="AE503" s="86"/>
    </row>
    <row r="504" spans="9:31" x14ac:dyDescent="0.25">
      <c r="I504" s="49"/>
      <c r="J504" s="49"/>
      <c r="K504" s="49"/>
      <c r="M504" s="37"/>
      <c r="T504" s="86"/>
      <c r="U504" s="82"/>
      <c r="V504" s="82"/>
      <c r="X504" s="90"/>
      <c r="AE504" s="86"/>
    </row>
    <row r="505" spans="9:31" x14ac:dyDescent="0.25">
      <c r="I505" s="49"/>
      <c r="J505" s="49"/>
      <c r="K505" s="49"/>
      <c r="M505" s="34"/>
      <c r="T505" s="86"/>
      <c r="U505" s="82"/>
      <c r="V505" s="82"/>
      <c r="X505" s="88"/>
      <c r="AE505" s="86"/>
    </row>
    <row r="506" spans="9:31" x14ac:dyDescent="0.25">
      <c r="I506" s="49"/>
      <c r="J506" s="49"/>
      <c r="K506" s="49"/>
      <c r="M506" s="37"/>
      <c r="T506" s="86"/>
      <c r="U506" s="82"/>
      <c r="V506" s="82"/>
      <c r="X506" s="90"/>
      <c r="AE506" s="86"/>
    </row>
    <row r="507" spans="9:31" x14ac:dyDescent="0.25">
      <c r="I507" s="49"/>
      <c r="J507" s="49"/>
      <c r="K507" s="49"/>
      <c r="M507" s="37"/>
      <c r="T507" s="86"/>
      <c r="U507" s="82"/>
      <c r="V507" s="82"/>
      <c r="X507" s="90"/>
      <c r="AE507" s="86"/>
    </row>
    <row r="508" spans="9:31" x14ac:dyDescent="0.25">
      <c r="I508" s="49"/>
      <c r="J508" s="49"/>
      <c r="K508" s="49"/>
      <c r="M508" s="34"/>
      <c r="T508" s="86"/>
      <c r="U508" s="82"/>
      <c r="V508" s="82"/>
      <c r="X508" s="88"/>
      <c r="AE508" s="86"/>
    </row>
    <row r="509" spans="9:31" x14ac:dyDescent="0.25">
      <c r="I509" s="49"/>
      <c r="J509" s="49"/>
      <c r="K509" s="49"/>
      <c r="M509" s="37"/>
      <c r="T509" s="86"/>
      <c r="U509" s="82"/>
      <c r="V509" s="82"/>
      <c r="X509" s="90"/>
      <c r="AE509" s="86"/>
    </row>
    <row r="510" spans="9:31" x14ac:dyDescent="0.25">
      <c r="I510" s="49"/>
      <c r="J510" s="49"/>
      <c r="K510" s="49"/>
      <c r="M510" s="33"/>
      <c r="T510" s="86"/>
      <c r="U510" s="82"/>
      <c r="V510" s="82"/>
      <c r="X510" s="83"/>
      <c r="AE510" s="86"/>
    </row>
    <row r="511" spans="9:31" x14ac:dyDescent="0.25">
      <c r="I511" s="49"/>
      <c r="J511" s="49"/>
      <c r="K511" s="49"/>
      <c r="M511" s="37"/>
      <c r="T511" s="86"/>
      <c r="U511" s="82"/>
      <c r="V511" s="82"/>
      <c r="X511" s="90"/>
      <c r="AE511" s="86"/>
    </row>
    <row r="512" spans="9:31" x14ac:dyDescent="0.25">
      <c r="I512" s="49"/>
      <c r="J512" s="49"/>
      <c r="K512" s="49"/>
      <c r="M512" s="34"/>
      <c r="T512" s="86"/>
      <c r="U512" s="82"/>
      <c r="V512" s="82"/>
      <c r="X512" s="88"/>
      <c r="AE512" s="86"/>
    </row>
    <row r="513" spans="9:31" x14ac:dyDescent="0.25">
      <c r="I513" s="49"/>
      <c r="J513" s="49"/>
      <c r="K513" s="49"/>
      <c r="M513" s="37"/>
      <c r="T513" s="86"/>
      <c r="U513" s="82"/>
      <c r="V513" s="82"/>
      <c r="X513" s="90"/>
      <c r="AE513" s="86"/>
    </row>
    <row r="514" spans="9:31" x14ac:dyDescent="0.25">
      <c r="I514" s="49"/>
      <c r="J514" s="49"/>
      <c r="K514" s="49"/>
      <c r="M514" s="37"/>
      <c r="T514" s="86"/>
      <c r="U514" s="82"/>
      <c r="V514" s="82"/>
      <c r="X514" s="90"/>
      <c r="AE514" s="86"/>
    </row>
    <row r="515" spans="9:31" x14ac:dyDescent="0.25">
      <c r="I515" s="49"/>
      <c r="J515" s="49"/>
      <c r="K515" s="49"/>
      <c r="M515" s="34"/>
      <c r="T515" s="86"/>
      <c r="U515" s="82"/>
      <c r="V515" s="82"/>
      <c r="X515" s="88"/>
      <c r="AE515" s="86"/>
    </row>
    <row r="516" spans="9:31" x14ac:dyDescent="0.25">
      <c r="I516" s="49"/>
      <c r="J516" s="49"/>
      <c r="K516" s="49"/>
      <c r="M516" s="37"/>
      <c r="T516" s="86"/>
      <c r="U516" s="82"/>
      <c r="V516" s="82"/>
      <c r="X516" s="90"/>
      <c r="AE516" s="86"/>
    </row>
    <row r="517" spans="9:31" x14ac:dyDescent="0.25">
      <c r="I517" s="49"/>
      <c r="J517" s="49"/>
      <c r="K517" s="49"/>
      <c r="M517" s="33"/>
      <c r="T517" s="86"/>
      <c r="U517" s="82"/>
      <c r="V517" s="82"/>
      <c r="X517" s="83"/>
      <c r="AE517" s="86"/>
    </row>
    <row r="518" spans="9:31" x14ac:dyDescent="0.25">
      <c r="I518" s="49"/>
      <c r="J518" s="49"/>
      <c r="K518" s="49"/>
      <c r="M518" s="37"/>
      <c r="T518" s="86"/>
      <c r="U518" s="82"/>
      <c r="V518" s="82"/>
      <c r="X518" s="90"/>
      <c r="AE518" s="86"/>
    </row>
    <row r="519" spans="9:31" x14ac:dyDescent="0.25">
      <c r="I519" s="49"/>
      <c r="J519" s="49"/>
      <c r="K519" s="49"/>
      <c r="M519" s="34"/>
      <c r="T519" s="86"/>
      <c r="U519" s="82"/>
      <c r="V519" s="82"/>
      <c r="X519" s="88"/>
      <c r="AE519" s="86"/>
    </row>
    <row r="520" spans="9:31" x14ac:dyDescent="0.25">
      <c r="I520" s="49"/>
      <c r="J520" s="49"/>
      <c r="K520" s="49"/>
      <c r="M520" s="37"/>
      <c r="T520" s="86"/>
      <c r="U520" s="82"/>
      <c r="V520" s="82"/>
      <c r="X520" s="90"/>
      <c r="AE520" s="86"/>
    </row>
    <row r="521" spans="9:31" x14ac:dyDescent="0.25">
      <c r="I521" s="49"/>
      <c r="J521" s="49"/>
      <c r="K521" s="49"/>
      <c r="M521" s="37"/>
      <c r="T521" s="86"/>
      <c r="U521" s="82"/>
      <c r="V521" s="82"/>
      <c r="X521" s="90"/>
      <c r="AE521" s="86"/>
    </row>
    <row r="522" spans="9:31" x14ac:dyDescent="0.25">
      <c r="I522" s="49"/>
      <c r="J522" s="49"/>
      <c r="K522" s="49"/>
      <c r="M522" s="34"/>
      <c r="T522" s="86"/>
      <c r="U522" s="82"/>
      <c r="V522" s="82"/>
      <c r="X522" s="88"/>
      <c r="AE522" s="86"/>
    </row>
    <row r="523" spans="9:31" x14ac:dyDescent="0.25">
      <c r="I523" s="49"/>
      <c r="J523" s="49"/>
      <c r="K523" s="49"/>
      <c r="M523" s="37"/>
      <c r="T523" s="86"/>
      <c r="U523" s="82"/>
      <c r="V523" s="82"/>
      <c r="X523" s="90"/>
      <c r="AE523" s="86"/>
    </row>
    <row r="524" spans="9:31" x14ac:dyDescent="0.25">
      <c r="I524" s="49"/>
      <c r="J524" s="49"/>
      <c r="K524" s="49"/>
      <c r="M524" s="33"/>
      <c r="T524" s="86"/>
      <c r="U524" s="82"/>
      <c r="V524" s="82"/>
      <c r="X524" s="83"/>
      <c r="AE524" s="86"/>
    </row>
    <row r="525" spans="9:31" x14ac:dyDescent="0.25">
      <c r="I525" s="49"/>
      <c r="J525" s="49"/>
      <c r="K525" s="49"/>
      <c r="M525" s="37"/>
      <c r="T525" s="86"/>
      <c r="U525" s="82"/>
      <c r="V525" s="82"/>
      <c r="X525" s="90"/>
      <c r="AE525" s="86"/>
    </row>
    <row r="526" spans="9:31" x14ac:dyDescent="0.25">
      <c r="I526" s="49"/>
      <c r="J526" s="49"/>
      <c r="K526" s="49"/>
      <c r="M526" s="34"/>
      <c r="T526" s="86"/>
      <c r="U526" s="82"/>
      <c r="V526" s="82"/>
      <c r="X526" s="88"/>
      <c r="AE526" s="86"/>
    </row>
    <row r="527" spans="9:31" x14ac:dyDescent="0.25">
      <c r="I527" s="49"/>
      <c r="J527" s="49"/>
      <c r="K527" s="49"/>
      <c r="M527" s="37"/>
      <c r="T527" s="86"/>
      <c r="U527" s="82"/>
      <c r="V527" s="82"/>
      <c r="X527" s="90"/>
      <c r="AE527" s="86"/>
    </row>
    <row r="528" spans="9:31" x14ac:dyDescent="0.25">
      <c r="I528" s="49"/>
      <c r="J528" s="49"/>
      <c r="K528" s="49"/>
      <c r="M528" s="37"/>
      <c r="T528" s="86"/>
      <c r="U528" s="82"/>
      <c r="V528" s="82"/>
      <c r="X528" s="90"/>
      <c r="AE528" s="86"/>
    </row>
    <row r="529" spans="9:31" x14ac:dyDescent="0.25">
      <c r="I529" s="49"/>
      <c r="J529" s="49"/>
      <c r="K529" s="49"/>
      <c r="M529" s="34"/>
      <c r="T529" s="86"/>
      <c r="U529" s="82"/>
      <c r="V529" s="82"/>
      <c r="X529" s="88"/>
      <c r="AE529" s="86"/>
    </row>
    <row r="530" spans="9:31" x14ac:dyDescent="0.25">
      <c r="I530" s="49"/>
      <c r="J530" s="49"/>
      <c r="K530" s="49"/>
      <c r="M530" s="37"/>
      <c r="T530" s="86"/>
      <c r="U530" s="82"/>
      <c r="V530" s="82"/>
      <c r="X530" s="90"/>
      <c r="AE530" s="86"/>
    </row>
    <row r="531" spans="9:31" x14ac:dyDescent="0.25">
      <c r="I531" s="49"/>
      <c r="J531" s="49"/>
      <c r="K531" s="49"/>
      <c r="M531" s="37"/>
      <c r="T531" s="86"/>
      <c r="U531" s="82"/>
      <c r="V531" s="82"/>
      <c r="X531" s="90"/>
      <c r="AE531" s="86"/>
    </row>
    <row r="532" spans="9:31" x14ac:dyDescent="0.25">
      <c r="I532" s="49"/>
      <c r="J532" s="49"/>
      <c r="K532" s="49"/>
      <c r="M532" s="33"/>
      <c r="T532" s="86"/>
      <c r="U532" s="82"/>
      <c r="V532" s="82"/>
      <c r="X532" s="83"/>
      <c r="AE532" s="86"/>
    </row>
    <row r="533" spans="9:31" x14ac:dyDescent="0.25">
      <c r="I533" s="49"/>
      <c r="J533" s="49"/>
      <c r="K533" s="49"/>
      <c r="M533" s="34"/>
      <c r="T533" s="86"/>
      <c r="U533" s="82"/>
      <c r="V533" s="82"/>
      <c r="X533" s="88"/>
      <c r="AE533" s="86"/>
    </row>
    <row r="534" spans="9:31" x14ac:dyDescent="0.25">
      <c r="I534" s="49"/>
      <c r="J534" s="49"/>
      <c r="K534" s="49"/>
      <c r="M534" s="37"/>
      <c r="T534" s="86"/>
      <c r="U534" s="82"/>
      <c r="V534" s="82"/>
      <c r="X534" s="90"/>
      <c r="AE534" s="86"/>
    </row>
    <row r="535" spans="9:31" x14ac:dyDescent="0.25">
      <c r="I535" s="49"/>
      <c r="J535" s="49"/>
      <c r="K535" s="49"/>
      <c r="M535" s="37"/>
      <c r="T535" s="86"/>
      <c r="U535" s="82"/>
      <c r="V535" s="82"/>
      <c r="X535" s="90"/>
      <c r="AE535" s="86"/>
    </row>
    <row r="536" spans="9:31" x14ac:dyDescent="0.25">
      <c r="I536" s="49"/>
      <c r="J536" s="49"/>
      <c r="K536" s="49"/>
      <c r="M536" s="34"/>
      <c r="T536" s="86"/>
      <c r="U536" s="82"/>
      <c r="V536" s="82"/>
      <c r="X536" s="88"/>
      <c r="AE536" s="86"/>
    </row>
    <row r="537" spans="9:31" x14ac:dyDescent="0.25">
      <c r="I537" s="49"/>
      <c r="J537" s="49"/>
      <c r="K537" s="49"/>
      <c r="M537" s="37"/>
      <c r="T537" s="86"/>
      <c r="U537" s="82"/>
      <c r="V537" s="82"/>
      <c r="X537" s="90"/>
      <c r="AE537" s="86"/>
    </row>
    <row r="538" spans="9:31" x14ac:dyDescent="0.25">
      <c r="I538" s="49"/>
      <c r="J538" s="49"/>
      <c r="K538" s="49"/>
      <c r="M538" s="37"/>
      <c r="T538" s="86"/>
      <c r="U538" s="82"/>
      <c r="V538" s="82"/>
      <c r="X538" s="90"/>
      <c r="AE538" s="86"/>
    </row>
    <row r="539" spans="9:31" x14ac:dyDescent="0.25">
      <c r="I539" s="49"/>
      <c r="J539" s="49"/>
      <c r="K539" s="49"/>
      <c r="M539" s="33"/>
      <c r="T539" s="86"/>
      <c r="U539" s="82"/>
      <c r="V539" s="82"/>
      <c r="X539" s="83"/>
      <c r="AE539" s="86"/>
    </row>
    <row r="540" spans="9:31" x14ac:dyDescent="0.25">
      <c r="I540" s="49"/>
      <c r="J540" s="49"/>
      <c r="K540" s="49"/>
      <c r="M540" s="34"/>
      <c r="T540" s="86"/>
      <c r="U540" s="82"/>
      <c r="V540" s="82"/>
      <c r="X540" s="88"/>
      <c r="AE540" s="86"/>
    </row>
    <row r="541" spans="9:31" x14ac:dyDescent="0.25">
      <c r="I541" s="49"/>
      <c r="J541" s="49"/>
      <c r="K541" s="49"/>
      <c r="M541" s="37"/>
      <c r="T541" s="86"/>
      <c r="U541" s="82"/>
      <c r="V541" s="82"/>
      <c r="X541" s="90"/>
      <c r="AE541" s="86"/>
    </row>
    <row r="542" spans="9:31" x14ac:dyDescent="0.25">
      <c r="I542" s="49"/>
      <c r="J542" s="49"/>
      <c r="K542" s="49"/>
      <c r="M542" s="37"/>
      <c r="T542" s="86"/>
      <c r="U542" s="82"/>
      <c r="V542" s="82"/>
      <c r="X542" s="90"/>
      <c r="AE542" s="86"/>
    </row>
    <row r="543" spans="9:31" x14ac:dyDescent="0.25">
      <c r="I543" s="49"/>
      <c r="J543" s="49"/>
      <c r="K543" s="49"/>
      <c r="M543" s="34"/>
      <c r="T543" s="86"/>
      <c r="U543" s="82"/>
      <c r="V543" s="82"/>
      <c r="X543" s="88"/>
      <c r="AE543" s="86"/>
    </row>
    <row r="544" spans="9:31" x14ac:dyDescent="0.25">
      <c r="I544" s="49"/>
      <c r="J544" s="49"/>
      <c r="K544" s="49"/>
      <c r="M544" s="37"/>
      <c r="T544" s="86"/>
      <c r="U544" s="82"/>
      <c r="V544" s="82"/>
      <c r="X544" s="90"/>
      <c r="AE544" s="86"/>
    </row>
    <row r="545" spans="9:31" x14ac:dyDescent="0.25">
      <c r="I545" s="49"/>
      <c r="J545" s="49"/>
      <c r="K545" s="49"/>
      <c r="M545" s="37"/>
      <c r="T545" s="86"/>
      <c r="U545" s="82"/>
      <c r="V545" s="82"/>
      <c r="X545" s="90"/>
      <c r="AE545" s="86"/>
    </row>
    <row r="546" spans="9:31" x14ac:dyDescent="0.25">
      <c r="I546" s="49"/>
      <c r="J546" s="49"/>
      <c r="K546" s="49"/>
      <c r="M546" s="34"/>
      <c r="T546" s="86"/>
      <c r="U546" s="82"/>
      <c r="V546" s="82"/>
      <c r="X546" s="88"/>
      <c r="AE546" s="86"/>
    </row>
    <row r="547" spans="9:31" x14ac:dyDescent="0.25">
      <c r="I547" s="49"/>
      <c r="J547" s="49"/>
      <c r="K547" s="49"/>
      <c r="M547" s="33"/>
      <c r="T547" s="86"/>
      <c r="U547" s="82"/>
      <c r="V547" s="82"/>
      <c r="X547" s="83"/>
      <c r="AE547" s="86"/>
    </row>
    <row r="548" spans="9:31" x14ac:dyDescent="0.25">
      <c r="I548" s="49"/>
      <c r="J548" s="49"/>
      <c r="K548" s="49"/>
      <c r="M548" s="37"/>
      <c r="T548" s="86"/>
      <c r="U548" s="82"/>
      <c r="V548" s="82"/>
      <c r="X548" s="90"/>
      <c r="AE548" s="86"/>
    </row>
    <row r="549" spans="9:31" x14ac:dyDescent="0.25">
      <c r="I549" s="49"/>
      <c r="J549" s="49"/>
      <c r="K549" s="49"/>
      <c r="M549" s="37"/>
      <c r="T549" s="86"/>
      <c r="U549" s="82"/>
      <c r="V549" s="82"/>
      <c r="X549" s="90"/>
      <c r="AE549" s="86"/>
    </row>
    <row r="550" spans="9:31" x14ac:dyDescent="0.25">
      <c r="I550" s="49"/>
      <c r="J550" s="49"/>
      <c r="K550" s="49"/>
      <c r="M550" s="34"/>
      <c r="T550" s="86"/>
      <c r="U550" s="82"/>
      <c r="V550" s="82"/>
      <c r="X550" s="88"/>
      <c r="AE550" s="86"/>
    </row>
    <row r="551" spans="9:31" x14ac:dyDescent="0.25">
      <c r="I551" s="49"/>
      <c r="J551" s="49"/>
      <c r="K551" s="49"/>
      <c r="M551" s="37"/>
      <c r="T551" s="86"/>
      <c r="U551" s="82"/>
      <c r="V551" s="82"/>
      <c r="X551" s="90"/>
      <c r="AE551" s="86"/>
    </row>
    <row r="552" spans="9:31" x14ac:dyDescent="0.25">
      <c r="I552" s="49"/>
      <c r="J552" s="49"/>
      <c r="K552" s="49"/>
      <c r="M552" s="37"/>
      <c r="T552" s="86"/>
      <c r="U552" s="82"/>
      <c r="V552" s="82"/>
      <c r="X552" s="90"/>
      <c r="AE552" s="86"/>
    </row>
    <row r="553" spans="9:31" x14ac:dyDescent="0.25">
      <c r="I553" s="49"/>
      <c r="J553" s="49"/>
      <c r="K553" s="49"/>
      <c r="M553" s="34"/>
      <c r="T553" s="86"/>
      <c r="U553" s="82"/>
      <c r="V553" s="82"/>
      <c r="X553" s="88"/>
      <c r="AE553" s="86"/>
    </row>
    <row r="554" spans="9:31" x14ac:dyDescent="0.25">
      <c r="I554" s="49"/>
      <c r="J554" s="49"/>
      <c r="K554" s="49"/>
      <c r="M554" s="33"/>
      <c r="T554" s="86"/>
      <c r="U554" s="82"/>
      <c r="V554" s="82"/>
      <c r="X554" s="83"/>
      <c r="AE554" s="86"/>
    </row>
    <row r="555" spans="9:31" x14ac:dyDescent="0.25">
      <c r="I555" s="49"/>
      <c r="J555" s="49"/>
      <c r="K555" s="49"/>
      <c r="M555" s="37"/>
      <c r="T555" s="86"/>
      <c r="U555" s="82"/>
      <c r="V555" s="82"/>
      <c r="X555" s="90"/>
    </row>
    <row r="556" spans="9:31" x14ac:dyDescent="0.25">
      <c r="I556" s="49"/>
      <c r="J556" s="49"/>
      <c r="K556" s="49"/>
      <c r="M556" s="37"/>
      <c r="T556" s="86"/>
      <c r="U556" s="82"/>
      <c r="V556" s="82"/>
      <c r="X556" s="90"/>
    </row>
    <row r="557" spans="9:31" x14ac:dyDescent="0.25">
      <c r="I557" s="49"/>
      <c r="J557" s="49"/>
      <c r="K557" s="49"/>
      <c r="M557" s="34"/>
      <c r="T557" s="86"/>
      <c r="U557" s="82"/>
      <c r="V557" s="82"/>
      <c r="X557" s="88"/>
    </row>
    <row r="558" spans="9:31" x14ac:dyDescent="0.25">
      <c r="I558" s="49"/>
      <c r="J558" s="49"/>
      <c r="K558" s="49"/>
      <c r="M558" s="37"/>
      <c r="T558" s="86"/>
      <c r="U558" s="82"/>
      <c r="V558" s="82"/>
      <c r="X558" s="90"/>
    </row>
    <row r="559" spans="9:31" x14ac:dyDescent="0.25">
      <c r="I559" s="49"/>
      <c r="J559" s="49"/>
      <c r="K559" s="49"/>
      <c r="M559" s="37"/>
      <c r="T559" s="86"/>
      <c r="U559" s="82"/>
      <c r="V559" s="82"/>
      <c r="X559" s="90"/>
    </row>
    <row r="560" spans="9:31" x14ac:dyDescent="0.25">
      <c r="I560" s="49"/>
      <c r="J560" s="49"/>
      <c r="K560" s="49"/>
      <c r="M560" s="34"/>
      <c r="T560" s="86"/>
      <c r="U560" s="82"/>
      <c r="V560" s="82"/>
      <c r="X560" s="88"/>
    </row>
    <row r="561" spans="9:24" x14ac:dyDescent="0.25">
      <c r="I561" s="49"/>
      <c r="J561" s="49"/>
      <c r="K561" s="49"/>
      <c r="M561" s="37"/>
      <c r="T561" s="86"/>
      <c r="U561" s="82"/>
      <c r="V561" s="82"/>
      <c r="X561" s="90"/>
    </row>
    <row r="562" spans="9:24" x14ac:dyDescent="0.25">
      <c r="I562" s="49"/>
      <c r="J562" s="49"/>
      <c r="K562" s="49"/>
      <c r="M562" s="33"/>
      <c r="T562" s="86"/>
      <c r="U562" s="82"/>
      <c r="V562" s="82"/>
      <c r="X562" s="83"/>
    </row>
    <row r="563" spans="9:24" x14ac:dyDescent="0.25">
      <c r="I563" s="49"/>
      <c r="J563" s="49"/>
      <c r="K563" s="49"/>
      <c r="M563" s="37"/>
      <c r="T563" s="86"/>
      <c r="U563" s="82"/>
      <c r="V563" s="82"/>
      <c r="X563" s="90"/>
    </row>
    <row r="564" spans="9:24" x14ac:dyDescent="0.25">
      <c r="I564" s="49"/>
      <c r="J564" s="49"/>
      <c r="K564" s="49"/>
      <c r="M564" s="34"/>
      <c r="T564" s="86"/>
      <c r="U564" s="82"/>
      <c r="V564" s="82"/>
      <c r="X564" s="88"/>
    </row>
    <row r="565" spans="9:24" x14ac:dyDescent="0.25">
      <c r="I565" s="49"/>
      <c r="J565" s="49"/>
      <c r="K565" s="49"/>
      <c r="M565" s="37"/>
      <c r="T565" s="86"/>
      <c r="U565" s="82"/>
      <c r="V565" s="82"/>
      <c r="X565" s="90"/>
    </row>
    <row r="566" spans="9:24" x14ac:dyDescent="0.25">
      <c r="I566" s="49"/>
      <c r="J566" s="49"/>
      <c r="K566" s="49"/>
      <c r="M566" s="37"/>
      <c r="T566" s="86"/>
      <c r="U566" s="82"/>
      <c r="V566" s="82"/>
      <c r="X566" s="90"/>
    </row>
    <row r="567" spans="9:24" x14ac:dyDescent="0.25">
      <c r="I567" s="49"/>
      <c r="J567" s="49"/>
      <c r="K567" s="49"/>
      <c r="M567" s="34"/>
      <c r="T567" s="86"/>
      <c r="U567" s="82"/>
      <c r="V567" s="82"/>
      <c r="X567" s="88"/>
    </row>
    <row r="568" spans="9:24" x14ac:dyDescent="0.25">
      <c r="I568" s="49"/>
      <c r="J568" s="49"/>
      <c r="K568" s="49"/>
      <c r="M568" s="37"/>
      <c r="T568" s="86"/>
      <c r="U568" s="82"/>
      <c r="V568" s="82"/>
      <c r="X568" s="90"/>
    </row>
    <row r="569" spans="9:24" x14ac:dyDescent="0.25">
      <c r="I569" s="49"/>
      <c r="J569" s="49"/>
      <c r="K569" s="49"/>
      <c r="M569" s="33"/>
      <c r="T569" s="86"/>
      <c r="U569" s="82"/>
      <c r="V569" s="82"/>
      <c r="X569" s="83"/>
    </row>
    <row r="570" spans="9:24" x14ac:dyDescent="0.25">
      <c r="I570" s="49"/>
      <c r="J570" s="49"/>
      <c r="K570" s="49"/>
      <c r="M570" s="37"/>
      <c r="T570" s="86"/>
      <c r="U570" s="82"/>
      <c r="V570" s="82"/>
      <c r="X570" s="90"/>
    </row>
    <row r="571" spans="9:24" x14ac:dyDescent="0.25">
      <c r="I571" s="49"/>
      <c r="J571" s="49"/>
      <c r="K571" s="49"/>
      <c r="M571" s="34"/>
      <c r="T571" s="86"/>
      <c r="U571" s="82"/>
      <c r="V571" s="82"/>
      <c r="X571" s="88"/>
    </row>
    <row r="572" spans="9:24" x14ac:dyDescent="0.25">
      <c r="I572" s="49"/>
      <c r="J572" s="49"/>
      <c r="K572" s="49"/>
      <c r="M572" s="37"/>
      <c r="T572" s="86"/>
      <c r="U572" s="82"/>
      <c r="V572" s="82"/>
      <c r="X572" s="90"/>
    </row>
    <row r="573" spans="9:24" x14ac:dyDescent="0.25">
      <c r="I573" s="49"/>
      <c r="J573" s="49"/>
      <c r="K573" s="49"/>
      <c r="M573" s="37"/>
      <c r="T573" s="86"/>
      <c r="U573" s="82"/>
      <c r="V573" s="82"/>
      <c r="X573" s="90"/>
    </row>
    <row r="574" spans="9:24" x14ac:dyDescent="0.25">
      <c r="I574" s="49"/>
      <c r="J574" s="49"/>
      <c r="K574" s="49"/>
      <c r="M574" s="34"/>
      <c r="U574" s="82"/>
      <c r="V574" s="82"/>
      <c r="X574" s="88"/>
    </row>
    <row r="575" spans="9:24" x14ac:dyDescent="0.25">
      <c r="I575" s="49"/>
      <c r="J575" s="49"/>
      <c r="K575" s="49"/>
      <c r="M575" s="33"/>
      <c r="U575" s="82"/>
      <c r="V575" s="82"/>
      <c r="X575" s="83"/>
    </row>
    <row r="576" spans="9:24" x14ac:dyDescent="0.25">
      <c r="I576" s="49"/>
      <c r="J576" s="49"/>
      <c r="K576" s="49"/>
      <c r="M576" s="37"/>
      <c r="U576" s="82"/>
      <c r="V576" s="82"/>
      <c r="X576" s="90"/>
    </row>
    <row r="577" spans="9:24" x14ac:dyDescent="0.25">
      <c r="I577" s="49"/>
      <c r="J577" s="49"/>
      <c r="K577" s="49"/>
      <c r="M577" s="34"/>
      <c r="U577" s="82"/>
      <c r="V577" s="82"/>
      <c r="X577" s="88"/>
    </row>
    <row r="578" spans="9:24" x14ac:dyDescent="0.25">
      <c r="I578" s="49"/>
      <c r="J578" s="49"/>
      <c r="K578" s="49"/>
      <c r="M578" s="37"/>
      <c r="U578" s="82"/>
      <c r="V578" s="82"/>
      <c r="X578" s="90"/>
    </row>
    <row r="579" spans="9:24" x14ac:dyDescent="0.25">
      <c r="I579" s="49"/>
      <c r="J579" s="49"/>
      <c r="K579" s="49"/>
      <c r="M579" s="37"/>
      <c r="U579" s="82"/>
      <c r="V579" s="82"/>
      <c r="X579" s="90"/>
    </row>
    <row r="580" spans="9:24" x14ac:dyDescent="0.25">
      <c r="I580" s="49"/>
      <c r="J580" s="49"/>
      <c r="K580" s="49"/>
      <c r="M580" s="34"/>
      <c r="U580" s="82"/>
      <c r="V580" s="82"/>
      <c r="X580" s="88"/>
    </row>
    <row r="581" spans="9:24" x14ac:dyDescent="0.25">
      <c r="I581" s="49"/>
      <c r="J581" s="49"/>
      <c r="K581" s="49"/>
      <c r="M581" s="37"/>
      <c r="U581" s="82"/>
      <c r="V581" s="82"/>
      <c r="X581" s="90"/>
    </row>
    <row r="582" spans="9:24" x14ac:dyDescent="0.25">
      <c r="I582" s="49"/>
      <c r="J582" s="49"/>
      <c r="K582" s="49"/>
      <c r="M582" s="33"/>
      <c r="U582" s="82"/>
      <c r="V582" s="82"/>
      <c r="X582" s="83"/>
    </row>
    <row r="583" spans="9:24" x14ac:dyDescent="0.25">
      <c r="I583" s="49"/>
      <c r="J583" s="49"/>
      <c r="K583" s="49"/>
      <c r="M583" s="34"/>
      <c r="U583" s="82"/>
      <c r="V583" s="82"/>
      <c r="X583" s="88"/>
    </row>
    <row r="584" spans="9:24" x14ac:dyDescent="0.25">
      <c r="I584" s="49"/>
      <c r="J584" s="49"/>
      <c r="K584" s="49"/>
      <c r="M584" s="37"/>
      <c r="U584" s="82"/>
      <c r="V584" s="82"/>
      <c r="X584" s="90"/>
    </row>
    <row r="585" spans="9:24" x14ac:dyDescent="0.25">
      <c r="I585" s="49"/>
      <c r="J585" s="49"/>
      <c r="K585" s="49"/>
      <c r="M585" s="37"/>
      <c r="U585" s="82"/>
      <c r="V585" s="82"/>
      <c r="X585" s="90"/>
    </row>
    <row r="586" spans="9:24" x14ac:dyDescent="0.25">
      <c r="I586" s="49"/>
      <c r="J586" s="49"/>
      <c r="K586" s="49"/>
      <c r="M586" s="34"/>
      <c r="U586" s="82"/>
      <c r="V586" s="82"/>
      <c r="X586" s="88"/>
    </row>
    <row r="587" spans="9:24" x14ac:dyDescent="0.25">
      <c r="I587" s="49"/>
      <c r="J587" s="49"/>
      <c r="K587" s="49"/>
      <c r="M587" s="37"/>
      <c r="U587" s="82"/>
      <c r="V587" s="82"/>
      <c r="X587" s="90"/>
    </row>
    <row r="588" spans="9:24" x14ac:dyDescent="0.25">
      <c r="I588" s="49"/>
      <c r="J588" s="49"/>
      <c r="K588" s="49"/>
      <c r="M588" s="37"/>
      <c r="U588" s="82"/>
      <c r="V588" s="82"/>
      <c r="X588" s="90"/>
    </row>
    <row r="589" spans="9:24" x14ac:dyDescent="0.25">
      <c r="I589" s="49"/>
      <c r="J589" s="49"/>
      <c r="K589" s="49"/>
      <c r="M589" s="33"/>
      <c r="U589" s="82"/>
      <c r="V589" s="82"/>
      <c r="X589" s="83"/>
    </row>
    <row r="590" spans="9:24" x14ac:dyDescent="0.25">
      <c r="I590" s="49"/>
      <c r="J590" s="49"/>
      <c r="K590" s="49"/>
      <c r="M590" s="34"/>
      <c r="U590" s="82"/>
      <c r="V590" s="82"/>
      <c r="X590" s="88"/>
    </row>
    <row r="591" spans="9:24" x14ac:dyDescent="0.25">
      <c r="I591" s="49"/>
      <c r="J591" s="49"/>
      <c r="K591" s="49"/>
      <c r="M591" s="37"/>
      <c r="U591" s="82"/>
      <c r="V591" s="82"/>
      <c r="X591" s="90"/>
    </row>
    <row r="592" spans="9:24" x14ac:dyDescent="0.25">
      <c r="I592" s="49"/>
      <c r="J592" s="49"/>
      <c r="K592" s="49"/>
      <c r="L592" s="71"/>
      <c r="M592" s="37"/>
      <c r="U592" s="82"/>
      <c r="V592" s="82"/>
      <c r="X592" s="90"/>
    </row>
    <row r="593" spans="9:32" x14ac:dyDescent="0.25">
      <c r="I593" s="49"/>
      <c r="J593" s="49"/>
      <c r="K593" s="49"/>
      <c r="M593" s="34"/>
      <c r="U593" s="82"/>
      <c r="V593" s="82"/>
      <c r="X593" s="88"/>
    </row>
    <row r="594" spans="9:32" x14ac:dyDescent="0.25">
      <c r="I594" s="49"/>
      <c r="J594" s="49"/>
      <c r="K594" s="49"/>
      <c r="M594" s="37"/>
      <c r="U594" s="82"/>
      <c r="V594" s="82"/>
      <c r="X594" s="90"/>
    </row>
    <row r="595" spans="9:32" x14ac:dyDescent="0.25">
      <c r="I595" s="49"/>
      <c r="J595" s="49"/>
      <c r="K595" s="49"/>
      <c r="M595" s="34"/>
      <c r="U595" s="82"/>
      <c r="V595" s="82"/>
      <c r="X595" s="88"/>
    </row>
    <row r="596" spans="9:32" x14ac:dyDescent="0.25">
      <c r="I596" s="49"/>
      <c r="J596" s="49"/>
      <c r="K596" s="49"/>
      <c r="M596" s="38"/>
      <c r="U596" s="82"/>
      <c r="V596" s="82"/>
      <c r="W596" s="91"/>
      <c r="X596" s="91"/>
    </row>
    <row r="597" spans="9:32" x14ac:dyDescent="0.25">
      <c r="I597" s="49"/>
      <c r="J597" s="49"/>
      <c r="K597" s="49"/>
      <c r="M597" s="37"/>
      <c r="U597" s="82"/>
      <c r="V597" s="82"/>
      <c r="X597" s="90"/>
    </row>
    <row r="598" spans="9:32" x14ac:dyDescent="0.25">
      <c r="I598" s="49"/>
      <c r="J598" s="49"/>
      <c r="K598" s="49"/>
      <c r="M598" s="34"/>
      <c r="U598" s="82"/>
      <c r="V598" s="82"/>
      <c r="X598" s="88"/>
    </row>
    <row r="599" spans="9:32" x14ac:dyDescent="0.25">
      <c r="I599" s="49"/>
      <c r="J599" s="49"/>
      <c r="K599" s="49"/>
      <c r="M599" s="37"/>
      <c r="U599" s="82"/>
      <c r="V599" s="82"/>
      <c r="X599" s="90"/>
    </row>
    <row r="600" spans="9:32" x14ac:dyDescent="0.25">
      <c r="I600" s="49"/>
      <c r="J600" s="49"/>
      <c r="K600" s="49"/>
      <c r="M600" s="37"/>
      <c r="U600" s="82"/>
      <c r="V600" s="82"/>
      <c r="X600" s="90"/>
    </row>
    <row r="601" spans="9:32" x14ac:dyDescent="0.25">
      <c r="I601" s="49"/>
      <c r="J601" s="49"/>
      <c r="K601" s="49"/>
      <c r="M601" s="34"/>
      <c r="U601" s="82"/>
      <c r="V601" s="82"/>
      <c r="X601" s="88"/>
    </row>
    <row r="602" spans="9:32" x14ac:dyDescent="0.25">
      <c r="I602" s="49"/>
      <c r="J602" s="49"/>
      <c r="K602" s="49"/>
      <c r="M602" s="33"/>
      <c r="U602" s="82"/>
      <c r="V602" s="82"/>
      <c r="X602" s="83"/>
    </row>
    <row r="603" spans="9:32" x14ac:dyDescent="0.25">
      <c r="I603" s="49"/>
      <c r="J603" s="49"/>
      <c r="K603" s="49"/>
      <c r="M603" s="37"/>
      <c r="U603" s="82"/>
      <c r="V603" s="82"/>
      <c r="X603" s="90"/>
    </row>
    <row r="604" spans="9:32" x14ac:dyDescent="0.25">
      <c r="I604" s="49"/>
      <c r="J604" s="49"/>
      <c r="K604" s="49"/>
      <c r="M604" s="37"/>
      <c r="U604" s="82"/>
      <c r="V604" s="82"/>
      <c r="X604" s="90"/>
      <c r="AF604" s="91"/>
    </row>
    <row r="605" spans="9:32" x14ac:dyDescent="0.25">
      <c r="I605" s="49"/>
      <c r="J605" s="49"/>
      <c r="K605" s="49"/>
      <c r="M605" s="34"/>
      <c r="U605" s="82"/>
      <c r="V605" s="82"/>
      <c r="X605" s="88"/>
    </row>
    <row r="606" spans="9:32" x14ac:dyDescent="0.25">
      <c r="I606" s="49"/>
      <c r="J606" s="49"/>
      <c r="K606" s="49"/>
      <c r="M606" s="37"/>
      <c r="U606" s="82"/>
      <c r="V606" s="82"/>
      <c r="X606" s="90"/>
    </row>
    <row r="607" spans="9:32" x14ac:dyDescent="0.25">
      <c r="I607" s="49"/>
      <c r="J607" s="49"/>
      <c r="K607" s="49"/>
      <c r="M607" s="37"/>
      <c r="U607" s="82"/>
      <c r="V607" s="82"/>
      <c r="X607" s="90"/>
    </row>
    <row r="608" spans="9:32" x14ac:dyDescent="0.25">
      <c r="I608" s="49"/>
      <c r="J608" s="49"/>
      <c r="K608" s="49"/>
      <c r="M608" s="34"/>
      <c r="U608" s="82"/>
      <c r="V608" s="82"/>
      <c r="X608" s="88"/>
    </row>
    <row r="609" spans="9:24" x14ac:dyDescent="0.25">
      <c r="I609" s="49"/>
      <c r="J609" s="49"/>
      <c r="K609" s="49"/>
      <c r="M609" s="37"/>
      <c r="U609" s="82"/>
      <c r="V609" s="82"/>
      <c r="X609" s="90"/>
    </row>
    <row r="610" spans="9:24" x14ac:dyDescent="0.25">
      <c r="I610" s="49"/>
      <c r="J610" s="49"/>
      <c r="K610" s="49"/>
      <c r="M610" s="33"/>
      <c r="U610" s="82"/>
      <c r="V610" s="82"/>
      <c r="X610" s="83"/>
    </row>
    <row r="611" spans="9:24" x14ac:dyDescent="0.25">
      <c r="I611" s="49"/>
      <c r="J611" s="49"/>
      <c r="K611" s="49"/>
      <c r="M611" s="37"/>
      <c r="U611" s="82"/>
      <c r="V611" s="82"/>
      <c r="X611" s="90"/>
    </row>
    <row r="612" spans="9:24" x14ac:dyDescent="0.25">
      <c r="I612" s="49"/>
      <c r="J612" s="49"/>
      <c r="K612" s="49"/>
      <c r="M612" s="34"/>
      <c r="U612" s="82"/>
      <c r="V612" s="82"/>
      <c r="X612" s="88"/>
    </row>
    <row r="613" spans="9:24" x14ac:dyDescent="0.25">
      <c r="I613" s="49"/>
      <c r="J613" s="49"/>
      <c r="K613" s="49"/>
      <c r="M613" s="37"/>
      <c r="U613" s="82"/>
      <c r="V613" s="82"/>
      <c r="X613" s="90"/>
    </row>
    <row r="614" spans="9:24" x14ac:dyDescent="0.25">
      <c r="I614" s="49"/>
      <c r="J614" s="49"/>
      <c r="K614" s="49"/>
      <c r="M614" s="37"/>
      <c r="U614" s="82"/>
      <c r="V614" s="82"/>
      <c r="X614" s="90"/>
    </row>
    <row r="615" spans="9:24" x14ac:dyDescent="0.25">
      <c r="I615" s="49"/>
      <c r="J615" s="49"/>
      <c r="K615" s="49"/>
      <c r="M615" s="34"/>
      <c r="U615" s="82"/>
      <c r="V615" s="82"/>
      <c r="X615" s="88"/>
    </row>
    <row r="616" spans="9:24" x14ac:dyDescent="0.25">
      <c r="I616" s="49"/>
      <c r="J616" s="49"/>
      <c r="K616" s="49"/>
      <c r="M616" s="37"/>
      <c r="U616" s="82"/>
      <c r="V616" s="82"/>
      <c r="X616" s="90"/>
    </row>
    <row r="617" spans="9:24" x14ac:dyDescent="0.25">
      <c r="I617" s="49"/>
      <c r="J617" s="49"/>
      <c r="K617" s="49"/>
      <c r="M617" s="33"/>
      <c r="U617" s="82"/>
      <c r="V617" s="82"/>
      <c r="X617" s="83"/>
    </row>
    <row r="618" spans="9:24" x14ac:dyDescent="0.25">
      <c r="I618" s="49"/>
      <c r="J618" s="49"/>
      <c r="K618" s="49"/>
      <c r="M618" s="37"/>
      <c r="U618" s="82"/>
      <c r="V618" s="82"/>
      <c r="X618" s="90"/>
    </row>
    <row r="619" spans="9:24" x14ac:dyDescent="0.25">
      <c r="I619" s="49"/>
      <c r="J619" s="49"/>
      <c r="K619" s="49"/>
      <c r="M619" s="34"/>
      <c r="U619" s="82"/>
      <c r="V619" s="82"/>
      <c r="X619" s="88"/>
    </row>
    <row r="620" spans="9:24" x14ac:dyDescent="0.25">
      <c r="I620" s="49"/>
      <c r="J620" s="49"/>
      <c r="K620" s="49"/>
      <c r="M620" s="37"/>
      <c r="U620" s="82"/>
      <c r="V620" s="82"/>
      <c r="X620" s="90"/>
    </row>
    <row r="621" spans="9:24" x14ac:dyDescent="0.25">
      <c r="I621" s="49"/>
      <c r="J621" s="49"/>
      <c r="K621" s="49"/>
      <c r="M621" s="37"/>
      <c r="U621" s="82"/>
      <c r="V621" s="82"/>
      <c r="X621" s="90"/>
    </row>
    <row r="622" spans="9:24" x14ac:dyDescent="0.25">
      <c r="I622" s="49"/>
      <c r="J622" s="49"/>
      <c r="K622" s="49"/>
      <c r="M622" s="34"/>
      <c r="U622" s="82"/>
      <c r="V622" s="82"/>
      <c r="X622" s="88"/>
    </row>
    <row r="623" spans="9:24" x14ac:dyDescent="0.25">
      <c r="I623" s="49"/>
      <c r="J623" s="49"/>
      <c r="K623" s="49"/>
      <c r="M623" s="37"/>
      <c r="U623" s="82"/>
      <c r="V623" s="82"/>
      <c r="X623" s="90"/>
    </row>
    <row r="624" spans="9:24" x14ac:dyDescent="0.25">
      <c r="I624" s="49"/>
      <c r="J624" s="49"/>
      <c r="K624" s="49"/>
      <c r="M624" s="33"/>
      <c r="U624" s="82"/>
      <c r="V624" s="82"/>
      <c r="X624" s="83"/>
    </row>
    <row r="625" spans="9:24" x14ac:dyDescent="0.25">
      <c r="I625" s="49"/>
      <c r="J625" s="49"/>
      <c r="K625" s="49"/>
      <c r="M625" s="37"/>
      <c r="U625" s="82"/>
      <c r="V625" s="82"/>
      <c r="X625" s="90"/>
    </row>
    <row r="626" spans="9:24" x14ac:dyDescent="0.25">
      <c r="I626" s="49"/>
      <c r="J626" s="49"/>
      <c r="K626" s="49"/>
      <c r="M626" s="34"/>
      <c r="U626" s="82"/>
      <c r="V626" s="82"/>
      <c r="X626" s="88"/>
    </row>
    <row r="627" spans="9:24" x14ac:dyDescent="0.25">
      <c r="I627" s="49"/>
      <c r="J627" s="49"/>
      <c r="K627" s="49"/>
      <c r="M627" s="37"/>
      <c r="U627" s="82"/>
      <c r="V627" s="82"/>
      <c r="X627" s="90"/>
    </row>
    <row r="628" spans="9:24" x14ac:dyDescent="0.25">
      <c r="I628" s="49"/>
      <c r="J628" s="49"/>
      <c r="K628" s="49"/>
      <c r="M628" s="37"/>
      <c r="U628" s="82"/>
      <c r="V628" s="82"/>
      <c r="X628" s="90"/>
    </row>
    <row r="629" spans="9:24" x14ac:dyDescent="0.25">
      <c r="I629" s="49"/>
      <c r="J629" s="49"/>
      <c r="K629" s="49"/>
      <c r="M629" s="34"/>
      <c r="U629" s="82"/>
      <c r="V629" s="82"/>
      <c r="X629" s="88"/>
    </row>
    <row r="630" spans="9:24" x14ac:dyDescent="0.25">
      <c r="I630" s="49"/>
      <c r="J630" s="49"/>
      <c r="K630" s="49"/>
      <c r="M630" s="37"/>
      <c r="U630" s="82"/>
      <c r="V630" s="82"/>
      <c r="X630" s="90"/>
    </row>
    <row r="631" spans="9:24" x14ac:dyDescent="0.25">
      <c r="I631" s="49"/>
      <c r="J631" s="49"/>
      <c r="K631" s="49"/>
      <c r="M631" s="33"/>
      <c r="U631" s="82"/>
      <c r="V631" s="82"/>
      <c r="X631" s="83"/>
    </row>
    <row r="632" spans="9:24" x14ac:dyDescent="0.25">
      <c r="I632" s="49"/>
      <c r="J632" s="49"/>
      <c r="K632" s="49"/>
      <c r="M632" s="34"/>
      <c r="U632" s="82"/>
      <c r="V632" s="82"/>
      <c r="X632" s="88"/>
    </row>
    <row r="633" spans="9:24" x14ac:dyDescent="0.25">
      <c r="I633" s="49"/>
      <c r="J633" s="49"/>
      <c r="K633" s="49"/>
      <c r="M633" s="37"/>
      <c r="U633" s="82"/>
      <c r="V633" s="82"/>
      <c r="X633" s="90"/>
    </row>
    <row r="634" spans="9:24" x14ac:dyDescent="0.25">
      <c r="I634" s="49"/>
      <c r="J634" s="49"/>
      <c r="K634" s="49"/>
      <c r="M634" s="37"/>
      <c r="U634" s="82"/>
      <c r="V634" s="82"/>
      <c r="X634" s="90"/>
    </row>
    <row r="635" spans="9:24" x14ac:dyDescent="0.25">
      <c r="I635" s="49"/>
      <c r="J635" s="49"/>
      <c r="K635" s="49"/>
      <c r="M635" s="34"/>
      <c r="U635" s="82"/>
      <c r="V635" s="82"/>
      <c r="X635" s="88"/>
    </row>
    <row r="636" spans="9:24" x14ac:dyDescent="0.25">
      <c r="I636" s="49"/>
      <c r="J636" s="49"/>
      <c r="K636" s="49"/>
      <c r="M636" s="37"/>
      <c r="U636" s="82"/>
      <c r="V636" s="82"/>
      <c r="X636" s="90"/>
    </row>
    <row r="637" spans="9:24" x14ac:dyDescent="0.25">
      <c r="I637" s="49"/>
      <c r="J637" s="49"/>
      <c r="K637" s="49"/>
      <c r="M637" s="37"/>
      <c r="U637" s="82"/>
      <c r="V637" s="82"/>
      <c r="X637" s="90"/>
    </row>
    <row r="638" spans="9:24" x14ac:dyDescent="0.25">
      <c r="I638" s="49"/>
      <c r="J638" s="49"/>
      <c r="K638" s="49"/>
      <c r="M638" s="36"/>
      <c r="U638" s="82"/>
      <c r="V638" s="82"/>
      <c r="X638" s="89"/>
    </row>
    <row r="639" spans="9:24" x14ac:dyDescent="0.25">
      <c r="I639" s="49"/>
      <c r="J639" s="49"/>
      <c r="K639" s="49"/>
      <c r="M639" s="34"/>
      <c r="U639" s="82"/>
      <c r="V639" s="82"/>
      <c r="X639" s="88"/>
    </row>
    <row r="640" spans="9:24" x14ac:dyDescent="0.25">
      <c r="I640" s="49"/>
      <c r="J640" s="49"/>
      <c r="K640" s="49"/>
      <c r="M640" s="37"/>
      <c r="U640" s="82"/>
      <c r="V640" s="82"/>
      <c r="X640" s="90"/>
    </row>
    <row r="641" spans="9:24" x14ac:dyDescent="0.25">
      <c r="I641" s="49"/>
      <c r="J641" s="49"/>
      <c r="K641" s="49"/>
      <c r="M641" s="37"/>
      <c r="U641" s="82"/>
      <c r="V641" s="82"/>
      <c r="X641" s="90"/>
    </row>
    <row r="642" spans="9:24" x14ac:dyDescent="0.25">
      <c r="I642" s="49"/>
      <c r="J642" s="49"/>
      <c r="K642" s="49"/>
      <c r="M642" s="34"/>
      <c r="U642" s="82"/>
      <c r="V642" s="82"/>
      <c r="X642" s="88"/>
    </row>
    <row r="643" spans="9:24" x14ac:dyDescent="0.25">
      <c r="I643" s="49"/>
      <c r="J643" s="49"/>
      <c r="K643" s="49"/>
      <c r="M643" s="37"/>
      <c r="U643" s="82"/>
      <c r="V643" s="82"/>
      <c r="X643" s="90"/>
    </row>
    <row r="644" spans="9:24" x14ac:dyDescent="0.25">
      <c r="I644" s="49"/>
      <c r="J644" s="49"/>
      <c r="K644" s="49"/>
      <c r="M644" s="37"/>
      <c r="U644" s="82"/>
      <c r="V644" s="82"/>
      <c r="X644" s="90"/>
    </row>
    <row r="645" spans="9:24" x14ac:dyDescent="0.25">
      <c r="I645" s="49"/>
      <c r="J645" s="49"/>
      <c r="K645" s="49"/>
      <c r="M645" s="34"/>
      <c r="U645" s="82"/>
      <c r="V645" s="82"/>
      <c r="X645" s="88"/>
    </row>
    <row r="646" spans="9:24" x14ac:dyDescent="0.25">
      <c r="I646" s="49"/>
      <c r="J646" s="49"/>
      <c r="K646" s="49"/>
      <c r="M646" s="37"/>
      <c r="U646" s="82"/>
      <c r="V646" s="82"/>
      <c r="X646" s="90"/>
    </row>
    <row r="647" spans="9:24" x14ac:dyDescent="0.25">
      <c r="I647" s="49"/>
      <c r="J647" s="49"/>
      <c r="K647" s="49"/>
      <c r="M647" s="37"/>
      <c r="U647" s="82"/>
      <c r="V647" s="82"/>
      <c r="X647" s="90"/>
    </row>
    <row r="648" spans="9:24" x14ac:dyDescent="0.25">
      <c r="I648" s="49"/>
      <c r="J648" s="49"/>
      <c r="K648" s="49"/>
      <c r="M648" s="34"/>
      <c r="U648" s="82"/>
      <c r="V648" s="82"/>
      <c r="X648" s="88"/>
    </row>
    <row r="649" spans="9:24" x14ac:dyDescent="0.25">
      <c r="I649" s="49"/>
      <c r="J649" s="49"/>
      <c r="K649" s="49"/>
      <c r="M649" s="37"/>
      <c r="U649" s="82"/>
      <c r="V649" s="82"/>
      <c r="X649" s="90"/>
    </row>
    <row r="650" spans="9:24" x14ac:dyDescent="0.25">
      <c r="I650" s="49"/>
      <c r="J650" s="49"/>
      <c r="K650" s="49"/>
      <c r="M650" s="37"/>
      <c r="U650" s="82"/>
      <c r="V650" s="82"/>
      <c r="X650" s="90"/>
    </row>
    <row r="651" spans="9:24" x14ac:dyDescent="0.25">
      <c r="I651" s="49"/>
      <c r="J651" s="49"/>
      <c r="K651" s="49"/>
      <c r="M651" s="34"/>
      <c r="U651" s="82"/>
      <c r="V651" s="82"/>
      <c r="X651" s="88"/>
    </row>
    <row r="652" spans="9:24" x14ac:dyDescent="0.25">
      <c r="I652" s="49"/>
      <c r="J652" s="49"/>
      <c r="K652" s="49"/>
      <c r="M652" s="37"/>
      <c r="U652" s="82"/>
      <c r="V652" s="82"/>
      <c r="X652" s="90"/>
    </row>
    <row r="653" spans="9:24" x14ac:dyDescent="0.25">
      <c r="I653" s="49"/>
      <c r="J653" s="49"/>
      <c r="K653" s="49"/>
      <c r="M653" s="37"/>
      <c r="U653" s="82"/>
      <c r="V653" s="82"/>
      <c r="X653" s="90"/>
    </row>
    <row r="654" spans="9:24" x14ac:dyDescent="0.25">
      <c r="I654" s="49"/>
      <c r="J654" s="49"/>
      <c r="K654" s="49"/>
      <c r="M654" s="34"/>
      <c r="U654" s="82"/>
      <c r="V654" s="82"/>
      <c r="X654" s="88"/>
    </row>
    <row r="655" spans="9:24" x14ac:dyDescent="0.25">
      <c r="I655" s="49"/>
      <c r="J655" s="49"/>
      <c r="K655" s="49"/>
      <c r="M655" s="37"/>
      <c r="U655" s="82"/>
      <c r="V655" s="82"/>
      <c r="X655" s="90"/>
    </row>
    <row r="656" spans="9:24" x14ac:dyDescent="0.25">
      <c r="I656" s="49"/>
      <c r="J656" s="49"/>
      <c r="K656" s="49"/>
      <c r="M656" s="37"/>
      <c r="U656" s="82"/>
      <c r="V656" s="82"/>
      <c r="X656" s="90"/>
    </row>
    <row r="657" spans="9:24" x14ac:dyDescent="0.25">
      <c r="I657" s="49"/>
      <c r="J657" s="49"/>
      <c r="K657" s="49"/>
      <c r="M657" s="34"/>
      <c r="U657" s="82"/>
      <c r="V657" s="82"/>
      <c r="X657" s="88"/>
    </row>
    <row r="658" spans="9:24" x14ac:dyDescent="0.25">
      <c r="I658" s="49"/>
      <c r="J658" s="49"/>
      <c r="K658" s="49"/>
      <c r="M658" s="37"/>
      <c r="U658" s="82"/>
      <c r="V658" s="82"/>
      <c r="X658" s="90"/>
    </row>
    <row r="659" spans="9:24" x14ac:dyDescent="0.25">
      <c r="I659" s="49"/>
      <c r="J659" s="49"/>
      <c r="K659" s="49"/>
      <c r="M659" s="37"/>
      <c r="U659" s="82"/>
      <c r="V659" s="82"/>
      <c r="X659" s="90"/>
    </row>
    <row r="660" spans="9:24" x14ac:dyDescent="0.25">
      <c r="I660" s="49"/>
      <c r="J660" s="49"/>
      <c r="K660" s="49"/>
      <c r="M660" s="34"/>
      <c r="U660" s="82"/>
      <c r="V660" s="82"/>
      <c r="X660" s="88"/>
    </row>
    <row r="661" spans="9:24" x14ac:dyDescent="0.25">
      <c r="I661" s="49"/>
      <c r="J661" s="49"/>
      <c r="K661" s="49"/>
      <c r="M661" s="37"/>
      <c r="U661" s="82"/>
      <c r="V661" s="82"/>
      <c r="X661" s="90"/>
    </row>
    <row r="662" spans="9:24" x14ac:dyDescent="0.25">
      <c r="I662" s="49"/>
      <c r="J662" s="49"/>
      <c r="K662" s="49"/>
      <c r="M662" s="37"/>
      <c r="U662" s="82"/>
      <c r="V662" s="82"/>
      <c r="X662" s="90"/>
    </row>
    <row r="663" spans="9:24" x14ac:dyDescent="0.25">
      <c r="I663" s="49"/>
      <c r="J663" s="49"/>
      <c r="K663" s="49"/>
      <c r="M663" s="34"/>
      <c r="U663" s="82"/>
      <c r="V663" s="82"/>
      <c r="X663" s="88"/>
    </row>
    <row r="664" spans="9:24" x14ac:dyDescent="0.25">
      <c r="I664" s="49"/>
      <c r="J664" s="49"/>
      <c r="K664" s="49"/>
      <c r="M664" s="37"/>
      <c r="U664" s="82"/>
      <c r="V664" s="82"/>
      <c r="X664" s="90"/>
    </row>
    <row r="665" spans="9:24" x14ac:dyDescent="0.25">
      <c r="I665" s="49"/>
      <c r="J665" s="49"/>
      <c r="K665" s="49"/>
      <c r="M665" s="33"/>
      <c r="U665" s="82"/>
      <c r="V665" s="82"/>
      <c r="X665" s="83"/>
    </row>
    <row r="666" spans="9:24" x14ac:dyDescent="0.25">
      <c r="I666" s="49"/>
      <c r="J666" s="49"/>
      <c r="K666" s="49"/>
      <c r="M666" s="37"/>
      <c r="U666" s="82"/>
      <c r="V666" s="82"/>
      <c r="X666" s="90"/>
    </row>
    <row r="667" spans="9:24" x14ac:dyDescent="0.25">
      <c r="I667" s="49"/>
      <c r="J667" s="49"/>
      <c r="K667" s="49"/>
      <c r="M667" s="34"/>
      <c r="U667" s="82"/>
      <c r="V667" s="82"/>
      <c r="X667" s="88"/>
    </row>
    <row r="668" spans="9:24" x14ac:dyDescent="0.25">
      <c r="I668" s="49"/>
      <c r="J668" s="49"/>
      <c r="K668" s="49"/>
      <c r="M668" s="37"/>
      <c r="U668" s="82"/>
      <c r="V668" s="82"/>
      <c r="X668" s="90"/>
    </row>
    <row r="669" spans="9:24" x14ac:dyDescent="0.25">
      <c r="I669" s="49"/>
      <c r="J669" s="49"/>
      <c r="K669" s="49"/>
      <c r="M669" s="37"/>
      <c r="U669" s="82"/>
      <c r="V669" s="82"/>
      <c r="X669" s="90"/>
    </row>
    <row r="670" spans="9:24" x14ac:dyDescent="0.25">
      <c r="I670" s="49"/>
      <c r="J670" s="49"/>
      <c r="K670" s="49"/>
      <c r="M670" s="34"/>
      <c r="U670" s="82"/>
      <c r="V670" s="82"/>
      <c r="X670" s="88"/>
    </row>
    <row r="671" spans="9:24" x14ac:dyDescent="0.25">
      <c r="I671" s="49"/>
      <c r="J671" s="49"/>
      <c r="K671" s="49"/>
      <c r="M671" s="37"/>
      <c r="U671" s="82"/>
      <c r="V671" s="82"/>
      <c r="X671" s="90"/>
    </row>
    <row r="672" spans="9:24" x14ac:dyDescent="0.25">
      <c r="I672" s="49"/>
      <c r="J672" s="49"/>
      <c r="K672" s="49"/>
      <c r="M672" s="37"/>
      <c r="U672" s="82"/>
      <c r="V672" s="82"/>
      <c r="X672" s="90"/>
    </row>
    <row r="673" spans="9:24" x14ac:dyDescent="0.25">
      <c r="I673" s="49"/>
      <c r="J673" s="49"/>
      <c r="K673" s="49"/>
      <c r="M673" s="34"/>
      <c r="U673" s="82"/>
      <c r="V673" s="82"/>
      <c r="X673" s="88"/>
    </row>
    <row r="674" spans="9:24" x14ac:dyDescent="0.25">
      <c r="I674" s="49"/>
      <c r="J674" s="49"/>
      <c r="K674" s="49"/>
      <c r="M674" s="37"/>
      <c r="U674" s="82"/>
      <c r="V674" s="82"/>
      <c r="X674" s="90"/>
    </row>
    <row r="675" spans="9:24" x14ac:dyDescent="0.25">
      <c r="I675" s="49"/>
      <c r="J675" s="49"/>
      <c r="K675" s="49"/>
      <c r="M675" s="37"/>
      <c r="U675" s="82"/>
      <c r="V675" s="82"/>
      <c r="X675" s="90"/>
    </row>
    <row r="676" spans="9:24" x14ac:dyDescent="0.25">
      <c r="I676" s="49"/>
      <c r="J676" s="49"/>
      <c r="K676" s="49"/>
      <c r="M676" s="34"/>
      <c r="U676" s="82"/>
      <c r="V676" s="82"/>
      <c r="X676" s="88"/>
    </row>
    <row r="677" spans="9:24" x14ac:dyDescent="0.25">
      <c r="I677" s="49"/>
      <c r="J677" s="49"/>
      <c r="K677" s="49"/>
      <c r="M677" s="37"/>
      <c r="U677" s="82"/>
      <c r="V677" s="82"/>
      <c r="X677" s="90"/>
    </row>
    <row r="678" spans="9:24" x14ac:dyDescent="0.25">
      <c r="I678" s="49"/>
      <c r="J678" s="49"/>
      <c r="K678" s="49"/>
      <c r="M678" s="37"/>
      <c r="U678" s="82"/>
      <c r="V678" s="82"/>
      <c r="X678" s="90"/>
    </row>
    <row r="679" spans="9:24" x14ac:dyDescent="0.25">
      <c r="I679" s="49"/>
      <c r="J679" s="49"/>
      <c r="K679" s="49"/>
      <c r="M679" s="34"/>
      <c r="U679" s="82"/>
      <c r="V679" s="82"/>
      <c r="X679" s="88"/>
    </row>
    <row r="680" spans="9:24" x14ac:dyDescent="0.25">
      <c r="I680" s="49"/>
      <c r="J680" s="49"/>
      <c r="K680" s="49"/>
      <c r="M680" s="37"/>
      <c r="U680" s="82"/>
      <c r="V680" s="82"/>
      <c r="X680" s="90"/>
    </row>
    <row r="681" spans="9:24" x14ac:dyDescent="0.25">
      <c r="I681" s="49"/>
      <c r="J681" s="49"/>
      <c r="K681" s="49"/>
      <c r="M681" s="37"/>
      <c r="U681" s="82"/>
      <c r="V681" s="82"/>
      <c r="X681" s="90"/>
    </row>
    <row r="682" spans="9:24" x14ac:dyDescent="0.25">
      <c r="I682" s="49"/>
      <c r="J682" s="49"/>
      <c r="K682" s="49"/>
      <c r="M682" s="34"/>
      <c r="U682" s="82"/>
      <c r="V682" s="82"/>
      <c r="X682" s="88"/>
    </row>
    <row r="683" spans="9:24" x14ac:dyDescent="0.25">
      <c r="I683" s="49"/>
      <c r="J683" s="49"/>
      <c r="K683" s="49"/>
      <c r="M683" s="37"/>
      <c r="U683" s="82"/>
      <c r="V683" s="82"/>
      <c r="X683" s="90"/>
    </row>
    <row r="684" spans="9:24" x14ac:dyDescent="0.25">
      <c r="I684" s="49"/>
      <c r="J684" s="49"/>
      <c r="K684" s="49"/>
      <c r="M684" s="37"/>
      <c r="U684" s="82"/>
      <c r="V684" s="82"/>
      <c r="X684" s="90"/>
    </row>
    <row r="685" spans="9:24" x14ac:dyDescent="0.25">
      <c r="I685" s="49"/>
      <c r="J685" s="49"/>
      <c r="K685" s="49"/>
      <c r="M685" s="34"/>
      <c r="U685" s="82"/>
      <c r="V685" s="82"/>
      <c r="X685" s="88"/>
    </row>
    <row r="686" spans="9:24" x14ac:dyDescent="0.25">
      <c r="I686" s="49"/>
      <c r="J686" s="49"/>
      <c r="K686" s="49"/>
      <c r="M686" s="37"/>
      <c r="U686" s="82"/>
      <c r="V686" s="82"/>
      <c r="X686" s="90"/>
    </row>
    <row r="687" spans="9:24" x14ac:dyDescent="0.25">
      <c r="I687" s="49"/>
      <c r="J687" s="49"/>
      <c r="K687" s="49"/>
      <c r="M687" s="37"/>
      <c r="U687" s="82"/>
      <c r="V687" s="82"/>
      <c r="X687" s="90"/>
    </row>
    <row r="688" spans="9:24" x14ac:dyDescent="0.25">
      <c r="I688" s="49"/>
      <c r="J688" s="49"/>
      <c r="K688" s="49"/>
      <c r="M688" s="34"/>
      <c r="U688" s="82"/>
      <c r="V688" s="82"/>
      <c r="X688" s="88"/>
    </row>
    <row r="689" spans="9:24" x14ac:dyDescent="0.25">
      <c r="I689" s="49"/>
      <c r="J689" s="49"/>
      <c r="K689" s="49"/>
      <c r="M689" s="37"/>
      <c r="U689" s="82"/>
      <c r="V689" s="82"/>
      <c r="X689" s="90"/>
    </row>
    <row r="690" spans="9:24" x14ac:dyDescent="0.25">
      <c r="I690" s="49"/>
      <c r="J690" s="49"/>
      <c r="K690" s="49"/>
      <c r="M690" s="37"/>
      <c r="U690" s="82"/>
      <c r="V690" s="82"/>
      <c r="X690" s="90"/>
    </row>
    <row r="691" spans="9:24" x14ac:dyDescent="0.25">
      <c r="I691" s="49"/>
      <c r="J691" s="49"/>
      <c r="K691" s="49"/>
      <c r="M691" s="34"/>
      <c r="U691" s="82"/>
      <c r="V691" s="82"/>
      <c r="X691" s="88"/>
    </row>
    <row r="692" spans="9:24" x14ac:dyDescent="0.25">
      <c r="I692" s="49"/>
      <c r="J692" s="49"/>
      <c r="K692" s="49"/>
      <c r="M692" s="37"/>
      <c r="U692" s="82"/>
      <c r="V692" s="82"/>
      <c r="X692" s="90"/>
    </row>
    <row r="693" spans="9:24" x14ac:dyDescent="0.25">
      <c r="I693" s="49"/>
      <c r="J693" s="49"/>
      <c r="K693" s="49"/>
      <c r="M693" s="37"/>
      <c r="U693" s="82"/>
      <c r="V693" s="82"/>
      <c r="X693" s="90"/>
    </row>
    <row r="694" spans="9:24" x14ac:dyDescent="0.25">
      <c r="I694" s="49"/>
      <c r="J694" s="49"/>
      <c r="K694" s="49"/>
      <c r="M694" s="34"/>
      <c r="U694" s="82"/>
      <c r="V694" s="82"/>
      <c r="X694" s="88"/>
    </row>
    <row r="695" spans="9:24" x14ac:dyDescent="0.25">
      <c r="I695" s="49"/>
      <c r="J695" s="49"/>
      <c r="K695" s="49"/>
      <c r="M695" s="37"/>
      <c r="U695" s="82"/>
      <c r="V695" s="82"/>
      <c r="X695" s="90"/>
    </row>
    <row r="696" spans="9:24" x14ac:dyDescent="0.25">
      <c r="I696" s="49"/>
      <c r="J696" s="49"/>
      <c r="K696" s="49"/>
      <c r="M696" s="37"/>
      <c r="U696" s="82"/>
      <c r="V696" s="82"/>
      <c r="X696" s="90"/>
    </row>
    <row r="697" spans="9:24" x14ac:dyDescent="0.25">
      <c r="I697" s="49"/>
      <c r="J697" s="49"/>
      <c r="K697" s="49"/>
      <c r="M697" s="34"/>
      <c r="U697" s="82"/>
      <c r="V697" s="82"/>
      <c r="X697" s="88"/>
    </row>
    <row r="698" spans="9:24" x14ac:dyDescent="0.25">
      <c r="I698" s="49"/>
      <c r="J698" s="49"/>
      <c r="K698" s="49"/>
      <c r="M698" s="37"/>
      <c r="U698" s="82"/>
      <c r="V698" s="82"/>
      <c r="X698" s="90"/>
    </row>
    <row r="699" spans="9:24" x14ac:dyDescent="0.25">
      <c r="I699" s="49"/>
      <c r="J699" s="49"/>
      <c r="K699" s="49"/>
      <c r="M699" s="37"/>
      <c r="U699" s="82"/>
      <c r="V699" s="82"/>
      <c r="X699" s="90"/>
    </row>
    <row r="700" spans="9:24" x14ac:dyDescent="0.25">
      <c r="I700" s="49"/>
      <c r="J700" s="49"/>
      <c r="K700" s="49"/>
      <c r="M700" s="34"/>
      <c r="U700" s="82"/>
      <c r="V700" s="82"/>
      <c r="X700" s="88"/>
    </row>
    <row r="701" spans="9:24" x14ac:dyDescent="0.25">
      <c r="I701" s="49"/>
      <c r="J701" s="49"/>
      <c r="K701" s="49"/>
      <c r="M701" s="37"/>
      <c r="U701" s="82"/>
      <c r="V701" s="82"/>
      <c r="X701" s="90"/>
    </row>
    <row r="702" spans="9:24" x14ac:dyDescent="0.25">
      <c r="I702" s="49"/>
      <c r="J702" s="49"/>
      <c r="K702" s="49"/>
      <c r="M702" s="37"/>
      <c r="U702" s="82"/>
      <c r="V702" s="82"/>
      <c r="X702" s="90"/>
    </row>
    <row r="703" spans="9:24" x14ac:dyDescent="0.25">
      <c r="I703" s="49"/>
      <c r="J703" s="49"/>
      <c r="K703" s="49"/>
      <c r="M703" s="34"/>
      <c r="U703" s="82"/>
      <c r="V703" s="82"/>
      <c r="X703" s="88"/>
    </row>
    <row r="704" spans="9:24" x14ac:dyDescent="0.25">
      <c r="I704" s="49"/>
      <c r="J704" s="49"/>
      <c r="K704" s="49"/>
      <c r="M704" s="37"/>
      <c r="U704" s="82"/>
      <c r="V704" s="82"/>
      <c r="X704" s="90"/>
    </row>
    <row r="705" spans="9:24" x14ac:dyDescent="0.25">
      <c r="I705" s="49"/>
      <c r="J705" s="49"/>
      <c r="K705" s="49"/>
      <c r="M705" s="37"/>
      <c r="U705" s="82"/>
      <c r="V705" s="82"/>
      <c r="X705" s="90"/>
    </row>
    <row r="706" spans="9:24" x14ac:dyDescent="0.25">
      <c r="I706" s="49"/>
      <c r="J706" s="49"/>
      <c r="K706" s="49"/>
      <c r="M706" s="34"/>
      <c r="U706" s="82"/>
      <c r="V706" s="82"/>
      <c r="X706" s="88"/>
    </row>
    <row r="707" spans="9:24" x14ac:dyDescent="0.25">
      <c r="I707" s="49"/>
      <c r="J707" s="49"/>
      <c r="K707" s="49"/>
      <c r="M707" s="37"/>
      <c r="U707" s="82"/>
      <c r="V707" s="82"/>
      <c r="X707" s="90"/>
    </row>
    <row r="708" spans="9:24" x14ac:dyDescent="0.25">
      <c r="I708" s="49"/>
      <c r="J708" s="49"/>
      <c r="K708" s="49"/>
      <c r="M708" s="37"/>
      <c r="U708" s="82"/>
      <c r="V708" s="82"/>
      <c r="X708" s="90"/>
    </row>
    <row r="709" spans="9:24" x14ac:dyDescent="0.25">
      <c r="I709" s="49"/>
      <c r="J709" s="49"/>
      <c r="K709" s="49"/>
      <c r="M709" s="34"/>
      <c r="U709" s="82"/>
      <c r="V709" s="82"/>
      <c r="X709" s="88"/>
    </row>
    <row r="710" spans="9:24" x14ac:dyDescent="0.25">
      <c r="I710" s="49"/>
      <c r="J710" s="49"/>
      <c r="K710" s="49"/>
      <c r="M710" s="37"/>
      <c r="U710" s="82"/>
      <c r="V710" s="82"/>
      <c r="X710" s="90"/>
    </row>
    <row r="711" spans="9:24" x14ac:dyDescent="0.25">
      <c r="I711" s="49"/>
      <c r="J711" s="49"/>
      <c r="K711" s="49"/>
      <c r="M711" s="37"/>
      <c r="U711" s="82"/>
      <c r="V711" s="82"/>
      <c r="X711" s="90"/>
    </row>
    <row r="712" spans="9:24" x14ac:dyDescent="0.25">
      <c r="I712" s="49"/>
      <c r="J712" s="49"/>
      <c r="K712" s="49"/>
      <c r="M712" s="34"/>
      <c r="U712" s="82"/>
      <c r="V712" s="82"/>
      <c r="X712" s="88"/>
    </row>
    <row r="713" spans="9:24" x14ac:dyDescent="0.25">
      <c r="I713" s="49"/>
      <c r="J713" s="49"/>
      <c r="K713" s="49"/>
      <c r="M713" s="37"/>
      <c r="U713" s="82"/>
      <c r="V713" s="82"/>
      <c r="X713" s="90"/>
    </row>
    <row r="714" spans="9:24" x14ac:dyDescent="0.25">
      <c r="I714" s="49"/>
      <c r="J714" s="49"/>
      <c r="K714" s="49"/>
      <c r="M714" s="37"/>
      <c r="U714" s="82"/>
      <c r="V714" s="82"/>
      <c r="X714" s="90"/>
    </row>
    <row r="715" spans="9:24" x14ac:dyDescent="0.25">
      <c r="I715" s="49"/>
      <c r="J715" s="49"/>
      <c r="K715" s="49"/>
      <c r="M715" s="34"/>
      <c r="U715" s="82"/>
      <c r="V715" s="82"/>
      <c r="X715" s="88"/>
    </row>
    <row r="716" spans="9:24" x14ac:dyDescent="0.25">
      <c r="I716" s="49"/>
      <c r="J716" s="49"/>
      <c r="K716" s="49"/>
      <c r="M716" s="37"/>
      <c r="U716" s="82"/>
      <c r="V716" s="82"/>
      <c r="X716" s="90"/>
    </row>
    <row r="717" spans="9:24" x14ac:dyDescent="0.25">
      <c r="I717" s="49"/>
      <c r="J717" s="49"/>
      <c r="K717" s="49"/>
      <c r="M717" s="34"/>
      <c r="U717" s="82"/>
      <c r="V717" s="82"/>
      <c r="X717" s="88"/>
    </row>
    <row r="718" spans="9:24" x14ac:dyDescent="0.25">
      <c r="I718" s="49"/>
      <c r="J718" s="49"/>
      <c r="K718" s="49"/>
      <c r="M718" s="37"/>
      <c r="U718" s="82"/>
      <c r="V718" s="82"/>
      <c r="X718" s="90"/>
    </row>
    <row r="719" spans="9:24" x14ac:dyDescent="0.25">
      <c r="I719" s="49"/>
      <c r="J719" s="49"/>
      <c r="K719" s="49"/>
      <c r="M719" s="34"/>
      <c r="U719" s="82"/>
      <c r="V719" s="82"/>
      <c r="X719" s="88"/>
    </row>
    <row r="720" spans="9:24" x14ac:dyDescent="0.25">
      <c r="I720" s="49"/>
      <c r="J720" s="49"/>
      <c r="K720" s="49"/>
      <c r="M720" s="37"/>
      <c r="U720" s="82"/>
      <c r="V720" s="82"/>
      <c r="X720" s="90"/>
    </row>
    <row r="721" spans="9:24" x14ac:dyDescent="0.25">
      <c r="I721" s="49"/>
      <c r="J721" s="49"/>
      <c r="K721" s="49"/>
      <c r="M721" s="34"/>
      <c r="U721" s="82"/>
      <c r="V721" s="82"/>
      <c r="X721" s="88"/>
    </row>
    <row r="722" spans="9:24" x14ac:dyDescent="0.25">
      <c r="I722" s="49"/>
      <c r="J722" s="49"/>
      <c r="K722" s="49"/>
      <c r="M722" s="37"/>
      <c r="U722" s="82"/>
      <c r="V722" s="82"/>
      <c r="X722" s="90"/>
    </row>
    <row r="723" spans="9:24" x14ac:dyDescent="0.25">
      <c r="I723" s="49"/>
      <c r="J723" s="49"/>
      <c r="K723" s="49"/>
      <c r="M723" s="34"/>
      <c r="U723" s="82"/>
      <c r="V723" s="82"/>
      <c r="X723" s="88"/>
    </row>
    <row r="724" spans="9:24" x14ac:dyDescent="0.25">
      <c r="I724" s="49"/>
      <c r="J724" s="49"/>
      <c r="K724" s="49"/>
      <c r="M724" s="37"/>
      <c r="U724" s="82"/>
      <c r="V724" s="82"/>
      <c r="X724" s="90"/>
    </row>
    <row r="725" spans="9:24" x14ac:dyDescent="0.25">
      <c r="I725" s="49"/>
      <c r="J725" s="49"/>
      <c r="K725" s="49"/>
      <c r="M725" s="37"/>
      <c r="U725" s="82"/>
      <c r="V725" s="82"/>
      <c r="X725" s="90"/>
    </row>
    <row r="726" spans="9:24" x14ac:dyDescent="0.25">
      <c r="I726" s="49"/>
      <c r="J726" s="49"/>
      <c r="K726" s="49"/>
      <c r="M726" s="37"/>
      <c r="U726" s="82"/>
      <c r="V726" s="82"/>
      <c r="X726" s="90"/>
    </row>
    <row r="727" spans="9:24" x14ac:dyDescent="0.25">
      <c r="I727" s="49"/>
      <c r="J727" s="49"/>
      <c r="K727" s="49"/>
      <c r="M727" s="34"/>
      <c r="U727" s="82"/>
      <c r="V727" s="82"/>
      <c r="X727" s="88"/>
    </row>
    <row r="728" spans="9:24" x14ac:dyDescent="0.25">
      <c r="I728" s="49"/>
      <c r="J728" s="49"/>
      <c r="K728" s="49"/>
      <c r="M728" s="37"/>
      <c r="U728" s="82"/>
      <c r="V728" s="82"/>
      <c r="X728" s="90"/>
    </row>
    <row r="729" spans="9:24" x14ac:dyDescent="0.25">
      <c r="I729" s="49"/>
      <c r="J729" s="49"/>
      <c r="K729" s="49"/>
      <c r="M729" s="37"/>
      <c r="U729" s="82"/>
      <c r="V729" s="82"/>
      <c r="X729" s="90"/>
    </row>
    <row r="730" spans="9:24" x14ac:dyDescent="0.25">
      <c r="I730" s="49"/>
      <c r="J730" s="49"/>
      <c r="K730" s="49"/>
      <c r="M730" s="34"/>
      <c r="U730" s="82"/>
      <c r="V730" s="82"/>
      <c r="X730" s="88"/>
    </row>
    <row r="731" spans="9:24" x14ac:dyDescent="0.25">
      <c r="I731" s="49"/>
      <c r="J731" s="49"/>
      <c r="K731" s="49"/>
      <c r="M731" s="37"/>
      <c r="U731" s="82"/>
      <c r="V731" s="82"/>
      <c r="X731" s="90"/>
    </row>
    <row r="732" spans="9:24" x14ac:dyDescent="0.25">
      <c r="I732" s="49"/>
      <c r="J732" s="49"/>
      <c r="K732" s="49"/>
      <c r="M732" s="37"/>
      <c r="U732" s="82"/>
      <c r="V732" s="82"/>
      <c r="X732" s="90"/>
    </row>
    <row r="733" spans="9:24" x14ac:dyDescent="0.25">
      <c r="I733" s="49"/>
      <c r="J733" s="49"/>
      <c r="K733" s="49"/>
      <c r="M733" s="37"/>
      <c r="U733" s="82"/>
      <c r="V733" s="82"/>
      <c r="X733" s="90"/>
    </row>
    <row r="734" spans="9:24" x14ac:dyDescent="0.25">
      <c r="I734" s="49"/>
      <c r="J734" s="49"/>
      <c r="K734" s="49"/>
      <c r="M734" s="34"/>
      <c r="U734" s="82"/>
      <c r="V734" s="82"/>
      <c r="X734" s="88"/>
    </row>
    <row r="735" spans="9:24" x14ac:dyDescent="0.25">
      <c r="I735" s="49"/>
      <c r="J735" s="49"/>
      <c r="K735" s="49"/>
      <c r="M735" s="37"/>
      <c r="U735" s="82"/>
      <c r="V735" s="82"/>
      <c r="X735" s="90"/>
    </row>
    <row r="736" spans="9:24" x14ac:dyDescent="0.25">
      <c r="I736" s="49"/>
      <c r="J736" s="49"/>
      <c r="K736" s="49"/>
      <c r="M736" s="37"/>
      <c r="U736" s="82"/>
      <c r="V736" s="82"/>
      <c r="X736" s="90"/>
    </row>
    <row r="737" spans="9:24" x14ac:dyDescent="0.25">
      <c r="I737" s="49"/>
      <c r="J737" s="49"/>
      <c r="K737" s="49"/>
      <c r="M737" s="34"/>
      <c r="U737" s="82"/>
      <c r="V737" s="82"/>
      <c r="X737" s="88"/>
    </row>
    <row r="738" spans="9:24" x14ac:dyDescent="0.25">
      <c r="I738" s="49"/>
      <c r="J738" s="49"/>
      <c r="K738" s="49"/>
      <c r="M738" s="37"/>
      <c r="U738" s="82"/>
      <c r="V738" s="82"/>
      <c r="X738" s="90"/>
    </row>
    <row r="739" spans="9:24" x14ac:dyDescent="0.25">
      <c r="I739" s="49"/>
      <c r="J739" s="49"/>
      <c r="K739" s="49"/>
      <c r="M739" s="37"/>
      <c r="U739" s="82"/>
      <c r="V739" s="82"/>
      <c r="X739" s="90"/>
    </row>
    <row r="740" spans="9:24" x14ac:dyDescent="0.25">
      <c r="I740" s="49"/>
      <c r="J740" s="49"/>
      <c r="K740" s="49"/>
      <c r="M740" s="37"/>
      <c r="U740" s="82"/>
      <c r="V740" s="82"/>
      <c r="X740" s="90"/>
    </row>
    <row r="741" spans="9:24" x14ac:dyDescent="0.25">
      <c r="I741" s="49"/>
      <c r="J741" s="49"/>
      <c r="K741" s="49"/>
      <c r="M741" s="37"/>
      <c r="U741" s="82"/>
      <c r="V741" s="82"/>
      <c r="X741" s="90"/>
    </row>
    <row r="742" spans="9:24" x14ac:dyDescent="0.25">
      <c r="I742" s="49"/>
      <c r="J742" s="49"/>
      <c r="K742" s="49"/>
      <c r="M742" s="34"/>
      <c r="U742" s="82"/>
      <c r="V742" s="82"/>
      <c r="X742" s="88"/>
    </row>
    <row r="743" spans="9:24" x14ac:dyDescent="0.25">
      <c r="I743" s="49"/>
      <c r="J743" s="49"/>
      <c r="K743" s="49"/>
      <c r="M743" s="37"/>
      <c r="U743" s="82"/>
      <c r="V743" s="82"/>
      <c r="X743" s="90"/>
    </row>
    <row r="744" spans="9:24" x14ac:dyDescent="0.25">
      <c r="I744" s="49"/>
      <c r="J744" s="49"/>
      <c r="K744" s="49"/>
      <c r="M744" s="37"/>
      <c r="U744" s="82"/>
      <c r="V744" s="82"/>
      <c r="X744" s="90"/>
    </row>
    <row r="745" spans="9:24" x14ac:dyDescent="0.25">
      <c r="I745" s="49"/>
      <c r="J745" s="49"/>
      <c r="K745" s="49"/>
      <c r="M745" s="37"/>
      <c r="U745" s="82"/>
      <c r="V745" s="82"/>
      <c r="X745" s="90"/>
    </row>
    <row r="746" spans="9:24" x14ac:dyDescent="0.25">
      <c r="I746" s="49"/>
      <c r="J746" s="49"/>
      <c r="K746" s="49"/>
      <c r="M746" s="37"/>
      <c r="U746" s="82"/>
      <c r="V746" s="82"/>
      <c r="X746" s="90"/>
    </row>
    <row r="747" spans="9:24" x14ac:dyDescent="0.25">
      <c r="I747" s="49"/>
      <c r="J747" s="49"/>
      <c r="K747" s="49"/>
      <c r="M747" s="34"/>
      <c r="U747" s="82"/>
      <c r="V747" s="82"/>
      <c r="X747" s="88"/>
    </row>
    <row r="748" spans="9:24" x14ac:dyDescent="0.25">
      <c r="I748" s="49"/>
      <c r="J748" s="49"/>
      <c r="K748" s="49"/>
      <c r="M748" s="37"/>
      <c r="U748" s="82"/>
      <c r="V748" s="82"/>
      <c r="X748" s="90"/>
    </row>
    <row r="749" spans="9:24" x14ac:dyDescent="0.25">
      <c r="I749" s="49"/>
      <c r="J749" s="49"/>
      <c r="K749" s="49"/>
      <c r="M749" s="34"/>
      <c r="U749" s="82"/>
      <c r="V749" s="82"/>
      <c r="X749" s="88"/>
    </row>
    <row r="750" spans="9:24" x14ac:dyDescent="0.25">
      <c r="I750" s="49"/>
      <c r="J750" s="49"/>
      <c r="K750" s="49"/>
      <c r="M750" s="37"/>
      <c r="U750" s="82"/>
      <c r="V750" s="82"/>
      <c r="X750" s="90"/>
    </row>
    <row r="751" spans="9:24" x14ac:dyDescent="0.25">
      <c r="I751" s="49"/>
      <c r="J751" s="49"/>
      <c r="K751" s="49"/>
      <c r="M751" s="37"/>
      <c r="U751" s="82"/>
      <c r="V751" s="82"/>
      <c r="X751" s="90"/>
    </row>
    <row r="752" spans="9:24" x14ac:dyDescent="0.25">
      <c r="I752" s="49"/>
      <c r="J752" s="49"/>
      <c r="K752" s="49"/>
      <c r="M752" s="34"/>
      <c r="U752" s="82"/>
      <c r="V752" s="82"/>
      <c r="X752" s="88"/>
    </row>
    <row r="753" spans="9:24" x14ac:dyDescent="0.25">
      <c r="I753" s="49"/>
      <c r="J753" s="49"/>
      <c r="K753" s="49"/>
      <c r="M753" s="37"/>
      <c r="U753" s="82"/>
      <c r="V753" s="82"/>
      <c r="X753" s="90"/>
    </row>
    <row r="754" spans="9:24" x14ac:dyDescent="0.25">
      <c r="I754" s="49"/>
      <c r="J754" s="49"/>
      <c r="K754" s="49"/>
      <c r="M754" s="37"/>
      <c r="U754" s="82"/>
      <c r="V754" s="82"/>
      <c r="X754" s="90"/>
    </row>
    <row r="755" spans="9:24" x14ac:dyDescent="0.25">
      <c r="I755" s="49"/>
      <c r="J755" s="49"/>
      <c r="K755" s="49"/>
      <c r="M755" s="34"/>
      <c r="U755" s="82"/>
      <c r="V755" s="82"/>
      <c r="X755" s="88"/>
    </row>
    <row r="756" spans="9:24" x14ac:dyDescent="0.25">
      <c r="I756" s="49"/>
      <c r="J756" s="49"/>
      <c r="K756" s="49"/>
      <c r="M756" s="37"/>
      <c r="U756" s="82"/>
      <c r="V756" s="82"/>
      <c r="X756" s="90"/>
    </row>
    <row r="757" spans="9:24" x14ac:dyDescent="0.25">
      <c r="I757" s="49"/>
      <c r="J757" s="49"/>
      <c r="K757" s="49"/>
      <c r="M757" s="37"/>
      <c r="U757" s="82"/>
      <c r="V757" s="82"/>
      <c r="X757" s="90"/>
    </row>
    <row r="758" spans="9:24" x14ac:dyDescent="0.25">
      <c r="I758" s="49"/>
      <c r="J758" s="49"/>
      <c r="K758" s="49"/>
      <c r="M758" s="37"/>
      <c r="U758" s="82"/>
      <c r="V758" s="82"/>
      <c r="X758" s="90"/>
    </row>
    <row r="759" spans="9:24" x14ac:dyDescent="0.25">
      <c r="I759" s="49"/>
      <c r="J759" s="49"/>
      <c r="K759" s="49"/>
      <c r="M759" s="37"/>
      <c r="U759" s="82"/>
      <c r="V759" s="82"/>
      <c r="X759" s="90"/>
    </row>
    <row r="760" spans="9:24" x14ac:dyDescent="0.25">
      <c r="I760" s="49"/>
      <c r="J760" s="49"/>
      <c r="K760" s="49"/>
      <c r="M760" s="37"/>
      <c r="U760" s="82"/>
      <c r="V760" s="82"/>
      <c r="X760" s="90"/>
    </row>
    <row r="761" spans="9:24" x14ac:dyDescent="0.25">
      <c r="I761" s="49"/>
      <c r="J761" s="49"/>
      <c r="K761" s="49"/>
      <c r="M761" s="37"/>
      <c r="U761" s="82"/>
      <c r="V761" s="82"/>
      <c r="X761" s="90"/>
    </row>
    <row r="762" spans="9:24" x14ac:dyDescent="0.25">
      <c r="I762" s="49"/>
      <c r="J762" s="49"/>
      <c r="K762" s="49"/>
      <c r="M762" s="37"/>
      <c r="U762" s="82"/>
      <c r="V762" s="82"/>
      <c r="X762" s="90"/>
    </row>
    <row r="763" spans="9:24" x14ac:dyDescent="0.25">
      <c r="I763" s="49"/>
      <c r="J763" s="49"/>
      <c r="K763" s="49"/>
      <c r="M763" s="37"/>
      <c r="U763" s="82"/>
      <c r="V763" s="82"/>
      <c r="X763" s="90"/>
    </row>
    <row r="764" spans="9:24" x14ac:dyDescent="0.25">
      <c r="I764" s="49"/>
      <c r="J764" s="49"/>
      <c r="K764" s="49"/>
      <c r="M764" s="37"/>
      <c r="U764" s="82"/>
      <c r="V764" s="82"/>
      <c r="X764" s="90"/>
    </row>
    <row r="765" spans="9:24" x14ac:dyDescent="0.25">
      <c r="I765" s="49"/>
      <c r="J765" s="49"/>
      <c r="K765" s="49"/>
      <c r="M765" s="37"/>
      <c r="U765" s="82"/>
      <c r="V765" s="82"/>
      <c r="X765" s="90"/>
    </row>
    <row r="766" spans="9:24" x14ac:dyDescent="0.25">
      <c r="I766" s="49"/>
      <c r="J766" s="49"/>
      <c r="K766" s="49"/>
      <c r="M766" s="37"/>
      <c r="U766" s="82"/>
      <c r="V766" s="82"/>
      <c r="X766" s="90"/>
    </row>
    <row r="767" spans="9:24" x14ac:dyDescent="0.25">
      <c r="I767" s="49"/>
      <c r="J767" s="49"/>
      <c r="K767" s="49"/>
      <c r="U767" s="82"/>
      <c r="V767" s="82"/>
    </row>
    <row r="768" spans="9:24" x14ac:dyDescent="0.25">
      <c r="I768" s="49"/>
      <c r="J768" s="49"/>
      <c r="K768" s="49"/>
      <c r="U768" s="82"/>
      <c r="V768" s="82"/>
    </row>
    <row r="769" spans="9:22" x14ac:dyDescent="0.25">
      <c r="I769" s="49"/>
      <c r="J769" s="49"/>
      <c r="K769" s="49"/>
      <c r="U769" s="82"/>
      <c r="V769" s="82"/>
    </row>
    <row r="770" spans="9:22" x14ac:dyDescent="0.25">
      <c r="I770" s="49"/>
      <c r="J770" s="49"/>
      <c r="K770" s="49"/>
      <c r="U770" s="82"/>
      <c r="V770" s="82"/>
    </row>
    <row r="771" spans="9:22" x14ac:dyDescent="0.25">
      <c r="I771" s="49"/>
      <c r="J771" s="49"/>
      <c r="K771" s="49"/>
      <c r="U771" s="82"/>
      <c r="V771" s="82"/>
    </row>
    <row r="772" spans="9:22" x14ac:dyDescent="0.25">
      <c r="I772" s="49"/>
      <c r="J772" s="49"/>
      <c r="K772" s="49"/>
      <c r="U772" s="82"/>
      <c r="V772" s="82"/>
    </row>
    <row r="773" spans="9:22" x14ac:dyDescent="0.25">
      <c r="I773" s="49"/>
      <c r="J773" s="49"/>
      <c r="K773" s="49"/>
      <c r="U773" s="82"/>
      <c r="V773" s="82"/>
    </row>
    <row r="774" spans="9:22" x14ac:dyDescent="0.25">
      <c r="I774" s="49"/>
      <c r="J774" s="49"/>
      <c r="K774" s="49"/>
      <c r="U774" s="82"/>
      <c r="V774" s="82"/>
    </row>
    <row r="775" spans="9:22" x14ac:dyDescent="0.25">
      <c r="I775" s="49"/>
      <c r="J775" s="49"/>
      <c r="K775" s="49"/>
      <c r="U775" s="82"/>
      <c r="V775" s="82"/>
    </row>
    <row r="776" spans="9:22" x14ac:dyDescent="0.25">
      <c r="I776" s="49"/>
      <c r="J776" s="49"/>
      <c r="K776" s="49"/>
      <c r="U776" s="82"/>
      <c r="V776" s="82"/>
    </row>
    <row r="777" spans="9:22" x14ac:dyDescent="0.25">
      <c r="I777" s="49"/>
      <c r="J777" s="49"/>
      <c r="K777" s="49"/>
      <c r="U777" s="82"/>
      <c r="V777" s="82"/>
    </row>
    <row r="778" spans="9:22" x14ac:dyDescent="0.25">
      <c r="I778" s="49"/>
      <c r="J778" s="49"/>
      <c r="K778" s="49"/>
      <c r="U778" s="82"/>
      <c r="V778" s="82"/>
    </row>
    <row r="779" spans="9:22" x14ac:dyDescent="0.25">
      <c r="I779" s="49"/>
      <c r="J779" s="49"/>
      <c r="K779" s="49"/>
      <c r="U779" s="82"/>
      <c r="V779" s="82"/>
    </row>
    <row r="780" spans="9:22" x14ac:dyDescent="0.25">
      <c r="I780" s="49"/>
      <c r="J780" s="49"/>
      <c r="K780" s="49"/>
      <c r="U780" s="82"/>
      <c r="V780" s="82"/>
    </row>
    <row r="781" spans="9:22" x14ac:dyDescent="0.25">
      <c r="I781" s="49"/>
      <c r="J781" s="49"/>
      <c r="K781" s="49"/>
      <c r="U781" s="82"/>
      <c r="V781" s="82"/>
    </row>
    <row r="782" spans="9:22" x14ac:dyDescent="0.25">
      <c r="I782" s="49"/>
      <c r="J782" s="49"/>
      <c r="K782" s="49"/>
      <c r="U782" s="82"/>
      <c r="V782" s="82"/>
    </row>
    <row r="783" spans="9:22" x14ac:dyDescent="0.25">
      <c r="I783" s="49"/>
      <c r="J783" s="49"/>
      <c r="K783" s="49"/>
      <c r="U783" s="82"/>
      <c r="V783" s="82"/>
    </row>
    <row r="784" spans="9:22" x14ac:dyDescent="0.25">
      <c r="I784" s="49"/>
      <c r="J784" s="49"/>
      <c r="K784" s="49"/>
      <c r="U784" s="82"/>
      <c r="V784" s="82"/>
    </row>
    <row r="785" spans="9:22" x14ac:dyDescent="0.25">
      <c r="I785" s="49"/>
      <c r="J785" s="49"/>
      <c r="K785" s="49"/>
      <c r="U785" s="82"/>
      <c r="V785" s="82"/>
    </row>
    <row r="786" spans="9:22" x14ac:dyDescent="0.25">
      <c r="I786" s="49"/>
      <c r="J786" s="49"/>
      <c r="K786" s="49"/>
      <c r="U786" s="82"/>
      <c r="V786" s="82"/>
    </row>
    <row r="787" spans="9:22" x14ac:dyDescent="0.25">
      <c r="I787" s="49"/>
      <c r="J787" s="49"/>
      <c r="K787" s="49"/>
      <c r="U787" s="82"/>
      <c r="V787" s="82"/>
    </row>
    <row r="788" spans="9:22" x14ac:dyDescent="0.25">
      <c r="I788" s="49"/>
      <c r="J788" s="49"/>
      <c r="K788" s="49"/>
      <c r="U788" s="82"/>
      <c r="V788" s="82"/>
    </row>
    <row r="789" spans="9:22" x14ac:dyDescent="0.25">
      <c r="I789" s="49"/>
      <c r="J789" s="49"/>
      <c r="K789" s="49"/>
      <c r="U789" s="82"/>
      <c r="V789" s="82"/>
    </row>
    <row r="790" spans="9:22" x14ac:dyDescent="0.25">
      <c r="I790" s="49"/>
      <c r="J790" s="49"/>
      <c r="K790" s="49"/>
      <c r="U790" s="82"/>
      <c r="V790" s="82"/>
    </row>
    <row r="791" spans="9:22" x14ac:dyDescent="0.25">
      <c r="I791" s="49"/>
      <c r="J791" s="49"/>
      <c r="K791" s="49"/>
      <c r="U791" s="82"/>
      <c r="V791" s="82"/>
    </row>
    <row r="792" spans="9:22" x14ac:dyDescent="0.25">
      <c r="I792" s="49"/>
      <c r="J792" s="49"/>
      <c r="K792" s="49"/>
      <c r="U792" s="82"/>
      <c r="V792" s="82"/>
    </row>
    <row r="793" spans="9:22" x14ac:dyDescent="0.25">
      <c r="I793" s="49"/>
      <c r="J793" s="49"/>
      <c r="K793" s="49"/>
      <c r="U793" s="82"/>
      <c r="V793" s="82"/>
    </row>
    <row r="794" spans="9:22" x14ac:dyDescent="0.25">
      <c r="I794" s="49"/>
      <c r="J794" s="49"/>
      <c r="K794" s="49"/>
      <c r="U794" s="82"/>
      <c r="V794" s="82"/>
    </row>
    <row r="795" spans="9:22" x14ac:dyDescent="0.25">
      <c r="I795" s="49"/>
      <c r="J795" s="49"/>
      <c r="K795" s="49"/>
      <c r="U795" s="82"/>
      <c r="V795" s="82"/>
    </row>
    <row r="796" spans="9:22" x14ac:dyDescent="0.25">
      <c r="I796" s="49"/>
      <c r="J796" s="49"/>
      <c r="K796" s="49"/>
      <c r="U796" s="82"/>
      <c r="V796" s="82"/>
    </row>
    <row r="797" spans="9:22" x14ac:dyDescent="0.25">
      <c r="I797" s="49"/>
      <c r="J797" s="49"/>
      <c r="K797" s="49"/>
      <c r="U797" s="82"/>
      <c r="V797" s="82"/>
    </row>
    <row r="798" spans="9:22" x14ac:dyDescent="0.25">
      <c r="I798" s="49"/>
      <c r="J798" s="49"/>
      <c r="K798" s="49"/>
      <c r="U798" s="82"/>
      <c r="V798" s="82"/>
    </row>
    <row r="799" spans="9:22" x14ac:dyDescent="0.25">
      <c r="I799" s="49"/>
      <c r="J799" s="49"/>
      <c r="K799" s="49"/>
      <c r="U799" s="82"/>
      <c r="V799" s="82"/>
    </row>
    <row r="800" spans="9:22" x14ac:dyDescent="0.25">
      <c r="I800" s="49"/>
      <c r="J800" s="49"/>
      <c r="K800" s="49"/>
      <c r="U800" s="82"/>
      <c r="V800" s="82"/>
    </row>
    <row r="801" spans="9:22" x14ac:dyDescent="0.25">
      <c r="I801" s="49"/>
      <c r="J801" s="49"/>
      <c r="K801" s="49"/>
      <c r="U801" s="82"/>
      <c r="V801" s="82"/>
    </row>
    <row r="802" spans="9:22" x14ac:dyDescent="0.25">
      <c r="I802" s="49"/>
      <c r="J802" s="49"/>
      <c r="K802" s="49"/>
      <c r="U802" s="82"/>
      <c r="V802" s="82"/>
    </row>
    <row r="803" spans="9:22" x14ac:dyDescent="0.25">
      <c r="I803" s="49"/>
      <c r="J803" s="49"/>
      <c r="K803" s="49"/>
      <c r="U803" s="82"/>
      <c r="V803" s="82"/>
    </row>
    <row r="804" spans="9:22" x14ac:dyDescent="0.25">
      <c r="I804" s="49"/>
      <c r="J804" s="49"/>
      <c r="K804" s="49"/>
      <c r="U804" s="82"/>
      <c r="V804" s="82"/>
    </row>
    <row r="805" spans="9:22" x14ac:dyDescent="0.25">
      <c r="I805" s="49"/>
      <c r="J805" s="49"/>
      <c r="K805" s="49"/>
      <c r="U805" s="82"/>
      <c r="V805" s="82"/>
    </row>
    <row r="806" spans="9:22" x14ac:dyDescent="0.25">
      <c r="I806" s="49"/>
      <c r="J806" s="49"/>
      <c r="K806" s="49"/>
      <c r="U806" s="82"/>
      <c r="V806" s="82"/>
    </row>
    <row r="807" spans="9:22" x14ac:dyDescent="0.25">
      <c r="I807" s="49"/>
      <c r="J807" s="49"/>
      <c r="K807" s="49"/>
      <c r="U807" s="82"/>
      <c r="V807" s="82"/>
    </row>
    <row r="808" spans="9:22" x14ac:dyDescent="0.25">
      <c r="I808" s="49"/>
      <c r="J808" s="49"/>
      <c r="K808" s="49"/>
      <c r="U808" s="82"/>
      <c r="V808" s="82"/>
    </row>
    <row r="809" spans="9:22" x14ac:dyDescent="0.25">
      <c r="I809" s="49"/>
      <c r="J809" s="49"/>
      <c r="K809" s="49"/>
      <c r="U809" s="82"/>
      <c r="V809" s="82"/>
    </row>
    <row r="810" spans="9:22" x14ac:dyDescent="0.25">
      <c r="I810" s="49"/>
      <c r="J810" s="49"/>
      <c r="K810" s="49"/>
      <c r="U810" s="82"/>
      <c r="V810" s="82"/>
    </row>
    <row r="811" spans="9:22" x14ac:dyDescent="0.25">
      <c r="I811" s="49"/>
      <c r="J811" s="49"/>
      <c r="K811" s="49"/>
      <c r="U811" s="82"/>
      <c r="V811" s="82"/>
    </row>
    <row r="812" spans="9:22" x14ac:dyDescent="0.25">
      <c r="I812" s="49"/>
      <c r="J812" s="49"/>
      <c r="K812" s="49"/>
      <c r="U812" s="82"/>
      <c r="V812" s="82"/>
    </row>
    <row r="813" spans="9:22" x14ac:dyDescent="0.25">
      <c r="I813" s="49"/>
      <c r="J813" s="49"/>
      <c r="K813" s="49"/>
      <c r="U813" s="82"/>
      <c r="V813" s="82"/>
    </row>
    <row r="814" spans="9:22" x14ac:dyDescent="0.25">
      <c r="I814" s="49"/>
      <c r="J814" s="49"/>
      <c r="K814" s="49"/>
      <c r="U814" s="82"/>
      <c r="V814" s="82"/>
    </row>
    <row r="815" spans="9:22" x14ac:dyDescent="0.25">
      <c r="I815" s="49"/>
      <c r="J815" s="49"/>
      <c r="K815" s="49"/>
      <c r="U815" s="82"/>
      <c r="V815" s="82"/>
    </row>
    <row r="816" spans="9:22" x14ac:dyDescent="0.25">
      <c r="I816" s="49"/>
      <c r="J816" s="49"/>
      <c r="K816" s="49"/>
      <c r="U816" s="82"/>
      <c r="V816" s="82"/>
    </row>
    <row r="817" spans="9:22" x14ac:dyDescent="0.25">
      <c r="I817" s="49"/>
      <c r="J817" s="49"/>
      <c r="K817" s="49"/>
      <c r="U817" s="82"/>
      <c r="V817" s="82"/>
    </row>
    <row r="818" spans="9:22" x14ac:dyDescent="0.25">
      <c r="I818" s="49"/>
      <c r="J818" s="49"/>
      <c r="K818" s="49"/>
      <c r="U818" s="82"/>
      <c r="V818" s="82"/>
    </row>
    <row r="819" spans="9:22" x14ac:dyDescent="0.25">
      <c r="I819" s="49"/>
      <c r="J819" s="49"/>
      <c r="K819" s="49"/>
      <c r="U819" s="82"/>
      <c r="V819" s="82"/>
    </row>
    <row r="820" spans="9:22" x14ac:dyDescent="0.25">
      <c r="I820" s="49"/>
      <c r="J820" s="49"/>
      <c r="K820" s="49"/>
      <c r="U820" s="82"/>
      <c r="V820" s="82"/>
    </row>
    <row r="821" spans="9:22" x14ac:dyDescent="0.25">
      <c r="I821" s="49"/>
      <c r="J821" s="49"/>
      <c r="K821" s="49"/>
      <c r="U821" s="82"/>
      <c r="V821" s="82"/>
    </row>
    <row r="822" spans="9:22" x14ac:dyDescent="0.25">
      <c r="I822" s="49"/>
      <c r="J822" s="49"/>
      <c r="K822" s="49"/>
      <c r="U822" s="82"/>
      <c r="V822" s="82"/>
    </row>
    <row r="823" spans="9:22" x14ac:dyDescent="0.25">
      <c r="I823" s="49"/>
      <c r="J823" s="49"/>
      <c r="K823" s="49"/>
      <c r="U823" s="82"/>
      <c r="V823" s="82"/>
    </row>
    <row r="824" spans="9:22" x14ac:dyDescent="0.25">
      <c r="I824" s="49"/>
      <c r="J824" s="49"/>
      <c r="K824" s="49"/>
      <c r="U824" s="82"/>
      <c r="V824" s="82"/>
    </row>
    <row r="825" spans="9:22" x14ac:dyDescent="0.25">
      <c r="I825" s="49"/>
      <c r="J825" s="49"/>
      <c r="K825" s="49"/>
      <c r="U825" s="82"/>
      <c r="V825" s="82"/>
    </row>
    <row r="826" spans="9:22" x14ac:dyDescent="0.25">
      <c r="I826" s="49"/>
      <c r="J826" s="49"/>
      <c r="K826" s="49"/>
      <c r="U826" s="82"/>
      <c r="V826" s="82"/>
    </row>
    <row r="827" spans="9:22" x14ac:dyDescent="0.25">
      <c r="I827" s="49"/>
      <c r="J827" s="49"/>
      <c r="K827" s="49"/>
      <c r="U827" s="82"/>
      <c r="V827" s="82"/>
    </row>
    <row r="828" spans="9:22" x14ac:dyDescent="0.25">
      <c r="I828" s="49"/>
      <c r="J828" s="49"/>
      <c r="K828" s="49"/>
      <c r="U828" s="82"/>
      <c r="V828" s="82"/>
    </row>
    <row r="829" spans="9:22" x14ac:dyDescent="0.25">
      <c r="I829" s="49"/>
      <c r="J829" s="49"/>
      <c r="K829" s="49"/>
      <c r="U829" s="82"/>
      <c r="V829" s="82"/>
    </row>
    <row r="830" spans="9:22" x14ac:dyDescent="0.25">
      <c r="I830" s="49"/>
      <c r="J830" s="49"/>
      <c r="K830" s="49"/>
      <c r="U830" s="82"/>
      <c r="V830" s="82"/>
    </row>
    <row r="831" spans="9:22" x14ac:dyDescent="0.25">
      <c r="I831" s="49"/>
      <c r="J831" s="49"/>
      <c r="K831" s="49"/>
      <c r="U831" s="82"/>
      <c r="V831" s="82"/>
    </row>
    <row r="832" spans="9:22" x14ac:dyDescent="0.25">
      <c r="I832" s="49"/>
      <c r="J832" s="49"/>
      <c r="K832" s="49"/>
      <c r="U832" s="82"/>
      <c r="V832" s="82"/>
    </row>
    <row r="833" spans="9:22" x14ac:dyDescent="0.25">
      <c r="I833" s="49"/>
      <c r="J833" s="49"/>
      <c r="K833" s="49"/>
      <c r="U833" s="82"/>
      <c r="V833" s="82"/>
    </row>
    <row r="834" spans="9:22" x14ac:dyDescent="0.25">
      <c r="I834" s="49"/>
      <c r="J834" s="49"/>
      <c r="K834" s="49"/>
      <c r="U834" s="82"/>
      <c r="V834" s="82"/>
    </row>
    <row r="835" spans="9:22" x14ac:dyDescent="0.25">
      <c r="I835" s="49"/>
      <c r="J835" s="49"/>
      <c r="K835" s="49"/>
      <c r="U835" s="82"/>
      <c r="V835" s="82"/>
    </row>
    <row r="836" spans="9:22" x14ac:dyDescent="0.25">
      <c r="I836" s="49"/>
      <c r="J836" s="49"/>
      <c r="K836" s="49"/>
      <c r="U836" s="82"/>
      <c r="V836" s="82"/>
    </row>
    <row r="837" spans="9:22" x14ac:dyDescent="0.25">
      <c r="I837" s="49"/>
      <c r="J837" s="49"/>
      <c r="K837" s="49"/>
      <c r="U837" s="82"/>
      <c r="V837" s="82"/>
    </row>
    <row r="838" spans="9:22" x14ac:dyDescent="0.25">
      <c r="I838" s="49"/>
      <c r="J838" s="49"/>
      <c r="K838" s="49"/>
      <c r="U838" s="82"/>
      <c r="V838" s="82"/>
    </row>
    <row r="839" spans="9:22" x14ac:dyDescent="0.25">
      <c r="I839" s="49"/>
      <c r="J839" s="49"/>
      <c r="K839" s="49"/>
      <c r="U839" s="82"/>
      <c r="V839" s="82"/>
    </row>
    <row r="840" spans="9:22" x14ac:dyDescent="0.25">
      <c r="I840" s="49"/>
      <c r="J840" s="49"/>
      <c r="K840" s="49"/>
      <c r="U840" s="82"/>
      <c r="V840" s="82"/>
    </row>
    <row r="841" spans="9:22" x14ac:dyDescent="0.25">
      <c r="I841" s="49"/>
      <c r="J841" s="49"/>
      <c r="K841" s="49"/>
      <c r="U841" s="82"/>
      <c r="V841" s="82"/>
    </row>
    <row r="842" spans="9:22" x14ac:dyDescent="0.25">
      <c r="I842" s="49"/>
      <c r="J842" s="49"/>
      <c r="K842" s="49"/>
      <c r="U842" s="82"/>
      <c r="V842" s="82"/>
    </row>
    <row r="843" spans="9:22" x14ac:dyDescent="0.25">
      <c r="I843" s="49"/>
      <c r="J843" s="49"/>
      <c r="K843" s="49"/>
      <c r="U843" s="82"/>
      <c r="V843" s="82"/>
    </row>
    <row r="844" spans="9:22" x14ac:dyDescent="0.25">
      <c r="I844" s="49"/>
      <c r="J844" s="49"/>
      <c r="K844" s="49"/>
      <c r="U844" s="82"/>
      <c r="V844" s="82"/>
    </row>
    <row r="845" spans="9:22" x14ac:dyDescent="0.25">
      <c r="I845" s="49"/>
      <c r="J845" s="49"/>
      <c r="K845" s="49"/>
      <c r="U845" s="82"/>
      <c r="V845" s="82"/>
    </row>
    <row r="846" spans="9:22" x14ac:dyDescent="0.25">
      <c r="I846" s="49"/>
      <c r="J846" s="49"/>
      <c r="K846" s="49"/>
      <c r="U846" s="82"/>
      <c r="V846" s="82"/>
    </row>
    <row r="847" spans="9:22" x14ac:dyDescent="0.25">
      <c r="I847" s="49"/>
      <c r="J847" s="49"/>
      <c r="K847" s="49"/>
      <c r="U847" s="82"/>
      <c r="V847" s="82"/>
    </row>
    <row r="848" spans="9:22" x14ac:dyDescent="0.25">
      <c r="I848" s="49"/>
      <c r="J848" s="49"/>
      <c r="K848" s="49"/>
      <c r="U848" s="82"/>
      <c r="V848" s="82"/>
    </row>
    <row r="849" spans="9:22" x14ac:dyDescent="0.25">
      <c r="I849" s="49"/>
      <c r="J849" s="49"/>
      <c r="K849" s="49"/>
      <c r="U849" s="82"/>
      <c r="V849" s="82"/>
    </row>
    <row r="850" spans="9:22" x14ac:dyDescent="0.25">
      <c r="I850" s="49"/>
      <c r="J850" s="49"/>
      <c r="K850" s="49"/>
      <c r="U850" s="82"/>
      <c r="V850" s="82"/>
    </row>
    <row r="851" spans="9:22" x14ac:dyDescent="0.25">
      <c r="I851" s="49"/>
      <c r="J851" s="49"/>
      <c r="K851" s="49"/>
      <c r="U851" s="82"/>
      <c r="V851" s="82"/>
    </row>
    <row r="852" spans="9:22" x14ac:dyDescent="0.25">
      <c r="I852" s="49"/>
      <c r="J852" s="49"/>
      <c r="K852" s="49"/>
      <c r="U852" s="82"/>
      <c r="V852" s="82"/>
    </row>
    <row r="853" spans="9:22" x14ac:dyDescent="0.25">
      <c r="I853" s="49"/>
      <c r="J853" s="49"/>
      <c r="K853" s="49"/>
      <c r="U853" s="82"/>
      <c r="V853" s="82"/>
    </row>
    <row r="854" spans="9:22" x14ac:dyDescent="0.25">
      <c r="I854" s="49"/>
      <c r="J854" s="49"/>
      <c r="K854" s="49"/>
      <c r="U854" s="82"/>
      <c r="V854" s="82"/>
    </row>
    <row r="855" spans="9:22" x14ac:dyDescent="0.25">
      <c r="I855" s="49"/>
      <c r="J855" s="49"/>
      <c r="K855" s="49"/>
      <c r="U855" s="82"/>
      <c r="V855" s="82"/>
    </row>
    <row r="856" spans="9:22" x14ac:dyDescent="0.25">
      <c r="I856" s="49"/>
      <c r="J856" s="49"/>
      <c r="K856" s="49"/>
      <c r="U856" s="82"/>
      <c r="V856" s="82"/>
    </row>
    <row r="857" spans="9:22" x14ac:dyDescent="0.25">
      <c r="I857" s="49"/>
      <c r="J857" s="49"/>
      <c r="K857" s="49"/>
      <c r="U857" s="82"/>
      <c r="V857" s="82"/>
    </row>
    <row r="858" spans="9:22" x14ac:dyDescent="0.25">
      <c r="I858" s="49"/>
      <c r="J858" s="49"/>
      <c r="K858" s="49"/>
      <c r="U858" s="82"/>
      <c r="V858" s="82"/>
    </row>
    <row r="859" spans="9:22" x14ac:dyDescent="0.25">
      <c r="I859" s="49"/>
      <c r="J859" s="49"/>
      <c r="K859" s="49"/>
      <c r="U859" s="82"/>
      <c r="V859" s="82"/>
    </row>
    <row r="860" spans="9:22" x14ac:dyDescent="0.25">
      <c r="I860" s="49"/>
      <c r="J860" s="49"/>
      <c r="K860" s="49"/>
      <c r="U860" s="82"/>
      <c r="V860" s="82"/>
    </row>
    <row r="861" spans="9:22" x14ac:dyDescent="0.25">
      <c r="I861" s="49"/>
      <c r="J861" s="49"/>
      <c r="K861" s="49"/>
      <c r="U861" s="82"/>
      <c r="V861" s="82"/>
    </row>
    <row r="862" spans="9:22" x14ac:dyDescent="0.25">
      <c r="I862" s="49"/>
      <c r="J862" s="49"/>
      <c r="K862" s="49"/>
      <c r="U862" s="82"/>
      <c r="V862" s="82"/>
    </row>
    <row r="863" spans="9:22" x14ac:dyDescent="0.25">
      <c r="I863" s="49"/>
      <c r="J863" s="49"/>
      <c r="K863" s="49"/>
      <c r="U863" s="82"/>
      <c r="V863" s="82"/>
    </row>
    <row r="864" spans="9:22" x14ac:dyDescent="0.25">
      <c r="I864" s="49"/>
      <c r="J864" s="49"/>
      <c r="K864" s="49"/>
      <c r="U864" s="82"/>
      <c r="V864" s="82"/>
    </row>
    <row r="865" spans="9:22" x14ac:dyDescent="0.25">
      <c r="I865" s="49"/>
      <c r="J865" s="49"/>
      <c r="K865" s="49"/>
      <c r="U865" s="82"/>
      <c r="V865" s="82"/>
    </row>
    <row r="866" spans="9:22" x14ac:dyDescent="0.25">
      <c r="I866" s="49"/>
      <c r="J866" s="49"/>
      <c r="K866" s="49"/>
      <c r="U866" s="82"/>
      <c r="V866" s="82"/>
    </row>
    <row r="867" spans="9:22" x14ac:dyDescent="0.25">
      <c r="I867" s="49"/>
      <c r="J867" s="49"/>
      <c r="K867" s="49"/>
      <c r="U867" s="82"/>
      <c r="V867" s="82"/>
    </row>
    <row r="868" spans="9:22" x14ac:dyDescent="0.25">
      <c r="I868" s="49"/>
      <c r="J868" s="49"/>
      <c r="K868" s="49"/>
      <c r="U868" s="82"/>
      <c r="V868" s="82"/>
    </row>
    <row r="869" spans="9:22" x14ac:dyDescent="0.25">
      <c r="I869" s="49"/>
      <c r="J869" s="49"/>
      <c r="K869" s="49"/>
      <c r="U869" s="82"/>
      <c r="V869" s="82"/>
    </row>
    <row r="870" spans="9:22" x14ac:dyDescent="0.25">
      <c r="I870" s="49"/>
      <c r="J870" s="49"/>
      <c r="K870" s="49"/>
      <c r="U870" s="82"/>
      <c r="V870" s="82"/>
    </row>
    <row r="871" spans="9:22" x14ac:dyDescent="0.25">
      <c r="I871" s="49"/>
      <c r="J871" s="49"/>
      <c r="K871" s="49"/>
      <c r="U871" s="82"/>
      <c r="V871" s="82"/>
    </row>
    <row r="872" spans="9:22" x14ac:dyDescent="0.25">
      <c r="I872" s="49"/>
      <c r="J872" s="49"/>
      <c r="K872" s="49"/>
      <c r="U872" s="82"/>
      <c r="V872" s="82"/>
    </row>
    <row r="873" spans="9:22" x14ac:dyDescent="0.25">
      <c r="I873" s="49"/>
      <c r="J873" s="49"/>
      <c r="K873" s="49"/>
      <c r="U873" s="82"/>
      <c r="V873" s="82"/>
    </row>
    <row r="874" spans="9:22" x14ac:dyDescent="0.25">
      <c r="I874" s="49"/>
      <c r="J874" s="49"/>
      <c r="K874" s="49"/>
      <c r="U874" s="82"/>
      <c r="V874" s="82"/>
    </row>
    <row r="875" spans="9:22" x14ac:dyDescent="0.25">
      <c r="I875" s="49"/>
      <c r="J875" s="49"/>
      <c r="K875" s="49"/>
      <c r="U875" s="82"/>
      <c r="V875" s="82"/>
    </row>
    <row r="876" spans="9:22" x14ac:dyDescent="0.25">
      <c r="I876" s="49"/>
      <c r="J876" s="49"/>
      <c r="K876" s="49"/>
      <c r="U876" s="82"/>
      <c r="V876" s="82"/>
    </row>
    <row r="877" spans="9:22" x14ac:dyDescent="0.25">
      <c r="I877" s="49"/>
      <c r="J877" s="49"/>
      <c r="K877" s="49"/>
      <c r="U877" s="82"/>
      <c r="V877" s="82"/>
    </row>
    <row r="878" spans="9:22" x14ac:dyDescent="0.25">
      <c r="I878" s="49"/>
      <c r="J878" s="49"/>
      <c r="K878" s="49"/>
      <c r="U878" s="82"/>
      <c r="V878" s="82"/>
    </row>
    <row r="879" spans="9:22" x14ac:dyDescent="0.25">
      <c r="I879" s="49"/>
      <c r="J879" s="49"/>
      <c r="K879" s="49"/>
      <c r="U879" s="82"/>
      <c r="V879" s="82"/>
    </row>
    <row r="880" spans="9:22" x14ac:dyDescent="0.25">
      <c r="I880" s="49"/>
      <c r="J880" s="49"/>
      <c r="K880" s="49"/>
      <c r="U880" s="82"/>
      <c r="V880" s="82"/>
    </row>
    <row r="881" spans="9:22" x14ac:dyDescent="0.25">
      <c r="I881" s="49"/>
      <c r="J881" s="49"/>
      <c r="K881" s="49"/>
      <c r="U881" s="82"/>
      <c r="V881" s="82"/>
    </row>
    <row r="882" spans="9:22" x14ac:dyDescent="0.25">
      <c r="I882" s="49"/>
      <c r="J882" s="49"/>
      <c r="K882" s="49"/>
      <c r="U882" s="82"/>
      <c r="V882" s="82"/>
    </row>
    <row r="883" spans="9:22" x14ac:dyDescent="0.25">
      <c r="I883" s="49"/>
      <c r="J883" s="49"/>
      <c r="K883" s="49"/>
      <c r="U883" s="82"/>
      <c r="V883" s="82"/>
    </row>
    <row r="884" spans="9:22" x14ac:dyDescent="0.25">
      <c r="I884" s="49"/>
      <c r="J884" s="49"/>
      <c r="K884" s="49"/>
      <c r="U884" s="82"/>
      <c r="V884" s="82"/>
    </row>
    <row r="885" spans="9:22" x14ac:dyDescent="0.25">
      <c r="I885" s="49"/>
      <c r="J885" s="49"/>
      <c r="K885" s="49"/>
      <c r="U885" s="82"/>
      <c r="V885" s="82"/>
    </row>
    <row r="886" spans="9:22" x14ac:dyDescent="0.25">
      <c r="I886" s="49"/>
      <c r="J886" s="49"/>
      <c r="K886" s="49"/>
      <c r="U886" s="82"/>
      <c r="V886" s="82"/>
    </row>
    <row r="887" spans="9:22" x14ac:dyDescent="0.25">
      <c r="I887" s="49"/>
      <c r="J887" s="49"/>
      <c r="K887" s="49"/>
      <c r="U887" s="82"/>
      <c r="V887" s="82"/>
    </row>
    <row r="888" spans="9:22" x14ac:dyDescent="0.25">
      <c r="I888" s="49"/>
      <c r="J888" s="49"/>
      <c r="K888" s="49"/>
      <c r="U888" s="82"/>
      <c r="V888" s="82"/>
    </row>
    <row r="889" spans="9:22" x14ac:dyDescent="0.25">
      <c r="I889" s="49"/>
      <c r="J889" s="49"/>
      <c r="K889" s="49"/>
      <c r="U889" s="82"/>
      <c r="V889" s="82"/>
    </row>
    <row r="890" spans="9:22" x14ac:dyDescent="0.25">
      <c r="I890" s="49"/>
      <c r="J890" s="49"/>
      <c r="K890" s="49"/>
      <c r="U890" s="82"/>
      <c r="V890" s="82"/>
    </row>
    <row r="891" spans="9:22" x14ac:dyDescent="0.25">
      <c r="I891" s="49"/>
      <c r="J891" s="49"/>
      <c r="K891" s="49"/>
      <c r="U891" s="82"/>
      <c r="V891" s="82"/>
    </row>
    <row r="892" spans="9:22" x14ac:dyDescent="0.25">
      <c r="I892" s="49"/>
      <c r="J892" s="49"/>
      <c r="K892" s="49"/>
      <c r="U892" s="82"/>
      <c r="V892" s="82"/>
    </row>
    <row r="893" spans="9:22" x14ac:dyDescent="0.25">
      <c r="I893" s="49"/>
      <c r="J893" s="49"/>
      <c r="K893" s="49"/>
      <c r="U893" s="82"/>
      <c r="V893" s="82"/>
    </row>
    <row r="894" spans="9:22" x14ac:dyDescent="0.25">
      <c r="I894" s="49"/>
      <c r="J894" s="49"/>
      <c r="K894" s="49"/>
      <c r="U894" s="82"/>
      <c r="V894" s="82"/>
    </row>
    <row r="895" spans="9:22" x14ac:dyDescent="0.25">
      <c r="I895" s="49"/>
      <c r="J895" s="49"/>
      <c r="K895" s="49"/>
      <c r="U895" s="82"/>
      <c r="V895" s="82"/>
    </row>
    <row r="896" spans="9:22" x14ac:dyDescent="0.25">
      <c r="I896" s="49"/>
      <c r="J896" s="49"/>
      <c r="K896" s="49"/>
      <c r="U896" s="82"/>
      <c r="V896" s="82"/>
    </row>
    <row r="897" spans="9:22" x14ac:dyDescent="0.25">
      <c r="I897" s="49"/>
      <c r="J897" s="49"/>
      <c r="K897" s="49"/>
      <c r="U897" s="82"/>
      <c r="V897" s="82"/>
    </row>
    <row r="898" spans="9:22" x14ac:dyDescent="0.25">
      <c r="I898" s="49"/>
      <c r="J898" s="49"/>
      <c r="K898" s="49"/>
      <c r="U898" s="82"/>
      <c r="V898" s="82"/>
    </row>
    <row r="899" spans="9:22" x14ac:dyDescent="0.25">
      <c r="I899" s="49"/>
      <c r="J899" s="49"/>
      <c r="K899" s="49"/>
      <c r="U899" s="82"/>
      <c r="V899" s="82"/>
    </row>
    <row r="900" spans="9:22" x14ac:dyDescent="0.25">
      <c r="I900" s="49"/>
      <c r="J900" s="49"/>
      <c r="K900" s="49"/>
      <c r="U900" s="82"/>
      <c r="V900" s="82"/>
    </row>
    <row r="901" spans="9:22" x14ac:dyDescent="0.25">
      <c r="I901" s="49"/>
      <c r="J901" s="49"/>
      <c r="K901" s="49"/>
      <c r="U901" s="82"/>
      <c r="V901" s="82"/>
    </row>
    <row r="902" spans="9:22" x14ac:dyDescent="0.25">
      <c r="I902" s="49"/>
      <c r="J902" s="49"/>
      <c r="K902" s="49"/>
      <c r="U902" s="82"/>
      <c r="V902" s="82"/>
    </row>
    <row r="903" spans="9:22" x14ac:dyDescent="0.25">
      <c r="I903" s="49"/>
      <c r="J903" s="49"/>
      <c r="K903" s="49"/>
      <c r="U903" s="82"/>
      <c r="V903" s="82"/>
    </row>
    <row r="904" spans="9:22" x14ac:dyDescent="0.25">
      <c r="I904" s="49"/>
      <c r="J904" s="49"/>
      <c r="K904" s="49"/>
      <c r="U904" s="82"/>
      <c r="V904" s="82"/>
    </row>
    <row r="905" spans="9:22" x14ac:dyDescent="0.25">
      <c r="I905" s="49"/>
      <c r="J905" s="49"/>
      <c r="K905" s="49"/>
      <c r="U905" s="82"/>
      <c r="V905" s="82"/>
    </row>
    <row r="906" spans="9:22" x14ac:dyDescent="0.25">
      <c r="I906" s="49"/>
      <c r="J906" s="49"/>
      <c r="K906" s="49"/>
      <c r="U906" s="82"/>
      <c r="V906" s="82"/>
    </row>
    <row r="907" spans="9:22" x14ac:dyDescent="0.25">
      <c r="I907" s="49"/>
      <c r="J907" s="49"/>
      <c r="K907" s="49"/>
      <c r="U907" s="82"/>
      <c r="V907" s="82"/>
    </row>
    <row r="908" spans="9:22" x14ac:dyDescent="0.25">
      <c r="I908" s="49"/>
      <c r="J908" s="49"/>
      <c r="K908" s="49"/>
      <c r="U908" s="82"/>
      <c r="V908" s="82"/>
    </row>
    <row r="909" spans="9:22" x14ac:dyDescent="0.25">
      <c r="I909" s="49"/>
      <c r="J909" s="49"/>
      <c r="K909" s="49"/>
      <c r="U909" s="82"/>
      <c r="V909" s="82"/>
    </row>
    <row r="910" spans="9:22" x14ac:dyDescent="0.25">
      <c r="I910" s="49"/>
      <c r="J910" s="49"/>
      <c r="K910" s="49"/>
      <c r="U910" s="82"/>
      <c r="V910" s="82"/>
    </row>
    <row r="911" spans="9:22" x14ac:dyDescent="0.25">
      <c r="I911" s="49"/>
      <c r="J911" s="49"/>
      <c r="K911" s="49"/>
      <c r="U911" s="82"/>
      <c r="V911" s="82"/>
    </row>
    <row r="912" spans="9:22" x14ac:dyDescent="0.25">
      <c r="I912" s="49"/>
      <c r="J912" s="49"/>
      <c r="K912" s="49"/>
      <c r="U912" s="82"/>
      <c r="V912" s="82"/>
    </row>
    <row r="913" spans="9:22" x14ac:dyDescent="0.25">
      <c r="I913" s="49"/>
      <c r="J913" s="49"/>
      <c r="K913" s="49"/>
      <c r="U913" s="82"/>
      <c r="V913" s="82"/>
    </row>
    <row r="914" spans="9:22" x14ac:dyDescent="0.25">
      <c r="I914" s="49"/>
      <c r="J914" s="49"/>
      <c r="K914" s="49"/>
      <c r="U914" s="82"/>
      <c r="V914" s="82"/>
    </row>
    <row r="915" spans="9:22" x14ac:dyDescent="0.25">
      <c r="I915" s="49"/>
      <c r="J915" s="49"/>
      <c r="K915" s="49"/>
      <c r="U915" s="82"/>
      <c r="V915" s="82"/>
    </row>
    <row r="916" spans="9:22" x14ac:dyDescent="0.25">
      <c r="I916" s="49"/>
      <c r="J916" s="49"/>
      <c r="K916" s="49"/>
      <c r="U916" s="82"/>
      <c r="V916" s="82"/>
    </row>
    <row r="917" spans="9:22" x14ac:dyDescent="0.25">
      <c r="I917" s="49"/>
      <c r="J917" s="49"/>
      <c r="K917" s="49"/>
      <c r="U917" s="82"/>
      <c r="V917" s="82"/>
    </row>
    <row r="918" spans="9:22" x14ac:dyDescent="0.25">
      <c r="I918" s="49"/>
      <c r="J918" s="49"/>
      <c r="K918" s="49"/>
      <c r="U918" s="82"/>
      <c r="V918" s="82"/>
    </row>
    <row r="919" spans="9:22" x14ac:dyDescent="0.25">
      <c r="I919" s="49"/>
      <c r="J919" s="49"/>
      <c r="K919" s="49"/>
      <c r="U919" s="82"/>
      <c r="V919" s="82"/>
    </row>
    <row r="920" spans="9:22" x14ac:dyDescent="0.25">
      <c r="I920" s="49"/>
      <c r="J920" s="49"/>
      <c r="K920" s="49"/>
      <c r="U920" s="82"/>
      <c r="V920" s="82"/>
    </row>
    <row r="921" spans="9:22" x14ac:dyDescent="0.25">
      <c r="I921" s="49"/>
      <c r="J921" s="49"/>
      <c r="K921" s="49"/>
      <c r="U921" s="82"/>
      <c r="V921" s="82"/>
    </row>
    <row r="922" spans="9:22" x14ac:dyDescent="0.25">
      <c r="I922" s="49"/>
      <c r="J922" s="49"/>
      <c r="K922" s="49"/>
      <c r="U922" s="82"/>
      <c r="V922" s="82"/>
    </row>
    <row r="923" spans="9:22" x14ac:dyDescent="0.25">
      <c r="I923" s="49"/>
      <c r="J923" s="49"/>
      <c r="K923" s="49"/>
      <c r="U923" s="82"/>
      <c r="V923" s="82"/>
    </row>
    <row r="924" spans="9:22" x14ac:dyDescent="0.25">
      <c r="I924" s="49"/>
      <c r="J924" s="49"/>
      <c r="K924" s="49"/>
      <c r="U924" s="82"/>
      <c r="V924" s="82"/>
    </row>
    <row r="925" spans="9:22" x14ac:dyDescent="0.25">
      <c r="I925" s="49"/>
      <c r="J925" s="49"/>
      <c r="K925" s="49"/>
      <c r="U925" s="82"/>
      <c r="V925" s="82"/>
    </row>
    <row r="926" spans="9:22" x14ac:dyDescent="0.25">
      <c r="I926" s="49"/>
      <c r="J926" s="49"/>
      <c r="K926" s="49"/>
      <c r="U926" s="82"/>
      <c r="V926" s="82"/>
    </row>
    <row r="927" spans="9:22" x14ac:dyDescent="0.25">
      <c r="I927" s="49"/>
      <c r="J927" s="49"/>
      <c r="K927" s="49"/>
      <c r="U927" s="82"/>
      <c r="V927" s="82"/>
    </row>
    <row r="928" spans="9:22" x14ac:dyDescent="0.25">
      <c r="I928" s="49"/>
      <c r="J928" s="49"/>
      <c r="K928" s="49"/>
      <c r="U928" s="82"/>
      <c r="V928" s="82"/>
    </row>
    <row r="929" spans="9:22" x14ac:dyDescent="0.25">
      <c r="I929" s="49"/>
      <c r="J929" s="49"/>
      <c r="K929" s="49"/>
      <c r="U929" s="82"/>
      <c r="V929" s="82"/>
    </row>
    <row r="930" spans="9:22" x14ac:dyDescent="0.25">
      <c r="I930" s="49"/>
      <c r="J930" s="49"/>
      <c r="K930" s="49"/>
      <c r="U930" s="82"/>
      <c r="V930" s="82"/>
    </row>
    <row r="931" spans="9:22" x14ac:dyDescent="0.25">
      <c r="I931" s="49"/>
      <c r="J931" s="49"/>
      <c r="K931" s="49"/>
      <c r="U931" s="82"/>
      <c r="V931" s="82"/>
    </row>
    <row r="932" spans="9:22" x14ac:dyDescent="0.25">
      <c r="I932" s="49"/>
      <c r="J932" s="49"/>
      <c r="K932" s="49"/>
      <c r="U932" s="82"/>
      <c r="V932" s="82"/>
    </row>
    <row r="933" spans="9:22" x14ac:dyDescent="0.25">
      <c r="I933" s="49"/>
      <c r="J933" s="49"/>
      <c r="K933" s="49"/>
      <c r="U933" s="82"/>
      <c r="V933" s="82"/>
    </row>
    <row r="934" spans="9:22" x14ac:dyDescent="0.25">
      <c r="I934" s="49"/>
      <c r="J934" s="49"/>
      <c r="K934" s="49"/>
      <c r="U934" s="82"/>
      <c r="V934" s="82"/>
    </row>
    <row r="935" spans="9:22" x14ac:dyDescent="0.25">
      <c r="I935" s="49"/>
      <c r="J935" s="49"/>
      <c r="K935" s="49"/>
      <c r="U935" s="82"/>
      <c r="V935" s="82"/>
    </row>
    <row r="936" spans="9:22" x14ac:dyDescent="0.25">
      <c r="I936" s="49"/>
      <c r="J936" s="49"/>
      <c r="K936" s="49"/>
      <c r="U936" s="82"/>
      <c r="V936" s="82"/>
    </row>
    <row r="937" spans="9:22" x14ac:dyDescent="0.25">
      <c r="I937" s="49"/>
      <c r="J937" s="49"/>
      <c r="K937" s="49"/>
      <c r="U937" s="82"/>
      <c r="V937" s="82"/>
    </row>
    <row r="938" spans="9:22" x14ac:dyDescent="0.25">
      <c r="I938" s="49"/>
      <c r="J938" s="49"/>
      <c r="K938" s="49"/>
      <c r="U938" s="82"/>
      <c r="V938" s="82"/>
    </row>
    <row r="939" spans="9:22" x14ac:dyDescent="0.25">
      <c r="I939" s="49"/>
      <c r="J939" s="49"/>
      <c r="K939" s="49"/>
      <c r="U939" s="82"/>
      <c r="V939" s="82"/>
    </row>
    <row r="940" spans="9:22" x14ac:dyDescent="0.25">
      <c r="I940" s="49"/>
      <c r="J940" s="49"/>
      <c r="K940" s="49"/>
      <c r="U940" s="82"/>
      <c r="V940" s="82"/>
    </row>
    <row r="941" spans="9:22" x14ac:dyDescent="0.25">
      <c r="I941" s="49"/>
      <c r="J941" s="49"/>
      <c r="K941" s="49"/>
      <c r="U941" s="82"/>
      <c r="V941" s="82"/>
    </row>
    <row r="942" spans="9:22" x14ac:dyDescent="0.25">
      <c r="I942" s="49"/>
      <c r="J942" s="49"/>
      <c r="K942" s="49"/>
      <c r="U942" s="82"/>
      <c r="V942" s="82"/>
    </row>
    <row r="943" spans="9:22" x14ac:dyDescent="0.25">
      <c r="I943" s="49"/>
      <c r="J943" s="49"/>
      <c r="K943" s="49"/>
      <c r="U943" s="82"/>
      <c r="V943" s="82"/>
    </row>
    <row r="944" spans="9:22" x14ac:dyDescent="0.25">
      <c r="I944" s="49"/>
      <c r="J944" s="49"/>
      <c r="K944" s="49"/>
      <c r="U944" s="82"/>
      <c r="V944" s="82"/>
    </row>
    <row r="945" spans="9:22" x14ac:dyDescent="0.25">
      <c r="I945" s="49"/>
      <c r="J945" s="49"/>
      <c r="K945" s="49"/>
      <c r="U945" s="82"/>
      <c r="V945" s="82"/>
    </row>
    <row r="946" spans="9:22" x14ac:dyDescent="0.25">
      <c r="I946" s="49"/>
      <c r="J946" s="49"/>
      <c r="K946" s="49"/>
      <c r="U946" s="82"/>
      <c r="V946" s="82"/>
    </row>
    <row r="947" spans="9:22" x14ac:dyDescent="0.25">
      <c r="I947" s="49"/>
      <c r="J947" s="49"/>
      <c r="K947" s="49"/>
      <c r="U947" s="82"/>
      <c r="V947" s="82"/>
    </row>
    <row r="948" spans="9:22" x14ac:dyDescent="0.25">
      <c r="I948" s="49"/>
      <c r="J948" s="49"/>
      <c r="K948" s="49"/>
      <c r="U948" s="82"/>
      <c r="V948" s="82"/>
    </row>
    <row r="949" spans="9:22" x14ac:dyDescent="0.25">
      <c r="I949" s="49"/>
      <c r="J949" s="49"/>
      <c r="K949" s="49"/>
      <c r="U949" s="82"/>
      <c r="V949" s="82"/>
    </row>
    <row r="950" spans="9:22" x14ac:dyDescent="0.25">
      <c r="I950" s="49"/>
      <c r="J950" s="49"/>
      <c r="K950" s="49"/>
      <c r="U950" s="82"/>
      <c r="V950" s="82"/>
    </row>
    <row r="951" spans="9:22" x14ac:dyDescent="0.25">
      <c r="I951" s="49"/>
      <c r="J951" s="49"/>
      <c r="K951" s="49"/>
      <c r="U951" s="82"/>
      <c r="V951" s="82"/>
    </row>
    <row r="952" spans="9:22" x14ac:dyDescent="0.25">
      <c r="I952" s="49"/>
      <c r="J952" s="49"/>
      <c r="K952" s="49"/>
      <c r="U952" s="82"/>
      <c r="V952" s="82"/>
    </row>
    <row r="953" spans="9:22" x14ac:dyDescent="0.25">
      <c r="I953" s="49"/>
      <c r="J953" s="49"/>
      <c r="K953" s="49"/>
      <c r="U953" s="82"/>
      <c r="V953" s="82"/>
    </row>
    <row r="954" spans="9:22" x14ac:dyDescent="0.25">
      <c r="I954" s="49"/>
      <c r="J954" s="49"/>
      <c r="K954" s="49"/>
      <c r="U954" s="82"/>
      <c r="V954" s="82"/>
    </row>
    <row r="955" spans="9:22" x14ac:dyDescent="0.25">
      <c r="I955" s="49"/>
      <c r="J955" s="49"/>
      <c r="K955" s="49"/>
      <c r="U955" s="82"/>
      <c r="V955" s="82"/>
    </row>
    <row r="956" spans="9:22" x14ac:dyDescent="0.25">
      <c r="I956" s="49"/>
      <c r="J956" s="49"/>
      <c r="K956" s="49"/>
      <c r="U956" s="82"/>
      <c r="V956" s="82"/>
    </row>
    <row r="957" spans="9:22" x14ac:dyDescent="0.25">
      <c r="I957" s="49"/>
      <c r="J957" s="49"/>
      <c r="K957" s="49"/>
      <c r="U957" s="82"/>
      <c r="V957" s="82"/>
    </row>
    <row r="958" spans="9:22" x14ac:dyDescent="0.25">
      <c r="I958" s="49"/>
      <c r="J958" s="49"/>
      <c r="K958" s="49"/>
      <c r="U958" s="82"/>
      <c r="V958" s="82"/>
    </row>
    <row r="959" spans="9:22" x14ac:dyDescent="0.25">
      <c r="I959" s="49"/>
      <c r="J959" s="49"/>
      <c r="K959" s="49"/>
      <c r="U959" s="82"/>
      <c r="V959" s="82"/>
    </row>
    <row r="960" spans="9:22" x14ac:dyDescent="0.25">
      <c r="I960" s="49"/>
      <c r="J960" s="49"/>
      <c r="K960" s="49"/>
      <c r="U960" s="82"/>
      <c r="V960" s="82"/>
    </row>
    <row r="961" spans="9:22" x14ac:dyDescent="0.25">
      <c r="I961" s="49"/>
      <c r="J961" s="49"/>
      <c r="K961" s="49"/>
      <c r="U961" s="82"/>
      <c r="V961" s="82"/>
    </row>
    <row r="962" spans="9:22" x14ac:dyDescent="0.25">
      <c r="I962" s="49"/>
      <c r="J962" s="49"/>
      <c r="K962" s="49"/>
      <c r="U962" s="82"/>
      <c r="V962" s="82"/>
    </row>
    <row r="963" spans="9:22" x14ac:dyDescent="0.25">
      <c r="I963" s="49"/>
      <c r="J963" s="49"/>
      <c r="K963" s="49"/>
      <c r="U963" s="82"/>
      <c r="V963" s="82"/>
    </row>
    <row r="964" spans="9:22" x14ac:dyDescent="0.25">
      <c r="I964" s="49"/>
      <c r="J964" s="49"/>
      <c r="K964" s="49"/>
      <c r="U964" s="82"/>
      <c r="V964" s="82"/>
    </row>
    <row r="965" spans="9:22" x14ac:dyDescent="0.25">
      <c r="I965" s="49"/>
      <c r="J965" s="49"/>
      <c r="K965" s="49"/>
      <c r="U965" s="82"/>
      <c r="V965" s="82"/>
    </row>
    <row r="966" spans="9:22" x14ac:dyDescent="0.25">
      <c r="I966" s="49"/>
      <c r="J966" s="49"/>
      <c r="K966" s="49"/>
      <c r="U966" s="82"/>
      <c r="V966" s="82"/>
    </row>
    <row r="967" spans="9:22" x14ac:dyDescent="0.25">
      <c r="I967" s="49"/>
      <c r="J967" s="49"/>
      <c r="K967" s="49"/>
      <c r="U967" s="82"/>
      <c r="V967" s="82"/>
    </row>
    <row r="968" spans="9:22" x14ac:dyDescent="0.25">
      <c r="I968" s="49"/>
      <c r="J968" s="49"/>
      <c r="K968" s="49"/>
      <c r="U968" s="82"/>
      <c r="V968" s="82"/>
    </row>
    <row r="969" spans="9:22" x14ac:dyDescent="0.25">
      <c r="I969" s="49"/>
      <c r="J969" s="49"/>
      <c r="K969" s="49"/>
      <c r="U969" s="82"/>
      <c r="V969" s="82"/>
    </row>
    <row r="970" spans="9:22" x14ac:dyDescent="0.25">
      <c r="I970" s="49"/>
      <c r="J970" s="49"/>
      <c r="K970" s="49"/>
      <c r="U970" s="82"/>
      <c r="V970" s="82"/>
    </row>
    <row r="971" spans="9:22" x14ac:dyDescent="0.25">
      <c r="I971" s="49"/>
      <c r="J971" s="49"/>
      <c r="K971" s="49"/>
      <c r="U971" s="82"/>
      <c r="V971" s="82"/>
    </row>
    <row r="972" spans="9:22" x14ac:dyDescent="0.25">
      <c r="I972" s="49"/>
      <c r="J972" s="49"/>
      <c r="K972" s="49"/>
      <c r="U972" s="82"/>
      <c r="V972" s="82"/>
    </row>
    <row r="973" spans="9:22" x14ac:dyDescent="0.25">
      <c r="I973" s="49"/>
      <c r="J973" s="49"/>
      <c r="K973" s="49"/>
      <c r="U973" s="82"/>
      <c r="V973" s="82"/>
    </row>
    <row r="974" spans="9:22" x14ac:dyDescent="0.25">
      <c r="I974" s="49"/>
      <c r="J974" s="49"/>
      <c r="K974" s="49"/>
      <c r="U974" s="82"/>
      <c r="V974" s="82"/>
    </row>
    <row r="975" spans="9:22" x14ac:dyDescent="0.25">
      <c r="I975" s="49"/>
      <c r="J975" s="49"/>
      <c r="K975" s="49"/>
      <c r="U975" s="82"/>
      <c r="V975" s="82"/>
    </row>
    <row r="976" spans="9:22" x14ac:dyDescent="0.25">
      <c r="I976" s="49"/>
      <c r="J976" s="49"/>
      <c r="K976" s="49"/>
      <c r="U976" s="82"/>
      <c r="V976" s="82"/>
    </row>
    <row r="977" spans="9:22" x14ac:dyDescent="0.25">
      <c r="I977" s="49"/>
      <c r="J977" s="49"/>
      <c r="K977" s="49"/>
      <c r="U977" s="82"/>
      <c r="V977" s="82"/>
    </row>
    <row r="978" spans="9:22" x14ac:dyDescent="0.25">
      <c r="I978" s="49"/>
      <c r="J978" s="49"/>
      <c r="K978" s="49"/>
      <c r="U978" s="82"/>
      <c r="V978" s="82"/>
    </row>
    <row r="979" spans="9:22" x14ac:dyDescent="0.25">
      <c r="I979" s="49"/>
      <c r="J979" s="49"/>
      <c r="K979" s="49"/>
      <c r="U979" s="82"/>
      <c r="V979" s="82"/>
    </row>
    <row r="980" spans="9:22" x14ac:dyDescent="0.25">
      <c r="I980" s="49"/>
      <c r="J980" s="49"/>
      <c r="K980" s="49"/>
      <c r="U980" s="82"/>
      <c r="V980" s="82"/>
    </row>
    <row r="981" spans="9:22" x14ac:dyDescent="0.25">
      <c r="I981" s="49"/>
      <c r="J981" s="49"/>
      <c r="K981" s="49"/>
      <c r="U981" s="82"/>
      <c r="V981" s="82"/>
    </row>
    <row r="982" spans="9:22" x14ac:dyDescent="0.25">
      <c r="I982" s="49"/>
      <c r="J982" s="49"/>
      <c r="K982" s="49"/>
      <c r="U982" s="82"/>
      <c r="V982" s="82"/>
    </row>
    <row r="983" spans="9:22" x14ac:dyDescent="0.25">
      <c r="I983" s="49"/>
      <c r="J983" s="49"/>
      <c r="K983" s="49"/>
      <c r="U983" s="82"/>
      <c r="V983" s="82"/>
    </row>
    <row r="984" spans="9:22" x14ac:dyDescent="0.25">
      <c r="I984" s="49"/>
      <c r="J984" s="49"/>
      <c r="K984" s="49"/>
      <c r="U984" s="82"/>
      <c r="V984" s="82"/>
    </row>
    <row r="985" spans="9:22" x14ac:dyDescent="0.25">
      <c r="I985" s="49"/>
      <c r="J985" s="49"/>
      <c r="K985" s="49"/>
      <c r="U985" s="82"/>
      <c r="V985" s="82"/>
    </row>
    <row r="986" spans="9:22" x14ac:dyDescent="0.25">
      <c r="I986" s="49"/>
      <c r="J986" s="49"/>
      <c r="K986" s="49"/>
      <c r="U986" s="82"/>
      <c r="V986" s="82"/>
    </row>
    <row r="987" spans="9:22" x14ac:dyDescent="0.25">
      <c r="I987" s="49"/>
      <c r="J987" s="49"/>
      <c r="K987" s="49"/>
      <c r="U987" s="82"/>
      <c r="V987" s="82"/>
    </row>
    <row r="988" spans="9:22" x14ac:dyDescent="0.25">
      <c r="I988" s="49"/>
      <c r="J988" s="49"/>
      <c r="K988" s="49"/>
      <c r="U988" s="82"/>
      <c r="V988" s="82"/>
    </row>
    <row r="989" spans="9:22" x14ac:dyDescent="0.25">
      <c r="I989" s="49"/>
      <c r="J989" s="49"/>
      <c r="K989" s="49"/>
      <c r="U989" s="82"/>
      <c r="V989" s="82"/>
    </row>
    <row r="990" spans="9:22" x14ac:dyDescent="0.25">
      <c r="I990" s="49"/>
      <c r="J990" s="49"/>
      <c r="K990" s="49"/>
      <c r="U990" s="82"/>
      <c r="V990" s="82"/>
    </row>
    <row r="991" spans="9:22" x14ac:dyDescent="0.25">
      <c r="I991" s="49"/>
      <c r="J991" s="49"/>
      <c r="K991" s="49"/>
      <c r="U991" s="82"/>
      <c r="V991" s="82"/>
    </row>
    <row r="992" spans="9:22" x14ac:dyDescent="0.25">
      <c r="I992" s="49"/>
      <c r="J992" s="49"/>
      <c r="K992" s="49"/>
      <c r="U992" s="82"/>
      <c r="V992" s="82"/>
    </row>
    <row r="993" spans="9:22" x14ac:dyDescent="0.25">
      <c r="I993" s="49"/>
      <c r="J993" s="49"/>
      <c r="K993" s="49"/>
      <c r="U993" s="82"/>
      <c r="V993" s="82"/>
    </row>
    <row r="994" spans="9:22" x14ac:dyDescent="0.25">
      <c r="I994" s="49"/>
      <c r="J994" s="49"/>
      <c r="K994" s="49"/>
      <c r="U994" s="82"/>
      <c r="V994" s="82"/>
    </row>
    <row r="995" spans="9:22" x14ac:dyDescent="0.25">
      <c r="I995" s="49"/>
      <c r="J995" s="49"/>
      <c r="K995" s="49"/>
      <c r="U995" s="82"/>
      <c r="V995" s="82"/>
    </row>
    <row r="996" spans="9:22" x14ac:dyDescent="0.25">
      <c r="I996" s="49"/>
      <c r="J996" s="49"/>
      <c r="K996" s="49"/>
      <c r="U996" s="82"/>
      <c r="V996" s="82"/>
    </row>
    <row r="997" spans="9:22" x14ac:dyDescent="0.25">
      <c r="I997" s="49"/>
      <c r="J997" s="49"/>
      <c r="K997" s="49"/>
      <c r="U997" s="82"/>
      <c r="V997" s="82"/>
    </row>
    <row r="998" spans="9:22" x14ac:dyDescent="0.25">
      <c r="I998" s="49"/>
      <c r="J998" s="49"/>
      <c r="K998" s="49"/>
      <c r="U998" s="82"/>
      <c r="V998" s="82"/>
    </row>
    <row r="999" spans="9:22" x14ac:dyDescent="0.25">
      <c r="I999" s="49"/>
      <c r="J999" s="49"/>
      <c r="K999" s="49"/>
      <c r="U999" s="82"/>
      <c r="V999" s="82"/>
    </row>
    <row r="1000" spans="9:22" x14ac:dyDescent="0.25">
      <c r="I1000" s="49"/>
      <c r="J1000" s="49"/>
      <c r="K1000" s="49"/>
      <c r="U1000" s="82"/>
      <c r="V1000" s="82"/>
    </row>
    <row r="1001" spans="9:22" x14ac:dyDescent="0.25">
      <c r="I1001" s="49"/>
      <c r="J1001" s="49"/>
      <c r="K1001" s="49"/>
      <c r="U1001" s="82"/>
      <c r="V1001" s="82"/>
    </row>
    <row r="1002" spans="9:22" x14ac:dyDescent="0.25">
      <c r="I1002" s="49"/>
      <c r="J1002" s="49"/>
      <c r="K1002" s="49"/>
      <c r="U1002" s="82"/>
      <c r="V1002" s="82"/>
    </row>
    <row r="1003" spans="9:22" x14ac:dyDescent="0.25">
      <c r="I1003" s="49"/>
      <c r="J1003" s="49"/>
      <c r="K1003" s="49"/>
      <c r="U1003" s="82"/>
      <c r="V1003" s="82"/>
    </row>
    <row r="1004" spans="9:22" x14ac:dyDescent="0.25">
      <c r="I1004" s="49"/>
      <c r="J1004" s="49"/>
      <c r="K1004" s="49"/>
      <c r="U1004" s="82"/>
      <c r="V1004" s="82"/>
    </row>
    <row r="1005" spans="9:22" x14ac:dyDescent="0.25">
      <c r="I1005" s="49"/>
      <c r="J1005" s="49"/>
      <c r="K1005" s="49"/>
      <c r="U1005" s="82"/>
      <c r="V1005" s="82"/>
    </row>
    <row r="1006" spans="9:22" x14ac:dyDescent="0.25">
      <c r="I1006" s="49"/>
      <c r="J1006" s="49"/>
      <c r="K1006" s="49"/>
      <c r="U1006" s="82"/>
      <c r="V1006" s="82"/>
    </row>
    <row r="1007" spans="9:22" x14ac:dyDescent="0.25">
      <c r="I1007" s="49"/>
      <c r="J1007" s="49"/>
      <c r="K1007" s="49"/>
      <c r="U1007" s="82"/>
      <c r="V1007" s="82"/>
    </row>
    <row r="1008" spans="9:22" x14ac:dyDescent="0.25">
      <c r="I1008" s="49"/>
      <c r="J1008" s="49"/>
      <c r="K1008" s="49"/>
      <c r="U1008" s="82"/>
      <c r="V1008" s="82"/>
    </row>
    <row r="1009" spans="9:22" x14ac:dyDescent="0.25">
      <c r="I1009" s="49"/>
      <c r="J1009" s="49"/>
      <c r="K1009" s="49"/>
      <c r="U1009" s="82"/>
      <c r="V1009" s="82"/>
    </row>
    <row r="1010" spans="9:22" x14ac:dyDescent="0.25">
      <c r="I1010" s="49"/>
      <c r="J1010" s="49"/>
      <c r="K1010" s="49"/>
      <c r="U1010" s="82"/>
      <c r="V1010" s="82"/>
    </row>
    <row r="1011" spans="9:22" x14ac:dyDescent="0.25">
      <c r="I1011" s="49"/>
      <c r="J1011" s="49"/>
      <c r="K1011" s="49"/>
      <c r="U1011" s="82"/>
      <c r="V1011" s="82"/>
    </row>
    <row r="1012" spans="9:22" x14ac:dyDescent="0.25">
      <c r="I1012" s="49"/>
      <c r="J1012" s="49"/>
      <c r="K1012" s="49"/>
      <c r="U1012" s="82"/>
      <c r="V1012" s="82"/>
    </row>
    <row r="1013" spans="9:22" x14ac:dyDescent="0.25">
      <c r="I1013" s="49"/>
      <c r="J1013" s="49"/>
      <c r="K1013" s="49"/>
      <c r="U1013" s="82"/>
      <c r="V1013" s="82"/>
    </row>
    <row r="1014" spans="9:22" x14ac:dyDescent="0.25">
      <c r="I1014" s="49"/>
      <c r="J1014" s="49"/>
      <c r="K1014" s="49"/>
      <c r="U1014" s="82"/>
      <c r="V1014" s="82"/>
    </row>
    <row r="1015" spans="9:22" x14ac:dyDescent="0.25">
      <c r="I1015" s="49"/>
      <c r="J1015" s="49"/>
      <c r="K1015" s="49"/>
      <c r="U1015" s="82"/>
      <c r="V1015" s="82"/>
    </row>
    <row r="1016" spans="9:22" x14ac:dyDescent="0.25">
      <c r="I1016" s="49"/>
      <c r="J1016" s="49"/>
      <c r="K1016" s="49"/>
      <c r="U1016" s="82"/>
      <c r="V1016" s="82"/>
    </row>
    <row r="1017" spans="9:22" x14ac:dyDescent="0.25">
      <c r="I1017" s="49"/>
      <c r="J1017" s="49"/>
      <c r="K1017" s="49"/>
      <c r="U1017" s="82"/>
      <c r="V1017" s="82"/>
    </row>
    <row r="1018" spans="9:22" x14ac:dyDescent="0.25">
      <c r="I1018" s="49"/>
      <c r="J1018" s="49"/>
      <c r="K1018" s="49"/>
      <c r="U1018" s="82"/>
      <c r="V1018" s="82"/>
    </row>
    <row r="1019" spans="9:22" x14ac:dyDescent="0.25">
      <c r="I1019" s="49"/>
      <c r="J1019" s="49"/>
      <c r="K1019" s="49"/>
      <c r="U1019" s="82"/>
      <c r="V1019" s="82"/>
    </row>
    <row r="1020" spans="9:22" x14ac:dyDescent="0.25">
      <c r="I1020" s="49"/>
      <c r="J1020" s="49"/>
      <c r="K1020" s="49"/>
      <c r="U1020" s="82"/>
      <c r="V1020" s="82"/>
    </row>
    <row r="1021" spans="9:22" x14ac:dyDescent="0.25">
      <c r="I1021" s="49"/>
      <c r="J1021" s="49"/>
      <c r="K1021" s="49"/>
      <c r="U1021" s="82"/>
      <c r="V1021" s="82"/>
    </row>
    <row r="1022" spans="9:22" x14ac:dyDescent="0.25">
      <c r="I1022" s="49"/>
      <c r="J1022" s="49"/>
      <c r="K1022" s="49"/>
      <c r="U1022" s="82"/>
      <c r="V1022" s="82"/>
    </row>
    <row r="1023" spans="9:22" x14ac:dyDescent="0.25">
      <c r="I1023" s="49"/>
      <c r="J1023" s="49"/>
      <c r="K1023" s="49"/>
      <c r="U1023" s="82"/>
      <c r="V1023" s="82"/>
    </row>
    <row r="1024" spans="9:22" x14ac:dyDescent="0.25">
      <c r="I1024" s="49"/>
      <c r="J1024" s="49"/>
      <c r="K1024" s="49"/>
      <c r="U1024" s="82"/>
      <c r="V1024" s="82"/>
    </row>
    <row r="1025" spans="9:22" x14ac:dyDescent="0.25">
      <c r="I1025" s="49"/>
      <c r="J1025" s="49"/>
      <c r="K1025" s="49"/>
      <c r="U1025" s="82"/>
      <c r="V1025" s="82"/>
    </row>
    <row r="1026" spans="9:22" x14ac:dyDescent="0.25">
      <c r="I1026" s="49"/>
      <c r="J1026" s="49"/>
      <c r="K1026" s="49"/>
      <c r="U1026" s="82"/>
      <c r="V1026" s="82"/>
    </row>
    <row r="1027" spans="9:22" x14ac:dyDescent="0.25">
      <c r="I1027" s="49"/>
      <c r="J1027" s="49"/>
      <c r="K1027" s="49"/>
      <c r="U1027" s="82"/>
      <c r="V1027" s="82"/>
    </row>
    <row r="1028" spans="9:22" x14ac:dyDescent="0.25">
      <c r="I1028" s="49"/>
      <c r="J1028" s="49"/>
      <c r="K1028" s="49"/>
      <c r="U1028" s="82"/>
      <c r="V1028" s="82"/>
    </row>
    <row r="1029" spans="9:22" x14ac:dyDescent="0.25">
      <c r="I1029" s="49"/>
      <c r="J1029" s="49"/>
      <c r="K1029" s="49"/>
      <c r="U1029" s="82"/>
      <c r="V1029" s="82"/>
    </row>
    <row r="1030" spans="9:22" x14ac:dyDescent="0.25">
      <c r="I1030" s="49"/>
      <c r="J1030" s="49"/>
      <c r="K1030" s="49"/>
      <c r="U1030" s="82"/>
      <c r="V1030" s="82"/>
    </row>
    <row r="1031" spans="9:22" x14ac:dyDescent="0.25">
      <c r="I1031" s="49"/>
      <c r="J1031" s="49"/>
      <c r="K1031" s="49"/>
      <c r="U1031" s="82"/>
      <c r="V1031" s="82"/>
    </row>
    <row r="1032" spans="9:22" x14ac:dyDescent="0.25">
      <c r="I1032" s="49"/>
      <c r="J1032" s="49"/>
      <c r="K1032" s="49"/>
      <c r="U1032" s="82"/>
      <c r="V1032" s="82"/>
    </row>
    <row r="1033" spans="9:22" x14ac:dyDescent="0.25">
      <c r="I1033" s="49"/>
      <c r="J1033" s="49"/>
      <c r="K1033" s="49"/>
      <c r="U1033" s="82"/>
      <c r="V1033" s="82"/>
    </row>
    <row r="1034" spans="9:22" x14ac:dyDescent="0.25">
      <c r="I1034" s="49"/>
      <c r="J1034" s="49"/>
      <c r="K1034" s="49"/>
      <c r="U1034" s="82"/>
      <c r="V1034" s="82"/>
    </row>
    <row r="1035" spans="9:22" x14ac:dyDescent="0.25">
      <c r="I1035" s="49"/>
      <c r="J1035" s="49"/>
      <c r="K1035" s="49"/>
      <c r="U1035" s="82"/>
      <c r="V1035" s="82"/>
    </row>
    <row r="1036" spans="9:22" x14ac:dyDescent="0.25">
      <c r="I1036" s="49"/>
      <c r="J1036" s="49"/>
      <c r="K1036" s="49"/>
      <c r="U1036" s="82"/>
      <c r="V1036" s="82"/>
    </row>
    <row r="1037" spans="9:22" x14ac:dyDescent="0.25">
      <c r="I1037" s="49"/>
      <c r="J1037" s="49"/>
      <c r="K1037" s="49"/>
      <c r="U1037" s="82"/>
      <c r="V1037" s="82"/>
    </row>
    <row r="1038" spans="9:22" x14ac:dyDescent="0.25">
      <c r="I1038" s="49"/>
      <c r="J1038" s="49"/>
      <c r="K1038" s="49"/>
      <c r="U1038" s="82"/>
      <c r="V1038" s="82"/>
    </row>
    <row r="1039" spans="9:22" x14ac:dyDescent="0.25">
      <c r="I1039" s="49"/>
      <c r="J1039" s="49"/>
      <c r="K1039" s="49"/>
      <c r="U1039" s="82"/>
      <c r="V1039" s="82"/>
    </row>
    <row r="1040" spans="9:22" x14ac:dyDescent="0.25">
      <c r="I1040" s="49"/>
      <c r="J1040" s="49"/>
      <c r="K1040" s="49"/>
      <c r="U1040" s="82"/>
      <c r="V1040" s="82"/>
    </row>
    <row r="1041" spans="9:22" x14ac:dyDescent="0.25">
      <c r="I1041" s="49"/>
      <c r="J1041" s="49"/>
      <c r="K1041" s="49"/>
      <c r="U1041" s="82"/>
      <c r="V1041" s="82"/>
    </row>
    <row r="1042" spans="9:22" x14ac:dyDescent="0.25">
      <c r="I1042" s="49"/>
      <c r="J1042" s="49"/>
      <c r="K1042" s="49"/>
      <c r="U1042" s="82"/>
      <c r="V1042" s="82"/>
    </row>
    <row r="1043" spans="9:22" x14ac:dyDescent="0.25">
      <c r="I1043" s="49"/>
      <c r="J1043" s="49"/>
      <c r="K1043" s="49"/>
      <c r="U1043" s="82"/>
      <c r="V1043" s="82"/>
    </row>
    <row r="1044" spans="9:22" x14ac:dyDescent="0.25">
      <c r="I1044" s="49"/>
      <c r="J1044" s="49"/>
      <c r="K1044" s="49"/>
      <c r="U1044" s="82"/>
      <c r="V1044" s="82"/>
    </row>
    <row r="1045" spans="9:22" x14ac:dyDescent="0.25">
      <c r="I1045" s="49"/>
      <c r="J1045" s="49"/>
      <c r="K1045" s="49"/>
      <c r="U1045" s="82"/>
      <c r="V1045" s="82"/>
    </row>
    <row r="1046" spans="9:22" x14ac:dyDescent="0.25">
      <c r="I1046" s="49"/>
      <c r="J1046" s="49"/>
      <c r="K1046" s="49"/>
      <c r="U1046" s="82"/>
      <c r="V1046" s="82"/>
    </row>
    <row r="1047" spans="9:22" x14ac:dyDescent="0.25">
      <c r="I1047" s="49"/>
      <c r="J1047" s="49"/>
      <c r="K1047" s="49"/>
      <c r="U1047" s="82"/>
      <c r="V1047" s="82"/>
    </row>
    <row r="1048" spans="9:22" x14ac:dyDescent="0.25">
      <c r="I1048" s="49"/>
      <c r="J1048" s="49"/>
      <c r="K1048" s="49"/>
      <c r="U1048" s="82"/>
      <c r="V1048" s="82"/>
    </row>
    <row r="1049" spans="9:22" x14ac:dyDescent="0.25">
      <c r="I1049" s="49"/>
      <c r="J1049" s="49"/>
      <c r="K1049" s="49"/>
      <c r="U1049" s="82"/>
      <c r="V1049" s="82"/>
    </row>
    <row r="1050" spans="9:22" x14ac:dyDescent="0.25">
      <c r="I1050" s="49"/>
      <c r="J1050" s="49"/>
      <c r="K1050" s="49"/>
      <c r="U1050" s="82"/>
      <c r="V1050" s="82"/>
    </row>
    <row r="1051" spans="9:22" x14ac:dyDescent="0.25">
      <c r="I1051" s="49"/>
      <c r="J1051" s="49"/>
      <c r="K1051" s="49"/>
      <c r="U1051" s="82"/>
      <c r="V1051" s="82"/>
    </row>
    <row r="1052" spans="9:22" x14ac:dyDescent="0.25">
      <c r="I1052" s="49"/>
      <c r="J1052" s="49"/>
      <c r="K1052" s="49"/>
      <c r="U1052" s="82"/>
      <c r="V1052" s="82"/>
    </row>
    <row r="1053" spans="9:22" x14ac:dyDescent="0.25">
      <c r="I1053" s="49"/>
      <c r="J1053" s="49"/>
      <c r="K1053" s="49"/>
      <c r="U1053" s="82"/>
      <c r="V1053" s="82"/>
    </row>
    <row r="1054" spans="9:22" x14ac:dyDescent="0.25">
      <c r="I1054" s="49"/>
      <c r="J1054" s="49"/>
      <c r="K1054" s="49"/>
      <c r="U1054" s="82"/>
      <c r="V1054" s="82"/>
    </row>
    <row r="1055" spans="9:22" x14ac:dyDescent="0.25">
      <c r="I1055" s="49"/>
      <c r="J1055" s="49"/>
      <c r="K1055" s="49"/>
      <c r="U1055" s="82"/>
      <c r="V1055" s="82"/>
    </row>
    <row r="1056" spans="9:22" x14ac:dyDescent="0.25">
      <c r="I1056" s="49"/>
      <c r="J1056" s="49"/>
      <c r="K1056" s="49"/>
      <c r="U1056" s="82"/>
      <c r="V1056" s="82"/>
    </row>
    <row r="1057" spans="9:22" x14ac:dyDescent="0.25">
      <c r="I1057" s="49"/>
      <c r="J1057" s="49"/>
      <c r="K1057" s="49"/>
      <c r="U1057" s="82"/>
      <c r="V1057" s="82"/>
    </row>
    <row r="1058" spans="9:22" x14ac:dyDescent="0.25">
      <c r="I1058" s="49"/>
      <c r="J1058" s="49"/>
      <c r="K1058" s="49"/>
      <c r="U1058" s="82"/>
      <c r="V1058" s="82"/>
    </row>
    <row r="1059" spans="9:22" x14ac:dyDescent="0.25">
      <c r="I1059" s="49"/>
      <c r="J1059" s="49"/>
      <c r="K1059" s="49"/>
      <c r="U1059" s="82"/>
      <c r="V1059" s="82"/>
    </row>
    <row r="1060" spans="9:22" x14ac:dyDescent="0.25">
      <c r="I1060" s="49"/>
      <c r="J1060" s="49"/>
      <c r="K1060" s="49"/>
      <c r="U1060" s="82"/>
      <c r="V1060" s="82"/>
    </row>
    <row r="1061" spans="9:22" x14ac:dyDescent="0.25">
      <c r="I1061" s="49"/>
      <c r="J1061" s="49"/>
      <c r="K1061" s="49"/>
      <c r="U1061" s="82"/>
      <c r="V1061" s="82"/>
    </row>
    <row r="1062" spans="9:22" x14ac:dyDescent="0.25">
      <c r="I1062" s="49"/>
      <c r="J1062" s="49"/>
      <c r="K1062" s="49"/>
      <c r="U1062" s="82"/>
      <c r="V1062" s="82"/>
    </row>
    <row r="1063" spans="9:22" x14ac:dyDescent="0.25">
      <c r="I1063" s="49"/>
      <c r="J1063" s="49"/>
      <c r="K1063" s="49"/>
      <c r="U1063" s="82"/>
      <c r="V1063" s="82"/>
    </row>
    <row r="1064" spans="9:22" x14ac:dyDescent="0.25">
      <c r="I1064" s="49"/>
      <c r="J1064" s="49"/>
      <c r="K1064" s="49"/>
      <c r="U1064" s="82"/>
      <c r="V1064" s="82"/>
    </row>
    <row r="1065" spans="9:22" x14ac:dyDescent="0.25">
      <c r="I1065" s="49"/>
      <c r="J1065" s="49"/>
      <c r="K1065" s="49"/>
      <c r="U1065" s="82"/>
      <c r="V1065" s="82"/>
    </row>
    <row r="1066" spans="9:22" x14ac:dyDescent="0.25">
      <c r="I1066" s="49"/>
      <c r="J1066" s="49"/>
      <c r="K1066" s="49"/>
      <c r="U1066" s="82"/>
      <c r="V1066" s="82"/>
    </row>
    <row r="1067" spans="9:22" x14ac:dyDescent="0.25">
      <c r="I1067" s="49"/>
      <c r="J1067" s="49"/>
      <c r="K1067" s="49"/>
      <c r="U1067" s="82"/>
      <c r="V1067" s="82"/>
    </row>
    <row r="1068" spans="9:22" x14ac:dyDescent="0.25">
      <c r="I1068" s="49"/>
      <c r="J1068" s="49"/>
      <c r="K1068" s="49"/>
      <c r="U1068" s="82"/>
      <c r="V1068" s="82"/>
    </row>
    <row r="1069" spans="9:22" x14ac:dyDescent="0.25">
      <c r="I1069" s="49"/>
      <c r="J1069" s="49"/>
      <c r="K1069" s="49"/>
      <c r="U1069" s="82"/>
      <c r="V1069" s="82"/>
    </row>
    <row r="1070" spans="9:22" x14ac:dyDescent="0.25">
      <c r="I1070" s="49"/>
      <c r="J1070" s="49"/>
      <c r="K1070" s="49"/>
      <c r="U1070" s="82"/>
      <c r="V1070" s="82"/>
    </row>
    <row r="1071" spans="9:22" x14ac:dyDescent="0.25">
      <c r="I1071" s="49"/>
      <c r="J1071" s="49"/>
      <c r="K1071" s="49"/>
      <c r="U1071" s="82"/>
      <c r="V1071" s="82"/>
    </row>
    <row r="1072" spans="9:22" x14ac:dyDescent="0.25">
      <c r="I1072" s="49"/>
      <c r="J1072" s="49"/>
      <c r="K1072" s="49"/>
      <c r="U1072" s="82"/>
      <c r="V1072" s="82"/>
    </row>
    <row r="1073" spans="9:22" x14ac:dyDescent="0.25">
      <c r="I1073" s="49"/>
      <c r="J1073" s="49"/>
      <c r="K1073" s="49"/>
      <c r="U1073" s="82"/>
      <c r="V1073" s="82"/>
    </row>
    <row r="1074" spans="9:22" x14ac:dyDescent="0.25">
      <c r="I1074" s="49"/>
      <c r="J1074" s="49"/>
      <c r="K1074" s="49"/>
      <c r="U1074" s="82"/>
      <c r="V1074" s="82"/>
    </row>
    <row r="1075" spans="9:22" x14ac:dyDescent="0.25">
      <c r="I1075" s="49"/>
      <c r="J1075" s="49"/>
      <c r="K1075" s="49"/>
      <c r="U1075" s="82"/>
      <c r="V1075" s="82"/>
    </row>
    <row r="1076" spans="9:22" x14ac:dyDescent="0.25">
      <c r="I1076" s="49"/>
      <c r="J1076" s="49"/>
      <c r="K1076" s="49"/>
      <c r="U1076" s="82"/>
      <c r="V1076" s="82"/>
    </row>
    <row r="1077" spans="9:22" x14ac:dyDescent="0.25">
      <c r="I1077" s="49"/>
      <c r="J1077" s="49"/>
      <c r="K1077" s="49"/>
      <c r="U1077" s="82"/>
      <c r="V1077" s="82"/>
    </row>
    <row r="1078" spans="9:22" x14ac:dyDescent="0.25">
      <c r="I1078" s="49"/>
      <c r="J1078" s="49"/>
      <c r="K1078" s="49"/>
      <c r="U1078" s="82"/>
      <c r="V1078" s="82"/>
    </row>
    <row r="1079" spans="9:22" x14ac:dyDescent="0.25">
      <c r="I1079" s="49"/>
      <c r="J1079" s="49"/>
      <c r="K1079" s="49"/>
      <c r="U1079" s="82"/>
      <c r="V1079" s="82"/>
    </row>
    <row r="1080" spans="9:22" x14ac:dyDescent="0.25">
      <c r="I1080" s="49"/>
      <c r="J1080" s="49"/>
      <c r="K1080" s="49"/>
      <c r="U1080" s="82"/>
      <c r="V1080" s="82"/>
    </row>
    <row r="1081" spans="9:22" x14ac:dyDescent="0.25">
      <c r="I1081" s="49"/>
      <c r="J1081" s="49"/>
      <c r="K1081" s="49"/>
      <c r="U1081" s="82"/>
      <c r="V1081" s="82"/>
    </row>
    <row r="1082" spans="9:22" x14ac:dyDescent="0.25">
      <c r="I1082" s="49"/>
      <c r="J1082" s="49"/>
      <c r="K1082" s="49"/>
      <c r="U1082" s="82"/>
      <c r="V1082" s="82"/>
    </row>
    <row r="1083" spans="9:22" x14ac:dyDescent="0.25">
      <c r="I1083" s="49"/>
      <c r="J1083" s="49"/>
      <c r="K1083" s="49"/>
      <c r="U1083" s="82"/>
      <c r="V1083" s="82"/>
    </row>
    <row r="1084" spans="9:22" x14ac:dyDescent="0.25">
      <c r="I1084" s="49"/>
      <c r="J1084" s="49"/>
      <c r="K1084" s="49"/>
      <c r="U1084" s="82"/>
      <c r="V1084" s="82"/>
    </row>
    <row r="1085" spans="9:22" x14ac:dyDescent="0.25">
      <c r="I1085" s="49"/>
      <c r="J1085" s="49"/>
      <c r="K1085" s="49"/>
      <c r="U1085" s="82"/>
      <c r="V1085" s="82"/>
    </row>
    <row r="1086" spans="9:22" x14ac:dyDescent="0.25">
      <c r="I1086" s="49"/>
      <c r="J1086" s="49"/>
      <c r="K1086" s="49"/>
      <c r="U1086" s="82"/>
      <c r="V1086" s="82"/>
    </row>
    <row r="1087" spans="9:22" x14ac:dyDescent="0.25">
      <c r="I1087" s="49"/>
      <c r="J1087" s="49"/>
      <c r="K1087" s="49"/>
      <c r="U1087" s="82"/>
      <c r="V1087" s="82"/>
    </row>
    <row r="1088" spans="9:22" x14ac:dyDescent="0.25">
      <c r="I1088" s="49"/>
      <c r="J1088" s="49"/>
      <c r="K1088" s="49"/>
      <c r="U1088" s="82"/>
      <c r="V1088" s="82"/>
    </row>
    <row r="1089" spans="9:22" x14ac:dyDescent="0.25">
      <c r="I1089" s="49"/>
      <c r="J1089" s="49"/>
      <c r="K1089" s="49"/>
      <c r="U1089" s="82"/>
      <c r="V1089" s="82"/>
    </row>
    <row r="1090" spans="9:22" x14ac:dyDescent="0.25">
      <c r="I1090" s="49"/>
      <c r="J1090" s="49"/>
      <c r="K1090" s="49"/>
      <c r="U1090" s="82"/>
      <c r="V1090" s="82"/>
    </row>
    <row r="1091" spans="9:22" x14ac:dyDescent="0.25">
      <c r="I1091" s="49"/>
      <c r="J1091" s="49"/>
      <c r="K1091" s="49"/>
      <c r="U1091" s="82"/>
      <c r="V1091" s="82"/>
    </row>
    <row r="1092" spans="9:22" x14ac:dyDescent="0.25">
      <c r="I1092" s="49"/>
      <c r="J1092" s="49"/>
      <c r="K1092" s="49"/>
      <c r="U1092" s="82"/>
      <c r="V1092" s="82"/>
    </row>
    <row r="1093" spans="9:22" x14ac:dyDescent="0.25">
      <c r="I1093" s="49"/>
      <c r="J1093" s="49"/>
      <c r="K1093" s="49"/>
      <c r="U1093" s="82"/>
      <c r="V1093" s="82"/>
    </row>
    <row r="1094" spans="9:22" x14ac:dyDescent="0.25">
      <c r="I1094" s="49"/>
      <c r="J1094" s="49"/>
      <c r="K1094" s="49"/>
      <c r="U1094" s="82"/>
      <c r="V1094" s="82"/>
    </row>
    <row r="1095" spans="9:22" x14ac:dyDescent="0.25">
      <c r="I1095" s="49"/>
      <c r="J1095" s="49"/>
      <c r="K1095" s="49"/>
      <c r="U1095" s="82"/>
      <c r="V1095" s="82"/>
    </row>
    <row r="1096" spans="9:22" x14ac:dyDescent="0.25">
      <c r="I1096" s="49"/>
      <c r="J1096" s="49"/>
      <c r="K1096" s="49"/>
      <c r="U1096" s="82"/>
      <c r="V1096" s="82"/>
    </row>
    <row r="1097" spans="9:22" x14ac:dyDescent="0.25">
      <c r="I1097" s="49"/>
      <c r="J1097" s="49"/>
      <c r="K1097" s="49"/>
      <c r="U1097" s="82"/>
      <c r="V1097" s="82"/>
    </row>
    <row r="1098" spans="9:22" x14ac:dyDescent="0.25">
      <c r="I1098" s="49"/>
      <c r="J1098" s="49"/>
      <c r="K1098" s="49"/>
      <c r="U1098" s="82"/>
      <c r="V1098" s="82"/>
    </row>
    <row r="1099" spans="9:22" x14ac:dyDescent="0.25">
      <c r="I1099" s="49"/>
      <c r="J1099" s="49"/>
      <c r="K1099" s="49"/>
      <c r="U1099" s="82"/>
      <c r="V1099" s="82"/>
    </row>
    <row r="1100" spans="9:22" x14ac:dyDescent="0.25">
      <c r="I1100" s="49"/>
      <c r="J1100" s="49"/>
      <c r="K1100" s="49"/>
      <c r="U1100" s="82"/>
      <c r="V1100" s="82"/>
    </row>
    <row r="1101" spans="9:22" x14ac:dyDescent="0.25">
      <c r="I1101" s="49"/>
      <c r="J1101" s="49"/>
      <c r="K1101" s="49"/>
      <c r="U1101" s="82"/>
      <c r="V1101" s="82"/>
    </row>
    <row r="1102" spans="9:22" x14ac:dyDescent="0.25">
      <c r="I1102" s="49"/>
      <c r="J1102" s="49"/>
      <c r="K1102" s="49"/>
      <c r="U1102" s="82"/>
      <c r="V1102" s="82"/>
    </row>
    <row r="1103" spans="9:22" x14ac:dyDescent="0.25">
      <c r="I1103" s="49"/>
      <c r="J1103" s="49"/>
      <c r="K1103" s="49"/>
      <c r="U1103" s="82"/>
      <c r="V1103" s="82"/>
    </row>
    <row r="1104" spans="9:22" x14ac:dyDescent="0.25">
      <c r="I1104" s="49"/>
      <c r="J1104" s="49"/>
      <c r="K1104" s="49"/>
      <c r="U1104" s="82"/>
      <c r="V1104" s="82"/>
    </row>
    <row r="1105" spans="9:22" x14ac:dyDescent="0.25">
      <c r="I1105" s="49"/>
      <c r="J1105" s="49"/>
      <c r="K1105" s="49"/>
      <c r="U1105" s="82"/>
      <c r="V1105" s="82"/>
    </row>
    <row r="1106" spans="9:22" x14ac:dyDescent="0.25">
      <c r="I1106" s="49"/>
      <c r="J1106" s="49"/>
      <c r="K1106" s="49"/>
      <c r="U1106" s="82"/>
      <c r="V1106" s="82"/>
    </row>
    <row r="1107" spans="9:22" x14ac:dyDescent="0.25">
      <c r="I1107" s="49"/>
      <c r="J1107" s="49"/>
      <c r="K1107" s="49"/>
      <c r="U1107" s="82"/>
      <c r="V1107" s="82"/>
    </row>
    <row r="1108" spans="9:22" x14ac:dyDescent="0.25">
      <c r="I1108" s="49"/>
      <c r="J1108" s="49"/>
      <c r="K1108" s="49"/>
      <c r="U1108" s="82"/>
      <c r="V1108" s="82"/>
    </row>
    <row r="1109" spans="9:22" x14ac:dyDescent="0.25">
      <c r="I1109" s="49"/>
      <c r="J1109" s="49"/>
      <c r="K1109" s="49"/>
      <c r="U1109" s="82"/>
      <c r="V1109" s="82"/>
    </row>
    <row r="1110" spans="9:22" x14ac:dyDescent="0.25">
      <c r="I1110" s="49"/>
      <c r="J1110" s="49"/>
      <c r="K1110" s="49"/>
      <c r="U1110" s="82"/>
      <c r="V1110" s="82"/>
    </row>
    <row r="1111" spans="9:22" x14ac:dyDescent="0.25">
      <c r="I1111" s="49"/>
      <c r="J1111" s="49"/>
      <c r="K1111" s="49"/>
      <c r="U1111" s="82"/>
      <c r="V1111" s="82"/>
    </row>
    <row r="1112" spans="9:22" x14ac:dyDescent="0.25">
      <c r="I1112" s="49"/>
      <c r="J1112" s="49"/>
      <c r="K1112" s="49"/>
      <c r="U1112" s="82"/>
      <c r="V1112" s="82"/>
    </row>
    <row r="1113" spans="9:22" x14ac:dyDescent="0.25">
      <c r="I1113" s="49"/>
      <c r="J1113" s="49"/>
      <c r="K1113" s="49"/>
      <c r="U1113" s="82"/>
      <c r="V1113" s="82"/>
    </row>
    <row r="1114" spans="9:22" x14ac:dyDescent="0.25">
      <c r="I1114" s="49"/>
      <c r="J1114" s="49"/>
      <c r="K1114" s="49"/>
      <c r="U1114" s="82"/>
      <c r="V1114" s="82"/>
    </row>
    <row r="1115" spans="9:22" x14ac:dyDescent="0.25">
      <c r="I1115" s="49"/>
      <c r="J1115" s="49"/>
      <c r="K1115" s="49"/>
      <c r="U1115" s="82"/>
      <c r="V1115" s="82"/>
    </row>
    <row r="1116" spans="9:22" x14ac:dyDescent="0.25">
      <c r="I1116" s="49"/>
      <c r="J1116" s="49"/>
      <c r="K1116" s="49"/>
      <c r="U1116" s="82"/>
      <c r="V1116" s="82"/>
    </row>
    <row r="1117" spans="9:22" x14ac:dyDescent="0.25">
      <c r="I1117" s="49"/>
      <c r="J1117" s="49"/>
      <c r="K1117" s="49"/>
      <c r="U1117" s="82"/>
      <c r="V1117" s="82"/>
    </row>
    <row r="1118" spans="9:22" x14ac:dyDescent="0.25">
      <c r="I1118" s="49"/>
      <c r="J1118" s="49"/>
      <c r="K1118" s="49"/>
      <c r="U1118" s="82"/>
      <c r="V1118" s="82"/>
    </row>
    <row r="1119" spans="9:22" x14ac:dyDescent="0.25">
      <c r="I1119" s="49"/>
      <c r="J1119" s="49"/>
      <c r="K1119" s="49"/>
      <c r="U1119" s="82"/>
      <c r="V1119" s="82"/>
    </row>
    <row r="1120" spans="9:22" x14ac:dyDescent="0.25">
      <c r="I1120" s="49"/>
      <c r="J1120" s="49"/>
      <c r="K1120" s="49"/>
      <c r="U1120" s="82"/>
      <c r="V1120" s="82"/>
    </row>
    <row r="1121" spans="9:22" x14ac:dyDescent="0.25">
      <c r="I1121" s="49"/>
      <c r="J1121" s="49"/>
      <c r="K1121" s="49"/>
      <c r="U1121" s="82"/>
      <c r="V1121" s="82"/>
    </row>
    <row r="1122" spans="9:22" x14ac:dyDescent="0.25">
      <c r="I1122" s="49"/>
      <c r="J1122" s="49"/>
      <c r="K1122" s="49"/>
      <c r="U1122" s="82"/>
      <c r="V1122" s="82"/>
    </row>
    <row r="1123" spans="9:22" x14ac:dyDescent="0.25">
      <c r="I1123" s="49"/>
      <c r="J1123" s="49"/>
      <c r="K1123" s="49"/>
      <c r="U1123" s="82"/>
      <c r="V1123" s="82"/>
    </row>
    <row r="1124" spans="9:22" x14ac:dyDescent="0.25">
      <c r="I1124" s="49"/>
      <c r="J1124" s="49"/>
      <c r="K1124" s="49"/>
      <c r="U1124" s="82"/>
      <c r="V1124" s="82"/>
    </row>
    <row r="1125" spans="9:22" x14ac:dyDescent="0.25">
      <c r="I1125" s="49"/>
      <c r="J1125" s="49"/>
      <c r="K1125" s="49"/>
      <c r="U1125" s="82"/>
      <c r="V1125" s="82"/>
    </row>
    <row r="1126" spans="9:22" x14ac:dyDescent="0.25">
      <c r="I1126" s="49"/>
      <c r="J1126" s="49"/>
      <c r="K1126" s="49"/>
      <c r="U1126" s="82"/>
      <c r="V1126" s="82"/>
    </row>
    <row r="1127" spans="9:22" x14ac:dyDescent="0.25">
      <c r="I1127" s="49"/>
      <c r="J1127" s="49"/>
      <c r="K1127" s="49"/>
      <c r="U1127" s="82"/>
      <c r="V1127" s="82"/>
    </row>
    <row r="1128" spans="9:22" x14ac:dyDescent="0.25">
      <c r="I1128" s="49"/>
      <c r="J1128" s="49"/>
      <c r="K1128" s="49"/>
      <c r="U1128" s="82"/>
      <c r="V1128" s="82"/>
    </row>
    <row r="1129" spans="9:22" x14ac:dyDescent="0.25">
      <c r="I1129" s="49"/>
      <c r="J1129" s="49"/>
      <c r="K1129" s="49"/>
      <c r="U1129" s="82"/>
      <c r="V1129" s="82"/>
    </row>
    <row r="1130" spans="9:22" x14ac:dyDescent="0.25">
      <c r="I1130" s="49"/>
      <c r="J1130" s="49"/>
      <c r="K1130" s="49"/>
      <c r="U1130" s="82"/>
      <c r="V1130" s="82"/>
    </row>
    <row r="1131" spans="9:22" x14ac:dyDescent="0.25">
      <c r="I1131" s="49"/>
      <c r="J1131" s="49"/>
      <c r="K1131" s="49"/>
      <c r="U1131" s="82"/>
      <c r="V1131" s="82"/>
    </row>
    <row r="1132" spans="9:22" x14ac:dyDescent="0.25">
      <c r="I1132" s="49"/>
      <c r="J1132" s="49"/>
      <c r="K1132" s="49"/>
      <c r="U1132" s="82"/>
      <c r="V1132" s="82"/>
    </row>
    <row r="1133" spans="9:22" x14ac:dyDescent="0.25">
      <c r="I1133" s="49"/>
      <c r="J1133" s="49"/>
      <c r="K1133" s="49"/>
      <c r="U1133" s="82"/>
      <c r="V1133" s="82"/>
    </row>
    <row r="1134" spans="9:22" x14ac:dyDescent="0.25">
      <c r="I1134" s="49"/>
      <c r="J1134" s="49"/>
      <c r="K1134" s="49"/>
      <c r="U1134" s="82"/>
      <c r="V1134" s="82"/>
    </row>
    <row r="1135" spans="9:22" x14ac:dyDescent="0.25">
      <c r="I1135" s="49"/>
      <c r="J1135" s="49"/>
      <c r="K1135" s="49"/>
      <c r="U1135" s="82"/>
      <c r="V1135" s="82"/>
    </row>
    <row r="1136" spans="9:22" x14ac:dyDescent="0.25">
      <c r="I1136" s="49"/>
      <c r="J1136" s="49"/>
      <c r="K1136" s="49"/>
      <c r="U1136" s="82"/>
      <c r="V1136" s="82"/>
    </row>
    <row r="1137" spans="9:22" x14ac:dyDescent="0.25">
      <c r="I1137" s="49"/>
      <c r="J1137" s="49"/>
      <c r="K1137" s="49"/>
      <c r="U1137" s="82"/>
      <c r="V1137" s="82"/>
    </row>
    <row r="1138" spans="9:22" x14ac:dyDescent="0.25">
      <c r="I1138" s="49"/>
      <c r="J1138" s="49"/>
      <c r="K1138" s="49"/>
      <c r="U1138" s="82"/>
      <c r="V1138" s="82"/>
    </row>
    <row r="1139" spans="9:22" x14ac:dyDescent="0.25">
      <c r="I1139" s="49"/>
      <c r="J1139" s="49"/>
      <c r="K1139" s="49"/>
      <c r="U1139" s="82"/>
      <c r="V1139" s="82"/>
    </row>
    <row r="1140" spans="9:22" x14ac:dyDescent="0.25">
      <c r="I1140" s="49"/>
      <c r="J1140" s="49"/>
      <c r="K1140" s="49"/>
      <c r="U1140" s="82"/>
      <c r="V1140" s="82"/>
    </row>
    <row r="1141" spans="9:22" x14ac:dyDescent="0.25">
      <c r="I1141" s="49"/>
      <c r="J1141" s="49"/>
      <c r="K1141" s="49"/>
      <c r="U1141" s="82"/>
      <c r="V1141" s="82"/>
    </row>
    <row r="1142" spans="9:22" x14ac:dyDescent="0.25">
      <c r="I1142" s="49"/>
      <c r="J1142" s="49"/>
      <c r="K1142" s="49"/>
      <c r="U1142" s="82"/>
      <c r="V1142" s="82"/>
    </row>
    <row r="1143" spans="9:22" x14ac:dyDescent="0.25">
      <c r="I1143" s="49"/>
      <c r="J1143" s="49"/>
      <c r="K1143" s="49"/>
      <c r="U1143" s="82"/>
      <c r="V1143" s="82"/>
    </row>
    <row r="1144" spans="9:22" x14ac:dyDescent="0.25">
      <c r="I1144" s="49"/>
      <c r="J1144" s="49"/>
      <c r="K1144" s="49"/>
      <c r="U1144" s="82"/>
      <c r="V1144" s="82"/>
    </row>
    <row r="1145" spans="9:22" x14ac:dyDescent="0.25">
      <c r="I1145" s="49"/>
      <c r="J1145" s="49"/>
      <c r="K1145" s="49"/>
      <c r="U1145" s="82"/>
      <c r="V1145" s="82"/>
    </row>
    <row r="1146" spans="9:22" x14ac:dyDescent="0.25">
      <c r="I1146" s="49"/>
      <c r="J1146" s="49"/>
      <c r="K1146" s="49"/>
      <c r="U1146" s="82"/>
      <c r="V1146" s="82"/>
    </row>
    <row r="1147" spans="9:22" x14ac:dyDescent="0.25">
      <c r="I1147" s="49"/>
      <c r="J1147" s="49"/>
      <c r="K1147" s="49"/>
      <c r="U1147" s="82"/>
      <c r="V1147" s="82"/>
    </row>
    <row r="1148" spans="9:22" x14ac:dyDescent="0.25">
      <c r="I1148" s="49"/>
      <c r="J1148" s="49"/>
      <c r="K1148" s="49"/>
      <c r="U1148" s="82"/>
      <c r="V1148" s="82"/>
    </row>
    <row r="1149" spans="9:22" x14ac:dyDescent="0.25">
      <c r="I1149" s="49"/>
      <c r="J1149" s="49"/>
      <c r="K1149" s="49"/>
      <c r="U1149" s="82"/>
      <c r="V1149" s="82"/>
    </row>
    <row r="1150" spans="9:22" x14ac:dyDescent="0.25">
      <c r="I1150" s="49"/>
      <c r="J1150" s="49"/>
      <c r="K1150" s="49"/>
      <c r="U1150" s="82"/>
      <c r="V1150" s="82"/>
    </row>
    <row r="1151" spans="9:22" x14ac:dyDescent="0.25">
      <c r="I1151" s="49"/>
      <c r="J1151" s="49"/>
      <c r="K1151" s="49"/>
      <c r="U1151" s="82"/>
      <c r="V1151" s="82"/>
    </row>
    <row r="1152" spans="9:22" x14ac:dyDescent="0.25">
      <c r="I1152" s="49"/>
      <c r="J1152" s="49"/>
      <c r="K1152" s="49"/>
      <c r="U1152" s="82"/>
      <c r="V1152" s="82"/>
    </row>
    <row r="1153" spans="9:22" x14ac:dyDescent="0.25">
      <c r="I1153" s="49"/>
      <c r="J1153" s="49"/>
      <c r="K1153" s="49"/>
      <c r="U1153" s="82"/>
      <c r="V1153" s="82"/>
    </row>
    <row r="1154" spans="9:22" x14ac:dyDescent="0.25">
      <c r="I1154" s="49"/>
      <c r="J1154" s="49"/>
      <c r="K1154" s="49"/>
      <c r="U1154" s="82"/>
      <c r="V1154" s="82"/>
    </row>
    <row r="1155" spans="9:22" x14ac:dyDescent="0.25">
      <c r="I1155" s="49"/>
      <c r="J1155" s="49"/>
      <c r="K1155" s="49"/>
      <c r="U1155" s="82"/>
      <c r="V1155" s="82"/>
    </row>
    <row r="1156" spans="9:22" x14ac:dyDescent="0.25">
      <c r="I1156" s="49"/>
      <c r="J1156" s="49"/>
      <c r="K1156" s="49"/>
      <c r="U1156" s="82"/>
      <c r="V1156" s="82"/>
    </row>
    <row r="1157" spans="9:22" x14ac:dyDescent="0.25">
      <c r="I1157" s="49"/>
      <c r="J1157" s="49"/>
      <c r="K1157" s="49"/>
      <c r="U1157" s="82"/>
      <c r="V1157" s="82"/>
    </row>
    <row r="1158" spans="9:22" x14ac:dyDescent="0.25">
      <c r="I1158" s="49"/>
      <c r="J1158" s="49"/>
      <c r="K1158" s="49"/>
      <c r="U1158" s="82"/>
      <c r="V1158" s="82"/>
    </row>
    <row r="1159" spans="9:22" x14ac:dyDescent="0.25">
      <c r="I1159" s="49"/>
      <c r="J1159" s="49"/>
      <c r="K1159" s="49"/>
      <c r="U1159" s="82"/>
      <c r="V1159" s="82"/>
    </row>
    <row r="1160" spans="9:22" x14ac:dyDescent="0.25">
      <c r="I1160" s="49"/>
      <c r="J1160" s="49"/>
      <c r="K1160" s="49"/>
      <c r="U1160" s="82"/>
      <c r="V1160" s="82"/>
    </row>
    <row r="1161" spans="9:22" x14ac:dyDescent="0.25">
      <c r="I1161" s="49"/>
      <c r="J1161" s="49"/>
      <c r="K1161" s="49"/>
      <c r="U1161" s="82"/>
      <c r="V1161" s="82"/>
    </row>
    <row r="1162" spans="9:22" x14ac:dyDescent="0.25">
      <c r="I1162" s="49"/>
      <c r="J1162" s="49"/>
      <c r="K1162" s="49"/>
      <c r="U1162" s="82"/>
      <c r="V1162" s="82"/>
    </row>
    <row r="1163" spans="9:22" x14ac:dyDescent="0.25">
      <c r="I1163" s="49"/>
      <c r="J1163" s="49"/>
      <c r="K1163" s="49"/>
      <c r="U1163" s="82"/>
      <c r="V1163" s="82"/>
    </row>
    <row r="1164" spans="9:22" x14ac:dyDescent="0.25">
      <c r="I1164" s="49"/>
      <c r="J1164" s="49"/>
      <c r="K1164" s="49"/>
      <c r="U1164" s="82"/>
      <c r="V1164" s="82"/>
    </row>
    <row r="1165" spans="9:22" x14ac:dyDescent="0.25">
      <c r="I1165" s="49"/>
      <c r="J1165" s="49"/>
      <c r="K1165" s="49"/>
      <c r="U1165" s="82"/>
      <c r="V1165" s="82"/>
    </row>
    <row r="1166" spans="9:22" x14ac:dyDescent="0.25">
      <c r="I1166" s="49"/>
      <c r="J1166" s="49"/>
      <c r="K1166" s="49"/>
      <c r="U1166" s="82"/>
      <c r="V1166" s="82"/>
    </row>
    <row r="1167" spans="9:22" x14ac:dyDescent="0.25">
      <c r="I1167" s="49"/>
      <c r="J1167" s="49"/>
      <c r="K1167" s="49"/>
      <c r="U1167" s="82"/>
      <c r="V1167" s="82"/>
    </row>
    <row r="1168" spans="9:22" x14ac:dyDescent="0.25">
      <c r="I1168" s="49"/>
      <c r="J1168" s="49"/>
      <c r="K1168" s="49"/>
      <c r="U1168" s="82"/>
      <c r="V1168" s="82"/>
    </row>
    <row r="1169" spans="9:22" x14ac:dyDescent="0.25">
      <c r="I1169" s="49"/>
      <c r="J1169" s="49"/>
      <c r="K1169" s="49"/>
      <c r="U1169" s="82"/>
      <c r="V1169" s="82"/>
    </row>
    <row r="1170" spans="9:22" x14ac:dyDescent="0.25">
      <c r="I1170" s="49"/>
      <c r="J1170" s="49"/>
      <c r="K1170" s="49"/>
      <c r="U1170" s="82"/>
      <c r="V1170" s="82"/>
    </row>
    <row r="1171" spans="9:22" x14ac:dyDescent="0.25">
      <c r="I1171" s="49"/>
      <c r="J1171" s="49"/>
      <c r="K1171" s="49"/>
      <c r="U1171" s="82"/>
      <c r="V1171" s="82"/>
    </row>
    <row r="1172" spans="9:22" x14ac:dyDescent="0.25">
      <c r="I1172" s="49"/>
      <c r="J1172" s="49"/>
      <c r="K1172" s="49"/>
      <c r="U1172" s="82"/>
      <c r="V1172" s="82"/>
    </row>
    <row r="1173" spans="9:22" x14ac:dyDescent="0.25">
      <c r="I1173" s="49"/>
      <c r="J1173" s="49"/>
      <c r="K1173" s="49"/>
      <c r="U1173" s="82"/>
      <c r="V1173" s="82"/>
    </row>
    <row r="1174" spans="9:22" x14ac:dyDescent="0.25">
      <c r="I1174" s="49"/>
      <c r="J1174" s="49"/>
      <c r="K1174" s="49"/>
      <c r="U1174" s="82"/>
      <c r="V1174" s="82"/>
    </row>
    <row r="1175" spans="9:22" x14ac:dyDescent="0.25">
      <c r="I1175" s="49"/>
      <c r="J1175" s="49"/>
      <c r="K1175" s="49"/>
      <c r="U1175" s="82"/>
      <c r="V1175" s="82"/>
    </row>
    <row r="1176" spans="9:22" x14ac:dyDescent="0.25">
      <c r="I1176" s="49"/>
      <c r="J1176" s="49"/>
      <c r="K1176" s="49"/>
      <c r="U1176" s="82"/>
      <c r="V1176" s="82"/>
    </row>
    <row r="1177" spans="9:22" x14ac:dyDescent="0.25">
      <c r="I1177" s="49"/>
      <c r="J1177" s="49"/>
      <c r="K1177" s="49"/>
      <c r="U1177" s="82"/>
      <c r="V1177" s="82"/>
    </row>
    <row r="1178" spans="9:22" x14ac:dyDescent="0.25">
      <c r="I1178" s="49"/>
      <c r="J1178" s="49"/>
      <c r="K1178" s="49"/>
      <c r="U1178" s="82"/>
      <c r="V1178" s="82"/>
    </row>
    <row r="1179" spans="9:22" x14ac:dyDescent="0.25">
      <c r="I1179" s="49"/>
      <c r="J1179" s="49"/>
      <c r="K1179" s="49"/>
      <c r="U1179" s="82"/>
      <c r="V1179" s="82"/>
    </row>
    <row r="1180" spans="9:22" x14ac:dyDescent="0.25">
      <c r="I1180" s="49"/>
      <c r="J1180" s="49"/>
      <c r="K1180" s="49"/>
      <c r="U1180" s="82"/>
      <c r="V1180" s="82"/>
    </row>
    <row r="1181" spans="9:22" x14ac:dyDescent="0.25">
      <c r="I1181" s="49"/>
      <c r="J1181" s="49"/>
      <c r="K1181" s="49"/>
      <c r="U1181" s="82"/>
      <c r="V1181" s="82"/>
    </row>
    <row r="1182" spans="9:22" x14ac:dyDescent="0.25">
      <c r="I1182" s="49"/>
      <c r="J1182" s="49"/>
      <c r="K1182" s="49"/>
      <c r="U1182" s="82"/>
      <c r="V1182" s="82"/>
    </row>
    <row r="1183" spans="9:22" x14ac:dyDescent="0.25">
      <c r="I1183" s="49"/>
      <c r="J1183" s="49"/>
      <c r="K1183" s="49"/>
      <c r="U1183" s="82"/>
      <c r="V1183" s="82"/>
    </row>
    <row r="1184" spans="9:22" x14ac:dyDescent="0.25">
      <c r="I1184" s="49"/>
      <c r="J1184" s="49"/>
      <c r="K1184" s="49"/>
      <c r="U1184" s="82"/>
      <c r="V1184" s="82"/>
    </row>
    <row r="1185" spans="9:22" x14ac:dyDescent="0.25">
      <c r="I1185" s="49"/>
      <c r="J1185" s="49"/>
      <c r="K1185" s="49"/>
      <c r="U1185" s="82"/>
      <c r="V1185" s="82"/>
    </row>
    <row r="1186" spans="9:22" x14ac:dyDescent="0.25">
      <c r="I1186" s="49"/>
      <c r="J1186" s="49"/>
      <c r="K1186" s="49"/>
      <c r="U1186" s="82"/>
      <c r="V1186" s="82"/>
    </row>
    <row r="1187" spans="9:22" x14ac:dyDescent="0.25">
      <c r="I1187" s="49"/>
      <c r="J1187" s="49"/>
      <c r="K1187" s="49"/>
      <c r="U1187" s="82"/>
      <c r="V1187" s="82"/>
    </row>
    <row r="1188" spans="9:22" x14ac:dyDescent="0.25">
      <c r="I1188" s="49"/>
      <c r="J1188" s="49"/>
      <c r="K1188" s="49"/>
      <c r="U1188" s="82"/>
      <c r="V1188" s="82"/>
    </row>
    <row r="1189" spans="9:22" x14ac:dyDescent="0.25">
      <c r="I1189" s="49"/>
      <c r="J1189" s="49"/>
      <c r="K1189" s="49"/>
      <c r="U1189" s="82"/>
      <c r="V1189" s="82"/>
    </row>
    <row r="1190" spans="9:22" x14ac:dyDescent="0.25">
      <c r="I1190" s="49"/>
      <c r="J1190" s="49"/>
      <c r="K1190" s="49"/>
      <c r="U1190" s="82"/>
      <c r="V1190" s="82"/>
    </row>
    <row r="1191" spans="9:22" x14ac:dyDescent="0.25">
      <c r="I1191" s="49"/>
      <c r="J1191" s="49"/>
      <c r="K1191" s="49"/>
      <c r="U1191" s="82"/>
      <c r="V1191" s="82"/>
    </row>
    <row r="1192" spans="9:22" x14ac:dyDescent="0.25">
      <c r="I1192" s="49"/>
      <c r="J1192" s="49"/>
      <c r="K1192" s="49"/>
      <c r="U1192" s="82"/>
      <c r="V1192" s="82"/>
    </row>
    <row r="1193" spans="9:22" x14ac:dyDescent="0.25">
      <c r="I1193" s="49"/>
      <c r="J1193" s="49"/>
      <c r="K1193" s="49"/>
      <c r="U1193" s="82"/>
      <c r="V1193" s="82"/>
    </row>
    <row r="1194" spans="9:22" x14ac:dyDescent="0.25">
      <c r="I1194" s="49"/>
      <c r="J1194" s="49"/>
      <c r="K1194" s="49"/>
      <c r="U1194" s="82"/>
      <c r="V1194" s="82"/>
    </row>
    <row r="1195" spans="9:22" x14ac:dyDescent="0.25">
      <c r="I1195" s="49"/>
      <c r="J1195" s="49"/>
      <c r="K1195" s="49"/>
      <c r="U1195" s="82"/>
      <c r="V1195" s="82"/>
    </row>
    <row r="1196" spans="9:22" x14ac:dyDescent="0.25">
      <c r="I1196" s="49"/>
      <c r="J1196" s="49"/>
      <c r="K1196" s="49"/>
      <c r="U1196" s="82"/>
      <c r="V1196" s="82"/>
    </row>
    <row r="1197" spans="9:22" x14ac:dyDescent="0.25">
      <c r="I1197" s="49"/>
      <c r="J1197" s="49"/>
      <c r="K1197" s="49"/>
      <c r="U1197" s="82"/>
      <c r="V1197" s="82"/>
    </row>
    <row r="1198" spans="9:22" x14ac:dyDescent="0.25">
      <c r="I1198" s="49"/>
      <c r="J1198" s="49"/>
      <c r="K1198" s="49"/>
      <c r="U1198" s="82"/>
      <c r="V1198" s="82"/>
    </row>
    <row r="1199" spans="9:22" x14ac:dyDescent="0.25">
      <c r="I1199" s="49"/>
      <c r="J1199" s="49"/>
      <c r="K1199" s="49"/>
      <c r="U1199" s="82"/>
      <c r="V1199" s="82"/>
    </row>
    <row r="1200" spans="9:22" x14ac:dyDescent="0.25">
      <c r="I1200" s="49"/>
      <c r="J1200" s="49"/>
      <c r="K1200" s="49"/>
      <c r="U1200" s="82"/>
      <c r="V1200" s="82"/>
    </row>
    <row r="1201" spans="9:22" x14ac:dyDescent="0.25">
      <c r="I1201" s="49"/>
      <c r="J1201" s="49"/>
      <c r="K1201" s="49"/>
      <c r="U1201" s="82"/>
      <c r="V1201" s="82"/>
    </row>
    <row r="1202" spans="9:22" x14ac:dyDescent="0.25">
      <c r="I1202" s="49"/>
      <c r="J1202" s="49"/>
      <c r="K1202" s="49"/>
      <c r="U1202" s="82"/>
      <c r="V1202" s="82"/>
    </row>
    <row r="1203" spans="9:22" x14ac:dyDescent="0.25">
      <c r="I1203" s="49"/>
      <c r="J1203" s="49"/>
      <c r="K1203" s="49"/>
      <c r="U1203" s="82"/>
      <c r="V1203" s="82"/>
    </row>
    <row r="1204" spans="9:22" x14ac:dyDescent="0.25">
      <c r="I1204" s="49"/>
      <c r="J1204" s="49"/>
      <c r="K1204" s="49"/>
      <c r="U1204" s="82"/>
      <c r="V1204" s="82"/>
    </row>
    <row r="1205" spans="9:22" x14ac:dyDescent="0.25">
      <c r="I1205" s="49"/>
      <c r="J1205" s="49"/>
      <c r="K1205" s="49"/>
      <c r="U1205" s="82"/>
      <c r="V1205" s="82"/>
    </row>
    <row r="1206" spans="9:22" x14ac:dyDescent="0.25">
      <c r="I1206" s="49"/>
      <c r="J1206" s="49"/>
      <c r="K1206" s="49"/>
      <c r="U1206" s="82"/>
      <c r="V1206" s="82"/>
    </row>
    <row r="1207" spans="9:22" x14ac:dyDescent="0.25">
      <c r="I1207" s="49"/>
      <c r="J1207" s="49"/>
      <c r="K1207" s="49"/>
      <c r="U1207" s="82"/>
      <c r="V1207" s="82"/>
    </row>
    <row r="1208" spans="9:22" x14ac:dyDescent="0.25">
      <c r="I1208" s="49"/>
      <c r="J1208" s="49"/>
      <c r="K1208" s="49"/>
      <c r="U1208" s="82"/>
      <c r="V1208" s="82"/>
    </row>
    <row r="1209" spans="9:22" x14ac:dyDescent="0.25">
      <c r="I1209" s="49"/>
      <c r="J1209" s="49"/>
      <c r="K1209" s="49"/>
      <c r="U1209" s="82"/>
      <c r="V1209" s="82"/>
    </row>
    <row r="1210" spans="9:22" x14ac:dyDescent="0.25">
      <c r="I1210" s="50"/>
      <c r="J1210" s="50"/>
      <c r="K1210" s="50"/>
      <c r="U1210" s="82"/>
      <c r="V1210" s="82"/>
    </row>
    <row r="1211" spans="9:22" x14ac:dyDescent="0.25">
      <c r="I1211" s="50"/>
      <c r="J1211" s="50"/>
      <c r="K1211" s="50"/>
      <c r="U1211" s="82"/>
      <c r="V1211" s="82"/>
    </row>
    <row r="1212" spans="9:22" x14ac:dyDescent="0.25">
      <c r="I1212" s="50"/>
      <c r="J1212" s="50"/>
      <c r="K1212" s="50"/>
      <c r="U1212" s="82"/>
      <c r="V1212" s="82"/>
    </row>
    <row r="1213" spans="9:22" x14ac:dyDescent="0.25">
      <c r="I1213" s="50"/>
      <c r="J1213" s="50"/>
      <c r="K1213" s="50"/>
      <c r="U1213" s="82"/>
      <c r="V1213" s="82"/>
    </row>
    <row r="1214" spans="9:22" x14ac:dyDescent="0.25">
      <c r="I1214" s="50"/>
      <c r="J1214" s="50"/>
      <c r="K1214" s="50"/>
      <c r="U1214" s="84"/>
      <c r="V1214" s="84"/>
    </row>
    <row r="1215" spans="9:22" x14ac:dyDescent="0.25">
      <c r="I1215" s="50"/>
      <c r="J1215" s="50"/>
      <c r="K1215" s="50"/>
      <c r="U1215" s="84"/>
      <c r="V1215" s="84"/>
    </row>
    <row r="1216" spans="9:22" x14ac:dyDescent="0.25">
      <c r="I1216" s="50"/>
      <c r="J1216" s="50"/>
      <c r="K1216" s="50"/>
      <c r="U1216" s="84"/>
      <c r="V1216" s="84"/>
    </row>
    <row r="1217" spans="9:22" x14ac:dyDescent="0.25">
      <c r="I1217" s="50"/>
      <c r="J1217" s="50"/>
      <c r="K1217" s="50"/>
      <c r="U1217" s="84"/>
      <c r="V1217" s="84"/>
    </row>
    <row r="1218" spans="9:22" x14ac:dyDescent="0.25">
      <c r="I1218" s="50"/>
      <c r="J1218" s="50"/>
      <c r="K1218" s="50"/>
      <c r="U1218" s="84"/>
      <c r="V1218" s="84"/>
    </row>
    <row r="1219" spans="9:22" x14ac:dyDescent="0.25">
      <c r="I1219" s="50"/>
      <c r="J1219" s="50"/>
      <c r="K1219" s="50"/>
      <c r="U1219" s="84"/>
      <c r="V1219" s="84"/>
    </row>
    <row r="1220" spans="9:22" x14ac:dyDescent="0.25">
      <c r="I1220" s="50"/>
      <c r="J1220" s="50"/>
      <c r="K1220" s="50"/>
      <c r="U1220" s="84"/>
      <c r="V1220" s="84"/>
    </row>
    <row r="1221" spans="9:22" x14ac:dyDescent="0.25">
      <c r="I1221" s="50"/>
      <c r="J1221" s="50"/>
      <c r="K1221" s="50"/>
      <c r="U1221" s="84"/>
      <c r="V1221" s="84"/>
    </row>
    <row r="1222" spans="9:22" x14ac:dyDescent="0.25">
      <c r="I1222" s="50"/>
      <c r="J1222" s="50"/>
      <c r="K1222" s="50"/>
      <c r="U1222" s="84"/>
      <c r="V1222" s="84"/>
    </row>
    <row r="1223" spans="9:22" x14ac:dyDescent="0.25">
      <c r="I1223" s="50"/>
      <c r="J1223" s="50"/>
      <c r="K1223" s="50"/>
      <c r="U1223" s="84"/>
      <c r="V1223" s="84"/>
    </row>
    <row r="1224" spans="9:22" x14ac:dyDescent="0.25">
      <c r="I1224" s="50"/>
      <c r="J1224" s="50"/>
      <c r="K1224" s="50"/>
      <c r="U1224" s="84"/>
      <c r="V1224" s="84"/>
    </row>
    <row r="1225" spans="9:22" x14ac:dyDescent="0.25">
      <c r="I1225" s="50"/>
      <c r="J1225" s="50"/>
      <c r="K1225" s="50"/>
      <c r="U1225" s="84"/>
      <c r="V1225" s="84"/>
    </row>
    <row r="1226" spans="9:22" x14ac:dyDescent="0.25">
      <c r="I1226" s="50"/>
      <c r="J1226" s="50"/>
      <c r="K1226" s="50"/>
      <c r="U1226" s="84"/>
      <c r="V1226" s="84"/>
    </row>
    <row r="1227" spans="9:22" x14ac:dyDescent="0.25">
      <c r="I1227" s="50"/>
      <c r="J1227" s="50"/>
      <c r="K1227" s="50"/>
      <c r="U1227" s="84"/>
      <c r="V1227" s="84"/>
    </row>
    <row r="1228" spans="9:22" x14ac:dyDescent="0.25">
      <c r="I1228" s="50"/>
      <c r="J1228" s="50"/>
      <c r="K1228" s="50"/>
      <c r="U1228" s="84"/>
      <c r="V1228" s="84"/>
    </row>
    <row r="1229" spans="9:22" x14ac:dyDescent="0.25">
      <c r="I1229" s="50"/>
      <c r="J1229" s="50"/>
      <c r="K1229" s="50"/>
      <c r="U1229" s="84"/>
      <c r="V1229" s="84"/>
    </row>
    <row r="1230" spans="9:22" x14ac:dyDescent="0.25">
      <c r="I1230" s="50"/>
      <c r="J1230" s="50"/>
      <c r="K1230" s="50"/>
      <c r="U1230" s="84"/>
      <c r="V1230" s="84"/>
    </row>
    <row r="1231" spans="9:22" x14ac:dyDescent="0.25">
      <c r="I1231" s="50"/>
      <c r="J1231" s="50"/>
      <c r="K1231" s="50"/>
      <c r="U1231" s="84"/>
      <c r="V1231" s="84"/>
    </row>
    <row r="1232" spans="9:22" x14ac:dyDescent="0.25">
      <c r="I1232" s="50"/>
      <c r="J1232" s="50"/>
      <c r="K1232" s="50"/>
      <c r="U1232" s="84"/>
      <c r="V1232" s="84"/>
    </row>
    <row r="1233" spans="9:22" x14ac:dyDescent="0.25">
      <c r="I1233" s="50"/>
      <c r="J1233" s="50"/>
      <c r="K1233" s="50"/>
      <c r="U1233" s="84"/>
      <c r="V1233" s="84"/>
    </row>
    <row r="1234" spans="9:22" x14ac:dyDescent="0.25">
      <c r="I1234" s="50"/>
      <c r="J1234" s="50"/>
      <c r="K1234" s="50"/>
      <c r="U1234" s="84"/>
      <c r="V1234" s="84"/>
    </row>
    <row r="1235" spans="9:22" x14ac:dyDescent="0.25">
      <c r="I1235" s="50"/>
      <c r="J1235" s="50"/>
      <c r="K1235" s="50"/>
      <c r="U1235" s="84"/>
      <c r="V1235" s="84"/>
    </row>
    <row r="1236" spans="9:22" x14ac:dyDescent="0.25">
      <c r="I1236" s="50"/>
      <c r="J1236" s="50"/>
      <c r="K1236" s="50"/>
      <c r="U1236" s="84"/>
      <c r="V1236" s="84"/>
    </row>
    <row r="1237" spans="9:22" x14ac:dyDescent="0.25">
      <c r="I1237" s="50"/>
      <c r="J1237" s="50"/>
      <c r="K1237" s="50"/>
      <c r="U1237" s="84"/>
      <c r="V1237" s="84"/>
    </row>
    <row r="1238" spans="9:22" x14ac:dyDescent="0.25">
      <c r="I1238" s="50"/>
      <c r="J1238" s="50"/>
      <c r="K1238" s="50"/>
      <c r="U1238" s="84"/>
      <c r="V1238" s="84"/>
    </row>
    <row r="1239" spans="9:22" x14ac:dyDescent="0.25">
      <c r="I1239" s="50"/>
      <c r="J1239" s="50"/>
      <c r="K1239" s="50"/>
      <c r="U1239" s="84"/>
      <c r="V1239" s="84"/>
    </row>
    <row r="1240" spans="9:22" x14ac:dyDescent="0.25">
      <c r="I1240" s="50"/>
      <c r="J1240" s="50"/>
      <c r="K1240" s="50"/>
      <c r="U1240" s="84"/>
      <c r="V1240" s="84"/>
    </row>
    <row r="1241" spans="9:22" x14ac:dyDescent="0.25">
      <c r="I1241" s="50"/>
      <c r="J1241" s="50"/>
      <c r="K1241" s="50"/>
      <c r="U1241" s="84"/>
      <c r="V1241" s="84"/>
    </row>
    <row r="1242" spans="9:22" x14ac:dyDescent="0.25">
      <c r="I1242" s="50"/>
      <c r="J1242" s="50"/>
      <c r="K1242" s="50"/>
      <c r="U1242" s="84"/>
      <c r="V1242" s="84"/>
    </row>
    <row r="1243" spans="9:22" x14ac:dyDescent="0.25">
      <c r="I1243" s="50"/>
      <c r="J1243" s="50"/>
      <c r="K1243" s="50"/>
      <c r="U1243" s="84"/>
      <c r="V1243" s="84"/>
    </row>
    <row r="1244" spans="9:22" x14ac:dyDescent="0.25">
      <c r="I1244" s="50"/>
      <c r="J1244" s="50"/>
      <c r="K1244" s="50"/>
      <c r="U1244" s="84"/>
      <c r="V1244" s="84"/>
    </row>
    <row r="1245" spans="9:22" x14ac:dyDescent="0.25">
      <c r="I1245" s="50"/>
      <c r="J1245" s="50"/>
      <c r="K1245" s="50"/>
      <c r="U1245" s="84"/>
      <c r="V1245" s="84"/>
    </row>
    <row r="1246" spans="9:22" x14ac:dyDescent="0.25">
      <c r="I1246" s="50"/>
      <c r="J1246" s="50"/>
      <c r="K1246" s="50"/>
      <c r="U1246" s="84"/>
      <c r="V1246" s="84"/>
    </row>
    <row r="1247" spans="9:22" x14ac:dyDescent="0.25">
      <c r="I1247" s="50"/>
      <c r="J1247" s="50"/>
      <c r="K1247" s="50"/>
      <c r="U1247" s="84"/>
      <c r="V1247" s="84"/>
    </row>
    <row r="1248" spans="9:22" x14ac:dyDescent="0.25">
      <c r="I1248" s="50"/>
      <c r="J1248" s="50"/>
      <c r="K1248" s="50"/>
      <c r="U1248" s="84"/>
      <c r="V1248" s="84"/>
    </row>
    <row r="1249" spans="9:22" x14ac:dyDescent="0.25">
      <c r="I1249" s="50"/>
      <c r="J1249" s="50"/>
      <c r="K1249" s="50"/>
      <c r="U1249" s="84"/>
      <c r="V1249" s="84"/>
    </row>
    <row r="1250" spans="9:22" x14ac:dyDescent="0.25">
      <c r="I1250" s="50"/>
      <c r="J1250" s="50"/>
      <c r="K1250" s="50"/>
      <c r="U1250" s="84"/>
      <c r="V1250" s="84"/>
    </row>
    <row r="1251" spans="9:22" x14ac:dyDescent="0.25">
      <c r="I1251" s="50"/>
      <c r="J1251" s="50"/>
      <c r="K1251" s="50"/>
      <c r="U1251" s="84"/>
      <c r="V1251" s="84"/>
    </row>
    <row r="1252" spans="9:22" x14ac:dyDescent="0.25">
      <c r="I1252" s="50"/>
      <c r="J1252" s="50"/>
      <c r="K1252" s="50"/>
      <c r="U1252" s="84"/>
      <c r="V1252" s="84"/>
    </row>
    <row r="1253" spans="9:22" x14ac:dyDescent="0.25">
      <c r="I1253" s="50"/>
      <c r="J1253" s="50"/>
      <c r="K1253" s="50"/>
      <c r="U1253" s="84"/>
      <c r="V1253" s="84"/>
    </row>
    <row r="1254" spans="9:22" x14ac:dyDescent="0.25">
      <c r="I1254" s="50"/>
      <c r="J1254" s="50"/>
      <c r="K1254" s="50"/>
      <c r="U1254" s="84"/>
      <c r="V1254" s="84"/>
    </row>
    <row r="1255" spans="9:22" x14ac:dyDescent="0.25">
      <c r="I1255" s="50"/>
      <c r="J1255" s="50"/>
      <c r="K1255" s="50"/>
      <c r="U1255" s="84"/>
      <c r="V1255" s="84"/>
    </row>
    <row r="1256" spans="9:22" x14ac:dyDescent="0.25">
      <c r="I1256" s="50"/>
      <c r="J1256" s="50"/>
      <c r="K1256" s="50"/>
      <c r="U1256" s="84"/>
      <c r="V1256" s="84"/>
    </row>
    <row r="1257" spans="9:22" x14ac:dyDescent="0.25">
      <c r="I1257" s="50"/>
      <c r="J1257" s="50"/>
      <c r="K1257" s="50"/>
      <c r="U1257" s="84"/>
      <c r="V1257" s="84"/>
    </row>
    <row r="1258" spans="9:22" x14ac:dyDescent="0.25">
      <c r="I1258" s="50"/>
      <c r="J1258" s="50"/>
      <c r="K1258" s="50"/>
      <c r="U1258" s="84"/>
      <c r="V1258" s="84"/>
    </row>
    <row r="1259" spans="9:22" x14ac:dyDescent="0.25">
      <c r="I1259" s="50"/>
      <c r="J1259" s="50"/>
      <c r="K1259" s="50"/>
      <c r="U1259" s="84"/>
      <c r="V1259" s="84"/>
    </row>
    <row r="1260" spans="9:22" x14ac:dyDescent="0.25">
      <c r="I1260" s="50"/>
      <c r="J1260" s="50"/>
      <c r="K1260" s="50"/>
      <c r="U1260" s="84"/>
      <c r="V1260" s="84"/>
    </row>
    <row r="1261" spans="9:22" x14ac:dyDescent="0.25">
      <c r="I1261" s="50"/>
      <c r="J1261" s="50"/>
      <c r="K1261" s="50"/>
      <c r="U1261" s="84"/>
      <c r="V1261" s="84"/>
    </row>
    <row r="1262" spans="9:22" x14ac:dyDescent="0.25">
      <c r="I1262" s="50"/>
      <c r="J1262" s="50"/>
      <c r="K1262" s="50"/>
      <c r="U1262" s="84"/>
      <c r="V1262" s="84"/>
    </row>
    <row r="1263" spans="9:22" x14ac:dyDescent="0.25">
      <c r="I1263" s="50"/>
      <c r="J1263" s="50"/>
      <c r="K1263" s="50"/>
      <c r="U1263" s="84"/>
      <c r="V1263" s="84"/>
    </row>
    <row r="1264" spans="9:22" x14ac:dyDescent="0.25">
      <c r="I1264" s="50"/>
      <c r="J1264" s="50"/>
      <c r="K1264" s="50"/>
      <c r="U1264" s="84"/>
      <c r="V1264" s="84"/>
    </row>
    <row r="1265" spans="9:22" x14ac:dyDescent="0.25">
      <c r="I1265" s="50"/>
      <c r="J1265" s="50"/>
      <c r="K1265" s="50"/>
      <c r="U1265" s="84"/>
      <c r="V1265" s="84"/>
    </row>
    <row r="1266" spans="9:22" x14ac:dyDescent="0.25">
      <c r="I1266" s="50"/>
      <c r="J1266" s="50"/>
      <c r="K1266" s="50"/>
      <c r="U1266" s="84"/>
      <c r="V1266" s="84"/>
    </row>
    <row r="1267" spans="9:22" x14ac:dyDescent="0.25">
      <c r="I1267" s="50"/>
      <c r="J1267" s="50"/>
      <c r="K1267" s="50"/>
      <c r="U1267" s="84"/>
      <c r="V1267" s="84"/>
    </row>
    <row r="1268" spans="9:22" x14ac:dyDescent="0.25">
      <c r="I1268" s="50"/>
      <c r="J1268" s="50"/>
      <c r="K1268" s="50"/>
      <c r="U1268" s="84"/>
      <c r="V1268" s="84"/>
    </row>
    <row r="1269" spans="9:22" x14ac:dyDescent="0.25">
      <c r="I1269" s="50"/>
      <c r="J1269" s="50"/>
      <c r="K1269" s="50"/>
      <c r="U1269" s="84"/>
      <c r="V1269" s="84"/>
    </row>
    <row r="1270" spans="9:22" x14ac:dyDescent="0.25">
      <c r="I1270" s="50"/>
      <c r="J1270" s="50"/>
      <c r="K1270" s="50"/>
      <c r="U1270" s="84"/>
      <c r="V1270" s="84"/>
    </row>
    <row r="1271" spans="9:22" x14ac:dyDescent="0.25">
      <c r="I1271" s="50"/>
      <c r="J1271" s="50"/>
      <c r="K1271" s="50"/>
      <c r="U1271" s="84"/>
      <c r="V1271" s="84"/>
    </row>
    <row r="1272" spans="9:22" x14ac:dyDescent="0.25">
      <c r="I1272" s="50"/>
      <c r="J1272" s="50"/>
      <c r="K1272" s="50"/>
      <c r="U1272" s="84"/>
      <c r="V1272" s="84"/>
    </row>
    <row r="1273" spans="9:22" x14ac:dyDescent="0.25">
      <c r="I1273" s="50"/>
      <c r="J1273" s="50"/>
      <c r="K1273" s="50"/>
      <c r="U1273" s="84"/>
      <c r="V1273" s="84"/>
    </row>
    <row r="1274" spans="9:22" x14ac:dyDescent="0.25">
      <c r="I1274" s="50"/>
      <c r="J1274" s="50"/>
      <c r="K1274" s="50"/>
      <c r="U1274" s="84"/>
      <c r="V1274" s="84"/>
    </row>
    <row r="1275" spans="9:22" x14ac:dyDescent="0.25">
      <c r="I1275" s="50"/>
      <c r="J1275" s="50"/>
      <c r="K1275" s="50"/>
      <c r="U1275" s="84"/>
      <c r="V1275" s="84"/>
    </row>
    <row r="1276" spans="9:22" x14ac:dyDescent="0.25">
      <c r="I1276" s="50"/>
      <c r="J1276" s="50"/>
      <c r="K1276" s="50"/>
      <c r="U1276" s="84"/>
      <c r="V1276" s="84"/>
    </row>
    <row r="1277" spans="9:22" x14ac:dyDescent="0.25">
      <c r="I1277" s="50"/>
      <c r="J1277" s="50"/>
      <c r="K1277" s="50"/>
      <c r="U1277" s="84"/>
      <c r="V1277" s="84"/>
    </row>
    <row r="1278" spans="9:22" x14ac:dyDescent="0.25">
      <c r="I1278" s="50"/>
      <c r="J1278" s="50"/>
      <c r="K1278" s="50"/>
      <c r="U1278" s="84"/>
      <c r="V1278" s="84"/>
    </row>
    <row r="1279" spans="9:22" x14ac:dyDescent="0.25">
      <c r="I1279" s="50"/>
      <c r="J1279" s="50"/>
      <c r="K1279" s="50"/>
      <c r="U1279" s="84"/>
      <c r="V1279" s="84"/>
    </row>
    <row r="1280" spans="9:22" x14ac:dyDescent="0.25">
      <c r="I1280" s="50"/>
      <c r="J1280" s="50"/>
      <c r="K1280" s="50"/>
      <c r="U1280" s="84"/>
      <c r="V1280" s="84"/>
    </row>
    <row r="1281" spans="9:22" x14ac:dyDescent="0.25">
      <c r="I1281" s="50"/>
      <c r="J1281" s="50"/>
      <c r="K1281" s="50"/>
      <c r="U1281" s="84"/>
      <c r="V1281" s="84"/>
    </row>
    <row r="1282" spans="9:22" x14ac:dyDescent="0.25">
      <c r="I1282" s="50"/>
      <c r="J1282" s="50"/>
      <c r="K1282" s="50"/>
      <c r="U1282" s="84"/>
      <c r="V1282" s="84"/>
    </row>
    <row r="1283" spans="9:22" x14ac:dyDescent="0.25">
      <c r="I1283" s="50"/>
      <c r="J1283" s="50"/>
      <c r="K1283" s="50"/>
      <c r="U1283" s="84"/>
      <c r="V1283" s="84"/>
    </row>
    <row r="1284" spans="9:22" x14ac:dyDescent="0.25">
      <c r="I1284" s="50"/>
      <c r="J1284" s="50"/>
      <c r="K1284" s="50"/>
      <c r="U1284" s="84"/>
      <c r="V1284" s="84"/>
    </row>
    <row r="1285" spans="9:22" x14ac:dyDescent="0.25">
      <c r="I1285" s="50"/>
      <c r="J1285" s="50"/>
      <c r="K1285" s="50"/>
      <c r="U1285" s="84"/>
      <c r="V1285" s="84"/>
    </row>
    <row r="1286" spans="9:22" x14ac:dyDescent="0.25">
      <c r="I1286" s="50"/>
      <c r="J1286" s="50"/>
      <c r="K1286" s="50"/>
      <c r="U1286" s="84"/>
      <c r="V1286" s="84"/>
    </row>
    <row r="1287" spans="9:22" x14ac:dyDescent="0.25">
      <c r="I1287" s="50"/>
      <c r="J1287" s="50"/>
      <c r="K1287" s="50"/>
      <c r="U1287" s="84"/>
      <c r="V1287" s="84"/>
    </row>
    <row r="1288" spans="9:22" x14ac:dyDescent="0.25">
      <c r="I1288" s="50"/>
      <c r="J1288" s="50"/>
      <c r="K1288" s="50"/>
      <c r="U1288" s="84"/>
      <c r="V1288" s="84"/>
    </row>
    <row r="1289" spans="9:22" x14ac:dyDescent="0.25">
      <c r="I1289" s="50"/>
      <c r="J1289" s="50"/>
      <c r="K1289" s="50"/>
      <c r="U1289" s="84"/>
      <c r="V1289" s="84"/>
    </row>
    <row r="1290" spans="9:22" x14ac:dyDescent="0.25">
      <c r="I1290" s="50"/>
      <c r="J1290" s="50"/>
      <c r="K1290" s="50"/>
      <c r="U1290" s="84"/>
      <c r="V1290" s="84"/>
    </row>
    <row r="1291" spans="9:22" x14ac:dyDescent="0.25">
      <c r="I1291" s="50"/>
      <c r="J1291" s="50"/>
      <c r="K1291" s="50"/>
      <c r="U1291" s="84"/>
      <c r="V1291" s="84"/>
    </row>
    <row r="1292" spans="9:22" x14ac:dyDescent="0.25">
      <c r="I1292" s="50"/>
      <c r="J1292" s="50"/>
      <c r="K1292" s="50"/>
      <c r="U1292" s="84"/>
      <c r="V1292" s="84"/>
    </row>
    <row r="1293" spans="9:22" x14ac:dyDescent="0.25">
      <c r="I1293" s="50"/>
      <c r="J1293" s="50"/>
      <c r="K1293" s="50"/>
      <c r="U1293" s="84"/>
      <c r="V1293" s="84"/>
    </row>
    <row r="1294" spans="9:22" x14ac:dyDescent="0.25">
      <c r="I1294" s="50"/>
      <c r="J1294" s="50"/>
      <c r="K1294" s="50"/>
      <c r="U1294" s="84"/>
      <c r="V1294" s="84"/>
    </row>
    <row r="1295" spans="9:22" x14ac:dyDescent="0.25">
      <c r="I1295" s="50"/>
      <c r="J1295" s="50"/>
      <c r="K1295" s="50"/>
      <c r="U1295" s="84"/>
      <c r="V1295" s="84"/>
    </row>
    <row r="1296" spans="9:22" x14ac:dyDescent="0.25">
      <c r="I1296" s="50"/>
      <c r="J1296" s="50"/>
      <c r="K1296" s="50"/>
      <c r="U1296" s="84"/>
      <c r="V1296" s="84"/>
    </row>
    <row r="1297" spans="9:22" x14ac:dyDescent="0.25">
      <c r="I1297" s="50"/>
      <c r="J1297" s="50"/>
      <c r="K1297" s="50"/>
      <c r="U1297" s="84"/>
      <c r="V1297" s="84"/>
    </row>
    <row r="1298" spans="9:22" x14ac:dyDescent="0.25">
      <c r="I1298" s="50"/>
      <c r="J1298" s="50"/>
      <c r="K1298" s="50"/>
      <c r="U1298" s="84"/>
      <c r="V1298" s="84"/>
    </row>
    <row r="1299" spans="9:22" x14ac:dyDescent="0.25">
      <c r="I1299" s="50"/>
      <c r="J1299" s="50"/>
      <c r="K1299" s="50"/>
      <c r="U1299" s="84"/>
      <c r="V1299" s="84"/>
    </row>
    <row r="1300" spans="9:22" x14ac:dyDescent="0.25">
      <c r="I1300" s="50"/>
      <c r="J1300" s="50"/>
      <c r="K1300" s="50"/>
      <c r="U1300" s="84"/>
      <c r="V1300" s="84"/>
    </row>
    <row r="1301" spans="9:22" x14ac:dyDescent="0.25">
      <c r="I1301" s="50"/>
      <c r="J1301" s="50"/>
      <c r="K1301" s="50"/>
      <c r="U1301" s="84"/>
      <c r="V1301" s="84"/>
    </row>
    <row r="1302" spans="9:22" x14ac:dyDescent="0.25">
      <c r="I1302" s="50"/>
      <c r="J1302" s="50"/>
      <c r="K1302" s="50"/>
      <c r="U1302" s="84"/>
      <c r="V1302" s="84"/>
    </row>
    <row r="1303" spans="9:22" x14ac:dyDescent="0.25">
      <c r="I1303" s="50"/>
      <c r="J1303" s="50"/>
      <c r="K1303" s="50"/>
      <c r="U1303" s="84"/>
      <c r="V1303" s="84"/>
    </row>
    <row r="1304" spans="9:22" x14ac:dyDescent="0.25">
      <c r="I1304" s="50"/>
      <c r="J1304" s="50"/>
      <c r="K1304" s="50"/>
      <c r="U1304" s="84"/>
      <c r="V1304" s="84"/>
    </row>
    <row r="1305" spans="9:22" x14ac:dyDescent="0.25">
      <c r="I1305" s="50"/>
      <c r="J1305" s="50"/>
      <c r="K1305" s="50"/>
      <c r="U1305" s="84"/>
      <c r="V1305" s="84"/>
    </row>
    <row r="1306" spans="9:22" x14ac:dyDescent="0.25">
      <c r="I1306" s="50"/>
      <c r="J1306" s="50"/>
      <c r="K1306" s="50"/>
      <c r="U1306" s="84"/>
      <c r="V1306" s="84"/>
    </row>
    <row r="1307" spans="9:22" x14ac:dyDescent="0.25">
      <c r="I1307" s="50"/>
      <c r="J1307" s="50"/>
      <c r="K1307" s="50"/>
      <c r="U1307" s="84"/>
      <c r="V1307" s="84"/>
    </row>
    <row r="1308" spans="9:22" x14ac:dyDescent="0.25">
      <c r="I1308" s="50"/>
      <c r="J1308" s="50"/>
      <c r="K1308" s="50"/>
      <c r="U1308" s="84"/>
      <c r="V1308" s="84"/>
    </row>
    <row r="1309" spans="9:22" x14ac:dyDescent="0.25">
      <c r="I1309" s="50"/>
      <c r="J1309" s="50"/>
      <c r="K1309" s="50"/>
      <c r="U1309" s="84"/>
      <c r="V1309" s="84"/>
    </row>
    <row r="1310" spans="9:22" x14ac:dyDescent="0.25">
      <c r="I1310" s="50"/>
      <c r="J1310" s="50"/>
      <c r="K1310" s="50"/>
      <c r="U1310" s="84"/>
      <c r="V1310" s="84"/>
    </row>
    <row r="1311" spans="9:22" x14ac:dyDescent="0.25">
      <c r="I1311" s="50"/>
      <c r="J1311" s="50"/>
      <c r="K1311" s="50"/>
      <c r="U1311" s="84"/>
      <c r="V1311" s="84"/>
    </row>
    <row r="1312" spans="9:22" x14ac:dyDescent="0.25">
      <c r="I1312" s="50"/>
      <c r="J1312" s="50"/>
      <c r="K1312" s="50"/>
      <c r="U1312" s="84"/>
      <c r="V1312" s="84"/>
    </row>
    <row r="1313" spans="9:22" x14ac:dyDescent="0.25">
      <c r="I1313" s="50"/>
      <c r="J1313" s="50"/>
      <c r="K1313" s="50"/>
      <c r="U1313" s="84"/>
      <c r="V1313" s="84"/>
    </row>
    <row r="1314" spans="9:22" x14ac:dyDescent="0.25">
      <c r="I1314" s="50"/>
      <c r="J1314" s="50"/>
      <c r="K1314" s="50"/>
      <c r="U1314" s="84"/>
      <c r="V1314" s="84"/>
    </row>
    <row r="1315" spans="9:22" x14ac:dyDescent="0.25">
      <c r="I1315" s="50"/>
      <c r="J1315" s="50"/>
      <c r="K1315" s="50"/>
      <c r="U1315" s="84"/>
      <c r="V1315" s="84"/>
    </row>
    <row r="1316" spans="9:22" x14ac:dyDescent="0.25">
      <c r="I1316" s="50"/>
      <c r="J1316" s="50"/>
      <c r="K1316" s="50"/>
      <c r="U1316" s="84"/>
      <c r="V1316" s="84"/>
    </row>
    <row r="1317" spans="9:22" x14ac:dyDescent="0.25">
      <c r="I1317" s="50"/>
      <c r="J1317" s="50"/>
      <c r="K1317" s="50"/>
      <c r="U1317" s="84"/>
      <c r="V1317" s="84"/>
    </row>
    <row r="1318" spans="9:22" x14ac:dyDescent="0.25">
      <c r="I1318" s="50"/>
      <c r="J1318" s="50"/>
      <c r="K1318" s="50"/>
      <c r="U1318" s="84"/>
      <c r="V1318" s="84"/>
    </row>
    <row r="1319" spans="9:22" x14ac:dyDescent="0.25">
      <c r="I1319" s="50"/>
      <c r="J1319" s="50"/>
      <c r="K1319" s="50"/>
      <c r="U1319" s="84"/>
      <c r="V1319" s="84"/>
    </row>
    <row r="1320" spans="9:22" x14ac:dyDescent="0.25">
      <c r="I1320" s="50"/>
      <c r="J1320" s="50"/>
      <c r="K1320" s="50"/>
      <c r="U1320" s="84"/>
      <c r="V1320" s="84"/>
    </row>
    <row r="1321" spans="9:22" x14ac:dyDescent="0.25">
      <c r="I1321" s="50"/>
      <c r="J1321" s="50"/>
      <c r="K1321" s="50"/>
      <c r="U1321" s="84"/>
      <c r="V1321" s="84"/>
    </row>
    <row r="1322" spans="9:22" x14ac:dyDescent="0.25">
      <c r="I1322" s="50"/>
      <c r="J1322" s="50"/>
      <c r="K1322" s="50"/>
      <c r="U1322" s="84"/>
      <c r="V1322" s="84"/>
    </row>
    <row r="1323" spans="9:22" x14ac:dyDescent="0.25">
      <c r="I1323" s="50"/>
      <c r="J1323" s="50"/>
      <c r="K1323" s="50"/>
      <c r="U1323" s="84"/>
      <c r="V1323" s="84"/>
    </row>
    <row r="1324" spans="9:22" x14ac:dyDescent="0.25">
      <c r="I1324" s="50"/>
      <c r="J1324" s="50"/>
      <c r="K1324" s="50"/>
      <c r="U1324" s="84"/>
      <c r="V1324" s="84"/>
    </row>
    <row r="1325" spans="9:22" x14ac:dyDescent="0.25">
      <c r="I1325" s="50"/>
      <c r="J1325" s="50"/>
      <c r="K1325" s="50"/>
      <c r="U1325" s="84"/>
      <c r="V1325" s="84"/>
    </row>
    <row r="1326" spans="9:22" x14ac:dyDescent="0.25">
      <c r="I1326" s="50"/>
      <c r="J1326" s="50"/>
      <c r="K1326" s="50"/>
      <c r="U1326" s="84"/>
      <c r="V1326" s="84"/>
    </row>
    <row r="1327" spans="9:22" x14ac:dyDescent="0.25">
      <c r="I1327" s="50"/>
      <c r="J1327" s="50"/>
      <c r="K1327" s="50"/>
      <c r="U1327" s="84"/>
      <c r="V1327" s="84"/>
    </row>
    <row r="1328" spans="9:22" x14ac:dyDescent="0.25">
      <c r="I1328" s="50"/>
      <c r="J1328" s="50"/>
      <c r="K1328" s="50"/>
      <c r="U1328" s="84"/>
      <c r="V1328" s="84"/>
    </row>
    <row r="1329" spans="9:22" x14ac:dyDescent="0.25">
      <c r="I1329" s="50"/>
      <c r="J1329" s="50"/>
      <c r="K1329" s="50"/>
      <c r="U1329" s="84"/>
      <c r="V1329" s="84"/>
    </row>
    <row r="1330" spans="9:22" x14ac:dyDescent="0.25">
      <c r="I1330" s="50"/>
      <c r="J1330" s="50"/>
      <c r="K1330" s="50"/>
      <c r="U1330" s="84"/>
      <c r="V1330" s="84"/>
    </row>
    <row r="1331" spans="9:22" x14ac:dyDescent="0.25">
      <c r="I1331" s="50"/>
      <c r="J1331" s="50"/>
      <c r="K1331" s="50"/>
      <c r="U1331" s="84"/>
      <c r="V1331" s="84"/>
    </row>
    <row r="1332" spans="9:22" x14ac:dyDescent="0.25">
      <c r="I1332" s="50"/>
      <c r="J1332" s="50"/>
      <c r="K1332" s="50"/>
      <c r="U1332" s="84"/>
      <c r="V1332" s="84"/>
    </row>
    <row r="1333" spans="9:22" x14ac:dyDescent="0.25">
      <c r="I1333" s="50"/>
      <c r="J1333" s="50"/>
      <c r="K1333" s="50"/>
      <c r="U1333" s="84"/>
      <c r="V1333" s="84"/>
    </row>
    <row r="1334" spans="9:22" x14ac:dyDescent="0.25">
      <c r="I1334" s="50"/>
      <c r="J1334" s="50"/>
      <c r="K1334" s="50"/>
      <c r="U1334" s="84"/>
      <c r="V1334" s="84"/>
    </row>
    <row r="1335" spans="9:22" x14ac:dyDescent="0.25">
      <c r="I1335" s="50"/>
      <c r="J1335" s="50"/>
      <c r="K1335" s="50"/>
      <c r="U1335" s="84"/>
      <c r="V1335" s="84"/>
    </row>
    <row r="1336" spans="9:22" x14ac:dyDescent="0.25">
      <c r="I1336" s="50"/>
      <c r="J1336" s="50"/>
      <c r="K1336" s="50"/>
      <c r="U1336" s="84"/>
      <c r="V1336" s="84"/>
    </row>
    <row r="1337" spans="9:22" x14ac:dyDescent="0.25">
      <c r="I1337" s="50"/>
      <c r="J1337" s="50"/>
      <c r="K1337" s="50"/>
      <c r="U1337" s="84"/>
      <c r="V1337" s="84"/>
    </row>
    <row r="1338" spans="9:22" x14ac:dyDescent="0.25">
      <c r="I1338" s="50"/>
      <c r="J1338" s="50"/>
      <c r="K1338" s="50"/>
      <c r="U1338" s="84"/>
      <c r="V1338" s="84"/>
    </row>
    <row r="1339" spans="9:22" x14ac:dyDescent="0.25">
      <c r="I1339" s="50"/>
      <c r="J1339" s="50"/>
      <c r="K1339" s="50"/>
      <c r="U1339" s="84"/>
      <c r="V1339" s="84"/>
    </row>
    <row r="1340" spans="9:22" x14ac:dyDescent="0.25">
      <c r="I1340" s="50"/>
      <c r="J1340" s="50"/>
      <c r="K1340" s="50"/>
      <c r="U1340" s="84"/>
      <c r="V1340" s="84"/>
    </row>
    <row r="1341" spans="9:22" x14ac:dyDescent="0.25">
      <c r="I1341" s="50"/>
      <c r="J1341" s="50"/>
      <c r="K1341" s="50"/>
      <c r="U1341" s="84"/>
      <c r="V1341" s="84"/>
    </row>
    <row r="1342" spans="9:22" x14ac:dyDescent="0.25">
      <c r="I1342" s="50"/>
      <c r="J1342" s="50"/>
      <c r="K1342" s="50"/>
      <c r="U1342" s="84"/>
      <c r="V1342" s="84"/>
    </row>
    <row r="1343" spans="9:22" x14ac:dyDescent="0.25">
      <c r="I1343" s="50"/>
      <c r="J1343" s="50"/>
      <c r="K1343" s="50"/>
      <c r="U1343" s="84"/>
      <c r="V1343" s="84"/>
    </row>
    <row r="1344" spans="9:22" x14ac:dyDescent="0.25">
      <c r="I1344" s="50"/>
      <c r="J1344" s="50"/>
      <c r="K1344" s="50"/>
      <c r="U1344" s="84"/>
      <c r="V1344" s="84"/>
    </row>
    <row r="1345" spans="9:22" x14ac:dyDescent="0.25">
      <c r="I1345" s="50"/>
      <c r="J1345" s="50"/>
      <c r="K1345" s="50"/>
      <c r="U1345" s="84"/>
      <c r="V1345" s="84"/>
    </row>
    <row r="1346" spans="9:22" x14ac:dyDescent="0.25">
      <c r="I1346" s="50"/>
      <c r="J1346" s="50"/>
      <c r="K1346" s="50"/>
      <c r="U1346" s="84"/>
      <c r="V1346" s="84"/>
    </row>
    <row r="1347" spans="9:22" x14ac:dyDescent="0.25">
      <c r="I1347" s="50"/>
      <c r="J1347" s="50"/>
      <c r="K1347" s="50"/>
      <c r="U1347" s="84"/>
      <c r="V1347" s="84"/>
    </row>
    <row r="1348" spans="9:22" x14ac:dyDescent="0.25">
      <c r="I1348" s="50"/>
      <c r="J1348" s="50"/>
      <c r="K1348" s="50"/>
      <c r="U1348" s="84"/>
      <c r="V1348" s="84"/>
    </row>
    <row r="1349" spans="9:22" x14ac:dyDescent="0.25">
      <c r="I1349" s="50"/>
      <c r="J1349" s="50"/>
      <c r="K1349" s="50"/>
      <c r="U1349" s="84"/>
      <c r="V1349" s="84"/>
    </row>
    <row r="1350" spans="9:22" x14ac:dyDescent="0.25">
      <c r="I1350" s="50"/>
      <c r="J1350" s="50"/>
      <c r="K1350" s="50"/>
      <c r="U1350" s="84"/>
      <c r="V1350" s="84"/>
    </row>
    <row r="1351" spans="9:22" x14ac:dyDescent="0.25">
      <c r="I1351" s="50"/>
      <c r="J1351" s="50"/>
      <c r="K1351" s="50"/>
      <c r="U1351" s="84"/>
      <c r="V1351" s="84"/>
    </row>
    <row r="1352" spans="9:22" x14ac:dyDescent="0.25">
      <c r="I1352" s="50"/>
      <c r="J1352" s="50"/>
      <c r="K1352" s="50"/>
      <c r="U1352" s="84"/>
      <c r="V1352" s="84"/>
    </row>
    <row r="1353" spans="9:22" x14ac:dyDescent="0.25">
      <c r="I1353" s="50"/>
      <c r="J1353" s="50"/>
      <c r="K1353" s="50"/>
      <c r="U1353" s="84"/>
      <c r="V1353" s="84"/>
    </row>
    <row r="1354" spans="9:22" x14ac:dyDescent="0.25">
      <c r="I1354" s="50"/>
      <c r="J1354" s="50"/>
      <c r="K1354" s="50"/>
      <c r="U1354" s="84"/>
      <c r="V1354" s="84"/>
    </row>
    <row r="1355" spans="9:22" x14ac:dyDescent="0.25">
      <c r="I1355" s="50"/>
      <c r="J1355" s="50"/>
      <c r="K1355" s="50"/>
      <c r="U1355" s="84"/>
      <c r="V1355" s="84"/>
    </row>
    <row r="1356" spans="9:22" x14ac:dyDescent="0.25">
      <c r="I1356" s="50"/>
      <c r="J1356" s="50"/>
      <c r="K1356" s="50"/>
      <c r="U1356" s="84"/>
      <c r="V1356" s="84"/>
    </row>
    <row r="1357" spans="9:22" x14ac:dyDescent="0.25">
      <c r="I1357" s="50"/>
      <c r="J1357" s="50"/>
      <c r="K1357" s="50"/>
      <c r="U1357" s="84"/>
      <c r="V1357" s="84"/>
    </row>
    <row r="1358" spans="9:22" x14ac:dyDescent="0.25">
      <c r="I1358" s="50"/>
      <c r="J1358" s="50"/>
      <c r="K1358" s="50"/>
      <c r="U1358" s="84"/>
      <c r="V1358" s="84"/>
    </row>
    <row r="1359" spans="9:22" x14ac:dyDescent="0.25">
      <c r="I1359" s="50"/>
      <c r="J1359" s="50"/>
      <c r="K1359" s="50"/>
      <c r="U1359" s="84"/>
      <c r="V1359" s="84"/>
    </row>
    <row r="1360" spans="9:22" x14ac:dyDescent="0.25">
      <c r="I1360" s="50"/>
      <c r="J1360" s="50"/>
      <c r="K1360" s="50"/>
      <c r="U1360" s="84"/>
      <c r="V1360" s="84"/>
    </row>
    <row r="1361" spans="9:22" x14ac:dyDescent="0.25">
      <c r="I1361" s="50"/>
      <c r="J1361" s="50"/>
      <c r="K1361" s="50"/>
      <c r="U1361" s="84"/>
      <c r="V1361" s="84"/>
    </row>
    <row r="1362" spans="9:22" x14ac:dyDescent="0.25">
      <c r="I1362" s="50"/>
      <c r="J1362" s="50"/>
      <c r="K1362" s="50"/>
      <c r="U1362" s="84"/>
      <c r="V1362" s="84"/>
    </row>
    <row r="1363" spans="9:22" x14ac:dyDescent="0.25">
      <c r="I1363" s="50"/>
      <c r="J1363" s="50"/>
      <c r="K1363" s="50"/>
      <c r="U1363" s="84"/>
      <c r="V1363" s="84"/>
    </row>
    <row r="1364" spans="9:22" x14ac:dyDescent="0.25">
      <c r="I1364" s="50"/>
      <c r="J1364" s="50"/>
      <c r="K1364" s="50"/>
      <c r="U1364" s="84"/>
      <c r="V1364" s="84"/>
    </row>
    <row r="1365" spans="9:22" x14ac:dyDescent="0.25">
      <c r="I1365" s="50"/>
      <c r="J1365" s="50"/>
      <c r="K1365" s="50"/>
      <c r="U1365" s="84"/>
      <c r="V1365" s="84"/>
    </row>
    <row r="1366" spans="9:22" x14ac:dyDescent="0.25">
      <c r="I1366" s="50"/>
      <c r="J1366" s="50"/>
      <c r="K1366" s="50"/>
      <c r="U1366" s="84"/>
      <c r="V1366" s="84"/>
    </row>
    <row r="1367" spans="9:22" x14ac:dyDescent="0.25">
      <c r="I1367" s="50"/>
      <c r="J1367" s="50"/>
      <c r="K1367" s="50"/>
      <c r="U1367" s="84"/>
      <c r="V1367" s="84"/>
    </row>
    <row r="1368" spans="9:22" x14ac:dyDescent="0.25">
      <c r="I1368" s="50"/>
      <c r="J1368" s="50"/>
      <c r="K1368" s="50"/>
      <c r="U1368" s="84"/>
      <c r="V1368" s="84"/>
    </row>
    <row r="1369" spans="9:22" x14ac:dyDescent="0.25">
      <c r="I1369" s="50"/>
      <c r="J1369" s="50"/>
      <c r="K1369" s="50"/>
      <c r="U1369" s="84"/>
      <c r="V1369" s="84"/>
    </row>
    <row r="1370" spans="9:22" x14ac:dyDescent="0.25">
      <c r="I1370" s="50"/>
      <c r="J1370" s="50"/>
      <c r="K1370" s="50"/>
      <c r="U1370" s="84"/>
      <c r="V1370" s="84"/>
    </row>
    <row r="1371" spans="9:22" x14ac:dyDescent="0.25">
      <c r="I1371" s="50"/>
      <c r="J1371" s="50"/>
      <c r="K1371" s="50"/>
      <c r="U1371" s="84"/>
      <c r="V1371" s="84"/>
    </row>
    <row r="1372" spans="9:22" x14ac:dyDescent="0.25">
      <c r="I1372" s="50"/>
      <c r="J1372" s="50"/>
      <c r="K1372" s="50"/>
      <c r="U1372" s="84"/>
      <c r="V1372" s="84"/>
    </row>
    <row r="1373" spans="9:22" x14ac:dyDescent="0.25">
      <c r="I1373" s="50"/>
      <c r="J1373" s="50"/>
      <c r="K1373" s="50"/>
      <c r="U1373" s="84"/>
      <c r="V1373" s="84"/>
    </row>
    <row r="1374" spans="9:22" x14ac:dyDescent="0.25">
      <c r="I1374" s="50"/>
      <c r="J1374" s="50"/>
      <c r="K1374" s="50"/>
      <c r="U1374" s="84"/>
      <c r="V1374" s="84"/>
    </row>
    <row r="1375" spans="9:22" x14ac:dyDescent="0.25">
      <c r="I1375" s="50"/>
      <c r="J1375" s="50"/>
      <c r="K1375" s="50"/>
      <c r="U1375" s="84"/>
      <c r="V1375" s="84"/>
    </row>
    <row r="1376" spans="9:22" x14ac:dyDescent="0.25">
      <c r="I1376" s="50"/>
      <c r="J1376" s="50"/>
      <c r="K1376" s="50"/>
      <c r="U1376" s="84"/>
      <c r="V1376" s="84"/>
    </row>
    <row r="1377" spans="9:22" x14ac:dyDescent="0.25">
      <c r="I1377" s="50"/>
      <c r="J1377" s="50"/>
      <c r="K1377" s="50"/>
      <c r="U1377" s="84"/>
      <c r="V1377" s="84"/>
    </row>
    <row r="1378" spans="9:22" x14ac:dyDescent="0.25">
      <c r="I1378" s="50"/>
      <c r="J1378" s="50"/>
      <c r="K1378" s="50"/>
      <c r="U1378" s="84"/>
      <c r="V1378" s="84"/>
    </row>
    <row r="1379" spans="9:22" x14ac:dyDescent="0.25">
      <c r="I1379" s="50"/>
      <c r="J1379" s="50"/>
      <c r="K1379" s="50"/>
      <c r="U1379" s="84"/>
      <c r="V1379" s="84"/>
    </row>
    <row r="1380" spans="9:22" x14ac:dyDescent="0.25">
      <c r="I1380" s="50"/>
      <c r="J1380" s="50"/>
      <c r="K1380" s="50"/>
      <c r="U1380" s="84"/>
      <c r="V1380" s="84"/>
    </row>
    <row r="1381" spans="9:22" x14ac:dyDescent="0.25">
      <c r="I1381" s="50"/>
      <c r="J1381" s="50"/>
      <c r="K1381" s="50"/>
      <c r="U1381" s="84"/>
      <c r="V1381" s="84"/>
    </row>
    <row r="1382" spans="9:22" x14ac:dyDescent="0.25">
      <c r="I1382" s="50"/>
      <c r="J1382" s="50"/>
      <c r="K1382" s="50"/>
      <c r="U1382" s="84"/>
      <c r="V1382" s="84"/>
    </row>
    <row r="1383" spans="9:22" x14ac:dyDescent="0.25">
      <c r="I1383" s="50"/>
      <c r="J1383" s="50"/>
      <c r="K1383" s="50"/>
      <c r="U1383" s="84"/>
      <c r="V1383" s="84"/>
    </row>
    <row r="1384" spans="9:22" x14ac:dyDescent="0.25">
      <c r="I1384" s="50"/>
      <c r="J1384" s="50"/>
      <c r="K1384" s="50"/>
      <c r="U1384" s="84"/>
      <c r="V1384" s="84"/>
    </row>
    <row r="1385" spans="9:22" x14ac:dyDescent="0.25">
      <c r="I1385" s="50"/>
      <c r="J1385" s="50"/>
      <c r="K1385" s="50"/>
      <c r="U1385" s="84"/>
      <c r="V1385" s="84"/>
    </row>
    <row r="1386" spans="9:22" x14ac:dyDescent="0.25">
      <c r="I1386" s="50"/>
      <c r="J1386" s="50"/>
      <c r="K1386" s="50"/>
      <c r="U1386" s="84"/>
      <c r="V1386" s="84"/>
    </row>
    <row r="1387" spans="9:22" x14ac:dyDescent="0.25">
      <c r="I1387" s="50"/>
      <c r="J1387" s="50"/>
      <c r="K1387" s="50"/>
      <c r="U1387" s="84"/>
      <c r="V1387" s="84"/>
    </row>
    <row r="1388" spans="9:22" x14ac:dyDescent="0.25">
      <c r="I1388" s="50"/>
      <c r="J1388" s="50"/>
      <c r="K1388" s="50"/>
      <c r="U1388" s="84"/>
      <c r="V1388" s="84"/>
    </row>
    <row r="1389" spans="9:22" x14ac:dyDescent="0.25">
      <c r="I1389" s="50"/>
      <c r="J1389" s="50"/>
      <c r="K1389" s="50"/>
      <c r="U1389" s="84"/>
      <c r="V1389" s="84"/>
    </row>
    <row r="1390" spans="9:22" x14ac:dyDescent="0.25">
      <c r="I1390" s="50"/>
      <c r="J1390" s="50"/>
      <c r="K1390" s="50"/>
      <c r="U1390" s="84"/>
      <c r="V1390" s="84"/>
    </row>
    <row r="1391" spans="9:22" x14ac:dyDescent="0.25">
      <c r="I1391" s="50"/>
      <c r="J1391" s="50"/>
      <c r="K1391" s="50"/>
      <c r="U1391" s="84"/>
      <c r="V1391" s="84"/>
    </row>
    <row r="1392" spans="9:22" x14ac:dyDescent="0.25">
      <c r="I1392" s="50"/>
      <c r="J1392" s="50"/>
      <c r="K1392" s="50"/>
      <c r="U1392" s="84"/>
      <c r="V1392" s="84"/>
    </row>
    <row r="1393" spans="9:22" x14ac:dyDescent="0.25">
      <c r="I1393" s="50"/>
      <c r="J1393" s="50"/>
      <c r="K1393" s="50"/>
      <c r="U1393" s="84"/>
      <c r="V1393" s="84"/>
    </row>
    <row r="1394" spans="9:22" x14ac:dyDescent="0.25">
      <c r="I1394" s="50"/>
      <c r="J1394" s="50"/>
      <c r="K1394" s="50"/>
      <c r="U1394" s="84"/>
      <c r="V1394" s="84"/>
    </row>
    <row r="1395" spans="9:22" x14ac:dyDescent="0.25">
      <c r="I1395" s="50"/>
      <c r="J1395" s="50"/>
      <c r="K1395" s="50"/>
      <c r="U1395" s="84"/>
      <c r="V1395" s="84"/>
    </row>
    <row r="1396" spans="9:22" x14ac:dyDescent="0.25">
      <c r="I1396" s="50"/>
      <c r="J1396" s="50"/>
      <c r="K1396" s="50"/>
      <c r="U1396" s="84"/>
      <c r="V1396" s="84"/>
    </row>
    <row r="1397" spans="9:22" x14ac:dyDescent="0.25">
      <c r="I1397" s="50"/>
      <c r="J1397" s="50"/>
      <c r="K1397" s="50"/>
      <c r="U1397" s="84"/>
      <c r="V1397" s="84"/>
    </row>
    <row r="1398" spans="9:22" x14ac:dyDescent="0.25">
      <c r="I1398" s="50"/>
      <c r="J1398" s="50"/>
      <c r="K1398" s="50"/>
      <c r="U1398" s="84"/>
      <c r="V1398" s="84"/>
    </row>
    <row r="1399" spans="9:22" x14ac:dyDescent="0.25">
      <c r="I1399" s="50"/>
      <c r="J1399" s="50"/>
      <c r="K1399" s="50"/>
      <c r="U1399" s="84"/>
      <c r="V1399" s="84"/>
    </row>
    <row r="1400" spans="9:22" x14ac:dyDescent="0.25">
      <c r="I1400" s="50"/>
      <c r="J1400" s="50"/>
      <c r="K1400" s="50"/>
      <c r="U1400" s="84"/>
      <c r="V1400" s="84"/>
    </row>
    <row r="1401" spans="9:22" x14ac:dyDescent="0.25">
      <c r="I1401" s="50"/>
      <c r="J1401" s="50"/>
      <c r="K1401" s="50"/>
      <c r="U1401" s="84"/>
      <c r="V1401" s="84"/>
    </row>
    <row r="1402" spans="9:22" x14ac:dyDescent="0.25">
      <c r="I1402" s="50"/>
      <c r="J1402" s="50"/>
      <c r="K1402" s="50"/>
      <c r="U1402" s="84"/>
      <c r="V1402" s="84"/>
    </row>
    <row r="1403" spans="9:22" x14ac:dyDescent="0.25">
      <c r="I1403" s="50"/>
      <c r="J1403" s="50"/>
      <c r="K1403" s="50"/>
      <c r="U1403" s="84"/>
      <c r="V1403" s="84"/>
    </row>
    <row r="1404" spans="9:22" x14ac:dyDescent="0.25">
      <c r="I1404" s="50"/>
      <c r="J1404" s="50"/>
      <c r="K1404" s="50"/>
      <c r="U1404" s="84"/>
      <c r="V1404" s="84"/>
    </row>
    <row r="1405" spans="9:22" x14ac:dyDescent="0.25">
      <c r="I1405" s="50"/>
      <c r="J1405" s="50"/>
      <c r="K1405" s="50"/>
      <c r="U1405" s="84"/>
      <c r="V1405" s="84"/>
    </row>
    <row r="1406" spans="9:22" x14ac:dyDescent="0.25">
      <c r="I1406" s="50"/>
      <c r="J1406" s="50"/>
      <c r="K1406" s="50"/>
      <c r="U1406" s="84"/>
      <c r="V1406" s="84"/>
    </row>
    <row r="1407" spans="9:22" x14ac:dyDescent="0.25">
      <c r="I1407" s="50"/>
      <c r="J1407" s="50"/>
      <c r="K1407" s="50"/>
      <c r="U1407" s="84"/>
      <c r="V1407" s="84"/>
    </row>
    <row r="1408" spans="9:22" x14ac:dyDescent="0.25">
      <c r="I1408" s="50"/>
      <c r="J1408" s="50"/>
      <c r="K1408" s="50"/>
      <c r="U1408" s="84"/>
      <c r="V1408" s="84"/>
    </row>
    <row r="1409" spans="9:22" x14ac:dyDescent="0.25">
      <c r="I1409" s="50"/>
      <c r="J1409" s="50"/>
      <c r="K1409" s="50"/>
      <c r="U1409" s="84"/>
      <c r="V1409" s="84"/>
    </row>
    <row r="1410" spans="9:22" x14ac:dyDescent="0.25">
      <c r="I1410" s="50"/>
      <c r="J1410" s="50"/>
      <c r="K1410" s="50"/>
      <c r="U1410" s="84"/>
      <c r="V1410" s="84"/>
    </row>
    <row r="1411" spans="9:22" x14ac:dyDescent="0.25">
      <c r="I1411" s="50"/>
      <c r="J1411" s="50"/>
      <c r="K1411" s="50"/>
      <c r="U1411" s="84"/>
      <c r="V1411" s="84"/>
    </row>
    <row r="1412" spans="9:22" x14ac:dyDescent="0.25">
      <c r="I1412" s="50"/>
      <c r="J1412" s="50"/>
      <c r="K1412" s="50"/>
      <c r="U1412" s="84"/>
      <c r="V1412" s="84"/>
    </row>
    <row r="1413" spans="9:22" x14ac:dyDescent="0.25">
      <c r="I1413" s="50"/>
      <c r="J1413" s="50"/>
      <c r="K1413" s="50"/>
      <c r="U1413" s="84"/>
      <c r="V1413" s="84"/>
    </row>
    <row r="1414" spans="9:22" x14ac:dyDescent="0.25">
      <c r="I1414" s="50"/>
      <c r="J1414" s="50"/>
      <c r="K1414" s="50"/>
      <c r="U1414" s="84"/>
      <c r="V1414" s="84"/>
    </row>
    <row r="1415" spans="9:22" x14ac:dyDescent="0.25">
      <c r="I1415" s="50"/>
      <c r="J1415" s="50"/>
      <c r="K1415" s="50"/>
      <c r="U1415" s="84"/>
      <c r="V1415" s="84"/>
    </row>
    <row r="1416" spans="9:22" x14ac:dyDescent="0.25">
      <c r="I1416" s="50"/>
      <c r="J1416" s="50"/>
      <c r="K1416" s="50"/>
      <c r="U1416" s="84"/>
      <c r="V1416" s="84"/>
    </row>
    <row r="1417" spans="9:22" x14ac:dyDescent="0.25">
      <c r="I1417" s="50"/>
      <c r="J1417" s="50"/>
      <c r="K1417" s="50"/>
      <c r="U1417" s="84"/>
      <c r="V1417" s="84"/>
    </row>
    <row r="1418" spans="9:22" x14ac:dyDescent="0.25">
      <c r="I1418" s="50"/>
      <c r="J1418" s="50"/>
      <c r="K1418" s="50"/>
      <c r="U1418" s="84"/>
      <c r="V1418" s="84"/>
    </row>
    <row r="1419" spans="9:22" x14ac:dyDescent="0.25">
      <c r="I1419" s="50"/>
      <c r="J1419" s="50"/>
      <c r="K1419" s="50"/>
      <c r="U1419" s="84"/>
      <c r="V1419" s="84"/>
    </row>
    <row r="1420" spans="9:22" x14ac:dyDescent="0.25">
      <c r="I1420" s="50"/>
      <c r="J1420" s="50"/>
      <c r="K1420" s="50"/>
      <c r="U1420" s="84"/>
      <c r="V1420" s="84"/>
    </row>
    <row r="1421" spans="9:22" x14ac:dyDescent="0.25">
      <c r="I1421" s="50"/>
      <c r="J1421" s="50"/>
      <c r="K1421" s="50"/>
      <c r="U1421" s="84"/>
      <c r="V1421" s="84"/>
    </row>
    <row r="1422" spans="9:22" x14ac:dyDescent="0.25">
      <c r="I1422" s="50"/>
      <c r="J1422" s="50"/>
      <c r="K1422" s="50"/>
      <c r="U1422" s="84"/>
      <c r="V1422" s="84"/>
    </row>
    <row r="1423" spans="9:22" x14ac:dyDescent="0.25">
      <c r="I1423" s="50"/>
      <c r="J1423" s="50"/>
      <c r="K1423" s="50"/>
      <c r="U1423" s="84"/>
      <c r="V1423" s="84"/>
    </row>
    <row r="1424" spans="9:22" x14ac:dyDescent="0.25">
      <c r="I1424" s="50"/>
      <c r="J1424" s="50"/>
      <c r="K1424" s="50"/>
      <c r="U1424" s="84"/>
      <c r="V1424" s="84"/>
    </row>
    <row r="1425" spans="9:22" x14ac:dyDescent="0.25">
      <c r="I1425" s="50"/>
      <c r="J1425" s="50"/>
      <c r="K1425" s="50"/>
      <c r="U1425" s="84"/>
      <c r="V1425" s="84"/>
    </row>
    <row r="1426" spans="9:22" x14ac:dyDescent="0.25">
      <c r="I1426" s="50"/>
      <c r="J1426" s="50"/>
      <c r="K1426" s="50"/>
      <c r="U1426" s="84"/>
      <c r="V1426" s="84"/>
    </row>
    <row r="1427" spans="9:22" x14ac:dyDescent="0.25">
      <c r="I1427" s="50"/>
      <c r="J1427" s="50"/>
      <c r="K1427" s="50"/>
      <c r="U1427" s="84"/>
      <c r="V1427" s="84"/>
    </row>
    <row r="1428" spans="9:22" x14ac:dyDescent="0.25">
      <c r="I1428" s="50"/>
      <c r="J1428" s="50"/>
      <c r="K1428" s="50"/>
      <c r="U1428" s="84"/>
      <c r="V1428" s="84"/>
    </row>
    <row r="1429" spans="9:22" x14ac:dyDescent="0.25">
      <c r="I1429" s="50"/>
      <c r="J1429" s="50"/>
      <c r="K1429" s="50"/>
      <c r="U1429" s="84"/>
      <c r="V1429" s="84"/>
    </row>
    <row r="1430" spans="9:22" x14ac:dyDescent="0.25">
      <c r="I1430" s="50"/>
      <c r="J1430" s="50"/>
      <c r="K1430" s="50"/>
      <c r="U1430" s="84"/>
      <c r="V1430" s="84"/>
    </row>
    <row r="1431" spans="9:22" x14ac:dyDescent="0.25">
      <c r="I1431" s="50"/>
      <c r="J1431" s="50"/>
      <c r="K1431" s="50"/>
      <c r="U1431" s="84"/>
      <c r="V1431" s="84"/>
    </row>
    <row r="1432" spans="9:22" x14ac:dyDescent="0.25">
      <c r="I1432" s="50"/>
      <c r="J1432" s="50"/>
      <c r="K1432" s="50"/>
      <c r="U1432" s="84"/>
      <c r="V1432" s="84"/>
    </row>
    <row r="1433" spans="9:22" x14ac:dyDescent="0.25">
      <c r="I1433" s="50"/>
      <c r="J1433" s="50"/>
      <c r="K1433" s="50"/>
      <c r="U1433" s="84"/>
      <c r="V1433" s="84"/>
    </row>
    <row r="1434" spans="9:22" x14ac:dyDescent="0.25">
      <c r="I1434" s="50"/>
      <c r="J1434" s="50"/>
      <c r="K1434" s="50"/>
      <c r="U1434" s="84"/>
      <c r="V1434" s="84"/>
    </row>
    <row r="1435" spans="9:22" x14ac:dyDescent="0.25">
      <c r="I1435" s="50"/>
      <c r="J1435" s="50"/>
      <c r="K1435" s="50"/>
      <c r="U1435" s="84"/>
      <c r="V1435" s="84"/>
    </row>
    <row r="1436" spans="9:22" x14ac:dyDescent="0.25">
      <c r="I1436" s="50"/>
      <c r="J1436" s="50"/>
      <c r="K1436" s="50"/>
      <c r="U1436" s="84"/>
      <c r="V1436" s="84"/>
    </row>
    <row r="1437" spans="9:22" x14ac:dyDescent="0.25">
      <c r="I1437" s="50"/>
      <c r="J1437" s="50"/>
      <c r="K1437" s="50"/>
      <c r="U1437" s="84"/>
      <c r="V1437" s="84"/>
    </row>
    <row r="1438" spans="9:22" x14ac:dyDescent="0.25">
      <c r="I1438" s="50"/>
      <c r="J1438" s="50"/>
      <c r="K1438" s="50"/>
      <c r="U1438" s="84"/>
      <c r="V1438" s="84"/>
    </row>
    <row r="1439" spans="9:22" x14ac:dyDescent="0.25">
      <c r="I1439" s="50"/>
      <c r="J1439" s="50"/>
      <c r="K1439" s="50"/>
      <c r="U1439" s="84"/>
      <c r="V1439" s="84"/>
    </row>
    <row r="1440" spans="9:22" x14ac:dyDescent="0.25">
      <c r="I1440" s="50"/>
      <c r="J1440" s="50"/>
      <c r="K1440" s="50"/>
      <c r="U1440" s="84"/>
      <c r="V1440" s="84"/>
    </row>
    <row r="1441" spans="9:22" x14ac:dyDescent="0.25">
      <c r="I1441" s="50"/>
      <c r="J1441" s="50"/>
      <c r="K1441" s="50"/>
      <c r="U1441" s="84"/>
      <c r="V1441" s="84"/>
    </row>
    <row r="1442" spans="9:22" x14ac:dyDescent="0.25">
      <c r="I1442" s="50"/>
      <c r="J1442" s="50"/>
      <c r="K1442" s="50"/>
      <c r="U1442" s="84"/>
      <c r="V1442" s="84"/>
    </row>
    <row r="1443" spans="9:22" x14ac:dyDescent="0.25">
      <c r="I1443" s="50"/>
      <c r="J1443" s="50"/>
      <c r="K1443" s="50"/>
      <c r="U1443" s="84"/>
      <c r="V1443" s="84"/>
    </row>
    <row r="1444" spans="9:22" x14ac:dyDescent="0.25">
      <c r="I1444" s="50"/>
      <c r="J1444" s="50"/>
      <c r="K1444" s="50"/>
      <c r="U1444" s="84"/>
      <c r="V1444" s="84"/>
    </row>
    <row r="1445" spans="9:22" x14ac:dyDescent="0.25">
      <c r="I1445" s="50"/>
      <c r="J1445" s="50"/>
      <c r="K1445" s="50"/>
      <c r="U1445" s="84"/>
      <c r="V1445" s="84"/>
    </row>
    <row r="1446" spans="9:22" x14ac:dyDescent="0.25">
      <c r="I1446" s="50"/>
      <c r="J1446" s="50"/>
      <c r="K1446" s="50"/>
      <c r="U1446" s="84"/>
      <c r="V1446" s="84"/>
    </row>
    <row r="1447" spans="9:22" x14ac:dyDescent="0.25">
      <c r="I1447" s="50"/>
      <c r="J1447" s="50"/>
      <c r="K1447" s="50"/>
      <c r="U1447" s="84"/>
      <c r="V1447" s="84"/>
    </row>
    <row r="1448" spans="9:22" x14ac:dyDescent="0.25">
      <c r="I1448" s="50"/>
      <c r="J1448" s="50"/>
      <c r="K1448" s="50"/>
      <c r="U1448" s="84"/>
      <c r="V1448" s="84"/>
    </row>
    <row r="1449" spans="9:22" x14ac:dyDescent="0.25">
      <c r="I1449" s="50"/>
      <c r="J1449" s="50"/>
      <c r="K1449" s="50"/>
      <c r="U1449" s="84"/>
      <c r="V1449" s="84"/>
    </row>
    <row r="1450" spans="9:22" x14ac:dyDescent="0.25">
      <c r="I1450" s="50"/>
      <c r="J1450" s="50"/>
      <c r="K1450" s="50"/>
      <c r="U1450" s="84"/>
      <c r="V1450" s="84"/>
    </row>
    <row r="1451" spans="9:22" x14ac:dyDescent="0.25">
      <c r="I1451" s="50"/>
      <c r="J1451" s="50"/>
      <c r="K1451" s="50"/>
      <c r="U1451" s="84"/>
      <c r="V1451" s="84"/>
    </row>
    <row r="1452" spans="9:22" x14ac:dyDescent="0.25">
      <c r="I1452" s="50"/>
      <c r="J1452" s="50"/>
      <c r="K1452" s="50"/>
      <c r="U1452" s="84"/>
      <c r="V1452" s="84"/>
    </row>
    <row r="1453" spans="9:22" x14ac:dyDescent="0.25">
      <c r="I1453" s="50"/>
      <c r="J1453" s="50"/>
      <c r="K1453" s="50"/>
      <c r="U1453" s="84"/>
      <c r="V1453" s="84"/>
    </row>
    <row r="1454" spans="9:22" x14ac:dyDescent="0.25">
      <c r="I1454" s="50"/>
      <c r="J1454" s="50"/>
      <c r="K1454" s="50"/>
      <c r="U1454" s="84"/>
      <c r="V1454" s="84"/>
    </row>
    <row r="1455" spans="9:22" x14ac:dyDescent="0.25">
      <c r="I1455" s="50"/>
      <c r="J1455" s="50"/>
      <c r="K1455" s="50"/>
      <c r="U1455" s="84"/>
      <c r="V1455" s="84"/>
    </row>
    <row r="1456" spans="9:22" x14ac:dyDescent="0.25">
      <c r="I1456" s="50"/>
      <c r="J1456" s="50"/>
      <c r="K1456" s="50"/>
      <c r="U1456" s="84"/>
      <c r="V1456" s="84"/>
    </row>
    <row r="1457" spans="9:22" x14ac:dyDescent="0.25">
      <c r="I1457" s="50"/>
      <c r="J1457" s="50"/>
      <c r="K1457" s="50"/>
      <c r="U1457" s="84"/>
      <c r="V1457" s="84"/>
    </row>
    <row r="1458" spans="9:22" x14ac:dyDescent="0.25">
      <c r="I1458" s="50"/>
      <c r="J1458" s="50"/>
      <c r="K1458" s="50"/>
      <c r="U1458" s="84"/>
      <c r="V1458" s="84"/>
    </row>
    <row r="1459" spans="9:22" x14ac:dyDescent="0.25">
      <c r="I1459" s="50"/>
      <c r="J1459" s="50"/>
      <c r="K1459" s="50"/>
      <c r="U1459" s="84"/>
      <c r="V1459" s="84"/>
    </row>
    <row r="1460" spans="9:22" x14ac:dyDescent="0.25">
      <c r="I1460" s="50"/>
      <c r="J1460" s="50"/>
      <c r="K1460" s="50"/>
      <c r="U1460" s="84"/>
      <c r="V1460" s="84"/>
    </row>
    <row r="1461" spans="9:22" x14ac:dyDescent="0.25">
      <c r="I1461" s="50"/>
      <c r="J1461" s="50"/>
      <c r="K1461" s="50"/>
      <c r="U1461" s="84"/>
      <c r="V1461" s="84"/>
    </row>
    <row r="1462" spans="9:22" x14ac:dyDescent="0.25">
      <c r="I1462" s="50"/>
      <c r="J1462" s="50"/>
      <c r="K1462" s="50"/>
      <c r="U1462" s="84"/>
      <c r="V1462" s="84"/>
    </row>
    <row r="1463" spans="9:22" x14ac:dyDescent="0.25">
      <c r="I1463" s="50"/>
      <c r="J1463" s="50"/>
      <c r="K1463" s="50"/>
      <c r="U1463" s="84"/>
      <c r="V1463" s="84"/>
    </row>
    <row r="1464" spans="9:22" x14ac:dyDescent="0.25">
      <c r="I1464" s="50"/>
      <c r="J1464" s="50"/>
      <c r="K1464" s="50"/>
      <c r="U1464" s="84"/>
      <c r="V1464" s="84"/>
    </row>
    <row r="1465" spans="9:22" x14ac:dyDescent="0.25">
      <c r="I1465" s="50"/>
      <c r="J1465" s="50"/>
      <c r="K1465" s="50"/>
      <c r="U1465" s="84"/>
      <c r="V1465" s="84"/>
    </row>
    <row r="1466" spans="9:22" x14ac:dyDescent="0.25">
      <c r="I1466" s="50"/>
      <c r="J1466" s="50"/>
      <c r="K1466" s="50"/>
      <c r="U1466" s="84"/>
      <c r="V1466" s="84"/>
    </row>
    <row r="1467" spans="9:22" x14ac:dyDescent="0.25">
      <c r="I1467" s="50"/>
      <c r="J1467" s="50"/>
      <c r="K1467" s="50"/>
      <c r="U1467" s="84"/>
      <c r="V1467" s="84"/>
    </row>
    <row r="1468" spans="9:22" x14ac:dyDescent="0.25">
      <c r="I1468" s="50"/>
      <c r="J1468" s="50"/>
      <c r="K1468" s="50"/>
      <c r="U1468" s="84"/>
      <c r="V1468" s="84"/>
    </row>
    <row r="1469" spans="9:22" x14ac:dyDescent="0.25">
      <c r="I1469" s="50"/>
      <c r="J1469" s="50"/>
      <c r="K1469" s="50"/>
      <c r="U1469" s="84"/>
      <c r="V1469" s="84"/>
    </row>
    <row r="1470" spans="9:22" x14ac:dyDescent="0.25">
      <c r="I1470" s="50"/>
      <c r="J1470" s="50"/>
      <c r="K1470" s="50"/>
      <c r="U1470" s="84"/>
      <c r="V1470" s="84"/>
    </row>
    <row r="1471" spans="9:22" x14ac:dyDescent="0.25">
      <c r="I1471" s="50"/>
      <c r="J1471" s="50"/>
      <c r="K1471" s="50"/>
      <c r="U1471" s="84"/>
      <c r="V1471" s="84"/>
    </row>
    <row r="1472" spans="9:22" x14ac:dyDescent="0.25">
      <c r="I1472" s="50"/>
      <c r="J1472" s="50"/>
      <c r="K1472" s="50"/>
      <c r="U1472" s="84"/>
      <c r="V1472" s="84"/>
    </row>
    <row r="1473" spans="9:22" x14ac:dyDescent="0.25">
      <c r="I1473" s="50"/>
      <c r="J1473" s="50"/>
      <c r="K1473" s="50"/>
      <c r="U1473" s="84"/>
      <c r="V1473" s="84"/>
    </row>
    <row r="1474" spans="9:22" x14ac:dyDescent="0.25">
      <c r="I1474" s="50"/>
      <c r="J1474" s="50"/>
      <c r="K1474" s="50"/>
      <c r="U1474" s="84"/>
      <c r="V1474" s="84"/>
    </row>
    <row r="1475" spans="9:22" x14ac:dyDescent="0.25">
      <c r="I1475" s="50"/>
      <c r="J1475" s="50"/>
      <c r="K1475" s="50"/>
      <c r="U1475" s="84"/>
      <c r="V1475" s="84"/>
    </row>
    <row r="1476" spans="9:22" x14ac:dyDescent="0.25">
      <c r="I1476" s="50"/>
      <c r="J1476" s="50"/>
      <c r="K1476" s="50"/>
      <c r="U1476" s="84"/>
      <c r="V1476" s="84"/>
    </row>
    <row r="1477" spans="9:22" x14ac:dyDescent="0.25">
      <c r="I1477" s="50"/>
      <c r="J1477" s="50"/>
      <c r="K1477" s="50"/>
      <c r="U1477" s="84"/>
      <c r="V1477" s="84"/>
    </row>
    <row r="1478" spans="9:22" x14ac:dyDescent="0.25">
      <c r="I1478" s="50"/>
      <c r="J1478" s="50"/>
      <c r="K1478" s="50"/>
      <c r="U1478" s="84"/>
      <c r="V1478" s="84"/>
    </row>
    <row r="1479" spans="9:22" x14ac:dyDescent="0.25">
      <c r="I1479" s="50"/>
      <c r="J1479" s="50"/>
      <c r="K1479" s="50"/>
      <c r="U1479" s="84"/>
      <c r="V1479" s="84"/>
    </row>
    <row r="1480" spans="9:22" x14ac:dyDescent="0.25">
      <c r="I1480" s="50"/>
      <c r="J1480" s="50"/>
      <c r="K1480" s="50"/>
      <c r="U1480" s="84"/>
      <c r="V1480" s="84"/>
    </row>
    <row r="1481" spans="9:22" x14ac:dyDescent="0.25">
      <c r="I1481" s="50"/>
      <c r="J1481" s="50"/>
      <c r="K1481" s="50"/>
      <c r="U1481" s="84"/>
      <c r="V1481" s="84"/>
    </row>
    <row r="1482" spans="9:22" x14ac:dyDescent="0.25">
      <c r="I1482" s="50"/>
      <c r="J1482" s="50"/>
      <c r="K1482" s="50"/>
      <c r="U1482" s="84"/>
      <c r="V1482" s="84"/>
    </row>
    <row r="1483" spans="9:22" x14ac:dyDescent="0.25">
      <c r="I1483" s="50"/>
      <c r="J1483" s="50"/>
      <c r="K1483" s="50"/>
      <c r="U1483" s="84"/>
      <c r="V1483" s="84"/>
    </row>
    <row r="1484" spans="9:22" x14ac:dyDescent="0.25">
      <c r="I1484" s="50"/>
      <c r="J1484" s="50"/>
      <c r="K1484" s="50"/>
      <c r="U1484" s="84"/>
      <c r="V1484" s="84"/>
    </row>
    <row r="1485" spans="9:22" x14ac:dyDescent="0.25">
      <c r="I1485" s="50"/>
      <c r="J1485" s="50"/>
      <c r="K1485" s="50"/>
      <c r="U1485" s="84"/>
      <c r="V1485" s="84"/>
    </row>
    <row r="1486" spans="9:22" x14ac:dyDescent="0.25">
      <c r="I1486" s="50"/>
      <c r="J1486" s="50"/>
      <c r="K1486" s="50"/>
      <c r="U1486" s="84"/>
      <c r="V1486" s="84"/>
    </row>
    <row r="1487" spans="9:22" x14ac:dyDescent="0.25">
      <c r="I1487" s="50"/>
      <c r="J1487" s="50"/>
      <c r="K1487" s="50"/>
      <c r="U1487" s="84"/>
      <c r="V1487" s="84"/>
    </row>
    <row r="1488" spans="9:22" x14ac:dyDescent="0.25">
      <c r="I1488" s="50"/>
      <c r="J1488" s="50"/>
      <c r="K1488" s="50"/>
      <c r="U1488" s="84"/>
      <c r="V1488" s="84"/>
    </row>
    <row r="1489" spans="9:22" x14ac:dyDescent="0.25">
      <c r="I1489" s="50"/>
      <c r="J1489" s="50"/>
      <c r="K1489" s="50"/>
      <c r="U1489" s="84"/>
      <c r="V1489" s="84"/>
    </row>
    <row r="1490" spans="9:22" x14ac:dyDescent="0.25">
      <c r="I1490" s="50"/>
      <c r="J1490" s="50"/>
      <c r="K1490" s="50"/>
      <c r="U1490" s="84"/>
      <c r="V1490" s="84"/>
    </row>
    <row r="1491" spans="9:22" x14ac:dyDescent="0.25">
      <c r="I1491" s="50"/>
      <c r="J1491" s="50"/>
      <c r="K1491" s="50"/>
      <c r="U1491" s="84"/>
      <c r="V1491" s="84"/>
    </row>
    <row r="1492" spans="9:22" x14ac:dyDescent="0.25">
      <c r="I1492" s="50"/>
      <c r="J1492" s="50"/>
      <c r="K1492" s="50"/>
      <c r="U1492" s="84"/>
      <c r="V1492" s="84"/>
    </row>
    <row r="1493" spans="9:22" x14ac:dyDescent="0.25">
      <c r="I1493" s="50"/>
      <c r="J1493" s="50"/>
      <c r="K1493" s="50"/>
      <c r="U1493" s="84"/>
      <c r="V1493" s="84"/>
    </row>
    <row r="1494" spans="9:22" x14ac:dyDescent="0.25">
      <c r="I1494" s="50"/>
      <c r="J1494" s="50"/>
      <c r="K1494" s="50"/>
      <c r="U1494" s="84"/>
      <c r="V1494" s="84"/>
    </row>
    <row r="1495" spans="9:22" x14ac:dyDescent="0.25">
      <c r="I1495" s="50"/>
      <c r="J1495" s="50"/>
      <c r="K1495" s="50"/>
      <c r="U1495" s="84"/>
      <c r="V1495" s="84"/>
    </row>
    <row r="1496" spans="9:22" x14ac:dyDescent="0.25">
      <c r="I1496" s="50"/>
      <c r="J1496" s="50"/>
      <c r="K1496" s="50"/>
      <c r="U1496" s="84"/>
      <c r="V1496" s="84"/>
    </row>
    <row r="1497" spans="9:22" x14ac:dyDescent="0.25">
      <c r="I1497" s="50"/>
      <c r="J1497" s="50"/>
      <c r="K1497" s="50"/>
      <c r="U1497" s="84"/>
      <c r="V1497" s="84"/>
    </row>
    <row r="1498" spans="9:22" x14ac:dyDescent="0.25">
      <c r="I1498" s="50"/>
      <c r="J1498" s="50"/>
      <c r="K1498" s="50"/>
      <c r="U1498" s="84"/>
      <c r="V1498" s="84"/>
    </row>
    <row r="1499" spans="9:22" x14ac:dyDescent="0.25">
      <c r="I1499" s="50"/>
      <c r="J1499" s="50"/>
      <c r="K1499" s="50"/>
      <c r="U1499" s="84"/>
      <c r="V1499" s="84"/>
    </row>
    <row r="1500" spans="9:22" x14ac:dyDescent="0.25">
      <c r="I1500" s="50"/>
      <c r="J1500" s="50"/>
      <c r="K1500" s="50"/>
      <c r="U1500" s="84"/>
      <c r="V1500" s="84"/>
    </row>
    <row r="1501" spans="9:22" x14ac:dyDescent="0.25">
      <c r="I1501" s="50"/>
      <c r="J1501" s="50"/>
      <c r="K1501" s="50"/>
      <c r="U1501" s="84"/>
      <c r="V1501" s="84"/>
    </row>
    <row r="1502" spans="9:22" x14ac:dyDescent="0.25">
      <c r="I1502" s="50"/>
      <c r="J1502" s="50"/>
      <c r="K1502" s="50"/>
      <c r="U1502" s="84"/>
      <c r="V1502" s="84"/>
    </row>
    <row r="1503" spans="9:22" x14ac:dyDescent="0.25">
      <c r="I1503" s="50"/>
      <c r="J1503" s="50"/>
      <c r="K1503" s="50"/>
      <c r="U1503" s="84"/>
      <c r="V1503" s="84"/>
    </row>
    <row r="1504" spans="9:22" x14ac:dyDescent="0.25">
      <c r="I1504" s="50"/>
      <c r="J1504" s="50"/>
      <c r="K1504" s="50"/>
      <c r="U1504" s="84"/>
      <c r="V1504" s="84"/>
    </row>
    <row r="1505" spans="9:22" x14ac:dyDescent="0.25">
      <c r="I1505" s="50"/>
      <c r="J1505" s="50"/>
      <c r="K1505" s="50"/>
      <c r="U1505" s="84"/>
      <c r="V1505" s="84"/>
    </row>
    <row r="1506" spans="9:22" x14ac:dyDescent="0.25">
      <c r="I1506" s="50"/>
      <c r="J1506" s="50"/>
      <c r="K1506" s="50"/>
      <c r="U1506" s="84"/>
      <c r="V1506" s="84"/>
    </row>
    <row r="1507" spans="9:22" x14ac:dyDescent="0.25">
      <c r="I1507" s="50"/>
      <c r="J1507" s="50"/>
      <c r="K1507" s="50"/>
      <c r="U1507" s="84"/>
      <c r="V1507" s="84"/>
    </row>
    <row r="1508" spans="9:22" x14ac:dyDescent="0.25">
      <c r="I1508" s="50"/>
      <c r="J1508" s="50"/>
      <c r="K1508" s="50"/>
      <c r="U1508" s="84"/>
      <c r="V1508" s="84"/>
    </row>
    <row r="1509" spans="9:22" x14ac:dyDescent="0.25">
      <c r="I1509" s="50"/>
      <c r="J1509" s="50"/>
      <c r="K1509" s="50"/>
      <c r="U1509" s="84"/>
      <c r="V1509" s="84"/>
    </row>
    <row r="1510" spans="9:22" x14ac:dyDescent="0.25">
      <c r="I1510" s="50"/>
      <c r="J1510" s="50"/>
      <c r="K1510" s="50"/>
      <c r="U1510" s="84"/>
      <c r="V1510" s="84"/>
    </row>
    <row r="1511" spans="9:22" x14ac:dyDescent="0.25">
      <c r="I1511" s="50"/>
      <c r="J1511" s="50"/>
      <c r="K1511" s="50"/>
      <c r="U1511" s="84"/>
      <c r="V1511" s="84"/>
    </row>
    <row r="1512" spans="9:22" x14ac:dyDescent="0.25">
      <c r="I1512" s="50"/>
      <c r="J1512" s="50"/>
      <c r="K1512" s="50"/>
      <c r="U1512" s="84"/>
      <c r="V1512" s="84"/>
    </row>
    <row r="1513" spans="9:22" x14ac:dyDescent="0.25">
      <c r="I1513" s="50"/>
      <c r="J1513" s="50"/>
      <c r="K1513" s="50"/>
      <c r="U1513" s="84"/>
      <c r="V1513" s="84"/>
    </row>
    <row r="1514" spans="9:22" x14ac:dyDescent="0.25">
      <c r="I1514" s="50"/>
      <c r="J1514" s="50"/>
      <c r="K1514" s="50"/>
      <c r="U1514" s="84"/>
      <c r="V1514" s="84"/>
    </row>
    <row r="1515" spans="9:22" x14ac:dyDescent="0.25">
      <c r="I1515" s="50"/>
      <c r="J1515" s="50"/>
      <c r="K1515" s="50"/>
      <c r="U1515" s="84"/>
      <c r="V1515" s="84"/>
    </row>
    <row r="1516" spans="9:22" x14ac:dyDescent="0.25">
      <c r="I1516" s="50"/>
      <c r="J1516" s="50"/>
      <c r="K1516" s="50"/>
      <c r="U1516" s="84"/>
      <c r="V1516" s="84"/>
    </row>
    <row r="1517" spans="9:22" x14ac:dyDescent="0.25">
      <c r="I1517" s="50"/>
      <c r="J1517" s="50"/>
      <c r="K1517" s="50"/>
      <c r="U1517" s="84"/>
      <c r="V1517" s="84"/>
    </row>
    <row r="1518" spans="9:22" x14ac:dyDescent="0.25">
      <c r="I1518" s="50"/>
      <c r="J1518" s="50"/>
      <c r="K1518" s="50"/>
      <c r="U1518" s="84"/>
      <c r="V1518" s="84"/>
    </row>
    <row r="1519" spans="9:22" x14ac:dyDescent="0.25">
      <c r="I1519" s="50"/>
      <c r="J1519" s="50"/>
      <c r="K1519" s="50"/>
      <c r="U1519" s="84"/>
      <c r="V1519" s="84"/>
    </row>
    <row r="1520" spans="9:22" x14ac:dyDescent="0.25">
      <c r="I1520" s="50"/>
      <c r="J1520" s="50"/>
      <c r="K1520" s="50"/>
      <c r="U1520" s="84"/>
      <c r="V1520" s="84"/>
    </row>
    <row r="1521" spans="9:22" x14ac:dyDescent="0.25">
      <c r="I1521" s="50"/>
      <c r="J1521" s="50"/>
      <c r="K1521" s="50"/>
      <c r="U1521" s="84"/>
      <c r="V1521" s="84"/>
    </row>
    <row r="1522" spans="9:22" x14ac:dyDescent="0.25">
      <c r="I1522" s="50"/>
      <c r="J1522" s="50"/>
      <c r="K1522" s="50"/>
      <c r="U1522" s="84"/>
      <c r="V1522" s="84"/>
    </row>
    <row r="1523" spans="9:22" x14ac:dyDescent="0.25">
      <c r="I1523" s="50"/>
      <c r="J1523" s="50"/>
      <c r="K1523" s="50"/>
      <c r="U1523" s="84"/>
      <c r="V1523" s="84"/>
    </row>
    <row r="1524" spans="9:22" x14ac:dyDescent="0.25">
      <c r="I1524" s="50"/>
      <c r="J1524" s="50"/>
      <c r="K1524" s="50"/>
      <c r="U1524" s="84"/>
      <c r="V1524" s="84"/>
    </row>
    <row r="1525" spans="9:22" x14ac:dyDescent="0.25">
      <c r="I1525" s="50"/>
      <c r="J1525" s="50"/>
      <c r="K1525" s="50"/>
      <c r="U1525" s="84"/>
      <c r="V1525" s="84"/>
    </row>
    <row r="1526" spans="9:22" x14ac:dyDescent="0.25">
      <c r="I1526" s="50"/>
      <c r="J1526" s="50"/>
      <c r="K1526" s="50"/>
      <c r="U1526" s="84"/>
      <c r="V1526" s="84"/>
    </row>
    <row r="1527" spans="9:22" x14ac:dyDescent="0.25">
      <c r="I1527" s="50"/>
      <c r="J1527" s="50"/>
      <c r="K1527" s="50"/>
      <c r="U1527" s="84"/>
      <c r="V1527" s="84"/>
    </row>
    <row r="1528" spans="9:22" x14ac:dyDescent="0.25">
      <c r="I1528" s="50"/>
      <c r="J1528" s="50"/>
      <c r="K1528" s="50"/>
      <c r="U1528" s="84"/>
      <c r="V1528" s="84"/>
    </row>
    <row r="1529" spans="9:22" x14ac:dyDescent="0.25">
      <c r="I1529" s="50"/>
      <c r="J1529" s="50"/>
      <c r="K1529" s="50"/>
      <c r="U1529" s="84"/>
      <c r="V1529" s="84"/>
    </row>
    <row r="1530" spans="9:22" x14ac:dyDescent="0.25">
      <c r="I1530" s="50"/>
      <c r="J1530" s="50"/>
      <c r="K1530" s="50"/>
      <c r="U1530" s="84"/>
      <c r="V1530" s="84"/>
    </row>
    <row r="1531" spans="9:22" x14ac:dyDescent="0.25">
      <c r="I1531" s="50"/>
      <c r="J1531" s="50"/>
      <c r="K1531" s="50"/>
      <c r="U1531" s="84"/>
      <c r="V1531" s="84"/>
    </row>
    <row r="1532" spans="9:22" x14ac:dyDescent="0.25">
      <c r="I1532" s="50"/>
      <c r="J1532" s="50"/>
      <c r="K1532" s="50"/>
      <c r="U1532" s="84"/>
      <c r="V1532" s="84"/>
    </row>
    <row r="1533" spans="9:22" x14ac:dyDescent="0.25">
      <c r="I1533" s="50"/>
      <c r="J1533" s="50"/>
      <c r="K1533" s="50"/>
      <c r="U1533" s="84"/>
      <c r="V1533" s="84"/>
    </row>
    <row r="1534" spans="9:22" x14ac:dyDescent="0.25">
      <c r="I1534" s="50"/>
      <c r="J1534" s="50"/>
      <c r="K1534" s="50"/>
      <c r="U1534" s="84"/>
      <c r="V1534" s="84"/>
    </row>
    <row r="1535" spans="9:22" x14ac:dyDescent="0.25">
      <c r="I1535" s="50"/>
      <c r="J1535" s="50"/>
      <c r="K1535" s="50"/>
      <c r="U1535" s="84"/>
      <c r="V1535" s="84"/>
    </row>
    <row r="1536" spans="9:22" x14ac:dyDescent="0.25">
      <c r="I1536" s="50"/>
      <c r="J1536" s="50"/>
      <c r="K1536" s="50"/>
      <c r="U1536" s="84"/>
      <c r="V1536" s="84"/>
    </row>
    <row r="1537" spans="9:22" x14ac:dyDescent="0.25">
      <c r="I1537" s="50"/>
      <c r="J1537" s="50"/>
      <c r="K1537" s="50"/>
      <c r="U1537" s="84"/>
      <c r="V1537" s="84"/>
    </row>
    <row r="1538" spans="9:22" x14ac:dyDescent="0.25">
      <c r="I1538" s="50"/>
      <c r="J1538" s="50"/>
      <c r="K1538" s="50"/>
      <c r="U1538" s="84"/>
      <c r="V1538" s="84"/>
    </row>
    <row r="1539" spans="9:22" x14ac:dyDescent="0.25">
      <c r="I1539" s="50"/>
      <c r="J1539" s="50"/>
      <c r="K1539" s="50"/>
      <c r="U1539" s="84"/>
      <c r="V1539" s="84"/>
    </row>
    <row r="1540" spans="9:22" x14ac:dyDescent="0.25">
      <c r="I1540" s="50"/>
      <c r="J1540" s="50"/>
      <c r="K1540" s="50"/>
      <c r="U1540" s="84"/>
      <c r="V1540" s="84"/>
    </row>
    <row r="1541" spans="9:22" x14ac:dyDescent="0.25">
      <c r="I1541" s="50"/>
      <c r="J1541" s="50"/>
      <c r="K1541" s="50"/>
      <c r="U1541" s="84"/>
      <c r="V1541" s="84"/>
    </row>
    <row r="1542" spans="9:22" x14ac:dyDescent="0.25">
      <c r="I1542" s="50"/>
      <c r="J1542" s="50"/>
      <c r="K1542" s="50"/>
      <c r="U1542" s="84"/>
      <c r="V1542" s="84"/>
    </row>
    <row r="1543" spans="9:22" x14ac:dyDescent="0.25">
      <c r="I1543" s="50"/>
      <c r="J1543" s="50"/>
      <c r="K1543" s="50"/>
      <c r="U1543" s="84"/>
      <c r="V1543" s="84"/>
    </row>
    <row r="1544" spans="9:22" x14ac:dyDescent="0.25">
      <c r="I1544" s="50"/>
      <c r="J1544" s="50"/>
      <c r="K1544" s="50"/>
      <c r="U1544" s="84"/>
      <c r="V1544" s="84"/>
    </row>
    <row r="1545" spans="9:22" x14ac:dyDescent="0.25">
      <c r="I1545" s="50"/>
      <c r="J1545" s="50"/>
      <c r="K1545" s="50"/>
      <c r="U1545" s="84"/>
      <c r="V1545" s="84"/>
    </row>
    <row r="1546" spans="9:22" x14ac:dyDescent="0.25">
      <c r="I1546" s="50"/>
      <c r="J1546" s="50"/>
      <c r="K1546" s="50"/>
      <c r="U1546" s="84"/>
      <c r="V1546" s="84"/>
    </row>
    <row r="1547" spans="9:22" x14ac:dyDescent="0.25">
      <c r="I1547" s="50"/>
      <c r="J1547" s="50"/>
      <c r="K1547" s="50"/>
      <c r="U1547" s="84"/>
      <c r="V1547" s="84"/>
    </row>
    <row r="1548" spans="9:22" x14ac:dyDescent="0.25">
      <c r="I1548" s="50"/>
      <c r="J1548" s="50"/>
      <c r="K1548" s="50"/>
      <c r="U1548" s="84"/>
      <c r="V1548" s="84"/>
    </row>
    <row r="1549" spans="9:22" x14ac:dyDescent="0.25">
      <c r="I1549" s="50"/>
      <c r="J1549" s="50"/>
      <c r="K1549" s="50"/>
      <c r="U1549" s="84"/>
      <c r="V1549" s="84"/>
    </row>
    <row r="1550" spans="9:22" x14ac:dyDescent="0.25">
      <c r="I1550" s="50"/>
      <c r="J1550" s="50"/>
      <c r="K1550" s="50"/>
      <c r="U1550" s="84"/>
      <c r="V1550" s="84"/>
    </row>
    <row r="1551" spans="9:22" x14ac:dyDescent="0.25">
      <c r="I1551" s="50"/>
      <c r="J1551" s="50"/>
      <c r="K1551" s="50"/>
      <c r="U1551" s="84"/>
      <c r="V1551" s="84"/>
    </row>
    <row r="1552" spans="9:22" x14ac:dyDescent="0.25">
      <c r="I1552" s="50"/>
      <c r="J1552" s="50"/>
      <c r="K1552" s="50"/>
      <c r="U1552" s="84"/>
      <c r="V1552" s="84"/>
    </row>
    <row r="1553" spans="9:22" x14ac:dyDescent="0.25">
      <c r="I1553" s="50"/>
      <c r="J1553" s="50"/>
      <c r="K1553" s="50"/>
      <c r="U1553" s="84"/>
      <c r="V1553" s="84"/>
    </row>
    <row r="1554" spans="9:22" x14ac:dyDescent="0.25">
      <c r="U1554" s="84"/>
      <c r="V1554" s="84"/>
    </row>
    <row r="1555" spans="9:22" x14ac:dyDescent="0.25">
      <c r="U1555" s="84"/>
      <c r="V1555" s="84"/>
    </row>
    <row r="1556" spans="9:22" x14ac:dyDescent="0.25">
      <c r="U1556" s="84"/>
      <c r="V1556" s="84"/>
    </row>
    <row r="1557" spans="9:22" x14ac:dyDescent="0.25">
      <c r="U1557" s="84"/>
      <c r="V1557" s="84"/>
    </row>
  </sheetData>
  <protectedRanges>
    <protectedRange password="CE28" sqref="M1:S17 N18:S367" name="Range1"/>
    <protectedRange password="CE28" sqref="AB1:AD367" name="Range1_1"/>
    <protectedRange password="CE28" sqref="Y335:Y367 Y1:AA1" name="Range1_1_1"/>
    <protectedRange password="CE28" sqref="Z2:AA2" name="Range1_2_1"/>
    <protectedRange password="CE28" sqref="Z3:AA464" name="Range1_1_1_1"/>
  </protectedRanges>
  <dataConsolidate/>
  <mergeCells count="8">
    <mergeCell ref="B48:G48"/>
    <mergeCell ref="B18:G18"/>
    <mergeCell ref="AC1:AD1"/>
    <mergeCell ref="R1:S1"/>
    <mergeCell ref="B1:H1"/>
    <mergeCell ref="I1:K1"/>
    <mergeCell ref="M1:Q1"/>
    <mergeCell ref="V1:AA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B5410-04D0-4883-AFD8-E69FBDB1D2D6}">
  <sheetPr codeName="Sheet5"/>
  <dimension ref="A1:D38"/>
  <sheetViews>
    <sheetView tabSelected="1" workbookViewId="0">
      <selection activeCell="B16" sqref="B16"/>
    </sheetView>
  </sheetViews>
  <sheetFormatPr defaultRowHeight="15.75" x14ac:dyDescent="0.25"/>
  <cols>
    <col min="1" max="1" width="45" bestFit="1" customWidth="1"/>
    <col min="2" max="2" width="9" bestFit="1" customWidth="1"/>
    <col min="3" max="3" width="8.875" bestFit="1" customWidth="1"/>
    <col min="4" max="4" width="9" style="86"/>
  </cols>
  <sheetData>
    <row r="1" spans="1:4" x14ac:dyDescent="0.25">
      <c r="A1" s="163"/>
      <c r="B1" s="109" t="s">
        <v>535</v>
      </c>
      <c r="C1" s="109" t="s">
        <v>605</v>
      </c>
      <c r="D1" s="179"/>
    </row>
    <row r="2" spans="1:4" ht="18.75" x14ac:dyDescent="0.25">
      <c r="A2" s="109" t="s">
        <v>658</v>
      </c>
      <c r="B2" s="165">
        <f>Reflectivity!F52</f>
        <v>62.077117638819857</v>
      </c>
      <c r="C2" s="165">
        <v>2.9</v>
      </c>
      <c r="D2" s="179"/>
    </row>
    <row r="3" spans="1:4" ht="18.75" x14ac:dyDescent="0.25">
      <c r="A3" s="109" t="s">
        <v>659</v>
      </c>
      <c r="B3" s="165">
        <f>Reflectivity!F22</f>
        <v>44.952461146434516</v>
      </c>
      <c r="C3" s="165">
        <v>2.7</v>
      </c>
      <c r="D3" s="179"/>
    </row>
    <row r="4" spans="1:4" ht="18.75" x14ac:dyDescent="0.25">
      <c r="A4" s="109" t="s">
        <v>660</v>
      </c>
      <c r="B4" s="165">
        <f>Reflectivity!F7</f>
        <v>131.17908120155212</v>
      </c>
      <c r="C4" s="165">
        <f>B4*SQRT((C18/B18)^2+(C3/B3)^2)</f>
        <v>10.930488708608511</v>
      </c>
      <c r="D4" s="179"/>
    </row>
    <row r="5" spans="1:4" ht="18.75" x14ac:dyDescent="0.25">
      <c r="A5" s="109" t="s">
        <v>647</v>
      </c>
      <c r="B5" s="165">
        <f>Reflectivity!H56</f>
        <v>175.74317310171398</v>
      </c>
      <c r="C5" s="165">
        <v>2.2999999999999998</v>
      </c>
      <c r="D5" s="179"/>
    </row>
    <row r="6" spans="1:4" ht="18.75" x14ac:dyDescent="0.25">
      <c r="A6" s="109" t="s">
        <v>619</v>
      </c>
      <c r="B6" s="165">
        <f>Reflectivity!H26</f>
        <v>132.05152210745726</v>
      </c>
      <c r="C6" s="165">
        <v>3.2</v>
      </c>
    </row>
    <row r="7" spans="1:4" ht="18.75" x14ac:dyDescent="0.25">
      <c r="A7" s="109" t="s">
        <v>661</v>
      </c>
      <c r="B7" s="165">
        <f>Reflectivity!H10</f>
        <v>385.34925340114887</v>
      </c>
      <c r="C7" s="165">
        <f>B7*SQRT((C18/B18)^2+(C6/B6)^2)</f>
        <v>24.134874749005444</v>
      </c>
      <c r="D7" s="180"/>
    </row>
    <row r="8" spans="1:4" ht="18.75" x14ac:dyDescent="0.25">
      <c r="A8" s="109" t="s">
        <v>662</v>
      </c>
      <c r="B8" s="165">
        <f>Reflectivity!F51</f>
        <v>74.407345041618456</v>
      </c>
      <c r="C8" s="165">
        <f>SQRT((3*C5/5)^2+(C2/2)^2)</f>
        <v>2.0017242567346782</v>
      </c>
      <c r="D8" s="180"/>
    </row>
    <row r="9" spans="1:4" ht="18.75" x14ac:dyDescent="0.25">
      <c r="A9" s="109" t="s">
        <v>663</v>
      </c>
      <c r="B9" s="165">
        <f>Reflectivity!F21</f>
        <v>56.754682691257102</v>
      </c>
      <c r="C9" s="165">
        <f>SQRT((B20*C8)^2+(C3/2)^2+((B8+B2/2)*C20)^2+((B20/2)*C2)^2)</f>
        <v>3.1175816761535882</v>
      </c>
    </row>
    <row r="10" spans="1:4" ht="18.75" x14ac:dyDescent="0.25">
      <c r="A10" s="109" t="s">
        <v>664</v>
      </c>
      <c r="B10" s="165">
        <f>Reflectivity!F8</f>
        <v>165.62001143991327</v>
      </c>
      <c r="C10" s="165">
        <f>B10*SQRT((C18/B18)^2+(C9/B9)^2)</f>
        <v>13.200676152790649</v>
      </c>
    </row>
    <row r="11" spans="1:4" ht="18.75" x14ac:dyDescent="0.25">
      <c r="A11" s="109" t="s">
        <v>665</v>
      </c>
      <c r="B11" s="165">
        <f>Reflectivity!F53</f>
        <v>109.55597966196126</v>
      </c>
      <c r="C11" s="165">
        <f>SQRT((4*C5/5)^2+(C2/2)^2)</f>
        <v>2.3426694175662086</v>
      </c>
    </row>
    <row r="12" spans="1:4" ht="18.75" x14ac:dyDescent="0.25">
      <c r="A12" s="109" t="s">
        <v>666</v>
      </c>
      <c r="B12" s="165">
        <f>Reflectivity!F23</f>
        <v>83.164987112748548</v>
      </c>
      <c r="C12" s="165">
        <f>SQRT((B20*C11)^2+(C3/2)^2+((B11+B2/2)*C20)^2+(0.5*B20*C2)^2)</f>
        <v>3.7436311427224611</v>
      </c>
    </row>
    <row r="13" spans="1:4" ht="18.75" x14ac:dyDescent="0.25">
      <c r="A13" s="109" t="s">
        <v>667</v>
      </c>
      <c r="B13" s="165">
        <f>Reflectivity!F6</f>
        <v>242.689862120143</v>
      </c>
      <c r="C13" s="165">
        <f>B13*SQRT((C18/B18)^2+(C12/B12)^2)</f>
        <v>17.770687353192852</v>
      </c>
    </row>
    <row r="14" spans="1:4" ht="18.75" x14ac:dyDescent="0.25">
      <c r="A14" s="109" t="s">
        <v>612</v>
      </c>
      <c r="B14" s="165">
        <f>Reflectivity!H12</f>
        <v>1310.1874615639063</v>
      </c>
      <c r="C14" s="165">
        <f>SQRT(C4^2+4*C7^2+C10^2+C13^2)</f>
        <v>54.217151159992952</v>
      </c>
    </row>
    <row r="16" spans="1:4" ht="18.75" x14ac:dyDescent="0.25">
      <c r="A16" s="109" t="s">
        <v>681</v>
      </c>
      <c r="B16" s="165">
        <f>Reflectivity!$G$7/2.35</f>
        <v>50.736956165597057</v>
      </c>
      <c r="C16" s="165">
        <f>sigMarker!D4/2.35</f>
        <v>14.368932175614708</v>
      </c>
    </row>
    <row r="18" spans="1:3" x14ac:dyDescent="0.25">
      <c r="A18" s="164" t="s">
        <v>668</v>
      </c>
      <c r="B18" s="177">
        <f>Reflectivity!H14</f>
        <v>2.9181735072131159</v>
      </c>
      <c r="C18" s="177">
        <f>swellRatio!D4</f>
        <v>0.1685337260544677</v>
      </c>
    </row>
    <row r="19" spans="1:3" ht="18.75" x14ac:dyDescent="0.25">
      <c r="A19" s="109" t="s">
        <v>614</v>
      </c>
      <c r="B19" s="177">
        <f>Reflectivity!H16</f>
        <v>0.65731989632274823</v>
      </c>
      <c r="C19" s="177">
        <f>C18/B18^2</f>
        <v>1.9790857046267055E-2</v>
      </c>
    </row>
    <row r="20" spans="1:3" ht="18.75" x14ac:dyDescent="0.25">
      <c r="A20" s="109" t="s">
        <v>621</v>
      </c>
      <c r="B20" s="177">
        <f>Reflectivity!H30</f>
        <v>0.75138919923239622</v>
      </c>
      <c r="C20" s="177">
        <v>0.02</v>
      </c>
    </row>
    <row r="22" spans="1:3" ht="18.75" x14ac:dyDescent="0.25">
      <c r="A22" s="109" t="s">
        <v>669</v>
      </c>
      <c r="B22" s="177">
        <f>Reflectivity!H62</f>
        <v>0.71278254745189806</v>
      </c>
      <c r="C22" s="177">
        <v>7.0000000000000007E-2</v>
      </c>
    </row>
    <row r="23" spans="1:3" ht="18.75" x14ac:dyDescent="0.25">
      <c r="A23" s="109" t="s">
        <v>670</v>
      </c>
      <c r="B23" s="177">
        <f>Reflectivity!H32</f>
        <v>0.72025807173005219</v>
      </c>
      <c r="C23" s="177">
        <v>7.0000000000000007E-2</v>
      </c>
    </row>
    <row r="24" spans="1:3" ht="18.75" x14ac:dyDescent="0.25">
      <c r="A24" s="109" t="s">
        <v>671</v>
      </c>
      <c r="B24" s="177">
        <f>Reflectivity!H44</f>
        <v>0.58721199966981419</v>
      </c>
      <c r="C24" s="177">
        <f>SQRT((((B5/5)/B3)*C20)^2+((B20/B3)*(C5/5))^2+(B20*((B5/5)/(B3^2))*C3)^2)</f>
        <v>3.935648649656321E-2</v>
      </c>
    </row>
    <row r="26" spans="1:3" ht="18.75" x14ac:dyDescent="0.25">
      <c r="A26" s="109" t="s">
        <v>672</v>
      </c>
      <c r="B26" s="178">
        <f>(2*(1-Reflectivity!H42)*Reflectivity!B35+Reflectivity!H42*Reflectivity!D35)/2</f>
        <v>10598750000</v>
      </c>
      <c r="C26" s="178"/>
    </row>
    <row r="27" spans="1:3" ht="18.75" x14ac:dyDescent="0.25">
      <c r="A27" s="109" t="s">
        <v>616</v>
      </c>
      <c r="B27" s="178">
        <f>Reflectivity!H20</f>
        <v>7.6338352377488905E-7</v>
      </c>
      <c r="C27" s="178">
        <f>B26*C23</f>
        <v>741912500.00000012</v>
      </c>
    </row>
    <row r="28" spans="1:3" ht="18.75" x14ac:dyDescent="0.25">
      <c r="A28" s="109" t="s">
        <v>607</v>
      </c>
      <c r="B28" s="178">
        <f>Reflectivity!H4</f>
        <v>-1.0650279686805421E-7</v>
      </c>
      <c r="C28" s="178">
        <f>SQRT(((Reflectivity!C10-B27)*C19)^2+((1-B19)*C27)^2)</f>
        <v>254238652.41944909</v>
      </c>
    </row>
    <row r="29" spans="1:3" ht="18.75" x14ac:dyDescent="0.25">
      <c r="A29" s="109" t="s">
        <v>673</v>
      </c>
      <c r="B29" s="178">
        <f>Reflectivity!H38*Reflectivity!H36/Reflectivity!H34</f>
        <v>10999877730.880859</v>
      </c>
      <c r="C29" s="178"/>
    </row>
    <row r="30" spans="1:3" ht="18.75" x14ac:dyDescent="0.25">
      <c r="A30" s="109" t="s">
        <v>674</v>
      </c>
      <c r="B30" s="178">
        <f>0.0000000000000001*B23*(Reflectivity!H36/Reflectivity!H34)*2*(1-Reflectivity!H42)*(Reflectivity!C35-Reflectivity!B35)</f>
        <v>5.5454583081822871E-6</v>
      </c>
      <c r="C30" s="178"/>
    </row>
    <row r="31" spans="1:3" ht="18.75" x14ac:dyDescent="0.25">
      <c r="A31" s="109" t="s">
        <v>675</v>
      </c>
      <c r="B31" s="178">
        <f>Reflectivity!H22</f>
        <v>2.4281323166436794E-6</v>
      </c>
      <c r="C31" s="178">
        <f>SQRT((B30*C24)^2+(0.0000000000000001*Reflectivity!H38*(Reflectivity!H36/Reflectivity!H34)*C23)^2)</f>
        <v>2.3143427525395241E-7</v>
      </c>
    </row>
    <row r="32" spans="1:3" ht="18.75" x14ac:dyDescent="0.25">
      <c r="A32" s="109" t="s">
        <v>608</v>
      </c>
      <c r="B32" s="178">
        <f>Reflectivity!H6</f>
        <v>4.6397349206880264E-7</v>
      </c>
      <c r="C32" s="178">
        <f>SQRT(((Reflectivity!C10-B31)*C23)^2+((1-B23)*C31)^2)</f>
        <v>2.1895956252490938E-7</v>
      </c>
    </row>
    <row r="34" spans="1:3" ht="18.75" x14ac:dyDescent="0.25">
      <c r="A34" s="109" t="s">
        <v>676</v>
      </c>
      <c r="B34" s="177">
        <f>1-B20/5</f>
        <v>0.84972216015352076</v>
      </c>
      <c r="C34" s="178"/>
    </row>
    <row r="35" spans="1:3" ht="18.75" x14ac:dyDescent="0.25">
      <c r="A35" s="109" t="s">
        <v>677</v>
      </c>
      <c r="B35" s="178">
        <f>(-B27+0.0000000000000001*B23*Reflectivity!H40*Reflectivity!H36/Reflectivity!H34)/5</f>
        <v>3.3294975857375809E-7</v>
      </c>
      <c r="C35" s="178"/>
    </row>
    <row r="36" spans="1:3" ht="18.75" x14ac:dyDescent="0.25">
      <c r="A36" s="109" t="s">
        <v>678</v>
      </c>
      <c r="B36" s="178">
        <f>B20*(Reflectivity!H36/Reflectivity!H34)*0.0000000000000001*Reflectivity!H40/5</f>
        <v>5.066163000855607E-7</v>
      </c>
      <c r="C36" s="178"/>
    </row>
    <row r="37" spans="1:3" ht="18.75" x14ac:dyDescent="0.25">
      <c r="A37" s="109" t="s">
        <v>679</v>
      </c>
      <c r="B37" s="178">
        <f>Reflectivity!C20</f>
        <v>1.3746696674343207E-6</v>
      </c>
      <c r="C37" s="178">
        <f>SQRT((B34*C27)^2+(B35*C20)^2+(0.0000000000000001*B36*C22)^2)</f>
        <v>630419492.14489901</v>
      </c>
    </row>
    <row r="38" spans="1:3" ht="18.75" x14ac:dyDescent="0.25">
      <c r="A38" s="109" t="s">
        <v>680</v>
      </c>
      <c r="B38" s="178">
        <f>Reflectivity!C9</f>
        <v>1.029728022176272E-7</v>
      </c>
      <c r="C38" s="178">
        <f>SQRT(((-B37+Reflectivity!C10)*C19)^2+((1-B19)*C37)^2)</f>
        <v>216032216.92837441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05A18-E75E-4F34-9100-2ED2666A5F8A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16" bestFit="1" customWidth="1"/>
    <col min="2" max="2" width="8.625" style="112" bestFit="1" customWidth="1"/>
    <col min="3" max="3" width="8.625" style="86" bestFit="1" customWidth="1"/>
    <col min="4" max="4" width="8.25" bestFit="1" customWidth="1"/>
  </cols>
  <sheetData>
    <row r="1" spans="1:5" ht="17.25" x14ac:dyDescent="0.25">
      <c r="A1" s="113" t="s">
        <v>530</v>
      </c>
      <c r="B1" s="147" t="s">
        <v>531</v>
      </c>
      <c r="C1" s="147" t="s">
        <v>532</v>
      </c>
      <c r="D1" s="107" t="s">
        <v>533</v>
      </c>
      <c r="E1" s="188" t="s">
        <v>534</v>
      </c>
    </row>
    <row r="2" spans="1:5" x14ac:dyDescent="0.25">
      <c r="A2" s="114" t="s">
        <v>653</v>
      </c>
      <c r="B2" s="149">
        <v>2.7</v>
      </c>
      <c r="C2" s="149">
        <v>3.1</v>
      </c>
      <c r="D2" s="108">
        <v>10</v>
      </c>
      <c r="E2" s="188"/>
    </row>
    <row r="3" spans="1:5" ht="18.75" x14ac:dyDescent="0.25">
      <c r="A3" s="115" t="s">
        <v>535</v>
      </c>
      <c r="B3" s="109" t="s">
        <v>536</v>
      </c>
      <c r="C3" s="109" t="s">
        <v>537</v>
      </c>
      <c r="D3" s="109" t="s">
        <v>538</v>
      </c>
    </row>
    <row r="4" spans="1:5" x14ac:dyDescent="0.25">
      <c r="A4" s="110">
        <v>2.7</v>
      </c>
      <c r="B4" s="110">
        <v>8.6003233030319546</v>
      </c>
      <c r="C4" s="110">
        <v>2.9181735072131159</v>
      </c>
      <c r="D4" s="110">
        <v>0.1685337260544677</v>
      </c>
    </row>
    <row r="5" spans="1:5" x14ac:dyDescent="0.25">
      <c r="A5" s="110">
        <v>2.74</v>
      </c>
      <c r="B5" s="110">
        <v>7.9264446103919637</v>
      </c>
      <c r="C5" s="111"/>
      <c r="D5" s="111"/>
    </row>
    <row r="6" spans="1:5" x14ac:dyDescent="0.25">
      <c r="A6" s="110">
        <v>2.7800000000000002</v>
      </c>
      <c r="B6" s="110">
        <v>7.4295714411786857</v>
      </c>
      <c r="C6" s="111"/>
      <c r="D6" s="111"/>
    </row>
    <row r="7" spans="1:5" x14ac:dyDescent="0.25">
      <c r="A7" s="110">
        <v>2.8200000000000003</v>
      </c>
      <c r="B7" s="110">
        <v>7.1020474777292275</v>
      </c>
      <c r="C7" s="111"/>
      <c r="D7" s="111"/>
    </row>
    <row r="8" spans="1:5" x14ac:dyDescent="0.25">
      <c r="A8" s="110">
        <v>2.8600000000000003</v>
      </c>
      <c r="B8" s="110">
        <v>6.9037174398334162</v>
      </c>
      <c r="C8" s="111"/>
      <c r="D8" s="111"/>
    </row>
    <row r="9" spans="1:5" x14ac:dyDescent="0.25">
      <c r="A9" s="110">
        <v>2.9000000000000004</v>
      </c>
      <c r="B9" s="110">
        <v>6.835809029794901</v>
      </c>
      <c r="C9" s="111"/>
      <c r="D9" s="111"/>
    </row>
    <row r="10" spans="1:5" x14ac:dyDescent="0.25">
      <c r="A10" s="110">
        <v>2.94</v>
      </c>
      <c r="B10" s="110">
        <v>6.8907469204801854</v>
      </c>
      <c r="C10" s="111"/>
      <c r="D10" s="111"/>
    </row>
    <row r="11" spans="1:5" x14ac:dyDescent="0.25">
      <c r="A11" s="110">
        <v>2.98</v>
      </c>
      <c r="B11" s="110">
        <v>7.0345018048908381</v>
      </c>
      <c r="C11" s="111"/>
      <c r="D11" s="111"/>
    </row>
    <row r="12" spans="1:5" x14ac:dyDescent="0.25">
      <c r="A12" s="110">
        <v>3.02</v>
      </c>
      <c r="B12" s="110">
        <v>7.2655020267359403</v>
      </c>
      <c r="C12" s="111"/>
      <c r="D12" s="111"/>
    </row>
    <row r="13" spans="1:5" x14ac:dyDescent="0.25">
      <c r="A13" s="110">
        <v>3.06</v>
      </c>
      <c r="B13" s="110">
        <v>7.5600781914957818</v>
      </c>
      <c r="C13" s="111"/>
      <c r="D13" s="111"/>
    </row>
    <row r="14" spans="1:5" x14ac:dyDescent="0.25">
      <c r="A14" s="110">
        <v>3.1</v>
      </c>
      <c r="B14" s="110">
        <v>7.8953683545805156</v>
      </c>
      <c r="C14" s="111"/>
      <c r="D14" s="111"/>
    </row>
    <row r="15" spans="1:5" x14ac:dyDescent="0.25">
      <c r="A15" s="110"/>
      <c r="B15" s="110"/>
      <c r="C15" s="111"/>
      <c r="D15" s="111"/>
    </row>
    <row r="16" spans="1:5" x14ac:dyDescent="0.25">
      <c r="A16" s="110"/>
      <c r="B16" s="110"/>
      <c r="C16" s="111"/>
      <c r="D16" s="111"/>
    </row>
    <row r="17" spans="1:4" x14ac:dyDescent="0.25">
      <c r="A17" s="110"/>
      <c r="B17" s="110"/>
      <c r="C17" s="111"/>
      <c r="D17" s="111"/>
    </row>
    <row r="18" spans="1:4" x14ac:dyDescent="0.25">
      <c r="A18" s="110"/>
      <c r="B18" s="110"/>
      <c r="C18" s="111"/>
      <c r="D18" s="111"/>
    </row>
    <row r="19" spans="1:4" x14ac:dyDescent="0.25">
      <c r="A19" s="110"/>
      <c r="B19" s="110"/>
      <c r="C19" s="111"/>
      <c r="D19" s="111"/>
    </row>
    <row r="20" spans="1:4" x14ac:dyDescent="0.25">
      <c r="A20" s="133"/>
      <c r="B20" s="110"/>
      <c r="C20" s="111"/>
      <c r="D20" s="111"/>
    </row>
    <row r="21" spans="1:4" x14ac:dyDescent="0.25">
      <c r="A21" s="133"/>
      <c r="B21" s="110"/>
      <c r="C21" s="111"/>
      <c r="D21" s="111"/>
    </row>
    <row r="22" spans="1:4" x14ac:dyDescent="0.25">
      <c r="A22" s="133"/>
      <c r="B22" s="110"/>
      <c r="C22" s="111"/>
      <c r="D22" s="111"/>
    </row>
    <row r="23" spans="1:4" x14ac:dyDescent="0.25">
      <c r="A23" s="133"/>
      <c r="B23" s="110"/>
      <c r="C23" s="111"/>
      <c r="D23" s="111"/>
    </row>
    <row r="24" spans="1:4" x14ac:dyDescent="0.25">
      <c r="A24" s="133"/>
      <c r="B24" s="110"/>
      <c r="C24" s="111"/>
      <c r="D24" s="111"/>
    </row>
    <row r="25" spans="1:4" x14ac:dyDescent="0.25">
      <c r="B25" s="110"/>
      <c r="C25" s="111"/>
      <c r="D25" s="111"/>
    </row>
    <row r="26" spans="1:4" x14ac:dyDescent="0.25">
      <c r="B26" s="110"/>
      <c r="C26" s="111"/>
      <c r="D26" s="111"/>
    </row>
    <row r="27" spans="1:4" x14ac:dyDescent="0.25">
      <c r="B27" s="110"/>
      <c r="C27" s="111"/>
      <c r="D27" s="111"/>
    </row>
    <row r="28" spans="1:4" x14ac:dyDescent="0.25">
      <c r="B28" s="110"/>
      <c r="C28" s="111"/>
      <c r="D28" s="111"/>
    </row>
    <row r="29" spans="1:4" x14ac:dyDescent="0.25">
      <c r="B29" s="110"/>
      <c r="C29" s="111"/>
      <c r="D29" s="111"/>
    </row>
    <row r="30" spans="1:4" x14ac:dyDescent="0.25">
      <c r="B30" s="110"/>
      <c r="C30" s="111"/>
      <c r="D30" s="111"/>
    </row>
    <row r="31" spans="1:4" x14ac:dyDescent="0.25">
      <c r="B31" s="110"/>
      <c r="C31" s="111"/>
      <c r="D31" s="111"/>
    </row>
    <row r="32" spans="1:4" x14ac:dyDescent="0.25">
      <c r="B32" s="110"/>
      <c r="C32" s="111"/>
      <c r="D32" s="111"/>
    </row>
    <row r="33" spans="2:4" x14ac:dyDescent="0.25">
      <c r="B33" s="110"/>
      <c r="C33" s="111"/>
      <c r="D33" s="111"/>
    </row>
    <row r="34" spans="2:4" x14ac:dyDescent="0.25">
      <c r="B34" s="110"/>
      <c r="C34" s="111"/>
      <c r="D34" s="111"/>
    </row>
    <row r="35" spans="2:4" x14ac:dyDescent="0.25">
      <c r="C35" s="111"/>
      <c r="D35" s="111"/>
    </row>
    <row r="36" spans="2:4" x14ac:dyDescent="0.25">
      <c r="C36" s="111"/>
      <c r="D36" s="111"/>
    </row>
    <row r="37" spans="2:4" x14ac:dyDescent="0.25">
      <c r="C37" s="111"/>
      <c r="D37" s="111"/>
    </row>
    <row r="38" spans="2:4" x14ac:dyDescent="0.25">
      <c r="C38" s="111"/>
      <c r="D38" s="111"/>
    </row>
    <row r="39" spans="2:4" x14ac:dyDescent="0.25">
      <c r="C39" s="111"/>
      <c r="D39" s="111"/>
    </row>
    <row r="40" spans="2:4" x14ac:dyDescent="0.25">
      <c r="C40" s="111"/>
      <c r="D40" s="111"/>
    </row>
    <row r="41" spans="2:4" x14ac:dyDescent="0.25">
      <c r="C41" s="111"/>
      <c r="D41" s="111"/>
    </row>
    <row r="42" spans="2:4" x14ac:dyDescent="0.25">
      <c r="C42" s="111"/>
      <c r="D42" s="111"/>
    </row>
    <row r="43" spans="2:4" x14ac:dyDescent="0.25">
      <c r="C43" s="111"/>
      <c r="D43" s="111"/>
    </row>
    <row r="44" spans="2:4" x14ac:dyDescent="0.25">
      <c r="C44" s="111"/>
      <c r="D44" s="111"/>
    </row>
    <row r="45" spans="2:4" x14ac:dyDescent="0.25">
      <c r="C45" s="111"/>
      <c r="D45" s="111"/>
    </row>
    <row r="46" spans="2:4" x14ac:dyDescent="0.25">
      <c r="C46" s="111"/>
      <c r="D46" s="111"/>
    </row>
    <row r="47" spans="2:4" x14ac:dyDescent="0.25">
      <c r="C47" s="111"/>
      <c r="D47" s="111"/>
    </row>
    <row r="48" spans="2:4" x14ac:dyDescent="0.25">
      <c r="C48" s="111"/>
      <c r="D48" s="111"/>
    </row>
    <row r="49" spans="3:4" x14ac:dyDescent="0.25">
      <c r="C49" s="111"/>
      <c r="D49" s="111"/>
    </row>
    <row r="50" spans="3:4" x14ac:dyDescent="0.25">
      <c r="C50" s="111"/>
      <c r="D50" s="111"/>
    </row>
    <row r="51" spans="3:4" x14ac:dyDescent="0.25">
      <c r="C51" s="111"/>
      <c r="D51" s="111"/>
    </row>
    <row r="52" spans="3:4" x14ac:dyDescent="0.25">
      <c r="C52" s="111"/>
      <c r="D52" s="111"/>
    </row>
    <row r="53" spans="3:4" x14ac:dyDescent="0.25">
      <c r="C53" s="111"/>
      <c r="D53" s="111"/>
    </row>
    <row r="54" spans="3:4" x14ac:dyDescent="0.25">
      <c r="C54" s="111"/>
      <c r="D54" s="111"/>
    </row>
    <row r="55" spans="3:4" x14ac:dyDescent="0.25">
      <c r="C55" s="111"/>
      <c r="D55" s="111"/>
    </row>
    <row r="56" spans="3:4" x14ac:dyDescent="0.25">
      <c r="C56" s="111"/>
      <c r="D56" s="111"/>
    </row>
    <row r="57" spans="3:4" x14ac:dyDescent="0.25">
      <c r="C57" s="111"/>
      <c r="D57" s="111"/>
    </row>
    <row r="58" spans="3:4" x14ac:dyDescent="0.25">
      <c r="C58" s="111"/>
      <c r="D58" s="111"/>
    </row>
    <row r="59" spans="3:4" x14ac:dyDescent="0.25">
      <c r="C59" s="111"/>
      <c r="D59" s="111"/>
    </row>
    <row r="60" spans="3:4" x14ac:dyDescent="0.25">
      <c r="C60" s="111"/>
      <c r="D60" s="111"/>
    </row>
    <row r="61" spans="3:4" x14ac:dyDescent="0.25">
      <c r="C61" s="111"/>
      <c r="D61" s="111"/>
    </row>
    <row r="62" spans="3:4" x14ac:dyDescent="0.25">
      <c r="C62" s="111"/>
      <c r="D62" s="111"/>
    </row>
    <row r="63" spans="3:4" x14ac:dyDescent="0.25">
      <c r="C63" s="111"/>
      <c r="D63" s="111"/>
    </row>
    <row r="64" spans="3:4" x14ac:dyDescent="0.25">
      <c r="C64" s="111"/>
      <c r="D64" s="111"/>
    </row>
    <row r="65" spans="3:4" x14ac:dyDescent="0.25">
      <c r="C65" s="111"/>
      <c r="D65" s="111"/>
    </row>
    <row r="66" spans="3:4" x14ac:dyDescent="0.25">
      <c r="C66" s="111"/>
      <c r="D66" s="111"/>
    </row>
    <row r="67" spans="3:4" x14ac:dyDescent="0.25">
      <c r="C67" s="111"/>
      <c r="D67" s="111"/>
    </row>
    <row r="68" spans="3:4" x14ac:dyDescent="0.25">
      <c r="C68" s="111"/>
      <c r="D68" s="111"/>
    </row>
    <row r="69" spans="3:4" x14ac:dyDescent="0.25">
      <c r="C69" s="111"/>
      <c r="D69" s="111"/>
    </row>
    <row r="70" spans="3:4" x14ac:dyDescent="0.25">
      <c r="C70" s="111"/>
      <c r="D70" s="111"/>
    </row>
    <row r="71" spans="3:4" x14ac:dyDescent="0.25">
      <c r="C71" s="111"/>
      <c r="D71" s="111"/>
    </row>
    <row r="72" spans="3:4" x14ac:dyDescent="0.25">
      <c r="C72" s="111"/>
      <c r="D72" s="111"/>
    </row>
    <row r="73" spans="3:4" x14ac:dyDescent="0.25">
      <c r="C73" s="111"/>
      <c r="D73" s="111"/>
    </row>
    <row r="74" spans="3:4" x14ac:dyDescent="0.25">
      <c r="C74" s="111"/>
      <c r="D74" s="111"/>
    </row>
    <row r="75" spans="3:4" x14ac:dyDescent="0.25">
      <c r="C75" s="111"/>
      <c r="D75" s="111"/>
    </row>
    <row r="76" spans="3:4" x14ac:dyDescent="0.25">
      <c r="C76" s="111"/>
      <c r="D76" s="111"/>
    </row>
    <row r="77" spans="3:4" x14ac:dyDescent="0.25">
      <c r="C77" s="111"/>
      <c r="D77" s="111"/>
    </row>
    <row r="78" spans="3:4" x14ac:dyDescent="0.25">
      <c r="C78" s="111"/>
      <c r="D78" s="111"/>
    </row>
    <row r="79" spans="3:4" x14ac:dyDescent="0.25">
      <c r="C79" s="111"/>
      <c r="D79" s="111"/>
    </row>
    <row r="80" spans="3:4" x14ac:dyDescent="0.25">
      <c r="C80" s="111"/>
      <c r="D80" s="111"/>
    </row>
    <row r="81" spans="3:4" x14ac:dyDescent="0.25">
      <c r="C81" s="111"/>
      <c r="D81" s="111"/>
    </row>
    <row r="82" spans="3:4" x14ac:dyDescent="0.25">
      <c r="C82" s="111"/>
      <c r="D82" s="111"/>
    </row>
    <row r="83" spans="3:4" x14ac:dyDescent="0.25">
      <c r="C83" s="111"/>
      <c r="D83" s="111"/>
    </row>
    <row r="84" spans="3:4" x14ac:dyDescent="0.25">
      <c r="C84" s="111"/>
      <c r="D84" s="111"/>
    </row>
    <row r="85" spans="3:4" x14ac:dyDescent="0.25">
      <c r="C85" s="111"/>
      <c r="D85" s="111"/>
    </row>
    <row r="86" spans="3:4" x14ac:dyDescent="0.25">
      <c r="C86" s="111"/>
      <c r="D86" s="111"/>
    </row>
    <row r="87" spans="3:4" x14ac:dyDescent="0.25">
      <c r="C87" s="111"/>
      <c r="D87" s="111"/>
    </row>
    <row r="88" spans="3:4" x14ac:dyDescent="0.25">
      <c r="C88" s="111"/>
      <c r="D88" s="111"/>
    </row>
    <row r="89" spans="3:4" x14ac:dyDescent="0.25">
      <c r="C89" s="111"/>
      <c r="D89" s="111"/>
    </row>
    <row r="90" spans="3:4" x14ac:dyDescent="0.25">
      <c r="C90" s="111"/>
      <c r="D90" s="111"/>
    </row>
    <row r="91" spans="3:4" x14ac:dyDescent="0.25">
      <c r="C91" s="111"/>
      <c r="D91" s="111"/>
    </row>
    <row r="92" spans="3:4" x14ac:dyDescent="0.25">
      <c r="C92" s="111"/>
      <c r="D92" s="111"/>
    </row>
    <row r="93" spans="3:4" x14ac:dyDescent="0.25">
      <c r="C93" s="111"/>
      <c r="D93" s="111"/>
    </row>
    <row r="94" spans="3:4" x14ac:dyDescent="0.25">
      <c r="C94" s="111"/>
      <c r="D94" s="111"/>
    </row>
    <row r="95" spans="3:4" x14ac:dyDescent="0.25">
      <c r="C95" s="111"/>
      <c r="D95" s="111"/>
    </row>
    <row r="96" spans="3:4" x14ac:dyDescent="0.25">
      <c r="C96" s="111"/>
      <c r="D96" s="111"/>
    </row>
    <row r="97" spans="3:4" x14ac:dyDescent="0.25">
      <c r="C97" s="111"/>
      <c r="D97" s="111"/>
    </row>
    <row r="98" spans="3:4" x14ac:dyDescent="0.25">
      <c r="C98" s="111"/>
      <c r="D98" s="111"/>
    </row>
    <row r="99" spans="3:4" x14ac:dyDescent="0.25">
      <c r="C99" s="111"/>
      <c r="D99" s="111"/>
    </row>
    <row r="100" spans="3:4" x14ac:dyDescent="0.25">
      <c r="C100" s="111"/>
      <c r="D100" s="111"/>
    </row>
    <row r="101" spans="3:4" x14ac:dyDescent="0.25">
      <c r="C101" s="111"/>
      <c r="D101" s="111"/>
    </row>
    <row r="102" spans="3:4" x14ac:dyDescent="0.25">
      <c r="C102" s="111"/>
      <c r="D102" s="111"/>
    </row>
    <row r="103" spans="3:4" x14ac:dyDescent="0.25">
      <c r="C103" s="111"/>
      <c r="D103" s="111"/>
    </row>
    <row r="104" spans="3:4" x14ac:dyDescent="0.25">
      <c r="C104" s="111"/>
      <c r="D104" s="111"/>
    </row>
    <row r="105" spans="3:4" x14ac:dyDescent="0.25">
      <c r="C105" s="111"/>
      <c r="D105" s="111"/>
    </row>
    <row r="106" spans="3:4" x14ac:dyDescent="0.25">
      <c r="C106" s="111"/>
      <c r="D106" s="111"/>
    </row>
    <row r="107" spans="3:4" x14ac:dyDescent="0.25">
      <c r="C107" s="111"/>
      <c r="D107" s="111"/>
    </row>
    <row r="108" spans="3:4" x14ac:dyDescent="0.25">
      <c r="C108" s="111"/>
      <c r="D108" s="111"/>
    </row>
    <row r="109" spans="3:4" x14ac:dyDescent="0.25">
      <c r="C109" s="111"/>
      <c r="D109" s="111"/>
    </row>
    <row r="110" spans="3:4" x14ac:dyDescent="0.25">
      <c r="C110" s="111"/>
      <c r="D110" s="111"/>
    </row>
    <row r="111" spans="3:4" x14ac:dyDescent="0.25">
      <c r="C111" s="111"/>
      <c r="D111" s="111"/>
    </row>
    <row r="112" spans="3:4" x14ac:dyDescent="0.25">
      <c r="C112" s="111"/>
      <c r="D112" s="111"/>
    </row>
    <row r="113" spans="3:4" x14ac:dyDescent="0.25">
      <c r="C113" s="111"/>
      <c r="D113" s="111"/>
    </row>
    <row r="114" spans="3:4" x14ac:dyDescent="0.25">
      <c r="C114" s="111"/>
      <c r="D114" s="111"/>
    </row>
    <row r="115" spans="3:4" x14ac:dyDescent="0.25">
      <c r="C115" s="111"/>
      <c r="D115" s="111"/>
    </row>
    <row r="116" spans="3:4" x14ac:dyDescent="0.25">
      <c r="C116" s="111"/>
      <c r="D116" s="111"/>
    </row>
    <row r="117" spans="3:4" x14ac:dyDescent="0.25">
      <c r="C117" s="111"/>
      <c r="D117" s="111"/>
    </row>
    <row r="118" spans="3:4" x14ac:dyDescent="0.25">
      <c r="C118" s="111"/>
      <c r="D118" s="111"/>
    </row>
    <row r="119" spans="3:4" x14ac:dyDescent="0.25">
      <c r="C119" s="111"/>
      <c r="D119" s="111"/>
    </row>
    <row r="120" spans="3:4" x14ac:dyDescent="0.25">
      <c r="C120" s="111"/>
      <c r="D120" s="111"/>
    </row>
    <row r="121" spans="3:4" x14ac:dyDescent="0.25">
      <c r="C121" s="111"/>
      <c r="D121" s="111"/>
    </row>
    <row r="122" spans="3:4" x14ac:dyDescent="0.25">
      <c r="C122" s="111"/>
      <c r="D122" s="111"/>
    </row>
    <row r="123" spans="3:4" x14ac:dyDescent="0.25">
      <c r="C123" s="111"/>
      <c r="D123" s="111"/>
    </row>
    <row r="124" spans="3:4" x14ac:dyDescent="0.25">
      <c r="C124" s="111"/>
      <c r="D124" s="111"/>
    </row>
    <row r="125" spans="3:4" x14ac:dyDescent="0.25">
      <c r="C125" s="111"/>
      <c r="D125" s="111"/>
    </row>
    <row r="126" spans="3:4" x14ac:dyDescent="0.25">
      <c r="C126" s="111"/>
      <c r="D126" s="111"/>
    </row>
    <row r="127" spans="3:4" x14ac:dyDescent="0.25">
      <c r="C127" s="111"/>
      <c r="D127" s="111"/>
    </row>
    <row r="128" spans="3:4" x14ac:dyDescent="0.25">
      <c r="C128" s="111"/>
      <c r="D128" s="111"/>
    </row>
    <row r="129" spans="3:4" x14ac:dyDescent="0.25">
      <c r="C129" s="111"/>
      <c r="D129" s="111"/>
    </row>
    <row r="130" spans="3:4" x14ac:dyDescent="0.25">
      <c r="C130" s="111"/>
      <c r="D130" s="111"/>
    </row>
    <row r="131" spans="3:4" x14ac:dyDescent="0.25">
      <c r="C131" s="111"/>
      <c r="D131" s="111"/>
    </row>
    <row r="132" spans="3:4" x14ac:dyDescent="0.25">
      <c r="C132" s="111"/>
      <c r="D132" s="111"/>
    </row>
    <row r="133" spans="3:4" x14ac:dyDescent="0.25">
      <c r="C133" s="111"/>
      <c r="D133" s="111"/>
    </row>
    <row r="134" spans="3:4" x14ac:dyDescent="0.25">
      <c r="C134" s="111"/>
      <c r="D134" s="111"/>
    </row>
    <row r="135" spans="3:4" x14ac:dyDescent="0.25">
      <c r="C135" s="111"/>
      <c r="D135" s="111"/>
    </row>
    <row r="136" spans="3:4" x14ac:dyDescent="0.25">
      <c r="C136" s="111"/>
      <c r="D136" s="111"/>
    </row>
    <row r="137" spans="3:4" x14ac:dyDescent="0.25">
      <c r="C137" s="111"/>
      <c r="D137" s="111"/>
    </row>
    <row r="138" spans="3:4" x14ac:dyDescent="0.25">
      <c r="C138" s="111"/>
      <c r="D138" s="111"/>
    </row>
    <row r="139" spans="3:4" x14ac:dyDescent="0.25">
      <c r="C139" s="111"/>
      <c r="D139" s="111"/>
    </row>
    <row r="140" spans="3:4" x14ac:dyDescent="0.25">
      <c r="C140" s="111"/>
      <c r="D140" s="111"/>
    </row>
    <row r="141" spans="3:4" x14ac:dyDescent="0.25">
      <c r="C141" s="111"/>
      <c r="D141" s="111"/>
    </row>
    <row r="142" spans="3:4" x14ac:dyDescent="0.25">
      <c r="C142" s="111"/>
      <c r="D142" s="111"/>
    </row>
    <row r="143" spans="3:4" x14ac:dyDescent="0.25">
      <c r="C143" s="111"/>
      <c r="D143" s="111"/>
    </row>
    <row r="144" spans="3:4" x14ac:dyDescent="0.25">
      <c r="C144" s="111"/>
      <c r="D144" s="111"/>
    </row>
    <row r="145" spans="3:4" x14ac:dyDescent="0.25">
      <c r="C145" s="111"/>
      <c r="D145" s="111"/>
    </row>
    <row r="146" spans="3:4" x14ac:dyDescent="0.25">
      <c r="C146" s="111"/>
      <c r="D146" s="111"/>
    </row>
    <row r="147" spans="3:4" x14ac:dyDescent="0.25">
      <c r="C147" s="111"/>
      <c r="D147" s="111"/>
    </row>
    <row r="148" spans="3:4" x14ac:dyDescent="0.25">
      <c r="C148" s="111"/>
      <c r="D148" s="111"/>
    </row>
    <row r="149" spans="3:4" x14ac:dyDescent="0.25">
      <c r="C149" s="111"/>
      <c r="D149" s="111"/>
    </row>
    <row r="150" spans="3:4" x14ac:dyDescent="0.25">
      <c r="C150" s="111"/>
      <c r="D150" s="111"/>
    </row>
    <row r="151" spans="3:4" x14ac:dyDescent="0.25">
      <c r="C151" s="111"/>
      <c r="D151" s="111"/>
    </row>
    <row r="152" spans="3:4" x14ac:dyDescent="0.25">
      <c r="C152" s="111"/>
      <c r="D152" s="111"/>
    </row>
    <row r="153" spans="3:4" x14ac:dyDescent="0.25">
      <c r="C153" s="111"/>
      <c r="D153" s="111"/>
    </row>
    <row r="154" spans="3:4" x14ac:dyDescent="0.25">
      <c r="C154" s="111"/>
      <c r="D154" s="111"/>
    </row>
    <row r="155" spans="3:4" x14ac:dyDescent="0.25">
      <c r="C155" s="111"/>
      <c r="D155" s="111"/>
    </row>
    <row r="156" spans="3:4" x14ac:dyDescent="0.25">
      <c r="C156" s="111"/>
      <c r="D156" s="111"/>
    </row>
    <row r="157" spans="3:4" x14ac:dyDescent="0.25">
      <c r="C157" s="111"/>
      <c r="D157" s="111"/>
    </row>
    <row r="158" spans="3:4" x14ac:dyDescent="0.25">
      <c r="C158" s="111"/>
      <c r="D158" s="111"/>
    </row>
    <row r="159" spans="3:4" x14ac:dyDescent="0.25">
      <c r="C159" s="111"/>
      <c r="D159" s="111"/>
    </row>
    <row r="160" spans="3:4" x14ac:dyDescent="0.25">
      <c r="C160" s="111"/>
      <c r="D160" s="111"/>
    </row>
    <row r="161" spans="3:4" x14ac:dyDescent="0.25">
      <c r="C161" s="111"/>
      <c r="D161" s="111"/>
    </row>
    <row r="162" spans="3:4" x14ac:dyDescent="0.25">
      <c r="C162" s="111"/>
      <c r="D162" s="111"/>
    </row>
    <row r="163" spans="3:4" x14ac:dyDescent="0.25">
      <c r="C163" s="111"/>
      <c r="D163" s="111"/>
    </row>
    <row r="164" spans="3:4" x14ac:dyDescent="0.25">
      <c r="C164" s="111"/>
      <c r="D164" s="111"/>
    </row>
    <row r="165" spans="3:4" x14ac:dyDescent="0.25">
      <c r="C165" s="111"/>
      <c r="D165" s="111"/>
    </row>
    <row r="166" spans="3:4" x14ac:dyDescent="0.25">
      <c r="C166" s="111"/>
      <c r="D166" s="111"/>
    </row>
    <row r="167" spans="3:4" x14ac:dyDescent="0.25">
      <c r="C167" s="111"/>
      <c r="D167" s="111"/>
    </row>
    <row r="168" spans="3:4" x14ac:dyDescent="0.25">
      <c r="C168" s="111"/>
      <c r="D168" s="111"/>
    </row>
    <row r="169" spans="3:4" x14ac:dyDescent="0.25">
      <c r="C169" s="111"/>
      <c r="D169" s="111"/>
    </row>
    <row r="170" spans="3:4" x14ac:dyDescent="0.25">
      <c r="C170" s="111"/>
      <c r="D170" s="111"/>
    </row>
    <row r="171" spans="3:4" x14ac:dyDescent="0.25">
      <c r="C171" s="111"/>
      <c r="D171" s="111"/>
    </row>
    <row r="172" spans="3:4" x14ac:dyDescent="0.25">
      <c r="C172" s="111"/>
      <c r="D172" s="111"/>
    </row>
    <row r="173" spans="3:4" x14ac:dyDescent="0.25">
      <c r="C173" s="111"/>
      <c r="D173" s="111"/>
    </row>
    <row r="174" spans="3:4" x14ac:dyDescent="0.25">
      <c r="C174" s="111"/>
      <c r="D174" s="111"/>
    </row>
    <row r="175" spans="3:4" x14ac:dyDescent="0.25">
      <c r="C175" s="111"/>
      <c r="D175" s="111"/>
    </row>
    <row r="176" spans="3:4" x14ac:dyDescent="0.25">
      <c r="C176" s="111"/>
      <c r="D176" s="111"/>
    </row>
    <row r="177" spans="3:4" x14ac:dyDescent="0.25">
      <c r="C177" s="111"/>
      <c r="D177" s="111"/>
    </row>
    <row r="178" spans="3:4" x14ac:dyDescent="0.25">
      <c r="C178" s="111"/>
      <c r="D178" s="111"/>
    </row>
    <row r="179" spans="3:4" x14ac:dyDescent="0.25">
      <c r="C179" s="111"/>
      <c r="D179" s="111"/>
    </row>
    <row r="180" spans="3:4" x14ac:dyDescent="0.25">
      <c r="C180" s="111"/>
      <c r="D180" s="111"/>
    </row>
    <row r="181" spans="3:4" x14ac:dyDescent="0.25">
      <c r="C181" s="111"/>
      <c r="D181" s="111"/>
    </row>
    <row r="182" spans="3:4" x14ac:dyDescent="0.25">
      <c r="C182" s="111"/>
      <c r="D182" s="111"/>
    </row>
    <row r="183" spans="3:4" x14ac:dyDescent="0.25">
      <c r="C183" s="111"/>
      <c r="D183" s="111"/>
    </row>
    <row r="184" spans="3:4" x14ac:dyDescent="0.25">
      <c r="C184" s="111"/>
      <c r="D184" s="111"/>
    </row>
    <row r="185" spans="3:4" x14ac:dyDescent="0.25">
      <c r="C185" s="111"/>
      <c r="D185" s="111"/>
    </row>
    <row r="186" spans="3:4" x14ac:dyDescent="0.25">
      <c r="C186" s="111"/>
      <c r="D186" s="111"/>
    </row>
    <row r="187" spans="3:4" x14ac:dyDescent="0.25">
      <c r="C187" s="111"/>
      <c r="D187" s="111"/>
    </row>
    <row r="188" spans="3:4" x14ac:dyDescent="0.25">
      <c r="C188" s="111"/>
      <c r="D188" s="111"/>
    </row>
    <row r="189" spans="3:4" x14ac:dyDescent="0.25">
      <c r="C189" s="111"/>
      <c r="D189" s="111"/>
    </row>
    <row r="190" spans="3:4" x14ac:dyDescent="0.25">
      <c r="C190" s="111"/>
      <c r="D190" s="111"/>
    </row>
    <row r="191" spans="3:4" x14ac:dyDescent="0.25">
      <c r="C191" s="111"/>
      <c r="D191" s="111"/>
    </row>
    <row r="192" spans="3:4" x14ac:dyDescent="0.25">
      <c r="C192" s="111"/>
      <c r="D192" s="111"/>
    </row>
    <row r="193" spans="3:4" x14ac:dyDescent="0.25">
      <c r="C193" s="111"/>
      <c r="D193" s="111"/>
    </row>
    <row r="194" spans="3:4" x14ac:dyDescent="0.25">
      <c r="C194" s="111"/>
      <c r="D194" s="111"/>
    </row>
    <row r="195" spans="3:4" x14ac:dyDescent="0.25">
      <c r="C195" s="111"/>
      <c r="D195" s="111"/>
    </row>
    <row r="196" spans="3:4" x14ac:dyDescent="0.25">
      <c r="C196" s="111"/>
      <c r="D196" s="111"/>
    </row>
    <row r="197" spans="3:4" x14ac:dyDescent="0.25">
      <c r="C197" s="111"/>
      <c r="D197" s="111"/>
    </row>
    <row r="198" spans="3:4" x14ac:dyDescent="0.25">
      <c r="C198" s="111"/>
      <c r="D198" s="111"/>
    </row>
    <row r="199" spans="3:4" x14ac:dyDescent="0.25">
      <c r="C199" s="111"/>
      <c r="D199" s="111"/>
    </row>
    <row r="200" spans="3:4" x14ac:dyDescent="0.25">
      <c r="C200" s="111"/>
      <c r="D200" s="111"/>
    </row>
    <row r="201" spans="3:4" x14ac:dyDescent="0.25">
      <c r="C201" s="111"/>
      <c r="D201" s="111"/>
    </row>
    <row r="202" spans="3:4" x14ac:dyDescent="0.25">
      <c r="C202" s="111"/>
      <c r="D202" s="111"/>
    </row>
    <row r="203" spans="3:4" x14ac:dyDescent="0.25">
      <c r="C203" s="111"/>
      <c r="D203" s="111"/>
    </row>
    <row r="204" spans="3:4" x14ac:dyDescent="0.25">
      <c r="C204" s="111"/>
      <c r="D204" s="111"/>
    </row>
    <row r="205" spans="3:4" x14ac:dyDescent="0.25">
      <c r="C205" s="111"/>
      <c r="D205" s="111"/>
    </row>
    <row r="206" spans="3:4" x14ac:dyDescent="0.25">
      <c r="C206" s="111"/>
      <c r="D206" s="111"/>
    </row>
    <row r="207" spans="3:4" x14ac:dyDescent="0.25">
      <c r="C207" s="111"/>
      <c r="D207" s="111"/>
    </row>
    <row r="208" spans="3:4" x14ac:dyDescent="0.25">
      <c r="C208" s="111"/>
      <c r="D208" s="111"/>
    </row>
    <row r="209" spans="3:4" x14ac:dyDescent="0.25">
      <c r="C209" s="111"/>
      <c r="D209" s="111"/>
    </row>
    <row r="210" spans="3:4" x14ac:dyDescent="0.25">
      <c r="C210" s="111"/>
      <c r="D210" s="111"/>
    </row>
    <row r="211" spans="3:4" x14ac:dyDescent="0.25">
      <c r="C211" s="111"/>
      <c r="D211" s="111"/>
    </row>
    <row r="212" spans="3:4" x14ac:dyDescent="0.25">
      <c r="C212" s="111"/>
      <c r="D212" s="111"/>
    </row>
    <row r="213" spans="3:4" x14ac:dyDescent="0.25">
      <c r="C213" s="111"/>
      <c r="D213" s="111"/>
    </row>
    <row r="214" spans="3:4" x14ac:dyDescent="0.25">
      <c r="C214" s="111"/>
      <c r="D214" s="111"/>
    </row>
    <row r="215" spans="3:4" x14ac:dyDescent="0.25">
      <c r="C215" s="111"/>
      <c r="D215" s="111"/>
    </row>
    <row r="216" spans="3:4" x14ac:dyDescent="0.25">
      <c r="C216" s="111"/>
      <c r="D216" s="111"/>
    </row>
    <row r="217" spans="3:4" x14ac:dyDescent="0.25">
      <c r="C217" s="111"/>
      <c r="D217" s="111"/>
    </row>
    <row r="218" spans="3:4" x14ac:dyDescent="0.25">
      <c r="C218" s="111"/>
      <c r="D218" s="111"/>
    </row>
    <row r="219" spans="3:4" x14ac:dyDescent="0.25">
      <c r="C219" s="111"/>
      <c r="D219" s="111"/>
    </row>
    <row r="220" spans="3:4" x14ac:dyDescent="0.25">
      <c r="C220" s="111"/>
      <c r="D220" s="111"/>
    </row>
    <row r="221" spans="3:4" x14ac:dyDescent="0.25">
      <c r="C221" s="111"/>
      <c r="D221" s="111"/>
    </row>
    <row r="222" spans="3:4" x14ac:dyDescent="0.25">
      <c r="C222" s="111"/>
      <c r="D222" s="111"/>
    </row>
    <row r="223" spans="3:4" x14ac:dyDescent="0.25">
      <c r="C223" s="111"/>
      <c r="D223" s="111"/>
    </row>
    <row r="224" spans="3:4" x14ac:dyDescent="0.25">
      <c r="C224" s="111"/>
      <c r="D224" s="111"/>
    </row>
    <row r="225" spans="3:4" x14ac:dyDescent="0.25">
      <c r="C225" s="111"/>
      <c r="D225" s="111"/>
    </row>
    <row r="226" spans="3:4" x14ac:dyDescent="0.25">
      <c r="C226" s="111"/>
      <c r="D226" s="111"/>
    </row>
    <row r="227" spans="3:4" x14ac:dyDescent="0.25">
      <c r="C227" s="111"/>
      <c r="D227" s="111"/>
    </row>
    <row r="228" spans="3:4" x14ac:dyDescent="0.25">
      <c r="C228" s="111"/>
      <c r="D228" s="111"/>
    </row>
    <row r="229" spans="3:4" x14ac:dyDescent="0.25">
      <c r="C229" s="111"/>
      <c r="D229" s="111"/>
    </row>
    <row r="230" spans="3:4" x14ac:dyDescent="0.25">
      <c r="C230" s="111"/>
      <c r="D230" s="111"/>
    </row>
    <row r="231" spans="3:4" x14ac:dyDescent="0.25">
      <c r="C231" s="111"/>
      <c r="D231" s="111"/>
    </row>
    <row r="232" spans="3:4" x14ac:dyDescent="0.25">
      <c r="C232" s="111"/>
      <c r="D232" s="111"/>
    </row>
    <row r="233" spans="3:4" x14ac:dyDescent="0.25">
      <c r="C233" s="111"/>
      <c r="D233" s="111"/>
    </row>
    <row r="234" spans="3:4" x14ac:dyDescent="0.25">
      <c r="C234" s="111"/>
      <c r="D234" s="111"/>
    </row>
    <row r="235" spans="3:4" x14ac:dyDescent="0.25">
      <c r="C235" s="111"/>
      <c r="D235" s="111"/>
    </row>
    <row r="236" spans="3:4" x14ac:dyDescent="0.25">
      <c r="C236" s="111"/>
      <c r="D236" s="111"/>
    </row>
    <row r="237" spans="3:4" x14ac:dyDescent="0.25">
      <c r="C237" s="111"/>
      <c r="D237" s="111"/>
    </row>
    <row r="238" spans="3:4" x14ac:dyDescent="0.25">
      <c r="C238" s="111"/>
      <c r="D238" s="111"/>
    </row>
    <row r="239" spans="3:4" x14ac:dyDescent="0.25">
      <c r="C239" s="111"/>
      <c r="D239" s="111"/>
    </row>
    <row r="240" spans="3:4" x14ac:dyDescent="0.25">
      <c r="C240" s="111"/>
      <c r="D240" s="111"/>
    </row>
    <row r="241" spans="3:4" x14ac:dyDescent="0.25">
      <c r="C241" s="111"/>
      <c r="D241" s="111"/>
    </row>
    <row r="242" spans="3:4" x14ac:dyDescent="0.25">
      <c r="C242" s="111"/>
      <c r="D242" s="111"/>
    </row>
    <row r="243" spans="3:4" x14ac:dyDescent="0.25">
      <c r="C243" s="111"/>
      <c r="D243" s="111"/>
    </row>
    <row r="244" spans="3:4" x14ac:dyDescent="0.25">
      <c r="C244" s="111"/>
      <c r="D244" s="111"/>
    </row>
    <row r="245" spans="3:4" x14ac:dyDescent="0.25">
      <c r="C245" s="111"/>
      <c r="D245" s="111"/>
    </row>
    <row r="246" spans="3:4" x14ac:dyDescent="0.25">
      <c r="C246" s="111"/>
      <c r="D246" s="111"/>
    </row>
    <row r="247" spans="3:4" x14ac:dyDescent="0.25">
      <c r="C247" s="111"/>
      <c r="D247" s="111"/>
    </row>
    <row r="248" spans="3:4" x14ac:dyDescent="0.25">
      <c r="C248" s="111"/>
      <c r="D248" s="111"/>
    </row>
    <row r="249" spans="3:4" x14ac:dyDescent="0.25">
      <c r="C249" s="111"/>
      <c r="D249" s="111"/>
    </row>
    <row r="250" spans="3:4" x14ac:dyDescent="0.25">
      <c r="C250" s="111"/>
      <c r="D250" s="111"/>
    </row>
    <row r="251" spans="3:4" x14ac:dyDescent="0.25">
      <c r="C251" s="111"/>
      <c r="D251" s="111"/>
    </row>
    <row r="252" spans="3:4" x14ac:dyDescent="0.25">
      <c r="C252" s="111"/>
      <c r="D252" s="111"/>
    </row>
    <row r="253" spans="3:4" x14ac:dyDescent="0.25">
      <c r="C253" s="111"/>
      <c r="D253" s="111"/>
    </row>
    <row r="254" spans="3:4" x14ac:dyDescent="0.25">
      <c r="C254" s="111"/>
      <c r="D254" s="111"/>
    </row>
    <row r="255" spans="3:4" x14ac:dyDescent="0.25">
      <c r="C255" s="111"/>
      <c r="D255" s="111"/>
    </row>
    <row r="256" spans="3:4" x14ac:dyDescent="0.25">
      <c r="C256" s="111"/>
      <c r="D256" s="111"/>
    </row>
    <row r="257" spans="3:4" x14ac:dyDescent="0.25">
      <c r="C257" s="111"/>
      <c r="D257" s="111"/>
    </row>
    <row r="258" spans="3:4" x14ac:dyDescent="0.25">
      <c r="C258" s="111"/>
      <c r="D258" s="111"/>
    </row>
    <row r="259" spans="3:4" x14ac:dyDescent="0.25">
      <c r="C259" s="111"/>
      <c r="D259" s="111"/>
    </row>
    <row r="260" spans="3:4" x14ac:dyDescent="0.25">
      <c r="C260" s="111"/>
      <c r="D260" s="111"/>
    </row>
    <row r="261" spans="3:4" x14ac:dyDescent="0.25">
      <c r="C261" s="111"/>
      <c r="D261" s="111"/>
    </row>
    <row r="262" spans="3:4" x14ac:dyDescent="0.25">
      <c r="C262" s="111"/>
      <c r="D262" s="111"/>
    </row>
    <row r="263" spans="3:4" x14ac:dyDescent="0.25">
      <c r="C263" s="111"/>
      <c r="D263" s="111"/>
    </row>
    <row r="264" spans="3:4" x14ac:dyDescent="0.25">
      <c r="C264" s="111"/>
      <c r="D264" s="111"/>
    </row>
    <row r="265" spans="3:4" x14ac:dyDescent="0.25">
      <c r="C265" s="111"/>
      <c r="D265" s="111"/>
    </row>
    <row r="266" spans="3:4" x14ac:dyDescent="0.25">
      <c r="C266" s="111"/>
      <c r="D266" s="111"/>
    </row>
    <row r="267" spans="3:4" x14ac:dyDescent="0.25">
      <c r="C267" s="111"/>
      <c r="D267" s="111"/>
    </row>
    <row r="268" spans="3:4" x14ac:dyDescent="0.25">
      <c r="C268" s="111"/>
      <c r="D268" s="111"/>
    </row>
    <row r="269" spans="3:4" x14ac:dyDescent="0.25">
      <c r="C269" s="111"/>
      <c r="D269" s="111"/>
    </row>
    <row r="270" spans="3:4" x14ac:dyDescent="0.25">
      <c r="C270" s="111"/>
      <c r="D270" s="111"/>
    </row>
    <row r="271" spans="3:4" x14ac:dyDescent="0.25">
      <c r="C271" s="111"/>
      <c r="D271" s="111"/>
    </row>
    <row r="272" spans="3:4" x14ac:dyDescent="0.25">
      <c r="C272" s="111"/>
      <c r="D272" s="111"/>
    </row>
    <row r="273" spans="3:4" x14ac:dyDescent="0.25">
      <c r="C273" s="111"/>
      <c r="D273" s="111"/>
    </row>
    <row r="274" spans="3:4" x14ac:dyDescent="0.25">
      <c r="C274" s="111"/>
      <c r="D274" s="111"/>
    </row>
    <row r="275" spans="3:4" x14ac:dyDescent="0.25">
      <c r="C275" s="111"/>
      <c r="D275" s="111"/>
    </row>
    <row r="276" spans="3:4" x14ac:dyDescent="0.25">
      <c r="C276" s="111"/>
      <c r="D276" s="111"/>
    </row>
    <row r="277" spans="3:4" x14ac:dyDescent="0.25">
      <c r="C277" s="111"/>
      <c r="D277" s="111"/>
    </row>
    <row r="278" spans="3:4" x14ac:dyDescent="0.25">
      <c r="C278" s="111"/>
      <c r="D278" s="111"/>
    </row>
    <row r="279" spans="3:4" x14ac:dyDescent="0.25">
      <c r="C279" s="111"/>
      <c r="D279" s="111"/>
    </row>
    <row r="280" spans="3:4" x14ac:dyDescent="0.25">
      <c r="C280" s="111"/>
      <c r="D280" s="111"/>
    </row>
    <row r="281" spans="3:4" x14ac:dyDescent="0.25">
      <c r="C281" s="111"/>
      <c r="D281" s="111"/>
    </row>
    <row r="282" spans="3:4" x14ac:dyDescent="0.25">
      <c r="C282" s="111"/>
      <c r="D282" s="111"/>
    </row>
    <row r="283" spans="3:4" x14ac:dyDescent="0.25">
      <c r="C283" s="111"/>
      <c r="D283" s="111"/>
    </row>
    <row r="284" spans="3:4" x14ac:dyDescent="0.25">
      <c r="C284" s="111"/>
      <c r="D284" s="111"/>
    </row>
    <row r="285" spans="3:4" x14ac:dyDescent="0.25">
      <c r="C285" s="111"/>
      <c r="D285" s="111"/>
    </row>
    <row r="286" spans="3:4" x14ac:dyDescent="0.25">
      <c r="C286" s="111"/>
      <c r="D286" s="111"/>
    </row>
    <row r="287" spans="3:4" x14ac:dyDescent="0.25">
      <c r="C287" s="111"/>
      <c r="D287" s="111"/>
    </row>
    <row r="288" spans="3:4" x14ac:dyDescent="0.25">
      <c r="C288" s="111"/>
      <c r="D288" s="111"/>
    </row>
    <row r="289" spans="3:4" x14ac:dyDescent="0.25">
      <c r="C289" s="111"/>
      <c r="D289" s="111"/>
    </row>
    <row r="290" spans="3:4" x14ac:dyDescent="0.25">
      <c r="C290" s="111"/>
      <c r="D290" s="111"/>
    </row>
    <row r="291" spans="3:4" x14ac:dyDescent="0.25">
      <c r="C291" s="111"/>
      <c r="D291" s="111"/>
    </row>
    <row r="292" spans="3:4" x14ac:dyDescent="0.25">
      <c r="C292" s="111"/>
      <c r="D292" s="111"/>
    </row>
    <row r="293" spans="3:4" x14ac:dyDescent="0.25">
      <c r="C293" s="111"/>
      <c r="D293" s="111"/>
    </row>
    <row r="294" spans="3:4" x14ac:dyDescent="0.25">
      <c r="C294" s="111"/>
      <c r="D294" s="111"/>
    </row>
    <row r="295" spans="3:4" x14ac:dyDescent="0.25">
      <c r="C295" s="111"/>
      <c r="D295" s="111"/>
    </row>
    <row r="296" spans="3:4" x14ac:dyDescent="0.25">
      <c r="C296" s="111"/>
      <c r="D296" s="111"/>
    </row>
    <row r="297" spans="3:4" x14ac:dyDescent="0.25">
      <c r="C297" s="111"/>
      <c r="D297" s="111"/>
    </row>
    <row r="298" spans="3:4" x14ac:dyDescent="0.25">
      <c r="C298" s="111"/>
      <c r="D298" s="111"/>
    </row>
    <row r="299" spans="3:4" x14ac:dyDescent="0.25">
      <c r="C299" s="111"/>
      <c r="D299" s="111"/>
    </row>
    <row r="300" spans="3:4" x14ac:dyDescent="0.25">
      <c r="C300" s="111"/>
      <c r="D300" s="111"/>
    </row>
    <row r="301" spans="3:4" x14ac:dyDescent="0.25">
      <c r="C301" s="111"/>
      <c r="D301" s="111"/>
    </row>
    <row r="302" spans="3:4" x14ac:dyDescent="0.25">
      <c r="C302" s="111"/>
      <c r="D302" s="111"/>
    </row>
    <row r="303" spans="3:4" x14ac:dyDescent="0.25">
      <c r="C303" s="111"/>
      <c r="D303" s="111"/>
    </row>
    <row r="304" spans="3:4" x14ac:dyDescent="0.25">
      <c r="C304" s="111"/>
      <c r="D304" s="111"/>
    </row>
    <row r="305" spans="3:4" x14ac:dyDescent="0.25">
      <c r="C305" s="111"/>
      <c r="D305" s="111"/>
    </row>
    <row r="306" spans="3:4" x14ac:dyDescent="0.25">
      <c r="C306" s="111"/>
      <c r="D306" s="111"/>
    </row>
    <row r="307" spans="3:4" x14ac:dyDescent="0.25">
      <c r="C307" s="111"/>
      <c r="D307" s="111"/>
    </row>
    <row r="308" spans="3:4" x14ac:dyDescent="0.25">
      <c r="C308" s="111"/>
      <c r="D308" s="111"/>
    </row>
    <row r="309" spans="3:4" x14ac:dyDescent="0.25">
      <c r="C309" s="111"/>
      <c r="D309" s="111"/>
    </row>
    <row r="310" spans="3:4" x14ac:dyDescent="0.25">
      <c r="C310" s="111"/>
      <c r="D310" s="111"/>
    </row>
    <row r="311" spans="3:4" x14ac:dyDescent="0.25">
      <c r="C311" s="111"/>
      <c r="D311" s="111"/>
    </row>
    <row r="312" spans="3:4" x14ac:dyDescent="0.25">
      <c r="C312" s="111"/>
      <c r="D312" s="111"/>
    </row>
    <row r="313" spans="3:4" x14ac:dyDescent="0.25">
      <c r="C313" s="111"/>
      <c r="D313" s="111"/>
    </row>
    <row r="314" spans="3:4" x14ac:dyDescent="0.25">
      <c r="C314" s="111"/>
      <c r="D314" s="111"/>
    </row>
    <row r="315" spans="3:4" x14ac:dyDescent="0.25">
      <c r="C315" s="111"/>
      <c r="D315" s="111"/>
    </row>
    <row r="316" spans="3:4" x14ac:dyDescent="0.25">
      <c r="C316" s="111"/>
      <c r="D316" s="111"/>
    </row>
    <row r="317" spans="3:4" x14ac:dyDescent="0.25">
      <c r="C317" s="111"/>
      <c r="D317" s="111"/>
    </row>
    <row r="318" spans="3:4" x14ac:dyDescent="0.25">
      <c r="C318" s="111"/>
      <c r="D318" s="111"/>
    </row>
    <row r="319" spans="3:4" x14ac:dyDescent="0.25">
      <c r="C319" s="111"/>
      <c r="D319" s="111"/>
    </row>
    <row r="320" spans="3:4" x14ac:dyDescent="0.25">
      <c r="C320" s="111"/>
      <c r="D320" s="111"/>
    </row>
    <row r="321" spans="3:4" x14ac:dyDescent="0.25">
      <c r="C321" s="111"/>
      <c r="D321" s="111"/>
    </row>
    <row r="322" spans="3:4" x14ac:dyDescent="0.25">
      <c r="C322" s="111"/>
      <c r="D322" s="111"/>
    </row>
    <row r="323" spans="3:4" x14ac:dyDescent="0.25">
      <c r="C323" s="111"/>
      <c r="D323" s="111"/>
    </row>
    <row r="324" spans="3:4" x14ac:dyDescent="0.25">
      <c r="C324" s="111"/>
      <c r="D324" s="111"/>
    </row>
    <row r="325" spans="3:4" x14ac:dyDescent="0.25">
      <c r="C325" s="111"/>
      <c r="D325" s="111"/>
    </row>
    <row r="326" spans="3:4" x14ac:dyDescent="0.25">
      <c r="C326" s="111"/>
      <c r="D326" s="111"/>
    </row>
    <row r="327" spans="3:4" x14ac:dyDescent="0.25">
      <c r="C327" s="111"/>
      <c r="D327" s="111"/>
    </row>
    <row r="328" spans="3:4" x14ac:dyDescent="0.25">
      <c r="C328" s="111"/>
      <c r="D328" s="111"/>
    </row>
    <row r="329" spans="3:4" x14ac:dyDescent="0.25">
      <c r="C329" s="111"/>
      <c r="D329" s="111"/>
    </row>
    <row r="330" spans="3:4" x14ac:dyDescent="0.25">
      <c r="C330" s="111"/>
      <c r="D330" s="111"/>
    </row>
    <row r="331" spans="3:4" x14ac:dyDescent="0.25">
      <c r="C331" s="111"/>
      <c r="D331" s="111"/>
    </row>
    <row r="332" spans="3:4" x14ac:dyDescent="0.25">
      <c r="C332" s="111"/>
      <c r="D332" s="111"/>
    </row>
    <row r="333" spans="3:4" x14ac:dyDescent="0.25">
      <c r="C333" s="111"/>
      <c r="D333" s="111"/>
    </row>
    <row r="334" spans="3:4" x14ac:dyDescent="0.25">
      <c r="C334" s="111"/>
      <c r="D334" s="111"/>
    </row>
    <row r="335" spans="3:4" x14ac:dyDescent="0.25">
      <c r="C335" s="111"/>
      <c r="D335" s="111"/>
    </row>
    <row r="336" spans="3:4" x14ac:dyDescent="0.25">
      <c r="C336" s="111"/>
      <c r="D336" s="111"/>
    </row>
    <row r="337" spans="3:4" x14ac:dyDescent="0.25">
      <c r="C337" s="111"/>
      <c r="D337" s="111"/>
    </row>
    <row r="338" spans="3:4" x14ac:dyDescent="0.25">
      <c r="C338" s="111"/>
      <c r="D338" s="111"/>
    </row>
    <row r="339" spans="3:4" x14ac:dyDescent="0.25">
      <c r="C339" s="111"/>
      <c r="D339" s="111"/>
    </row>
    <row r="340" spans="3:4" x14ac:dyDescent="0.25">
      <c r="C340" s="111"/>
      <c r="D340" s="111"/>
    </row>
    <row r="341" spans="3:4" x14ac:dyDescent="0.25">
      <c r="C341" s="111"/>
      <c r="D341" s="111"/>
    </row>
    <row r="342" spans="3:4" x14ac:dyDescent="0.25">
      <c r="C342" s="111"/>
      <c r="D342" s="111"/>
    </row>
    <row r="343" spans="3:4" x14ac:dyDescent="0.25">
      <c r="C343" s="111"/>
      <c r="D343" s="111"/>
    </row>
    <row r="344" spans="3:4" x14ac:dyDescent="0.25">
      <c r="C344" s="111"/>
      <c r="D344" s="111"/>
    </row>
    <row r="345" spans="3:4" x14ac:dyDescent="0.25">
      <c r="C345" s="111"/>
      <c r="D345" s="111"/>
    </row>
    <row r="346" spans="3:4" x14ac:dyDescent="0.25">
      <c r="C346" s="111"/>
      <c r="D346" s="111"/>
    </row>
    <row r="347" spans="3:4" x14ac:dyDescent="0.25">
      <c r="C347" s="111"/>
      <c r="D347" s="111"/>
    </row>
    <row r="348" spans="3:4" x14ac:dyDescent="0.25">
      <c r="C348" s="111"/>
      <c r="D348" s="111"/>
    </row>
    <row r="349" spans="3:4" x14ac:dyDescent="0.25">
      <c r="C349" s="111"/>
      <c r="D349" s="111"/>
    </row>
    <row r="350" spans="3:4" x14ac:dyDescent="0.25">
      <c r="C350" s="111"/>
      <c r="D350" s="111"/>
    </row>
    <row r="351" spans="3:4" x14ac:dyDescent="0.25">
      <c r="C351" s="111"/>
      <c r="D351" s="111"/>
    </row>
    <row r="352" spans="3:4" x14ac:dyDescent="0.25">
      <c r="C352" s="111"/>
      <c r="D352" s="111"/>
    </row>
    <row r="353" spans="3:4" x14ac:dyDescent="0.25">
      <c r="C353" s="111"/>
      <c r="D353" s="111"/>
    </row>
    <row r="354" spans="3:4" x14ac:dyDescent="0.25">
      <c r="C354" s="111"/>
      <c r="D354" s="111"/>
    </row>
    <row r="355" spans="3:4" x14ac:dyDescent="0.25">
      <c r="C355" s="111"/>
      <c r="D355" s="111"/>
    </row>
    <row r="356" spans="3:4" x14ac:dyDescent="0.25">
      <c r="C356" s="111"/>
      <c r="D356" s="111"/>
    </row>
    <row r="357" spans="3:4" x14ac:dyDescent="0.25">
      <c r="C357" s="111"/>
      <c r="D357" s="111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B42C-9D96-4EAD-B816-2A7004F78112}">
  <sheetPr codeName="Sheet22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16" bestFit="1" customWidth="1"/>
    <col min="2" max="2" width="8.625" style="112" bestFit="1" customWidth="1"/>
    <col min="3" max="3" width="8.625" bestFit="1" customWidth="1"/>
    <col min="4" max="4" width="8.25" bestFit="1" customWidth="1"/>
  </cols>
  <sheetData>
    <row r="1" spans="1:5" ht="17.25" x14ac:dyDescent="0.25">
      <c r="A1" s="113" t="s">
        <v>530</v>
      </c>
      <c r="B1" s="167" t="s">
        <v>531</v>
      </c>
      <c r="C1" s="167" t="s">
        <v>532</v>
      </c>
      <c r="D1" s="107" t="s">
        <v>533</v>
      </c>
      <c r="E1" s="188" t="s">
        <v>534</v>
      </c>
    </row>
    <row r="2" spans="1:5" x14ac:dyDescent="0.25">
      <c r="A2" s="114" t="s">
        <v>547</v>
      </c>
      <c r="B2" s="132">
        <v>98</v>
      </c>
      <c r="C2" s="132">
        <v>138</v>
      </c>
      <c r="D2" s="108">
        <v>10</v>
      </c>
      <c r="E2" s="188"/>
    </row>
    <row r="3" spans="1:5" ht="18.75" x14ac:dyDescent="0.25">
      <c r="A3" s="115" t="s">
        <v>535</v>
      </c>
      <c r="B3" s="109" t="s">
        <v>536</v>
      </c>
      <c r="C3" s="109" t="s">
        <v>537</v>
      </c>
      <c r="D3" s="109" t="s">
        <v>538</v>
      </c>
    </row>
    <row r="4" spans="1:5" x14ac:dyDescent="0.25">
      <c r="A4" s="133">
        <v>98</v>
      </c>
      <c r="B4" s="111">
        <v>6.5944680216756142</v>
      </c>
      <c r="C4" s="133">
        <v>119.23184698915308</v>
      </c>
      <c r="D4" s="133">
        <v>33.766990612694563</v>
      </c>
    </row>
    <row r="5" spans="1:5" x14ac:dyDescent="0.25">
      <c r="A5" s="133">
        <v>102</v>
      </c>
      <c r="B5" s="111">
        <v>6.4464440006791293</v>
      </c>
      <c r="C5" s="111"/>
      <c r="D5" s="111"/>
    </row>
    <row r="6" spans="1:5" x14ac:dyDescent="0.25">
      <c r="A6" s="133">
        <v>106</v>
      </c>
      <c r="B6" s="111">
        <v>6.3336322587004039</v>
      </c>
      <c r="C6" s="111"/>
      <c r="D6" s="111"/>
    </row>
    <row r="7" spans="1:5" x14ac:dyDescent="0.25">
      <c r="A7" s="133">
        <v>110</v>
      </c>
      <c r="B7" s="111">
        <v>6.2544244011089898</v>
      </c>
      <c r="C7" s="111"/>
      <c r="D7" s="111"/>
    </row>
    <row r="8" spans="1:5" x14ac:dyDescent="0.25">
      <c r="A8" s="133">
        <v>114</v>
      </c>
      <c r="B8" s="111">
        <v>6.2070273837702148</v>
      </c>
      <c r="C8" s="111"/>
      <c r="D8" s="111"/>
    </row>
    <row r="9" spans="1:5" x14ac:dyDescent="0.25">
      <c r="A9" s="133">
        <v>118</v>
      </c>
      <c r="B9" s="111">
        <v>6.1895430778974854</v>
      </c>
      <c r="C9" s="111"/>
      <c r="D9" s="111"/>
    </row>
    <row r="10" spans="1:5" x14ac:dyDescent="0.25">
      <c r="A10" s="133">
        <v>122</v>
      </c>
      <c r="B10" s="111">
        <v>6.2000639076778246</v>
      </c>
      <c r="C10" s="111"/>
      <c r="D10" s="111"/>
    </row>
    <row r="11" spans="1:5" x14ac:dyDescent="0.25">
      <c r="A11" s="133">
        <v>126</v>
      </c>
      <c r="B11" s="111">
        <v>6.2367465790562289</v>
      </c>
      <c r="C11" s="111"/>
      <c r="D11" s="111"/>
    </row>
    <row r="12" spans="1:5" x14ac:dyDescent="0.25">
      <c r="A12" s="133">
        <v>130</v>
      </c>
      <c r="B12" s="111">
        <v>6.2978279009190787</v>
      </c>
      <c r="C12" s="111"/>
      <c r="D12" s="111"/>
    </row>
    <row r="13" spans="1:5" x14ac:dyDescent="0.25">
      <c r="A13" s="133">
        <v>134</v>
      </c>
      <c r="B13" s="111">
        <v>6.3815710025751509</v>
      </c>
      <c r="C13" s="111"/>
      <c r="D13" s="111"/>
    </row>
    <row r="14" spans="1:5" x14ac:dyDescent="0.25">
      <c r="A14" s="133">
        <v>138</v>
      </c>
      <c r="B14" s="111">
        <v>6.4861679419801748</v>
      </c>
      <c r="C14" s="111"/>
      <c r="D14" s="111"/>
    </row>
    <row r="15" spans="1:5" x14ac:dyDescent="0.25">
      <c r="A15" s="133"/>
      <c r="B15" s="111"/>
      <c r="C15" s="111"/>
      <c r="D15" s="111"/>
    </row>
    <row r="16" spans="1:5" x14ac:dyDescent="0.25">
      <c r="A16" s="133"/>
      <c r="B16" s="111"/>
      <c r="C16" s="111"/>
      <c r="D16" s="111"/>
    </row>
    <row r="17" spans="1:4" x14ac:dyDescent="0.25">
      <c r="A17" s="133"/>
      <c r="B17" s="111"/>
      <c r="C17" s="111"/>
      <c r="D17" s="111"/>
    </row>
    <row r="18" spans="1:4" x14ac:dyDescent="0.25">
      <c r="A18" s="133"/>
      <c r="B18" s="111"/>
      <c r="C18" s="111"/>
      <c r="D18" s="111"/>
    </row>
    <row r="19" spans="1:4" x14ac:dyDescent="0.25">
      <c r="A19" s="133"/>
      <c r="B19" s="111"/>
      <c r="C19" s="111"/>
      <c r="D19" s="111"/>
    </row>
    <row r="20" spans="1:4" x14ac:dyDescent="0.25">
      <c r="A20" s="133"/>
      <c r="B20" s="111"/>
      <c r="C20" s="111"/>
      <c r="D20" s="111"/>
    </row>
    <row r="21" spans="1:4" x14ac:dyDescent="0.25">
      <c r="A21" s="133"/>
      <c r="B21" s="111"/>
      <c r="C21" s="111"/>
      <c r="D21" s="111"/>
    </row>
    <row r="22" spans="1:4" x14ac:dyDescent="0.25">
      <c r="A22" s="133"/>
      <c r="B22" s="111"/>
      <c r="C22" s="111"/>
      <c r="D22" s="111"/>
    </row>
    <row r="23" spans="1:4" x14ac:dyDescent="0.25">
      <c r="A23" s="133"/>
      <c r="B23" s="111"/>
      <c r="C23" s="111"/>
      <c r="D23" s="111"/>
    </row>
    <row r="24" spans="1:4" x14ac:dyDescent="0.25">
      <c r="A24" s="133"/>
      <c r="B24" s="111"/>
      <c r="C24" s="111"/>
      <c r="D24" s="111"/>
    </row>
    <row r="25" spans="1:4" x14ac:dyDescent="0.25">
      <c r="B25" s="111"/>
      <c r="C25" s="111"/>
      <c r="D25" s="111"/>
    </row>
    <row r="26" spans="1:4" x14ac:dyDescent="0.25">
      <c r="B26" s="111"/>
      <c r="C26" s="111"/>
      <c r="D26" s="111"/>
    </row>
    <row r="27" spans="1:4" x14ac:dyDescent="0.25">
      <c r="B27" s="111"/>
      <c r="C27" s="111"/>
      <c r="D27" s="111"/>
    </row>
    <row r="28" spans="1:4" x14ac:dyDescent="0.25">
      <c r="B28" s="111"/>
      <c r="C28" s="111"/>
      <c r="D28" s="111"/>
    </row>
    <row r="29" spans="1:4" x14ac:dyDescent="0.25">
      <c r="B29" s="111"/>
      <c r="C29" s="111"/>
      <c r="D29" s="111"/>
    </row>
    <row r="30" spans="1:4" x14ac:dyDescent="0.25">
      <c r="B30" s="111"/>
      <c r="C30" s="111"/>
      <c r="D30" s="111"/>
    </row>
    <row r="31" spans="1:4" x14ac:dyDescent="0.25">
      <c r="B31" s="111"/>
      <c r="C31" s="111"/>
      <c r="D31" s="111"/>
    </row>
    <row r="32" spans="1:4" x14ac:dyDescent="0.25">
      <c r="B32" s="111"/>
      <c r="C32" s="111"/>
      <c r="D32" s="111"/>
    </row>
    <row r="33" spans="2:4" x14ac:dyDescent="0.25">
      <c r="B33" s="111"/>
      <c r="C33" s="111"/>
      <c r="D33" s="111"/>
    </row>
    <row r="34" spans="2:4" x14ac:dyDescent="0.25">
      <c r="B34" s="111"/>
      <c r="C34" s="111"/>
      <c r="D34" s="111"/>
    </row>
    <row r="35" spans="2:4" x14ac:dyDescent="0.25">
      <c r="C35" s="111"/>
      <c r="D35" s="111"/>
    </row>
    <row r="36" spans="2:4" x14ac:dyDescent="0.25">
      <c r="C36" s="111"/>
      <c r="D36" s="111"/>
    </row>
    <row r="37" spans="2:4" x14ac:dyDescent="0.25">
      <c r="C37" s="111"/>
      <c r="D37" s="111"/>
    </row>
    <row r="38" spans="2:4" x14ac:dyDescent="0.25">
      <c r="C38" s="111"/>
      <c r="D38" s="111"/>
    </row>
    <row r="39" spans="2:4" x14ac:dyDescent="0.25">
      <c r="C39" s="111"/>
      <c r="D39" s="111"/>
    </row>
    <row r="40" spans="2:4" x14ac:dyDescent="0.25">
      <c r="C40" s="111"/>
      <c r="D40" s="111"/>
    </row>
    <row r="41" spans="2:4" x14ac:dyDescent="0.25">
      <c r="C41" s="111"/>
      <c r="D41" s="111"/>
    </row>
    <row r="42" spans="2:4" x14ac:dyDescent="0.25">
      <c r="C42" s="111"/>
      <c r="D42" s="111"/>
    </row>
    <row r="43" spans="2:4" x14ac:dyDescent="0.25">
      <c r="C43" s="111"/>
      <c r="D43" s="111"/>
    </row>
    <row r="44" spans="2:4" x14ac:dyDescent="0.25">
      <c r="C44" s="111"/>
      <c r="D44" s="111"/>
    </row>
    <row r="45" spans="2:4" x14ac:dyDescent="0.25">
      <c r="C45" s="111"/>
      <c r="D45" s="111"/>
    </row>
    <row r="46" spans="2:4" x14ac:dyDescent="0.25">
      <c r="C46" s="111"/>
      <c r="D46" s="111"/>
    </row>
    <row r="47" spans="2:4" x14ac:dyDescent="0.25">
      <c r="C47" s="111"/>
      <c r="D47" s="111"/>
    </row>
    <row r="48" spans="2:4" x14ac:dyDescent="0.25">
      <c r="C48" s="111"/>
      <c r="D48" s="111"/>
    </row>
    <row r="49" spans="3:4" x14ac:dyDescent="0.25">
      <c r="C49" s="111"/>
      <c r="D49" s="111"/>
    </row>
    <row r="50" spans="3:4" x14ac:dyDescent="0.25">
      <c r="C50" s="111"/>
      <c r="D50" s="111"/>
    </row>
    <row r="51" spans="3:4" x14ac:dyDescent="0.25">
      <c r="C51" s="111"/>
      <c r="D51" s="111"/>
    </row>
    <row r="52" spans="3:4" x14ac:dyDescent="0.25">
      <c r="C52" s="111"/>
      <c r="D52" s="111"/>
    </row>
    <row r="53" spans="3:4" x14ac:dyDescent="0.25">
      <c r="C53" s="111"/>
      <c r="D53" s="111"/>
    </row>
    <row r="54" spans="3:4" x14ac:dyDescent="0.25">
      <c r="C54" s="111"/>
      <c r="D54" s="111"/>
    </row>
    <row r="55" spans="3:4" x14ac:dyDescent="0.25">
      <c r="C55" s="111"/>
      <c r="D55" s="111"/>
    </row>
    <row r="56" spans="3:4" x14ac:dyDescent="0.25">
      <c r="C56" s="111"/>
      <c r="D56" s="111"/>
    </row>
    <row r="57" spans="3:4" x14ac:dyDescent="0.25">
      <c r="C57" s="111"/>
      <c r="D57" s="111"/>
    </row>
    <row r="58" spans="3:4" x14ac:dyDescent="0.25">
      <c r="C58" s="111"/>
      <c r="D58" s="111"/>
    </row>
    <row r="59" spans="3:4" x14ac:dyDescent="0.25">
      <c r="C59" s="111"/>
      <c r="D59" s="111"/>
    </row>
    <row r="60" spans="3:4" x14ac:dyDescent="0.25">
      <c r="C60" s="111"/>
      <c r="D60" s="111"/>
    </row>
    <row r="61" spans="3:4" x14ac:dyDescent="0.25">
      <c r="C61" s="111"/>
      <c r="D61" s="111"/>
    </row>
    <row r="62" spans="3:4" x14ac:dyDescent="0.25">
      <c r="C62" s="111"/>
      <c r="D62" s="111"/>
    </row>
    <row r="63" spans="3:4" x14ac:dyDescent="0.25">
      <c r="C63" s="111"/>
      <c r="D63" s="111"/>
    </row>
    <row r="64" spans="3:4" x14ac:dyDescent="0.25">
      <c r="C64" s="111"/>
      <c r="D64" s="111"/>
    </row>
    <row r="65" spans="3:4" x14ac:dyDescent="0.25">
      <c r="C65" s="111"/>
      <c r="D65" s="111"/>
    </row>
    <row r="66" spans="3:4" x14ac:dyDescent="0.25">
      <c r="C66" s="111"/>
      <c r="D66" s="111"/>
    </row>
    <row r="67" spans="3:4" x14ac:dyDescent="0.25">
      <c r="C67" s="111"/>
      <c r="D67" s="111"/>
    </row>
    <row r="68" spans="3:4" x14ac:dyDescent="0.25">
      <c r="C68" s="111"/>
      <c r="D68" s="111"/>
    </row>
    <row r="69" spans="3:4" x14ac:dyDescent="0.25">
      <c r="C69" s="111"/>
      <c r="D69" s="111"/>
    </row>
    <row r="70" spans="3:4" x14ac:dyDescent="0.25">
      <c r="C70" s="111"/>
      <c r="D70" s="111"/>
    </row>
    <row r="71" spans="3:4" x14ac:dyDescent="0.25">
      <c r="C71" s="111"/>
      <c r="D71" s="111"/>
    </row>
    <row r="72" spans="3:4" x14ac:dyDescent="0.25">
      <c r="C72" s="111"/>
      <c r="D72" s="111"/>
    </row>
    <row r="73" spans="3:4" x14ac:dyDescent="0.25">
      <c r="C73" s="111"/>
      <c r="D73" s="111"/>
    </row>
    <row r="74" spans="3:4" x14ac:dyDescent="0.25">
      <c r="C74" s="111"/>
      <c r="D74" s="111"/>
    </row>
    <row r="75" spans="3:4" x14ac:dyDescent="0.25">
      <c r="C75" s="111"/>
      <c r="D75" s="111"/>
    </row>
    <row r="76" spans="3:4" x14ac:dyDescent="0.25">
      <c r="C76" s="111"/>
      <c r="D76" s="111"/>
    </row>
    <row r="77" spans="3:4" x14ac:dyDescent="0.25">
      <c r="C77" s="111"/>
      <c r="D77" s="111"/>
    </row>
    <row r="78" spans="3:4" x14ac:dyDescent="0.25">
      <c r="C78" s="111"/>
      <c r="D78" s="111"/>
    </row>
    <row r="79" spans="3:4" x14ac:dyDescent="0.25">
      <c r="C79" s="111"/>
      <c r="D79" s="111"/>
    </row>
    <row r="80" spans="3:4" x14ac:dyDescent="0.25">
      <c r="C80" s="111"/>
      <c r="D80" s="111"/>
    </row>
    <row r="81" spans="3:4" x14ac:dyDescent="0.25">
      <c r="C81" s="111"/>
      <c r="D81" s="111"/>
    </row>
    <row r="82" spans="3:4" x14ac:dyDescent="0.25">
      <c r="C82" s="111"/>
      <c r="D82" s="111"/>
    </row>
    <row r="83" spans="3:4" x14ac:dyDescent="0.25">
      <c r="C83" s="111"/>
      <c r="D83" s="111"/>
    </row>
    <row r="84" spans="3:4" x14ac:dyDescent="0.25">
      <c r="C84" s="111"/>
      <c r="D84" s="111"/>
    </row>
    <row r="85" spans="3:4" x14ac:dyDescent="0.25">
      <c r="C85" s="111"/>
      <c r="D85" s="111"/>
    </row>
    <row r="86" spans="3:4" x14ac:dyDescent="0.25">
      <c r="C86" s="111"/>
      <c r="D86" s="111"/>
    </row>
    <row r="87" spans="3:4" x14ac:dyDescent="0.25">
      <c r="C87" s="111"/>
      <c r="D87" s="111"/>
    </row>
    <row r="88" spans="3:4" x14ac:dyDescent="0.25">
      <c r="C88" s="111"/>
      <c r="D88" s="111"/>
    </row>
    <row r="89" spans="3:4" x14ac:dyDescent="0.25">
      <c r="C89" s="111"/>
      <c r="D89" s="111"/>
    </row>
    <row r="90" spans="3:4" x14ac:dyDescent="0.25">
      <c r="C90" s="111"/>
      <c r="D90" s="111"/>
    </row>
    <row r="91" spans="3:4" x14ac:dyDescent="0.25">
      <c r="C91" s="111"/>
      <c r="D91" s="111"/>
    </row>
    <row r="92" spans="3:4" x14ac:dyDescent="0.25">
      <c r="C92" s="111"/>
      <c r="D92" s="111"/>
    </row>
    <row r="93" spans="3:4" x14ac:dyDescent="0.25">
      <c r="C93" s="111"/>
      <c r="D93" s="111"/>
    </row>
    <row r="94" spans="3:4" x14ac:dyDescent="0.25">
      <c r="C94" s="111"/>
      <c r="D94" s="111"/>
    </row>
    <row r="95" spans="3:4" x14ac:dyDescent="0.25">
      <c r="C95" s="111"/>
      <c r="D95" s="111"/>
    </row>
    <row r="96" spans="3:4" x14ac:dyDescent="0.25">
      <c r="C96" s="111"/>
      <c r="D96" s="111"/>
    </row>
    <row r="97" spans="3:4" x14ac:dyDescent="0.25">
      <c r="C97" s="111"/>
      <c r="D97" s="111"/>
    </row>
    <row r="98" spans="3:4" x14ac:dyDescent="0.25">
      <c r="C98" s="111"/>
      <c r="D98" s="111"/>
    </row>
    <row r="99" spans="3:4" x14ac:dyDescent="0.25">
      <c r="C99" s="111"/>
      <c r="D99" s="111"/>
    </row>
    <row r="100" spans="3:4" x14ac:dyDescent="0.25">
      <c r="C100" s="111"/>
      <c r="D100" s="111"/>
    </row>
    <row r="101" spans="3:4" x14ac:dyDescent="0.25">
      <c r="C101" s="111"/>
      <c r="D101" s="111"/>
    </row>
    <row r="102" spans="3:4" x14ac:dyDescent="0.25">
      <c r="C102" s="111"/>
      <c r="D102" s="111"/>
    </row>
    <row r="103" spans="3:4" x14ac:dyDescent="0.25">
      <c r="C103" s="111"/>
      <c r="D103" s="111"/>
    </row>
    <row r="104" spans="3:4" x14ac:dyDescent="0.25">
      <c r="C104" s="111"/>
      <c r="D104" s="111"/>
    </row>
    <row r="105" spans="3:4" x14ac:dyDescent="0.25">
      <c r="C105" s="111"/>
      <c r="D105" s="111"/>
    </row>
    <row r="106" spans="3:4" x14ac:dyDescent="0.25">
      <c r="C106" s="111"/>
      <c r="D106" s="111"/>
    </row>
    <row r="107" spans="3:4" x14ac:dyDescent="0.25">
      <c r="C107" s="111"/>
      <c r="D107" s="111"/>
    </row>
    <row r="108" spans="3:4" x14ac:dyDescent="0.25">
      <c r="C108" s="111"/>
      <c r="D108" s="111"/>
    </row>
    <row r="109" spans="3:4" x14ac:dyDescent="0.25">
      <c r="C109" s="111"/>
      <c r="D109" s="111"/>
    </row>
    <row r="110" spans="3:4" x14ac:dyDescent="0.25">
      <c r="C110" s="111"/>
      <c r="D110" s="111"/>
    </row>
    <row r="111" spans="3:4" x14ac:dyDescent="0.25">
      <c r="C111" s="111"/>
      <c r="D111" s="111"/>
    </row>
    <row r="112" spans="3:4" x14ac:dyDescent="0.25">
      <c r="C112" s="111"/>
      <c r="D112" s="111"/>
    </row>
    <row r="113" spans="3:4" x14ac:dyDescent="0.25">
      <c r="C113" s="111"/>
      <c r="D113" s="111"/>
    </row>
    <row r="114" spans="3:4" x14ac:dyDescent="0.25">
      <c r="C114" s="111"/>
      <c r="D114" s="111"/>
    </row>
    <row r="115" spans="3:4" x14ac:dyDescent="0.25">
      <c r="C115" s="111"/>
      <c r="D115" s="111"/>
    </row>
    <row r="116" spans="3:4" x14ac:dyDescent="0.25">
      <c r="C116" s="111"/>
      <c r="D116" s="111"/>
    </row>
    <row r="117" spans="3:4" x14ac:dyDescent="0.25">
      <c r="C117" s="111"/>
      <c r="D117" s="111"/>
    </row>
    <row r="118" spans="3:4" x14ac:dyDescent="0.25">
      <c r="C118" s="111"/>
      <c r="D118" s="111"/>
    </row>
    <row r="119" spans="3:4" x14ac:dyDescent="0.25">
      <c r="C119" s="111"/>
      <c r="D119" s="111"/>
    </row>
    <row r="120" spans="3:4" x14ac:dyDescent="0.25">
      <c r="C120" s="111"/>
      <c r="D120" s="111"/>
    </row>
    <row r="121" spans="3:4" x14ac:dyDescent="0.25">
      <c r="C121" s="111"/>
      <c r="D121" s="111"/>
    </row>
    <row r="122" spans="3:4" x14ac:dyDescent="0.25">
      <c r="C122" s="111"/>
      <c r="D122" s="111"/>
    </row>
    <row r="123" spans="3:4" x14ac:dyDescent="0.25">
      <c r="C123" s="111"/>
      <c r="D123" s="111"/>
    </row>
    <row r="124" spans="3:4" x14ac:dyDescent="0.25">
      <c r="C124" s="111"/>
      <c r="D124" s="111"/>
    </row>
    <row r="125" spans="3:4" x14ac:dyDescent="0.25">
      <c r="C125" s="111"/>
      <c r="D125" s="111"/>
    </row>
    <row r="126" spans="3:4" x14ac:dyDescent="0.25">
      <c r="C126" s="111"/>
      <c r="D126" s="111"/>
    </row>
    <row r="127" spans="3:4" x14ac:dyDescent="0.25">
      <c r="C127" s="111"/>
      <c r="D127" s="111"/>
    </row>
    <row r="128" spans="3:4" x14ac:dyDescent="0.25">
      <c r="C128" s="111"/>
      <c r="D128" s="111"/>
    </row>
    <row r="129" spans="3:4" x14ac:dyDescent="0.25">
      <c r="C129" s="111"/>
      <c r="D129" s="111"/>
    </row>
    <row r="130" spans="3:4" x14ac:dyDescent="0.25">
      <c r="C130" s="111"/>
      <c r="D130" s="111"/>
    </row>
    <row r="131" spans="3:4" x14ac:dyDescent="0.25">
      <c r="C131" s="111"/>
      <c r="D131" s="111"/>
    </row>
    <row r="132" spans="3:4" x14ac:dyDescent="0.25">
      <c r="C132" s="111"/>
      <c r="D132" s="111"/>
    </row>
    <row r="133" spans="3:4" x14ac:dyDescent="0.25">
      <c r="C133" s="111"/>
      <c r="D133" s="111"/>
    </row>
    <row r="134" spans="3:4" x14ac:dyDescent="0.25">
      <c r="C134" s="111"/>
      <c r="D134" s="111"/>
    </row>
    <row r="135" spans="3:4" x14ac:dyDescent="0.25">
      <c r="C135" s="111"/>
      <c r="D135" s="111"/>
    </row>
    <row r="136" spans="3:4" x14ac:dyDescent="0.25">
      <c r="C136" s="111"/>
      <c r="D136" s="111"/>
    </row>
    <row r="137" spans="3:4" x14ac:dyDescent="0.25">
      <c r="C137" s="111"/>
      <c r="D137" s="111"/>
    </row>
    <row r="138" spans="3:4" x14ac:dyDescent="0.25">
      <c r="C138" s="111"/>
      <c r="D138" s="111"/>
    </row>
    <row r="139" spans="3:4" x14ac:dyDescent="0.25">
      <c r="C139" s="111"/>
      <c r="D139" s="111"/>
    </row>
    <row r="140" spans="3:4" x14ac:dyDescent="0.25">
      <c r="C140" s="111"/>
      <c r="D140" s="111"/>
    </row>
    <row r="141" spans="3:4" x14ac:dyDescent="0.25">
      <c r="C141" s="111"/>
      <c r="D141" s="111"/>
    </row>
    <row r="142" spans="3:4" x14ac:dyDescent="0.25">
      <c r="C142" s="111"/>
      <c r="D142" s="111"/>
    </row>
    <row r="143" spans="3:4" x14ac:dyDescent="0.25">
      <c r="C143" s="111"/>
      <c r="D143" s="111"/>
    </row>
    <row r="144" spans="3:4" x14ac:dyDescent="0.25">
      <c r="C144" s="111"/>
      <c r="D144" s="111"/>
    </row>
    <row r="145" spans="3:4" x14ac:dyDescent="0.25">
      <c r="C145" s="111"/>
      <c r="D145" s="111"/>
    </row>
    <row r="146" spans="3:4" x14ac:dyDescent="0.25">
      <c r="C146" s="111"/>
      <c r="D146" s="111"/>
    </row>
    <row r="147" spans="3:4" x14ac:dyDescent="0.25">
      <c r="C147" s="111"/>
      <c r="D147" s="111"/>
    </row>
    <row r="148" spans="3:4" x14ac:dyDescent="0.25">
      <c r="C148" s="111"/>
      <c r="D148" s="111"/>
    </row>
    <row r="149" spans="3:4" x14ac:dyDescent="0.25">
      <c r="C149" s="111"/>
      <c r="D149" s="111"/>
    </row>
    <row r="150" spans="3:4" x14ac:dyDescent="0.25">
      <c r="C150" s="111"/>
      <c r="D150" s="111"/>
    </row>
    <row r="151" spans="3:4" x14ac:dyDescent="0.25">
      <c r="C151" s="111"/>
      <c r="D151" s="111"/>
    </row>
    <row r="152" spans="3:4" x14ac:dyDescent="0.25">
      <c r="C152" s="111"/>
      <c r="D152" s="111"/>
    </row>
    <row r="153" spans="3:4" x14ac:dyDescent="0.25">
      <c r="C153" s="111"/>
      <c r="D153" s="111"/>
    </row>
    <row r="154" spans="3:4" x14ac:dyDescent="0.25">
      <c r="C154" s="111"/>
      <c r="D154" s="111"/>
    </row>
    <row r="155" spans="3:4" x14ac:dyDescent="0.25">
      <c r="C155" s="111"/>
      <c r="D155" s="111"/>
    </row>
    <row r="156" spans="3:4" x14ac:dyDescent="0.25">
      <c r="C156" s="111"/>
      <c r="D156" s="111"/>
    </row>
    <row r="157" spans="3:4" x14ac:dyDescent="0.25">
      <c r="C157" s="111"/>
      <c r="D157" s="111"/>
    </row>
    <row r="158" spans="3:4" x14ac:dyDescent="0.25">
      <c r="C158" s="111"/>
      <c r="D158" s="111"/>
    </row>
    <row r="159" spans="3:4" x14ac:dyDescent="0.25">
      <c r="C159" s="111"/>
      <c r="D159" s="111"/>
    </row>
    <row r="160" spans="3:4" x14ac:dyDescent="0.25">
      <c r="C160" s="111"/>
      <c r="D160" s="111"/>
    </row>
    <row r="161" spans="3:4" x14ac:dyDescent="0.25">
      <c r="C161" s="111"/>
      <c r="D161" s="111"/>
    </row>
    <row r="162" spans="3:4" x14ac:dyDescent="0.25">
      <c r="C162" s="111"/>
      <c r="D162" s="111"/>
    </row>
    <row r="163" spans="3:4" x14ac:dyDescent="0.25">
      <c r="C163" s="111"/>
      <c r="D163" s="111"/>
    </row>
    <row r="164" spans="3:4" x14ac:dyDescent="0.25">
      <c r="C164" s="111"/>
      <c r="D164" s="111"/>
    </row>
    <row r="165" spans="3:4" x14ac:dyDescent="0.25">
      <c r="C165" s="111"/>
      <c r="D165" s="111"/>
    </row>
    <row r="166" spans="3:4" x14ac:dyDescent="0.25">
      <c r="C166" s="111"/>
      <c r="D166" s="111"/>
    </row>
    <row r="167" spans="3:4" x14ac:dyDescent="0.25">
      <c r="C167" s="111"/>
      <c r="D167" s="111"/>
    </row>
    <row r="168" spans="3:4" x14ac:dyDescent="0.25">
      <c r="C168" s="111"/>
      <c r="D168" s="111"/>
    </row>
    <row r="169" spans="3:4" x14ac:dyDescent="0.25">
      <c r="C169" s="111"/>
      <c r="D169" s="111"/>
    </row>
    <row r="170" spans="3:4" x14ac:dyDescent="0.25">
      <c r="C170" s="111"/>
      <c r="D170" s="111"/>
    </row>
    <row r="171" spans="3:4" x14ac:dyDescent="0.25">
      <c r="C171" s="111"/>
      <c r="D171" s="111"/>
    </row>
    <row r="172" spans="3:4" x14ac:dyDescent="0.25">
      <c r="C172" s="111"/>
      <c r="D172" s="111"/>
    </row>
    <row r="173" spans="3:4" x14ac:dyDescent="0.25">
      <c r="C173" s="111"/>
      <c r="D173" s="111"/>
    </row>
    <row r="174" spans="3:4" x14ac:dyDescent="0.25">
      <c r="C174" s="111"/>
      <c r="D174" s="111"/>
    </row>
    <row r="175" spans="3:4" x14ac:dyDescent="0.25">
      <c r="C175" s="111"/>
      <c r="D175" s="111"/>
    </row>
    <row r="176" spans="3:4" x14ac:dyDescent="0.25">
      <c r="C176" s="111"/>
      <c r="D176" s="111"/>
    </row>
    <row r="177" spans="3:4" x14ac:dyDescent="0.25">
      <c r="C177" s="111"/>
      <c r="D177" s="111"/>
    </row>
    <row r="178" spans="3:4" x14ac:dyDescent="0.25">
      <c r="C178" s="111"/>
      <c r="D178" s="111"/>
    </row>
    <row r="179" spans="3:4" x14ac:dyDescent="0.25">
      <c r="C179" s="111"/>
      <c r="D179" s="111"/>
    </row>
    <row r="180" spans="3:4" x14ac:dyDescent="0.25">
      <c r="C180" s="111"/>
      <c r="D180" s="111"/>
    </row>
    <row r="181" spans="3:4" x14ac:dyDescent="0.25">
      <c r="C181" s="111"/>
      <c r="D181" s="111"/>
    </row>
    <row r="182" spans="3:4" x14ac:dyDescent="0.25">
      <c r="C182" s="111"/>
      <c r="D182" s="111"/>
    </row>
    <row r="183" spans="3:4" x14ac:dyDescent="0.25">
      <c r="C183" s="111"/>
      <c r="D183" s="111"/>
    </row>
    <row r="184" spans="3:4" x14ac:dyDescent="0.25">
      <c r="C184" s="111"/>
      <c r="D184" s="111"/>
    </row>
    <row r="185" spans="3:4" x14ac:dyDescent="0.25">
      <c r="C185" s="111"/>
      <c r="D185" s="111"/>
    </row>
    <row r="186" spans="3:4" x14ac:dyDescent="0.25">
      <c r="C186" s="111"/>
      <c r="D186" s="111"/>
    </row>
    <row r="187" spans="3:4" x14ac:dyDescent="0.25">
      <c r="C187" s="111"/>
      <c r="D187" s="111"/>
    </row>
    <row r="188" spans="3:4" x14ac:dyDescent="0.25">
      <c r="C188" s="111"/>
      <c r="D188" s="111"/>
    </row>
    <row r="189" spans="3:4" x14ac:dyDescent="0.25">
      <c r="C189" s="111"/>
      <c r="D189" s="111"/>
    </row>
    <row r="190" spans="3:4" x14ac:dyDescent="0.25">
      <c r="C190" s="111"/>
      <c r="D190" s="111"/>
    </row>
    <row r="191" spans="3:4" x14ac:dyDescent="0.25">
      <c r="C191" s="111"/>
      <c r="D191" s="111"/>
    </row>
    <row r="192" spans="3:4" x14ac:dyDescent="0.25">
      <c r="C192" s="111"/>
      <c r="D192" s="111"/>
    </row>
    <row r="193" spans="3:4" x14ac:dyDescent="0.25">
      <c r="C193" s="111"/>
      <c r="D193" s="111"/>
    </row>
    <row r="194" spans="3:4" x14ac:dyDescent="0.25">
      <c r="C194" s="111"/>
      <c r="D194" s="111"/>
    </row>
    <row r="195" spans="3:4" x14ac:dyDescent="0.25">
      <c r="C195" s="111"/>
      <c r="D195" s="111"/>
    </row>
    <row r="196" spans="3:4" x14ac:dyDescent="0.25">
      <c r="C196" s="111"/>
      <c r="D196" s="111"/>
    </row>
    <row r="197" spans="3:4" x14ac:dyDescent="0.25">
      <c r="C197" s="111"/>
      <c r="D197" s="111"/>
    </row>
    <row r="198" spans="3:4" x14ac:dyDescent="0.25">
      <c r="C198" s="111"/>
      <c r="D198" s="111"/>
    </row>
    <row r="199" spans="3:4" x14ac:dyDescent="0.25">
      <c r="C199" s="111"/>
      <c r="D199" s="111"/>
    </row>
    <row r="200" spans="3:4" x14ac:dyDescent="0.25">
      <c r="C200" s="111"/>
      <c r="D200" s="111"/>
    </row>
    <row r="201" spans="3:4" x14ac:dyDescent="0.25">
      <c r="C201" s="111"/>
      <c r="D201" s="111"/>
    </row>
    <row r="202" spans="3:4" x14ac:dyDescent="0.25">
      <c r="C202" s="111"/>
      <c r="D202" s="111"/>
    </row>
    <row r="203" spans="3:4" x14ac:dyDescent="0.25">
      <c r="C203" s="111"/>
      <c r="D203" s="111"/>
    </row>
    <row r="204" spans="3:4" x14ac:dyDescent="0.25">
      <c r="C204" s="111"/>
      <c r="D204" s="111"/>
    </row>
    <row r="205" spans="3:4" x14ac:dyDescent="0.25">
      <c r="C205" s="111"/>
      <c r="D205" s="111"/>
    </row>
    <row r="206" spans="3:4" x14ac:dyDescent="0.25">
      <c r="C206" s="111"/>
      <c r="D206" s="111"/>
    </row>
    <row r="207" spans="3:4" x14ac:dyDescent="0.25">
      <c r="C207" s="111"/>
      <c r="D207" s="111"/>
    </row>
    <row r="208" spans="3:4" x14ac:dyDescent="0.25">
      <c r="C208" s="111"/>
      <c r="D208" s="111"/>
    </row>
    <row r="209" spans="3:4" x14ac:dyDescent="0.25">
      <c r="C209" s="111"/>
      <c r="D209" s="111"/>
    </row>
    <row r="210" spans="3:4" x14ac:dyDescent="0.25">
      <c r="C210" s="111"/>
      <c r="D210" s="111"/>
    </row>
    <row r="211" spans="3:4" x14ac:dyDescent="0.25">
      <c r="C211" s="111"/>
      <c r="D211" s="111"/>
    </row>
    <row r="212" spans="3:4" x14ac:dyDescent="0.25">
      <c r="C212" s="111"/>
      <c r="D212" s="111"/>
    </row>
    <row r="213" spans="3:4" x14ac:dyDescent="0.25">
      <c r="C213" s="111"/>
      <c r="D213" s="111"/>
    </row>
    <row r="214" spans="3:4" x14ac:dyDescent="0.25">
      <c r="C214" s="111"/>
      <c r="D214" s="111"/>
    </row>
    <row r="215" spans="3:4" x14ac:dyDescent="0.25">
      <c r="C215" s="111"/>
      <c r="D215" s="111"/>
    </row>
    <row r="216" spans="3:4" x14ac:dyDescent="0.25">
      <c r="C216" s="111"/>
      <c r="D216" s="111"/>
    </row>
    <row r="217" spans="3:4" x14ac:dyDescent="0.25">
      <c r="C217" s="111"/>
      <c r="D217" s="111"/>
    </row>
    <row r="218" spans="3:4" x14ac:dyDescent="0.25">
      <c r="C218" s="111"/>
      <c r="D218" s="111"/>
    </row>
    <row r="219" spans="3:4" x14ac:dyDescent="0.25">
      <c r="C219" s="111"/>
      <c r="D219" s="111"/>
    </row>
    <row r="220" spans="3:4" x14ac:dyDescent="0.25">
      <c r="C220" s="111"/>
      <c r="D220" s="111"/>
    </row>
    <row r="221" spans="3:4" x14ac:dyDescent="0.25">
      <c r="C221" s="111"/>
      <c r="D221" s="111"/>
    </row>
    <row r="222" spans="3:4" x14ac:dyDescent="0.25">
      <c r="C222" s="111"/>
      <c r="D222" s="111"/>
    </row>
    <row r="223" spans="3:4" x14ac:dyDescent="0.25">
      <c r="C223" s="111"/>
      <c r="D223" s="111"/>
    </row>
    <row r="224" spans="3:4" x14ac:dyDescent="0.25">
      <c r="C224" s="111"/>
      <c r="D224" s="111"/>
    </row>
    <row r="225" spans="3:4" x14ac:dyDescent="0.25">
      <c r="C225" s="111"/>
      <c r="D225" s="111"/>
    </row>
    <row r="226" spans="3:4" x14ac:dyDescent="0.25">
      <c r="C226" s="111"/>
      <c r="D226" s="111"/>
    </row>
    <row r="227" spans="3:4" x14ac:dyDescent="0.25">
      <c r="C227" s="111"/>
      <c r="D227" s="111"/>
    </row>
    <row r="228" spans="3:4" x14ac:dyDescent="0.25">
      <c r="C228" s="111"/>
      <c r="D228" s="111"/>
    </row>
    <row r="229" spans="3:4" x14ac:dyDescent="0.25">
      <c r="C229" s="111"/>
      <c r="D229" s="111"/>
    </row>
    <row r="230" spans="3:4" x14ac:dyDescent="0.25">
      <c r="C230" s="111"/>
      <c r="D230" s="111"/>
    </row>
    <row r="231" spans="3:4" x14ac:dyDescent="0.25">
      <c r="C231" s="111"/>
      <c r="D231" s="111"/>
    </row>
    <row r="232" spans="3:4" x14ac:dyDescent="0.25">
      <c r="C232" s="111"/>
      <c r="D232" s="111"/>
    </row>
    <row r="233" spans="3:4" x14ac:dyDescent="0.25">
      <c r="C233" s="111"/>
      <c r="D233" s="111"/>
    </row>
    <row r="234" spans="3:4" x14ac:dyDescent="0.25">
      <c r="C234" s="111"/>
      <c r="D234" s="111"/>
    </row>
    <row r="235" spans="3:4" x14ac:dyDescent="0.25">
      <c r="C235" s="111"/>
      <c r="D235" s="111"/>
    </row>
    <row r="236" spans="3:4" x14ac:dyDescent="0.25">
      <c r="C236" s="111"/>
      <c r="D236" s="111"/>
    </row>
    <row r="237" spans="3:4" x14ac:dyDescent="0.25">
      <c r="C237" s="111"/>
      <c r="D237" s="111"/>
    </row>
    <row r="238" spans="3:4" x14ac:dyDescent="0.25">
      <c r="C238" s="111"/>
      <c r="D238" s="111"/>
    </row>
    <row r="239" spans="3:4" x14ac:dyDescent="0.25">
      <c r="C239" s="111"/>
      <c r="D239" s="111"/>
    </row>
    <row r="240" spans="3:4" x14ac:dyDescent="0.25">
      <c r="C240" s="111"/>
      <c r="D240" s="111"/>
    </row>
    <row r="241" spans="3:4" x14ac:dyDescent="0.25">
      <c r="C241" s="111"/>
      <c r="D241" s="111"/>
    </row>
    <row r="242" spans="3:4" x14ac:dyDescent="0.25">
      <c r="C242" s="111"/>
      <c r="D242" s="111"/>
    </row>
    <row r="243" spans="3:4" x14ac:dyDescent="0.25">
      <c r="C243" s="111"/>
      <c r="D243" s="111"/>
    </row>
    <row r="244" spans="3:4" x14ac:dyDescent="0.25">
      <c r="C244" s="111"/>
      <c r="D244" s="111"/>
    </row>
    <row r="245" spans="3:4" x14ac:dyDescent="0.25">
      <c r="C245" s="111"/>
      <c r="D245" s="111"/>
    </row>
    <row r="246" spans="3:4" x14ac:dyDescent="0.25">
      <c r="C246" s="111"/>
      <c r="D246" s="111"/>
    </row>
    <row r="247" spans="3:4" x14ac:dyDescent="0.25">
      <c r="C247" s="111"/>
      <c r="D247" s="111"/>
    </row>
    <row r="248" spans="3:4" x14ac:dyDescent="0.25">
      <c r="C248" s="111"/>
      <c r="D248" s="111"/>
    </row>
    <row r="249" spans="3:4" x14ac:dyDescent="0.25">
      <c r="C249" s="111"/>
      <c r="D249" s="111"/>
    </row>
    <row r="250" spans="3:4" x14ac:dyDescent="0.25">
      <c r="C250" s="111"/>
      <c r="D250" s="111"/>
    </row>
    <row r="251" spans="3:4" x14ac:dyDescent="0.25">
      <c r="C251" s="111"/>
      <c r="D251" s="111"/>
    </row>
    <row r="252" spans="3:4" x14ac:dyDescent="0.25">
      <c r="C252" s="111"/>
      <c r="D252" s="111"/>
    </row>
    <row r="253" spans="3:4" x14ac:dyDescent="0.25">
      <c r="C253" s="111"/>
      <c r="D253" s="111"/>
    </row>
    <row r="254" spans="3:4" x14ac:dyDescent="0.25">
      <c r="C254" s="111"/>
      <c r="D254" s="111"/>
    </row>
    <row r="255" spans="3:4" x14ac:dyDescent="0.25">
      <c r="C255" s="111"/>
      <c r="D255" s="111"/>
    </row>
    <row r="256" spans="3:4" x14ac:dyDescent="0.25">
      <c r="C256" s="111"/>
      <c r="D256" s="111"/>
    </row>
    <row r="257" spans="3:4" x14ac:dyDescent="0.25">
      <c r="C257" s="111"/>
      <c r="D257" s="111"/>
    </row>
    <row r="258" spans="3:4" x14ac:dyDescent="0.25">
      <c r="C258" s="111"/>
      <c r="D258" s="111"/>
    </row>
    <row r="259" spans="3:4" x14ac:dyDescent="0.25">
      <c r="C259" s="111"/>
      <c r="D259" s="111"/>
    </row>
    <row r="260" spans="3:4" x14ac:dyDescent="0.25">
      <c r="C260" s="111"/>
      <c r="D260" s="111"/>
    </row>
    <row r="261" spans="3:4" x14ac:dyDescent="0.25">
      <c r="C261" s="111"/>
      <c r="D261" s="111"/>
    </row>
    <row r="262" spans="3:4" x14ac:dyDescent="0.25">
      <c r="C262" s="111"/>
      <c r="D262" s="111"/>
    </row>
    <row r="263" spans="3:4" x14ac:dyDescent="0.25">
      <c r="C263" s="111"/>
      <c r="D263" s="111"/>
    </row>
    <row r="264" spans="3:4" x14ac:dyDescent="0.25">
      <c r="C264" s="111"/>
      <c r="D264" s="111"/>
    </row>
    <row r="265" spans="3:4" x14ac:dyDescent="0.25">
      <c r="C265" s="111"/>
      <c r="D265" s="111"/>
    </row>
    <row r="266" spans="3:4" x14ac:dyDescent="0.25">
      <c r="C266" s="111"/>
      <c r="D266" s="111"/>
    </row>
    <row r="267" spans="3:4" x14ac:dyDescent="0.25">
      <c r="C267" s="111"/>
      <c r="D267" s="111"/>
    </row>
    <row r="268" spans="3:4" x14ac:dyDescent="0.25">
      <c r="C268" s="111"/>
      <c r="D268" s="111"/>
    </row>
    <row r="269" spans="3:4" x14ac:dyDescent="0.25">
      <c r="C269" s="111"/>
      <c r="D269" s="111"/>
    </row>
    <row r="270" spans="3:4" x14ac:dyDescent="0.25">
      <c r="C270" s="111"/>
      <c r="D270" s="111"/>
    </row>
    <row r="271" spans="3:4" x14ac:dyDescent="0.25">
      <c r="C271" s="111"/>
      <c r="D271" s="111"/>
    </row>
    <row r="272" spans="3:4" x14ac:dyDescent="0.25">
      <c r="C272" s="111"/>
      <c r="D272" s="111"/>
    </row>
    <row r="273" spans="3:4" x14ac:dyDescent="0.25">
      <c r="C273" s="111"/>
      <c r="D273" s="111"/>
    </row>
    <row r="274" spans="3:4" x14ac:dyDescent="0.25">
      <c r="C274" s="111"/>
      <c r="D274" s="111"/>
    </row>
    <row r="275" spans="3:4" x14ac:dyDescent="0.25">
      <c r="C275" s="111"/>
      <c r="D275" s="111"/>
    </row>
    <row r="276" spans="3:4" x14ac:dyDescent="0.25">
      <c r="C276" s="111"/>
      <c r="D276" s="111"/>
    </row>
    <row r="277" spans="3:4" x14ac:dyDescent="0.25">
      <c r="C277" s="111"/>
      <c r="D277" s="111"/>
    </row>
    <row r="278" spans="3:4" x14ac:dyDescent="0.25">
      <c r="C278" s="111"/>
      <c r="D278" s="111"/>
    </row>
    <row r="279" spans="3:4" x14ac:dyDescent="0.25">
      <c r="C279" s="111"/>
      <c r="D279" s="111"/>
    </row>
    <row r="280" spans="3:4" x14ac:dyDescent="0.25">
      <c r="C280" s="111"/>
      <c r="D280" s="111"/>
    </row>
    <row r="281" spans="3:4" x14ac:dyDescent="0.25">
      <c r="C281" s="111"/>
      <c r="D281" s="111"/>
    </row>
    <row r="282" spans="3:4" x14ac:dyDescent="0.25">
      <c r="C282" s="111"/>
      <c r="D282" s="111"/>
    </row>
    <row r="283" spans="3:4" x14ac:dyDescent="0.25">
      <c r="C283" s="111"/>
      <c r="D283" s="111"/>
    </row>
    <row r="284" spans="3:4" x14ac:dyDescent="0.25">
      <c r="C284" s="111"/>
      <c r="D284" s="111"/>
    </row>
    <row r="285" spans="3:4" x14ac:dyDescent="0.25">
      <c r="C285" s="111"/>
      <c r="D285" s="111"/>
    </row>
    <row r="286" spans="3:4" x14ac:dyDescent="0.25">
      <c r="C286" s="111"/>
      <c r="D286" s="111"/>
    </row>
    <row r="287" spans="3:4" x14ac:dyDescent="0.25">
      <c r="C287" s="111"/>
      <c r="D287" s="111"/>
    </row>
    <row r="288" spans="3:4" x14ac:dyDescent="0.25">
      <c r="C288" s="111"/>
      <c r="D288" s="111"/>
    </row>
    <row r="289" spans="3:4" x14ac:dyDescent="0.25">
      <c r="C289" s="111"/>
      <c r="D289" s="111"/>
    </row>
    <row r="290" spans="3:4" x14ac:dyDescent="0.25">
      <c r="C290" s="111"/>
      <c r="D290" s="111"/>
    </row>
    <row r="291" spans="3:4" x14ac:dyDescent="0.25">
      <c r="C291" s="111"/>
      <c r="D291" s="111"/>
    </row>
    <row r="292" spans="3:4" x14ac:dyDescent="0.25">
      <c r="C292" s="111"/>
      <c r="D292" s="111"/>
    </row>
    <row r="293" spans="3:4" x14ac:dyDescent="0.25">
      <c r="C293" s="111"/>
      <c r="D293" s="111"/>
    </row>
    <row r="294" spans="3:4" x14ac:dyDescent="0.25">
      <c r="C294" s="111"/>
      <c r="D294" s="111"/>
    </row>
    <row r="295" spans="3:4" x14ac:dyDescent="0.25">
      <c r="C295" s="111"/>
      <c r="D295" s="111"/>
    </row>
    <row r="296" spans="3:4" x14ac:dyDescent="0.25">
      <c r="C296" s="111"/>
      <c r="D296" s="111"/>
    </row>
    <row r="297" spans="3:4" x14ac:dyDescent="0.25">
      <c r="C297" s="111"/>
      <c r="D297" s="111"/>
    </row>
    <row r="298" spans="3:4" x14ac:dyDescent="0.25">
      <c r="C298" s="111"/>
      <c r="D298" s="111"/>
    </row>
    <row r="299" spans="3:4" x14ac:dyDescent="0.25">
      <c r="C299" s="111"/>
      <c r="D299" s="111"/>
    </row>
    <row r="300" spans="3:4" x14ac:dyDescent="0.25">
      <c r="C300" s="111"/>
      <c r="D300" s="111"/>
    </row>
    <row r="301" spans="3:4" x14ac:dyDescent="0.25">
      <c r="C301" s="111"/>
      <c r="D301" s="111"/>
    </row>
    <row r="302" spans="3:4" x14ac:dyDescent="0.25">
      <c r="C302" s="111"/>
      <c r="D302" s="111"/>
    </row>
    <row r="303" spans="3:4" x14ac:dyDescent="0.25">
      <c r="C303" s="111"/>
      <c r="D303" s="111"/>
    </row>
    <row r="304" spans="3:4" x14ac:dyDescent="0.25">
      <c r="C304" s="111"/>
      <c r="D304" s="111"/>
    </row>
    <row r="305" spans="3:4" x14ac:dyDescent="0.25">
      <c r="C305" s="111"/>
      <c r="D305" s="111"/>
    </row>
    <row r="306" spans="3:4" x14ac:dyDescent="0.25">
      <c r="C306" s="111"/>
      <c r="D306" s="111"/>
    </row>
    <row r="307" spans="3:4" x14ac:dyDescent="0.25">
      <c r="C307" s="111"/>
      <c r="D307" s="111"/>
    </row>
    <row r="308" spans="3:4" x14ac:dyDescent="0.25">
      <c r="C308" s="111"/>
      <c r="D308" s="111"/>
    </row>
    <row r="309" spans="3:4" x14ac:dyDescent="0.25">
      <c r="C309" s="111"/>
      <c r="D309" s="111"/>
    </row>
    <row r="310" spans="3:4" x14ac:dyDescent="0.25">
      <c r="C310" s="111"/>
      <c r="D310" s="111"/>
    </row>
    <row r="311" spans="3:4" x14ac:dyDescent="0.25">
      <c r="C311" s="111"/>
      <c r="D311" s="111"/>
    </row>
    <row r="312" spans="3:4" x14ac:dyDescent="0.25">
      <c r="C312" s="111"/>
      <c r="D312" s="111"/>
    </row>
    <row r="313" spans="3:4" x14ac:dyDescent="0.25">
      <c r="C313" s="111"/>
      <c r="D313" s="111"/>
    </row>
    <row r="314" spans="3:4" x14ac:dyDescent="0.25">
      <c r="C314" s="111"/>
      <c r="D314" s="111"/>
    </row>
    <row r="315" spans="3:4" x14ac:dyDescent="0.25">
      <c r="C315" s="111"/>
      <c r="D315" s="111"/>
    </row>
    <row r="316" spans="3:4" x14ac:dyDescent="0.25">
      <c r="C316" s="111"/>
      <c r="D316" s="111"/>
    </row>
    <row r="317" spans="3:4" x14ac:dyDescent="0.25">
      <c r="C317" s="111"/>
      <c r="D317" s="111"/>
    </row>
    <row r="318" spans="3:4" x14ac:dyDescent="0.25">
      <c r="C318" s="111"/>
      <c r="D318" s="111"/>
    </row>
    <row r="319" spans="3:4" x14ac:dyDescent="0.25">
      <c r="C319" s="111"/>
      <c r="D319" s="111"/>
    </row>
    <row r="320" spans="3:4" x14ac:dyDescent="0.25">
      <c r="C320" s="111"/>
      <c r="D320" s="111"/>
    </row>
    <row r="321" spans="3:4" x14ac:dyDescent="0.25">
      <c r="C321" s="111"/>
      <c r="D321" s="111"/>
    </row>
    <row r="322" spans="3:4" x14ac:dyDescent="0.25">
      <c r="C322" s="111"/>
      <c r="D322" s="111"/>
    </row>
    <row r="323" spans="3:4" x14ac:dyDescent="0.25">
      <c r="C323" s="111"/>
      <c r="D323" s="111"/>
    </row>
    <row r="324" spans="3:4" x14ac:dyDescent="0.25">
      <c r="C324" s="111"/>
      <c r="D324" s="111"/>
    </row>
    <row r="325" spans="3:4" x14ac:dyDescent="0.25">
      <c r="C325" s="111"/>
      <c r="D325" s="111"/>
    </row>
    <row r="326" spans="3:4" x14ac:dyDescent="0.25">
      <c r="C326" s="111"/>
      <c r="D326" s="111"/>
    </row>
    <row r="327" spans="3:4" x14ac:dyDescent="0.25">
      <c r="C327" s="111"/>
      <c r="D327" s="111"/>
    </row>
    <row r="328" spans="3:4" x14ac:dyDescent="0.25">
      <c r="C328" s="111"/>
      <c r="D328" s="111"/>
    </row>
    <row r="329" spans="3:4" x14ac:dyDescent="0.25">
      <c r="C329" s="111"/>
      <c r="D329" s="111"/>
    </row>
    <row r="330" spans="3:4" x14ac:dyDescent="0.25">
      <c r="C330" s="111"/>
      <c r="D330" s="111"/>
    </row>
    <row r="331" spans="3:4" x14ac:dyDescent="0.25">
      <c r="C331" s="111"/>
      <c r="D331" s="111"/>
    </row>
    <row r="332" spans="3:4" x14ac:dyDescent="0.25">
      <c r="C332" s="111"/>
      <c r="D332" s="111"/>
    </row>
    <row r="333" spans="3:4" x14ac:dyDescent="0.25">
      <c r="C333" s="111"/>
      <c r="D333" s="111"/>
    </row>
    <row r="334" spans="3:4" x14ac:dyDescent="0.25">
      <c r="C334" s="111"/>
      <c r="D334" s="111"/>
    </row>
    <row r="335" spans="3:4" x14ac:dyDescent="0.25">
      <c r="C335" s="111"/>
      <c r="D335" s="111"/>
    </row>
    <row r="336" spans="3:4" x14ac:dyDescent="0.25">
      <c r="C336" s="111"/>
      <c r="D336" s="111"/>
    </row>
    <row r="337" spans="3:4" x14ac:dyDescent="0.25">
      <c r="C337" s="111"/>
      <c r="D337" s="111"/>
    </row>
    <row r="338" spans="3:4" x14ac:dyDescent="0.25">
      <c r="C338" s="111"/>
      <c r="D338" s="111"/>
    </row>
    <row r="339" spans="3:4" x14ac:dyDescent="0.25">
      <c r="C339" s="111"/>
      <c r="D339" s="111"/>
    </row>
    <row r="340" spans="3:4" x14ac:dyDescent="0.25">
      <c r="C340" s="111"/>
      <c r="D340" s="111"/>
    </row>
    <row r="341" spans="3:4" x14ac:dyDescent="0.25">
      <c r="C341" s="111"/>
      <c r="D341" s="111"/>
    </row>
    <row r="342" spans="3:4" x14ac:dyDescent="0.25">
      <c r="C342" s="111"/>
      <c r="D342" s="111"/>
    </row>
    <row r="343" spans="3:4" x14ac:dyDescent="0.25">
      <c r="C343" s="111"/>
      <c r="D343" s="111"/>
    </row>
    <row r="344" spans="3:4" x14ac:dyDescent="0.25">
      <c r="C344" s="111"/>
      <c r="D344" s="111"/>
    </row>
    <row r="345" spans="3:4" x14ac:dyDescent="0.25">
      <c r="C345" s="111"/>
      <c r="D345" s="111"/>
    </row>
    <row r="346" spans="3:4" x14ac:dyDescent="0.25">
      <c r="C346" s="111"/>
      <c r="D346" s="111"/>
    </row>
    <row r="347" spans="3:4" x14ac:dyDescent="0.25">
      <c r="C347" s="111"/>
      <c r="D347" s="111"/>
    </row>
    <row r="348" spans="3:4" x14ac:dyDescent="0.25">
      <c r="C348" s="111"/>
      <c r="D348" s="111"/>
    </row>
    <row r="349" spans="3:4" x14ac:dyDescent="0.25">
      <c r="C349" s="111"/>
      <c r="D349" s="111"/>
    </row>
    <row r="350" spans="3:4" x14ac:dyDescent="0.25">
      <c r="C350" s="111"/>
      <c r="D350" s="111"/>
    </row>
    <row r="351" spans="3:4" x14ac:dyDescent="0.25">
      <c r="C351" s="111"/>
      <c r="D351" s="111"/>
    </row>
    <row r="352" spans="3:4" x14ac:dyDescent="0.25">
      <c r="C352" s="111"/>
      <c r="D352" s="111"/>
    </row>
    <row r="353" spans="3:4" x14ac:dyDescent="0.25">
      <c r="C353" s="111"/>
      <c r="D353" s="111"/>
    </row>
    <row r="354" spans="3:4" x14ac:dyDescent="0.25">
      <c r="C354" s="111"/>
      <c r="D354" s="111"/>
    </row>
    <row r="355" spans="3:4" x14ac:dyDescent="0.25">
      <c r="C355" s="111"/>
      <c r="D355" s="111"/>
    </row>
    <row r="356" spans="3:4" x14ac:dyDescent="0.25">
      <c r="C356" s="111"/>
      <c r="D356" s="111"/>
    </row>
    <row r="357" spans="3:4" x14ac:dyDescent="0.25">
      <c r="C357" s="111"/>
      <c r="D357" s="111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0.6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548</v>
      </c>
      <c r="B1" s="1" t="s">
        <v>549</v>
      </c>
      <c r="C1" s="1" t="s">
        <v>598</v>
      </c>
      <c r="D1" s="101" t="s">
        <v>550</v>
      </c>
      <c r="E1" s="101">
        <v>114278</v>
      </c>
      <c r="F1" s="101"/>
      <c r="G1" s="101"/>
      <c r="H1" s="101"/>
      <c r="I1" s="101"/>
      <c r="J1" s="101"/>
      <c r="K1" s="101"/>
      <c r="L1" s="101"/>
      <c r="M1" s="10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548</v>
      </c>
      <c r="B2" s="1" t="s">
        <v>550</v>
      </c>
      <c r="C2" s="1" t="s">
        <v>551</v>
      </c>
      <c r="D2" s="1" t="s">
        <v>603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548</v>
      </c>
      <c r="B3" s="1" t="s">
        <v>550</v>
      </c>
      <c r="C3" s="1" t="s">
        <v>552</v>
      </c>
      <c r="D3" s="1" t="s">
        <v>553</v>
      </c>
      <c r="E3" s="1" t="s">
        <v>604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548</v>
      </c>
      <c r="B4" s="1" t="s">
        <v>554</v>
      </c>
      <c r="C4" s="1" t="s">
        <v>553</v>
      </c>
      <c r="D4" s="1" t="s">
        <v>599</v>
      </c>
      <c r="E4" s="1" t="s">
        <v>600</v>
      </c>
      <c r="F4" s="1">
        <v>13</v>
      </c>
      <c r="G4" s="148">
        <v>0.57170138888888888</v>
      </c>
      <c r="H4" s="1">
        <v>2018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548</v>
      </c>
      <c r="B5" s="1" t="s">
        <v>555</v>
      </c>
      <c r="C5" s="1" t="s">
        <v>556</v>
      </c>
      <c r="D5" s="1" t="s">
        <v>601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548</v>
      </c>
      <c r="B6" s="1" t="s">
        <v>557</v>
      </c>
      <c r="C6" s="1" t="s">
        <v>558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548</v>
      </c>
      <c r="B7" s="1" t="s">
        <v>559</v>
      </c>
      <c r="C7" s="1" t="s">
        <v>560</v>
      </c>
      <c r="D7" s="1" t="s">
        <v>561</v>
      </c>
      <c r="E7" s="1" t="s">
        <v>562</v>
      </c>
      <c r="F7" s="1" t="s">
        <v>563</v>
      </c>
      <c r="G7" s="1" t="s">
        <v>564</v>
      </c>
      <c r="H7" s="1" t="s">
        <v>565</v>
      </c>
      <c r="I7" s="1" t="s">
        <v>566</v>
      </c>
      <c r="J7" s="1" t="s">
        <v>567</v>
      </c>
      <c r="K7" s="1" t="s">
        <v>568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548</v>
      </c>
      <c r="B8" s="1">
        <v>114278</v>
      </c>
      <c r="C8" s="1">
        <v>114110</v>
      </c>
      <c r="D8" s="1">
        <v>1.21235</v>
      </c>
      <c r="E8" s="1">
        <v>10.8101</v>
      </c>
      <c r="F8" s="1">
        <v>14.210100000000001</v>
      </c>
      <c r="G8" s="1">
        <v>9.2999999999999992E-3</v>
      </c>
      <c r="H8" s="1">
        <v>1.2200000000000001E-2</v>
      </c>
      <c r="I8" s="1">
        <v>1</v>
      </c>
      <c r="J8" s="1">
        <v>0</v>
      </c>
      <c r="K8" s="1">
        <v>0.90159999999999996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548</v>
      </c>
      <c r="B9" s="1">
        <v>114279</v>
      </c>
      <c r="C9" s="1">
        <v>114111</v>
      </c>
      <c r="D9" s="1">
        <v>1.21235</v>
      </c>
      <c r="E9" s="1">
        <v>7.8600599999999998</v>
      </c>
      <c r="F9" s="1">
        <v>11.2601</v>
      </c>
      <c r="G9" s="1">
        <v>1.18E-2</v>
      </c>
      <c r="H9" s="1">
        <v>1.6899999999999998E-2</v>
      </c>
      <c r="I9" s="1">
        <v>1</v>
      </c>
      <c r="J9" s="1">
        <v>0</v>
      </c>
      <c r="K9" s="1">
        <v>0.94010000000000005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548</v>
      </c>
      <c r="B10" s="1">
        <v>114280</v>
      </c>
      <c r="C10" s="1">
        <v>114112</v>
      </c>
      <c r="D10" s="1">
        <v>1.21235</v>
      </c>
      <c r="E10" s="1">
        <v>4.8700400000000004</v>
      </c>
      <c r="F10" s="1">
        <v>8.2700600000000009</v>
      </c>
      <c r="G10" s="1">
        <v>1.6E-2</v>
      </c>
      <c r="H10" s="1">
        <v>2.7199999999999998E-2</v>
      </c>
      <c r="I10" s="1">
        <v>9.5352999999999994</v>
      </c>
      <c r="J10" s="1">
        <v>-2.1989999999999998</v>
      </c>
      <c r="K10" s="1">
        <v>0.94359999999999999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548</v>
      </c>
      <c r="B11" s="1">
        <v>114281</v>
      </c>
      <c r="C11" s="1">
        <v>114113</v>
      </c>
      <c r="D11" s="1">
        <v>1.39279</v>
      </c>
      <c r="E11" s="1">
        <v>2.55002</v>
      </c>
      <c r="F11" s="1">
        <v>5.9500500000000001</v>
      </c>
      <c r="G11" s="1">
        <v>2.5600000000000001E-2</v>
      </c>
      <c r="H11" s="1">
        <v>5.9799999999999999E-2</v>
      </c>
      <c r="I11" s="1">
        <v>23.234000000000002</v>
      </c>
      <c r="J11" s="1">
        <v>8.8391000000000002</v>
      </c>
      <c r="K11" s="1">
        <v>0.88770000000000004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548</v>
      </c>
      <c r="B12" s="1">
        <v>114282</v>
      </c>
      <c r="C12" s="1">
        <v>114108</v>
      </c>
      <c r="D12" s="1">
        <v>2.7519900000000002</v>
      </c>
      <c r="E12" s="1">
        <v>2.55002</v>
      </c>
      <c r="F12" s="1">
        <v>5.9500500000000001</v>
      </c>
      <c r="G12" s="1">
        <v>5.0700000000000002E-2</v>
      </c>
      <c r="H12" s="1">
        <v>0.1183</v>
      </c>
      <c r="I12" s="1">
        <v>118.07</v>
      </c>
      <c r="J12" s="1">
        <v>-1E-3</v>
      </c>
      <c r="K12" s="1">
        <v>0.86809999999999998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548</v>
      </c>
      <c r="B13" s="1">
        <v>114283</v>
      </c>
      <c r="C13" s="1">
        <v>114108</v>
      </c>
      <c r="D13" s="1">
        <v>5.4321900000000003</v>
      </c>
      <c r="E13" s="1">
        <v>3.7143899999999999</v>
      </c>
      <c r="F13" s="1">
        <v>5.9509800000000004</v>
      </c>
      <c r="G13" s="1">
        <v>0.1</v>
      </c>
      <c r="H13" s="1">
        <v>0.1603</v>
      </c>
      <c r="I13" s="1">
        <v>418.05</v>
      </c>
      <c r="J13" s="1">
        <v>-5.0000000000000001E-3</v>
      </c>
      <c r="K13" s="1">
        <v>0.89749999999999996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548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548</v>
      </c>
      <c r="B15" s="1" t="s">
        <v>548</v>
      </c>
      <c r="C15" s="1" t="s">
        <v>569</v>
      </c>
      <c r="D15" s="1" t="s">
        <v>602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548</v>
      </c>
      <c r="B16" s="1" t="s">
        <v>548</v>
      </c>
      <c r="C16" s="1" t="s">
        <v>554</v>
      </c>
      <c r="D16" s="1" t="s">
        <v>570</v>
      </c>
      <c r="E16" s="1" t="s">
        <v>571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548</v>
      </c>
      <c r="B17" s="1" t="s">
        <v>548</v>
      </c>
      <c r="C17" s="1" t="s">
        <v>554</v>
      </c>
      <c r="D17" s="1" t="s">
        <v>572</v>
      </c>
      <c r="E17" s="1" t="s">
        <v>573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548</v>
      </c>
      <c r="B18" s="1" t="s">
        <v>548</v>
      </c>
      <c r="C18" s="1" t="s">
        <v>548</v>
      </c>
      <c r="D18" s="1" t="s">
        <v>569</v>
      </c>
      <c r="E18" s="1" t="s">
        <v>602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548</v>
      </c>
      <c r="B19" s="1" t="s">
        <v>548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548</v>
      </c>
      <c r="B20" s="1" t="s">
        <v>548</v>
      </c>
      <c r="C20" s="1" t="s">
        <v>559</v>
      </c>
      <c r="D20" s="1" t="s">
        <v>560</v>
      </c>
      <c r="E20" s="1" t="s">
        <v>574</v>
      </c>
      <c r="F20" s="1" t="s">
        <v>562</v>
      </c>
      <c r="G20" s="1" t="s">
        <v>563</v>
      </c>
      <c r="H20" s="1" t="s">
        <v>564</v>
      </c>
      <c r="I20" s="1" t="s">
        <v>565</v>
      </c>
      <c r="J20" s="1" t="s">
        <v>575</v>
      </c>
      <c r="K20" s="1" t="s">
        <v>576</v>
      </c>
      <c r="L20" s="1" t="s">
        <v>577</v>
      </c>
      <c r="M20" s="1" t="s">
        <v>578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548</v>
      </c>
      <c r="B21" s="1" t="s">
        <v>548</v>
      </c>
      <c r="C21" s="1">
        <v>114278</v>
      </c>
      <c r="D21" s="1">
        <v>114110</v>
      </c>
      <c r="E21" s="1">
        <v>1.2</v>
      </c>
      <c r="F21" s="1">
        <v>10.81</v>
      </c>
      <c r="G21" s="1">
        <v>14.21</v>
      </c>
      <c r="H21" s="1">
        <v>9.2999999999999992E-3</v>
      </c>
      <c r="I21" s="1">
        <v>1.2200000000000001E-2</v>
      </c>
      <c r="J21" s="1">
        <v>1</v>
      </c>
      <c r="K21" s="1">
        <v>6002</v>
      </c>
      <c r="L21" s="1">
        <v>1141.357935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548</v>
      </c>
      <c r="B22" s="1" t="s">
        <v>548</v>
      </c>
      <c r="C22" s="1">
        <v>114279</v>
      </c>
      <c r="D22" s="1">
        <v>114111</v>
      </c>
      <c r="E22" s="1">
        <v>1.2</v>
      </c>
      <c r="F22" s="1">
        <v>7.86</v>
      </c>
      <c r="G22" s="1">
        <v>11.26</v>
      </c>
      <c r="H22" s="1">
        <v>1.17E-2</v>
      </c>
      <c r="I22" s="1">
        <v>1.67E-2</v>
      </c>
      <c r="J22" s="1">
        <v>1</v>
      </c>
      <c r="K22" s="1">
        <v>6024</v>
      </c>
      <c r="L22" s="1">
        <v>395.14373399999999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548</v>
      </c>
      <c r="B23" s="1" t="s">
        <v>548</v>
      </c>
      <c r="C23" s="1">
        <v>114280</v>
      </c>
      <c r="D23" s="1">
        <v>114112</v>
      </c>
      <c r="E23" s="1">
        <v>1.2</v>
      </c>
      <c r="F23" s="1">
        <v>4.87</v>
      </c>
      <c r="G23" s="1">
        <v>8.27</v>
      </c>
      <c r="H23" s="1">
        <v>1.5900000000000001E-2</v>
      </c>
      <c r="I23" s="1">
        <v>2.7E-2</v>
      </c>
      <c r="J23" s="1">
        <v>1</v>
      </c>
      <c r="K23" s="1">
        <v>6035</v>
      </c>
      <c r="L23" s="1">
        <v>227.71127200000001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548</v>
      </c>
      <c r="B24" s="1" t="s">
        <v>548</v>
      </c>
      <c r="C24" s="1">
        <v>114281</v>
      </c>
      <c r="D24" s="1">
        <v>114113</v>
      </c>
      <c r="E24" s="1">
        <v>1.38</v>
      </c>
      <c r="F24" s="1">
        <v>2.5499999999999998</v>
      </c>
      <c r="G24" s="1">
        <v>5.95</v>
      </c>
      <c r="H24" s="1">
        <v>2.5399999999999999E-2</v>
      </c>
      <c r="I24" s="1">
        <v>5.9299999999999999E-2</v>
      </c>
      <c r="J24" s="1">
        <v>1</v>
      </c>
      <c r="K24" s="1">
        <v>18026</v>
      </c>
      <c r="L24" s="1">
        <v>821.53167900000005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548</v>
      </c>
      <c r="B25" s="1" t="s">
        <v>548</v>
      </c>
      <c r="C25" s="1">
        <v>114282</v>
      </c>
      <c r="D25" s="1">
        <v>114108</v>
      </c>
      <c r="E25" s="1">
        <v>2.74</v>
      </c>
      <c r="F25" s="1">
        <v>2.5499999999999998</v>
      </c>
      <c r="G25" s="1">
        <v>5.95</v>
      </c>
      <c r="H25" s="1">
        <v>5.0500000000000003E-2</v>
      </c>
      <c r="I25" s="1">
        <v>0.1178</v>
      </c>
      <c r="J25" s="1">
        <v>1.5</v>
      </c>
      <c r="K25" s="1">
        <v>18022</v>
      </c>
      <c r="L25" s="1">
        <v>931.43712800000003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548</v>
      </c>
      <c r="B26" s="1" t="s">
        <v>548</v>
      </c>
      <c r="C26" s="1">
        <v>114283</v>
      </c>
      <c r="D26" s="1">
        <v>114108</v>
      </c>
      <c r="E26" s="1">
        <v>5.42</v>
      </c>
      <c r="F26" s="1">
        <v>3.71</v>
      </c>
      <c r="G26" s="1">
        <v>5.95</v>
      </c>
      <c r="H26" s="1">
        <v>9.98E-2</v>
      </c>
      <c r="I26" s="1">
        <v>0.16009999999999999</v>
      </c>
      <c r="J26" s="1">
        <v>1.5</v>
      </c>
      <c r="K26" s="1">
        <v>36047</v>
      </c>
      <c r="L26" s="1">
        <v>846.225821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548</v>
      </c>
      <c r="B27" s="1" t="s">
        <v>548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548</v>
      </c>
      <c r="B28" s="1" t="s">
        <v>548</v>
      </c>
      <c r="C28" s="1" t="s">
        <v>579</v>
      </c>
      <c r="D28" s="1" t="s">
        <v>580</v>
      </c>
      <c r="E28" s="1" t="s">
        <v>581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548</v>
      </c>
      <c r="B29" s="1" t="s">
        <v>548</v>
      </c>
      <c r="C29" s="1" t="s">
        <v>582</v>
      </c>
      <c r="D29" s="1">
        <v>85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548</v>
      </c>
      <c r="B30" s="1" t="s">
        <v>548</v>
      </c>
      <c r="C30" s="1" t="s">
        <v>583</v>
      </c>
      <c r="D30" s="1">
        <v>155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548</v>
      </c>
      <c r="B31" s="1" t="s">
        <v>548</v>
      </c>
      <c r="C31" s="1" t="s">
        <v>584</v>
      </c>
      <c r="D31" s="101">
        <v>4.0000000000000002E-4</v>
      </c>
      <c r="E31" s="101"/>
      <c r="F31" s="101"/>
      <c r="G31" s="101"/>
      <c r="H31" s="101"/>
      <c r="I31" s="101"/>
      <c r="J31" s="101"/>
      <c r="K31" s="101"/>
      <c r="L31" s="101"/>
      <c r="M31" s="10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548</v>
      </c>
      <c r="B32" s="1" t="s">
        <v>548</v>
      </c>
      <c r="C32" s="1" t="s">
        <v>585</v>
      </c>
      <c r="D32" s="101">
        <v>2.3E-2</v>
      </c>
      <c r="E32" s="101"/>
      <c r="F32" s="101"/>
      <c r="G32" s="101"/>
      <c r="H32" s="101"/>
      <c r="I32" s="101"/>
      <c r="J32" s="101"/>
      <c r="K32" s="101"/>
      <c r="L32" s="101"/>
      <c r="M32" s="10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548</v>
      </c>
      <c r="B33" s="1" t="s">
        <v>548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548</v>
      </c>
      <c r="B34" s="1" t="s">
        <v>548</v>
      </c>
      <c r="C34" s="1" t="s">
        <v>586</v>
      </c>
      <c r="D34" s="1" t="s">
        <v>0</v>
      </c>
      <c r="E34" s="1" t="s">
        <v>587</v>
      </c>
      <c r="F34" s="1" t="s">
        <v>588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548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548</v>
      </c>
      <c r="B36" s="1" t="s">
        <v>589</v>
      </c>
      <c r="C36" s="1" t="s">
        <v>590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548</v>
      </c>
      <c r="B37" s="1" t="s">
        <v>591</v>
      </c>
      <c r="C37" s="1" t="s">
        <v>590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548</v>
      </c>
      <c r="B38" s="1" t="s">
        <v>592</v>
      </c>
      <c r="C38" s="1" t="s">
        <v>0</v>
      </c>
      <c r="D38" s="1" t="s">
        <v>587</v>
      </c>
      <c r="E38" s="1" t="s">
        <v>588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>
        <v>9.5169299901099996E-3</v>
      </c>
      <c r="B39" s="1">
        <v>2.2263046233499999E-2</v>
      </c>
      <c r="C39" s="1">
        <v>2.0656205909000002E-3</v>
      </c>
      <c r="D39" s="1">
        <v>6.1888938977299997E-4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>
        <v>9.7072685899100009E-3</v>
      </c>
      <c r="B40" s="1">
        <v>2.23358823709E-2</v>
      </c>
      <c r="C40" s="1">
        <v>1.88259701754E-3</v>
      </c>
      <c r="D40" s="1">
        <v>6.2326717756799996E-4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>
        <v>9.9014139617099994E-3</v>
      </c>
      <c r="B41" s="1">
        <v>2.20324030046E-2</v>
      </c>
      <c r="C41" s="1">
        <v>1.7627617409200001E-3</v>
      </c>
      <c r="D41" s="1">
        <v>6.2773252111900004E-4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>
        <v>1.00994422409E-2</v>
      </c>
      <c r="B42" s="1">
        <v>1.9636842653900002E-2</v>
      </c>
      <c r="C42" s="1">
        <v>1.64467841943E-3</v>
      </c>
      <c r="D42" s="1">
        <v>6.3228717154200005E-4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1.0301431085800001E-2</v>
      </c>
      <c r="B43" s="1">
        <v>1.9486354865499999E-2</v>
      </c>
      <c r="C43" s="1">
        <v>1.40597780967E-3</v>
      </c>
      <c r="D43" s="1">
        <v>6.3693291497300003E-4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1.05074597075E-2</v>
      </c>
      <c r="B44" s="1">
        <v>2.03469539602E-2</v>
      </c>
      <c r="C44" s="1">
        <v>1.35349229677E-3</v>
      </c>
      <c r="D44" s="1">
        <v>6.4167157327199998E-4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1.07176089016E-2</v>
      </c>
      <c r="B45" s="1">
        <v>1.9398579265599999E-2</v>
      </c>
      <c r="C45" s="1">
        <v>1.2320477789299999E-3</v>
      </c>
      <c r="D45" s="1">
        <v>6.4650500473699998E-4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1.0931961079700001E-2</v>
      </c>
      <c r="B46" s="1">
        <v>1.6666813473799998E-2</v>
      </c>
      <c r="C46" s="1">
        <v>1.0697465788499999E-3</v>
      </c>
      <c r="D46" s="1">
        <v>6.5143510483199997E-4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1.1150600301300001E-2</v>
      </c>
      <c r="B47" s="1">
        <v>1.5828711705700001E-2</v>
      </c>
      <c r="C47" s="1">
        <v>9.7117151355700004E-4</v>
      </c>
      <c r="D47" s="1">
        <v>6.56463806929E-4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1.13736123073E-2</v>
      </c>
      <c r="B48" s="1">
        <v>1.5799473198499999E-2</v>
      </c>
      <c r="C48" s="1">
        <v>9.1201672727999998E-4</v>
      </c>
      <c r="D48" s="1">
        <v>6.6159308306700004E-4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1.1601084553400001E-2</v>
      </c>
      <c r="B49" s="1">
        <v>1.6670785084400001E-2</v>
      </c>
      <c r="C49" s="1">
        <v>8.92510494857E-4</v>
      </c>
      <c r="D49" s="1">
        <v>6.66824944729E-4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1.18331062445E-2</v>
      </c>
      <c r="B50" s="1">
        <v>1.5542114579499999E-2</v>
      </c>
      <c r="C50" s="1">
        <v>8.16383764915E-4</v>
      </c>
      <c r="D50" s="1">
        <v>6.7216144362299999E-4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1.20697683694E-2</v>
      </c>
      <c r="B51" s="1">
        <v>1.40739419565E-2</v>
      </c>
      <c r="C51" s="1">
        <v>6.4194937446499997E-4</v>
      </c>
      <c r="D51" s="1">
        <v>6.7760467249600002E-4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1.2311163736799999E-2</v>
      </c>
      <c r="B52" s="1">
        <v>1.50369014053E-2</v>
      </c>
      <c r="C52" s="1">
        <v>1.29288717362E-3</v>
      </c>
      <c r="D52" s="1">
        <v>6.8315676594599996E-4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1.25573870115E-2</v>
      </c>
      <c r="B53" s="1">
        <v>1.46116876457E-2</v>
      </c>
      <c r="C53" s="1">
        <v>1.22282207562E-3</v>
      </c>
      <c r="D53" s="1">
        <v>6.8881990126500004E-4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1.2808534751700001E-2</v>
      </c>
      <c r="B54" s="1">
        <v>1.18171787318E-2</v>
      </c>
      <c r="C54" s="1">
        <v>9.957369967369999E-4</v>
      </c>
      <c r="D54" s="1">
        <v>6.9459629929000003E-4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1.3064705446799999E-2</v>
      </c>
      <c r="B55" s="1">
        <v>1.24368859466E-2</v>
      </c>
      <c r="C55" s="1">
        <v>1.01154350455E-3</v>
      </c>
      <c r="D55" s="1">
        <v>7.0048822527599998E-4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1.33259995557E-2</v>
      </c>
      <c r="B56" s="1">
        <v>1.0922089926499999E-2</v>
      </c>
      <c r="C56" s="1">
        <v>8.7994818250599998E-4</v>
      </c>
      <c r="D56" s="1">
        <v>7.0649798978100005E-4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1.35925195468E-2</v>
      </c>
      <c r="B57" s="1">
        <v>1.1207777867499999E-2</v>
      </c>
      <c r="C57" s="1">
        <v>8.7120566570399996E-4</v>
      </c>
      <c r="D57" s="1">
        <v>7.12627949577E-4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1.3864369937800001E-2</v>
      </c>
      <c r="B58" s="1">
        <v>1.0792043406799999E-2</v>
      </c>
      <c r="C58" s="1">
        <v>8.0468804606099998E-4</v>
      </c>
      <c r="D58" s="1">
        <v>7.1888050856799997E-4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1.41416573365E-2</v>
      </c>
      <c r="B59" s="1">
        <v>8.8886533178499996E-3</v>
      </c>
      <c r="C59" s="1">
        <v>6.6420227430300004E-4</v>
      </c>
      <c r="D59" s="1">
        <v>7.2525811874000004E-4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1.4424490483200001E-2</v>
      </c>
      <c r="B60" s="1">
        <v>7.7815285924999998E-3</v>
      </c>
      <c r="C60" s="1">
        <v>5.8089546324499998E-4</v>
      </c>
      <c r="D60" s="1">
        <v>7.3176328111499995E-4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1.47129802929E-2</v>
      </c>
      <c r="B61" s="1">
        <v>7.5650194090200002E-3</v>
      </c>
      <c r="C61" s="1">
        <v>5.5274276193100001E-4</v>
      </c>
      <c r="D61" s="1">
        <v>7.3839854673699999E-4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1.50072398988E-2</v>
      </c>
      <c r="B62" s="1">
        <v>6.5996006219999999E-3</v>
      </c>
      <c r="C62" s="1">
        <v>4.7254847033399998E-4</v>
      </c>
      <c r="D62" s="1">
        <v>7.4516651767200001E-4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1.53073846967E-2</v>
      </c>
      <c r="B63" s="1">
        <v>6.2101697399000004E-3</v>
      </c>
      <c r="C63" s="1">
        <v>4.16889219236E-4</v>
      </c>
      <c r="D63" s="1">
        <v>7.5206984802500001E-4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1.56135323907E-2</v>
      </c>
      <c r="B64" s="1">
        <v>5.3769984377799998E-3</v>
      </c>
      <c r="C64" s="1">
        <v>3.6129139645099998E-4</v>
      </c>
      <c r="D64" s="1">
        <v>7.5911124498600005E-4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1.5925803038500001E-2</v>
      </c>
      <c r="B65" s="1">
        <v>4.82370046647E-3</v>
      </c>
      <c r="C65" s="1">
        <v>3.1162571423999999E-4</v>
      </c>
      <c r="D65" s="1">
        <v>7.6629346988499997E-4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1.6244319099299999E-2</v>
      </c>
      <c r="B66" s="1">
        <v>3.87268836978E-3</v>
      </c>
      <c r="C66" s="1">
        <v>2.13039235492E-4</v>
      </c>
      <c r="D66" s="1">
        <v>7.7361933928300004E-4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1.65692054812E-2</v>
      </c>
      <c r="B67" s="1">
        <v>3.4564386634499998E-3</v>
      </c>
      <c r="C67" s="1">
        <v>3.1499946194099999E-4</v>
      </c>
      <c r="D67" s="1">
        <v>7.8109172606899999E-4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1.69005895909E-2</v>
      </c>
      <c r="B68" s="1">
        <v>2.6889972430900002E-3</v>
      </c>
      <c r="C68" s="1">
        <v>2.6202683912900001E-4</v>
      </c>
      <c r="D68" s="1">
        <v>7.8871356059000001E-4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1.7238601382699999E-2</v>
      </c>
      <c r="B69" s="1">
        <v>2.8724388695699999E-3</v>
      </c>
      <c r="C69" s="1">
        <v>2.5122879392399999E-4</v>
      </c>
      <c r="D69" s="1">
        <v>7.9648783180200002E-4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1.7583373410300002E-2</v>
      </c>
      <c r="B70" s="1">
        <v>2.6253297902099999E-3</v>
      </c>
      <c r="C70" s="1">
        <v>2.24937244541E-4</v>
      </c>
      <c r="D70" s="1">
        <v>8.0441758843800002E-4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1.7935040878500001E-2</v>
      </c>
      <c r="B71" s="1">
        <v>2.2745155939600001E-3</v>
      </c>
      <c r="C71" s="1">
        <v>2.0212313607000001E-4</v>
      </c>
      <c r="D71" s="1">
        <v>8.1250594020699997E-4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1.8293741696099999E-2</v>
      </c>
      <c r="B72" s="1">
        <v>1.7738025409299999E-3</v>
      </c>
      <c r="C72" s="1">
        <v>1.7347146727699999E-4</v>
      </c>
      <c r="D72" s="1">
        <v>8.2075605901100004E-4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1.8659616529999999E-2</v>
      </c>
      <c r="B73" s="1">
        <v>1.78045960812E-3</v>
      </c>
      <c r="C73" s="1">
        <v>1.69281515823E-4</v>
      </c>
      <c r="D73" s="1">
        <v>8.29171180191E-4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1.9032808860599999E-2</v>
      </c>
      <c r="B74" s="1">
        <v>2.0737648995000002E-3</v>
      </c>
      <c r="C74" s="1">
        <v>1.7358784587900001E-4</v>
      </c>
      <c r="D74" s="1">
        <v>8.3775460379500002E-4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1.94134650379E-2</v>
      </c>
      <c r="B75" s="1">
        <v>1.78335167237E-3</v>
      </c>
      <c r="C75" s="1">
        <v>1.5712815338299999E-4</v>
      </c>
      <c r="D75" s="1">
        <v>8.4650969587099999E-4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1.98017343386E-2</v>
      </c>
      <c r="B76" s="1">
        <v>1.5792787137899999E-3</v>
      </c>
      <c r="C76" s="1">
        <v>1.3556855108399999E-4</v>
      </c>
      <c r="D76" s="1">
        <v>8.5543988978799995E-4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2.0197769025399999E-2</v>
      </c>
      <c r="B77" s="1">
        <v>1.5363629799200001E-3</v>
      </c>
      <c r="C77" s="1">
        <v>1.2664547897100001E-4</v>
      </c>
      <c r="D77" s="1">
        <v>8.6454868758399997E-4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2.0601724405899999E-2</v>
      </c>
      <c r="B78" s="1">
        <v>1.1316007970200001E-3</v>
      </c>
      <c r="C78" s="1">
        <v>1.0982117165E-4</v>
      </c>
      <c r="D78" s="1">
        <v>8.7383966133600002E-4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2.1013758893999999E-2</v>
      </c>
      <c r="B79" s="1">
        <v>1.3241943694999999E-3</v>
      </c>
      <c r="C79" s="1">
        <v>1.11805319656E-4</v>
      </c>
      <c r="D79" s="1">
        <v>8.83316454562E-4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2.1434034071900001E-2</v>
      </c>
      <c r="B80" s="1">
        <v>8.8356125766300003E-4</v>
      </c>
      <c r="C80" s="1">
        <v>8.9407931337899996E-5</v>
      </c>
      <c r="D80" s="1">
        <v>8.9298278365299998E-4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2.1862714753300001E-2</v>
      </c>
      <c r="B81" s="1">
        <v>8.3712142275100003E-4</v>
      </c>
      <c r="C81" s="1">
        <v>8.6155725269299998E-5</v>
      </c>
      <c r="D81" s="1">
        <v>9.0284243932699996E-4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2.2299969048399999E-2</v>
      </c>
      <c r="B82" s="1">
        <v>7.7065713442799999E-4</v>
      </c>
      <c r="C82" s="1">
        <v>7.8718777280200003E-5</v>
      </c>
      <c r="D82" s="1">
        <v>9.1289928811300004E-4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2.27459684294E-2</v>
      </c>
      <c r="B83" s="1">
        <v>7.2672703470299995E-4</v>
      </c>
      <c r="C83" s="1">
        <v>7.2276420678899997E-5</v>
      </c>
      <c r="D83" s="1">
        <v>9.2315727387500001E-4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2.3200887797899999E-2</v>
      </c>
      <c r="B84" s="1">
        <v>7.4247437437100004E-4</v>
      </c>
      <c r="C84" s="1">
        <v>7.1831618566499993E-5</v>
      </c>
      <c r="D84" s="1">
        <v>9.3362041935300005E-4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2.3664905553899999E-2</v>
      </c>
      <c r="B85" s="1">
        <v>5.9319093245499999E-4</v>
      </c>
      <c r="C85" s="1">
        <v>6.2057709616800005E-5</v>
      </c>
      <c r="D85" s="1">
        <v>9.4429282774000003E-4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2.4138203665E-2</v>
      </c>
      <c r="B86" s="1">
        <v>5.5291696845299995E-4</v>
      </c>
      <c r="C86" s="1">
        <v>5.8806931763599998E-5</v>
      </c>
      <c r="D86" s="1">
        <v>9.55178684295E-4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2.4620967738300002E-2</v>
      </c>
      <c r="B87" s="1">
        <v>5.1879646680899995E-4</v>
      </c>
      <c r="C87" s="1">
        <v>5.7185782385699998E-5</v>
      </c>
      <c r="D87" s="1">
        <v>9.6628225798100001E-4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2.5113387093100001E-2</v>
      </c>
      <c r="B88" s="1">
        <v>6.7707511110000004E-4</v>
      </c>
      <c r="C88" s="1">
        <v>6.2974161828299998E-5</v>
      </c>
      <c r="D88" s="1">
        <v>9.7760790313999998E-4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2.5615654834900001E-2</v>
      </c>
      <c r="B89" s="1">
        <v>5.4380123927400003E-4</v>
      </c>
      <c r="C89" s="1">
        <v>5.5838212777699997E-5</v>
      </c>
      <c r="D89" s="1">
        <v>9.8916006120299991E-4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2.61279679316E-2</v>
      </c>
      <c r="B90" s="1">
        <v>5.32412312859E-4</v>
      </c>
      <c r="C90" s="1">
        <v>2.5560127344400002E-5</v>
      </c>
      <c r="D90" s="1">
        <v>1.0009432624300001E-3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2.66505272902E-2</v>
      </c>
      <c r="B91" s="1">
        <v>4.9865723467000002E-4</v>
      </c>
      <c r="C91" s="1">
        <v>2.73488603019E-5</v>
      </c>
      <c r="D91" s="1">
        <v>1.0129621276800001E-3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2.7183537835999999E-2</v>
      </c>
      <c r="B92" s="1">
        <v>4.8405945476800001E-4</v>
      </c>
      <c r="C92" s="1">
        <v>2.5810668809499998E-5</v>
      </c>
      <c r="D92" s="101">
        <v>1.0252213702300001E-3</v>
      </c>
      <c r="E92" s="101"/>
      <c r="F92" s="101"/>
      <c r="G92" s="101"/>
      <c r="H92" s="101"/>
      <c r="I92" s="101"/>
      <c r="J92" s="101"/>
      <c r="K92" s="101"/>
      <c r="L92" s="101"/>
      <c r="M92" s="10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2.77272085928E-2</v>
      </c>
      <c r="B93" s="1">
        <v>4.7492336361299999E-4</v>
      </c>
      <c r="C93" s="1">
        <v>2.4697261763899999E-5</v>
      </c>
      <c r="D93" s="1">
        <v>1.03772579763E-3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2.8281752764600002E-2</v>
      </c>
      <c r="B94" s="1">
        <v>5.2404292439800005E-4</v>
      </c>
      <c r="C94" s="1">
        <v>2.66377369157E-5</v>
      </c>
      <c r="D94" s="1">
        <v>1.05048031359E-3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2.8847387819900001E-2</v>
      </c>
      <c r="B95" s="1">
        <v>5.1492041926799997E-4</v>
      </c>
      <c r="C95" s="1">
        <v>2.53092813671E-5</v>
      </c>
      <c r="D95" s="1">
        <v>1.0634899198599999E-3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2.94243355763E-2</v>
      </c>
      <c r="B96" s="1">
        <v>5.0485429591999999E-4</v>
      </c>
      <c r="C96" s="1">
        <v>2.4231525136000001E-5</v>
      </c>
      <c r="D96" s="1">
        <v>1.0767597182599999E-3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3.0012822287800001E-2</v>
      </c>
      <c r="B97" s="1">
        <v>4.7667760998599997E-4</v>
      </c>
      <c r="C97" s="1">
        <v>2.3679622422E-5</v>
      </c>
      <c r="D97" s="1">
        <v>1.0902949126200001E-3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3.0613078733599999E-2</v>
      </c>
      <c r="B98" s="1">
        <v>4.42824614847E-4</v>
      </c>
      <c r="C98" s="1">
        <v>2.1816623180600001E-5</v>
      </c>
      <c r="D98" s="1">
        <v>1.1041008108700001E-3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3.1225340308300001E-2</v>
      </c>
      <c r="B99" s="1">
        <v>4.2011473475800002E-4</v>
      </c>
      <c r="C99" s="1">
        <v>2.1880230448400001E-5</v>
      </c>
      <c r="D99" s="1">
        <v>1.1181828270899999E-3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3.1849847114399997E-2</v>
      </c>
      <c r="B100" s="1">
        <v>4.2271133670299999E-4</v>
      </c>
      <c r="C100" s="1">
        <v>2.2238500565899999E-5</v>
      </c>
      <c r="D100" s="1">
        <v>1.1325464836300001E-3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3.24868440567E-2</v>
      </c>
      <c r="B101" s="1">
        <v>4.1915864389000001E-4</v>
      </c>
      <c r="C101" s="1">
        <v>2.26195922218E-5</v>
      </c>
      <c r="D101" s="1">
        <v>1.1471974133000001E-3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3.31365809379E-2</v>
      </c>
      <c r="B102" s="1">
        <v>3.8806857356600002E-4</v>
      </c>
      <c r="C102" s="1">
        <v>2.2200648902999999E-5</v>
      </c>
      <c r="D102" s="1">
        <v>1.1621413615700001E-3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3.37993125566E-2</v>
      </c>
      <c r="B103" s="1">
        <v>3.7316453252600002E-4</v>
      </c>
      <c r="C103" s="1">
        <v>2.1277863860800001E-5</v>
      </c>
      <c r="D103" s="1">
        <v>1.1773841888E-3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3.4475298807699999E-2</v>
      </c>
      <c r="B104" s="1">
        <v>3.6303168689299999E-4</v>
      </c>
      <c r="C104" s="1">
        <v>2.0590971921000002E-5</v>
      </c>
      <c r="D104" s="1">
        <v>1.1929318725799999E-3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3.5164804783900001E-2</v>
      </c>
      <c r="B105" s="1">
        <v>3.0030262164000001E-4</v>
      </c>
      <c r="C105" s="1">
        <v>1.8266871129599998E-5</v>
      </c>
      <c r="D105" s="1">
        <v>1.20879051003E-3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3.5868100879599997E-2</v>
      </c>
      <c r="B106" s="1">
        <v>2.8509925436100001E-4</v>
      </c>
      <c r="C106" s="1">
        <v>1.7928430154700002E-5</v>
      </c>
      <c r="D106" s="1">
        <v>1.2249663202299999E-3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3.6585462897200001E-2</v>
      </c>
      <c r="B107" s="1">
        <v>2.5194034416800001E-4</v>
      </c>
      <c r="C107" s="1">
        <v>1.7278566183700001E-5</v>
      </c>
      <c r="D107" s="1">
        <v>1.24146564664E-3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3.7317172155099998E-2</v>
      </c>
      <c r="B108" s="1">
        <v>1.75002810286E-4</v>
      </c>
      <c r="C108" s="1">
        <v>1.5516033029199999E-5</v>
      </c>
      <c r="D108" s="1">
        <v>1.2582949595699999E-3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3.8063515598200003E-2</v>
      </c>
      <c r="B109" s="1">
        <v>1.8986783449100001E-4</v>
      </c>
      <c r="C109" s="1">
        <v>1.5173812010899999E-5</v>
      </c>
      <c r="D109" s="1">
        <v>1.2754608587599999E-3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3.8824785910199999E-2</v>
      </c>
      <c r="B110" s="1">
        <v>1.7427982616400001E-4</v>
      </c>
      <c r="C110" s="1">
        <v>1.4635161879199999E-5</v>
      </c>
      <c r="D110" s="1">
        <v>1.29297007593E-3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3.9601281628400001E-2</v>
      </c>
      <c r="B111" s="1">
        <v>1.52271239898E-4</v>
      </c>
      <c r="C111" s="1">
        <v>1.35191784038E-5</v>
      </c>
      <c r="D111" s="1">
        <v>1.31082947745E-3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4.0393307261000003E-2</v>
      </c>
      <c r="B112" s="1">
        <v>1.31396864824E-4</v>
      </c>
      <c r="C112" s="1">
        <v>1.26547231799E-5</v>
      </c>
      <c r="D112" s="1">
        <v>1.3290460669999999E-3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4.1201173406199998E-2</v>
      </c>
      <c r="B113" s="1">
        <v>1.11565122597E-4</v>
      </c>
      <c r="C113" s="1">
        <v>1.15376581322E-5</v>
      </c>
      <c r="D113" s="1">
        <v>1.3476269883400001E-3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4.2025196874300001E-2</v>
      </c>
      <c r="B114" s="1">
        <v>1.2476511384900001E-4</v>
      </c>
      <c r="C114" s="1">
        <v>1.1794651931900001E-5</v>
      </c>
      <c r="D114" s="1">
        <v>1.3665795281100001E-3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4.2865700811800002E-2</v>
      </c>
      <c r="B115" s="1">
        <v>1.17733993694E-4</v>
      </c>
      <c r="C115" s="1">
        <v>1.1825612349500001E-5</v>
      </c>
      <c r="D115" s="1">
        <v>1.3859111186699999E-3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4.3723014827999999E-2</v>
      </c>
      <c r="B116" s="1">
        <v>1.10907211388E-4</v>
      </c>
      <c r="C116" s="1">
        <v>1.14624632113E-5</v>
      </c>
      <c r="D116" s="1">
        <v>1.4056293410400001E-3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4.4597475124600001E-2</v>
      </c>
      <c r="B117" s="1">
        <v>1.00292557205E-4</v>
      </c>
      <c r="C117" s="1">
        <v>1.0887008743499999E-5</v>
      </c>
      <c r="D117" s="1">
        <v>1.4257419278699999E-3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4.5489424627099997E-2</v>
      </c>
      <c r="B118" s="1">
        <v>7.6617894970799999E-5</v>
      </c>
      <c r="C118" s="1">
        <v>9.9687926442800005E-6</v>
      </c>
      <c r="D118" s="1">
        <v>1.4462567664200001E-3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4.6399213119599998E-2</v>
      </c>
      <c r="B119" s="1">
        <v>1.06328695254E-4</v>
      </c>
      <c r="C119" s="1">
        <v>1.10492103994E-5</v>
      </c>
      <c r="D119" s="1">
        <v>1.4671819017500001E-3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4.7327197382000002E-2</v>
      </c>
      <c r="B120" s="1">
        <v>1.09745567637E-4</v>
      </c>
      <c r="C120" s="1">
        <v>1.11590829964E-5</v>
      </c>
      <c r="D120" s="1">
        <v>1.4885255397899999E-3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4.8273741329600002E-2</v>
      </c>
      <c r="B121" s="1">
        <v>8.2866709094700007E-5</v>
      </c>
      <c r="C121" s="1">
        <v>1.0075948251E-5</v>
      </c>
      <c r="D121" s="1">
        <v>1.51029605058E-3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4.92392161562E-2</v>
      </c>
      <c r="B122" s="1">
        <v>9.7716116411099995E-5</v>
      </c>
      <c r="C122" s="1">
        <v>1.07668355727E-5</v>
      </c>
      <c r="D122" s="1">
        <v>1.53250197159E-3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5.0224000479399997E-2</v>
      </c>
      <c r="B123" s="1">
        <v>9.1044508852500004E-5</v>
      </c>
      <c r="C123" s="1">
        <v>1.08920245658E-5</v>
      </c>
      <c r="D123" s="1">
        <v>1.55515201103E-3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5.1228480489E-2</v>
      </c>
      <c r="B124" s="1">
        <v>6.8119907720500005E-5</v>
      </c>
      <c r="C124" s="1">
        <v>9.6223056188100007E-6</v>
      </c>
      <c r="D124" s="1">
        <v>1.5782550512500001E-3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5.2253050098700002E-2</v>
      </c>
      <c r="B125" s="1">
        <v>8.4554565595299996E-5</v>
      </c>
      <c r="C125" s="1">
        <v>5.1788406151099999E-6</v>
      </c>
      <c r="D125" s="1">
        <v>1.6018201522700001E-3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5.3298111100699999E-2</v>
      </c>
      <c r="B126" s="1">
        <v>7.9811244519099994E-5</v>
      </c>
      <c r="C126" s="1">
        <v>5.1538981260799998E-6</v>
      </c>
      <c r="D126" s="1">
        <v>1.62585655532E-3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5.4364073322699998E-2</v>
      </c>
      <c r="B127" s="1">
        <v>6.2641460447500005E-5</v>
      </c>
      <c r="C127" s="1">
        <v>4.6419207326099999E-6</v>
      </c>
      <c r="D127" s="1">
        <v>1.65037368642E-3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5.5451354789199998E-2</v>
      </c>
      <c r="B128" s="1">
        <v>6.5187189538100002E-5</v>
      </c>
      <c r="C128" s="1">
        <v>4.5481612884700001E-6</v>
      </c>
      <c r="D128" s="1">
        <v>1.6753811601499999E-3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5.6560381884999997E-2</v>
      </c>
      <c r="B129" s="1">
        <v>6.5385126197399995E-5</v>
      </c>
      <c r="C129" s="1">
        <v>4.4749084620500001E-6</v>
      </c>
      <c r="D129" s="1">
        <v>1.7008887833499999E-3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5.7691589522700003E-2</v>
      </c>
      <c r="B130" s="1">
        <v>6.6772974347099995E-5</v>
      </c>
      <c r="C130" s="1">
        <v>4.39242660209E-6</v>
      </c>
      <c r="D130" s="1">
        <v>1.7269065590200001E-3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5.8845421313099999E-2</v>
      </c>
      <c r="B131" s="1">
        <v>6.3987416543599996E-5</v>
      </c>
      <c r="C131" s="1">
        <v>4.7015774364200003E-6</v>
      </c>
      <c r="D131" s="1">
        <v>1.7534446902000001E-3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6.0022329739399999E-2</v>
      </c>
      <c r="B132" s="1">
        <v>5.9679183651899998E-5</v>
      </c>
      <c r="C132" s="1">
        <v>4.5939783317299999E-6</v>
      </c>
      <c r="D132" s="1">
        <v>1.7805135840099999E-3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6.1222776334200001E-2</v>
      </c>
      <c r="B133" s="1">
        <v>5.6721354733700003E-5</v>
      </c>
      <c r="C133" s="1">
        <v>4.4623145780800003E-6</v>
      </c>
      <c r="D133" s="1">
        <v>1.80812385569E-3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6.24472318608E-2</v>
      </c>
      <c r="B134" s="1">
        <v>5.50614764522E-5</v>
      </c>
      <c r="C134" s="1">
        <v>4.3656207865399996E-6</v>
      </c>
      <c r="D134" s="1">
        <v>1.8362863327999999E-3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6.3696176498099999E-2</v>
      </c>
      <c r="B135" s="1">
        <v>4.8761939304000001E-5</v>
      </c>
      <c r="C135" s="1">
        <v>4.1446297963500001E-6</v>
      </c>
      <c r="D135" s="1">
        <v>1.86501205946E-3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6.4970100027999994E-2</v>
      </c>
      <c r="B136" s="1">
        <v>5.55893152543E-5</v>
      </c>
      <c r="C136" s="1">
        <v>4.4810417936399997E-6</v>
      </c>
      <c r="D136" s="1">
        <v>1.8943123006400001E-3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6.6269502028600005E-2</v>
      </c>
      <c r="B137" s="1">
        <v>4.4735831549199999E-5</v>
      </c>
      <c r="C137" s="1">
        <v>4.0211907458899999E-6</v>
      </c>
      <c r="D137" s="1">
        <v>1.92419854666E-3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6.7594892069199997E-2</v>
      </c>
      <c r="B138" s="1">
        <v>4.4996241917199998E-5</v>
      </c>
      <c r="C138" s="1">
        <v>3.8874832246900004E-6</v>
      </c>
      <c r="D138" s="1">
        <v>1.9546825175900001E-3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6.8946789910500003E-2</v>
      </c>
      <c r="B139" s="1">
        <v>4.0527210693900003E-5</v>
      </c>
      <c r="C139" s="1">
        <v>3.8789132671799998E-6</v>
      </c>
      <c r="D139" s="1">
        <v>1.9857761679399999E-3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7.0325725708699993E-2</v>
      </c>
      <c r="B140" s="1">
        <v>4.0210738106399998E-5</v>
      </c>
      <c r="C140" s="1">
        <v>3.6080865056900001E-6</v>
      </c>
      <c r="D140" s="1">
        <v>2.0174916913E-3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7.1732240222900007E-2</v>
      </c>
      <c r="B141" s="1">
        <v>3.8391859908399998E-5</v>
      </c>
      <c r="C141" s="1">
        <v>3.7711832262999999E-6</v>
      </c>
      <c r="D141" s="1">
        <v>2.04984152513E-3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7.31668850274E-2</v>
      </c>
      <c r="B142" s="1">
        <v>3.2540647353400001E-5</v>
      </c>
      <c r="C142" s="1">
        <v>3.8487805036399999E-6</v>
      </c>
      <c r="D142" s="1">
        <v>2.0828383556299999E-3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7.46302227279E-2</v>
      </c>
      <c r="B143" s="1">
        <v>3.3386353704199998E-5</v>
      </c>
      <c r="C143" s="1">
        <v>3.7369545149499999E-6</v>
      </c>
      <c r="D143" s="1">
        <v>2.1164951227399999E-3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7.6122827182500005E-2</v>
      </c>
      <c r="B144" s="1">
        <v>2.6604808405200001E-5</v>
      </c>
      <c r="C144" s="1">
        <v>3.61331120308E-6</v>
      </c>
      <c r="D144" s="1">
        <v>2.1508250251999999E-3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7.7645283726099995E-2</v>
      </c>
      <c r="B145" s="1">
        <v>2.5792144371000001E-5</v>
      </c>
      <c r="C145" s="1">
        <v>3.31822637448E-6</v>
      </c>
      <c r="D145" s="1">
        <v>2.1858415257E-3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7.9198189400700003E-2</v>
      </c>
      <c r="B146" s="1">
        <v>1.9709459867799999E-5</v>
      </c>
      <c r="C146" s="1">
        <v>2.9663493670800001E-6</v>
      </c>
      <c r="D146" s="1">
        <v>2.2215583562199999E-3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8.0782153188699996E-2</v>
      </c>
      <c r="B147" s="1">
        <v>2.0552270622699999E-5</v>
      </c>
      <c r="C147" s="1">
        <v>2.98414806111E-6</v>
      </c>
      <c r="D147" s="1">
        <v>2.25798952334E-3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8.2397796252399999E-2</v>
      </c>
      <c r="B148" s="1">
        <v>1.74795187237E-5</v>
      </c>
      <c r="C148" s="1">
        <v>2.9153267394900001E-6</v>
      </c>
      <c r="D148" s="1">
        <v>2.2951493138099999E-3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8.4045752177500002E-2</v>
      </c>
      <c r="B149" s="1">
        <v>1.9060434648999999E-5</v>
      </c>
      <c r="C149" s="1">
        <v>2.8753942068199999E-6</v>
      </c>
      <c r="D149" s="1">
        <v>2.3330523000799999E-3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8.5726667221000002E-2</v>
      </c>
      <c r="B150" s="1">
        <v>1.52307948213E-5</v>
      </c>
      <c r="C150" s="1">
        <v>2.7448295800899999E-6</v>
      </c>
      <c r="D150" s="1">
        <v>2.3717133460799998E-3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8.7441200565500005E-2</v>
      </c>
      <c r="B151" s="1">
        <v>1.5565498134300001E-5</v>
      </c>
      <c r="C151" s="1">
        <v>2.8171634432700002E-6</v>
      </c>
      <c r="D151" s="1">
        <v>2.4111476130100002E-3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8.9190024576800003E-2</v>
      </c>
      <c r="B152" s="1">
        <v>1.8060755068E-5</v>
      </c>
      <c r="C152" s="1">
        <v>2.6895893995300002E-6</v>
      </c>
      <c r="D152" s="1">
        <v>2.4513705652700001E-3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9.0973825068299999E-2</v>
      </c>
      <c r="B153" s="1">
        <v>1.7852601837200001E-5</v>
      </c>
      <c r="C153" s="1">
        <v>2.8980080982199998E-6</v>
      </c>
      <c r="D153" s="101">
        <v>2.4923979765700001E-3</v>
      </c>
      <c r="E153" s="101"/>
      <c r="F153" s="101"/>
      <c r="G153" s="101"/>
      <c r="H153" s="101"/>
      <c r="I153" s="101"/>
      <c r="J153" s="101"/>
      <c r="K153" s="101"/>
      <c r="L153" s="101"/>
      <c r="M153" s="10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9.2793301569700004E-2</v>
      </c>
      <c r="B154" s="1">
        <v>1.9896393396699999E-5</v>
      </c>
      <c r="C154" s="1">
        <v>2.8982236744899998E-6</v>
      </c>
      <c r="D154" s="1">
        <v>2.5342459361000001E-3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9.4649167601099995E-2</v>
      </c>
      <c r="B155" s="1">
        <v>1.6998344634600001E-5</v>
      </c>
      <c r="C155" s="1">
        <v>2.8387339556000001E-6</v>
      </c>
      <c r="D155" s="1">
        <v>2.5769308548199998E-3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9.6542150953099995E-2</v>
      </c>
      <c r="B156" s="1">
        <v>1.3933070264099999E-5</v>
      </c>
      <c r="C156" s="1">
        <v>2.5313224972299999E-6</v>
      </c>
      <c r="D156" s="1">
        <v>2.6204694719199999E-3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9.8472993972199996E-2</v>
      </c>
      <c r="B157" s="1">
        <v>1.15525043162E-5</v>
      </c>
      <c r="C157" s="1">
        <v>2.5291936756300001E-6</v>
      </c>
      <c r="D157" s="1">
        <v>2.6648788613600001E-3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0.100442453852</v>
      </c>
      <c r="B158" s="1">
        <v>8.3460397397399998E-6</v>
      </c>
      <c r="C158" s="1">
        <v>2.4546981697400002E-6</v>
      </c>
      <c r="D158" s="1">
        <v>2.7101764385900002E-3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0.102451302929</v>
      </c>
      <c r="B159" s="1">
        <v>8.2262758132099995E-6</v>
      </c>
      <c r="C159" s="1">
        <v>1.26164165772E-6</v>
      </c>
      <c r="D159" s="1">
        <v>2.75637996736E-3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0.104500328987</v>
      </c>
      <c r="B160" s="1">
        <v>7.3196147036799996E-6</v>
      </c>
      <c r="C160" s="1">
        <v>1.1826245828900001E-6</v>
      </c>
      <c r="D160" s="1">
        <v>2.8035075667099999E-3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0.106590335567</v>
      </c>
      <c r="B161" s="1">
        <v>1.15439100191E-5</v>
      </c>
      <c r="C161" s="1">
        <v>1.3153479859000001E-6</v>
      </c>
      <c r="D161" s="1">
        <v>2.85157771804E-3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0.10872214227800001</v>
      </c>
      <c r="B162" s="1">
        <v>9.3664099930199992E-6</v>
      </c>
      <c r="C162" s="1">
        <v>1.265561232E-6</v>
      </c>
      <c r="D162" s="1">
        <v>2.9006092723999999E-3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0.110896585124</v>
      </c>
      <c r="B163" s="1">
        <v>9.1813308408399998E-6</v>
      </c>
      <c r="C163" s="1">
        <v>1.2624812639899999E-6</v>
      </c>
      <c r="D163" s="1">
        <v>2.9506214578500002E-3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0.113114516826</v>
      </c>
      <c r="B164" s="1">
        <v>9.2686439845000001E-6</v>
      </c>
      <c r="C164" s="1">
        <v>1.2224889935000001E-6</v>
      </c>
      <c r="D164" s="1">
        <v>3.0016338870099998E-3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0.115376807163</v>
      </c>
      <c r="B165" s="1">
        <v>9.9924496270300002E-6</v>
      </c>
      <c r="C165" s="1">
        <v>1.3611775348199999E-6</v>
      </c>
      <c r="D165" s="1">
        <v>3.0536665647499998E-3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0.117684343306</v>
      </c>
      <c r="B166" s="1">
        <v>7.1386184096200001E-6</v>
      </c>
      <c r="C166" s="1">
        <v>1.2862127641900001E-6</v>
      </c>
      <c r="D166" s="1">
        <v>3.1067398960399999E-3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0.120038030172</v>
      </c>
      <c r="B167" s="1">
        <v>1.1050553763600001E-5</v>
      </c>
      <c r="C167" s="1">
        <v>1.4186751111200001E-6</v>
      </c>
      <c r="D167" s="1">
        <v>3.1608746939599999E-3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0.12243879077600001</v>
      </c>
      <c r="B168" s="1">
        <v>6.0443086816900002E-6</v>
      </c>
      <c r="C168" s="1">
        <v>1.22629922186E-6</v>
      </c>
      <c r="D168" s="1">
        <v>3.2160921878399999E-3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0.124887566591</v>
      </c>
      <c r="B169" s="1">
        <v>7.8059566699500005E-6</v>
      </c>
      <c r="C169" s="1">
        <v>1.3089234312700001E-6</v>
      </c>
      <c r="D169" s="1">
        <v>3.2724140315999999E-3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0.12738531792300001</v>
      </c>
      <c r="B170" s="1">
        <v>9.46059553391E-6</v>
      </c>
      <c r="C170" s="1">
        <v>1.28767284318E-6</v>
      </c>
      <c r="D170" s="1">
        <v>3.3298623122299999E-3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0.12993302428100001</v>
      </c>
      <c r="B171" s="1">
        <v>6.8165031233700004E-6</v>
      </c>
      <c r="C171" s="1">
        <v>1.2935310272899999E-6</v>
      </c>
      <c r="D171" s="1">
        <v>3.3884595584700002E-3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0.132531684767</v>
      </c>
      <c r="B172" s="1">
        <v>7.8262497822799995E-6</v>
      </c>
      <c r="C172" s="1">
        <v>1.28013454961E-6</v>
      </c>
      <c r="D172" s="1">
        <v>3.44822874964E-3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0.13518231846199999</v>
      </c>
      <c r="B173" s="1">
        <v>7.8853119234200003E-6</v>
      </c>
      <c r="C173" s="1">
        <v>1.3268086132300001E-6</v>
      </c>
      <c r="D173" s="1">
        <v>3.5091933246400001E-3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0.137885964832</v>
      </c>
      <c r="B174" s="1">
        <v>5.7091588844400004E-6</v>
      </c>
      <c r="C174" s="1">
        <v>1.2590718488399999E-6</v>
      </c>
      <c r="D174" s="1">
        <v>3.57137719113E-3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0.14064368412799999</v>
      </c>
      <c r="B175" s="1">
        <v>7.5775742603500003E-6</v>
      </c>
      <c r="C175" s="1">
        <v>1.2838593290300001E-6</v>
      </c>
      <c r="D175" s="1">
        <v>3.6348047349499999E-3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0.143456557811</v>
      </c>
      <c r="B176" s="1">
        <v>4.46283195061E-6</v>
      </c>
      <c r="C176" s="1">
        <v>1.2027040531499999E-6</v>
      </c>
      <c r="D176" s="1">
        <v>3.6995008296499998E-3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0.14632568896699999</v>
      </c>
      <c r="B177" s="1">
        <v>4.00149268736E-6</v>
      </c>
      <c r="C177" s="1">
        <v>1.32274760064E-6</v>
      </c>
      <c r="D177" s="1">
        <v>3.7654908462400002E-3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0.14925220274600001</v>
      </c>
      <c r="B178" s="1">
        <v>7.0400783566900002E-6</v>
      </c>
      <c r="C178" s="1">
        <v>1.3796049865200001E-6</v>
      </c>
      <c r="D178" s="1">
        <v>3.8328006631700002E-3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0.15223724680100001</v>
      </c>
      <c r="B179" s="1">
        <v>7.3650973197899998E-6</v>
      </c>
      <c r="C179" s="1">
        <v>1.3885965324299999E-6</v>
      </c>
      <c r="D179" s="1">
        <v>3.9014566764299999E-3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0.155281991737</v>
      </c>
      <c r="B180" s="1">
        <v>1.7686145629100001E-6</v>
      </c>
      <c r="C180" s="1">
        <v>1.2010385446600001E-6</v>
      </c>
      <c r="D180" s="1">
        <v>3.9714858099600004E-3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4:51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4:51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4:51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4:51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4:51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4:51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4:51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4:51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4:51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4:51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4:51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4:51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4:51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4:51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4:51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4:51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4:51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4:51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4:51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4:51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4:51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4:51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4:51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4:51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4:51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4:51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4:51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4:51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4:51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4:51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4:51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4:51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4:51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4:51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4:51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4:51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4:51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4:51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4:51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4:51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4:51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4:51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4:51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4:51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4:51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4:51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4:51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4:51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4:51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4:51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4:51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4:51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4:51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4:51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4:51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4:51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4:51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4:51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4:51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4:51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4:51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4:51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4:51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4:51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4:51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4:51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4:51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4:51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4:51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4:51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4:51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4:51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4:51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4:51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4:51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4:51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4:51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4:51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4:51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4:51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4:51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4:51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4:51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4:51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4:51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4:51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4:51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4:51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4:51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4:51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4:51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4:51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4:51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4:51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4:51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4:51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Reflectivity</vt:lpstr>
      <vt:lpstr>Uncertainties</vt:lpstr>
      <vt:lpstr>swellRatio</vt:lpstr>
      <vt:lpstr>sigMarker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2020-03-05T21:58:37Z</dcterms:modified>
</cp:coreProperties>
</file>