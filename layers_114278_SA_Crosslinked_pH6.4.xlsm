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00B9DE92-4A36-4F3B-8FF7-FFA7D855277E}" xr6:coauthVersionLast="44" xr6:coauthVersionMax="44" xr10:uidLastSave="{00000000-0000-0000-0000-000000000000}"/>
  <bookViews>
    <workbookView minimized="1" xWindow="1545" yWindow="1095" windowWidth="17565" windowHeight="19410" tabRatio="749" activeTab="1" xr2:uid="{00000000-000D-0000-FFFF-FFFF00000000}"/>
  </bookViews>
  <sheets>
    <sheet name="Reflectivity" sheetId="1" r:id="rId1"/>
    <sheet name="Uncertainties" sheetId="43" r:id="rId2"/>
    <sheet name="swellRatioRich" sheetId="48" r:id="rId3"/>
    <sheet name="swellRatioPoor" sheetId="49" r:id="rId4"/>
    <sheet name="sigMarker" sheetId="39" r:id="rId5"/>
    <sheet name="deldod" sheetId="50" r:id="rId6"/>
    <sheet name="dSiOx" sheetId="45" r:id="rId7"/>
    <sheet name="NbSiOx" sheetId="51" r:id="rId8"/>
    <sheet name="ScaledCombined" sheetId="18" r:id="rId9"/>
    <sheet name="ScatteringParameters" sheetId="7" r:id="rId10"/>
    <sheet name="AtomicParameters" sheetId="6" r:id="rId11"/>
  </sheets>
  <functionGroups builtInGroupCount="19"/>
  <externalReferences>
    <externalReference r:id="rId12"/>
  </externalReferences>
  <definedNames>
    <definedName name="REF_L_2790_2008_01_10T13_3A40_3A12_04_3A00_CE_scaling" localSheetId="8">ScaledCombined!$A$1:$M$341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1" i="1" l="1"/>
  <c r="G70" i="1"/>
  <c r="G69" i="1"/>
  <c r="G68" i="1"/>
  <c r="F68" i="1"/>
  <c r="F67" i="1" s="1"/>
  <c r="H67" i="1"/>
  <c r="H77" i="1" s="1"/>
  <c r="H65" i="1" s="1"/>
  <c r="G67" i="1"/>
  <c r="C67" i="1"/>
  <c r="G66" i="1"/>
  <c r="F66" i="1"/>
  <c r="F65" i="1" s="1"/>
  <c r="H71" i="1" s="1"/>
  <c r="G65" i="1"/>
  <c r="H63" i="1"/>
  <c r="C65" i="1" s="1"/>
  <c r="C63" i="1"/>
  <c r="H50" i="1"/>
  <c r="H46" i="1"/>
  <c r="G40" i="1"/>
  <c r="G39" i="1"/>
  <c r="H38" i="1"/>
  <c r="F34" i="1" s="1"/>
  <c r="F37" i="1"/>
  <c r="F38" i="1" s="1"/>
  <c r="H36" i="1"/>
  <c r="H56" i="1" s="1"/>
  <c r="G36" i="1"/>
  <c r="G37" i="1" s="1"/>
  <c r="G38" i="1" s="1"/>
  <c r="F36" i="1"/>
  <c r="G35" i="1"/>
  <c r="G34" i="1" s="1"/>
  <c r="F35" i="1"/>
  <c r="F32" i="1"/>
  <c r="H40" i="1" s="1"/>
  <c r="C64" i="1" l="1"/>
  <c r="C68" i="1"/>
  <c r="C66" i="1"/>
  <c r="H44" i="1"/>
  <c r="H32" i="1" s="1"/>
  <c r="E50" i="1"/>
  <c r="C50" i="1"/>
  <c r="D50" i="1" s="1"/>
  <c r="B50" i="1"/>
  <c r="H48" i="1" s="1"/>
  <c r="G33" i="1"/>
  <c r="C69" i="1"/>
  <c r="B24" i="43"/>
  <c r="H52" i="1" l="1"/>
  <c r="H34" i="1" s="1"/>
  <c r="C32" i="1"/>
  <c r="C34" i="1"/>
  <c r="C38" i="1"/>
  <c r="C36" i="1"/>
  <c r="B16" i="43"/>
  <c r="B20" i="43"/>
  <c r="B18" i="43"/>
  <c r="C35" i="1" l="1"/>
  <c r="C33" i="1"/>
  <c r="C37" i="1"/>
  <c r="B14" i="43"/>
  <c r="B12" i="43"/>
  <c r="B23" i="43" l="1"/>
  <c r="B29" i="43"/>
  <c r="B26" i="43" l="1"/>
  <c r="C3" i="43"/>
  <c r="B3" i="43"/>
  <c r="C2" i="43"/>
  <c r="B2" i="43"/>
  <c r="C7" i="43" l="1"/>
  <c r="C6" i="43"/>
  <c r="C4" i="43"/>
  <c r="G5" i="1"/>
  <c r="H8" i="1" l="1"/>
  <c r="H22" i="1"/>
  <c r="B4" i="43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H20" i="1"/>
  <c r="B7" i="43" s="1"/>
  <c r="H16" i="1"/>
  <c r="F5" i="1"/>
  <c r="G12" i="1"/>
  <c r="C29" i="43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C260" i="1"/>
  <c r="AB260" i="1"/>
  <c r="AA260" i="1"/>
  <c r="AF259" i="1"/>
  <c r="AE259" i="1"/>
  <c r="AC259" i="1"/>
  <c r="AB259" i="1"/>
  <c r="AA259" i="1"/>
  <c r="AF258" i="1"/>
  <c r="AE258" i="1"/>
  <c r="AC258" i="1"/>
  <c r="AB258" i="1"/>
  <c r="AA258" i="1"/>
  <c r="AF257" i="1"/>
  <c r="AE257" i="1"/>
  <c r="AC257" i="1"/>
  <c r="AB257" i="1"/>
  <c r="AA257" i="1"/>
  <c r="AF256" i="1"/>
  <c r="AE256" i="1"/>
  <c r="AC256" i="1"/>
  <c r="AB256" i="1"/>
  <c r="AA256" i="1"/>
  <c r="AF255" i="1"/>
  <c r="AE255" i="1"/>
  <c r="AC255" i="1"/>
  <c r="AB255" i="1"/>
  <c r="AA255" i="1"/>
  <c r="AF254" i="1"/>
  <c r="AE254" i="1"/>
  <c r="AC254" i="1"/>
  <c r="AB254" i="1"/>
  <c r="AA254" i="1"/>
  <c r="AF253" i="1"/>
  <c r="AE253" i="1"/>
  <c r="AC253" i="1"/>
  <c r="AB253" i="1"/>
  <c r="AA253" i="1"/>
  <c r="AF252" i="1"/>
  <c r="AE252" i="1"/>
  <c r="AC252" i="1"/>
  <c r="AB252" i="1"/>
  <c r="AA252" i="1"/>
  <c r="AF251" i="1"/>
  <c r="AE251" i="1"/>
  <c r="AC251" i="1"/>
  <c r="AB251" i="1"/>
  <c r="AA251" i="1"/>
  <c r="AF250" i="1"/>
  <c r="AE250" i="1"/>
  <c r="AC250" i="1"/>
  <c r="AB250" i="1"/>
  <c r="AA250" i="1"/>
  <c r="AF249" i="1"/>
  <c r="AE249" i="1"/>
  <c r="AC249" i="1"/>
  <c r="AB249" i="1"/>
  <c r="AA249" i="1"/>
  <c r="AF248" i="1"/>
  <c r="AE248" i="1"/>
  <c r="AC248" i="1"/>
  <c r="AB248" i="1"/>
  <c r="AA248" i="1"/>
  <c r="AF247" i="1"/>
  <c r="AE247" i="1"/>
  <c r="AC247" i="1"/>
  <c r="AB247" i="1"/>
  <c r="AA247" i="1"/>
  <c r="AF246" i="1"/>
  <c r="AE246" i="1"/>
  <c r="AC246" i="1"/>
  <c r="AB246" i="1"/>
  <c r="AA246" i="1"/>
  <c r="AF245" i="1"/>
  <c r="AE245" i="1"/>
  <c r="AC245" i="1"/>
  <c r="AB245" i="1"/>
  <c r="AA245" i="1"/>
  <c r="AF244" i="1"/>
  <c r="AE244" i="1"/>
  <c r="AC244" i="1"/>
  <c r="AB244" i="1"/>
  <c r="AA244" i="1"/>
  <c r="AF243" i="1"/>
  <c r="AE243" i="1"/>
  <c r="AC243" i="1"/>
  <c r="AB243" i="1"/>
  <c r="AA243" i="1"/>
  <c r="AF242" i="1"/>
  <c r="AE242" i="1"/>
  <c r="AC242" i="1"/>
  <c r="AB242" i="1"/>
  <c r="AA242" i="1"/>
  <c r="AF241" i="1"/>
  <c r="AE241" i="1"/>
  <c r="AC241" i="1"/>
  <c r="AB241" i="1"/>
  <c r="AA241" i="1"/>
  <c r="AF240" i="1"/>
  <c r="AE240" i="1"/>
  <c r="AC240" i="1"/>
  <c r="AB240" i="1"/>
  <c r="AA240" i="1"/>
  <c r="AF239" i="1"/>
  <c r="AE239" i="1"/>
  <c r="AC239" i="1"/>
  <c r="AB239" i="1"/>
  <c r="AA239" i="1"/>
  <c r="AF238" i="1"/>
  <c r="AE238" i="1"/>
  <c r="AC238" i="1"/>
  <c r="AB238" i="1"/>
  <c r="AA238" i="1"/>
  <c r="AF237" i="1"/>
  <c r="AE237" i="1"/>
  <c r="AC237" i="1"/>
  <c r="AB237" i="1"/>
  <c r="AA237" i="1"/>
  <c r="AF236" i="1"/>
  <c r="AE236" i="1"/>
  <c r="AC236" i="1"/>
  <c r="AB236" i="1"/>
  <c r="AA236" i="1"/>
  <c r="AF235" i="1"/>
  <c r="AE235" i="1"/>
  <c r="AC235" i="1"/>
  <c r="AB235" i="1"/>
  <c r="AA235" i="1"/>
  <c r="AF234" i="1"/>
  <c r="AE234" i="1"/>
  <c r="AC234" i="1"/>
  <c r="AB234" i="1"/>
  <c r="AA234" i="1"/>
  <c r="AF233" i="1"/>
  <c r="AE233" i="1"/>
  <c r="AC233" i="1"/>
  <c r="AB233" i="1"/>
  <c r="AA233" i="1"/>
  <c r="AF232" i="1"/>
  <c r="AE232" i="1"/>
  <c r="AC232" i="1"/>
  <c r="AB232" i="1"/>
  <c r="AA232" i="1"/>
  <c r="AF231" i="1"/>
  <c r="AE231" i="1"/>
  <c r="AC231" i="1"/>
  <c r="AB231" i="1"/>
  <c r="AA231" i="1"/>
  <c r="AF230" i="1"/>
  <c r="AE230" i="1"/>
  <c r="AC230" i="1"/>
  <c r="AB230" i="1"/>
  <c r="AA230" i="1"/>
  <c r="AF229" i="1"/>
  <c r="AE229" i="1"/>
  <c r="AC229" i="1"/>
  <c r="AB229" i="1"/>
  <c r="AA229" i="1"/>
  <c r="AF228" i="1"/>
  <c r="AE228" i="1"/>
  <c r="AC228" i="1"/>
  <c r="AB228" i="1"/>
  <c r="AA228" i="1"/>
  <c r="AF227" i="1"/>
  <c r="AE227" i="1"/>
  <c r="AC227" i="1"/>
  <c r="AB227" i="1"/>
  <c r="AA227" i="1"/>
  <c r="AF226" i="1"/>
  <c r="AE226" i="1"/>
  <c r="AC226" i="1"/>
  <c r="AB226" i="1"/>
  <c r="AA226" i="1"/>
  <c r="AF225" i="1"/>
  <c r="AE225" i="1"/>
  <c r="AC225" i="1"/>
  <c r="AB225" i="1"/>
  <c r="AA225" i="1"/>
  <c r="AF224" i="1"/>
  <c r="AE224" i="1"/>
  <c r="AC224" i="1"/>
  <c r="AB224" i="1"/>
  <c r="AA224" i="1"/>
  <c r="AF223" i="1"/>
  <c r="AE223" i="1"/>
  <c r="AC223" i="1"/>
  <c r="AB223" i="1"/>
  <c r="AA223" i="1"/>
  <c r="AF222" i="1"/>
  <c r="AE222" i="1"/>
  <c r="AC222" i="1"/>
  <c r="AB222" i="1"/>
  <c r="AA222" i="1"/>
  <c r="AF221" i="1"/>
  <c r="AE221" i="1"/>
  <c r="AC221" i="1"/>
  <c r="AB221" i="1"/>
  <c r="AA221" i="1"/>
  <c r="AF220" i="1"/>
  <c r="AE220" i="1"/>
  <c r="AC220" i="1"/>
  <c r="AB220" i="1"/>
  <c r="AA220" i="1"/>
  <c r="AF219" i="1"/>
  <c r="AE219" i="1"/>
  <c r="AC219" i="1"/>
  <c r="AB219" i="1"/>
  <c r="AA219" i="1"/>
  <c r="AF218" i="1"/>
  <c r="AE218" i="1"/>
  <c r="AC218" i="1"/>
  <c r="AB218" i="1"/>
  <c r="AA218" i="1"/>
  <c r="AF217" i="1"/>
  <c r="AE217" i="1"/>
  <c r="AC217" i="1"/>
  <c r="AB217" i="1"/>
  <c r="AA217" i="1"/>
  <c r="AF216" i="1"/>
  <c r="AE216" i="1"/>
  <c r="AC216" i="1"/>
  <c r="AB216" i="1"/>
  <c r="AA216" i="1"/>
  <c r="AF215" i="1"/>
  <c r="AE215" i="1"/>
  <c r="AC215" i="1"/>
  <c r="AB215" i="1"/>
  <c r="AA215" i="1"/>
  <c r="AF214" i="1"/>
  <c r="AE214" i="1"/>
  <c r="AC214" i="1"/>
  <c r="AB214" i="1"/>
  <c r="AA214" i="1"/>
  <c r="AF213" i="1"/>
  <c r="AE213" i="1"/>
  <c r="AC213" i="1"/>
  <c r="AB213" i="1"/>
  <c r="AA213" i="1"/>
  <c r="AF212" i="1"/>
  <c r="AE212" i="1"/>
  <c r="AC212" i="1"/>
  <c r="AB212" i="1"/>
  <c r="AA212" i="1"/>
  <c r="AF211" i="1"/>
  <c r="AE211" i="1"/>
  <c r="AC211" i="1"/>
  <c r="AB211" i="1"/>
  <c r="AA211" i="1"/>
  <c r="AF210" i="1"/>
  <c r="AE210" i="1"/>
  <c r="AC210" i="1"/>
  <c r="AB210" i="1"/>
  <c r="AA210" i="1"/>
  <c r="AF209" i="1"/>
  <c r="AE209" i="1"/>
  <c r="AC209" i="1"/>
  <c r="AB209" i="1"/>
  <c r="AA209" i="1"/>
  <c r="AF208" i="1"/>
  <c r="AE208" i="1"/>
  <c r="AC208" i="1"/>
  <c r="AB208" i="1"/>
  <c r="AA208" i="1"/>
  <c r="AF207" i="1"/>
  <c r="AE207" i="1"/>
  <c r="AC207" i="1"/>
  <c r="AB207" i="1"/>
  <c r="AA207" i="1"/>
  <c r="AF206" i="1"/>
  <c r="AE206" i="1"/>
  <c r="AC206" i="1"/>
  <c r="AB206" i="1"/>
  <c r="AA206" i="1"/>
  <c r="AF205" i="1"/>
  <c r="AE205" i="1"/>
  <c r="AC205" i="1"/>
  <c r="AB205" i="1"/>
  <c r="AA205" i="1"/>
  <c r="AF204" i="1"/>
  <c r="AE204" i="1"/>
  <c r="AC204" i="1"/>
  <c r="AB204" i="1"/>
  <c r="AA204" i="1"/>
  <c r="AF203" i="1"/>
  <c r="AE203" i="1"/>
  <c r="AC203" i="1"/>
  <c r="AB203" i="1"/>
  <c r="AA203" i="1"/>
  <c r="AF202" i="1"/>
  <c r="AE202" i="1"/>
  <c r="AC202" i="1"/>
  <c r="AB202" i="1"/>
  <c r="AA202" i="1"/>
  <c r="AF201" i="1"/>
  <c r="AE201" i="1"/>
  <c r="AC201" i="1"/>
  <c r="AB201" i="1"/>
  <c r="AA201" i="1"/>
  <c r="AF200" i="1"/>
  <c r="AE200" i="1"/>
  <c r="AC200" i="1"/>
  <c r="AB200" i="1"/>
  <c r="AA200" i="1"/>
  <c r="AF199" i="1"/>
  <c r="AE199" i="1"/>
  <c r="AC199" i="1"/>
  <c r="AB199" i="1"/>
  <c r="AA199" i="1"/>
  <c r="AF198" i="1"/>
  <c r="AE198" i="1"/>
  <c r="AC198" i="1"/>
  <c r="AB198" i="1"/>
  <c r="AA198" i="1"/>
  <c r="AF197" i="1"/>
  <c r="AE197" i="1"/>
  <c r="AC197" i="1"/>
  <c r="AB197" i="1"/>
  <c r="AA197" i="1"/>
  <c r="AF196" i="1"/>
  <c r="AE196" i="1"/>
  <c r="AC196" i="1"/>
  <c r="AB196" i="1"/>
  <c r="AA196" i="1"/>
  <c r="AF195" i="1"/>
  <c r="AE195" i="1"/>
  <c r="AC195" i="1"/>
  <c r="AB195" i="1"/>
  <c r="AA195" i="1"/>
  <c r="AF194" i="1"/>
  <c r="AE194" i="1"/>
  <c r="AC194" i="1"/>
  <c r="AB194" i="1"/>
  <c r="AA194" i="1"/>
  <c r="AF193" i="1"/>
  <c r="AE193" i="1"/>
  <c r="AC193" i="1"/>
  <c r="AB193" i="1"/>
  <c r="AA193" i="1"/>
  <c r="AF192" i="1"/>
  <c r="AE192" i="1"/>
  <c r="AC192" i="1"/>
  <c r="AB192" i="1"/>
  <c r="AA192" i="1"/>
  <c r="AF191" i="1"/>
  <c r="AE191" i="1"/>
  <c r="AC191" i="1"/>
  <c r="AB191" i="1"/>
  <c r="AA191" i="1"/>
  <c r="AF190" i="1"/>
  <c r="AE190" i="1"/>
  <c r="AC190" i="1"/>
  <c r="AB190" i="1"/>
  <c r="AA190" i="1"/>
  <c r="AF189" i="1"/>
  <c r="AE189" i="1"/>
  <c r="AC189" i="1"/>
  <c r="AB189" i="1"/>
  <c r="AA189" i="1"/>
  <c r="AF188" i="1"/>
  <c r="AE188" i="1"/>
  <c r="AC188" i="1"/>
  <c r="AB188" i="1"/>
  <c r="AA188" i="1"/>
  <c r="AF187" i="1"/>
  <c r="AE187" i="1"/>
  <c r="AC187" i="1"/>
  <c r="AB187" i="1"/>
  <c r="AA187" i="1"/>
  <c r="AF186" i="1"/>
  <c r="AE186" i="1"/>
  <c r="AC186" i="1"/>
  <c r="AB186" i="1"/>
  <c r="AA186" i="1"/>
  <c r="AF185" i="1"/>
  <c r="AE185" i="1"/>
  <c r="AC185" i="1"/>
  <c r="AB185" i="1"/>
  <c r="AA185" i="1"/>
  <c r="AF184" i="1"/>
  <c r="AE184" i="1"/>
  <c r="AC184" i="1"/>
  <c r="AB184" i="1"/>
  <c r="AA184" i="1"/>
  <c r="AF183" i="1"/>
  <c r="AE183" i="1"/>
  <c r="AC183" i="1"/>
  <c r="AB183" i="1"/>
  <c r="AA183" i="1"/>
  <c r="AF182" i="1"/>
  <c r="AE182" i="1"/>
  <c r="AC182" i="1"/>
  <c r="AB182" i="1"/>
  <c r="AA182" i="1"/>
  <c r="AF181" i="1"/>
  <c r="AE181" i="1"/>
  <c r="AC181" i="1"/>
  <c r="AB181" i="1"/>
  <c r="AA181" i="1"/>
  <c r="AF180" i="1"/>
  <c r="AE180" i="1"/>
  <c r="AC180" i="1"/>
  <c r="AB180" i="1"/>
  <c r="AA180" i="1"/>
  <c r="AF179" i="1"/>
  <c r="AE179" i="1"/>
  <c r="AC179" i="1"/>
  <c r="AB179" i="1"/>
  <c r="AA179" i="1"/>
  <c r="AF178" i="1"/>
  <c r="AE178" i="1"/>
  <c r="AC178" i="1"/>
  <c r="AB178" i="1"/>
  <c r="AA178" i="1"/>
  <c r="AF177" i="1"/>
  <c r="AE177" i="1"/>
  <c r="AC177" i="1"/>
  <c r="AB177" i="1"/>
  <c r="AA177" i="1"/>
  <c r="AF176" i="1"/>
  <c r="AE176" i="1"/>
  <c r="AC176" i="1"/>
  <c r="AB176" i="1"/>
  <c r="AA176" i="1"/>
  <c r="AF175" i="1"/>
  <c r="AE175" i="1"/>
  <c r="AC175" i="1"/>
  <c r="AB175" i="1"/>
  <c r="AA175" i="1"/>
  <c r="AF174" i="1"/>
  <c r="AE174" i="1"/>
  <c r="AC174" i="1"/>
  <c r="AB174" i="1"/>
  <c r="AA174" i="1"/>
  <c r="AF173" i="1"/>
  <c r="AE173" i="1"/>
  <c r="AC173" i="1"/>
  <c r="AB173" i="1"/>
  <c r="AA173" i="1"/>
  <c r="AF172" i="1"/>
  <c r="AE172" i="1"/>
  <c r="AC172" i="1"/>
  <c r="AB172" i="1"/>
  <c r="AA172" i="1"/>
  <c r="AF171" i="1"/>
  <c r="AE171" i="1"/>
  <c r="AC171" i="1"/>
  <c r="AB171" i="1"/>
  <c r="AA171" i="1"/>
  <c r="AF170" i="1"/>
  <c r="AE170" i="1"/>
  <c r="AC170" i="1"/>
  <c r="AB170" i="1"/>
  <c r="AA170" i="1"/>
  <c r="AF169" i="1"/>
  <c r="AE169" i="1"/>
  <c r="AC169" i="1"/>
  <c r="AB169" i="1"/>
  <c r="AA169" i="1"/>
  <c r="AF168" i="1"/>
  <c r="AE168" i="1"/>
  <c r="AC168" i="1"/>
  <c r="AB168" i="1"/>
  <c r="AA168" i="1"/>
  <c r="AF167" i="1"/>
  <c r="AE167" i="1"/>
  <c r="AC167" i="1"/>
  <c r="AB167" i="1"/>
  <c r="AA167" i="1"/>
  <c r="AF166" i="1"/>
  <c r="AE166" i="1"/>
  <c r="AC166" i="1"/>
  <c r="AB166" i="1"/>
  <c r="AA166" i="1"/>
  <c r="AF165" i="1"/>
  <c r="AE165" i="1"/>
  <c r="AC165" i="1"/>
  <c r="AB165" i="1"/>
  <c r="AA165" i="1"/>
  <c r="AF164" i="1"/>
  <c r="AE164" i="1"/>
  <c r="AC164" i="1"/>
  <c r="AB164" i="1"/>
  <c r="AA164" i="1"/>
  <c r="AF163" i="1"/>
  <c r="AE163" i="1"/>
  <c r="AC163" i="1"/>
  <c r="AB163" i="1"/>
  <c r="AA163" i="1"/>
  <c r="AF162" i="1"/>
  <c r="AE162" i="1"/>
  <c r="AC162" i="1"/>
  <c r="AB162" i="1"/>
  <c r="AA162" i="1"/>
  <c r="AF161" i="1"/>
  <c r="AE161" i="1"/>
  <c r="AC161" i="1"/>
  <c r="AB161" i="1"/>
  <c r="AA161" i="1"/>
  <c r="AF160" i="1"/>
  <c r="AE160" i="1"/>
  <c r="AC160" i="1"/>
  <c r="AB160" i="1"/>
  <c r="AA160" i="1"/>
  <c r="AF159" i="1"/>
  <c r="AE159" i="1"/>
  <c r="AC159" i="1"/>
  <c r="AB159" i="1"/>
  <c r="AA159" i="1"/>
  <c r="AF158" i="1"/>
  <c r="AE158" i="1"/>
  <c r="AC158" i="1"/>
  <c r="AB158" i="1"/>
  <c r="AA158" i="1"/>
  <c r="AF157" i="1"/>
  <c r="AE157" i="1"/>
  <c r="AC157" i="1"/>
  <c r="AB157" i="1"/>
  <c r="AA157" i="1"/>
  <c r="AF156" i="1"/>
  <c r="AE156" i="1"/>
  <c r="AC156" i="1"/>
  <c r="AB156" i="1"/>
  <c r="AA156" i="1"/>
  <c r="AF155" i="1"/>
  <c r="AE155" i="1"/>
  <c r="AC155" i="1"/>
  <c r="AB155" i="1"/>
  <c r="AA155" i="1"/>
  <c r="AF154" i="1"/>
  <c r="AE154" i="1"/>
  <c r="AC154" i="1"/>
  <c r="AB154" i="1"/>
  <c r="AA154" i="1"/>
  <c r="AF153" i="1"/>
  <c r="AE153" i="1"/>
  <c r="AC153" i="1"/>
  <c r="AB153" i="1"/>
  <c r="AA153" i="1"/>
  <c r="AF152" i="1"/>
  <c r="AE152" i="1"/>
  <c r="AC152" i="1"/>
  <c r="AB152" i="1"/>
  <c r="AA152" i="1"/>
  <c r="AF151" i="1"/>
  <c r="AE151" i="1"/>
  <c r="AC151" i="1"/>
  <c r="AB151" i="1"/>
  <c r="AA151" i="1"/>
  <c r="AF150" i="1"/>
  <c r="AE150" i="1"/>
  <c r="AC150" i="1"/>
  <c r="AB150" i="1"/>
  <c r="AA150" i="1"/>
  <c r="AF149" i="1"/>
  <c r="AE149" i="1"/>
  <c r="AC149" i="1"/>
  <c r="AB149" i="1"/>
  <c r="AA149" i="1"/>
  <c r="AF148" i="1"/>
  <c r="AE148" i="1"/>
  <c r="AC148" i="1"/>
  <c r="AB148" i="1"/>
  <c r="AA148" i="1"/>
  <c r="AF147" i="1"/>
  <c r="AE147" i="1"/>
  <c r="AC147" i="1"/>
  <c r="AB147" i="1"/>
  <c r="AA147" i="1"/>
  <c r="AF146" i="1"/>
  <c r="AE146" i="1"/>
  <c r="AC146" i="1"/>
  <c r="AB146" i="1"/>
  <c r="AA146" i="1"/>
  <c r="AF145" i="1"/>
  <c r="AE145" i="1"/>
  <c r="AC145" i="1"/>
  <c r="AB145" i="1"/>
  <c r="AA145" i="1"/>
  <c r="AF144" i="1"/>
  <c r="AE144" i="1"/>
  <c r="AC144" i="1"/>
  <c r="AB144" i="1"/>
  <c r="AA144" i="1"/>
  <c r="AF143" i="1"/>
  <c r="AE143" i="1"/>
  <c r="AC143" i="1"/>
  <c r="AB143" i="1"/>
  <c r="AA143" i="1"/>
  <c r="AF142" i="1"/>
  <c r="AE142" i="1"/>
  <c r="AC142" i="1"/>
  <c r="AB142" i="1"/>
  <c r="AA142" i="1"/>
  <c r="AF141" i="1"/>
  <c r="AE141" i="1"/>
  <c r="AC141" i="1"/>
  <c r="AB141" i="1"/>
  <c r="AA141" i="1"/>
  <c r="AF140" i="1"/>
  <c r="AE140" i="1"/>
  <c r="AC140" i="1"/>
  <c r="AB140" i="1"/>
  <c r="AA140" i="1"/>
  <c r="AF139" i="1"/>
  <c r="AE139" i="1"/>
  <c r="AC139" i="1"/>
  <c r="AB139" i="1"/>
  <c r="AA139" i="1"/>
  <c r="AF138" i="1"/>
  <c r="AE138" i="1"/>
  <c r="AC138" i="1"/>
  <c r="AB138" i="1"/>
  <c r="AA138" i="1"/>
  <c r="AF137" i="1"/>
  <c r="AE137" i="1"/>
  <c r="AC137" i="1"/>
  <c r="AB137" i="1"/>
  <c r="AA137" i="1"/>
  <c r="AF136" i="1"/>
  <c r="AE136" i="1"/>
  <c r="AC136" i="1"/>
  <c r="AB136" i="1"/>
  <c r="AA136" i="1"/>
  <c r="AF135" i="1"/>
  <c r="AE135" i="1"/>
  <c r="AC135" i="1"/>
  <c r="AB135" i="1"/>
  <c r="AA135" i="1"/>
  <c r="AF134" i="1"/>
  <c r="AE134" i="1"/>
  <c r="AC134" i="1"/>
  <c r="AB134" i="1"/>
  <c r="AA134" i="1"/>
  <c r="AF133" i="1"/>
  <c r="AE133" i="1"/>
  <c r="AC133" i="1"/>
  <c r="AB133" i="1"/>
  <c r="AA133" i="1"/>
  <c r="AF132" i="1"/>
  <c r="AE132" i="1"/>
  <c r="AC132" i="1"/>
  <c r="AB132" i="1"/>
  <c r="AA132" i="1"/>
  <c r="AF131" i="1"/>
  <c r="AE131" i="1"/>
  <c r="AC131" i="1"/>
  <c r="AB131" i="1"/>
  <c r="AA131" i="1"/>
  <c r="AF130" i="1"/>
  <c r="AE130" i="1"/>
  <c r="AC130" i="1"/>
  <c r="AB130" i="1"/>
  <c r="AA130" i="1"/>
  <c r="AF129" i="1"/>
  <c r="AE129" i="1"/>
  <c r="AC129" i="1"/>
  <c r="AB129" i="1"/>
  <c r="AA129" i="1"/>
  <c r="AF128" i="1"/>
  <c r="AE128" i="1"/>
  <c r="AC128" i="1"/>
  <c r="AB128" i="1"/>
  <c r="AA128" i="1"/>
  <c r="AF127" i="1"/>
  <c r="AE127" i="1"/>
  <c r="AC127" i="1"/>
  <c r="AB127" i="1"/>
  <c r="AA127" i="1"/>
  <c r="AF126" i="1"/>
  <c r="AE126" i="1"/>
  <c r="AC126" i="1"/>
  <c r="AB126" i="1"/>
  <c r="AA126" i="1"/>
  <c r="AF125" i="1"/>
  <c r="AE125" i="1"/>
  <c r="AC125" i="1"/>
  <c r="AB125" i="1"/>
  <c r="AA125" i="1"/>
  <c r="AF124" i="1"/>
  <c r="AE124" i="1"/>
  <c r="AC124" i="1"/>
  <c r="AB124" i="1"/>
  <c r="AA124" i="1"/>
  <c r="AF123" i="1"/>
  <c r="AE123" i="1"/>
  <c r="AC123" i="1"/>
  <c r="AB123" i="1"/>
  <c r="AA123" i="1"/>
  <c r="AF122" i="1"/>
  <c r="AE122" i="1"/>
  <c r="AC122" i="1"/>
  <c r="AB122" i="1"/>
  <c r="AA122" i="1"/>
  <c r="AF121" i="1"/>
  <c r="AE121" i="1"/>
  <c r="AC121" i="1"/>
  <c r="AB121" i="1"/>
  <c r="AA121" i="1"/>
  <c r="AF120" i="1"/>
  <c r="AE120" i="1"/>
  <c r="AC120" i="1"/>
  <c r="AB120" i="1"/>
  <c r="AA120" i="1"/>
  <c r="AF119" i="1"/>
  <c r="AE119" i="1"/>
  <c r="AC119" i="1"/>
  <c r="AB119" i="1"/>
  <c r="AA119" i="1"/>
  <c r="AF118" i="1"/>
  <c r="AE118" i="1"/>
  <c r="AC118" i="1"/>
  <c r="AB118" i="1"/>
  <c r="AA118" i="1"/>
  <c r="AF117" i="1"/>
  <c r="AE117" i="1"/>
  <c r="AC117" i="1"/>
  <c r="AB117" i="1"/>
  <c r="AA117" i="1"/>
  <c r="AF116" i="1"/>
  <c r="AE116" i="1"/>
  <c r="AC116" i="1"/>
  <c r="AB116" i="1"/>
  <c r="AA116" i="1"/>
  <c r="AF115" i="1"/>
  <c r="AE115" i="1"/>
  <c r="AC115" i="1"/>
  <c r="AB115" i="1"/>
  <c r="AA115" i="1"/>
  <c r="AF114" i="1"/>
  <c r="AE114" i="1"/>
  <c r="AC114" i="1"/>
  <c r="AB114" i="1"/>
  <c r="AA114" i="1"/>
  <c r="AF113" i="1"/>
  <c r="AE113" i="1"/>
  <c r="AC113" i="1"/>
  <c r="AB113" i="1"/>
  <c r="AA113" i="1"/>
  <c r="AF112" i="1"/>
  <c r="AE112" i="1"/>
  <c r="AC112" i="1"/>
  <c r="AB112" i="1"/>
  <c r="AA112" i="1"/>
  <c r="AF111" i="1"/>
  <c r="AE111" i="1"/>
  <c r="AC111" i="1"/>
  <c r="AB111" i="1"/>
  <c r="AA111" i="1"/>
  <c r="AF110" i="1"/>
  <c r="AE110" i="1"/>
  <c r="AC110" i="1"/>
  <c r="AB110" i="1"/>
  <c r="AA110" i="1"/>
  <c r="AF109" i="1"/>
  <c r="AE109" i="1"/>
  <c r="AC109" i="1"/>
  <c r="AB109" i="1"/>
  <c r="AA109" i="1"/>
  <c r="AF108" i="1"/>
  <c r="AE108" i="1"/>
  <c r="AC108" i="1"/>
  <c r="AB108" i="1"/>
  <c r="AA108" i="1"/>
  <c r="AF107" i="1"/>
  <c r="AE107" i="1"/>
  <c r="AC107" i="1"/>
  <c r="AB107" i="1"/>
  <c r="AA107" i="1"/>
  <c r="AF106" i="1"/>
  <c r="AE106" i="1"/>
  <c r="AC106" i="1"/>
  <c r="AB106" i="1"/>
  <c r="AA106" i="1"/>
  <c r="AF105" i="1"/>
  <c r="AE105" i="1"/>
  <c r="AC105" i="1"/>
  <c r="AB105" i="1"/>
  <c r="AA105" i="1"/>
  <c r="AF104" i="1"/>
  <c r="AE104" i="1"/>
  <c r="AC104" i="1"/>
  <c r="AB104" i="1"/>
  <c r="AA104" i="1"/>
  <c r="AF103" i="1"/>
  <c r="AE103" i="1"/>
  <c r="AC103" i="1"/>
  <c r="AB103" i="1"/>
  <c r="AA103" i="1"/>
  <c r="AF102" i="1"/>
  <c r="AE102" i="1"/>
  <c r="AC102" i="1"/>
  <c r="AB102" i="1"/>
  <c r="AA102" i="1"/>
  <c r="AF101" i="1"/>
  <c r="AE101" i="1"/>
  <c r="AC101" i="1"/>
  <c r="AB101" i="1"/>
  <c r="AA101" i="1"/>
  <c r="AF100" i="1"/>
  <c r="AE100" i="1"/>
  <c r="AC100" i="1"/>
  <c r="AB100" i="1"/>
  <c r="AA100" i="1"/>
  <c r="AF99" i="1"/>
  <c r="AE99" i="1"/>
  <c r="AC99" i="1"/>
  <c r="AB99" i="1"/>
  <c r="AA99" i="1"/>
  <c r="AF98" i="1"/>
  <c r="AE98" i="1"/>
  <c r="AC98" i="1"/>
  <c r="AB98" i="1"/>
  <c r="AA98" i="1"/>
  <c r="AF97" i="1"/>
  <c r="AE97" i="1"/>
  <c r="AC97" i="1"/>
  <c r="AB97" i="1"/>
  <c r="AA97" i="1"/>
  <c r="AF96" i="1"/>
  <c r="AE96" i="1"/>
  <c r="AC96" i="1"/>
  <c r="AB96" i="1"/>
  <c r="AA96" i="1"/>
  <c r="AF95" i="1"/>
  <c r="AE95" i="1"/>
  <c r="AC95" i="1"/>
  <c r="AB95" i="1"/>
  <c r="AA95" i="1"/>
  <c r="AF94" i="1"/>
  <c r="AE94" i="1"/>
  <c r="AC94" i="1"/>
  <c r="AB94" i="1"/>
  <c r="AA94" i="1"/>
  <c r="AF93" i="1"/>
  <c r="AE93" i="1"/>
  <c r="AC93" i="1"/>
  <c r="AB93" i="1"/>
  <c r="AA93" i="1"/>
  <c r="AF92" i="1"/>
  <c r="AE92" i="1"/>
  <c r="AC92" i="1"/>
  <c r="AB92" i="1"/>
  <c r="AA92" i="1"/>
  <c r="AF91" i="1"/>
  <c r="AE91" i="1"/>
  <c r="AC91" i="1"/>
  <c r="AB91" i="1"/>
  <c r="AA91" i="1"/>
  <c r="AF90" i="1"/>
  <c r="AE90" i="1"/>
  <c r="AC90" i="1"/>
  <c r="AB90" i="1"/>
  <c r="AA90" i="1"/>
  <c r="AF89" i="1"/>
  <c r="AE89" i="1"/>
  <c r="AC89" i="1"/>
  <c r="AB89" i="1"/>
  <c r="AA89" i="1"/>
  <c r="AF88" i="1"/>
  <c r="AE88" i="1"/>
  <c r="AC88" i="1"/>
  <c r="AB88" i="1"/>
  <c r="AA88" i="1"/>
  <c r="AF87" i="1"/>
  <c r="AE87" i="1"/>
  <c r="AC87" i="1"/>
  <c r="AB87" i="1"/>
  <c r="AA87" i="1"/>
  <c r="AF86" i="1"/>
  <c r="AE86" i="1"/>
  <c r="AC86" i="1"/>
  <c r="AB86" i="1"/>
  <c r="AA86" i="1"/>
  <c r="AF85" i="1"/>
  <c r="AE85" i="1"/>
  <c r="AC85" i="1"/>
  <c r="AB85" i="1"/>
  <c r="AA85" i="1"/>
  <c r="AF84" i="1"/>
  <c r="AE84" i="1"/>
  <c r="AC84" i="1"/>
  <c r="AB84" i="1"/>
  <c r="AA84" i="1"/>
  <c r="AF83" i="1"/>
  <c r="AE83" i="1"/>
  <c r="AC83" i="1"/>
  <c r="AB83" i="1"/>
  <c r="AA83" i="1"/>
  <c r="AF82" i="1"/>
  <c r="AE82" i="1"/>
  <c r="AC82" i="1"/>
  <c r="AB82" i="1"/>
  <c r="AA82" i="1"/>
  <c r="AF81" i="1"/>
  <c r="AE81" i="1"/>
  <c r="AC81" i="1"/>
  <c r="AB81" i="1"/>
  <c r="AA81" i="1"/>
  <c r="AF80" i="1"/>
  <c r="AE80" i="1"/>
  <c r="AC80" i="1"/>
  <c r="AB80" i="1"/>
  <c r="AA80" i="1"/>
  <c r="AF79" i="1"/>
  <c r="AE79" i="1"/>
  <c r="AC79" i="1"/>
  <c r="AB79" i="1"/>
  <c r="AA79" i="1"/>
  <c r="AF78" i="1"/>
  <c r="AE78" i="1"/>
  <c r="AC78" i="1"/>
  <c r="AB78" i="1"/>
  <c r="AA78" i="1"/>
  <c r="AF77" i="1"/>
  <c r="AE77" i="1"/>
  <c r="AC77" i="1"/>
  <c r="AB77" i="1"/>
  <c r="AA77" i="1"/>
  <c r="AF76" i="1"/>
  <c r="AE76" i="1"/>
  <c r="AC76" i="1"/>
  <c r="AB76" i="1"/>
  <c r="AA76" i="1"/>
  <c r="AF75" i="1"/>
  <c r="AE75" i="1"/>
  <c r="AC75" i="1"/>
  <c r="AB75" i="1"/>
  <c r="AA75" i="1"/>
  <c r="AF74" i="1"/>
  <c r="AE74" i="1"/>
  <c r="AC74" i="1"/>
  <c r="AB74" i="1"/>
  <c r="AA74" i="1"/>
  <c r="AF73" i="1"/>
  <c r="AE73" i="1"/>
  <c r="AC73" i="1"/>
  <c r="AB73" i="1"/>
  <c r="AA73" i="1"/>
  <c r="AF72" i="1"/>
  <c r="AE72" i="1"/>
  <c r="AC72" i="1"/>
  <c r="AB72" i="1"/>
  <c r="AA72" i="1"/>
  <c r="AF71" i="1"/>
  <c r="AE71" i="1"/>
  <c r="AC71" i="1"/>
  <c r="AB71" i="1"/>
  <c r="AA71" i="1"/>
  <c r="AF70" i="1"/>
  <c r="AE70" i="1"/>
  <c r="AC70" i="1"/>
  <c r="AB70" i="1"/>
  <c r="AA70" i="1"/>
  <c r="AF69" i="1"/>
  <c r="AE69" i="1"/>
  <c r="AC69" i="1"/>
  <c r="AB69" i="1"/>
  <c r="AA69" i="1"/>
  <c r="AF68" i="1"/>
  <c r="AE68" i="1"/>
  <c r="AC68" i="1"/>
  <c r="AB68" i="1"/>
  <c r="AA68" i="1"/>
  <c r="AF67" i="1"/>
  <c r="AE67" i="1"/>
  <c r="AC67" i="1"/>
  <c r="AB67" i="1"/>
  <c r="AA67" i="1"/>
  <c r="AF66" i="1"/>
  <c r="AE66" i="1"/>
  <c r="AC66" i="1"/>
  <c r="AB66" i="1"/>
  <c r="AA66" i="1"/>
  <c r="AF65" i="1"/>
  <c r="AE65" i="1"/>
  <c r="AC65" i="1"/>
  <c r="AB65" i="1"/>
  <c r="AA65" i="1"/>
  <c r="AF64" i="1"/>
  <c r="AE64" i="1"/>
  <c r="AC64" i="1"/>
  <c r="AB64" i="1"/>
  <c r="AA64" i="1"/>
  <c r="AF63" i="1"/>
  <c r="AE63" i="1"/>
  <c r="AC63" i="1"/>
  <c r="AB63" i="1"/>
  <c r="AA63" i="1"/>
  <c r="AF62" i="1"/>
  <c r="AE62" i="1"/>
  <c r="AC62" i="1"/>
  <c r="AB62" i="1"/>
  <c r="AA62" i="1"/>
  <c r="AF61" i="1"/>
  <c r="AE61" i="1"/>
  <c r="AC61" i="1"/>
  <c r="AB61" i="1"/>
  <c r="AA61" i="1"/>
  <c r="AF60" i="1"/>
  <c r="AE60" i="1"/>
  <c r="AC60" i="1"/>
  <c r="AB60" i="1"/>
  <c r="AA60" i="1"/>
  <c r="AF59" i="1"/>
  <c r="AE59" i="1"/>
  <c r="AC59" i="1"/>
  <c r="AB59" i="1"/>
  <c r="AA59" i="1"/>
  <c r="AF58" i="1"/>
  <c r="AE58" i="1"/>
  <c r="AC58" i="1"/>
  <c r="AB58" i="1"/>
  <c r="AA58" i="1"/>
  <c r="AF57" i="1"/>
  <c r="AE57" i="1"/>
  <c r="AC57" i="1"/>
  <c r="AB57" i="1"/>
  <c r="AA57" i="1"/>
  <c r="AF56" i="1"/>
  <c r="AE56" i="1"/>
  <c r="AC56" i="1"/>
  <c r="AB56" i="1"/>
  <c r="AA56" i="1"/>
  <c r="AF55" i="1"/>
  <c r="AE55" i="1"/>
  <c r="AC55" i="1"/>
  <c r="AB55" i="1"/>
  <c r="AA55" i="1"/>
  <c r="AF54" i="1"/>
  <c r="AE54" i="1"/>
  <c r="AC54" i="1"/>
  <c r="AB54" i="1"/>
  <c r="AA54" i="1"/>
  <c r="AF53" i="1"/>
  <c r="AE53" i="1"/>
  <c r="AC53" i="1"/>
  <c r="AB53" i="1"/>
  <c r="AA53" i="1"/>
  <c r="AF52" i="1"/>
  <c r="AE52" i="1"/>
  <c r="AC52" i="1"/>
  <c r="AB52" i="1"/>
  <c r="AA52" i="1"/>
  <c r="AF51" i="1"/>
  <c r="AE51" i="1"/>
  <c r="AC51" i="1"/>
  <c r="AB51" i="1"/>
  <c r="AA51" i="1"/>
  <c r="AF50" i="1"/>
  <c r="AE50" i="1"/>
  <c r="AC50" i="1"/>
  <c r="AB50" i="1"/>
  <c r="AA50" i="1"/>
  <c r="AF49" i="1"/>
  <c r="AE49" i="1"/>
  <c r="AC49" i="1"/>
  <c r="AB49" i="1"/>
  <c r="AA49" i="1"/>
  <c r="AF48" i="1"/>
  <c r="AE48" i="1"/>
  <c r="AC48" i="1"/>
  <c r="AB48" i="1"/>
  <c r="AA48" i="1"/>
  <c r="AF47" i="1"/>
  <c r="AE47" i="1"/>
  <c r="AC47" i="1"/>
  <c r="AB47" i="1"/>
  <c r="AA47" i="1"/>
  <c r="AF46" i="1"/>
  <c r="AE46" i="1"/>
  <c r="AC46" i="1"/>
  <c r="AB46" i="1"/>
  <c r="AA46" i="1"/>
  <c r="AF45" i="1"/>
  <c r="AE45" i="1"/>
  <c r="AC45" i="1"/>
  <c r="AB45" i="1"/>
  <c r="AA45" i="1"/>
  <c r="AF44" i="1"/>
  <c r="AE44" i="1"/>
  <c r="AC44" i="1"/>
  <c r="AB44" i="1"/>
  <c r="AA44" i="1"/>
  <c r="AF43" i="1"/>
  <c r="AE43" i="1"/>
  <c r="AC43" i="1"/>
  <c r="AB43" i="1"/>
  <c r="AA43" i="1"/>
  <c r="AF42" i="1"/>
  <c r="AE42" i="1"/>
  <c r="AC42" i="1"/>
  <c r="AB42" i="1"/>
  <c r="AA42" i="1"/>
  <c r="AF41" i="1"/>
  <c r="AE41" i="1"/>
  <c r="AC41" i="1"/>
  <c r="AB41" i="1"/>
  <c r="AA41" i="1"/>
  <c r="AF40" i="1"/>
  <c r="AE40" i="1"/>
  <c r="AC40" i="1"/>
  <c r="AB40" i="1"/>
  <c r="AA40" i="1"/>
  <c r="AF39" i="1"/>
  <c r="AE39" i="1"/>
  <c r="AC39" i="1"/>
  <c r="AB39" i="1"/>
  <c r="AA39" i="1"/>
  <c r="AF38" i="1"/>
  <c r="AE38" i="1"/>
  <c r="AC38" i="1"/>
  <c r="AB38" i="1"/>
  <c r="AA38" i="1"/>
  <c r="AF37" i="1"/>
  <c r="AE37" i="1"/>
  <c r="AC37" i="1"/>
  <c r="AB37" i="1"/>
  <c r="AA37" i="1"/>
  <c r="AF36" i="1"/>
  <c r="AE36" i="1"/>
  <c r="AC36" i="1"/>
  <c r="AB36" i="1"/>
  <c r="AA36" i="1"/>
  <c r="AF35" i="1"/>
  <c r="AE35" i="1"/>
  <c r="AC35" i="1"/>
  <c r="AB35" i="1"/>
  <c r="AA35" i="1"/>
  <c r="AF34" i="1"/>
  <c r="AE34" i="1"/>
  <c r="AC34" i="1"/>
  <c r="AB34" i="1"/>
  <c r="AA34" i="1"/>
  <c r="AF33" i="1"/>
  <c r="AE33" i="1"/>
  <c r="AC33" i="1"/>
  <c r="AB33" i="1"/>
  <c r="AA33" i="1"/>
  <c r="AF32" i="1"/>
  <c r="AE32" i="1"/>
  <c r="AC32" i="1"/>
  <c r="AB32" i="1"/>
  <c r="AA32" i="1"/>
  <c r="AF31" i="1"/>
  <c r="AE31" i="1"/>
  <c r="AC31" i="1"/>
  <c r="AB31" i="1"/>
  <c r="AA31" i="1"/>
  <c r="AF30" i="1"/>
  <c r="AE30" i="1"/>
  <c r="AC30" i="1"/>
  <c r="AB30" i="1"/>
  <c r="AA30" i="1"/>
  <c r="AF29" i="1"/>
  <c r="AE29" i="1"/>
  <c r="AC29" i="1"/>
  <c r="AB29" i="1"/>
  <c r="AA29" i="1"/>
  <c r="AF28" i="1"/>
  <c r="AE28" i="1"/>
  <c r="AC28" i="1"/>
  <c r="AB28" i="1"/>
  <c r="AA28" i="1"/>
  <c r="AF27" i="1"/>
  <c r="AE27" i="1"/>
  <c r="AC27" i="1"/>
  <c r="AB27" i="1"/>
  <c r="AA27" i="1"/>
  <c r="AF26" i="1"/>
  <c r="AE26" i="1"/>
  <c r="AC26" i="1"/>
  <c r="AB26" i="1"/>
  <c r="AA26" i="1"/>
  <c r="AF25" i="1"/>
  <c r="AE25" i="1"/>
  <c r="AC25" i="1"/>
  <c r="AB25" i="1"/>
  <c r="AA25" i="1"/>
  <c r="AF24" i="1"/>
  <c r="AE24" i="1"/>
  <c r="AC24" i="1"/>
  <c r="AB24" i="1"/>
  <c r="AA24" i="1"/>
  <c r="AF23" i="1"/>
  <c r="AE23" i="1"/>
  <c r="AC23" i="1"/>
  <c r="AB23" i="1"/>
  <c r="AA23" i="1"/>
  <c r="AF22" i="1"/>
  <c r="AE22" i="1"/>
  <c r="AC22" i="1"/>
  <c r="AB22" i="1"/>
  <c r="AA22" i="1"/>
  <c r="AF21" i="1"/>
  <c r="AE21" i="1"/>
  <c r="AC21" i="1"/>
  <c r="AB21" i="1"/>
  <c r="AA21" i="1"/>
  <c r="AF20" i="1"/>
  <c r="AE20" i="1"/>
  <c r="AC20" i="1"/>
  <c r="AB20" i="1"/>
  <c r="AA20" i="1"/>
  <c r="AF19" i="1"/>
  <c r="AE19" i="1"/>
  <c r="AC19" i="1"/>
  <c r="AB19" i="1"/>
  <c r="AA19" i="1"/>
  <c r="AF18" i="1"/>
  <c r="AE18" i="1"/>
  <c r="AC18" i="1"/>
  <c r="AB18" i="1"/>
  <c r="AA18" i="1"/>
  <c r="AF17" i="1"/>
  <c r="AE17" i="1"/>
  <c r="AC17" i="1"/>
  <c r="AB17" i="1"/>
  <c r="AA17" i="1"/>
  <c r="AF16" i="1"/>
  <c r="AE16" i="1"/>
  <c r="AC16" i="1"/>
  <c r="AB16" i="1"/>
  <c r="AA16" i="1"/>
  <c r="AF15" i="1"/>
  <c r="AE15" i="1"/>
  <c r="AC15" i="1"/>
  <c r="AB15" i="1"/>
  <c r="AA15" i="1"/>
  <c r="AF14" i="1"/>
  <c r="AE14" i="1"/>
  <c r="AC14" i="1"/>
  <c r="AB14" i="1"/>
  <c r="AA14" i="1"/>
  <c r="AF13" i="1"/>
  <c r="AE13" i="1"/>
  <c r="AC13" i="1"/>
  <c r="AB13" i="1"/>
  <c r="AA13" i="1"/>
  <c r="AF12" i="1"/>
  <c r="AE12" i="1"/>
  <c r="AC12" i="1"/>
  <c r="AB12" i="1"/>
  <c r="AA12" i="1"/>
  <c r="AF11" i="1"/>
  <c r="AE11" i="1"/>
  <c r="AC11" i="1"/>
  <c r="AB11" i="1"/>
  <c r="AA11" i="1"/>
  <c r="AF10" i="1"/>
  <c r="AE10" i="1"/>
  <c r="AC10" i="1"/>
  <c r="AB10" i="1"/>
  <c r="AA10" i="1"/>
  <c r="AF9" i="1"/>
  <c r="AE9" i="1"/>
  <c r="AC9" i="1"/>
  <c r="AB9" i="1"/>
  <c r="AA9" i="1"/>
  <c r="AF8" i="1"/>
  <c r="AE8" i="1"/>
  <c r="AC8" i="1"/>
  <c r="AB8" i="1"/>
  <c r="AA8" i="1"/>
  <c r="AF7" i="1"/>
  <c r="AE7" i="1"/>
  <c r="AC7" i="1"/>
  <c r="AB7" i="1"/>
  <c r="AA7" i="1"/>
  <c r="AF6" i="1"/>
  <c r="AE6" i="1"/>
  <c r="AC6" i="1"/>
  <c r="AB6" i="1"/>
  <c r="AA6" i="1"/>
  <c r="AF5" i="1"/>
  <c r="AE5" i="1"/>
  <c r="AC5" i="1"/>
  <c r="AB5" i="1"/>
  <c r="AA5" i="1"/>
  <c r="AF4" i="1"/>
  <c r="AE4" i="1"/>
  <c r="AC4" i="1"/>
  <c r="AB4" i="1"/>
  <c r="AA4" i="1"/>
  <c r="AF3" i="1"/>
  <c r="AE3" i="1"/>
  <c r="AC3" i="1"/>
  <c r="AB3" i="1"/>
  <c r="AA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 s="1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G10" i="1"/>
  <c r="G9" i="1"/>
  <c r="G11" i="1"/>
  <c r="G8" i="1"/>
  <c r="B6" i="43" l="1"/>
  <c r="H4" i="1"/>
  <c r="B25" i="43" s="1"/>
  <c r="C8" i="43"/>
  <c r="F7" i="1"/>
  <c r="F6" i="1" s="1"/>
  <c r="B21" i="43" s="1"/>
  <c r="B13" i="43"/>
  <c r="C13" i="43" s="1"/>
  <c r="C19" i="43" s="1"/>
  <c r="Y260" i="1"/>
  <c r="AD260" i="1"/>
  <c r="Y259" i="1"/>
  <c r="AD259" i="1"/>
  <c r="Y258" i="1"/>
  <c r="AD258" i="1"/>
  <c r="Y257" i="1"/>
  <c r="AD257" i="1"/>
  <c r="Y256" i="1"/>
  <c r="AD256" i="1"/>
  <c r="Y255" i="1"/>
  <c r="AD255" i="1"/>
  <c r="Y254" i="1"/>
  <c r="AD254" i="1"/>
  <c r="Y253" i="1"/>
  <c r="AD253" i="1"/>
  <c r="Y252" i="1"/>
  <c r="AD252" i="1"/>
  <c r="Y251" i="1"/>
  <c r="AD251" i="1"/>
  <c r="Y250" i="1"/>
  <c r="AD250" i="1"/>
  <c r="Y249" i="1"/>
  <c r="AD249" i="1"/>
  <c r="Y248" i="1"/>
  <c r="AD248" i="1"/>
  <c r="Y247" i="1"/>
  <c r="AD247" i="1"/>
  <c r="Y246" i="1"/>
  <c r="AD246" i="1"/>
  <c r="Y245" i="1"/>
  <c r="AD245" i="1"/>
  <c r="Y244" i="1"/>
  <c r="AD244" i="1"/>
  <c r="Y243" i="1"/>
  <c r="AD243" i="1"/>
  <c r="Y242" i="1"/>
  <c r="AD242" i="1"/>
  <c r="Y241" i="1"/>
  <c r="AD241" i="1"/>
  <c r="Y240" i="1"/>
  <c r="AD240" i="1"/>
  <c r="Y239" i="1"/>
  <c r="AD239" i="1"/>
  <c r="Y238" i="1"/>
  <c r="AD238" i="1"/>
  <c r="Y237" i="1"/>
  <c r="AD237" i="1"/>
  <c r="Y236" i="1"/>
  <c r="AD236" i="1"/>
  <c r="Y235" i="1"/>
  <c r="AD235" i="1"/>
  <c r="Y234" i="1"/>
  <c r="AD234" i="1"/>
  <c r="Y233" i="1"/>
  <c r="AD233" i="1"/>
  <c r="Y232" i="1"/>
  <c r="AD232" i="1"/>
  <c r="Y231" i="1"/>
  <c r="AD231" i="1"/>
  <c r="Y230" i="1"/>
  <c r="AD230" i="1"/>
  <c r="Y229" i="1"/>
  <c r="AD229" i="1"/>
  <c r="Y228" i="1"/>
  <c r="AD228" i="1"/>
  <c r="Y227" i="1"/>
  <c r="AD227" i="1"/>
  <c r="Y226" i="1"/>
  <c r="AD226" i="1"/>
  <c r="Y225" i="1"/>
  <c r="AD225" i="1"/>
  <c r="Y224" i="1"/>
  <c r="AD224" i="1"/>
  <c r="Y223" i="1"/>
  <c r="AD223" i="1"/>
  <c r="Y222" i="1"/>
  <c r="AD222" i="1"/>
  <c r="Y221" i="1"/>
  <c r="AD221" i="1"/>
  <c r="Y220" i="1"/>
  <c r="AD220" i="1"/>
  <c r="Y219" i="1"/>
  <c r="AD219" i="1"/>
  <c r="Y218" i="1"/>
  <c r="AD218" i="1"/>
  <c r="Y217" i="1"/>
  <c r="AD217" i="1"/>
  <c r="Y216" i="1"/>
  <c r="AD216" i="1"/>
  <c r="Y215" i="1"/>
  <c r="AD215" i="1"/>
  <c r="Y214" i="1"/>
  <c r="AD214" i="1"/>
  <c r="Y213" i="1"/>
  <c r="AD213" i="1"/>
  <c r="Y212" i="1"/>
  <c r="AD212" i="1"/>
  <c r="Y211" i="1"/>
  <c r="AD211" i="1"/>
  <c r="Y210" i="1"/>
  <c r="AD210" i="1"/>
  <c r="Y209" i="1"/>
  <c r="AD209" i="1"/>
  <c r="Y208" i="1"/>
  <c r="AD208" i="1"/>
  <c r="Y207" i="1"/>
  <c r="AD207" i="1"/>
  <c r="Y206" i="1"/>
  <c r="AD206" i="1"/>
  <c r="Y205" i="1"/>
  <c r="AD205" i="1"/>
  <c r="Y204" i="1"/>
  <c r="AD204" i="1"/>
  <c r="Y203" i="1"/>
  <c r="AD203" i="1"/>
  <c r="Y202" i="1"/>
  <c r="AD202" i="1"/>
  <c r="Y201" i="1"/>
  <c r="AD201" i="1"/>
  <c r="Y200" i="1"/>
  <c r="AD200" i="1"/>
  <c r="Y199" i="1"/>
  <c r="AD199" i="1"/>
  <c r="Y198" i="1"/>
  <c r="AD198" i="1"/>
  <c r="Y197" i="1"/>
  <c r="AD197" i="1"/>
  <c r="Y196" i="1"/>
  <c r="AD196" i="1"/>
  <c r="Y195" i="1"/>
  <c r="AD195" i="1"/>
  <c r="Y194" i="1"/>
  <c r="AD194" i="1"/>
  <c r="Y193" i="1"/>
  <c r="AD193" i="1"/>
  <c r="Y192" i="1"/>
  <c r="AD192" i="1"/>
  <c r="Y191" i="1"/>
  <c r="AD191" i="1"/>
  <c r="Y190" i="1"/>
  <c r="AD190" i="1"/>
  <c r="Y189" i="1"/>
  <c r="AD189" i="1"/>
  <c r="Y188" i="1"/>
  <c r="AD188" i="1"/>
  <c r="Y187" i="1"/>
  <c r="AD187" i="1"/>
  <c r="Y186" i="1"/>
  <c r="AD186" i="1"/>
  <c r="Y185" i="1"/>
  <c r="AD185" i="1"/>
  <c r="Y184" i="1"/>
  <c r="AD184" i="1"/>
  <c r="Y183" i="1"/>
  <c r="AD183" i="1"/>
  <c r="Y182" i="1"/>
  <c r="AD182" i="1"/>
  <c r="Y181" i="1"/>
  <c r="AD181" i="1"/>
  <c r="Y180" i="1"/>
  <c r="AD180" i="1"/>
  <c r="Y179" i="1"/>
  <c r="AD179" i="1"/>
  <c r="Y178" i="1"/>
  <c r="AD178" i="1"/>
  <c r="Y177" i="1"/>
  <c r="AD177" i="1"/>
  <c r="Y176" i="1"/>
  <c r="AD176" i="1"/>
  <c r="Y175" i="1"/>
  <c r="AD175" i="1"/>
  <c r="Y174" i="1"/>
  <c r="AD174" i="1"/>
  <c r="Y173" i="1"/>
  <c r="AD173" i="1"/>
  <c r="Y172" i="1"/>
  <c r="AD172" i="1"/>
  <c r="Y171" i="1"/>
  <c r="AD171" i="1"/>
  <c r="Y170" i="1"/>
  <c r="AD170" i="1"/>
  <c r="Y169" i="1"/>
  <c r="AD169" i="1"/>
  <c r="Y168" i="1"/>
  <c r="AD168" i="1"/>
  <c r="Y167" i="1"/>
  <c r="AD167" i="1"/>
  <c r="Y166" i="1"/>
  <c r="AD166" i="1"/>
  <c r="Y165" i="1"/>
  <c r="AD165" i="1"/>
  <c r="Y164" i="1"/>
  <c r="AD164" i="1"/>
  <c r="Y163" i="1"/>
  <c r="AD163" i="1"/>
  <c r="Y162" i="1"/>
  <c r="AD162" i="1"/>
  <c r="Y161" i="1"/>
  <c r="AD161" i="1"/>
  <c r="Y160" i="1"/>
  <c r="AD160" i="1"/>
  <c r="Y159" i="1"/>
  <c r="AD159" i="1"/>
  <c r="Y158" i="1"/>
  <c r="AD158" i="1"/>
  <c r="Y157" i="1"/>
  <c r="AD157" i="1"/>
  <c r="Y156" i="1"/>
  <c r="AD156" i="1"/>
  <c r="Y155" i="1"/>
  <c r="AD155" i="1"/>
  <c r="Y154" i="1"/>
  <c r="AD154" i="1"/>
  <c r="Y153" i="1"/>
  <c r="AD153" i="1"/>
  <c r="Y152" i="1"/>
  <c r="AD152" i="1"/>
  <c r="Y151" i="1"/>
  <c r="AD151" i="1"/>
  <c r="Y150" i="1"/>
  <c r="AD150" i="1"/>
  <c r="Y149" i="1"/>
  <c r="AD149" i="1"/>
  <c r="Y148" i="1"/>
  <c r="AD148" i="1"/>
  <c r="Y147" i="1"/>
  <c r="AD147" i="1"/>
  <c r="Y146" i="1"/>
  <c r="AD146" i="1"/>
  <c r="Y145" i="1"/>
  <c r="AD145" i="1"/>
  <c r="Y144" i="1"/>
  <c r="AD144" i="1"/>
  <c r="Y143" i="1"/>
  <c r="AD143" i="1"/>
  <c r="Y142" i="1"/>
  <c r="AD142" i="1"/>
  <c r="Y141" i="1"/>
  <c r="AD141" i="1"/>
  <c r="Y140" i="1"/>
  <c r="AD140" i="1"/>
  <c r="Y139" i="1"/>
  <c r="AD139" i="1"/>
  <c r="Y138" i="1"/>
  <c r="AD138" i="1"/>
  <c r="Y137" i="1"/>
  <c r="AD137" i="1"/>
  <c r="Y136" i="1"/>
  <c r="AD136" i="1"/>
  <c r="Y135" i="1"/>
  <c r="AD135" i="1"/>
  <c r="Y134" i="1"/>
  <c r="AD134" i="1"/>
  <c r="Y133" i="1"/>
  <c r="AD133" i="1"/>
  <c r="Y132" i="1"/>
  <c r="AD132" i="1"/>
  <c r="Y131" i="1"/>
  <c r="AD131" i="1"/>
  <c r="Y130" i="1"/>
  <c r="AD130" i="1"/>
  <c r="Y129" i="1"/>
  <c r="AD129" i="1"/>
  <c r="Y128" i="1"/>
  <c r="AD128" i="1"/>
  <c r="Y127" i="1"/>
  <c r="AD127" i="1"/>
  <c r="Y126" i="1"/>
  <c r="AD126" i="1"/>
  <c r="Y125" i="1"/>
  <c r="AD125" i="1"/>
  <c r="Y124" i="1"/>
  <c r="AD124" i="1"/>
  <c r="Y123" i="1"/>
  <c r="AD123" i="1"/>
  <c r="Y122" i="1"/>
  <c r="AD122" i="1"/>
  <c r="Y121" i="1"/>
  <c r="AD121" i="1"/>
  <c r="Y120" i="1"/>
  <c r="AD120" i="1"/>
  <c r="Y119" i="1"/>
  <c r="AD119" i="1"/>
  <c r="Y118" i="1"/>
  <c r="AD118" i="1"/>
  <c r="Y117" i="1"/>
  <c r="AD117" i="1"/>
  <c r="Y116" i="1"/>
  <c r="AD116" i="1"/>
  <c r="Y115" i="1"/>
  <c r="AD115" i="1"/>
  <c r="Y114" i="1"/>
  <c r="AD114" i="1"/>
  <c r="Y113" i="1"/>
  <c r="AD113" i="1"/>
  <c r="Y112" i="1"/>
  <c r="AD112" i="1"/>
  <c r="Y111" i="1"/>
  <c r="AD111" i="1"/>
  <c r="Y110" i="1"/>
  <c r="AD110" i="1"/>
  <c r="Y109" i="1"/>
  <c r="AD109" i="1"/>
  <c r="Y108" i="1"/>
  <c r="AD108" i="1"/>
  <c r="Y107" i="1"/>
  <c r="AD107" i="1"/>
  <c r="Y106" i="1"/>
  <c r="AD106" i="1"/>
  <c r="Y105" i="1"/>
  <c r="AD105" i="1"/>
  <c r="Y104" i="1"/>
  <c r="AD104" i="1"/>
  <c r="Y103" i="1"/>
  <c r="AD103" i="1"/>
  <c r="Y102" i="1"/>
  <c r="AD102" i="1"/>
  <c r="Y101" i="1"/>
  <c r="AD101" i="1"/>
  <c r="Y100" i="1"/>
  <c r="AD100" i="1"/>
  <c r="Y99" i="1"/>
  <c r="AD99" i="1"/>
  <c r="Y98" i="1"/>
  <c r="AD98" i="1"/>
  <c r="Y97" i="1"/>
  <c r="AD97" i="1"/>
  <c r="Y96" i="1"/>
  <c r="AD96" i="1"/>
  <c r="Y95" i="1"/>
  <c r="AD95" i="1"/>
  <c r="Y94" i="1"/>
  <c r="AD94" i="1"/>
  <c r="Y93" i="1"/>
  <c r="AD93" i="1"/>
  <c r="Y92" i="1"/>
  <c r="AD92" i="1"/>
  <c r="Y91" i="1"/>
  <c r="AD91" i="1"/>
  <c r="Y90" i="1"/>
  <c r="AD90" i="1"/>
  <c r="Y89" i="1"/>
  <c r="AD89" i="1"/>
  <c r="Y88" i="1"/>
  <c r="AD88" i="1"/>
  <c r="Y87" i="1"/>
  <c r="AD87" i="1"/>
  <c r="Y86" i="1"/>
  <c r="AD86" i="1"/>
  <c r="Y85" i="1"/>
  <c r="AD85" i="1"/>
  <c r="Y84" i="1"/>
  <c r="AD84" i="1"/>
  <c r="Y83" i="1"/>
  <c r="AD83" i="1"/>
  <c r="Y82" i="1"/>
  <c r="AD82" i="1"/>
  <c r="Y81" i="1"/>
  <c r="AD81" i="1"/>
  <c r="Y80" i="1"/>
  <c r="AD80" i="1"/>
  <c r="Y79" i="1"/>
  <c r="AD79" i="1"/>
  <c r="Y78" i="1"/>
  <c r="AD78" i="1"/>
  <c r="Y77" i="1"/>
  <c r="AD77" i="1"/>
  <c r="Y76" i="1"/>
  <c r="AD76" i="1"/>
  <c r="Y75" i="1"/>
  <c r="AD75" i="1"/>
  <c r="Y74" i="1"/>
  <c r="AD74" i="1"/>
  <c r="Y73" i="1"/>
  <c r="AD73" i="1"/>
  <c r="Y72" i="1"/>
  <c r="AD72" i="1"/>
  <c r="Y71" i="1"/>
  <c r="AD71" i="1"/>
  <c r="Y70" i="1"/>
  <c r="AD70" i="1"/>
  <c r="Y69" i="1"/>
  <c r="AD69" i="1"/>
  <c r="Y68" i="1"/>
  <c r="AD68" i="1"/>
  <c r="Y67" i="1"/>
  <c r="AD67" i="1"/>
  <c r="Y66" i="1"/>
  <c r="AD66" i="1"/>
  <c r="Y65" i="1"/>
  <c r="AD65" i="1"/>
  <c r="Y64" i="1"/>
  <c r="AD64" i="1"/>
  <c r="Y63" i="1"/>
  <c r="AD63" i="1"/>
  <c r="Y62" i="1"/>
  <c r="AD62" i="1"/>
  <c r="Y61" i="1"/>
  <c r="AD61" i="1"/>
  <c r="Y60" i="1"/>
  <c r="AD60" i="1"/>
  <c r="Y59" i="1"/>
  <c r="AD59" i="1"/>
  <c r="Y58" i="1"/>
  <c r="AD58" i="1"/>
  <c r="Y57" i="1"/>
  <c r="AD57" i="1"/>
  <c r="Y56" i="1"/>
  <c r="AD56" i="1"/>
  <c r="Y55" i="1"/>
  <c r="AD55" i="1"/>
  <c r="Y54" i="1"/>
  <c r="AD54" i="1"/>
  <c r="Y53" i="1"/>
  <c r="AD53" i="1"/>
  <c r="Y52" i="1"/>
  <c r="AD52" i="1"/>
  <c r="Y51" i="1"/>
  <c r="AD51" i="1"/>
  <c r="Y50" i="1"/>
  <c r="AD50" i="1"/>
  <c r="Y49" i="1"/>
  <c r="AD49" i="1"/>
  <c r="Y48" i="1"/>
  <c r="AD48" i="1"/>
  <c r="Y47" i="1"/>
  <c r="AD47" i="1"/>
  <c r="Y46" i="1"/>
  <c r="AD46" i="1"/>
  <c r="Y45" i="1"/>
  <c r="AD45" i="1"/>
  <c r="Y44" i="1"/>
  <c r="AD44" i="1"/>
  <c r="Y43" i="1"/>
  <c r="AD43" i="1"/>
  <c r="Y42" i="1"/>
  <c r="AD42" i="1"/>
  <c r="Y41" i="1"/>
  <c r="AD41" i="1"/>
  <c r="Y40" i="1"/>
  <c r="AD40" i="1"/>
  <c r="Y39" i="1"/>
  <c r="AD39" i="1"/>
  <c r="Y38" i="1"/>
  <c r="AD38" i="1"/>
  <c r="Y37" i="1"/>
  <c r="AD37" i="1"/>
  <c r="Y36" i="1"/>
  <c r="AD36" i="1"/>
  <c r="Y35" i="1"/>
  <c r="AD35" i="1"/>
  <c r="Y34" i="1"/>
  <c r="AD34" i="1"/>
  <c r="Y33" i="1"/>
  <c r="AD33" i="1"/>
  <c r="Y32" i="1"/>
  <c r="AD32" i="1"/>
  <c r="Y31" i="1"/>
  <c r="AD31" i="1"/>
  <c r="Y30" i="1"/>
  <c r="AD30" i="1"/>
  <c r="Y29" i="1"/>
  <c r="AD29" i="1"/>
  <c r="Y28" i="1"/>
  <c r="AD28" i="1"/>
  <c r="Y27" i="1"/>
  <c r="AD27" i="1"/>
  <c r="Y26" i="1"/>
  <c r="AD26" i="1"/>
  <c r="Y25" i="1"/>
  <c r="AD25" i="1"/>
  <c r="Y24" i="1"/>
  <c r="AD24" i="1"/>
  <c r="Y23" i="1"/>
  <c r="AD23" i="1"/>
  <c r="Y22" i="1"/>
  <c r="AD22" i="1"/>
  <c r="Y21" i="1"/>
  <c r="AD21" i="1"/>
  <c r="Y20" i="1"/>
  <c r="AD20" i="1"/>
  <c r="Y19" i="1"/>
  <c r="AD19" i="1"/>
  <c r="Y18" i="1"/>
  <c r="AD18" i="1"/>
  <c r="Y17" i="1"/>
  <c r="AD17" i="1"/>
  <c r="Y16" i="1"/>
  <c r="AD16" i="1"/>
  <c r="Y15" i="1"/>
  <c r="AD15" i="1"/>
  <c r="Y14" i="1"/>
  <c r="AD14" i="1"/>
  <c r="Y13" i="1"/>
  <c r="AD13" i="1"/>
  <c r="Y12" i="1"/>
  <c r="AD12" i="1"/>
  <c r="Y11" i="1"/>
  <c r="AD11" i="1"/>
  <c r="Y10" i="1"/>
  <c r="AD10" i="1"/>
  <c r="Y9" i="1"/>
  <c r="AD9" i="1"/>
  <c r="Y8" i="1"/>
  <c r="AD8" i="1"/>
  <c r="Y7" i="1"/>
  <c r="AD7" i="1"/>
  <c r="Y6" i="1"/>
  <c r="AD6" i="1"/>
  <c r="Y5" i="1"/>
  <c r="AD5" i="1"/>
  <c r="Y4" i="1"/>
  <c r="AD4" i="1"/>
  <c r="Y3" i="1"/>
  <c r="AD3" i="1"/>
  <c r="G6" i="1"/>
  <c r="F11" i="1"/>
  <c r="F12" i="1" s="1"/>
  <c r="B19" i="43" s="1"/>
  <c r="H24" i="1"/>
  <c r="B8" i="43" s="1"/>
  <c r="H10" i="1"/>
  <c r="C25" i="43" l="1"/>
  <c r="C27" i="43"/>
  <c r="C17" i="43"/>
  <c r="F9" i="1"/>
  <c r="F10" i="1" s="1"/>
  <c r="Y2" i="1"/>
  <c r="F8" i="1" l="1"/>
  <c r="C12" i="1"/>
  <c r="C6" i="1"/>
  <c r="C10" i="1"/>
  <c r="C8" i="1"/>
  <c r="H6" i="1"/>
  <c r="B27" i="43" s="1"/>
  <c r="H12" i="1" l="1"/>
  <c r="B15" i="43" s="1"/>
  <c r="B5" i="43" s="1"/>
  <c r="B9" i="43" s="1"/>
  <c r="B17" i="43"/>
  <c r="C9" i="1"/>
  <c r="C7" i="1"/>
  <c r="C11" i="1"/>
  <c r="C15" i="43" l="1"/>
  <c r="C5" i="43" l="1"/>
  <c r="C9" i="43" s="1"/>
  <c r="C21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<sst xmlns="http://schemas.openxmlformats.org/spreadsheetml/2006/main" count="1198" uniqueCount="697">
  <si>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</si>
  <si>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</si>
  <si>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</si>
  <si>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</si>
  <si>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</si>
  <si>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</si>
  <si>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</si>
  <si>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</si>
  <si>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</si>
  <si>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</si>
  <si>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</si>
  <si>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</si>
  <si>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</si>
  <si>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</si>
  <si>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</si>
  <si>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</si>
  <si>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</si>
  <si>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</si>
  <si>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</si>
  <si>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</si>
  <si>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</si>
  <si>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</si>
  <si>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</si>
  <si>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</si>
  <si>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</si>
  <si>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</si>
  <si>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</si>
  <si>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</si>
  <si>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</si>
  <si>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</si>
  <si>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</si>
  <si>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</si>
  <si>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</si>
  <si>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</si>
  <si>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</si>
  <si>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</si>
  <si>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</si>
  <si>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</si>
  <si>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</si>
  <si>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</si>
  <si>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</si>
  <si>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</si>
  <si>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</si>
  <si>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</si>
  <si>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</si>
  <si>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</si>
  <si>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</si>
  <si>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</si>
  <si>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</si>
  <si>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</si>
  <si>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</si>
  <si>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</si>
  <si>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</si>
  <si>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</si>
  <si>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</si>
  <si>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</si>
  <si>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</si>
  <si>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</si>
  <si>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</si>
  <si>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</si>
  <si>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</si>
  <si>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</si>
  <si>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</si>
  <si>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</si>
  <si>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</si>
  <si>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</si>
  <si>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</si>
  <si>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</si>
  <si>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</si>
  <si>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</si>
  <si>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</si>
  <si>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</si>
  <si>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</si>
  <si>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</si>
  <si>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</si>
  <si>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</si>
  <si>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</si>
  <si>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</si>
  <si>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</si>
  <si>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</si>
  <si>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</si>
  <si>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</si>
  <si>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</si>
  <si>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</si>
  <si>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</si>
  <si>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</si>
  <si>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</si>
  <si>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</si>
  <si>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</si>
  <si>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</si>
  <si>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</si>
  <si>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</si>
  <si>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</si>
  <si>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</si>
  <si>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</si>
  <si>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</si>
  <si>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</si>
  <si>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</si>
  <si>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</si>
  <si>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</si>
  <si>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</si>
  <si>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</si>
  <si>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</si>
  <si>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</si>
  <si>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</si>
  <si>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</si>
  <si>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</si>
  <si>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</si>
  <si>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</si>
  <si>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</si>
  <si>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</si>
  <si>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</si>
  <si>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</si>
  <si>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</si>
  <si>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</si>
  <si>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</si>
  <si>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</si>
  <si>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</si>
  <si>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</si>
  <si>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</si>
  <si>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</si>
  <si>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</si>
  <si>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</si>
  <si>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</si>
  <si>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</si>
  <si>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</si>
  <si>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</si>
  <si>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</si>
  <si>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</si>
  <si>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</si>
  <si>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</si>
  <si>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</si>
  <si>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</si>
  <si>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</si>
  <si>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</si>
  <si>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</si>
  <si>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</si>
  <si>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</si>
  <si>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</si>
  <si>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</si>
  <si>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</si>
  <si>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</si>
  <si>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</si>
  <si>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</si>
  <si>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</si>
  <si>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</si>
  <si>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</si>
  <si>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</si>
  <si>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</si>
  <si>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</si>
  <si>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</si>
  <si>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</si>
  <si>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</si>
  <si>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</si>
  <si>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</si>
  <si>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</si>
  <si>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</si>
  <si>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</si>
  <si>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</si>
  <si>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</si>
  <si>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</si>
  <si>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</si>
  <si>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</si>
  <si>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</si>
  <si>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</si>
  <si>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</si>
  <si>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</si>
  <si>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</si>
  <si>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</si>
  <si>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</si>
  <si>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</si>
  <si>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</si>
  <si>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</si>
  <si>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</si>
  <si>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</si>
  <si>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</si>
  <si>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</si>
  <si>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</si>
  <si>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</si>
  <si>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</si>
  <si>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</si>
  <si>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</si>
  <si>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</si>
  <si>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</si>
  <si>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</si>
  <si>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</si>
  <si>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</si>
  <si>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</si>
  <si>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</si>
  <si>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</si>
  <si>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</si>
  <si>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</si>
  <si>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</si>
  <si>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</si>
  <si>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</si>
  <si>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</si>
  <si>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</si>
  <si>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</si>
  <si>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</si>
  <si>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</si>
  <si>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</si>
  <si>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</si>
  <si>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</si>
  <si>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</si>
  <si>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</si>
  <si>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</si>
  <si>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</si>
  <si>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</si>
  <si>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</si>
  <si>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</si>
  <si>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</si>
  <si>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</si>
  <si>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</si>
  <si>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</si>
  <si>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</si>
  <si>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</si>
  <si>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</si>
  <si>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</si>
  <si>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</si>
  <si>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</si>
  <si>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</si>
  <si>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</si>
  <si>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</si>
  <si>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</si>
  <si>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</si>
  <si>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</si>
  <si>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</si>
  <si>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</si>
  <si>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</si>
  <si>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</si>
  <si>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</si>
  <si>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</si>
  <si>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</si>
  <si>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</si>
  <si>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</si>
  <si>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</si>
  <si>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</si>
  <si>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</si>
  <si>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</si>
  <si>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</si>
  <si>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</si>
  <si>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</si>
  <si>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</si>
  <si>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</si>
  <si>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</si>
  <si>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</si>
  <si>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</si>
  <si>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</si>
  <si>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</si>
  <si>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</si>
  <si>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</si>
  <si>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</si>
  <si>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</si>
  <si>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</si>
  <si>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</si>
  <si>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</si>
  <si>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</si>
  <si>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</si>
  <si>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</si>
  <si>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</si>
  <si>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</si>
  <si>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</si>
  <si>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</si>
  <si>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</si>
  <si>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</si>
  <si>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</si>
  <si>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</si>
  <si>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</si>
  <si>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</si>
  <si>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</si>
  <si>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</si>
  <si>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</si>
  <si>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</si>
  <si>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</si>
  <si>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</si>
  <si>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</si>
  <si>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</si>
  <si>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</si>
  <si>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</si>
  <si>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</si>
  <si>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</si>
  <si>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</si>
  <si>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</si>
  <si>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</si>
  <si>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</si>
  <si>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</si>
  <si>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</si>
  <si>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</si>
  <si>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</si>
  <si>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</si>
  <si>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</si>
  <si>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</si>
  <si>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</si>
  <si>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</si>
  <si>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</si>
  <si>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</si>
  <si>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</si>
  <si>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</si>
  <si>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</si>
  <si>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</si>
  <si>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</si>
  <si>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</si>
  <si>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</si>
  <si>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</si>
  <si>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</si>
  <si>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</si>
  <si>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</si>
  <si>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</si>
  <si>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</si>
  <si>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</si>
  <si>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</si>
  <si>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</si>
  <si>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</si>
  <si>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</si>
  <si>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</si>
  <si>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</si>
  <si>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</si>
  <si>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</si>
  <si>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</si>
  <si>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</si>
  <si>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</si>
  <si>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</si>
  <si>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</si>
  <si>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</si>
  <si>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</si>
  <si>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</si>
  <si>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</si>
  <si>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</si>
  <si>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</si>
  <si>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</si>
  <si>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</si>
  <si>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</si>
  <si>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</si>
  <si>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</si>
  <si>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</si>
  <si>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</si>
  <si>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</si>
  <si>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</si>
  <si>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</si>
  <si>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</si>
  <si>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</si>
  <si>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</si>
  <si>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</si>
  <si>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</si>
  <si>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</si>
  <si>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</si>
  <si>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</si>
  <si>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</si>
  <si>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</si>
  <si>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</si>
  <si>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</si>
  <si>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</si>
  <si>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</si>
  <si>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</si>
  <si>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</si>
  <si>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</si>
  <si>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</si>
  <si>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</si>
  <si>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</si>
  <si>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</si>
  <si>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</si>
  <si>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</si>
  <si>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</si>
  <si>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</si>
  <si>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</si>
  <si>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</si>
  <si>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</si>
  <si>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</si>
  <si>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</si>
  <si>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</si>
  <si>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</si>
  <si>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</si>
  <si>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</si>
  <si>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</si>
  <si>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</si>
  <si>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</si>
  <si>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</si>
  <si>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</si>
  <si>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</si>
  <si>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</si>
  <si>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</si>
  <si>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</si>
  <si>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</si>
  <si>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</si>
  <si>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</si>
  <si>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</si>
  <si>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</si>
  <si>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</si>
  <si>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</si>
  <si>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</si>
  <si>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</si>
  <si>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</si>
  <si>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</si>
  <si>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</si>
  <si>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</si>
  <si>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</si>
  <si>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</si>
  <si>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</si>
  <si>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</si>
  <si>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</si>
  <si>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</si>
  <si>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</si>
  <si>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</si>
  <si>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</si>
  <si>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</si>
  <si>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</si>
  <si>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</si>
  <si>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</si>
  <si>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</si>
  <si>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</si>
  <si>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</si>
  <si>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</si>
  <si>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</si>
  <si>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</si>
  <si>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</si>
  <si>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</si>
  <si>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</si>
  <si>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</si>
  <si>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</si>
  <si>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</si>
  <si>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</si>
  <si>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</si>
  <si>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</si>
  <si>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</si>
  <si>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</si>
  <si>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</si>
  <si>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</si>
  <si>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</si>
  <si>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</si>
  <si>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</si>
  <si>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</si>
  <si>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</si>
  <si>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</si>
  <si>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</si>
  <si>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</si>
  <si>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</si>
  <si>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</si>
  <si>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</si>
  <si>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</si>
  <si>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</si>
  <si>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</si>
  <si>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</si>
  <si>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</si>
  <si>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</si>
  <si>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</si>
  <si>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</si>
  <si>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</si>
  <si>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</si>
  <si>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</si>
  <si>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</si>
  <si>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</si>
  <si>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</si>
  <si>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</si>
  <si>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</si>
  <si>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</si>
  <si>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</si>
  <si>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</si>
  <si>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</si>
  <si>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</si>
  <si>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</si>
  <si>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</si>
  <si>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</si>
  <si>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</si>
  <si>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</si>
  <si>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</si>
  <si>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</si>
  <si>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</si>
  <si>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</si>
  <si>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</si>
  <si>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</si>
  <si>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</si>
  <si>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</si>
  <si>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</si>
  <si>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</si>
  <si>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</si>
  <si>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</si>
  <si>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</si>
  <si>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</si>
  <si>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</si>
  <si>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</si>
  <si>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</si>
  <si>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</si>
  <si>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</si>
  <si>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</si>
  <si>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</si>
  <si>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</si>
  <si>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</si>
  <si>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</si>
  <si>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</si>
  <si>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</si>
  <si>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</si>
  <si>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</si>
  <si>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</si>
  <si>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</si>
  <si>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</si>
  <si>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</si>
  <si>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</si>
  <si>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</si>
  <si>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</si>
  <si>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</si>
  <si>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</si>
  <si>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</si>
  <si>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</si>
  <si>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</si>
  <si>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</si>
  <si>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</si>
  <si>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</si>
  <si>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</si>
  <si>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</si>
  <si>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</si>
  <si>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</si>
  <si>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</si>
  <si>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</si>
  <si>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</si>
  <si>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</si>
  <si>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</si>
  <si>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</si>
  <si>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</si>
  <si>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</si>
  <si>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</si>
  <si>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</si>
  <si>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</si>
  <si>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</si>
  <si>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</si>
  <si>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</si>
  <si>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</si>
  <si>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</si>
  <si>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</si>
  <si>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</si>
  <si>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</si>
  <si>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</si>
  <si>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</si>
  <si>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</si>
  <si>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</si>
  <si>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</si>
  <si>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</si>
  <si>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</si>
  <si>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</si>
  <si>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</si>
  <si>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</si>
  <si>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</si>
  <si>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</si>
  <si>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</si>
  <si>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</si>
  <si>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</si>
  <si>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</si>
  <si>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G7</t>
  </si>
  <si>
    <t>#</t>
  </si>
  <si>
    <t>Experiment</t>
  </si>
  <si>
    <t>IPTS-9336</t>
  </si>
  <si>
    <t>Run</t>
  </si>
  <si>
    <t>title:</t>
  </si>
  <si>
    <t>UAB_0813_VK2x_ph5-1.</t>
  </si>
  <si>
    <t>start</t>
  </si>
  <si>
    <t>time:</t>
  </si>
  <si>
    <t>2013-10-27T16:18:23.238337666</t>
  </si>
  <si>
    <t>Reduction</t>
  </si>
  <si>
    <t>Fri</t>
  </si>
  <si>
    <t>Sep</t>
  </si>
  <si>
    <t>Mantid</t>
  </si>
  <si>
    <t>version:</t>
  </si>
  <si>
    <t>3.10.20170921.2344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</si>
  <si>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</si>
  <si>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</si>
  <si>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</si>
  <si>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</si>
  <si>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</si>
  <si>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</si>
  <si>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</si>
  <si>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</si>
  <si>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</si>
  <si>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</si>
  <si>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</si>
  <si>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</si>
  <si>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</si>
  <si>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22_09_2017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</si>
  <si>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</si>
  <si>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</si>
  <si>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</si>
  <si>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</si>
  <si>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</si>
  <si>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</si>
  <si>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</si>
  <si>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</si>
  <si>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</si>
  <si>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</si>
  <si>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</si>
  <si>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</si>
  <si>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</si>
  <si>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</si>
  <si>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</si>
  <si>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</si>
  <si>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</si>
  <si>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</si>
  <si>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</si>
  <si>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</si>
  <si>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</si>
  <si>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</si>
  <si>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</si>
  <si>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Dry Crosslinked Model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</si>
  <si>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</si>
  <si>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</si>
  <si>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</si>
  <si>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δp</t>
  </si>
  <si>
    <t>Quantity</t>
  </si>
  <si>
    <r>
      <t>σ</t>
    </r>
    <r>
      <rPr>
        <b/>
        <vertAlign val="subscript"/>
        <sz val="12"/>
        <rFont val="Times New Roman"/>
        <family val="1"/>
      </rPr>
      <t>ML</t>
    </r>
    <r>
      <rPr>
        <b/>
        <vertAlign val="superscript"/>
        <sz val="12"/>
        <rFont val="Times New Roman"/>
        <family val="1"/>
      </rPr>
      <t>rms</t>
    </r>
    <r>
      <rPr>
        <b/>
        <sz val="12"/>
        <rFont val="Times New Roman"/>
        <family val="1"/>
      </rPr>
      <t xml:space="preserve"> (Å)</t>
    </r>
  </si>
  <si>
    <t>F4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</si>
  <si>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</si>
  <si>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</si>
  <si>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</si>
  <si>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PMAAx-buffer</t>
  </si>
  <si>
    <t>dPMAAx-buffer</t>
  </si>
  <si>
    <t>buffer (H2O)</t>
  </si>
  <si>
    <t>Air</t>
  </si>
  <si>
    <t>PMAAx</t>
  </si>
  <si>
    <t>dPMAAx</t>
  </si>
  <si>
    <r>
      <t>f</t>
    </r>
    <r>
      <rPr>
        <b/>
        <vertAlign val="subscript"/>
        <sz val="12"/>
        <rFont val="Times New Roman"/>
        <family val="1"/>
      </rPr>
      <t>PMAA</t>
    </r>
  </si>
  <si>
    <t>Hydrogen-Bonded Model Parameters</t>
  </si>
  <si>
    <t>PVPON/PMAA (top)</t>
  </si>
  <si>
    <t>PVPON/PMAA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</si>
  <si>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</si>
  <si>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</si>
  <si>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t>H14</t>
  </si>
  <si>
    <t>H18</t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</si>
  <si>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</si>
  <si>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</si>
  <si>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</si>
  <si>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</si>
  <si>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</si>
  <si>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</si>
  <si>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</si>
  <si>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</si>
  <si>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</si>
  <si>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H26</t>
  </si>
  <si>
    <t>Average Swell Ratio</t>
  </si>
  <si>
    <t>SI Units</t>
  </si>
  <si>
    <t>C4</t>
  </si>
  <si>
    <t>Total Swell Ratio</t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</si>
  <si>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</si>
  <si>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</si>
  <si>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</si>
  <si>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</si>
  <si>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</si>
  <si>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</si>
  <si>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</si>
  <si>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</si>
  <si>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</si>
  <si>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t>Poor Swell Ratio</t>
  </si>
  <si>
    <r>
      <t>f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</si>
  <si>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</si>
  <si>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</si>
  <si>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</si>
  <si>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</si>
  <si>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</si>
  <si>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</si>
  <si>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</si>
  <si>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</si>
  <si>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</si>
  <si>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</si>
  <si>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H2O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</si>
  <si>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</si>
  <si>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</si>
  <si>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</si>
  <si>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</si>
  <si>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</si>
  <si>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</si>
  <si>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</si>
  <si>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</si>
  <si>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</si>
  <si>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</si>
  <si>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</si>
  <si>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</si>
  <si>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</si>
  <si>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</si>
  <si>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</si>
  <si>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</si>
  <si>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</si>
  <si>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</si>
  <si>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</si>
  <si>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</si>
  <si>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</si>
  <si>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</si>
  <si>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</si>
  <si>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</si>
  <si>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</si>
  <si>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</si>
  <si>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</si>
  <si>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</si>
  <si>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</si>
  <si>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</si>
  <si>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</si>
  <si>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</si>
  <si>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</si>
  <si>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</si>
  <si>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</si>
  <si>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</si>
  <si>
    <t>Rich Swell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</si>
</sst>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8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2" fontId="16" fillId="32" borderId="0" xfId="0" applyFont="1" applyFill="1" applyAlignment="1">
      <alignment horizontal="center" vertical="center"/>
    </xf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2" fontId="0" fillId="37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1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1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164" fontId="17" fillId="37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66" fontId="10" fillId="31" borderId="0" xfId="0" applyNumberFormat="1" applyFont="1" applyFill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11" fontId="0" fillId="33" borderId="0" xfId="0" applyNumberFormat="1" applyFill="1"/>
    <xf numFmtId="2" fontId="17" fillId="36" borderId="0" xfId="0" applyFont="1" applyFill="1" applyAlignment="1">
      <alignment horizontal="center"/>
    </xf>
    <xf numFmtId="2" fontId="0" fillId="34" borderId="0" xfId="0" applyFill="1"/>
    <xf numFmtId="2" fontId="16" fillId="34" borderId="0" xfId="0" applyFont="1" applyFill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5" fontId="10" fillId="31" borderId="0" xfId="0" applyNumberFormat="1" applyFont="1" applyFill="1"/>
    <xf numFmtId="165" fontId="0" fillId="31" borderId="0" xfId="0" applyNumberFormat="1" applyFill="1"/>
    <xf numFmtId="2" fontId="0" fillId="40" borderId="0" xfId="0" applyFill="1"/>
    <xf numFmtId="2" fontId="0" fillId="38" borderId="0" xfId="0" applyFill="1" applyAlignment="1">
      <alignment horizontal="right" vertical="center"/>
    </xf>
    <xf numFmtId="11" fontId="10" fillId="31" borderId="0" xfId="0" applyNumberFormat="1" applyFont="1" applyFill="1"/>
    <xf numFmtId="166" fontId="0" fillId="31" borderId="0" xfId="0" applyNumberFormat="1" applyFill="1"/>
    <xf numFmtId="166" fontId="10" fillId="39" borderId="0" xfId="0" applyNumberFormat="1" applyFont="1" applyFill="1"/>
    <xf numFmtId="2" fontId="10" fillId="31" borderId="0" xfId="0" applyFont="1" applyFill="1"/>
    <xf numFmtId="2" fontId="17" fillId="36" borderId="0" xfId="0" applyFont="1" applyFill="1" applyAlignment="1">
      <alignment horizontal="center" vertical="center"/>
    </xf>
    <xf numFmtId="164" fontId="0" fillId="40" borderId="0" xfId="0" applyNumberFormat="1" applyFill="1"/>
    <xf numFmtId="2" fontId="0" fillId="38" borderId="0" xfId="0" applyFill="1"/>
    <xf numFmtId="164" fontId="0" fillId="38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2" fontId="0" fillId="33" borderId="0" xfId="0" applyFill="1"/>
    <xf numFmtId="2" fontId="16" fillId="32" borderId="0" xfId="0" applyFont="1" applyFill="1" applyAlignment="1">
      <alignment horizontal="center" vertical="center"/>
    </xf>
    <xf numFmtId="165" fontId="16" fillId="43" borderId="0" xfId="0" applyNumberFormat="1" applyFont="1" applyFill="1" applyAlignment="1">
      <alignment horizontal="center" vertical="center"/>
    </xf>
    <xf numFmtId="11" fontId="17" fillId="43" borderId="0" xfId="0" applyNumberFormat="1" applyFont="1" applyFill="1" applyAlignment="1">
      <alignment horizontal="center" vertical="center"/>
    </xf>
    <xf numFmtId="165" fontId="17" fillId="43" borderId="0" xfId="0" applyNumberFormat="1" applyFont="1" applyFill="1" applyAlignment="1">
      <alignment horizontal="center" vertical="center"/>
    </xf>
    <xf numFmtId="11" fontId="0" fillId="44" borderId="0" xfId="0" applyNumberFormat="1" applyFill="1"/>
    <xf numFmtId="11" fontId="10" fillId="44" borderId="0" xfId="0" applyNumberFormat="1" applyFont="1" applyFill="1"/>
    <xf numFmtId="11" fontId="10" fillId="44" borderId="0" xfId="0" applyNumberFormat="1" applyFont="1" applyFill="1" applyAlignment="1">
      <alignment horizontal="right"/>
    </xf>
    <xf numFmtId="11" fontId="10" fillId="44" borderId="0" xfId="0" applyNumberFormat="1" applyFont="1" applyFill="1" applyAlignment="1">
      <alignment horizontal="right" vertical="center"/>
    </xf>
    <xf numFmtId="164" fontId="0" fillId="44" borderId="0" xfId="0" applyNumberFormat="1" applyFill="1"/>
    <xf numFmtId="165" fontId="0" fillId="44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8" borderId="0" xfId="0" applyNumberFormat="1" applyFill="1" applyAlignment="1">
      <alignment horizontal="right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43" borderId="0" xfId="0" applyNumberFormat="1" applyFont="1" applyFill="1" applyAlignment="1">
      <alignment horizontal="center" vertical="center"/>
    </xf>
    <xf numFmtId="166" fontId="16" fillId="43" borderId="0" xfId="0" applyNumberFormat="1" applyFont="1" applyFill="1" applyAlignment="1">
      <alignment horizontal="right"/>
    </xf>
    <xf numFmtId="166" fontId="10" fillId="44" borderId="0" xfId="0" applyNumberFormat="1" applyFont="1" applyFill="1"/>
    <xf numFmtId="166" fontId="0" fillId="44" borderId="0" xfId="0" applyNumberFormat="1" applyFill="1"/>
    <xf numFmtId="164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1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65" fontId="16" fillId="41" borderId="0" xfId="0" applyNumberFormat="1" applyFont="1" applyFill="1" applyAlignment="1">
      <alignment horizontal="center"/>
    </xf>
    <xf numFmtId="11" fontId="16" fillId="43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106.84435205156223</c:v>
                </c:pt>
                <c:pt idx="26">
                  <c:v>106.84435205156223</c:v>
                </c:pt>
                <c:pt idx="27">
                  <c:v>107.5170793242895</c:v>
                </c:pt>
                <c:pt idx="28">
                  <c:v>107.5170793242895</c:v>
                </c:pt>
                <c:pt idx="29">
                  <c:v>108.18980659701677</c:v>
                </c:pt>
                <c:pt idx="30">
                  <c:v>108.18980659701677</c:v>
                </c:pt>
                <c:pt idx="31">
                  <c:v>108.86253386974404</c:v>
                </c:pt>
                <c:pt idx="32">
                  <c:v>108.86253386974404</c:v>
                </c:pt>
                <c:pt idx="33">
                  <c:v>109.53526114247131</c:v>
                </c:pt>
                <c:pt idx="34">
                  <c:v>109.53526114247131</c:v>
                </c:pt>
                <c:pt idx="35">
                  <c:v>110.20798841519859</c:v>
                </c:pt>
                <c:pt idx="36">
                  <c:v>110.20798841519859</c:v>
                </c:pt>
                <c:pt idx="37">
                  <c:v>110.88071568792586</c:v>
                </c:pt>
                <c:pt idx="38">
                  <c:v>110.88071568792586</c:v>
                </c:pt>
                <c:pt idx="39">
                  <c:v>111.55344296065313</c:v>
                </c:pt>
                <c:pt idx="40">
                  <c:v>111.55344296065313</c:v>
                </c:pt>
                <c:pt idx="41">
                  <c:v>112.2261702333804</c:v>
                </c:pt>
                <c:pt idx="42">
                  <c:v>112.2261702333804</c:v>
                </c:pt>
                <c:pt idx="43">
                  <c:v>112.89889750610767</c:v>
                </c:pt>
                <c:pt idx="44">
                  <c:v>112.89889750610767</c:v>
                </c:pt>
                <c:pt idx="45">
                  <c:v>113.57162477883494</c:v>
                </c:pt>
                <c:pt idx="46">
                  <c:v>113.57162477883494</c:v>
                </c:pt>
                <c:pt idx="47">
                  <c:v>114.24435205156222</c:v>
                </c:pt>
                <c:pt idx="48">
                  <c:v>114.24435205156222</c:v>
                </c:pt>
                <c:pt idx="49">
                  <c:v>114.91707932428949</c:v>
                </c:pt>
                <c:pt idx="50">
                  <c:v>114.91707932428949</c:v>
                </c:pt>
                <c:pt idx="51">
                  <c:v>115.58980659701676</c:v>
                </c:pt>
                <c:pt idx="52">
                  <c:v>115.58980659701676</c:v>
                </c:pt>
                <c:pt idx="53">
                  <c:v>116.26253386974403</c:v>
                </c:pt>
                <c:pt idx="54">
                  <c:v>116.26253386974403</c:v>
                </c:pt>
                <c:pt idx="55">
                  <c:v>116.9352611424713</c:v>
                </c:pt>
                <c:pt idx="56">
                  <c:v>116.9352611424713</c:v>
                </c:pt>
                <c:pt idx="57">
                  <c:v>117.60798841519858</c:v>
                </c:pt>
                <c:pt idx="58">
                  <c:v>117.60798841519858</c:v>
                </c:pt>
                <c:pt idx="59">
                  <c:v>118.28071568792585</c:v>
                </c:pt>
                <c:pt idx="60">
                  <c:v>118.28071568792585</c:v>
                </c:pt>
                <c:pt idx="61">
                  <c:v>118.95344296065312</c:v>
                </c:pt>
                <c:pt idx="62">
                  <c:v>118.95344296065312</c:v>
                </c:pt>
                <c:pt idx="63">
                  <c:v>119.62617023338039</c:v>
                </c:pt>
                <c:pt idx="64">
                  <c:v>119.62617023338039</c:v>
                </c:pt>
                <c:pt idx="65">
                  <c:v>120.29889750610766</c:v>
                </c:pt>
                <c:pt idx="66">
                  <c:v>120.29889750610766</c:v>
                </c:pt>
                <c:pt idx="67">
                  <c:v>120.97162477883494</c:v>
                </c:pt>
                <c:pt idx="68">
                  <c:v>120.97162477883494</c:v>
                </c:pt>
                <c:pt idx="69">
                  <c:v>121.30798841519858</c:v>
                </c:pt>
                <c:pt idx="70">
                  <c:v>121.30798841519858</c:v>
                </c:pt>
                <c:pt idx="71">
                  <c:v>121.66483490763021</c:v>
                </c:pt>
                <c:pt idx="72">
                  <c:v>121.66483490763021</c:v>
                </c:pt>
                <c:pt idx="73">
                  <c:v>122.37852789249347</c:v>
                </c:pt>
                <c:pt idx="74">
                  <c:v>122.37852789249347</c:v>
                </c:pt>
                <c:pt idx="75">
                  <c:v>123.09222087735672</c:v>
                </c:pt>
                <c:pt idx="76">
                  <c:v>123.09222087735672</c:v>
                </c:pt>
                <c:pt idx="77">
                  <c:v>123.80591386221998</c:v>
                </c:pt>
                <c:pt idx="78">
                  <c:v>123.80591386221998</c:v>
                </c:pt>
                <c:pt idx="79">
                  <c:v>124.51960684708324</c:v>
                </c:pt>
                <c:pt idx="80">
                  <c:v>124.51960684708324</c:v>
                </c:pt>
                <c:pt idx="81">
                  <c:v>125.2332998319465</c:v>
                </c:pt>
                <c:pt idx="82">
                  <c:v>125.2332998319465</c:v>
                </c:pt>
                <c:pt idx="83">
                  <c:v>125.94699281680975</c:v>
                </c:pt>
                <c:pt idx="84">
                  <c:v>125.94699281680975</c:v>
                </c:pt>
                <c:pt idx="85">
                  <c:v>126.66068580167301</c:v>
                </c:pt>
                <c:pt idx="86">
                  <c:v>126.66068580167301</c:v>
                </c:pt>
                <c:pt idx="87">
                  <c:v>127.37437878653627</c:v>
                </c:pt>
                <c:pt idx="88">
                  <c:v>127.37437878653627</c:v>
                </c:pt>
                <c:pt idx="89">
                  <c:v>128.08807177139954</c:v>
                </c:pt>
                <c:pt idx="90">
                  <c:v>128.08807177139954</c:v>
                </c:pt>
                <c:pt idx="91">
                  <c:v>128.8017647562628</c:v>
                </c:pt>
                <c:pt idx="92">
                  <c:v>128.8017647562628</c:v>
                </c:pt>
                <c:pt idx="93">
                  <c:v>129.51545774112606</c:v>
                </c:pt>
                <c:pt idx="94">
                  <c:v>129.51545774112606</c:v>
                </c:pt>
                <c:pt idx="95">
                  <c:v>130.22915072598931</c:v>
                </c:pt>
                <c:pt idx="96">
                  <c:v>130.22915072598931</c:v>
                </c:pt>
                <c:pt idx="97">
                  <c:v>130.94284371085257</c:v>
                </c:pt>
                <c:pt idx="98">
                  <c:v>130.94284371085257</c:v>
                </c:pt>
                <c:pt idx="99">
                  <c:v>131.65653669571583</c:v>
                </c:pt>
                <c:pt idx="100">
                  <c:v>131.65653669571583</c:v>
                </c:pt>
                <c:pt idx="101">
                  <c:v>132.37022968057909</c:v>
                </c:pt>
                <c:pt idx="102">
                  <c:v>132.37022968057909</c:v>
                </c:pt>
                <c:pt idx="103">
                  <c:v>133.08392266544234</c:v>
                </c:pt>
                <c:pt idx="104">
                  <c:v>133.08392266544234</c:v>
                </c:pt>
                <c:pt idx="105">
                  <c:v>133.7976156503056</c:v>
                </c:pt>
                <c:pt idx="106">
                  <c:v>133.7976156503056</c:v>
                </c:pt>
                <c:pt idx="107">
                  <c:v>134.51130863516886</c:v>
                </c:pt>
                <c:pt idx="108">
                  <c:v>134.51130863516886</c:v>
                </c:pt>
                <c:pt idx="109">
                  <c:v>135.22500162003212</c:v>
                </c:pt>
                <c:pt idx="110">
                  <c:v>135.22500162003212</c:v>
                </c:pt>
                <c:pt idx="111">
                  <c:v>135.93869460489537</c:v>
                </c:pt>
                <c:pt idx="112">
                  <c:v>135.93869460489537</c:v>
                </c:pt>
                <c:pt idx="113">
                  <c:v>136.65238758975863</c:v>
                </c:pt>
                <c:pt idx="114">
                  <c:v>136.65238758975863</c:v>
                </c:pt>
                <c:pt idx="115">
                  <c:v>137.00923408219026</c:v>
                </c:pt>
                <c:pt idx="116">
                  <c:v>137.00923408219026</c:v>
                </c:pt>
                <c:pt idx="117">
                  <c:v>137.87070113516458</c:v>
                </c:pt>
                <c:pt idx="118">
                  <c:v>137.87070113516458</c:v>
                </c:pt>
                <c:pt idx="119">
                  <c:v>138.74688662030948</c:v>
                </c:pt>
                <c:pt idx="120">
                  <c:v>138.74688662030948</c:v>
                </c:pt>
                <c:pt idx="121">
                  <c:v>139.65409041003392</c:v>
                </c:pt>
                <c:pt idx="122">
                  <c:v>139.65409041003392</c:v>
                </c:pt>
                <c:pt idx="123">
                  <c:v>140.61223022393708</c:v>
                </c:pt>
                <c:pt idx="124">
                  <c:v>140.61223022393708</c:v>
                </c:pt>
                <c:pt idx="125">
                  <c:v>141.64805662981573</c:v>
                </c:pt>
                <c:pt idx="126">
                  <c:v>141.64805662981573</c:v>
                </c:pt>
                <c:pt idx="127">
                  <c:v>142.80109773203327</c:v>
                </c:pt>
                <c:pt idx="128">
                  <c:v>142.80109773203327</c:v>
                </c:pt>
                <c:pt idx="129">
                  <c:v>144.1364002089708</c:v>
                </c:pt>
                <c:pt idx="130">
                  <c:v>144.1364002089708</c:v>
                </c:pt>
                <c:pt idx="131">
                  <c:v>145.77725169581046</c:v>
                </c:pt>
                <c:pt idx="132">
                  <c:v>145.77725169581046</c:v>
                </c:pt>
                <c:pt idx="133">
                  <c:v>148.01680574246072</c:v>
                </c:pt>
                <c:pt idx="134">
                  <c:v>148.01680574246072</c:v>
                </c:pt>
                <c:pt idx="135">
                  <c:v>152.04131409772654</c:v>
                </c:pt>
                <c:pt idx="136">
                  <c:v>152.04131409772654</c:v>
                </c:pt>
                <c:pt idx="137">
                  <c:v>157.4459390631842</c:v>
                </c:pt>
                <c:pt idx="138">
                  <c:v>157.4459390631842</c:v>
                </c:pt>
                <c:pt idx="139">
                  <c:v>271.27802279120965</c:v>
                </c:pt>
                <c:pt idx="140">
                  <c:v>271.27802279120965</c:v>
                </c:pt>
                <c:pt idx="141">
                  <c:v>288.84739356108327</c:v>
                </c:pt>
                <c:pt idx="142">
                  <c:v>288.84739356108327</c:v>
                </c:pt>
                <c:pt idx="143">
                  <c:v>301.9302771861328</c:v>
                </c:pt>
                <c:pt idx="144">
                  <c:v>301.9302771861328</c:v>
                </c:pt>
                <c:pt idx="145">
                  <c:v>309.21062608291089</c:v>
                </c:pt>
                <c:pt idx="146">
                  <c:v>309.21062608291089</c:v>
                </c:pt>
                <c:pt idx="147">
                  <c:v>314.54471093335587</c:v>
                </c:pt>
                <c:pt idx="148">
                  <c:v>314.54471093335587</c:v>
                </c:pt>
                <c:pt idx="149">
                  <c:v>318.88551616169048</c:v>
                </c:pt>
                <c:pt idx="150">
                  <c:v>318.88551616169048</c:v>
                </c:pt>
                <c:pt idx="151">
                  <c:v>322.63382557580138</c:v>
                </c:pt>
                <c:pt idx="152">
                  <c:v>322.63382557580138</c:v>
                </c:pt>
                <c:pt idx="153">
                  <c:v>326.00109310951945</c:v>
                </c:pt>
                <c:pt idx="154">
                  <c:v>326.00109310951945</c:v>
                </c:pt>
                <c:pt idx="155">
                  <c:v>329.11581684103317</c:v>
                </c:pt>
                <c:pt idx="156">
                  <c:v>329.11581684103317</c:v>
                </c:pt>
                <c:pt idx="157">
                  <c:v>332.06495759499353</c:v>
                </c:pt>
                <c:pt idx="158">
                  <c:v>332.06495759499353</c:v>
                </c:pt>
                <c:pt idx="159">
                  <c:v>334.9132639529887</c:v>
                </c:pt>
                <c:pt idx="160">
                  <c:v>334.9132639529887</c:v>
                </c:pt>
                <c:pt idx="161">
                  <c:v>337.71372358829558</c:v>
                </c:pt>
                <c:pt idx="162">
                  <c:v>337.71372358829558</c:v>
                </c:pt>
                <c:pt idx="163">
                  <c:v>340.54926312038498</c:v>
                </c:pt>
                <c:pt idx="164">
                  <c:v>340.54926312038498</c:v>
                </c:pt>
                <c:pt idx="165">
                  <c:v>346.22034218456378</c:v>
                </c:pt>
                <c:pt idx="166">
                  <c:v>346.22034218456378</c:v>
                </c:pt>
                <c:pt idx="167">
                  <c:v>351.89142124874257</c:v>
                </c:pt>
                <c:pt idx="168">
                  <c:v>351.89142124874257</c:v>
                </c:pt>
                <c:pt idx="169">
                  <c:v>357.56250031292137</c:v>
                </c:pt>
                <c:pt idx="170">
                  <c:v>357.56250031292137</c:v>
                </c:pt>
                <c:pt idx="171">
                  <c:v>363.23357937710017</c:v>
                </c:pt>
                <c:pt idx="172">
                  <c:v>363.23357937710017</c:v>
                </c:pt>
                <c:pt idx="173">
                  <c:v>368.90465844127897</c:v>
                </c:pt>
                <c:pt idx="174">
                  <c:v>368.90465844127897</c:v>
                </c:pt>
                <c:pt idx="175">
                  <c:v>374.57573750545777</c:v>
                </c:pt>
                <c:pt idx="176">
                  <c:v>374.57573750545777</c:v>
                </c:pt>
                <c:pt idx="177">
                  <c:v>380.24681656963656</c:v>
                </c:pt>
                <c:pt idx="178">
                  <c:v>380.24681656963656</c:v>
                </c:pt>
                <c:pt idx="179">
                  <c:v>385.91789563381536</c:v>
                </c:pt>
                <c:pt idx="180">
                  <c:v>385.91789563381536</c:v>
                </c:pt>
                <c:pt idx="181">
                  <c:v>391.58897469799416</c:v>
                </c:pt>
                <c:pt idx="182">
                  <c:v>391.58897469799416</c:v>
                </c:pt>
                <c:pt idx="183">
                  <c:v>397.26005376217296</c:v>
                </c:pt>
                <c:pt idx="184">
                  <c:v>397.26005376217296</c:v>
                </c:pt>
                <c:pt idx="185">
                  <c:v>402.93113282635176</c:v>
                </c:pt>
                <c:pt idx="186">
                  <c:v>402.93113282635176</c:v>
                </c:pt>
                <c:pt idx="187">
                  <c:v>408.60221189053055</c:v>
                </c:pt>
                <c:pt idx="188">
                  <c:v>408.60221189053055</c:v>
                </c:pt>
                <c:pt idx="189">
                  <c:v>414.27329095470935</c:v>
                </c:pt>
                <c:pt idx="190">
                  <c:v>414.27329095470935</c:v>
                </c:pt>
                <c:pt idx="191">
                  <c:v>419.94437001888815</c:v>
                </c:pt>
                <c:pt idx="192">
                  <c:v>419.94437001888815</c:v>
                </c:pt>
                <c:pt idx="193">
                  <c:v>425.61544908306695</c:v>
                </c:pt>
                <c:pt idx="194">
                  <c:v>425.61544908306695</c:v>
                </c:pt>
                <c:pt idx="195">
                  <c:v>431.28652814724575</c:v>
                </c:pt>
                <c:pt idx="196">
                  <c:v>431.28652814724575</c:v>
                </c:pt>
                <c:pt idx="197">
                  <c:v>436.95760721142454</c:v>
                </c:pt>
                <c:pt idx="198">
                  <c:v>436.95760721142454</c:v>
                </c:pt>
                <c:pt idx="199">
                  <c:v>442.62868627560334</c:v>
                </c:pt>
                <c:pt idx="200">
                  <c:v>442.62868627560334</c:v>
                </c:pt>
                <c:pt idx="201">
                  <c:v>448.29976533978214</c:v>
                </c:pt>
                <c:pt idx="202">
                  <c:v>448.29976533978214</c:v>
                </c:pt>
                <c:pt idx="203">
                  <c:v>453.97084440396094</c:v>
                </c:pt>
                <c:pt idx="204">
                  <c:v>453.97084440396094</c:v>
                </c:pt>
                <c:pt idx="205">
                  <c:v>459.64192346813974</c:v>
                </c:pt>
                <c:pt idx="206">
                  <c:v>459.64192346813974</c:v>
                </c:pt>
                <c:pt idx="207">
                  <c:v>462.47746300022914</c:v>
                </c:pt>
                <c:pt idx="208">
                  <c:v>462.47746300022914</c:v>
                </c:pt>
                <c:pt idx="209">
                  <c:v>465.27792263553602</c:v>
                </c:pt>
                <c:pt idx="210">
                  <c:v>465.27792263553602</c:v>
                </c:pt>
                <c:pt idx="211">
                  <c:v>468.12622899353119</c:v>
                </c:pt>
                <c:pt idx="212">
                  <c:v>468.12622899353119</c:v>
                </c:pt>
                <c:pt idx="213">
                  <c:v>471.07536974749155</c:v>
                </c:pt>
                <c:pt idx="214">
                  <c:v>471.07536974749155</c:v>
                </c:pt>
                <c:pt idx="215">
                  <c:v>474.19009347900527</c:v>
                </c:pt>
                <c:pt idx="216">
                  <c:v>474.19009347900527</c:v>
                </c:pt>
                <c:pt idx="217">
                  <c:v>477.55736101272333</c:v>
                </c:pt>
                <c:pt idx="218">
                  <c:v>477.55736101272333</c:v>
                </c:pt>
                <c:pt idx="219">
                  <c:v>481.30567042683424</c:v>
                </c:pt>
                <c:pt idx="220">
                  <c:v>481.30567042683424</c:v>
                </c:pt>
                <c:pt idx="221">
                  <c:v>485.64647565516884</c:v>
                </c:pt>
                <c:pt idx="222">
                  <c:v>485.64647565516884</c:v>
                </c:pt>
                <c:pt idx="223">
                  <c:v>490.98056050561382</c:v>
                </c:pt>
                <c:pt idx="224">
                  <c:v>490.98056050561382</c:v>
                </c:pt>
                <c:pt idx="225">
                  <c:v>498.26090940239192</c:v>
                </c:pt>
                <c:pt idx="226">
                  <c:v>498.26090940239192</c:v>
                </c:pt>
                <c:pt idx="227">
                  <c:v>511.34379302744145</c:v>
                </c:pt>
                <c:pt idx="228">
                  <c:v>511.34379302744145</c:v>
                </c:pt>
                <c:pt idx="229">
                  <c:v>528.91316379731506</c:v>
                </c:pt>
                <c:pt idx="230">
                  <c:v>528.91316379731506</c:v>
                </c:pt>
                <c:pt idx="231">
                  <c:v>629.63100823779826</c:v>
                </c:pt>
                <c:pt idx="232">
                  <c:v>629.63100823779826</c:v>
                </c:pt>
                <c:pt idx="233">
                  <c:v>647.20037900767193</c:v>
                </c:pt>
                <c:pt idx="234">
                  <c:v>647.20037900767193</c:v>
                </c:pt>
                <c:pt idx="235">
                  <c:v>660.28326263272152</c:v>
                </c:pt>
                <c:pt idx="236">
                  <c:v>660.28326263272152</c:v>
                </c:pt>
                <c:pt idx="237">
                  <c:v>667.56361152949967</c:v>
                </c:pt>
                <c:pt idx="238">
                  <c:v>667.56361152949967</c:v>
                </c:pt>
                <c:pt idx="239">
                  <c:v>672.89769637994459</c:v>
                </c:pt>
                <c:pt idx="240">
                  <c:v>672.89769637994459</c:v>
                </c:pt>
                <c:pt idx="241">
                  <c:v>677.23850160827919</c:v>
                </c:pt>
                <c:pt idx="242">
                  <c:v>677.23850160827919</c:v>
                </c:pt>
                <c:pt idx="243">
                  <c:v>680.98681102239016</c:v>
                </c:pt>
                <c:pt idx="244">
                  <c:v>680.98681102239016</c:v>
                </c:pt>
                <c:pt idx="245">
                  <c:v>684.35407855610822</c:v>
                </c:pt>
                <c:pt idx="246">
                  <c:v>684.35407855610822</c:v>
                </c:pt>
                <c:pt idx="247">
                  <c:v>687.46880228762188</c:v>
                </c:pt>
                <c:pt idx="248">
                  <c:v>687.46880228762188</c:v>
                </c:pt>
                <c:pt idx="249">
                  <c:v>690.41794304158225</c:v>
                </c:pt>
                <c:pt idx="250">
                  <c:v>690.41794304158225</c:v>
                </c:pt>
                <c:pt idx="251">
                  <c:v>693.26624939957742</c:v>
                </c:pt>
                <c:pt idx="252">
                  <c:v>693.26624939957742</c:v>
                </c:pt>
                <c:pt idx="253">
                  <c:v>696.0667090348843</c:v>
                </c:pt>
                <c:pt idx="254">
                  <c:v>696.0667090348843</c:v>
                </c:pt>
                <c:pt idx="255">
                  <c:v>698.90224856697375</c:v>
                </c:pt>
                <c:pt idx="256">
                  <c:v>698.90224856697375</c:v>
                </c:pt>
                <c:pt idx="257">
                  <c:v>704.57332763115255</c:v>
                </c:pt>
                <c:pt idx="258">
                  <c:v>704.57332763115255</c:v>
                </c:pt>
                <c:pt idx="259">
                  <c:v>710.24440669533135</c:v>
                </c:pt>
                <c:pt idx="260">
                  <c:v>710.24440669533135</c:v>
                </c:pt>
                <c:pt idx="261">
                  <c:v>715.91548575951015</c:v>
                </c:pt>
                <c:pt idx="262">
                  <c:v>715.91548575951015</c:v>
                </c:pt>
                <c:pt idx="263">
                  <c:v>721.58656482368895</c:v>
                </c:pt>
                <c:pt idx="264">
                  <c:v>721.58656482368895</c:v>
                </c:pt>
                <c:pt idx="265">
                  <c:v>727.25764388786774</c:v>
                </c:pt>
                <c:pt idx="266">
                  <c:v>727.25764388786774</c:v>
                </c:pt>
                <c:pt idx="267">
                  <c:v>732.92872295204654</c:v>
                </c:pt>
                <c:pt idx="268">
                  <c:v>732.92872295204654</c:v>
                </c:pt>
                <c:pt idx="269">
                  <c:v>738.59980201622534</c:v>
                </c:pt>
                <c:pt idx="270">
                  <c:v>738.59980201622534</c:v>
                </c:pt>
                <c:pt idx="271">
                  <c:v>744.27088108040414</c:v>
                </c:pt>
                <c:pt idx="272">
                  <c:v>744.27088108040414</c:v>
                </c:pt>
                <c:pt idx="273">
                  <c:v>749.94196014458294</c:v>
                </c:pt>
                <c:pt idx="274">
                  <c:v>749.94196014458294</c:v>
                </c:pt>
                <c:pt idx="275">
                  <c:v>755.61303920876173</c:v>
                </c:pt>
                <c:pt idx="276">
                  <c:v>755.61303920876173</c:v>
                </c:pt>
                <c:pt idx="277">
                  <c:v>761.28411827294053</c:v>
                </c:pt>
                <c:pt idx="278">
                  <c:v>761.28411827294053</c:v>
                </c:pt>
                <c:pt idx="279">
                  <c:v>766.95519733711933</c:v>
                </c:pt>
                <c:pt idx="280">
                  <c:v>766.95519733711933</c:v>
                </c:pt>
                <c:pt idx="281">
                  <c:v>772.62627640129813</c:v>
                </c:pt>
                <c:pt idx="282">
                  <c:v>772.62627640129813</c:v>
                </c:pt>
                <c:pt idx="283">
                  <c:v>778.29735546547693</c:v>
                </c:pt>
                <c:pt idx="284">
                  <c:v>778.29735546547693</c:v>
                </c:pt>
                <c:pt idx="285">
                  <c:v>783.96843452965572</c:v>
                </c:pt>
                <c:pt idx="286">
                  <c:v>783.96843452965572</c:v>
                </c:pt>
                <c:pt idx="287">
                  <c:v>789.63951359383452</c:v>
                </c:pt>
                <c:pt idx="288">
                  <c:v>789.63951359383452</c:v>
                </c:pt>
                <c:pt idx="289">
                  <c:v>795.31059265801332</c:v>
                </c:pt>
                <c:pt idx="290">
                  <c:v>795.31059265801332</c:v>
                </c:pt>
                <c:pt idx="291">
                  <c:v>800.98167172219212</c:v>
                </c:pt>
                <c:pt idx="292">
                  <c:v>800.98167172219212</c:v>
                </c:pt>
                <c:pt idx="293">
                  <c:v>806.65275078637092</c:v>
                </c:pt>
                <c:pt idx="294">
                  <c:v>806.65275078637092</c:v>
                </c:pt>
                <c:pt idx="295">
                  <c:v>812.32382985054971</c:v>
                </c:pt>
                <c:pt idx="296">
                  <c:v>812.32382985054971</c:v>
                </c:pt>
                <c:pt idx="297">
                  <c:v>817.99490891472851</c:v>
                </c:pt>
                <c:pt idx="298">
                  <c:v>817.99490891472851</c:v>
                </c:pt>
                <c:pt idx="299">
                  <c:v>820.83044844681797</c:v>
                </c:pt>
                <c:pt idx="300">
                  <c:v>820.83044844681797</c:v>
                </c:pt>
                <c:pt idx="301">
                  <c:v>823.63090808212485</c:v>
                </c:pt>
                <c:pt idx="302">
                  <c:v>823.63090808212485</c:v>
                </c:pt>
                <c:pt idx="303">
                  <c:v>826.47921444012002</c:v>
                </c:pt>
                <c:pt idx="304">
                  <c:v>826.47921444012002</c:v>
                </c:pt>
                <c:pt idx="305">
                  <c:v>829.42835519408038</c:v>
                </c:pt>
                <c:pt idx="306">
                  <c:v>829.42835519408038</c:v>
                </c:pt>
                <c:pt idx="307">
                  <c:v>832.54307892559405</c:v>
                </c:pt>
                <c:pt idx="308">
                  <c:v>832.54307892559405</c:v>
                </c:pt>
                <c:pt idx="309">
                  <c:v>835.91034645931211</c:v>
                </c:pt>
                <c:pt idx="310">
                  <c:v>835.91034645931211</c:v>
                </c:pt>
                <c:pt idx="311">
                  <c:v>839.65865587342307</c:v>
                </c:pt>
                <c:pt idx="312">
                  <c:v>839.65865587342307</c:v>
                </c:pt>
                <c:pt idx="313">
                  <c:v>843.99946110175767</c:v>
                </c:pt>
                <c:pt idx="314">
                  <c:v>843.99946110175767</c:v>
                </c:pt>
                <c:pt idx="315">
                  <c:v>849.3335459522026</c:v>
                </c:pt>
                <c:pt idx="316">
                  <c:v>849.3335459522026</c:v>
                </c:pt>
                <c:pt idx="317">
                  <c:v>856.61389484898075</c:v>
                </c:pt>
                <c:pt idx="318">
                  <c:v>856.61389484898075</c:v>
                </c:pt>
                <c:pt idx="319">
                  <c:v>869.69677847403034</c:v>
                </c:pt>
                <c:pt idx="320">
                  <c:v>869.69677847403034</c:v>
                </c:pt>
                <c:pt idx="321">
                  <c:v>887.26614924390401</c:v>
                </c:pt>
                <c:pt idx="322">
                  <c:v>887.26614924390401</c:v>
                </c:pt>
                <c:pt idx="323">
                  <c:v>987.9839936843872</c:v>
                </c:pt>
                <c:pt idx="324">
                  <c:v>987.9839936843872</c:v>
                </c:pt>
                <c:pt idx="325">
                  <c:v>1005.5533644542609</c:v>
                </c:pt>
                <c:pt idx="326">
                  <c:v>1005.5533644542609</c:v>
                </c:pt>
                <c:pt idx="327">
                  <c:v>1018.6362480793105</c:v>
                </c:pt>
                <c:pt idx="328">
                  <c:v>1018.6362480793105</c:v>
                </c:pt>
                <c:pt idx="329">
                  <c:v>1025.9165969760886</c:v>
                </c:pt>
                <c:pt idx="330">
                  <c:v>1025.9165969760886</c:v>
                </c:pt>
                <c:pt idx="331">
                  <c:v>1031.2506818265335</c:v>
                </c:pt>
                <c:pt idx="332">
                  <c:v>1031.2506818265335</c:v>
                </c:pt>
                <c:pt idx="333">
                  <c:v>1035.5914870548681</c:v>
                </c:pt>
                <c:pt idx="334">
                  <c:v>1035.5914870548681</c:v>
                </c:pt>
                <c:pt idx="335">
                  <c:v>1039.3397964689791</c:v>
                </c:pt>
                <c:pt idx="336">
                  <c:v>1039.3397964689791</c:v>
                </c:pt>
                <c:pt idx="337">
                  <c:v>1042.7070640026971</c:v>
                </c:pt>
                <c:pt idx="338">
                  <c:v>1042.7070640026971</c:v>
                </c:pt>
                <c:pt idx="339">
                  <c:v>1045.8217877342108</c:v>
                </c:pt>
                <c:pt idx="340">
                  <c:v>1045.8217877342108</c:v>
                </c:pt>
                <c:pt idx="341">
                  <c:v>1048.7709284881712</c:v>
                </c:pt>
                <c:pt idx="342">
                  <c:v>1048.7709284881712</c:v>
                </c:pt>
                <c:pt idx="343">
                  <c:v>1051.6192348461664</c:v>
                </c:pt>
                <c:pt idx="344">
                  <c:v>1051.6192348461664</c:v>
                </c:pt>
                <c:pt idx="345">
                  <c:v>1054.4196944814732</c:v>
                </c:pt>
                <c:pt idx="346">
                  <c:v>1054.4196944814732</c:v>
                </c:pt>
                <c:pt idx="347">
                  <c:v>1057.2552340135626</c:v>
                </c:pt>
                <c:pt idx="348">
                  <c:v>1057.2552340135626</c:v>
                </c:pt>
                <c:pt idx="349">
                  <c:v>1062.9263130777415</c:v>
                </c:pt>
                <c:pt idx="350">
                  <c:v>1062.9263130777415</c:v>
                </c:pt>
                <c:pt idx="351">
                  <c:v>1068.5973921419204</c:v>
                </c:pt>
                <c:pt idx="352">
                  <c:v>1068.5973921419204</c:v>
                </c:pt>
                <c:pt idx="353">
                  <c:v>1074.2684712060993</c:v>
                </c:pt>
                <c:pt idx="354">
                  <c:v>1074.2684712060993</c:v>
                </c:pt>
                <c:pt idx="355">
                  <c:v>1079.9395502702782</c:v>
                </c:pt>
                <c:pt idx="356">
                  <c:v>1079.9395502702782</c:v>
                </c:pt>
                <c:pt idx="357">
                  <c:v>1085.6106293344571</c:v>
                </c:pt>
                <c:pt idx="358">
                  <c:v>1085.6106293344571</c:v>
                </c:pt>
                <c:pt idx="359">
                  <c:v>1091.2817083986361</c:v>
                </c:pt>
                <c:pt idx="360">
                  <c:v>1091.2817083986361</c:v>
                </c:pt>
                <c:pt idx="361">
                  <c:v>1096.952787462815</c:v>
                </c:pt>
                <c:pt idx="362">
                  <c:v>1096.952787462815</c:v>
                </c:pt>
                <c:pt idx="363">
                  <c:v>1102.6238665269939</c:v>
                </c:pt>
                <c:pt idx="364">
                  <c:v>1102.6238665269939</c:v>
                </c:pt>
                <c:pt idx="365">
                  <c:v>1108.2949455911728</c:v>
                </c:pt>
                <c:pt idx="366">
                  <c:v>1108.2949455911728</c:v>
                </c:pt>
                <c:pt idx="367">
                  <c:v>1113.9660246553517</c:v>
                </c:pt>
                <c:pt idx="368">
                  <c:v>1113.9660246553517</c:v>
                </c:pt>
                <c:pt idx="369">
                  <c:v>1119.6371037195306</c:v>
                </c:pt>
                <c:pt idx="370">
                  <c:v>1119.6371037195306</c:v>
                </c:pt>
                <c:pt idx="371">
                  <c:v>1125.3081827837095</c:v>
                </c:pt>
                <c:pt idx="372">
                  <c:v>1125.3081827837095</c:v>
                </c:pt>
                <c:pt idx="373">
                  <c:v>1130.9792618478884</c:v>
                </c:pt>
                <c:pt idx="374">
                  <c:v>1130.9792618478884</c:v>
                </c:pt>
                <c:pt idx="375">
                  <c:v>1136.6503409120673</c:v>
                </c:pt>
                <c:pt idx="376">
                  <c:v>1136.6503409120673</c:v>
                </c:pt>
                <c:pt idx="377">
                  <c:v>1142.3214199762463</c:v>
                </c:pt>
                <c:pt idx="378">
                  <c:v>1142.3214199762463</c:v>
                </c:pt>
                <c:pt idx="379">
                  <c:v>1147.9924990404252</c:v>
                </c:pt>
                <c:pt idx="380">
                  <c:v>1147.9924990404252</c:v>
                </c:pt>
                <c:pt idx="381">
                  <c:v>1153.6635781046041</c:v>
                </c:pt>
                <c:pt idx="382">
                  <c:v>1153.6635781046041</c:v>
                </c:pt>
                <c:pt idx="383">
                  <c:v>1159.334657168783</c:v>
                </c:pt>
                <c:pt idx="384">
                  <c:v>1159.334657168783</c:v>
                </c:pt>
                <c:pt idx="385">
                  <c:v>1165.0057362329619</c:v>
                </c:pt>
                <c:pt idx="386">
                  <c:v>1165.0057362329619</c:v>
                </c:pt>
                <c:pt idx="387">
                  <c:v>1170.6768152971408</c:v>
                </c:pt>
                <c:pt idx="388">
                  <c:v>1170.6768152971408</c:v>
                </c:pt>
                <c:pt idx="389">
                  <c:v>1176.3478943613197</c:v>
                </c:pt>
                <c:pt idx="390">
                  <c:v>1176.3478943613197</c:v>
                </c:pt>
                <c:pt idx="391">
                  <c:v>1179.1834338934091</c:v>
                </c:pt>
                <c:pt idx="392">
                  <c:v>1179.1834338934091</c:v>
                </c:pt>
                <c:pt idx="393">
                  <c:v>1181.7722741309253</c:v>
                </c:pt>
                <c:pt idx="394">
                  <c:v>1181.7722741309253</c:v>
                </c:pt>
                <c:pt idx="395">
                  <c:v>1186.9499546059578</c:v>
                </c:pt>
                <c:pt idx="396">
                  <c:v>1186.9499546059578</c:v>
                </c:pt>
                <c:pt idx="397">
                  <c:v>1192.1276350809903</c:v>
                </c:pt>
                <c:pt idx="398">
                  <c:v>1192.1276350809903</c:v>
                </c:pt>
                <c:pt idx="399">
                  <c:v>1197.3053155560228</c:v>
                </c:pt>
                <c:pt idx="400">
                  <c:v>1197.3053155560228</c:v>
                </c:pt>
                <c:pt idx="401">
                  <c:v>1202.4829960310553</c:v>
                </c:pt>
                <c:pt idx="402">
                  <c:v>1202.4829960310553</c:v>
                </c:pt>
                <c:pt idx="403">
                  <c:v>1207.6606765060878</c:v>
                </c:pt>
                <c:pt idx="404">
                  <c:v>1207.6606765060878</c:v>
                </c:pt>
                <c:pt idx="405">
                  <c:v>1212.8383569811203</c:v>
                </c:pt>
                <c:pt idx="406">
                  <c:v>1212.8383569811203</c:v>
                </c:pt>
                <c:pt idx="407">
                  <c:v>1218.0160374561528</c:v>
                </c:pt>
                <c:pt idx="408">
                  <c:v>1218.0160374561528</c:v>
                </c:pt>
                <c:pt idx="409">
                  <c:v>1223.1937179311853</c:v>
                </c:pt>
                <c:pt idx="410">
                  <c:v>1223.1937179311853</c:v>
                </c:pt>
                <c:pt idx="411">
                  <c:v>1228.3713984062178</c:v>
                </c:pt>
                <c:pt idx="412">
                  <c:v>1228.3713984062178</c:v>
                </c:pt>
                <c:pt idx="413">
                  <c:v>1233.5490788812504</c:v>
                </c:pt>
                <c:pt idx="414">
                  <c:v>1233.5490788812504</c:v>
                </c:pt>
                <c:pt idx="415">
                  <c:v>1238.7267593562829</c:v>
                </c:pt>
                <c:pt idx="416">
                  <c:v>1238.7267593562829</c:v>
                </c:pt>
                <c:pt idx="417">
                  <c:v>1243.9044398313154</c:v>
                </c:pt>
                <c:pt idx="418">
                  <c:v>1243.9044398313154</c:v>
                </c:pt>
                <c:pt idx="419">
                  <c:v>1249.0821203063479</c:v>
                </c:pt>
                <c:pt idx="420">
                  <c:v>1249.0821203063479</c:v>
                </c:pt>
                <c:pt idx="421">
                  <c:v>1254.2598007813804</c:v>
                </c:pt>
                <c:pt idx="422">
                  <c:v>1254.2598007813804</c:v>
                </c:pt>
                <c:pt idx="423">
                  <c:v>1259.4374812564129</c:v>
                </c:pt>
                <c:pt idx="424">
                  <c:v>1259.4374812564129</c:v>
                </c:pt>
                <c:pt idx="425">
                  <c:v>1264.6151617314454</c:v>
                </c:pt>
                <c:pt idx="426">
                  <c:v>1264.6151617314454</c:v>
                </c:pt>
                <c:pt idx="427">
                  <c:v>1269.7928422064779</c:v>
                </c:pt>
                <c:pt idx="428">
                  <c:v>1269.7928422064779</c:v>
                </c:pt>
                <c:pt idx="429">
                  <c:v>1274.9705226815104</c:v>
                </c:pt>
                <c:pt idx="430">
                  <c:v>1274.9705226815104</c:v>
                </c:pt>
                <c:pt idx="431">
                  <c:v>1280.1482031565429</c:v>
                </c:pt>
                <c:pt idx="432">
                  <c:v>1280.1482031565429</c:v>
                </c:pt>
                <c:pt idx="433">
                  <c:v>1285.3258836315754</c:v>
                </c:pt>
                <c:pt idx="434">
                  <c:v>1285.3258836315754</c:v>
                </c:pt>
                <c:pt idx="435">
                  <c:v>1290.5035641066079</c:v>
                </c:pt>
                <c:pt idx="436">
                  <c:v>1290.5035641066079</c:v>
                </c:pt>
                <c:pt idx="437">
                  <c:v>1293.0924043441241</c:v>
                </c:pt>
                <c:pt idx="438">
                  <c:v>1293.0924043441241</c:v>
                </c:pt>
                <c:pt idx="439">
                  <c:v>1301.2125959865127</c:v>
                </c:pt>
                <c:pt idx="440">
                  <c:v>1301.2125959865127</c:v>
                </c:pt>
                <c:pt idx="441">
                  <c:v>1309.4715236252325</c:v>
                </c:pt>
                <c:pt idx="442">
                  <c:v>1309.4715236252325</c:v>
                </c:pt>
                <c:pt idx="443">
                  <c:v>1318.022829918177</c:v>
                </c:pt>
                <c:pt idx="444">
                  <c:v>1318.022829918177</c:v>
                </c:pt>
                <c:pt idx="445">
                  <c:v>1327.054259364299</c:v>
                </c:pt>
                <c:pt idx="446">
                  <c:v>1327.054259364299</c:v>
                </c:pt>
                <c:pt idx="447">
                  <c:v>1336.8179629150511</c:v>
                </c:pt>
                <c:pt idx="448">
                  <c:v>1336.8179629150511</c:v>
                </c:pt>
                <c:pt idx="449">
                  <c:v>1347.6865326290419</c:v>
                </c:pt>
                <c:pt idx="450">
                  <c:v>1347.6865326290419</c:v>
                </c:pt>
                <c:pt idx="451">
                  <c:v>1360.2730987383932</c:v>
                </c:pt>
                <c:pt idx="452">
                  <c:v>1360.2730987383932</c:v>
                </c:pt>
                <c:pt idx="453">
                  <c:v>1375.7397709504455</c:v>
                </c:pt>
                <c:pt idx="454">
                  <c:v>1375.7397709504455</c:v>
                </c:pt>
                <c:pt idx="455">
                  <c:v>1396.8498157159408</c:v>
                </c:pt>
                <c:pt idx="456">
                  <c:v>1396.8498157159408</c:v>
                </c:pt>
                <c:pt idx="457">
                  <c:v>1434.784846427008</c:v>
                </c:pt>
                <c:pt idx="458">
                  <c:v>1434.784846427008</c:v>
                </c:pt>
                <c:pt idx="459">
                  <c:v>1485.7288614340021</c:v>
                </c:pt>
                <c:pt idx="460">
                  <c:v>1485.7288614340021</c:v>
                </c:pt>
                <c:pt idx="461">
                  <c:v>1685.7288614340021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2.0753595302827892E-6</c:v>
                </c:pt>
                <c:pt idx="3">
                  <c:v>2.0753595302827892E-6</c:v>
                </c:pt>
                <c:pt idx="4">
                  <c:v>2.1141480010057634E-6</c:v>
                </c:pt>
                <c:pt idx="5">
                  <c:v>2.1141480010057634E-6</c:v>
                </c:pt>
                <c:pt idx="6">
                  <c:v>2.1702613482464512E-6</c:v>
                </c:pt>
                <c:pt idx="7">
                  <c:v>2.1702613482464512E-6</c:v>
                </c:pt>
                <c:pt idx="8">
                  <c:v>2.2337565362949153E-6</c:v>
                </c:pt>
                <c:pt idx="9">
                  <c:v>2.2337565362949153E-6</c:v>
                </c:pt>
                <c:pt idx="10">
                  <c:v>2.3007661947574838E-6</c:v>
                </c:pt>
                <c:pt idx="11">
                  <c:v>2.3007661947574838E-6</c:v>
                </c:pt>
                <c:pt idx="12">
                  <c:v>2.3695198721662014E-6</c:v>
                </c:pt>
                <c:pt idx="13">
                  <c:v>2.3695198721662014E-6</c:v>
                </c:pt>
                <c:pt idx="14">
                  <c:v>2.4391349780240453E-6</c:v>
                </c:pt>
                <c:pt idx="15">
                  <c:v>2.4391349780240453E-6</c:v>
                </c:pt>
                <c:pt idx="16">
                  <c:v>2.5091556373957901E-6</c:v>
                </c:pt>
                <c:pt idx="17">
                  <c:v>2.5091556373957901E-6</c:v>
                </c:pt>
                <c:pt idx="18">
                  <c:v>2.5793482334753735E-6</c:v>
                </c:pt>
                <c:pt idx="19">
                  <c:v>2.5793482334753735E-6</c:v>
                </c:pt>
                <c:pt idx="20">
                  <c:v>2.6496003878244729E-6</c:v>
                </c:pt>
                <c:pt idx="21">
                  <c:v>2.6496003878244729E-6</c:v>
                </c:pt>
                <c:pt idx="22">
                  <c:v>2.7198662854725101E-6</c:v>
                </c:pt>
                <c:pt idx="23">
                  <c:v>2.7198662854725101E-6</c:v>
                </c:pt>
                <c:pt idx="24">
                  <c:v>2.7729484968649535E-6</c:v>
                </c:pt>
                <c:pt idx="25">
                  <c:v>2.7729484968649535E-6</c:v>
                </c:pt>
                <c:pt idx="26">
                  <c:v>2.8940578400572229E-6</c:v>
                </c:pt>
                <c:pt idx="27">
                  <c:v>2.8940578400572229E-6</c:v>
                </c:pt>
                <c:pt idx="28">
                  <c:v>3.0384360731760849E-6</c:v>
                </c:pt>
                <c:pt idx="29">
                  <c:v>3.0384360731760849E-6</c:v>
                </c:pt>
                <c:pt idx="30">
                  <c:v>3.1524694663931443E-6</c:v>
                </c:pt>
                <c:pt idx="31">
                  <c:v>3.1524694663931443E-6</c:v>
                </c:pt>
                <c:pt idx="32">
                  <c:v>3.2309007952452858E-6</c:v>
                </c:pt>
                <c:pt idx="33">
                  <c:v>3.2309007952452858E-6</c:v>
                </c:pt>
                <c:pt idx="34">
                  <c:v>3.2750519701903315E-6</c:v>
                </c:pt>
                <c:pt idx="35">
                  <c:v>3.2750519701903315E-6</c:v>
                </c:pt>
                <c:pt idx="36">
                  <c:v>3.2904899653385658E-6</c:v>
                </c:pt>
                <c:pt idx="37">
                  <c:v>3.2904899653385658E-6</c:v>
                </c:pt>
                <c:pt idx="38">
                  <c:v>3.2841340973159043E-6</c:v>
                </c:pt>
                <c:pt idx="39">
                  <c:v>3.2841340973159043E-6</c:v>
                </c:pt>
                <c:pt idx="40">
                  <c:v>3.2620762149381051E-6</c:v>
                </c:pt>
                <c:pt idx="41">
                  <c:v>3.2620762149381051E-6</c:v>
                </c:pt>
                <c:pt idx="42">
                  <c:v>3.228602219196839E-6</c:v>
                </c:pt>
                <c:pt idx="43">
                  <c:v>3.228602219196839E-6</c:v>
                </c:pt>
                <c:pt idx="44">
                  <c:v>3.1861996687455645E-6</c:v>
                </c:pt>
                <c:pt idx="45">
                  <c:v>3.1861996687455645E-6</c:v>
                </c:pt>
                <c:pt idx="46">
                  <c:v>3.1360529137616047E-6</c:v>
                </c:pt>
                <c:pt idx="47">
                  <c:v>3.1360529137616047E-6</c:v>
                </c:pt>
                <c:pt idx="48">
                  <c:v>3.0786078399426882E-6</c:v>
                </c:pt>
                <c:pt idx="49">
                  <c:v>3.0786078399426882E-6</c:v>
                </c:pt>
                <c:pt idx="50">
                  <c:v>3.0140020360055879E-6</c:v>
                </c:pt>
                <c:pt idx="51">
                  <c:v>3.0140020360055879E-6</c:v>
                </c:pt>
                <c:pt idx="52">
                  <c:v>2.9423266333494046E-6</c:v>
                </c:pt>
                <c:pt idx="53">
                  <c:v>2.9423266333494046E-6</c:v>
                </c:pt>
                <c:pt idx="54">
                  <c:v>2.8637622350242467E-6</c:v>
                </c:pt>
                <c:pt idx="55">
                  <c:v>2.8637622350242467E-6</c:v>
                </c:pt>
                <c:pt idx="56">
                  <c:v>2.7786406114716381E-6</c:v>
                </c:pt>
                <c:pt idx="57">
                  <c:v>2.7786406114716381E-6</c:v>
                </c:pt>
                <c:pt idx="58">
                  <c:v>2.6874675197525567E-6</c:v>
                </c:pt>
                <c:pt idx="59">
                  <c:v>2.6874675197525567E-6</c:v>
                </c:pt>
                <c:pt idx="60">
                  <c:v>2.5909248667592145E-6</c:v>
                </c:pt>
                <c:pt idx="61">
                  <c:v>2.5909248667592145E-6</c:v>
                </c:pt>
                <c:pt idx="62">
                  <c:v>2.4898599774308446E-6</c:v>
                </c:pt>
                <c:pt idx="63">
                  <c:v>2.4898599774308446E-6</c:v>
                </c:pt>
                <c:pt idx="64">
                  <c:v>2.38526507326429E-6</c:v>
                </c:pt>
                <c:pt idx="65">
                  <c:v>2.38526507326429E-6</c:v>
                </c:pt>
                <c:pt idx="66">
                  <c:v>2.2782486104769875E-6</c:v>
                </c:pt>
                <c:pt idx="67">
                  <c:v>2.2782486104769875E-6</c:v>
                </c:pt>
                <c:pt idx="68">
                  <c:v>2.1971106880824975E-6</c:v>
                </c:pt>
                <c:pt idx="69">
                  <c:v>2.1971106880824975E-6</c:v>
                </c:pt>
                <c:pt idx="70">
                  <c:v>2.1317252080430291E-6</c:v>
                </c:pt>
                <c:pt idx="71">
                  <c:v>2.1317252080430291E-6</c:v>
                </c:pt>
                <c:pt idx="72">
                  <c:v>2.0434368139078616E-6</c:v>
                </c:pt>
                <c:pt idx="73">
                  <c:v>2.0434368139078616E-6</c:v>
                </c:pt>
                <c:pt idx="74">
                  <c:v>1.9264123865273671E-6</c:v>
                </c:pt>
                <c:pt idx="75">
                  <c:v>1.9264123865273671E-6</c:v>
                </c:pt>
                <c:pt idx="76">
                  <c:v>1.8113232667326854E-6</c:v>
                </c:pt>
                <c:pt idx="77">
                  <c:v>1.8113232667326854E-6</c:v>
                </c:pt>
                <c:pt idx="78">
                  <c:v>1.699296435042227E-6</c:v>
                </c:pt>
                <c:pt idx="79">
                  <c:v>1.699296435042227E-6</c:v>
                </c:pt>
                <c:pt idx="80">
                  <c:v>1.591290076464366E-6</c:v>
                </c:pt>
                <c:pt idx="81">
                  <c:v>1.591290076464366E-6</c:v>
                </c:pt>
                <c:pt idx="82">
                  <c:v>1.4880609906633019E-6</c:v>
                </c:pt>
                <c:pt idx="83">
                  <c:v>1.4880609906633019E-6</c:v>
                </c:pt>
                <c:pt idx="84">
                  <c:v>1.3901448512466422E-6</c:v>
                </c:pt>
                <c:pt idx="85">
                  <c:v>1.3901448512466422E-6</c:v>
                </c:pt>
                <c:pt idx="86">
                  <c:v>1.2978501401584065E-6</c:v>
                </c:pt>
                <c:pt idx="87">
                  <c:v>1.2978501401584065E-6</c:v>
                </c:pt>
                <c:pt idx="88">
                  <c:v>1.2112655416764445E-6</c:v>
                </c:pt>
                <c:pt idx="89">
                  <c:v>1.2112655416764445E-6</c:v>
                </c:pt>
                <c:pt idx="90">
                  <c:v>1.1302795901439154E-6</c:v>
                </c:pt>
                <c:pt idx="91">
                  <c:v>1.1302795901439154E-6</c:v>
                </c:pt>
                <c:pt idx="92">
                  <c:v>1.0546105179134198E-6</c:v>
                </c:pt>
                <c:pt idx="93">
                  <c:v>1.0546105179134198E-6</c:v>
                </c:pt>
                <c:pt idx="94">
                  <c:v>9.8384361635555864E-7</c:v>
                </c:pt>
                <c:pt idx="95">
                  <c:v>9.8384361635555864E-7</c:v>
                </c:pt>
                <c:pt idx="96">
                  <c:v>9.1747304771544433E-7</c:v>
                </c:pt>
                <c:pt idx="97">
                  <c:v>9.1747304771544433E-7</c:v>
                </c:pt>
                <c:pt idx="98">
                  <c:v>8.5494494425104558E-7</c:v>
                </c:pt>
                <c:pt idx="99">
                  <c:v>8.5494494425104558E-7</c:v>
                </c:pt>
                <c:pt idx="100">
                  <c:v>7.9569879043196448E-7</c:v>
                </c:pt>
                <c:pt idx="101">
                  <c:v>7.9569879043196448E-7</c:v>
                </c:pt>
                <c:pt idx="102">
                  <c:v>7.3920446716712961E-7</c:v>
                </c:pt>
                <c:pt idx="103">
                  <c:v>7.3920446716712961E-7</c:v>
                </c:pt>
                <c:pt idx="104">
                  <c:v>6.8499288992903203E-7</c:v>
                </c:pt>
                <c:pt idx="105">
                  <c:v>6.8499288992903203E-7</c:v>
                </c:pt>
                <c:pt idx="106">
                  <c:v>6.3267883140224077E-7</c:v>
                </c:pt>
                <c:pt idx="107">
                  <c:v>6.3267883140224077E-7</c:v>
                </c:pt>
                <c:pt idx="108">
                  <c:v>5.8197521786714605E-7</c:v>
                </c:pt>
                <c:pt idx="109">
                  <c:v>5.8197521786714605E-7</c:v>
                </c:pt>
                <c:pt idx="110">
                  <c:v>5.3269886530183067E-7</c:v>
                </c:pt>
                <c:pt idx="111">
                  <c:v>5.3269886530183067E-7</c:v>
                </c:pt>
                <c:pt idx="112">
                  <c:v>4.8476822400173296E-7</c:v>
                </c:pt>
                <c:pt idx="113">
                  <c:v>4.8476822400173296E-7</c:v>
                </c:pt>
                <c:pt idx="114">
                  <c:v>4.4970683368350521E-7</c:v>
                </c:pt>
                <c:pt idx="115">
                  <c:v>4.4970683368350521E-7</c:v>
                </c:pt>
                <c:pt idx="116">
                  <c:v>3.9783520468283332E-7</c:v>
                </c:pt>
                <c:pt idx="117">
                  <c:v>3.9783520468283332E-7</c:v>
                </c:pt>
                <c:pt idx="118">
                  <c:v>3.4883727638370429E-7</c:v>
                </c:pt>
                <c:pt idx="119">
                  <c:v>3.4883727638370429E-7</c:v>
                </c:pt>
                <c:pt idx="120">
                  <c:v>2.9984893158380392E-7</c:v>
                </c:pt>
                <c:pt idx="121">
                  <c:v>2.9984893158380392E-7</c:v>
                </c:pt>
                <c:pt idx="122">
                  <c:v>2.5090211805180269E-7</c:v>
                </c:pt>
                <c:pt idx="123">
                  <c:v>2.5090211805180269E-7</c:v>
                </c:pt>
                <c:pt idx="124">
                  <c:v>2.0207519970031781E-7</c:v>
                </c:pt>
                <c:pt idx="125">
                  <c:v>2.0207519970031781E-7</c:v>
                </c:pt>
                <c:pt idx="126">
                  <c:v>1.5353108257475821E-7</c:v>
                </c:pt>
                <c:pt idx="127">
                  <c:v>1.5353108257475821E-7</c:v>
                </c:pt>
                <c:pt idx="128">
                  <c:v>1.0558765811517002E-7</c:v>
                </c:pt>
                <c:pt idx="129">
                  <c:v>1.0558765811517002E-7</c:v>
                </c:pt>
                <c:pt idx="130">
                  <c:v>5.8860375740662466E-8</c:v>
                </c:pt>
                <c:pt idx="131">
                  <c:v>5.8860375740662466E-8</c:v>
                </c:pt>
                <c:pt idx="132">
                  <c:v>1.4583809504761189E-8</c:v>
                </c:pt>
                <c:pt idx="133">
                  <c:v>1.4583809504761189E-8</c:v>
                </c:pt>
                <c:pt idx="134">
                  <c:v>-2.4545239674903814E-8</c:v>
                </c:pt>
                <c:pt idx="135">
                  <c:v>-2.4545239674903814E-8</c:v>
                </c:pt>
                <c:pt idx="136">
                  <c:v>-5.1593278210425887E-8</c:v>
                </c:pt>
                <c:pt idx="137">
                  <c:v>-5.1593278210425887E-8</c:v>
                </c:pt>
                <c:pt idx="138">
                  <c:v>-5.5330594452061422E-8</c:v>
                </c:pt>
                <c:pt idx="139">
                  <c:v>-5.5330594452061422E-8</c:v>
                </c:pt>
                <c:pt idx="140">
                  <c:v>-5.2525825234262953E-8</c:v>
                </c:pt>
                <c:pt idx="141">
                  <c:v>-5.2525825234262953E-8</c:v>
                </c:pt>
                <c:pt idx="142">
                  <c:v>-3.2226899218554557E-8</c:v>
                </c:pt>
                <c:pt idx="143">
                  <c:v>-3.2226899218554557E-8</c:v>
                </c:pt>
                <c:pt idx="144">
                  <c:v>-2.861454721723893E-9</c:v>
                </c:pt>
                <c:pt idx="145">
                  <c:v>-2.861454721723893E-9</c:v>
                </c:pt>
                <c:pt idx="146">
                  <c:v>3.036708201937162E-8</c:v>
                </c:pt>
                <c:pt idx="147">
                  <c:v>3.036708201937162E-8</c:v>
                </c:pt>
                <c:pt idx="148">
                  <c:v>6.5434824421082048E-8</c:v>
                </c:pt>
                <c:pt idx="149">
                  <c:v>6.5434824421082048E-8</c:v>
                </c:pt>
                <c:pt idx="150">
                  <c:v>1.0141525327054418E-7</c:v>
                </c:pt>
                <c:pt idx="151">
                  <c:v>1.0141525327054418E-7</c:v>
                </c:pt>
                <c:pt idx="152">
                  <c:v>1.3784648804327984E-7</c:v>
                </c:pt>
                <c:pt idx="153">
                  <c:v>1.3784648804327984E-7</c:v>
                </c:pt>
                <c:pt idx="154">
                  <c:v>1.74489958581454E-7</c:v>
                </c:pt>
                <c:pt idx="155">
                  <c:v>1.74489958581454E-7</c:v>
                </c:pt>
                <c:pt idx="156">
                  <c:v>2.1122340767373856E-7</c:v>
                </c:pt>
                <c:pt idx="157">
                  <c:v>2.1122340767373856E-7</c:v>
                </c:pt>
                <c:pt idx="158">
                  <c:v>2.4798802501999132E-7</c:v>
                </c:pt>
                <c:pt idx="159">
                  <c:v>2.4798802501999132E-7</c:v>
                </c:pt>
                <c:pt idx="160">
                  <c:v>2.8475983456029408E-7</c:v>
                </c:pt>
                <c:pt idx="161">
                  <c:v>2.8475983456029408E-7</c:v>
                </c:pt>
                <c:pt idx="162">
                  <c:v>3.2184016138372131E-7</c:v>
                </c:pt>
                <c:pt idx="163">
                  <c:v>3.2184016138372131E-7</c:v>
                </c:pt>
                <c:pt idx="164">
                  <c:v>3.7713038471453524E-7</c:v>
                </c:pt>
                <c:pt idx="165">
                  <c:v>3.7713038471453524E-7</c:v>
                </c:pt>
                <c:pt idx="166">
                  <c:v>4.4624717609330607E-7</c:v>
                </c:pt>
                <c:pt idx="167">
                  <c:v>4.4624717609330607E-7</c:v>
                </c:pt>
                <c:pt idx="168">
                  <c:v>5.0656842288107643E-7</c:v>
                </c:pt>
                <c:pt idx="169">
                  <c:v>5.0656842288107643E-7</c:v>
                </c:pt>
                <c:pt idx="170">
                  <c:v>5.5574933024876981E-7</c:v>
                </c:pt>
                <c:pt idx="171">
                  <c:v>5.5574933024876981E-7</c:v>
                </c:pt>
                <c:pt idx="172">
                  <c:v>5.9320794990197259E-7</c:v>
                </c:pt>
                <c:pt idx="173">
                  <c:v>5.9320794990197259E-7</c:v>
                </c:pt>
                <c:pt idx="174">
                  <c:v>6.1985698655869384E-7</c:v>
                </c:pt>
                <c:pt idx="175">
                  <c:v>6.1985698655869384E-7</c:v>
                </c:pt>
                <c:pt idx="176">
                  <c:v>6.3755575297256222E-7</c:v>
                </c:pt>
                <c:pt idx="177">
                  <c:v>6.3755575297256222E-7</c:v>
                </c:pt>
                <c:pt idx="178">
                  <c:v>6.4850169868956617E-7</c:v>
                </c:pt>
                <c:pt idx="179">
                  <c:v>6.4850169868956617E-7</c:v>
                </c:pt>
                <c:pt idx="180">
                  <c:v>6.5473467543671045E-7</c:v>
                </c:pt>
                <c:pt idx="181">
                  <c:v>6.5473467543671045E-7</c:v>
                </c:pt>
                <c:pt idx="182">
                  <c:v>6.5782857244072772E-7</c:v>
                </c:pt>
                <c:pt idx="183">
                  <c:v>6.5782857244072772E-7</c:v>
                </c:pt>
                <c:pt idx="184">
                  <c:v>6.5875181220313634E-7</c:v>
                </c:pt>
                <c:pt idx="185">
                  <c:v>6.5875181220313634E-7</c:v>
                </c:pt>
                <c:pt idx="186">
                  <c:v>6.5782857244072772E-7</c:v>
                </c:pt>
                <c:pt idx="187">
                  <c:v>6.5782857244072772E-7</c:v>
                </c:pt>
                <c:pt idx="188">
                  <c:v>6.5473467543671045E-7</c:v>
                </c:pt>
                <c:pt idx="189">
                  <c:v>6.5473467543671045E-7</c:v>
                </c:pt>
                <c:pt idx="190">
                  <c:v>6.4850169868956617E-7</c:v>
                </c:pt>
                <c:pt idx="191">
                  <c:v>6.4850169868956617E-7</c:v>
                </c:pt>
                <c:pt idx="192">
                  <c:v>6.3755575297256222E-7</c:v>
                </c:pt>
                <c:pt idx="193">
                  <c:v>6.3755575297256222E-7</c:v>
                </c:pt>
                <c:pt idx="194">
                  <c:v>6.1985698655869384E-7</c:v>
                </c:pt>
                <c:pt idx="195">
                  <c:v>6.1985698655869384E-7</c:v>
                </c:pt>
                <c:pt idx="196">
                  <c:v>5.9320794990197259E-7</c:v>
                </c:pt>
                <c:pt idx="197">
                  <c:v>5.9320794990197259E-7</c:v>
                </c:pt>
                <c:pt idx="198">
                  <c:v>5.5574933024876981E-7</c:v>
                </c:pt>
                <c:pt idx="199">
                  <c:v>5.5574933024876981E-7</c:v>
                </c:pt>
                <c:pt idx="200">
                  <c:v>5.0656842288107643E-7</c:v>
                </c:pt>
                <c:pt idx="201">
                  <c:v>5.0656842288107643E-7</c:v>
                </c:pt>
                <c:pt idx="202">
                  <c:v>4.4624717609330607E-7</c:v>
                </c:pt>
                <c:pt idx="203">
                  <c:v>4.4624717609330607E-7</c:v>
                </c:pt>
                <c:pt idx="204">
                  <c:v>3.7713038471453524E-7</c:v>
                </c:pt>
                <c:pt idx="205">
                  <c:v>3.7713038471453524E-7</c:v>
                </c:pt>
                <c:pt idx="206">
                  <c:v>3.2184016138372131E-7</c:v>
                </c:pt>
                <c:pt idx="207">
                  <c:v>3.2184016138372131E-7</c:v>
                </c:pt>
                <c:pt idx="208">
                  <c:v>2.8475983456029408E-7</c:v>
                </c:pt>
                <c:pt idx="209">
                  <c:v>2.8475983456029408E-7</c:v>
                </c:pt>
                <c:pt idx="210">
                  <c:v>2.4798802501999132E-7</c:v>
                </c:pt>
                <c:pt idx="211">
                  <c:v>2.4798802501999132E-7</c:v>
                </c:pt>
                <c:pt idx="212">
                  <c:v>2.1122340767373856E-7</c:v>
                </c:pt>
                <c:pt idx="213">
                  <c:v>2.1122340767373856E-7</c:v>
                </c:pt>
                <c:pt idx="214">
                  <c:v>1.74489958581454E-7</c:v>
                </c:pt>
                <c:pt idx="215">
                  <c:v>1.74489958581454E-7</c:v>
                </c:pt>
                <c:pt idx="216">
                  <c:v>1.3784648804327984E-7</c:v>
                </c:pt>
                <c:pt idx="217">
                  <c:v>1.3784648804327984E-7</c:v>
                </c:pt>
                <c:pt idx="218">
                  <c:v>1.0141525327054418E-7</c:v>
                </c:pt>
                <c:pt idx="219">
                  <c:v>1.0141525327054418E-7</c:v>
                </c:pt>
                <c:pt idx="220">
                  <c:v>6.5434824421082048E-8</c:v>
                </c:pt>
                <c:pt idx="221">
                  <c:v>6.5434824421082048E-8</c:v>
                </c:pt>
                <c:pt idx="222">
                  <c:v>3.036708201937162E-8</c:v>
                </c:pt>
                <c:pt idx="223">
                  <c:v>3.036708201937162E-8</c:v>
                </c:pt>
                <c:pt idx="224">
                  <c:v>-2.861454721723893E-9</c:v>
                </c:pt>
                <c:pt idx="225">
                  <c:v>-2.861454721723893E-9</c:v>
                </c:pt>
                <c:pt idx="226">
                  <c:v>-3.2226899218554557E-8</c:v>
                </c:pt>
                <c:pt idx="227">
                  <c:v>-3.2226899218554557E-8</c:v>
                </c:pt>
                <c:pt idx="228">
                  <c:v>-5.2525825234262953E-8</c:v>
                </c:pt>
                <c:pt idx="229">
                  <c:v>-5.2525825234262953E-8</c:v>
                </c:pt>
                <c:pt idx="230">
                  <c:v>-5.5330594452061422E-8</c:v>
                </c:pt>
                <c:pt idx="231">
                  <c:v>-5.5330594452061422E-8</c:v>
                </c:pt>
                <c:pt idx="232">
                  <c:v>-5.2525825234262953E-8</c:v>
                </c:pt>
                <c:pt idx="233">
                  <c:v>-5.2525825234262953E-8</c:v>
                </c:pt>
                <c:pt idx="234">
                  <c:v>-3.2226899218554557E-8</c:v>
                </c:pt>
                <c:pt idx="235">
                  <c:v>-3.2226899218554557E-8</c:v>
                </c:pt>
                <c:pt idx="236">
                  <c:v>-2.861454721723893E-9</c:v>
                </c:pt>
                <c:pt idx="237">
                  <c:v>-2.861454721723893E-9</c:v>
                </c:pt>
                <c:pt idx="238">
                  <c:v>3.036708201937162E-8</c:v>
                </c:pt>
                <c:pt idx="239">
                  <c:v>3.036708201937162E-8</c:v>
                </c:pt>
                <c:pt idx="240">
                  <c:v>6.5434824421082048E-8</c:v>
                </c:pt>
                <c:pt idx="241">
                  <c:v>6.5434824421082048E-8</c:v>
                </c:pt>
                <c:pt idx="242">
                  <c:v>1.0141525327054418E-7</c:v>
                </c:pt>
                <c:pt idx="243">
                  <c:v>1.0141525327054418E-7</c:v>
                </c:pt>
                <c:pt idx="244">
                  <c:v>1.3784648804327984E-7</c:v>
                </c:pt>
                <c:pt idx="245">
                  <c:v>1.3784648804327984E-7</c:v>
                </c:pt>
                <c:pt idx="246">
                  <c:v>1.74489958581454E-7</c:v>
                </c:pt>
                <c:pt idx="247">
                  <c:v>1.74489958581454E-7</c:v>
                </c:pt>
                <c:pt idx="248">
                  <c:v>2.1122340767373856E-7</c:v>
                </c:pt>
                <c:pt idx="249">
                  <c:v>2.1122340767373856E-7</c:v>
                </c:pt>
                <c:pt idx="250">
                  <c:v>2.4798802501999132E-7</c:v>
                </c:pt>
                <c:pt idx="251">
                  <c:v>2.4798802501999132E-7</c:v>
                </c:pt>
                <c:pt idx="252">
                  <c:v>2.8475983456029408E-7</c:v>
                </c:pt>
                <c:pt idx="253">
                  <c:v>2.8475983456029408E-7</c:v>
                </c:pt>
                <c:pt idx="254">
                  <c:v>3.2184016138372131E-7</c:v>
                </c:pt>
                <c:pt idx="255">
                  <c:v>3.2184016138372131E-7</c:v>
                </c:pt>
                <c:pt idx="256">
                  <c:v>3.7713038471453524E-7</c:v>
                </c:pt>
                <c:pt idx="257">
                  <c:v>3.7713038471453524E-7</c:v>
                </c:pt>
                <c:pt idx="258">
                  <c:v>4.4624717609330607E-7</c:v>
                </c:pt>
                <c:pt idx="259">
                  <c:v>4.4624717609330607E-7</c:v>
                </c:pt>
                <c:pt idx="260">
                  <c:v>5.0656842288107643E-7</c:v>
                </c:pt>
                <c:pt idx="261">
                  <c:v>5.0656842288107643E-7</c:v>
                </c:pt>
                <c:pt idx="262">
                  <c:v>5.5574933024876981E-7</c:v>
                </c:pt>
                <c:pt idx="263">
                  <c:v>5.5574933024876981E-7</c:v>
                </c:pt>
                <c:pt idx="264">
                  <c:v>5.9320794990197259E-7</c:v>
                </c:pt>
                <c:pt idx="265">
                  <c:v>5.9320794990197259E-7</c:v>
                </c:pt>
                <c:pt idx="266">
                  <c:v>6.1985698655869384E-7</c:v>
                </c:pt>
                <c:pt idx="267">
                  <c:v>6.1985698655869384E-7</c:v>
                </c:pt>
                <c:pt idx="268">
                  <c:v>6.3755575297256222E-7</c:v>
                </c:pt>
                <c:pt idx="269">
                  <c:v>6.3755575297256222E-7</c:v>
                </c:pt>
                <c:pt idx="270">
                  <c:v>6.4850169868956617E-7</c:v>
                </c:pt>
                <c:pt idx="271">
                  <c:v>6.4850169868956617E-7</c:v>
                </c:pt>
                <c:pt idx="272">
                  <c:v>6.5473467543671045E-7</c:v>
                </c:pt>
                <c:pt idx="273">
                  <c:v>6.5473467543671045E-7</c:v>
                </c:pt>
                <c:pt idx="274">
                  <c:v>6.5782857244072772E-7</c:v>
                </c:pt>
                <c:pt idx="275">
                  <c:v>6.5782857244072772E-7</c:v>
                </c:pt>
                <c:pt idx="276">
                  <c:v>6.5875181220313634E-7</c:v>
                </c:pt>
                <c:pt idx="277">
                  <c:v>6.5875181220313634E-7</c:v>
                </c:pt>
                <c:pt idx="278">
                  <c:v>6.5782857244072772E-7</c:v>
                </c:pt>
                <c:pt idx="279">
                  <c:v>6.5782857244072772E-7</c:v>
                </c:pt>
                <c:pt idx="280">
                  <c:v>6.5473467543671045E-7</c:v>
                </c:pt>
                <c:pt idx="281">
                  <c:v>6.5473467543671045E-7</c:v>
                </c:pt>
                <c:pt idx="282">
                  <c:v>6.4850169868956617E-7</c:v>
                </c:pt>
                <c:pt idx="283">
                  <c:v>6.4850169868956617E-7</c:v>
                </c:pt>
                <c:pt idx="284">
                  <c:v>6.3755575297256222E-7</c:v>
                </c:pt>
                <c:pt idx="285">
                  <c:v>6.3755575297256222E-7</c:v>
                </c:pt>
                <c:pt idx="286">
                  <c:v>6.1985698655869384E-7</c:v>
                </c:pt>
                <c:pt idx="287">
                  <c:v>6.1985698655869384E-7</c:v>
                </c:pt>
                <c:pt idx="288">
                  <c:v>5.9320794990197259E-7</c:v>
                </c:pt>
                <c:pt idx="289">
                  <c:v>5.9320794990197259E-7</c:v>
                </c:pt>
                <c:pt idx="290">
                  <c:v>5.5574933024876981E-7</c:v>
                </c:pt>
                <c:pt idx="291">
                  <c:v>5.5574933024876981E-7</c:v>
                </c:pt>
                <c:pt idx="292">
                  <c:v>5.0656842288107643E-7</c:v>
                </c:pt>
                <c:pt idx="293">
                  <c:v>5.0656842288107643E-7</c:v>
                </c:pt>
                <c:pt idx="294">
                  <c:v>4.4624717609330607E-7</c:v>
                </c:pt>
                <c:pt idx="295">
                  <c:v>4.4624717609330607E-7</c:v>
                </c:pt>
                <c:pt idx="296">
                  <c:v>3.7713038471453524E-7</c:v>
                </c:pt>
                <c:pt idx="297">
                  <c:v>3.7713038471453524E-7</c:v>
                </c:pt>
                <c:pt idx="298">
                  <c:v>3.2184016138372131E-7</c:v>
                </c:pt>
                <c:pt idx="299">
                  <c:v>3.2184016138372131E-7</c:v>
                </c:pt>
                <c:pt idx="300">
                  <c:v>2.8475983456029408E-7</c:v>
                </c:pt>
                <c:pt idx="301">
                  <c:v>2.8475983456029408E-7</c:v>
                </c:pt>
                <c:pt idx="302">
                  <c:v>2.4798802501999132E-7</c:v>
                </c:pt>
                <c:pt idx="303">
                  <c:v>2.4798802501999132E-7</c:v>
                </c:pt>
                <c:pt idx="304">
                  <c:v>2.1122340767373856E-7</c:v>
                </c:pt>
                <c:pt idx="305">
                  <c:v>2.1122340767373856E-7</c:v>
                </c:pt>
                <c:pt idx="306">
                  <c:v>1.74489958581454E-7</c:v>
                </c:pt>
                <c:pt idx="307">
                  <c:v>1.74489958581454E-7</c:v>
                </c:pt>
                <c:pt idx="308">
                  <c:v>1.3784648804327984E-7</c:v>
                </c:pt>
                <c:pt idx="309">
                  <c:v>1.3784648804327984E-7</c:v>
                </c:pt>
                <c:pt idx="310">
                  <c:v>1.0141525327054418E-7</c:v>
                </c:pt>
                <c:pt idx="311">
                  <c:v>1.0141525327054418E-7</c:v>
                </c:pt>
                <c:pt idx="312">
                  <c:v>6.5434824421082048E-8</c:v>
                </c:pt>
                <c:pt idx="313">
                  <c:v>6.5434824421082048E-8</c:v>
                </c:pt>
                <c:pt idx="314">
                  <c:v>3.036708201937162E-8</c:v>
                </c:pt>
                <c:pt idx="315">
                  <c:v>3.036708201937162E-8</c:v>
                </c:pt>
                <c:pt idx="316">
                  <c:v>-2.8614547224303185E-9</c:v>
                </c:pt>
                <c:pt idx="317">
                  <c:v>-2.8614547224303185E-9</c:v>
                </c:pt>
                <c:pt idx="318">
                  <c:v>-3.2226899220653081E-8</c:v>
                </c:pt>
                <c:pt idx="319">
                  <c:v>-3.2226899220653081E-8</c:v>
                </c:pt>
                <c:pt idx="320">
                  <c:v>-5.2525825245006295E-8</c:v>
                </c:pt>
                <c:pt idx="321">
                  <c:v>-5.2525825245006295E-8</c:v>
                </c:pt>
                <c:pt idx="322">
                  <c:v>-5.5330598385236466E-8</c:v>
                </c:pt>
                <c:pt idx="323">
                  <c:v>-5.5330598385236466E-8</c:v>
                </c:pt>
                <c:pt idx="324">
                  <c:v>-5.2526440831834752E-8</c:v>
                </c:pt>
                <c:pt idx="325">
                  <c:v>-5.2526440831834752E-8</c:v>
                </c:pt>
                <c:pt idx="326">
                  <c:v>-3.2228958948142102E-8</c:v>
                </c:pt>
                <c:pt idx="327">
                  <c:v>-3.2228958948142102E-8</c:v>
                </c:pt>
                <c:pt idx="328">
                  <c:v>-2.8660335278043691E-9</c:v>
                </c:pt>
                <c:pt idx="329">
                  <c:v>-2.8660335278043691E-9</c:v>
                </c:pt>
                <c:pt idx="330">
                  <c:v>3.035948245842179E-8</c:v>
                </c:pt>
                <c:pt idx="331">
                  <c:v>3.035948245842179E-8</c:v>
                </c:pt>
                <c:pt idx="332">
                  <c:v>6.5423539982212404E-8</c:v>
                </c:pt>
                <c:pt idx="333">
                  <c:v>6.5423539982212404E-8</c:v>
                </c:pt>
                <c:pt idx="334">
                  <c:v>1.0139949588032046E-7</c:v>
                </c:pt>
                <c:pt idx="335">
                  <c:v>1.0139949588032046E-7</c:v>
                </c:pt>
                <c:pt idx="336">
                  <c:v>1.3782532704055663E-7</c:v>
                </c:pt>
                <c:pt idx="337">
                  <c:v>1.3782532704055663E-7</c:v>
                </c:pt>
                <c:pt idx="338">
                  <c:v>1.7446228624365133E-7</c:v>
                </c:pt>
                <c:pt idx="339">
                  <c:v>1.7446228624365133E-7</c:v>
                </c:pt>
                <c:pt idx="340">
                  <c:v>2.1118788980725119E-7</c:v>
                </c:pt>
                <c:pt idx="341">
                  <c:v>2.1118788980725119E-7</c:v>
                </c:pt>
                <c:pt idx="342">
                  <c:v>2.479430316851655E-7</c:v>
                </c:pt>
                <c:pt idx="343">
                  <c:v>2.479430316851655E-7</c:v>
                </c:pt>
                <c:pt idx="344">
                  <c:v>2.8470334167812309E-7</c:v>
                </c:pt>
                <c:pt idx="345">
                  <c:v>2.8470334167812309E-7</c:v>
                </c:pt>
                <c:pt idx="346">
                  <c:v>3.2176950389284351E-7</c:v>
                </c:pt>
                <c:pt idx="347">
                  <c:v>3.2176950389284351E-7</c:v>
                </c:pt>
                <c:pt idx="348">
                  <c:v>3.7703209784252167E-7</c:v>
                </c:pt>
                <c:pt idx="349">
                  <c:v>3.7703209784252167E-7</c:v>
                </c:pt>
                <c:pt idx="350">
                  <c:v>4.4609707846548213E-7</c:v>
                </c:pt>
                <c:pt idx="351">
                  <c:v>4.4609707846548213E-7</c:v>
                </c:pt>
                <c:pt idx="352">
                  <c:v>5.063438847738839E-7</c:v>
                </c:pt>
                <c:pt idx="353">
                  <c:v>5.063438847738839E-7</c:v>
                </c:pt>
                <c:pt idx="354">
                  <c:v>5.5542035307515685E-7</c:v>
                </c:pt>
                <c:pt idx="355">
                  <c:v>5.5542035307515685E-7</c:v>
                </c:pt>
                <c:pt idx="356">
                  <c:v>5.9273536740881296E-7</c:v>
                </c:pt>
                <c:pt idx="357">
                  <c:v>5.9273536740881296E-7</c:v>
                </c:pt>
                <c:pt idx="358">
                  <c:v>6.1919010120587953E-7</c:v>
                </c:pt>
                <c:pt idx="359">
                  <c:v>6.1919010120587953E-7</c:v>
                </c:pt>
                <c:pt idx="360">
                  <c:v>6.3662922489906861E-7</c:v>
                </c:pt>
                <c:pt idx="361">
                  <c:v>6.3662922489906861E-7</c:v>
                </c:pt>
                <c:pt idx="362">
                  <c:v>6.4723156598972789E-7</c:v>
                </c:pt>
                <c:pt idx="363">
                  <c:v>6.4723156598972789E-7</c:v>
                </c:pt>
                <c:pt idx="364">
                  <c:v>6.5301348299247647E-7</c:v>
                </c:pt>
                <c:pt idx="365">
                  <c:v>6.5301348299247647E-7</c:v>
                </c:pt>
                <c:pt idx="366">
                  <c:v>6.5551971431864729E-7</c:v>
                </c:pt>
                <c:pt idx="367">
                  <c:v>6.5551971431864729E-7</c:v>
                </c:pt>
                <c:pt idx="368">
                  <c:v>6.5568337916863821E-7</c:v>
                </c:pt>
                <c:pt idx="369">
                  <c:v>6.5568337916863821E-7</c:v>
                </c:pt>
                <c:pt idx="370">
                  <c:v>6.5378732073894662E-7</c:v>
                </c:pt>
                <c:pt idx="371">
                  <c:v>6.5378732073894662E-7</c:v>
                </c:pt>
                <c:pt idx="372">
                  <c:v>6.4946129479620131E-7</c:v>
                </c:pt>
                <c:pt idx="373">
                  <c:v>6.4946129479620131E-7</c:v>
                </c:pt>
                <c:pt idx="374">
                  <c:v>6.4168938449198465E-7</c:v>
                </c:pt>
                <c:pt idx="375">
                  <c:v>6.4168938449198465E-7</c:v>
                </c:pt>
                <c:pt idx="376">
                  <c:v>6.2885498629617058E-7</c:v>
                </c:pt>
                <c:pt idx="377">
                  <c:v>6.2885498629617058E-7</c:v>
                </c:pt>
                <c:pt idx="378">
                  <c:v>6.0888983467400336E-7</c:v>
                </c:pt>
                <c:pt idx="379">
                  <c:v>6.0888983467400336E-7</c:v>
                </c:pt>
                <c:pt idx="380">
                  <c:v>5.7959420364799457E-7</c:v>
                </c:pt>
                <c:pt idx="381">
                  <c:v>5.7959420364799457E-7</c:v>
                </c:pt>
                <c:pt idx="382">
                  <c:v>5.3914350763061964E-7</c:v>
                </c:pt>
                <c:pt idx="383">
                  <c:v>5.3914350763061964E-7</c:v>
                </c:pt>
                <c:pt idx="384">
                  <c:v>4.8670103655294044E-7</c:v>
                </c:pt>
                <c:pt idx="385">
                  <c:v>4.8670103655294044E-7</c:v>
                </c:pt>
                <c:pt idx="386">
                  <c:v>4.2295732071526193E-7</c:v>
                </c:pt>
                <c:pt idx="387">
                  <c:v>4.2295732071526193E-7</c:v>
                </c:pt>
                <c:pt idx="388">
                  <c:v>3.5037307225945615E-7</c:v>
                </c:pt>
                <c:pt idx="389">
                  <c:v>3.5037307225945615E-7</c:v>
                </c:pt>
                <c:pt idx="390">
                  <c:v>2.9250588143274215E-7</c:v>
                </c:pt>
                <c:pt idx="391">
                  <c:v>2.9250588143274215E-7</c:v>
                </c:pt>
                <c:pt idx="392">
                  <c:v>2.6760988033527156E-7</c:v>
                </c:pt>
                <c:pt idx="393">
                  <c:v>2.6760988033527156E-7</c:v>
                </c:pt>
                <c:pt idx="394">
                  <c:v>2.1436428400730317E-7</c:v>
                </c:pt>
                <c:pt idx="395">
                  <c:v>2.1436428400730317E-7</c:v>
                </c:pt>
                <c:pt idx="396">
                  <c:v>1.4643769901800585E-7</c:v>
                </c:pt>
                <c:pt idx="397">
                  <c:v>1.4643769901800585E-7</c:v>
                </c:pt>
                <c:pt idx="398">
                  <c:v>8.4795927139762303E-8</c:v>
                </c:pt>
                <c:pt idx="399">
                  <c:v>8.4795927139762303E-8</c:v>
                </c:pt>
                <c:pt idx="400">
                  <c:v>3.1465765109653332E-8</c:v>
                </c:pt>
                <c:pt idx="401">
                  <c:v>3.1465765109653332E-8</c:v>
                </c:pt>
                <c:pt idx="402">
                  <c:v>-1.2758566532125529E-8</c:v>
                </c:pt>
                <c:pt idx="403">
                  <c:v>-1.2758566532125529E-8</c:v>
                </c:pt>
                <c:pt idx="404">
                  <c:v>-4.8220027253041494E-8</c:v>
                </c:pt>
                <c:pt idx="405">
                  <c:v>-4.8220027253041494E-8</c:v>
                </c:pt>
                <c:pt idx="406">
                  <c:v>-7.6099510329533214E-8</c:v>
                </c:pt>
                <c:pt idx="407">
                  <c:v>-7.6099510329533214E-8</c:v>
                </c:pt>
                <c:pt idx="408">
                  <c:v>-9.8028874086045501E-8</c:v>
                </c:pt>
                <c:pt idx="409">
                  <c:v>-9.8028874086045501E-8</c:v>
                </c:pt>
                <c:pt idx="410">
                  <c:v>-1.1572888665822462E-7</c:v>
                </c:pt>
                <c:pt idx="411">
                  <c:v>-1.1572888665822462E-7</c:v>
                </c:pt>
                <c:pt idx="412">
                  <c:v>-1.3074624606240019E-7</c:v>
                </c:pt>
                <c:pt idx="413">
                  <c:v>-1.3074624606240019E-7</c:v>
                </c:pt>
                <c:pt idx="414">
                  <c:v>-1.4431379693645899E-7</c:v>
                </c:pt>
                <c:pt idx="415">
                  <c:v>-1.4431379693645899E-7</c:v>
                </c:pt>
                <c:pt idx="416">
                  <c:v>-1.573175722767324E-7</c:v>
                </c:pt>
                <c:pt idx="417">
                  <c:v>-1.573175722767324E-7</c:v>
                </c:pt>
                <c:pt idx="418">
                  <c:v>-1.7033374964705547E-7</c:v>
                </c:pt>
                <c:pt idx="419">
                  <c:v>-1.7033374964705547E-7</c:v>
                </c:pt>
                <c:pt idx="420">
                  <c:v>-1.8369709834449877E-7</c:v>
                </c:pt>
                <c:pt idx="421">
                  <c:v>-1.8369709834449877E-7</c:v>
                </c:pt>
                <c:pt idx="422">
                  <c:v>-1.9757248549617671E-7</c:v>
                </c:pt>
                <c:pt idx="423">
                  <c:v>-1.9757248549617671E-7</c:v>
                </c:pt>
                <c:pt idx="424">
                  <c:v>-2.1201414622895397E-7</c:v>
                </c:pt>
                <c:pt idx="425">
                  <c:v>-2.1201414622895397E-7</c:v>
                </c:pt>
                <c:pt idx="426">
                  <c:v>-2.2700813876405229E-7</c:v>
                </c:pt>
                <c:pt idx="427">
                  <c:v>-2.2700813876405229E-7</c:v>
                </c:pt>
                <c:pt idx="428">
                  <c:v>-2.4249970380461236E-7</c:v>
                </c:pt>
                <c:pt idx="429">
                  <c:v>-2.4249970380461236E-7</c:v>
                </c:pt>
                <c:pt idx="430">
                  <c:v>-2.5840963848041587E-7</c:v>
                </c:pt>
                <c:pt idx="431">
                  <c:v>-2.5840963848041587E-7</c:v>
                </c:pt>
                <c:pt idx="432">
                  <c:v>-2.7464377669166748E-7</c:v>
                </c:pt>
                <c:pt idx="433">
                  <c:v>-2.7464377669166748E-7</c:v>
                </c:pt>
                <c:pt idx="434">
                  <c:v>-2.9109864739310748E-7</c:v>
                </c:pt>
                <c:pt idx="435">
                  <c:v>-2.9109864739310748E-7</c:v>
                </c:pt>
                <c:pt idx="436">
                  <c:v>-3.0351920460428424E-7</c:v>
                </c:pt>
                <c:pt idx="437">
                  <c:v>-3.0351920460428424E-7</c:v>
                </c:pt>
                <c:pt idx="438">
                  <c:v>-3.2060756790141709E-7</c:v>
                </c:pt>
                <c:pt idx="439">
                  <c:v>-3.2060756790141709E-7</c:v>
                </c:pt>
                <c:pt idx="440">
                  <c:v>-3.4649154512501372E-7</c:v>
                </c:pt>
                <c:pt idx="441">
                  <c:v>-3.4649154512501372E-7</c:v>
                </c:pt>
                <c:pt idx="442">
                  <c:v>-3.7237045970444608E-7</c:v>
                </c:pt>
                <c:pt idx="443">
                  <c:v>-3.7237045970444608E-7</c:v>
                </c:pt>
                <c:pt idx="444">
                  <c:v>-3.9822743469521208E-7</c:v>
                </c:pt>
                <c:pt idx="445">
                  <c:v>-3.9822743469521208E-7</c:v>
                </c:pt>
                <c:pt idx="446">
                  <c:v>-4.2402107304646292E-7</c:v>
                </c:pt>
                <c:pt idx="447">
                  <c:v>-4.2402107304646292E-7</c:v>
                </c:pt>
                <c:pt idx="448">
                  <c:v>-4.4966531690809394E-7</c:v>
                </c:pt>
                <c:pt idx="449">
                  <c:v>-4.4966531690809394E-7</c:v>
                </c:pt>
                <c:pt idx="450">
                  <c:v>-4.7499223479648255E-7</c:v>
                </c:pt>
                <c:pt idx="451">
                  <c:v>-4.7499223479648255E-7</c:v>
                </c:pt>
                <c:pt idx="452">
                  <c:v>-4.9967670523609915E-7</c:v>
                </c:pt>
                <c:pt idx="453">
                  <c:v>-4.9967670523609915E-7</c:v>
                </c:pt>
                <c:pt idx="454">
                  <c:v>-5.2306654378177286E-7</c:v>
                </c:pt>
                <c:pt idx="455">
                  <c:v>-5.2306654378177286E-7</c:v>
                </c:pt>
                <c:pt idx="456">
                  <c:v>-5.4373712012868035E-7</c:v>
                </c:pt>
                <c:pt idx="457">
                  <c:v>-5.4373712012868035E-7</c:v>
                </c:pt>
                <c:pt idx="458">
                  <c:v>-5.5802570002786065E-7</c:v>
                </c:pt>
                <c:pt idx="459">
                  <c:v>-5.5802570002786065E-7</c:v>
                </c:pt>
                <c:pt idx="460">
                  <c:v>-5.6000000000000014E-7</c:v>
                </c:pt>
                <c:pt idx="461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3.5249583508739912E-2</c:v>
                </c:pt>
                <c:pt idx="1">
                  <c:v>3.2867365277738002E-2</c:v>
                </c:pt>
                <c:pt idx="2">
                  <c:v>3.0601113792775043E-2</c:v>
                </c:pt>
                <c:pt idx="3">
                  <c:v>2.8454922643598154E-2</c:v>
                </c:pt>
                <c:pt idx="4">
                  <c:v>2.6435917782248904E-2</c:v>
                </c:pt>
                <c:pt idx="5">
                  <c:v>2.4552880305353134E-2</c:v>
                </c:pt>
                <c:pt idx="6">
                  <c:v>2.2814281469735225E-2</c:v>
                </c:pt>
                <c:pt idx="7">
                  <c:v>2.1227407282160424E-2</c:v>
                </c:pt>
                <c:pt idx="8">
                  <c:v>1.9798464797008804E-2</c:v>
                </c:pt>
                <c:pt idx="9">
                  <c:v>1.8533774368115818E-2</c:v>
                </c:pt>
                <c:pt idx="10">
                  <c:v>1.7436134077671861E-2</c:v>
                </c:pt>
                <c:pt idx="11">
                  <c:v>1.6511025614675313E-2</c:v>
                </c:pt>
                <c:pt idx="12">
                  <c:v>1.5762107690110976E-2</c:v>
                </c:pt>
                <c:pt idx="13">
                  <c:v>1.5192351345676624E-2</c:v>
                </c:pt>
                <c:pt idx="14">
                  <c:v>1.4803976641903189E-2</c:v>
                </c:pt>
                <c:pt idx="15">
                  <c:v>1.4598392449294126E-2</c:v>
                </c:pt>
                <c:pt idx="16">
                  <c:v>1.4576140294296817E-2</c:v>
                </c:pt>
                <c:pt idx="17">
                  <c:v>1.4736843209845148E-2</c:v>
                </c:pt>
                <c:pt idx="18">
                  <c:v>1.5079160517586707E-2</c:v>
                </c:pt>
                <c:pt idx="19">
                  <c:v>1.560074942592813E-2</c:v>
                </c:pt>
                <c:pt idx="20">
                  <c:v>1.6298234264769163E-2</c:v>
                </c:pt>
                <c:pt idx="21">
                  <c:v>1.7167184093342124E-2</c:v>
                </c:pt>
                <c:pt idx="22">
                  <c:v>1.8202099316082174E-2</c:v>
                </c:pt>
                <c:pt idx="23">
                  <c:v>1.9396407820260447E-2</c:v>
                </c:pt>
                <c:pt idx="24">
                  <c:v>2.0743819834976567E-2</c:v>
                </c:pt>
                <c:pt idx="25">
                  <c:v>2.2233099327480237E-2</c:v>
                </c:pt>
                <c:pt idx="26">
                  <c:v>2.3855700862093245E-2</c:v>
                </c:pt>
                <c:pt idx="27">
                  <c:v>2.5600926588680108E-2</c:v>
                </c:pt>
                <c:pt idx="28">
                  <c:v>2.7457137950977008E-2</c:v>
                </c:pt>
                <c:pt idx="29">
                  <c:v>2.9411811802782569E-2</c:v>
                </c:pt>
                <c:pt idx="30">
                  <c:v>3.145160562250017E-2</c:v>
                </c:pt>
                <c:pt idx="31">
                  <c:v>3.3562431230765015E-2</c:v>
                </c:pt>
                <c:pt idx="32">
                  <c:v>3.5729536271271768E-2</c:v>
                </c:pt>
                <c:pt idx="33">
                  <c:v>3.793759268474433E-2</c:v>
                </c:pt>
                <c:pt idx="34">
                  <c:v>4.0170791325679682E-2</c:v>
                </c:pt>
                <c:pt idx="35">
                  <c:v>4.2412941817391275E-2</c:v>
                </c:pt>
                <c:pt idx="36">
                  <c:v>4.4647576783553911E-2</c:v>
                </c:pt>
                <c:pt idx="37">
                  <c:v>4.6858059564592755E-2</c:v>
                </c:pt>
                <c:pt idx="38">
                  <c:v>4.9027694558372102E-2</c:v>
                </c:pt>
                <c:pt idx="39">
                  <c:v>5.1139839418384708E-2</c:v>
                </c:pt>
                <c:pt idx="40">
                  <c:v>5.317801838135388E-2</c:v>
                </c:pt>
                <c:pt idx="41">
                  <c:v>5.5126036060550658E-2</c:v>
                </c:pt>
                <c:pt idx="42">
                  <c:v>5.6968091172942603E-2</c:v>
                </c:pt>
                <c:pt idx="43">
                  <c:v>5.8688889720290703E-2</c:v>
                </c:pt>
                <c:pt idx="44">
                  <c:v>6.0273757219724548E-2</c:v>
                </c:pt>
                <c:pt idx="45">
                  <c:v>6.1707575179835009E-2</c:v>
                </c:pt>
                <c:pt idx="46">
                  <c:v>6.2979910718647239E-2</c:v>
                </c:pt>
                <c:pt idx="47">
                  <c:v>6.4077091558579741E-2</c:v>
                </c:pt>
                <c:pt idx="48">
                  <c:v>6.4988013965443431E-2</c:v>
                </c:pt>
                <c:pt idx="49">
                  <c:v>6.5702731792160393E-2</c:v>
                </c:pt>
                <c:pt idx="50">
                  <c:v>6.6212557766667082E-2</c:v>
                </c:pt>
                <c:pt idx="51">
                  <c:v>6.6510162025311889E-2</c:v>
                </c:pt>
                <c:pt idx="52">
                  <c:v>6.6589667411631956E-2</c:v>
                </c:pt>
                <c:pt idx="53">
                  <c:v>6.6446740906257615E-2</c:v>
                </c:pt>
                <c:pt idx="54">
                  <c:v>6.607868033934361E-2</c:v>
                </c:pt>
                <c:pt idx="55">
                  <c:v>6.5484495303767404E-2</c:v>
                </c:pt>
                <c:pt idx="56">
                  <c:v>6.4664980908876971E-2</c:v>
                </c:pt>
                <c:pt idx="57">
                  <c:v>6.362278272656624E-2</c:v>
                </c:pt>
                <c:pt idx="58">
                  <c:v>6.2362450954140475E-2</c:v>
                </c:pt>
                <c:pt idx="59">
                  <c:v>6.0890481515226393E-2</c:v>
                </c:pt>
                <c:pt idx="60">
                  <c:v>5.9213562395595137E-2</c:v>
                </c:pt>
                <c:pt idx="61">
                  <c:v>5.7345480068780263E-2</c:v>
                </c:pt>
                <c:pt idx="62">
                  <c:v>5.5297116319892071E-2</c:v>
                </c:pt>
                <c:pt idx="63">
                  <c:v>5.3082803694931083E-2</c:v>
                </c:pt>
                <c:pt idx="64">
                  <c:v>5.0718731769663315E-2</c:v>
                </c:pt>
                <c:pt idx="65">
                  <c:v>4.8222849199718407E-2</c:v>
                </c:pt>
                <c:pt idx="66">
                  <c:v>4.5614732175887171E-2</c:v>
                </c:pt>
                <c:pt idx="67">
                  <c:v>4.2915417125042099E-2</c:v>
                </c:pt>
                <c:pt idx="68">
                  <c:v>4.0147196170828153E-2</c:v>
                </c:pt>
                <c:pt idx="69">
                  <c:v>3.7333374832356755E-2</c:v>
                </c:pt>
                <c:pt idx="70">
                  <c:v>3.4497992632621217E-2</c:v>
                </c:pt>
                <c:pt idx="71">
                  <c:v>3.1665508627993333E-2</c:v>
                </c:pt>
                <c:pt idx="72">
                  <c:v>2.8860455397926862E-2</c:v>
                </c:pt>
                <c:pt idx="73">
                  <c:v>2.6107066693430062E-2</c:v>
                </c:pt>
                <c:pt idx="74">
                  <c:v>2.3428885564780001E-2</c:v>
                </c:pt>
                <c:pt idx="75">
                  <c:v>2.0848361460760072E-2</c:v>
                </c:pt>
                <c:pt idx="76">
                  <c:v>1.8386446161513276E-2</c:v>
                </c:pt>
                <c:pt idx="77">
                  <c:v>1.6062199663485155E-2</c:v>
                </c:pt>
                <c:pt idx="78">
                  <c:v>1.3892417887003804E-2</c:v>
                </c:pt>
                <c:pt idx="79">
                  <c:v>1.1891294459382817E-2</c:v>
                </c:pt>
                <c:pt idx="80">
                  <c:v>1.0070128667079618E-2</c:v>
                </c:pt>
                <c:pt idx="81">
                  <c:v>8.4370908717772905E-3</c:v>
                </c:pt>
                <c:pt idx="82">
                  <c:v>6.9970554162974491E-3</c:v>
                </c:pt>
                <c:pt idx="83">
                  <c:v>5.7515091644979241E-3</c:v>
                </c:pt>
                <c:pt idx="84">
                  <c:v>4.6985415054221534E-3</c:v>
                </c:pt>
                <c:pt idx="85">
                  <c:v>3.8329189700200056E-3</c:v>
                </c:pt>
                <c:pt idx="86">
                  <c:v>3.1462447206356899E-3</c:v>
                </c:pt>
                <c:pt idx="87">
                  <c:v>2.6272002017824546E-3</c:v>
                </c:pt>
                <c:pt idx="88">
                  <c:v>2.2618633552957614E-3</c:v>
                </c:pt>
                <c:pt idx="89">
                  <c:v>2.0340951375919228E-3</c:v>
                </c:pt>
                <c:pt idx="90">
                  <c:v>1.9259837559821877E-3</c:v>
                </c:pt>
                <c:pt idx="91">
                  <c:v>1.918334135920678E-3</c:v>
                </c:pt>
                <c:pt idx="92">
                  <c:v>1.9911887159335048E-3</c:v>
                </c:pt>
                <c:pt idx="93">
                  <c:v>2.1243647365840677E-3</c:v>
                </c:pt>
                <c:pt idx="94">
                  <c:v>2.2979927331343085E-3</c:v>
                </c:pt>
                <c:pt idx="95">
                  <c:v>2.4930409157520122E-3</c:v>
                </c:pt>
                <c:pt idx="96">
                  <c:v>2.6918104661782468E-3</c:v>
                </c:pt>
                <c:pt idx="97">
                  <c:v>2.878387437141792E-3</c:v>
                </c:pt>
                <c:pt idx="98">
                  <c:v>3.0390378522661757E-3</c:v>
                </c:pt>
                <c:pt idx="99">
                  <c:v>3.1625609983720539E-3</c:v>
                </c:pt>
                <c:pt idx="100">
                  <c:v>3.2404971443697993E-3</c:v>
                </c:pt>
                <c:pt idx="101">
                  <c:v>3.2672273660863871E-3</c:v>
                </c:pt>
                <c:pt idx="102">
                  <c:v>3.240151146448907E-3</c:v>
                </c:pt>
                <c:pt idx="103">
                  <c:v>3.1595960878514078E-3</c:v>
                </c:pt>
                <c:pt idx="104">
                  <c:v>3.0286718027080282E-3</c:v>
                </c:pt>
                <c:pt idx="105">
                  <c:v>2.8530200784096715E-3</c:v>
                </c:pt>
                <c:pt idx="106">
                  <c:v>2.6404656756291614E-3</c:v>
                </c:pt>
                <c:pt idx="107">
                  <c:v>2.4005763128979109E-3</c:v>
                </c:pt>
                <c:pt idx="108">
                  <c:v>2.1441449888581518E-3</c:v>
                </c:pt>
                <c:pt idx="109">
                  <c:v>1.8826126048344712E-3</c:v>
                </c:pt>
                <c:pt idx="110">
                  <c:v>1.6274535912262982E-3</c:v>
                </c:pt>
                <c:pt idx="111">
                  <c:v>1.3895515436610883E-3</c:v>
                </c:pt>
                <c:pt idx="112">
                  <c:v>1.1785952932971714E-3</c:v>
                </c:pt>
                <c:pt idx="113">
                  <c:v>1.002527919785555E-3</c:v>
                </c:pt>
                <c:pt idx="114">
                  <c:v>8.6708151715706404E-4</c:v>
                </c:pt>
                <c:pt idx="115">
                  <c:v>7.7542869699619512E-4</c:v>
                </c:pt>
                <c:pt idx="116">
                  <c:v>7.2797764411426614E-4</c:v>
                </c:pt>
                <c:pt idx="117">
                  <c:v>7.2220373259733949E-4</c:v>
                </c:pt>
                <c:pt idx="118">
                  <c:v>7.5335905057842545E-4</c:v>
                </c:pt>
                <c:pt idx="119">
                  <c:v>8.1381335153696722E-4</c:v>
                </c:pt>
                <c:pt idx="120">
                  <c:v>8.9425153338013844E-4</c:v>
                </c:pt>
                <c:pt idx="121">
                  <c:v>9.8409678843263651E-4</c:v>
                </c:pt>
                <c:pt idx="122">
                  <c:v>1.072241363943658E-3</c:v>
                </c:pt>
                <c:pt idx="123">
                  <c:v>1.1478431953966556E-3</c:v>
                </c:pt>
                <c:pt idx="124">
                  <c:v>1.2011365044244198E-3</c:v>
                </c:pt>
                <c:pt idx="125">
                  <c:v>1.2241994335334507E-3</c:v>
                </c:pt>
                <c:pt idx="126">
                  <c:v>1.2116203050572373E-3</c:v>
                </c:pt>
                <c:pt idx="127">
                  <c:v>1.1610066118806846E-3</c:v>
                </c:pt>
                <c:pt idx="128">
                  <c:v>1.0732876784040845E-3</c:v>
                </c:pt>
                <c:pt idx="129">
                  <c:v>9.5277316969595691E-4</c:v>
                </c:pt>
                <c:pt idx="130">
                  <c:v>8.0694510674233415E-4</c:v>
                </c:pt>
                <c:pt idx="131">
                  <c:v>6.4598024871406236E-4</c:v>
                </c:pt>
                <c:pt idx="132">
                  <c:v>4.8202167755688854E-4</c:v>
                </c:pt>
                <c:pt idx="133">
                  <c:v>3.2824170072001983E-4</c:v>
                </c:pt>
                <c:pt idx="134">
                  <c:v>1.9776080080105142E-4</c:v>
                </c:pt>
                <c:pt idx="135">
                  <c:v>1.0250690313770442E-4</c:v>
                </c:pt>
                <c:pt idx="136">
                  <c:v>5.211308998577335E-5</c:v>
                </c:pt>
                <c:pt idx="137">
                  <c:v>5.2957590547946883E-5</c:v>
                </c:pt>
                <c:pt idx="138">
                  <c:v>1.074454890204996E-4</c:v>
                </c:pt>
                <c:pt idx="139">
                  <c:v>2.1361618507835834E-4</c:v>
                </c:pt>
                <c:pt idx="140">
                  <c:v>3.6513460315911876E-4</c:v>
                </c:pt>
                <c:pt idx="141">
                  <c:v>5.5168934141077753E-4</c:v>
                </c:pt>
                <c:pt idx="142">
                  <c:v>7.5978062503013241E-4</c:v>
                </c:pt>
                <c:pt idx="143">
                  <c:v>9.7383935060457564E-4</c:v>
                </c:pt>
                <c:pt idx="144">
                  <c:v>1.1775804362926189E-3</c:v>
                </c:pt>
                <c:pt idx="145">
                  <c:v>1.3554637460724817E-3</c:v>
                </c:pt>
                <c:pt idx="146">
                  <c:v>1.4941179321339209E-3</c:v>
                </c:pt>
                <c:pt idx="147">
                  <c:v>1.5835793662013434E-3</c:v>
                </c:pt>
                <c:pt idx="148">
                  <c:v>1.6182111667710347E-3</c:v>
                </c:pt>
                <c:pt idx="149">
                  <c:v>1.5971958492452061E-3</c:v>
                </c:pt>
                <c:pt idx="150">
                  <c:v>1.5245373649580654E-3</c:v>
                </c:pt>
                <c:pt idx="151">
                  <c:v>1.4085606745082744E-3</c:v>
                </c:pt>
                <c:pt idx="152">
                  <c:v>1.2609544162236128E-3</c:v>
                </c:pt>
                <c:pt idx="153">
                  <c:v>1.0954582724299676E-3</c:v>
                </c:pt>
                <c:pt idx="154">
                  <c:v>9.2634406384663919E-4</c:v>
                </c:pt>
                <c:pt idx="155">
                  <c:v>7.668711532635424E-4</c:v>
                </c:pt>
                <c:pt idx="156">
                  <c:v>6.2790628186185765E-4</c:v>
                </c:pt>
                <c:pt idx="157">
                  <c:v>5.1688180106476851E-4</c:v>
                </c:pt>
                <c:pt idx="158">
                  <c:v>4.3722433777147979E-4</c:v>
                </c:pt>
                <c:pt idx="159">
                  <c:v>3.8832250568748502E-4</c:v>
                </c:pt>
                <c:pt idx="160">
                  <c:v>3.6602578918418563E-4</c:v>
                </c:pt>
                <c:pt idx="161">
                  <c:v>3.6358872196157194E-4</c:v>
                </c:pt>
                <c:pt idx="162">
                  <c:v>3.7290771573771179E-4</c:v>
                </c:pt>
                <c:pt idx="163">
                  <c:v>3.8585402145198248E-4</c:v>
                </c:pt>
                <c:pt idx="164">
                  <c:v>3.9549364767864581E-4</c:v>
                </c:pt>
                <c:pt idx="165">
                  <c:v>3.9700690346288815E-4</c:v>
                </c:pt>
                <c:pt idx="166">
                  <c:v>3.8817397714366043E-4</c:v>
                </c:pt>
                <c:pt idx="167">
                  <c:v>3.6937025063657892E-4</c:v>
                </c:pt>
                <c:pt idx="168">
                  <c:v>3.4310285486805365E-4</c:v>
                </c:pt>
                <c:pt idx="169">
                  <c:v>3.1320255641336753E-4</c:v>
                </c:pt>
                <c:pt idx="170">
                  <c:v>2.838466214252642E-4</c:v>
                </c:pt>
                <c:pt idx="171">
                  <c:v>2.5861599712529121E-4</c:v>
                </c:pt>
                <c:pt idx="172">
                  <c:v>2.397770603811845E-4</c:v>
                </c:pt>
                <c:pt idx="173">
                  <c:v>2.2792545582679883E-4</c:v>
                </c:pt>
                <c:pt idx="174">
                  <c:v>2.2204705659217575E-4</c:v>
                </c:pt>
                <c:pt idx="175">
                  <c:v>2.1995608696899518E-4</c:v>
                </c:pt>
                <c:pt idx="176">
                  <c:v>2.1898423035005403E-4</c:v>
                </c:pt>
                <c:pt idx="177">
                  <c:v>2.1673763306101138E-4</c:v>
                </c:pt>
                <c:pt idx="178">
                  <c:v>2.1172577461050495E-4</c:v>
                </c:pt>
                <c:pt idx="179">
                  <c:v>2.0370190578334393E-4</c:v>
                </c:pt>
                <c:pt idx="180">
                  <c:v>1.9363191574958276E-4</c:v>
                </c:pt>
                <c:pt idx="181">
                  <c:v>1.8330877539086022E-4</c:v>
                </c:pt>
                <c:pt idx="182">
                  <c:v>1.7472756850790534E-4</c:v>
                </c:pt>
                <c:pt idx="183">
                  <c:v>1.6940491289931398E-4</c:v>
                </c:pt>
                <c:pt idx="184">
                  <c:v>1.6784570464452756E-4</c:v>
                </c:pt>
                <c:pt idx="185">
                  <c:v>1.693214536456064E-4</c:v>
                </c:pt>
                <c:pt idx="186">
                  <c:v>1.7203592463605719E-4</c:v>
                </c:pt>
                <c:pt idx="187">
                  <c:v>1.7363858243211693E-4</c:v>
                </c:pt>
                <c:pt idx="188">
                  <c:v>1.719375237783471E-4</c:v>
                </c:pt>
                <c:pt idx="189">
                  <c:v>1.6559488631890412E-4</c:v>
                </c:pt>
                <c:pt idx="190">
                  <c:v>1.5458315879370778E-4</c:v>
                </c:pt>
                <c:pt idx="191">
                  <c:v>1.402462110543885E-4</c:v>
                </c:pt>
                <c:pt idx="192">
                  <c:v>1.2492829587299264E-4</c:v>
                </c:pt>
                <c:pt idx="193">
                  <c:v>1.1127302434836849E-4</c:v>
                </c:pt>
                <c:pt idx="194">
                  <c:v>1.0140823737948831E-4</c:v>
                </c:pt>
                <c:pt idx="195">
                  <c:v>9.6281842766002975E-5</c:v>
                </c:pt>
                <c:pt idx="196">
                  <c:v>9.5376268894179373E-5</c:v>
                </c:pt>
                <c:pt idx="197">
                  <c:v>9.691108490945228E-5</c:v>
                </c:pt>
                <c:pt idx="198">
                  <c:v>9.8479157356874089E-5</c:v>
                </c:pt>
                <c:pt idx="199">
                  <c:v>9.7905704836868062E-5</c:v>
                </c:pt>
                <c:pt idx="200">
                  <c:v>9.4028386759871716E-5</c:v>
                </c:pt>
                <c:pt idx="201">
                  <c:v>8.7108859123466914E-5</c:v>
                </c:pt>
                <c:pt idx="202">
                  <c:v>7.8706763277469456E-5</c:v>
                </c:pt>
                <c:pt idx="203">
                  <c:v>7.1040887953950058E-5</c:v>
                </c:pt>
                <c:pt idx="204">
                  <c:v>6.6062796239629344E-5</c:v>
                </c:pt>
                <c:pt idx="205">
                  <c:v>6.4598767003284596E-5</c:v>
                </c:pt>
                <c:pt idx="206">
                  <c:v>6.5917623169093584E-5</c:v>
                </c:pt>
                <c:pt idx="207">
                  <c:v>6.7939672071710554E-5</c:v>
                </c:pt>
                <c:pt idx="208">
                  <c:v>6.8056400032145349E-5</c:v>
                </c:pt>
                <c:pt idx="209">
                  <c:v>6.4270362864110537E-5</c:v>
                </c:pt>
                <c:pt idx="210">
                  <c:v>5.6196851938557598E-5</c:v>
                </c:pt>
                <c:pt idx="211">
                  <c:v>4.5476546527981728E-5</c:v>
                </c:pt>
                <c:pt idx="212">
                  <c:v>3.5351512636853107E-5</c:v>
                </c:pt>
                <c:pt idx="213">
                  <c:v>2.9493340141093914E-5</c:v>
                </c:pt>
                <c:pt idx="214">
                  <c:v>3.0510981658377102E-5</c:v>
                </c:pt>
                <c:pt idx="215">
                  <c:v>3.8754689667589844E-5</c:v>
                </c:pt>
                <c:pt idx="216">
                  <c:v>5.1964763434522271E-5</c:v>
                </c:pt>
                <c:pt idx="217">
                  <c:v>6.5987659569544086E-5</c:v>
                </c:pt>
                <c:pt idx="218">
                  <c:v>7.6319216074248973E-5</c:v>
                </c:pt>
                <c:pt idx="219">
                  <c:v>7.9841003383203111E-5</c:v>
                </c:pt>
                <c:pt idx="220">
                  <c:v>7.5989856643757998E-5</c:v>
                </c:pt>
                <c:pt idx="221">
                  <c:v>6.6830637738472636E-5</c:v>
                </c:pt>
                <c:pt idx="222">
                  <c:v>5.6003830725039796E-5</c:v>
                </c:pt>
                <c:pt idx="223">
                  <c:v>4.7059205286138455E-5</c:v>
                </c:pt>
                <c:pt idx="224">
                  <c:v>4.197202567770776E-5</c:v>
                </c:pt>
                <c:pt idx="225">
                  <c:v>4.0569738611417461E-5</c:v>
                </c:pt>
                <c:pt idx="226">
                  <c:v>4.1034382626190694E-5</c:v>
                </c:pt>
                <c:pt idx="227">
                  <c:v>4.1166179209972659E-5</c:v>
                </c:pt>
                <c:pt idx="228">
                  <c:v>3.9642123771935867E-5</c:v>
                </c:pt>
                <c:pt idx="229">
                  <c:v>3.659031077771123E-5</c:v>
                </c:pt>
                <c:pt idx="230">
                  <c:v>3.3236596913574855E-5</c:v>
                </c:pt>
                <c:pt idx="231">
                  <c:v>3.0936169155293075E-5</c:v>
                </c:pt>
                <c:pt idx="232">
                  <c:v>3.0237278704286143E-5</c:v>
                </c:pt>
                <c:pt idx="233">
                  <c:v>3.0548220765109128E-5</c:v>
                </c:pt>
                <c:pt idx="234">
                  <c:v>3.0564023158615902E-5</c:v>
                </c:pt>
                <c:pt idx="235">
                  <c:v>2.9133081611611539E-5</c:v>
                </c:pt>
                <c:pt idx="236">
                  <c:v>2.5999951507722426E-5</c:v>
                </c:pt>
                <c:pt idx="237">
                  <c:v>2.1975286923248763E-5</c:v>
                </c:pt>
                <c:pt idx="238">
                  <c:v>1.8457184052664341E-5</c:v>
                </c:pt>
                <c:pt idx="239">
                  <c:v>1.6619146400518598E-5</c:v>
                </c:pt>
                <c:pt idx="240">
                  <c:v>1.6761664637172028E-5</c:v>
                </c:pt>
                <c:pt idx="241">
                  <c:v>1.820489672827504E-5</c:v>
                </c:pt>
                <c:pt idx="242">
                  <c:v>1.9757908295461305E-5</c:v>
                </c:pt>
                <c:pt idx="243">
                  <c:v>2.0440589138878819E-5</c:v>
                </c:pt>
                <c:pt idx="244">
                  <c:v>1.998494068241115E-5</c:v>
                </c:pt>
                <c:pt idx="245">
                  <c:v>1.8814583164593485E-5</c:v>
                </c:pt>
                <c:pt idx="246">
                  <c:v>1.7587811204492844E-5</c:v>
                </c:pt>
                <c:pt idx="247">
                  <c:v>1.6700765632461045E-5</c:v>
                </c:pt>
                <c:pt idx="248">
                  <c:v>1.612551043136208E-5</c:v>
                </c:pt>
                <c:pt idx="249">
                  <c:v>1.5622978694589669E-5</c:v>
                </c:pt>
                <c:pt idx="250">
                  <c:v>1.5040456307659587E-5</c:v>
                </c:pt>
                <c:pt idx="251">
                  <c:v>1.4396566557822581E-5</c:v>
                </c:pt>
                <c:pt idx="252">
                  <c:v>1.3750583453510336E-5</c:v>
                </c:pt>
                <c:pt idx="253">
                  <c:v>1.3093436611702531E-5</c:v>
                </c:pt>
                <c:pt idx="254">
                  <c:v>1.2409450260525076E-5</c:v>
                </c:pt>
                <c:pt idx="255">
                  <c:v>1.178435315742169E-5</c:v>
                </c:pt>
                <c:pt idx="256">
                  <c:v>1.1358835817660719E-5</c:v>
                </c:pt>
                <c:pt idx="257">
                  <c:v>1.1154510736710718E-5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7.4274859315668013E-3</c:v>
                  </c:pt>
                  <c:pt idx="1">
                    <c:v>7.5959651868935992E-3</c:v>
                  </c:pt>
                  <c:pt idx="2">
                    <c:v>7.4369875299059992E-3</c:v>
                  </c:pt>
                  <c:pt idx="3">
                    <c:v>6.49463946483E-3</c:v>
                  </c:pt>
                  <c:pt idx="4">
                    <c:v>6.5633377576932005E-3</c:v>
                  </c:pt>
                  <c:pt idx="5">
                    <c:v>6.0682306646280002E-3</c:v>
                  </c:pt>
                  <c:pt idx="6">
                    <c:v>5.2771238179308002E-3</c:v>
                  </c:pt>
                  <c:pt idx="7">
                    <c:v>5.4050268398676002E-3</c:v>
                  </c:pt>
                  <c:pt idx="8">
                    <c:v>4.9557221688612003E-3</c:v>
                  </c:pt>
                  <c:pt idx="9">
                    <c:v>4.6213287789636003E-3</c:v>
                  </c:pt>
                  <c:pt idx="10">
                    <c:v>4.6217010997080003E-3</c:v>
                  </c:pt>
                  <c:pt idx="11">
                    <c:v>4.1535891952500011E-3</c:v>
                  </c:pt>
                  <c:pt idx="12">
                    <c:v>4.0140502763328003E-3</c:v>
                  </c:pt>
                  <c:pt idx="13">
                    <c:v>3.7197218614644003E-3</c:v>
                  </c:pt>
                  <c:pt idx="14">
                    <c:v>3.6726898242539999E-3</c:v>
                  </c:pt>
                  <c:pt idx="15">
                    <c:v>3.3644338854984003E-3</c:v>
                  </c:pt>
                  <c:pt idx="16">
                    <c:v>3.3502869392256001E-3</c:v>
                  </c:pt>
                  <c:pt idx="17">
                    <c:v>3.0390549486131999E-3</c:v>
                  </c:pt>
                  <c:pt idx="18">
                    <c:v>2.6179651179528002E-3</c:v>
                  </c:pt>
                  <c:pt idx="19">
                    <c:v>2.6163008591147999E-3</c:v>
                  </c:pt>
                  <c:pt idx="20">
                    <c:v>2.8456713228240003E-3</c:v>
                  </c:pt>
                  <c:pt idx="21">
                    <c:v>4.0953102965016006E-3</c:v>
                  </c:pt>
                  <c:pt idx="22">
                    <c:v>5.8244372009604011E-3</c:v>
                  </c:pt>
                  <c:pt idx="23">
                    <c:v>3.9838793786220001E-3</c:v>
                  </c:pt>
                  <c:pt idx="24">
                    <c:v>4.2246606704675997E-3</c:v>
                  </c:pt>
                  <c:pt idx="25">
                    <c:v>3.7837359621996003E-3</c:v>
                  </c:pt>
                  <c:pt idx="26">
                    <c:v>3.9764580367247998E-3</c:v>
                  </c:pt>
                  <c:pt idx="27">
                    <c:v>3.7599504870443998E-3</c:v>
                  </c:pt>
                  <c:pt idx="28">
                    <c:v>3.5250458119932002E-3</c:v>
                  </c:pt>
                  <c:pt idx="29">
                    <c:v>3.5929878310656006E-3</c:v>
                  </c:pt>
                  <c:pt idx="30">
                    <c:v>3.2895725657652E-3</c:v>
                  </c:pt>
                  <c:pt idx="31">
                    <c:v>2.8789332402204002E-3</c:v>
                  </c:pt>
                  <c:pt idx="32">
                    <c:v>3.2485085510196004E-3</c:v>
                  </c:pt>
                  <c:pt idx="33">
                    <c:v>2.9914091504088E-3</c:v>
                  </c:pt>
                  <c:pt idx="34">
                    <c:v>2.8981705430304004E-3</c:v>
                  </c:pt>
                  <c:pt idx="35">
                    <c:v>2.7620461484352001E-3</c:v>
                  </c:pt>
                  <c:pt idx="36">
                    <c:v>2.8481577273996002E-3</c:v>
                  </c:pt>
                  <c:pt idx="37">
                    <c:v>2.7268417063932003E-3</c:v>
                  </c:pt>
                  <c:pt idx="38">
                    <c:v>2.7565383487092002E-3</c:v>
                  </c:pt>
                  <c:pt idx="39">
                    <c:v>2.7653465111580002E-3</c:v>
                  </c:pt>
                  <c:pt idx="40">
                    <c:v>2.6513781343104003E-3</c:v>
                  </c:pt>
                  <c:pt idx="41">
                    <c:v>2.7252518469528001E-3</c:v>
                  </c:pt>
                  <c:pt idx="42">
                    <c:v>6.0548762167344002E-3</c:v>
                  </c:pt>
                  <c:pt idx="43">
                    <c:v>6.1455933451308002E-3</c:v>
                  </c:pt>
                  <c:pt idx="44">
                    <c:v>6.4406042235480004E-3</c:v>
                  </c:pt>
                  <c:pt idx="45">
                    <c:v>6.9840274055244008E-3</c:v>
                  </c:pt>
                  <c:pt idx="46">
                    <c:v>6.2201573600496008E-3</c:v>
                  </c:pt>
                  <c:pt idx="47">
                    <c:v>5.9045463560292001E-3</c:v>
                  </c:pt>
                  <c:pt idx="48">
                    <c:v>6.4265389085700004E-3</c:v>
                  </c:pt>
                  <c:pt idx="49">
                    <c:v>5.8955039490071999E-3</c:v>
                  </c:pt>
                  <c:pt idx="50">
                    <c:v>5.61347580651E-3</c:v>
                  </c:pt>
                  <c:pt idx="51">
                    <c:v>6.280393207730401E-3</c:v>
                  </c:pt>
                  <c:pt idx="52">
                    <c:v>5.4881450022299999E-3</c:v>
                  </c:pt>
                  <c:pt idx="53">
                    <c:v>5.4984057614508005E-3</c:v>
                  </c:pt>
                  <c:pt idx="54">
                    <c:v>6.0519156692940002E-3</c:v>
                  </c:pt>
                  <c:pt idx="55">
                    <c:v>5.2239886188599994E-3</c:v>
                  </c:pt>
                  <c:pt idx="56">
                    <c:v>4.6897813806228003E-3</c:v>
                  </c:pt>
                  <c:pt idx="57">
                    <c:v>4.2523713481656001E-3</c:v>
                  </c:pt>
                  <c:pt idx="58">
                    <c:v>4.4062516783428003E-3</c:v>
                  </c:pt>
                  <c:pt idx="59">
                    <c:v>4.1563015600656001E-3</c:v>
                  </c:pt>
                  <c:pt idx="60">
                    <c:v>4.0899371616444002E-3</c:v>
                  </c:pt>
                  <c:pt idx="61">
                    <c:v>4.0018050063420005E-3</c:v>
                  </c:pt>
                  <c:pt idx="62">
                    <c:v>3.8524342147632003E-3</c:v>
                  </c:pt>
                  <c:pt idx="63">
                    <c:v>3.1546917151860001E-3</c:v>
                  </c:pt>
                  <c:pt idx="64">
                    <c:v>2.9901053389811997E-3</c:v>
                  </c:pt>
                  <c:pt idx="65">
                    <c:v>2.9022078808139998E-3</c:v>
                  </c:pt>
                  <c:pt idx="66">
                    <c:v>2.5257543174864003E-3</c:v>
                  </c:pt>
                  <c:pt idx="67">
                    <c:v>2.5515979958435999E-3</c:v>
                  </c:pt>
                  <c:pt idx="68">
                    <c:v>2.3358706420236E-3</c:v>
                  </c:pt>
                  <c:pt idx="69">
                    <c:v>2.11289062743E-3</c:v>
                  </c:pt>
                  <c:pt idx="70">
                    <c:v>2.0141564484228002E-3</c:v>
                  </c:pt>
                  <c:pt idx="71">
                    <c:v>1.6816032844247999E-3</c:v>
                  </c:pt>
                  <c:pt idx="72">
                    <c:v>1.6886601854364002E-3</c:v>
                  </c:pt>
                  <c:pt idx="73">
                    <c:v>1.6377518183136003E-3</c:v>
                  </c:pt>
                  <c:pt idx="74">
                    <c:v>1.6687869093060001E-3</c:v>
                  </c:pt>
                  <c:pt idx="75">
                    <c:v>1.4073927580943999E-3</c:v>
                  </c:pt>
                  <c:pt idx="76">
                    <c:v>1.31133625426188E-3</c:v>
                  </c:pt>
                  <c:pt idx="77">
                    <c:v>1.3308631102800002E-3</c:v>
                  </c:pt>
                  <c:pt idx="78">
                    <c:v>1.2009358136160001E-3</c:v>
                  </c:pt>
                  <c:pt idx="79">
                    <c:v>1.02818509829244E-3</c:v>
                  </c:pt>
                  <c:pt idx="80">
                    <c:v>1.0439643174206402E-3</c:v>
                  </c:pt>
                  <c:pt idx="81">
                    <c:v>9.1112772577860005E-4</c:v>
                  </c:pt>
                  <c:pt idx="82">
                    <c:v>8.1416714221391997E-4</c:v>
                  </c:pt>
                  <c:pt idx="83">
                    <c:v>7.0820058224387993E-4</c:v>
                  </c:pt>
                  <c:pt idx="84">
                    <c:v>7.6049687546316013E-4</c:v>
                  </c:pt>
                  <c:pt idx="85">
                    <c:v>6.3170741330928004E-4</c:v>
                  </c:pt>
                  <c:pt idx="86">
                    <c:v>6.1768899622452E-4</c:v>
                  </c:pt>
                  <c:pt idx="87">
                    <c:v>5.6350678162680004E-4</c:v>
                  </c:pt>
                  <c:pt idx="88">
                    <c:v>4.9145195980056006E-4</c:v>
                  </c:pt>
                  <c:pt idx="89">
                    <c:v>4.3108271229804E-4</c:v>
                  </c:pt>
                  <c:pt idx="90">
                    <c:v>3.8416162091735995E-4</c:v>
                  </c:pt>
                  <c:pt idx="91">
                    <c:v>4.3525115406696003E-4</c:v>
                  </c:pt>
                  <c:pt idx="92">
                    <c:v>3.5750132071236002E-4</c:v>
                  </c:pt>
                  <c:pt idx="93">
                    <c:v>3.4233556391364005E-4</c:v>
                  </c:pt>
                  <c:pt idx="94">
                    <c:v>3.4798129150224002E-4</c:v>
                  </c:pt>
                  <c:pt idx="95">
                    <c:v>3.4237182912768004E-4</c:v>
                  </c:pt>
                  <c:pt idx="96">
                    <c:v>3.0560138313012004E-4</c:v>
                  </c:pt>
                  <c:pt idx="97">
                    <c:v>2.9902513489199999E-4</c:v>
                  </c:pt>
                  <c:pt idx="98">
                    <c:v>2.9492624021388003E-4</c:v>
                  </c:pt>
                  <c:pt idx="99">
                    <c:v>2.9692400573483996E-4</c:v>
                  </c:pt>
                  <c:pt idx="100">
                    <c:v>3.2239223294123999E-4</c:v>
                  </c:pt>
                  <c:pt idx="101">
                    <c:v>2.7613117048440002E-4</c:v>
                  </c:pt>
                  <c:pt idx="102">
                    <c:v>2.6226277750199999E-4</c:v>
                  </c:pt>
                  <c:pt idx="103">
                    <c:v>2.5948714426668001E-4</c:v>
                  </c:pt>
                  <c:pt idx="104">
                    <c:v>2.7012682214892E-4</c:v>
                  </c:pt>
                  <c:pt idx="105">
                    <c:v>2.7482685308364001E-4</c:v>
                  </c:pt>
                  <c:pt idx="106">
                    <c:v>2.4358466210232E-4</c:v>
                  </c:pt>
                  <c:pt idx="107">
                    <c:v>2.6762891811084002E-4</c:v>
                  </c:pt>
                  <c:pt idx="108">
                    <c:v>2.2605815392380004E-4</c:v>
                  </c:pt>
                  <c:pt idx="109">
                    <c:v>2.5283720747076003E-4</c:v>
                  </c:pt>
                  <c:pt idx="110">
                    <c:v>2.2134252791772003E-4</c:v>
                  </c:pt>
                  <c:pt idx="111">
                    <c:v>2.164571924856E-4</c:v>
                  </c:pt>
                  <c:pt idx="112">
                    <c:v>2.1894971873279999E-4</c:v>
                  </c:pt>
                  <c:pt idx="113">
                    <c:v>2.2451015393927997E-4</c:v>
                  </c:pt>
                  <c:pt idx="114">
                    <c:v>2.0988348120563999E-4</c:v>
                  </c:pt>
                  <c:pt idx="115">
                    <c:v>1.8267257491296003E-4</c:v>
                  </c:pt>
                  <c:pt idx="116">
                    <c:v>1.9198380004848E-4</c:v>
                  </c:pt>
                  <c:pt idx="117">
                    <c:v>1.6946790734676E-4</c:v>
                  </c:pt>
                  <c:pt idx="118">
                    <c:v>1.4930509418088002E-4</c:v>
                  </c:pt>
                  <c:pt idx="119">
                    <c:v>1.5212353837164001E-4</c:v>
                  </c:pt>
                  <c:pt idx="120">
                    <c:v>7.2967504002888003E-5</c:v>
                  </c:pt>
                  <c:pt idx="121">
                    <c:v>7.2034944495756001E-5</c:v>
                  </c:pt>
                  <c:pt idx="122">
                    <c:v>6.2499818546615999E-5</c:v>
                  </c:pt>
                  <c:pt idx="123">
                    <c:v>5.6265648446832001E-5</c:v>
                  </c:pt>
                  <c:pt idx="124">
                    <c:v>6.0245747975556001E-5</c:v>
                  </c:pt>
                  <c:pt idx="125">
                    <c:v>5.7503863079124006E-5</c:v>
                  </c:pt>
                  <c:pt idx="126">
                    <c:v>5.9678379534708003E-5</c:v>
                  </c:pt>
                  <c:pt idx="127">
                    <c:v>5.2084248838379994E-5</c:v>
                  </c:pt>
                  <c:pt idx="128">
                    <c:v>4.8417272533872003E-5</c:v>
                  </c:pt>
                  <c:pt idx="129">
                    <c:v>4.7204561183604012E-5</c:v>
                  </c:pt>
                  <c:pt idx="130">
                    <c:v>4.4281166537783989E-5</c:v>
                  </c:pt>
                  <c:pt idx="131">
                    <c:v>4.8582446620224002E-5</c:v>
                  </c:pt>
                  <c:pt idx="132">
                    <c:v>4.0450350943464001E-5</c:v>
                  </c:pt>
                  <c:pt idx="133">
                    <c:v>4.4712985434876001E-5</c:v>
                  </c:pt>
                  <c:pt idx="134">
                    <c:v>4.4534614897740002E-5</c:v>
                  </c:pt>
                  <c:pt idx="135">
                    <c:v>4.3386761295372006E-5</c:v>
                  </c:pt>
                  <c:pt idx="136">
                    <c:v>5.0791644742608005E-5</c:v>
                  </c:pt>
                  <c:pt idx="137">
                    <c:v>5.3358226590768006E-5</c:v>
                  </c:pt>
                  <c:pt idx="138">
                    <c:v>5.7374165460744007E-5</c:v>
                  </c:pt>
                  <c:pt idx="139">
                    <c:v>6.111314071764001E-5</c:v>
                  </c:pt>
                  <c:pt idx="140">
                    <c:v>6.7065336561564001E-5</c:v>
                  </c:pt>
                  <c:pt idx="141">
                    <c:v>6.8562488910036003E-5</c:v>
                  </c:pt>
                  <c:pt idx="142">
                    <c:v>7.8569605466880015E-5</c:v>
                  </c:pt>
                  <c:pt idx="143">
                    <c:v>7.7495687606435998E-5</c:v>
                  </c:pt>
                  <c:pt idx="144">
                    <c:v>8.6981230715940005E-5</c:v>
                  </c:pt>
                  <c:pt idx="145">
                    <c:v>8.0048723353104008E-5</c:v>
                  </c:pt>
                  <c:pt idx="146">
                    <c:v>8.0048459169888001E-5</c:v>
                  </c:pt>
                  <c:pt idx="147">
                    <c:v>8.846998955506801E-5</c:v>
                  </c:pt>
                  <c:pt idx="148">
                    <c:v>8.646639444550799E-5</c:v>
                  </c:pt>
                  <c:pt idx="149">
                    <c:v>8.7049220018244007E-5</c:v>
                  </c:pt>
                  <c:pt idx="150">
                    <c:v>8.4352776269652028E-5</c:v>
                  </c:pt>
                  <c:pt idx="151">
                    <c:v>8.2041507915840012E-5</c:v>
                  </c:pt>
                  <c:pt idx="152">
                    <c:v>7.4272013814768011E-5</c:v>
                  </c:pt>
                  <c:pt idx="153">
                    <c:v>8.239134315297601E-5</c:v>
                  </c:pt>
                  <c:pt idx="154">
                    <c:v>8.0293772719644007E-5</c:v>
                  </c:pt>
                  <c:pt idx="155">
                    <c:v>8.1089864802011993E-5</c:v>
                  </c:pt>
                  <c:pt idx="156">
                    <c:v>7.1061816262008007E-5</c:v>
                  </c:pt>
                  <c:pt idx="157">
                    <c:v>7.1667107361563992E-5</c:v>
                  </c:pt>
                  <c:pt idx="158">
                    <c:v>6.4439911133267993E-5</c:v>
                  </c:pt>
                  <c:pt idx="159">
                    <c:v>6.7461599799528008E-5</c:v>
                  </c:pt>
                  <c:pt idx="160">
                    <c:v>6.3383267171927986E-5</c:v>
                  </c:pt>
                  <c:pt idx="161">
                    <c:v>6.046030030774801E-5</c:v>
                  </c:pt>
                  <c:pt idx="162">
                    <c:v>5.6757437984807994E-5</c:v>
                  </c:pt>
                  <c:pt idx="163">
                    <c:v>5.7768178790124002E-5</c:v>
                  </c:pt>
                  <c:pt idx="164">
                    <c:v>4.8917392626432003E-5</c:v>
                  </c:pt>
                  <c:pt idx="165">
                    <c:v>5.4225259229591992E-5</c:v>
                  </c:pt>
                  <c:pt idx="166">
                    <c:v>4.6573017285696003E-5</c:v>
                  </c:pt>
                  <c:pt idx="167">
                    <c:v>5.2302783033204E-5</c:v>
                  </c:pt>
                  <c:pt idx="168">
                    <c:v>5.0090537874564004E-5</c:v>
                  </c:pt>
                  <c:pt idx="169">
                    <c:v>4.8140209139351999E-5</c:v>
                  </c:pt>
                  <c:pt idx="170">
                    <c:v>4.7366226319896004E-5</c:v>
                  </c:pt>
                  <c:pt idx="171">
                    <c:v>4.2487843387835998E-5</c:v>
                  </c:pt>
                  <c:pt idx="172">
                    <c:v>4.3046613761184008E-5</c:v>
                  </c:pt>
                  <c:pt idx="173">
                    <c:v>4.5804051716016002E-5</c:v>
                  </c:pt>
                  <c:pt idx="174">
                    <c:v>3.8936950483200001E-5</c:v>
                  </c:pt>
                  <c:pt idx="175">
                    <c:v>3.5651765723904004E-5</c:v>
                  </c:pt>
                  <c:pt idx="176">
                    <c:v>3.5841964997387999E-5</c:v>
                  </c:pt>
                  <c:pt idx="177">
                    <c:v>3.3841586280479998E-5</c:v>
                  </c:pt>
                  <c:pt idx="178">
                    <c:v>2.9866152122136002E-5</c:v>
                  </c:pt>
                  <c:pt idx="179">
                    <c:v>3.0279618237659999E-5</c:v>
                  </c:pt>
                  <c:pt idx="180">
                    <c:v>3.2390671288140004E-5</c:v>
                  </c:pt>
                  <c:pt idx="181">
                    <c:v>2.9490638984928003E-5</c:v>
                  </c:pt>
                  <c:pt idx="182">
                    <c:v>2.8529401057740008E-5</c:v>
                  </c:pt>
                  <c:pt idx="183">
                    <c:v>2.8704084865104E-5</c:v>
                  </c:pt>
                  <c:pt idx="184">
                    <c:v>2.9692165086144001E-5</c:v>
                  </c:pt>
                  <c:pt idx="185">
                    <c:v>2.7321634030416007E-5</c:v>
                  </c:pt>
                  <c:pt idx="186">
                    <c:v>2.4952482552228002E-5</c:v>
                  </c:pt>
                  <c:pt idx="187">
                    <c:v>2.5912949159592E-5</c:v>
                  </c:pt>
                  <c:pt idx="188">
                    <c:v>1.0985699906016E-5</c:v>
                  </c:pt>
                  <c:pt idx="189">
                    <c:v>1.08786010501344E-5</c:v>
                  </c:pt>
                  <c:pt idx="190">
                    <c:v>1.04886147017124E-5</c:v>
                  </c:pt>
                  <c:pt idx="191">
                    <c:v>1.0812614644590001E-5</c:v>
                  </c:pt>
                  <c:pt idx="192">
                    <c:v>1.02876434479104E-5</c:v>
                  </c:pt>
                  <c:pt idx="193">
                    <c:v>1.16166340378704E-5</c:v>
                  </c:pt>
                  <c:pt idx="194">
                    <c:v>1.14381853063368E-5</c:v>
                  </c:pt>
                  <c:pt idx="195">
                    <c:v>1.0756807751342399E-5</c:v>
                  </c:pt>
                  <c:pt idx="196">
                    <c:v>1.01224786237872E-5</c:v>
                  </c:pt>
                  <c:pt idx="197">
                    <c:v>1.05824991285816E-5</c:v>
                  </c:pt>
                  <c:pt idx="198">
                    <c:v>9.3425137301496E-6</c:v>
                  </c:pt>
                  <c:pt idx="199">
                    <c:v>9.4875405697380006E-6</c:v>
                  </c:pt>
                  <c:pt idx="200">
                    <c:v>9.6384012902892026E-6</c:v>
                  </c:pt>
                  <c:pt idx="201">
                    <c:v>9.731818676870401E-6</c:v>
                  </c:pt>
                  <c:pt idx="202">
                    <c:v>9.5106692241791996E-6</c:v>
                  </c:pt>
                  <c:pt idx="203">
                    <c:v>1.0083078898068E-5</c:v>
                  </c:pt>
                  <c:pt idx="204">
                    <c:v>9.3312691896336008E-6</c:v>
                  </c:pt>
                  <c:pt idx="205">
                    <c:v>9.3486108537888003E-6</c:v>
                  </c:pt>
                  <c:pt idx="206">
                    <c:v>8.4576809669351999E-6</c:v>
                  </c:pt>
                  <c:pt idx="207">
                    <c:v>8.8801816252512002E-6</c:v>
                  </c:pt>
                  <c:pt idx="208">
                    <c:v>8.5061837972364005E-6</c:v>
                  </c:pt>
                  <c:pt idx="209">
                    <c:v>8.7746255997840002E-6</c:v>
                  </c:pt>
                  <c:pt idx="210">
                    <c:v>9.4755453521256018E-6</c:v>
                  </c:pt>
                  <c:pt idx="211">
                    <c:v>7.8744968370155998E-6</c:v>
                  </c:pt>
                  <c:pt idx="212">
                    <c:v>8.499462895585201E-6</c:v>
                  </c:pt>
                  <c:pt idx="213">
                    <c:v>7.2831850842036001E-6</c:v>
                  </c:pt>
                  <c:pt idx="214">
                    <c:v>7.3109661006888007E-6</c:v>
                  </c:pt>
                  <c:pt idx="215">
                    <c:v>7.3200533289048011E-6</c:v>
                  </c:pt>
                  <c:pt idx="216">
                    <c:v>7.6554958833012001E-6</c:v>
                  </c:pt>
                  <c:pt idx="217">
                    <c:v>6.9917210568084003E-6</c:v>
                  </c:pt>
                  <c:pt idx="218">
                    <c:v>7.5153526876692002E-6</c:v>
                  </c:pt>
                  <c:pt idx="219">
                    <c:v>7.4441784526296004E-6</c:v>
                  </c:pt>
                  <c:pt idx="220">
                    <c:v>6.7739763485064012E-6</c:v>
                  </c:pt>
                  <c:pt idx="221">
                    <c:v>7.5062177247156003E-6</c:v>
                  </c:pt>
                  <c:pt idx="222">
                    <c:v>7.8923667324084012E-6</c:v>
                  </c:pt>
                  <c:pt idx="223">
                    <c:v>7.4803441101708003E-6</c:v>
                  </c:pt>
                  <c:pt idx="224">
                    <c:v>7.6897360206216003E-6</c:v>
                  </c:pt>
                  <c:pt idx="225">
                    <c:v>6.8851701460476004E-6</c:v>
                  </c:pt>
                  <c:pt idx="226">
                    <c:v>7.1960843066771995E-6</c:v>
                  </c:pt>
                  <c:pt idx="227">
                    <c:v>6.5432590251599999E-6</c:v>
                  </c:pt>
                  <c:pt idx="228">
                    <c:v>7.7733691893792005E-6</c:v>
                  </c:pt>
                  <c:pt idx="229">
                    <c:v>6.7264972449179995E-6</c:v>
                  </c:pt>
                  <c:pt idx="230">
                    <c:v>6.0252544331627997E-6</c:v>
                  </c:pt>
                  <c:pt idx="231">
                    <c:v>7.010309013430801E-6</c:v>
                  </c:pt>
                  <c:pt idx="232">
                    <c:v>6.4787919387444004E-6</c:v>
                  </c:pt>
                  <c:pt idx="233">
                    <c:v>7.0306965855324001E-6</c:v>
                  </c:pt>
                  <c:pt idx="234">
                    <c:v>6.8897883584376009E-6</c:v>
                  </c:pt>
                  <c:pt idx="235">
                    <c:v>6.6363869747472009E-6</c:v>
                  </c:pt>
                  <c:pt idx="236">
                    <c:v>6.5258813595491995E-6</c:v>
                  </c:pt>
                  <c:pt idx="237">
                    <c:v>6.0907887435384001E-6</c:v>
                  </c:pt>
                  <c:pt idx="238">
                    <c:v>6.5501229486396005E-6</c:v>
                  </c:pt>
                  <c:pt idx="239">
                    <c:v>6.1539067660224005E-6</c:v>
                  </c:pt>
                  <c:pt idx="240">
                    <c:v>5.4217062360252004E-6</c:v>
                  </c:pt>
                  <c:pt idx="241">
                    <c:v>6.1136410733375998E-6</c:v>
                  </c:pt>
                  <c:pt idx="242">
                    <c:v>5.6202059996808005E-6</c:v>
                  </c:pt>
                  <c:pt idx="243">
                    <c:v>5.3111603890620005E-6</c:v>
                  </c:pt>
                  <c:pt idx="244">
                    <c:v>6.0693964070124006E-6</c:v>
                  </c:pt>
                  <c:pt idx="245">
                    <c:v>5.6003459219796E-6</c:v>
                  </c:pt>
                  <c:pt idx="246">
                    <c:v>5.2580868977868003E-6</c:v>
                  </c:pt>
                  <c:pt idx="247">
                    <c:v>5.5642097853539999E-6</c:v>
                  </c:pt>
                  <c:pt idx="248">
                    <c:v>5.4948977217024006E-6</c:v>
                  </c:pt>
                  <c:pt idx="249">
                    <c:v>5.771577083052001E-6</c:v>
                  </c:pt>
                  <c:pt idx="250">
                    <c:v>5.4017512688700015E-6</c:v>
                  </c:pt>
                  <c:pt idx="251">
                    <c:v>5.1386285606963988E-6</c:v>
                  </c:pt>
                  <c:pt idx="252">
                    <c:v>5.5537921492415987E-6</c:v>
                  </c:pt>
                  <c:pt idx="253">
                    <c:v>4.977354755617201E-6</c:v>
                  </c:pt>
                  <c:pt idx="254">
                    <c:v>5.2831114433195995E-6</c:v>
                  </c:pt>
                  <c:pt idx="255">
                    <c:v>5.0221020926868007E-6</c:v>
                  </c:pt>
                  <c:pt idx="256">
                    <c:v>5.5315497447671996E-6</c:v>
                  </c:pt>
                  <c:pt idx="257">
                    <c:v>2.9279808217835999E-6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7.4274859315668013E-3</c:v>
                  </c:pt>
                  <c:pt idx="1">
                    <c:v>7.5959651868935992E-3</c:v>
                  </c:pt>
                  <c:pt idx="2">
                    <c:v>7.4369875299059992E-3</c:v>
                  </c:pt>
                  <c:pt idx="3">
                    <c:v>6.49463946483E-3</c:v>
                  </c:pt>
                  <c:pt idx="4">
                    <c:v>6.5633377576932005E-3</c:v>
                  </c:pt>
                  <c:pt idx="5">
                    <c:v>6.0682306646280002E-3</c:v>
                  </c:pt>
                  <c:pt idx="6">
                    <c:v>5.2771238179308002E-3</c:v>
                  </c:pt>
                  <c:pt idx="7">
                    <c:v>5.4050268398676002E-3</c:v>
                  </c:pt>
                  <c:pt idx="8">
                    <c:v>4.9557221688612003E-3</c:v>
                  </c:pt>
                  <c:pt idx="9">
                    <c:v>4.6213287789636003E-3</c:v>
                  </c:pt>
                  <c:pt idx="10">
                    <c:v>4.6217010997080003E-3</c:v>
                  </c:pt>
                  <c:pt idx="11">
                    <c:v>4.1535891952500011E-3</c:v>
                  </c:pt>
                  <c:pt idx="12">
                    <c:v>4.0140502763328003E-3</c:v>
                  </c:pt>
                  <c:pt idx="13">
                    <c:v>3.7197218614644003E-3</c:v>
                  </c:pt>
                  <c:pt idx="14">
                    <c:v>3.6726898242539999E-3</c:v>
                  </c:pt>
                  <c:pt idx="15">
                    <c:v>3.3644338854984003E-3</c:v>
                  </c:pt>
                  <c:pt idx="16">
                    <c:v>3.3502869392256001E-3</c:v>
                  </c:pt>
                  <c:pt idx="17">
                    <c:v>3.0390549486131999E-3</c:v>
                  </c:pt>
                  <c:pt idx="18">
                    <c:v>2.6179651179528002E-3</c:v>
                  </c:pt>
                  <c:pt idx="19">
                    <c:v>2.6163008591147999E-3</c:v>
                  </c:pt>
                  <c:pt idx="20">
                    <c:v>2.8456713228240003E-3</c:v>
                  </c:pt>
                  <c:pt idx="21">
                    <c:v>4.0953102965016006E-3</c:v>
                  </c:pt>
                  <c:pt idx="22">
                    <c:v>5.8244372009604011E-3</c:v>
                  </c:pt>
                  <c:pt idx="23">
                    <c:v>3.9838793786220001E-3</c:v>
                  </c:pt>
                  <c:pt idx="24">
                    <c:v>4.2246606704675997E-3</c:v>
                  </c:pt>
                  <c:pt idx="25">
                    <c:v>3.7837359621996003E-3</c:v>
                  </c:pt>
                  <c:pt idx="26">
                    <c:v>3.9764580367247998E-3</c:v>
                  </c:pt>
                  <c:pt idx="27">
                    <c:v>3.7599504870443998E-3</c:v>
                  </c:pt>
                  <c:pt idx="28">
                    <c:v>3.5250458119932002E-3</c:v>
                  </c:pt>
                  <c:pt idx="29">
                    <c:v>3.5929878310656006E-3</c:v>
                  </c:pt>
                  <c:pt idx="30">
                    <c:v>3.2895725657652E-3</c:v>
                  </c:pt>
                  <c:pt idx="31">
                    <c:v>2.8789332402204002E-3</c:v>
                  </c:pt>
                  <c:pt idx="32">
                    <c:v>3.2485085510196004E-3</c:v>
                  </c:pt>
                  <c:pt idx="33">
                    <c:v>2.9914091504088E-3</c:v>
                  </c:pt>
                  <c:pt idx="34">
                    <c:v>2.8981705430304004E-3</c:v>
                  </c:pt>
                  <c:pt idx="35">
                    <c:v>2.7620461484352001E-3</c:v>
                  </c:pt>
                  <c:pt idx="36">
                    <c:v>2.8481577273996002E-3</c:v>
                  </c:pt>
                  <c:pt idx="37">
                    <c:v>2.7268417063932003E-3</c:v>
                  </c:pt>
                  <c:pt idx="38">
                    <c:v>2.7565383487092002E-3</c:v>
                  </c:pt>
                  <c:pt idx="39">
                    <c:v>2.7653465111580002E-3</c:v>
                  </c:pt>
                  <c:pt idx="40">
                    <c:v>2.6513781343104003E-3</c:v>
                  </c:pt>
                  <c:pt idx="41">
                    <c:v>2.7252518469528001E-3</c:v>
                  </c:pt>
                  <c:pt idx="42">
                    <c:v>6.0548762167344002E-3</c:v>
                  </c:pt>
                  <c:pt idx="43">
                    <c:v>6.1455933451308002E-3</c:v>
                  </c:pt>
                  <c:pt idx="44">
                    <c:v>6.4406042235480004E-3</c:v>
                  </c:pt>
                  <c:pt idx="45">
                    <c:v>6.9840274055244008E-3</c:v>
                  </c:pt>
                  <c:pt idx="46">
                    <c:v>6.2201573600496008E-3</c:v>
                  </c:pt>
                  <c:pt idx="47">
                    <c:v>5.9045463560292001E-3</c:v>
                  </c:pt>
                  <c:pt idx="48">
                    <c:v>6.4265389085700004E-3</c:v>
                  </c:pt>
                  <c:pt idx="49">
                    <c:v>5.8955039490071999E-3</c:v>
                  </c:pt>
                  <c:pt idx="50">
                    <c:v>5.61347580651E-3</c:v>
                  </c:pt>
                  <c:pt idx="51">
                    <c:v>6.280393207730401E-3</c:v>
                  </c:pt>
                  <c:pt idx="52">
                    <c:v>5.4881450022299999E-3</c:v>
                  </c:pt>
                  <c:pt idx="53">
                    <c:v>5.4984057614508005E-3</c:v>
                  </c:pt>
                  <c:pt idx="54">
                    <c:v>6.0519156692940002E-3</c:v>
                  </c:pt>
                  <c:pt idx="55">
                    <c:v>5.2239886188599994E-3</c:v>
                  </c:pt>
                  <c:pt idx="56">
                    <c:v>4.6897813806228003E-3</c:v>
                  </c:pt>
                  <c:pt idx="57">
                    <c:v>4.2523713481656001E-3</c:v>
                  </c:pt>
                  <c:pt idx="58">
                    <c:v>4.4062516783428003E-3</c:v>
                  </c:pt>
                  <c:pt idx="59">
                    <c:v>4.1563015600656001E-3</c:v>
                  </c:pt>
                  <c:pt idx="60">
                    <c:v>4.0899371616444002E-3</c:v>
                  </c:pt>
                  <c:pt idx="61">
                    <c:v>4.0018050063420005E-3</c:v>
                  </c:pt>
                  <c:pt idx="62">
                    <c:v>3.8524342147632003E-3</c:v>
                  </c:pt>
                  <c:pt idx="63">
                    <c:v>3.1546917151860001E-3</c:v>
                  </c:pt>
                  <c:pt idx="64">
                    <c:v>2.9901053389811997E-3</c:v>
                  </c:pt>
                  <c:pt idx="65">
                    <c:v>2.9022078808139998E-3</c:v>
                  </c:pt>
                  <c:pt idx="66">
                    <c:v>2.5257543174864003E-3</c:v>
                  </c:pt>
                  <c:pt idx="67">
                    <c:v>2.5515979958435999E-3</c:v>
                  </c:pt>
                  <c:pt idx="68">
                    <c:v>2.3358706420236E-3</c:v>
                  </c:pt>
                  <c:pt idx="69">
                    <c:v>2.11289062743E-3</c:v>
                  </c:pt>
                  <c:pt idx="70">
                    <c:v>2.0141564484228002E-3</c:v>
                  </c:pt>
                  <c:pt idx="71">
                    <c:v>1.6816032844247999E-3</c:v>
                  </c:pt>
                  <c:pt idx="72">
                    <c:v>1.6886601854364002E-3</c:v>
                  </c:pt>
                  <c:pt idx="73">
                    <c:v>1.6377518183136003E-3</c:v>
                  </c:pt>
                  <c:pt idx="74">
                    <c:v>1.6687869093060001E-3</c:v>
                  </c:pt>
                  <c:pt idx="75">
                    <c:v>1.4073927580943999E-3</c:v>
                  </c:pt>
                  <c:pt idx="76">
                    <c:v>1.31133625426188E-3</c:v>
                  </c:pt>
                  <c:pt idx="77">
                    <c:v>1.3308631102800002E-3</c:v>
                  </c:pt>
                  <c:pt idx="78">
                    <c:v>1.2009358136160001E-3</c:v>
                  </c:pt>
                  <c:pt idx="79">
                    <c:v>1.02818509829244E-3</c:v>
                  </c:pt>
                  <c:pt idx="80">
                    <c:v>1.0439643174206402E-3</c:v>
                  </c:pt>
                  <c:pt idx="81">
                    <c:v>9.1112772577860005E-4</c:v>
                  </c:pt>
                  <c:pt idx="82">
                    <c:v>8.1416714221391997E-4</c:v>
                  </c:pt>
                  <c:pt idx="83">
                    <c:v>7.0820058224387993E-4</c:v>
                  </c:pt>
                  <c:pt idx="84">
                    <c:v>7.6049687546316013E-4</c:v>
                  </c:pt>
                  <c:pt idx="85">
                    <c:v>6.3170741330928004E-4</c:v>
                  </c:pt>
                  <c:pt idx="86">
                    <c:v>6.1768899622452E-4</c:v>
                  </c:pt>
                  <c:pt idx="87">
                    <c:v>5.6350678162680004E-4</c:v>
                  </c:pt>
                  <c:pt idx="88">
                    <c:v>4.9145195980056006E-4</c:v>
                  </c:pt>
                  <c:pt idx="89">
                    <c:v>4.3108271229804E-4</c:v>
                  </c:pt>
                  <c:pt idx="90">
                    <c:v>3.8416162091735995E-4</c:v>
                  </c:pt>
                  <c:pt idx="91">
                    <c:v>4.3525115406696003E-4</c:v>
                  </c:pt>
                  <c:pt idx="92">
                    <c:v>3.5750132071236002E-4</c:v>
                  </c:pt>
                  <c:pt idx="93">
                    <c:v>3.4233556391364005E-4</c:v>
                  </c:pt>
                  <c:pt idx="94">
                    <c:v>3.4798129150224002E-4</c:v>
                  </c:pt>
                  <c:pt idx="95">
                    <c:v>3.4237182912768004E-4</c:v>
                  </c:pt>
                  <c:pt idx="96">
                    <c:v>3.0560138313012004E-4</c:v>
                  </c:pt>
                  <c:pt idx="97">
                    <c:v>2.9902513489199999E-4</c:v>
                  </c:pt>
                  <c:pt idx="98">
                    <c:v>2.9492624021388003E-4</c:v>
                  </c:pt>
                  <c:pt idx="99">
                    <c:v>2.9692400573483996E-4</c:v>
                  </c:pt>
                  <c:pt idx="100">
                    <c:v>3.2239223294123999E-4</c:v>
                  </c:pt>
                  <c:pt idx="101">
                    <c:v>2.7613117048440002E-4</c:v>
                  </c:pt>
                  <c:pt idx="102">
                    <c:v>2.6226277750199999E-4</c:v>
                  </c:pt>
                  <c:pt idx="103">
                    <c:v>2.5948714426668001E-4</c:v>
                  </c:pt>
                  <c:pt idx="104">
                    <c:v>2.7012682214892E-4</c:v>
                  </c:pt>
                  <c:pt idx="105">
                    <c:v>2.7482685308364001E-4</c:v>
                  </c:pt>
                  <c:pt idx="106">
                    <c:v>2.4358466210232E-4</c:v>
                  </c:pt>
                  <c:pt idx="107">
                    <c:v>2.6762891811084002E-4</c:v>
                  </c:pt>
                  <c:pt idx="108">
                    <c:v>2.2605815392380004E-4</c:v>
                  </c:pt>
                  <c:pt idx="109">
                    <c:v>2.5283720747076003E-4</c:v>
                  </c:pt>
                  <c:pt idx="110">
                    <c:v>2.2134252791772003E-4</c:v>
                  </c:pt>
                  <c:pt idx="111">
                    <c:v>2.164571924856E-4</c:v>
                  </c:pt>
                  <c:pt idx="112">
                    <c:v>2.1894971873279999E-4</c:v>
                  </c:pt>
                  <c:pt idx="113">
                    <c:v>2.2451015393927997E-4</c:v>
                  </c:pt>
                  <c:pt idx="114">
                    <c:v>2.0988348120563999E-4</c:v>
                  </c:pt>
                  <c:pt idx="115">
                    <c:v>1.8267257491296003E-4</c:v>
                  </c:pt>
                  <c:pt idx="116">
                    <c:v>1.9198380004848E-4</c:v>
                  </c:pt>
                  <c:pt idx="117">
                    <c:v>1.6946790734676E-4</c:v>
                  </c:pt>
                  <c:pt idx="118">
                    <c:v>1.4930509418088002E-4</c:v>
                  </c:pt>
                  <c:pt idx="119">
                    <c:v>1.5212353837164001E-4</c:v>
                  </c:pt>
                  <c:pt idx="120">
                    <c:v>7.2967504002888003E-5</c:v>
                  </c:pt>
                  <c:pt idx="121">
                    <c:v>7.2034944495756001E-5</c:v>
                  </c:pt>
                  <c:pt idx="122">
                    <c:v>6.2499818546615999E-5</c:v>
                  </c:pt>
                  <c:pt idx="123">
                    <c:v>5.6265648446832001E-5</c:v>
                  </c:pt>
                  <c:pt idx="124">
                    <c:v>6.0245747975556001E-5</c:v>
                  </c:pt>
                  <c:pt idx="125">
                    <c:v>5.7503863079124006E-5</c:v>
                  </c:pt>
                  <c:pt idx="126">
                    <c:v>5.9678379534708003E-5</c:v>
                  </c:pt>
                  <c:pt idx="127">
                    <c:v>5.2084248838379994E-5</c:v>
                  </c:pt>
                  <c:pt idx="128">
                    <c:v>4.8417272533872003E-5</c:v>
                  </c:pt>
                  <c:pt idx="129">
                    <c:v>4.7204561183604012E-5</c:v>
                  </c:pt>
                  <c:pt idx="130">
                    <c:v>4.4281166537783989E-5</c:v>
                  </c:pt>
                  <c:pt idx="131">
                    <c:v>4.8582446620224002E-5</c:v>
                  </c:pt>
                  <c:pt idx="132">
                    <c:v>4.0450350943464001E-5</c:v>
                  </c:pt>
                  <c:pt idx="133">
                    <c:v>4.4712985434876001E-5</c:v>
                  </c:pt>
                  <c:pt idx="134">
                    <c:v>4.4534614897740002E-5</c:v>
                  </c:pt>
                  <c:pt idx="135">
                    <c:v>4.3386761295372006E-5</c:v>
                  </c:pt>
                  <c:pt idx="136">
                    <c:v>5.0791644742608005E-5</c:v>
                  </c:pt>
                  <c:pt idx="137">
                    <c:v>5.3358226590768006E-5</c:v>
                  </c:pt>
                  <c:pt idx="138">
                    <c:v>5.7374165460744007E-5</c:v>
                  </c:pt>
                  <c:pt idx="139">
                    <c:v>6.111314071764001E-5</c:v>
                  </c:pt>
                  <c:pt idx="140">
                    <c:v>6.7065336561564001E-5</c:v>
                  </c:pt>
                  <c:pt idx="141">
                    <c:v>6.8562488910036003E-5</c:v>
                  </c:pt>
                  <c:pt idx="142">
                    <c:v>7.8569605466880015E-5</c:v>
                  </c:pt>
                  <c:pt idx="143">
                    <c:v>7.7495687606435998E-5</c:v>
                  </c:pt>
                  <c:pt idx="144">
                    <c:v>8.6981230715940005E-5</c:v>
                  </c:pt>
                  <c:pt idx="145">
                    <c:v>8.0048723353104008E-5</c:v>
                  </c:pt>
                  <c:pt idx="146">
                    <c:v>8.0048459169888001E-5</c:v>
                  </c:pt>
                  <c:pt idx="147">
                    <c:v>8.846998955506801E-5</c:v>
                  </c:pt>
                  <c:pt idx="148">
                    <c:v>8.646639444550799E-5</c:v>
                  </c:pt>
                  <c:pt idx="149">
                    <c:v>8.7049220018244007E-5</c:v>
                  </c:pt>
                  <c:pt idx="150">
                    <c:v>8.4352776269652028E-5</c:v>
                  </c:pt>
                  <c:pt idx="151">
                    <c:v>8.2041507915840012E-5</c:v>
                  </c:pt>
                  <c:pt idx="152">
                    <c:v>7.4272013814768011E-5</c:v>
                  </c:pt>
                  <c:pt idx="153">
                    <c:v>8.239134315297601E-5</c:v>
                  </c:pt>
                  <c:pt idx="154">
                    <c:v>8.0293772719644007E-5</c:v>
                  </c:pt>
                  <c:pt idx="155">
                    <c:v>8.1089864802011993E-5</c:v>
                  </c:pt>
                  <c:pt idx="156">
                    <c:v>7.1061816262008007E-5</c:v>
                  </c:pt>
                  <c:pt idx="157">
                    <c:v>7.1667107361563992E-5</c:v>
                  </c:pt>
                  <c:pt idx="158">
                    <c:v>6.4439911133267993E-5</c:v>
                  </c:pt>
                  <c:pt idx="159">
                    <c:v>6.7461599799528008E-5</c:v>
                  </c:pt>
                  <c:pt idx="160">
                    <c:v>6.3383267171927986E-5</c:v>
                  </c:pt>
                  <c:pt idx="161">
                    <c:v>6.046030030774801E-5</c:v>
                  </c:pt>
                  <c:pt idx="162">
                    <c:v>5.6757437984807994E-5</c:v>
                  </c:pt>
                  <c:pt idx="163">
                    <c:v>5.7768178790124002E-5</c:v>
                  </c:pt>
                  <c:pt idx="164">
                    <c:v>4.8917392626432003E-5</c:v>
                  </c:pt>
                  <c:pt idx="165">
                    <c:v>5.4225259229591992E-5</c:v>
                  </c:pt>
                  <c:pt idx="166">
                    <c:v>4.6573017285696003E-5</c:v>
                  </c:pt>
                  <c:pt idx="167">
                    <c:v>5.2302783033204E-5</c:v>
                  </c:pt>
                  <c:pt idx="168">
                    <c:v>5.0090537874564004E-5</c:v>
                  </c:pt>
                  <c:pt idx="169">
                    <c:v>4.8140209139351999E-5</c:v>
                  </c:pt>
                  <c:pt idx="170">
                    <c:v>4.7366226319896004E-5</c:v>
                  </c:pt>
                  <c:pt idx="171">
                    <c:v>4.2487843387835998E-5</c:v>
                  </c:pt>
                  <c:pt idx="172">
                    <c:v>4.3046613761184008E-5</c:v>
                  </c:pt>
                  <c:pt idx="173">
                    <c:v>4.5804051716016002E-5</c:v>
                  </c:pt>
                  <c:pt idx="174">
                    <c:v>3.8936950483200001E-5</c:v>
                  </c:pt>
                  <c:pt idx="175">
                    <c:v>3.5651765723904004E-5</c:v>
                  </c:pt>
                  <c:pt idx="176">
                    <c:v>3.5841964997387999E-5</c:v>
                  </c:pt>
                  <c:pt idx="177">
                    <c:v>3.3841586280479998E-5</c:v>
                  </c:pt>
                  <c:pt idx="178">
                    <c:v>2.9866152122136002E-5</c:v>
                  </c:pt>
                  <c:pt idx="179">
                    <c:v>3.0279618237659999E-5</c:v>
                  </c:pt>
                  <c:pt idx="180">
                    <c:v>3.2390671288140004E-5</c:v>
                  </c:pt>
                  <c:pt idx="181">
                    <c:v>2.9490638984928003E-5</c:v>
                  </c:pt>
                  <c:pt idx="182">
                    <c:v>2.8529401057740008E-5</c:v>
                  </c:pt>
                  <c:pt idx="183">
                    <c:v>2.8704084865104E-5</c:v>
                  </c:pt>
                  <c:pt idx="184">
                    <c:v>2.9692165086144001E-5</c:v>
                  </c:pt>
                  <c:pt idx="185">
                    <c:v>2.7321634030416007E-5</c:v>
                  </c:pt>
                  <c:pt idx="186">
                    <c:v>2.4952482552228002E-5</c:v>
                  </c:pt>
                  <c:pt idx="187">
                    <c:v>2.5912949159592E-5</c:v>
                  </c:pt>
                  <c:pt idx="188">
                    <c:v>1.0985699906016E-5</c:v>
                  </c:pt>
                  <c:pt idx="189">
                    <c:v>1.08786010501344E-5</c:v>
                  </c:pt>
                  <c:pt idx="190">
                    <c:v>1.04886147017124E-5</c:v>
                  </c:pt>
                  <c:pt idx="191">
                    <c:v>1.0812614644590001E-5</c:v>
                  </c:pt>
                  <c:pt idx="192">
                    <c:v>1.02876434479104E-5</c:v>
                  </c:pt>
                  <c:pt idx="193">
                    <c:v>1.16166340378704E-5</c:v>
                  </c:pt>
                  <c:pt idx="194">
                    <c:v>1.14381853063368E-5</c:v>
                  </c:pt>
                  <c:pt idx="195">
                    <c:v>1.0756807751342399E-5</c:v>
                  </c:pt>
                  <c:pt idx="196">
                    <c:v>1.01224786237872E-5</c:v>
                  </c:pt>
                  <c:pt idx="197">
                    <c:v>1.05824991285816E-5</c:v>
                  </c:pt>
                  <c:pt idx="198">
                    <c:v>9.3425137301496E-6</c:v>
                  </c:pt>
                  <c:pt idx="199">
                    <c:v>9.4875405697380006E-6</c:v>
                  </c:pt>
                  <c:pt idx="200">
                    <c:v>9.6384012902892026E-6</c:v>
                  </c:pt>
                  <c:pt idx="201">
                    <c:v>9.731818676870401E-6</c:v>
                  </c:pt>
                  <c:pt idx="202">
                    <c:v>9.5106692241791996E-6</c:v>
                  </c:pt>
                  <c:pt idx="203">
                    <c:v>1.0083078898068E-5</c:v>
                  </c:pt>
                  <c:pt idx="204">
                    <c:v>9.3312691896336008E-6</c:v>
                  </c:pt>
                  <c:pt idx="205">
                    <c:v>9.3486108537888003E-6</c:v>
                  </c:pt>
                  <c:pt idx="206">
                    <c:v>8.4576809669351999E-6</c:v>
                  </c:pt>
                  <c:pt idx="207">
                    <c:v>8.8801816252512002E-6</c:v>
                  </c:pt>
                  <c:pt idx="208">
                    <c:v>8.5061837972364005E-6</c:v>
                  </c:pt>
                  <c:pt idx="209">
                    <c:v>8.7746255997840002E-6</c:v>
                  </c:pt>
                  <c:pt idx="210">
                    <c:v>9.4755453521256018E-6</c:v>
                  </c:pt>
                  <c:pt idx="211">
                    <c:v>7.8744968370155998E-6</c:v>
                  </c:pt>
                  <c:pt idx="212">
                    <c:v>8.499462895585201E-6</c:v>
                  </c:pt>
                  <c:pt idx="213">
                    <c:v>7.2831850842036001E-6</c:v>
                  </c:pt>
                  <c:pt idx="214">
                    <c:v>7.3109661006888007E-6</c:v>
                  </c:pt>
                  <c:pt idx="215">
                    <c:v>7.3200533289048011E-6</c:v>
                  </c:pt>
                  <c:pt idx="216">
                    <c:v>7.6554958833012001E-6</c:v>
                  </c:pt>
                  <c:pt idx="217">
                    <c:v>6.9917210568084003E-6</c:v>
                  </c:pt>
                  <c:pt idx="218">
                    <c:v>7.5153526876692002E-6</c:v>
                  </c:pt>
                  <c:pt idx="219">
                    <c:v>7.4441784526296004E-6</c:v>
                  </c:pt>
                  <c:pt idx="220">
                    <c:v>6.7739763485064012E-6</c:v>
                  </c:pt>
                  <c:pt idx="221">
                    <c:v>7.5062177247156003E-6</c:v>
                  </c:pt>
                  <c:pt idx="222">
                    <c:v>7.8923667324084012E-6</c:v>
                  </c:pt>
                  <c:pt idx="223">
                    <c:v>7.4803441101708003E-6</c:v>
                  </c:pt>
                  <c:pt idx="224">
                    <c:v>7.6897360206216003E-6</c:v>
                  </c:pt>
                  <c:pt idx="225">
                    <c:v>6.8851701460476004E-6</c:v>
                  </c:pt>
                  <c:pt idx="226">
                    <c:v>7.1960843066771995E-6</c:v>
                  </c:pt>
                  <c:pt idx="227">
                    <c:v>6.5432590251599999E-6</c:v>
                  </c:pt>
                  <c:pt idx="228">
                    <c:v>7.7733691893792005E-6</c:v>
                  </c:pt>
                  <c:pt idx="229">
                    <c:v>6.7264972449179995E-6</c:v>
                  </c:pt>
                  <c:pt idx="230">
                    <c:v>6.0252544331627997E-6</c:v>
                  </c:pt>
                  <c:pt idx="231">
                    <c:v>7.010309013430801E-6</c:v>
                  </c:pt>
                  <c:pt idx="232">
                    <c:v>6.4787919387444004E-6</c:v>
                  </c:pt>
                  <c:pt idx="233">
                    <c:v>7.0306965855324001E-6</c:v>
                  </c:pt>
                  <c:pt idx="234">
                    <c:v>6.8897883584376009E-6</c:v>
                  </c:pt>
                  <c:pt idx="235">
                    <c:v>6.6363869747472009E-6</c:v>
                  </c:pt>
                  <c:pt idx="236">
                    <c:v>6.5258813595491995E-6</c:v>
                  </c:pt>
                  <c:pt idx="237">
                    <c:v>6.0907887435384001E-6</c:v>
                  </c:pt>
                  <c:pt idx="238">
                    <c:v>6.5501229486396005E-6</c:v>
                  </c:pt>
                  <c:pt idx="239">
                    <c:v>6.1539067660224005E-6</c:v>
                  </c:pt>
                  <c:pt idx="240">
                    <c:v>5.4217062360252004E-6</c:v>
                  </c:pt>
                  <c:pt idx="241">
                    <c:v>6.1136410733375998E-6</c:v>
                  </c:pt>
                  <c:pt idx="242">
                    <c:v>5.6202059996808005E-6</c:v>
                  </c:pt>
                  <c:pt idx="243">
                    <c:v>5.3111603890620005E-6</c:v>
                  </c:pt>
                  <c:pt idx="244">
                    <c:v>6.0693964070124006E-6</c:v>
                  </c:pt>
                  <c:pt idx="245">
                    <c:v>5.6003459219796E-6</c:v>
                  </c:pt>
                  <c:pt idx="246">
                    <c:v>5.2580868977868003E-6</c:v>
                  </c:pt>
                  <c:pt idx="247">
                    <c:v>5.5642097853539999E-6</c:v>
                  </c:pt>
                  <c:pt idx="248">
                    <c:v>5.4948977217024006E-6</c:v>
                  </c:pt>
                  <c:pt idx="249">
                    <c:v>5.771577083052001E-6</c:v>
                  </c:pt>
                  <c:pt idx="250">
                    <c:v>5.4017512688700015E-6</c:v>
                  </c:pt>
                  <c:pt idx="251">
                    <c:v>5.1386285606963988E-6</c:v>
                  </c:pt>
                  <c:pt idx="252">
                    <c:v>5.5537921492415987E-6</c:v>
                  </c:pt>
                  <c:pt idx="253">
                    <c:v>4.977354755617201E-6</c:v>
                  </c:pt>
                  <c:pt idx="254">
                    <c:v>5.2831114433195995E-6</c:v>
                  </c:pt>
                  <c:pt idx="255">
                    <c:v>5.0221020926868007E-6</c:v>
                  </c:pt>
                  <c:pt idx="256">
                    <c:v>5.5315497447671996E-6</c:v>
                  </c:pt>
                  <c:pt idx="257">
                    <c:v>2.9279808217835999E-6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6.5571301182156011E-2</c:v>
                </c:pt>
                <c:pt idx="1">
                  <c:v>7.2399251609519988E-2</c:v>
                </c:pt>
                <c:pt idx="2">
                  <c:v>6.8663553369708016E-2</c:v>
                </c:pt>
                <c:pt idx="3">
                  <c:v>6.1733954762172007E-2</c:v>
                </c:pt>
                <c:pt idx="4">
                  <c:v>6.7439158942716015E-2</c:v>
                </c:pt>
                <c:pt idx="5">
                  <c:v>5.9560495951440008E-2</c:v>
                </c:pt>
                <c:pt idx="6">
                  <c:v>4.8753873828132004E-2</c:v>
                </c:pt>
                <c:pt idx="7">
                  <c:v>5.6771970698124008E-2</c:v>
                </c:pt>
                <c:pt idx="8">
                  <c:v>4.7840892489456006E-2</c:v>
                </c:pt>
                <c:pt idx="9">
                  <c:v>5.2330438354920003E-2</c:v>
                </c:pt>
                <c:pt idx="10">
                  <c:v>4.7823940305372001E-2</c:v>
                </c:pt>
                <c:pt idx="11">
                  <c:v>5.1430216341900002E-2</c:v>
                </c:pt>
                <c:pt idx="12">
                  <c:v>4.2508733614776008E-2</c:v>
                </c:pt>
                <c:pt idx="13">
                  <c:v>4.4132646361716009E-2</c:v>
                </c:pt>
                <c:pt idx="14">
                  <c:v>3.6866651755560004E-2</c:v>
                </c:pt>
                <c:pt idx="15">
                  <c:v>3.6454706966832E-2</c:v>
                </c:pt>
                <c:pt idx="16">
                  <c:v>4.0114539267528004E-2</c:v>
                </c:pt>
                <c:pt idx="17">
                  <c:v>3.8011407907968003E-2</c:v>
                </c:pt>
                <c:pt idx="18">
                  <c:v>3.1407067435524003E-2</c:v>
                </c:pt>
                <c:pt idx="19">
                  <c:v>3.2167744558355998E-2</c:v>
                </c:pt>
                <c:pt idx="20">
                  <c:v>3.8693874999252004E-2</c:v>
                </c:pt>
                <c:pt idx="21">
                  <c:v>2.8368002090076002E-2</c:v>
                </c:pt>
                <c:pt idx="22">
                  <c:v>5.3114916393396001E-2</c:v>
                </c:pt>
                <c:pt idx="23">
                  <c:v>3.3347642097528003E-2</c:v>
                </c:pt>
                <c:pt idx="24">
                  <c:v>3.8869528636092006E-2</c:v>
                </c:pt>
                <c:pt idx="25">
                  <c:v>2.8276341160847998E-2</c:v>
                </c:pt>
                <c:pt idx="26">
                  <c:v>3.4214808426875999E-2</c:v>
                </c:pt>
                <c:pt idx="27">
                  <c:v>4.0273622458212005E-2</c:v>
                </c:pt>
                <c:pt idx="28">
                  <c:v>3.6230453176367999E-2</c:v>
                </c:pt>
                <c:pt idx="29">
                  <c:v>3.4645630450199992E-2</c:v>
                </c:pt>
                <c:pt idx="30">
                  <c:v>3.2671553439096002E-2</c:v>
                </c:pt>
                <c:pt idx="31">
                  <c:v>2.7413143363716003E-2</c:v>
                </c:pt>
                <c:pt idx="32">
                  <c:v>4.0791757531272003E-2</c:v>
                </c:pt>
                <c:pt idx="33">
                  <c:v>3.2661175202567998E-2</c:v>
                </c:pt>
                <c:pt idx="34">
                  <c:v>3.5235512939088005E-2</c:v>
                </c:pt>
                <c:pt idx="35">
                  <c:v>3.5516922596100002E-2</c:v>
                </c:pt>
                <c:pt idx="36">
                  <c:v>4.0372358221404003E-2</c:v>
                </c:pt>
                <c:pt idx="37">
                  <c:v>4.0433272310244003E-2</c:v>
                </c:pt>
                <c:pt idx="38">
                  <c:v>4.3567467175056003E-2</c:v>
                </c:pt>
                <c:pt idx="39">
                  <c:v>4.4069714166060002E-2</c:v>
                </c:pt>
                <c:pt idx="40">
                  <c:v>4.4244755633364004E-2</c:v>
                </c:pt>
                <c:pt idx="41">
                  <c:v>5.0144784792564005E-2</c:v>
                </c:pt>
                <c:pt idx="42">
                  <c:v>4.2053104955928004E-2</c:v>
                </c:pt>
                <c:pt idx="43">
                  <c:v>4.4721553506168008E-2</c:v>
                </c:pt>
                <c:pt idx="44">
                  <c:v>5.2225010101836E-2</c:v>
                </c:pt>
                <c:pt idx="45">
                  <c:v>5.9406624517284005E-2</c:v>
                </c:pt>
                <c:pt idx="46">
                  <c:v>5.6751235167528002E-2</c:v>
                </c:pt>
                <c:pt idx="47">
                  <c:v>5.5058658489516001E-2</c:v>
                </c:pt>
                <c:pt idx="48">
                  <c:v>5.7035253102168004E-2</c:v>
                </c:pt>
                <c:pt idx="49">
                  <c:v>5.678685875689201E-2</c:v>
                </c:pt>
                <c:pt idx="50">
                  <c:v>5.3861000650248007E-2</c:v>
                </c:pt>
                <c:pt idx="51">
                  <c:v>6.8936731350696001E-2</c:v>
                </c:pt>
                <c:pt idx="52">
                  <c:v>5.7609947679503996E-2</c:v>
                </c:pt>
                <c:pt idx="53">
                  <c:v>5.9712763359480003E-2</c:v>
                </c:pt>
                <c:pt idx="54">
                  <c:v>7.2714741208031994E-2</c:v>
                </c:pt>
                <c:pt idx="55">
                  <c:v>5.9199270975504009E-2</c:v>
                </c:pt>
                <c:pt idx="56">
                  <c:v>5.4246909620508002E-2</c:v>
                </c:pt>
                <c:pt idx="57">
                  <c:v>4.7130797635548005E-2</c:v>
                </c:pt>
                <c:pt idx="58">
                  <c:v>5.5733919484452006E-2</c:v>
                </c:pt>
                <c:pt idx="59">
                  <c:v>5.1748151519592007E-2</c:v>
                </c:pt>
                <c:pt idx="60">
                  <c:v>5.3254229316155997E-2</c:v>
                </c:pt>
                <c:pt idx="61">
                  <c:v>5.0247163727243999E-2</c:v>
                </c:pt>
                <c:pt idx="62">
                  <c:v>5.251596061047601E-2</c:v>
                </c:pt>
                <c:pt idx="63">
                  <c:v>4.0093582849319999E-2</c:v>
                </c:pt>
                <c:pt idx="64">
                  <c:v>3.9413103315036002E-2</c:v>
                </c:pt>
                <c:pt idx="65">
                  <c:v>3.9956285719020004E-2</c:v>
                </c:pt>
                <c:pt idx="66">
                  <c:v>3.1691988750708E-2</c:v>
                </c:pt>
                <c:pt idx="67">
                  <c:v>3.6229755364043999E-2</c:v>
                </c:pt>
                <c:pt idx="68">
                  <c:v>3.3191717783531999E-2</c:v>
                </c:pt>
                <c:pt idx="69">
                  <c:v>2.8315273725684001E-2</c:v>
                </c:pt>
                <c:pt idx="70">
                  <c:v>2.8321548557940002E-2</c:v>
                </c:pt>
                <c:pt idx="71">
                  <c:v>2.1730512784068002E-2</c:v>
                </c:pt>
                <c:pt idx="72">
                  <c:v>2.4488783172216002E-2</c:v>
                </c:pt>
                <c:pt idx="73">
                  <c:v>2.4863178222036E-2</c:v>
                </c:pt>
                <c:pt idx="74">
                  <c:v>2.2969893470040002E-2</c:v>
                </c:pt>
                <c:pt idx="75">
                  <c:v>1.9308731513807999E-2</c:v>
                </c:pt>
                <c:pt idx="76">
                  <c:v>1.6081954007591999E-2</c:v>
                </c:pt>
                <c:pt idx="77">
                  <c:v>1.7390932590108002E-2</c:v>
                </c:pt>
                <c:pt idx="78">
                  <c:v>1.5286886536020002E-2</c:v>
                </c:pt>
                <c:pt idx="79">
                  <c:v>1.24318095360492E-2</c:v>
                </c:pt>
                <c:pt idx="80">
                  <c:v>1.2848957988411604E-2</c:v>
                </c:pt>
                <c:pt idx="81">
                  <c:v>1.1055396866302801E-2</c:v>
                </c:pt>
                <c:pt idx="82">
                  <c:v>8.7616160313132001E-3</c:v>
                </c:pt>
                <c:pt idx="83">
                  <c:v>6.774361471218E-3</c:v>
                </c:pt>
                <c:pt idx="84">
                  <c:v>8.1528966593184017E-3</c:v>
                </c:pt>
                <c:pt idx="85">
                  <c:v>6.0667477582271997E-3</c:v>
                </c:pt>
                <c:pt idx="86">
                  <c:v>5.4934680057708001E-3</c:v>
                </c:pt>
                <c:pt idx="87">
                  <c:v>4.5701707102524004E-3</c:v>
                </c:pt>
                <c:pt idx="88">
                  <c:v>3.2884928278092002E-3</c:v>
                </c:pt>
                <c:pt idx="89">
                  <c:v>2.8052076819491999E-3</c:v>
                </c:pt>
                <c:pt idx="90">
                  <c:v>2.9473204784232002E-3</c:v>
                </c:pt>
                <c:pt idx="91">
                  <c:v>3.0422443781267998E-3</c:v>
                </c:pt>
                <c:pt idx="92">
                  <c:v>2.4969508374096004E-3</c:v>
                </c:pt>
                <c:pt idx="93">
                  <c:v>2.5258754990304002E-3</c:v>
                </c:pt>
                <c:pt idx="94">
                  <c:v>1.9907628844884001E-3</c:v>
                </c:pt>
                <c:pt idx="95">
                  <c:v>2.3396933526648E-3</c:v>
                </c:pt>
                <c:pt idx="96">
                  <c:v>1.7902002484344E-3</c:v>
                </c:pt>
                <c:pt idx="97">
                  <c:v>1.9723808868192002E-3</c:v>
                </c:pt>
                <c:pt idx="98">
                  <c:v>1.5832512603864001E-3</c:v>
                </c:pt>
                <c:pt idx="99">
                  <c:v>2.1459148369692002E-3</c:v>
                </c:pt>
                <c:pt idx="100">
                  <c:v>2.6327908025892003E-3</c:v>
                </c:pt>
                <c:pt idx="101">
                  <c:v>1.7237588342963999E-3</c:v>
                </c:pt>
                <c:pt idx="102">
                  <c:v>1.736506786542E-3</c:v>
                </c:pt>
                <c:pt idx="103">
                  <c:v>1.8438934066344001E-3</c:v>
                </c:pt>
                <c:pt idx="104">
                  <c:v>1.9733447457767998E-3</c:v>
                </c:pt>
                <c:pt idx="105">
                  <c:v>1.8960454403880004E-3</c:v>
                </c:pt>
                <c:pt idx="106">
                  <c:v>1.8656218751544002E-3</c:v>
                </c:pt>
                <c:pt idx="107">
                  <c:v>2.4080437470539997E-3</c:v>
                </c:pt>
                <c:pt idx="108">
                  <c:v>1.7203712285496001E-3</c:v>
                </c:pt>
                <c:pt idx="109">
                  <c:v>1.6408272558084002E-3</c:v>
                </c:pt>
                <c:pt idx="110">
                  <c:v>1.5605725170288003E-3</c:v>
                </c:pt>
                <c:pt idx="111">
                  <c:v>1.5762633813432003E-3</c:v>
                </c:pt>
                <c:pt idx="112">
                  <c:v>1.3628713846572001E-3</c:v>
                </c:pt>
                <c:pt idx="113">
                  <c:v>1.6839828508008004E-3</c:v>
                </c:pt>
                <c:pt idx="114">
                  <c:v>1.4633694479448001E-3</c:v>
                </c:pt>
                <c:pt idx="115">
                  <c:v>1.11513851428188E-3</c:v>
                </c:pt>
                <c:pt idx="116">
                  <c:v>1.2620532255262801E-3</c:v>
                </c:pt>
                <c:pt idx="117">
                  <c:v>6.6595572061391997E-4</c:v>
                </c:pt>
                <c:pt idx="118">
                  <c:v>6.9655371786528006E-4</c:v>
                </c:pt>
                <c:pt idx="119">
                  <c:v>9.9988385157276003E-4</c:v>
                </c:pt>
                <c:pt idx="120">
                  <c:v>8.3331295331063996E-4</c:v>
                </c:pt>
                <c:pt idx="121">
                  <c:v>7.3801690937568009E-4</c:v>
                </c:pt>
                <c:pt idx="122">
                  <c:v>6.7297606101791993E-4</c:v>
                </c:pt>
                <c:pt idx="123">
                  <c:v>6.0122579203235999E-4</c:v>
                </c:pt>
                <c:pt idx="124">
                  <c:v>6.4399952214444012E-4</c:v>
                </c:pt>
                <c:pt idx="125">
                  <c:v>5.2342231608743992E-4</c:v>
                </c:pt>
                <c:pt idx="126">
                  <c:v>5.6808406412604004E-4</c:v>
                </c:pt>
                <c:pt idx="127">
                  <c:v>4.5521968483992E-4</c:v>
                </c:pt>
                <c:pt idx="128">
                  <c:v>3.8383981765536E-4</c:v>
                </c:pt>
                <c:pt idx="129">
                  <c:v>3.964120088068801E-4</c:v>
                </c:pt>
                <c:pt idx="130">
                  <c:v>3.2520471660072001E-4</c:v>
                </c:pt>
                <c:pt idx="131">
                  <c:v>4.3919915929823994E-4</c:v>
                </c:pt>
                <c:pt idx="132">
                  <c:v>2.9767688999136004E-4</c:v>
                </c:pt>
                <c:pt idx="133">
                  <c:v>3.6156516877139996E-4</c:v>
                </c:pt>
                <c:pt idx="134">
                  <c:v>4.0697080652976001E-4</c:v>
                </c:pt>
                <c:pt idx="135">
                  <c:v>3.4077677559155999E-4</c:v>
                </c:pt>
                <c:pt idx="136">
                  <c:v>4.9117529382372007E-4</c:v>
                </c:pt>
                <c:pt idx="137">
                  <c:v>5.9639393128523997E-4</c:v>
                </c:pt>
                <c:pt idx="138">
                  <c:v>6.7294676128812E-4</c:v>
                </c:pt>
                <c:pt idx="139">
                  <c:v>7.3369483993212007E-4</c:v>
                </c:pt>
                <c:pt idx="140">
                  <c:v>8.7439771565388019E-4</c:v>
                </c:pt>
                <c:pt idx="141">
                  <c:v>9.2553808566516003E-4</c:v>
                </c:pt>
                <c:pt idx="142">
                  <c:v>1.13247249642648E-3</c:v>
                </c:pt>
                <c:pt idx="143">
                  <c:v>1.0725647543503199E-3</c:v>
                </c:pt>
                <c:pt idx="144">
                  <c:v>1.3687750532807999E-3</c:v>
                </c:pt>
                <c:pt idx="145">
                  <c:v>1.2417054667036801E-3</c:v>
                </c:pt>
                <c:pt idx="146">
                  <c:v>1.2756786741520802E-3</c:v>
                </c:pt>
                <c:pt idx="147">
                  <c:v>1.4824810607244E-3</c:v>
                </c:pt>
                <c:pt idx="148">
                  <c:v>1.4649294645348E-3</c:v>
                </c:pt>
                <c:pt idx="149">
                  <c:v>1.4276027975616004E-3</c:v>
                </c:pt>
                <c:pt idx="150">
                  <c:v>1.4057988389808002E-3</c:v>
                </c:pt>
                <c:pt idx="151">
                  <c:v>1.3020948113975999E-3</c:v>
                </c:pt>
                <c:pt idx="152">
                  <c:v>1.14495951187728E-3</c:v>
                </c:pt>
                <c:pt idx="153">
                  <c:v>1.22945450652156E-3</c:v>
                </c:pt>
                <c:pt idx="154">
                  <c:v>1.1591919785358001E-3</c:v>
                </c:pt>
                <c:pt idx="155">
                  <c:v>1.2174492139048799E-3</c:v>
                </c:pt>
                <c:pt idx="156">
                  <c:v>1.0133439770242802E-3</c:v>
                </c:pt>
                <c:pt idx="157">
                  <c:v>1.0019101295306401E-3</c:v>
                </c:pt>
                <c:pt idx="158">
                  <c:v>7.9899218416379998E-4</c:v>
                </c:pt>
                <c:pt idx="159">
                  <c:v>8.4550885616208006E-4</c:v>
                </c:pt>
                <c:pt idx="160">
                  <c:v>8.5512531420096005E-4</c:v>
                </c:pt>
                <c:pt idx="161">
                  <c:v>7.2782999364636011E-4</c:v>
                </c:pt>
                <c:pt idx="162">
                  <c:v>6.7852608123431999E-4</c:v>
                </c:pt>
                <c:pt idx="163">
                  <c:v>7.0067953164263991E-4</c:v>
                </c:pt>
                <c:pt idx="164">
                  <c:v>4.6569900200471993E-4</c:v>
                </c:pt>
                <c:pt idx="165">
                  <c:v>6.1355417687123997E-4</c:v>
                </c:pt>
                <c:pt idx="166">
                  <c:v>4.6640919821628002E-4</c:v>
                </c:pt>
                <c:pt idx="167">
                  <c:v>5.4537037689024004E-4</c:v>
                </c:pt>
                <c:pt idx="168">
                  <c:v>4.9584275233020001E-4</c:v>
                </c:pt>
                <c:pt idx="169">
                  <c:v>4.9842856145808009E-4</c:v>
                </c:pt>
                <c:pt idx="170">
                  <c:v>4.6296438701172004E-4</c:v>
                </c:pt>
                <c:pt idx="171">
                  <c:v>3.4608967119672006E-4</c:v>
                </c:pt>
                <c:pt idx="172">
                  <c:v>3.7861558046664004E-4</c:v>
                </c:pt>
                <c:pt idx="173">
                  <c:v>4.0075796315544002E-4</c:v>
                </c:pt>
                <c:pt idx="174">
                  <c:v>2.5321934647151999E-4</c:v>
                </c:pt>
                <c:pt idx="175">
                  <c:v>2.4177050639544E-4</c:v>
                </c:pt>
                <c:pt idx="176">
                  <c:v>2.4310517822712002E-4</c:v>
                </c:pt>
                <c:pt idx="177">
                  <c:v>2.2442350151496E-4</c:v>
                </c:pt>
                <c:pt idx="178">
                  <c:v>1.6881996514020003E-4</c:v>
                </c:pt>
                <c:pt idx="179">
                  <c:v>1.3714123982328002E-4</c:v>
                </c:pt>
                <c:pt idx="180">
                  <c:v>2.1261106844603999E-4</c:v>
                </c:pt>
                <c:pt idx="181">
                  <c:v>1.660695056922E-4</c:v>
                </c:pt>
                <c:pt idx="182">
                  <c:v>1.2365324453565601E-4</c:v>
                </c:pt>
                <c:pt idx="183">
                  <c:v>1.2095183513226001E-4</c:v>
                </c:pt>
                <c:pt idx="184">
                  <c:v>1.4752817048112001E-4</c:v>
                </c:pt>
                <c:pt idx="185">
                  <c:v>1.3237582070328E-4</c:v>
                </c:pt>
                <c:pt idx="186">
                  <c:v>1.0525648701374401E-4</c:v>
                </c:pt>
                <c:pt idx="187">
                  <c:v>9.810645289896002E-5</c:v>
                </c:pt>
                <c:pt idx="188">
                  <c:v>1.01001579281196E-4</c:v>
                </c:pt>
                <c:pt idx="189">
                  <c:v>1.0202188370457601E-4</c:v>
                </c:pt>
                <c:pt idx="190">
                  <c:v>8.642040774906001E-5</c:v>
                </c:pt>
                <c:pt idx="191">
                  <c:v>9.0643841212980004E-5</c:v>
                </c:pt>
                <c:pt idx="192">
                  <c:v>9.1140939206064007E-5</c:v>
                </c:pt>
                <c:pt idx="193">
                  <c:v>1.1344008852475201E-4</c:v>
                </c:pt>
                <c:pt idx="194">
                  <c:v>1.1265311310778801E-4</c:v>
                </c:pt>
                <c:pt idx="195">
                  <c:v>1.02470109008388E-4</c:v>
                </c:pt>
                <c:pt idx="196">
                  <c:v>9.0032292937884E-5</c:v>
                </c:pt>
                <c:pt idx="197">
                  <c:v>1.07292582160896E-4</c:v>
                </c:pt>
                <c:pt idx="198">
                  <c:v>9.0101035773539997E-5</c:v>
                </c:pt>
                <c:pt idx="199">
                  <c:v>9.2361644988888002E-5</c:v>
                </c:pt>
                <c:pt idx="200">
                  <c:v>8.9802426035916024E-5</c:v>
                </c:pt>
                <c:pt idx="201">
                  <c:v>9.4590153028667985E-5</c:v>
                </c:pt>
                <c:pt idx="202">
                  <c:v>9.4928029737552003E-5</c:v>
                </c:pt>
                <c:pt idx="203">
                  <c:v>1.05358660420332E-4</c:v>
                </c:pt>
                <c:pt idx="204">
                  <c:v>1.0105124935910401E-4</c:v>
                </c:pt>
                <c:pt idx="205">
                  <c:v>9.4316125330284003E-5</c:v>
                </c:pt>
                <c:pt idx="206">
                  <c:v>7.3952298871176003E-5</c:v>
                </c:pt>
                <c:pt idx="207">
                  <c:v>8.4128992103903999E-5</c:v>
                </c:pt>
                <c:pt idx="208">
                  <c:v>7.2408051183468002E-5</c:v>
                </c:pt>
                <c:pt idx="209">
                  <c:v>7.1619092971536008E-5</c:v>
                </c:pt>
                <c:pt idx="210">
                  <c:v>9.0785833422899994E-5</c:v>
                </c:pt>
                <c:pt idx="211">
                  <c:v>6.7371237997932007E-5</c:v>
                </c:pt>
                <c:pt idx="212">
                  <c:v>7.3328230427363998E-5</c:v>
                </c:pt>
                <c:pt idx="213">
                  <c:v>4.9228023161196001E-5</c:v>
                </c:pt>
                <c:pt idx="214">
                  <c:v>5.5879832827368001E-5</c:v>
                </c:pt>
                <c:pt idx="215">
                  <c:v>4.3521766977612008E-5</c:v>
                </c:pt>
                <c:pt idx="216">
                  <c:v>5.0342528366988006E-5</c:v>
                </c:pt>
                <c:pt idx="217">
                  <c:v>5.3033759862336002E-5</c:v>
                </c:pt>
                <c:pt idx="218">
                  <c:v>6.1573747754904004E-5</c:v>
                </c:pt>
                <c:pt idx="219">
                  <c:v>5.5833033042072007E-5</c:v>
                </c:pt>
                <c:pt idx="220">
                  <c:v>3.8671150394184E-5</c:v>
                </c:pt>
                <c:pt idx="221">
                  <c:v>4.7037400616712002E-5</c:v>
                </c:pt>
                <c:pt idx="222">
                  <c:v>5.1340062811356004E-5</c:v>
                </c:pt>
                <c:pt idx="223">
                  <c:v>4.5163040202852001E-5</c:v>
                </c:pt>
                <c:pt idx="224">
                  <c:v>3.6197578791264E-5</c:v>
                </c:pt>
                <c:pt idx="225">
                  <c:v>3.5851046008404002E-5</c:v>
                </c:pt>
                <c:pt idx="226">
                  <c:v>3.0798853728852002E-5</c:v>
                </c:pt>
                <c:pt idx="227">
                  <c:v>2.5126736111928001E-5</c:v>
                </c:pt>
                <c:pt idx="228">
                  <c:v>5.5322527431336002E-5</c:v>
                </c:pt>
                <c:pt idx="229">
                  <c:v>4.2131031289248001E-5</c:v>
                </c:pt>
                <c:pt idx="230">
                  <c:v>2.0779017499284003E-5</c:v>
                </c:pt>
                <c:pt idx="231">
                  <c:v>3.8973805289760007E-5</c:v>
                </c:pt>
                <c:pt idx="232">
                  <c:v>3.7722103247136002E-5</c:v>
                </c:pt>
                <c:pt idx="233">
                  <c:v>3.7477342182984002E-5</c:v>
                </c:pt>
                <c:pt idx="234">
                  <c:v>4.5514629729887998E-5</c:v>
                </c:pt>
                <c:pt idx="235">
                  <c:v>3.8218749424415997E-5</c:v>
                </c:pt>
                <c:pt idx="236">
                  <c:v>3.1673668621452001E-5</c:v>
                </c:pt>
                <c:pt idx="237">
                  <c:v>3.8211521756232007E-5</c:v>
                </c:pt>
                <c:pt idx="238">
                  <c:v>2.9730152406240001E-5</c:v>
                </c:pt>
                <c:pt idx="239">
                  <c:v>3.0746492149560004E-5</c:v>
                </c:pt>
                <c:pt idx="240">
                  <c:v>2.3907668018388002E-5</c:v>
                </c:pt>
                <c:pt idx="241">
                  <c:v>3.2331315707064E-5</c:v>
                </c:pt>
                <c:pt idx="242">
                  <c:v>3.1840709896512004E-5</c:v>
                </c:pt>
                <c:pt idx="243">
                  <c:v>1.14037845739356E-5</c:v>
                </c:pt>
                <c:pt idx="244">
                  <c:v>2.9694784184472001E-5</c:v>
                </c:pt>
                <c:pt idx="245">
                  <c:v>2.3767523642940001E-5</c:v>
                </c:pt>
                <c:pt idx="246">
                  <c:v>1.4788182958032E-5</c:v>
                </c:pt>
                <c:pt idx="247">
                  <c:v>1.7970938518764005E-5</c:v>
                </c:pt>
                <c:pt idx="248">
                  <c:v>2.1760929460379998E-5</c:v>
                </c:pt>
                <c:pt idx="249">
                  <c:v>2.4640890859200002E-5</c:v>
                </c:pt>
                <c:pt idx="250">
                  <c:v>1.1910552413733602E-5</c:v>
                </c:pt>
                <c:pt idx="251">
                  <c:v>2.7217587916860005E-5</c:v>
                </c:pt>
                <c:pt idx="252">
                  <c:v>2.6471427838680002E-5</c:v>
                </c:pt>
                <c:pt idx="253">
                  <c:v>1.0287306694962E-5</c:v>
                </c:pt>
                <c:pt idx="254">
                  <c:v>1.0861436433777599E-5</c:v>
                </c:pt>
                <c:pt idx="255">
                  <c:v>1.9571598934799999E-5</c:v>
                </c:pt>
                <c:pt idx="256">
                  <c:v>1.6960305830952001E-5</c:v>
                </c:pt>
                <c:pt idx="257">
                  <c:v>1.4977295013120001E-5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8.0611E-03</c:v>
                </c:pt>
                <c:pt idx="1">
                  <c:v>8.1417E-03</c:v>
                </c:pt>
                <c:pt idx="2">
                  <c:v>8.2232E-03</c:v>
                </c:pt>
                <c:pt idx="3">
                  <c:v>8.3054E-03</c:v>
                </c:pt>
                <c:pt idx="4">
                  <c:v>8.3884E-03</c:v>
                </c:pt>
                <c:pt idx="5">
                  <c:v>8.4723E-03</c:v>
                </c:pt>
                <c:pt idx="6">
                  <c:v>8.5571E-03</c:v>
                </c:pt>
                <c:pt idx="7">
                  <c:v>8.6426E-03</c:v>
                </c:pt>
                <c:pt idx="8">
                  <c:v>8.7290E-03</c:v>
                </c:pt>
                <c:pt idx="9">
                  <c:v>8.8163E-03</c:v>
                </c:pt>
                <c:pt idx="10">
                  <c:v>8.9045E-03</c:v>
                </c:pt>
                <c:pt idx="11">
                  <c:v>8.9935E-03</c:v>
                </c:pt>
                <c:pt idx="12">
                  <c:v>9.0835E-03</c:v>
                </c:pt>
                <c:pt idx="13">
                  <c:v>9.1743E-03</c:v>
                </c:pt>
                <c:pt idx="14">
                  <c:v>9.2661E-03</c:v>
                </c:pt>
                <c:pt idx="15">
                  <c:v>9.3587E-03</c:v>
                </c:pt>
                <c:pt idx="16">
                  <c:v>9.4523E-03</c:v>
                </c:pt>
                <c:pt idx="17">
                  <c:v>9.5468E-03</c:v>
                </c:pt>
                <c:pt idx="18">
                  <c:v>9.6423E-03</c:v>
                </c:pt>
                <c:pt idx="19">
                  <c:v>9.7387E-03</c:v>
                </c:pt>
                <c:pt idx="20">
                  <c:v>9.8361E-03</c:v>
                </c:pt>
                <c:pt idx="21">
                  <c:v>9.9345E-03</c:v>
                </c:pt>
                <c:pt idx="22">
                  <c:v>1.0034E-02</c:v>
                </c:pt>
                <c:pt idx="23">
                  <c:v>1.0134E-02</c:v>
                </c:pt>
                <c:pt idx="24">
                  <c:v>1.0235E-02</c:v>
                </c:pt>
                <c:pt idx="25">
                  <c:v>1.0338E-02</c:v>
                </c:pt>
                <c:pt idx="26">
                  <c:v>1.0441E-02</c:v>
                </c:pt>
                <c:pt idx="27">
                  <c:v>1.0546E-02</c:v>
                </c:pt>
                <c:pt idx="28">
                  <c:v>1.0651E-02</c:v>
                </c:pt>
                <c:pt idx="29">
                  <c:v>1.0758E-02</c:v>
                </c:pt>
                <c:pt idx="30">
                  <c:v>1.0865E-02</c:v>
                </c:pt>
                <c:pt idx="31">
                  <c:v>1.0974E-02</c:v>
                </c:pt>
                <c:pt idx="32">
                  <c:v>1.1084E-02</c:v>
                </c:pt>
                <c:pt idx="33">
                  <c:v>1.1194E-02</c:v>
                </c:pt>
                <c:pt idx="34">
                  <c:v>1.1306E-02</c:v>
                </c:pt>
                <c:pt idx="35">
                  <c:v>1.1419E-02</c:v>
                </c:pt>
                <c:pt idx="36">
                  <c:v>1.1534E-02</c:v>
                </c:pt>
                <c:pt idx="37">
                  <c:v>1.1649E-02</c:v>
                </c:pt>
                <c:pt idx="38">
                  <c:v>1.1765E-02</c:v>
                </c:pt>
                <c:pt idx="39">
                  <c:v>1.1883E-02</c:v>
                </c:pt>
                <c:pt idx="40">
                  <c:v>1.2002E-02</c:v>
                </c:pt>
                <c:pt idx="41">
                  <c:v>1.2122E-02</c:v>
                </c:pt>
                <c:pt idx="42">
                  <c:v>1.2243E-02</c:v>
                </c:pt>
                <c:pt idx="43">
                  <c:v>1.2366E-02</c:v>
                </c:pt>
                <c:pt idx="44">
                  <c:v>1.2489E-02</c:v>
                </c:pt>
                <c:pt idx="45">
                  <c:v>1.2614E-02</c:v>
                </c:pt>
                <c:pt idx="46">
                  <c:v>1.2740E-02</c:v>
                </c:pt>
                <c:pt idx="47">
                  <c:v>1.2868E-02</c:v>
                </c:pt>
                <c:pt idx="48">
                  <c:v>1.2996E-02</c:v>
                </c:pt>
                <c:pt idx="49">
                  <c:v>1.3126E-02</c:v>
                </c:pt>
                <c:pt idx="50">
                  <c:v>1.3258E-02</c:v>
                </c:pt>
                <c:pt idx="51">
                  <c:v>1.3390E-02</c:v>
                </c:pt>
                <c:pt idx="52">
                  <c:v>1.3524E-02</c:v>
                </c:pt>
                <c:pt idx="53">
                  <c:v>1.3659E-02</c:v>
                </c:pt>
                <c:pt idx="54">
                  <c:v>1.3796E-02</c:v>
                </c:pt>
                <c:pt idx="55">
                  <c:v>1.3934E-02</c:v>
                </c:pt>
                <c:pt idx="56">
                  <c:v>1.4073E-02</c:v>
                </c:pt>
                <c:pt idx="57">
                  <c:v>1.4214E-02</c:v>
                </c:pt>
                <c:pt idx="58">
                  <c:v>1.4356E-02</c:v>
                </c:pt>
                <c:pt idx="59">
                  <c:v>1.4500E-02</c:v>
                </c:pt>
                <c:pt idx="60">
                  <c:v>1.4645E-02</c:v>
                </c:pt>
                <c:pt idx="61">
                  <c:v>1.4791E-02</c:v>
                </c:pt>
                <c:pt idx="62">
                  <c:v>1.4939E-02</c:v>
                </c:pt>
                <c:pt idx="63">
                  <c:v>1.5088E-02</c:v>
                </c:pt>
                <c:pt idx="64">
                  <c:v>1.5239E-02</c:v>
                </c:pt>
                <c:pt idx="65">
                  <c:v>1.5392E-02</c:v>
                </c:pt>
                <c:pt idx="66">
                  <c:v>1.5546E-02</c:v>
                </c:pt>
                <c:pt idx="67">
                  <c:v>1.5701E-02</c:v>
                </c:pt>
                <c:pt idx="68">
                  <c:v>1.5858E-02</c:v>
                </c:pt>
                <c:pt idx="69">
                  <c:v>1.6017E-02</c:v>
                </c:pt>
                <c:pt idx="70">
                  <c:v>1.6177E-02</c:v>
                </c:pt>
                <c:pt idx="71">
                  <c:v>1.6339E-02</c:v>
                </c:pt>
                <c:pt idx="72">
                  <c:v>1.6502E-02</c:v>
                </c:pt>
                <c:pt idx="73">
                  <c:v>1.6667E-02</c:v>
                </c:pt>
                <c:pt idx="74">
                  <c:v>1.6834E-02</c:v>
                </c:pt>
                <c:pt idx="75">
                  <c:v>1.7002E-02</c:v>
                </c:pt>
                <c:pt idx="76">
                  <c:v>1.7172E-02</c:v>
                </c:pt>
                <c:pt idx="77">
                  <c:v>1.7344E-02</c:v>
                </c:pt>
                <c:pt idx="78">
                  <c:v>1.7517E-02</c:v>
                </c:pt>
                <c:pt idx="79">
                  <c:v>1.7692E-02</c:v>
                </c:pt>
                <c:pt idx="80">
                  <c:v>1.7869E-02</c:v>
                </c:pt>
                <c:pt idx="81">
                  <c:v>1.8048E-02</c:v>
                </c:pt>
                <c:pt idx="82">
                  <c:v>1.8228E-02</c:v>
                </c:pt>
                <c:pt idx="83">
                  <c:v>1.8411E-02</c:v>
                </c:pt>
                <c:pt idx="84">
                  <c:v>1.8595E-02</c:v>
                </c:pt>
                <c:pt idx="85">
                  <c:v>1.8781E-02</c:v>
                </c:pt>
                <c:pt idx="86">
                  <c:v>1.8969E-02</c:v>
                </c:pt>
                <c:pt idx="87">
                  <c:v>1.9158E-02</c:v>
                </c:pt>
                <c:pt idx="88">
                  <c:v>1.9350E-02</c:v>
                </c:pt>
                <c:pt idx="89">
                  <c:v>1.9543E-02</c:v>
                </c:pt>
                <c:pt idx="90">
                  <c:v>1.9739E-02</c:v>
                </c:pt>
                <c:pt idx="91">
                  <c:v>1.9936E-02</c:v>
                </c:pt>
                <c:pt idx="92">
                  <c:v>2.0135E-02</c:v>
                </c:pt>
                <c:pt idx="93">
                  <c:v>2.0337E-02</c:v>
                </c:pt>
                <c:pt idx="94">
                  <c:v>2.0540E-02</c:v>
                </c:pt>
                <c:pt idx="95">
                  <c:v>2.0746E-02</c:v>
                </c:pt>
                <c:pt idx="96">
                  <c:v>2.0953E-02</c:v>
                </c:pt>
                <c:pt idx="97">
                  <c:v>2.1163E-02</c:v>
                </c:pt>
                <c:pt idx="98">
                  <c:v>2.1374E-02</c:v>
                </c:pt>
                <c:pt idx="99">
                  <c:v>2.1588E-02</c:v>
                </c:pt>
                <c:pt idx="100">
                  <c:v>2.1804E-02</c:v>
                </c:pt>
                <c:pt idx="101">
                  <c:v>2.2022E-02</c:v>
                </c:pt>
                <c:pt idx="102">
                  <c:v>2.2242E-02</c:v>
                </c:pt>
                <c:pt idx="103">
                  <c:v>2.2465E-02</c:v>
                </c:pt>
                <c:pt idx="104">
                  <c:v>2.2689E-02</c:v>
                </c:pt>
                <c:pt idx="105">
                  <c:v>2.2916E-02</c:v>
                </c:pt>
                <c:pt idx="106">
                  <c:v>2.3145E-02</c:v>
                </c:pt>
                <c:pt idx="107">
                  <c:v>2.3377E-02</c:v>
                </c:pt>
                <c:pt idx="108">
                  <c:v>2.3610E-02</c:v>
                </c:pt>
                <c:pt idx="109">
                  <c:v>2.3847E-02</c:v>
                </c:pt>
                <c:pt idx="110">
                  <c:v>2.4085E-02</c:v>
                </c:pt>
                <c:pt idx="111">
                  <c:v>2.4326E-02</c:v>
                </c:pt>
                <c:pt idx="112">
                  <c:v>2.4569E-02</c:v>
                </c:pt>
                <c:pt idx="113">
                  <c:v>2.4815E-02</c:v>
                </c:pt>
                <c:pt idx="114">
                  <c:v>2.5063E-02</c:v>
                </c:pt>
                <c:pt idx="115">
                  <c:v>2.5314E-02</c:v>
                </c:pt>
                <c:pt idx="116">
                  <c:v>2.5567E-02</c:v>
                </c:pt>
                <c:pt idx="117">
                  <c:v>2.5822E-02</c:v>
                </c:pt>
                <c:pt idx="118">
                  <c:v>2.6081E-02</c:v>
                </c:pt>
                <c:pt idx="119">
                  <c:v>2.6341E-02</c:v>
                </c:pt>
                <c:pt idx="120">
                  <c:v>2.6605E-02</c:v>
                </c:pt>
                <c:pt idx="121">
                  <c:v>2.6871E-02</c:v>
                </c:pt>
                <c:pt idx="122">
                  <c:v>2.7140E-02</c:v>
                </c:pt>
                <c:pt idx="123">
                  <c:v>2.7411E-02</c:v>
                </c:pt>
                <c:pt idx="124">
                  <c:v>2.7685E-02</c:v>
                </c:pt>
                <c:pt idx="125">
                  <c:v>2.7962E-02</c:v>
                </c:pt>
                <c:pt idx="126">
                  <c:v>2.8242E-02</c:v>
                </c:pt>
                <c:pt idx="127">
                  <c:v>2.8524E-02</c:v>
                </c:pt>
                <c:pt idx="128">
                  <c:v>2.8809E-02</c:v>
                </c:pt>
                <c:pt idx="129">
                  <c:v>2.9097E-02</c:v>
                </c:pt>
                <c:pt idx="130">
                  <c:v>2.9388E-02</c:v>
                </c:pt>
                <c:pt idx="131">
                  <c:v>2.9682E-02</c:v>
                </c:pt>
                <c:pt idx="132">
                  <c:v>2.9979E-02</c:v>
                </c:pt>
                <c:pt idx="133">
                  <c:v>3.0279E-02</c:v>
                </c:pt>
                <c:pt idx="134">
                  <c:v>3.0582E-02</c:v>
                </c:pt>
                <c:pt idx="135">
                  <c:v>3.0887E-02</c:v>
                </c:pt>
                <c:pt idx="136">
                  <c:v>3.1196E-02</c:v>
                </c:pt>
                <c:pt idx="137">
                  <c:v>3.1508E-02</c:v>
                </c:pt>
                <c:pt idx="138">
                  <c:v>3.1823E-02</c:v>
                </c:pt>
                <c:pt idx="139">
                  <c:v>3.2142E-02</c:v>
                </c:pt>
                <c:pt idx="140">
                  <c:v>3.2463E-02</c:v>
                </c:pt>
                <c:pt idx="141">
                  <c:v>3.2788E-02</c:v>
                </c:pt>
                <c:pt idx="142">
                  <c:v>3.3115E-02</c:v>
                </c:pt>
                <c:pt idx="143">
                  <c:v>3.3447E-02</c:v>
                </c:pt>
                <c:pt idx="144">
                  <c:v>3.3781E-02</c:v>
                </c:pt>
                <c:pt idx="145">
                  <c:v>3.4119E-02</c:v>
                </c:pt>
                <c:pt idx="146">
                  <c:v>3.4460E-02</c:v>
                </c:pt>
                <c:pt idx="147">
                  <c:v>3.4805E-02</c:v>
                </c:pt>
                <c:pt idx="148">
                  <c:v>3.5153E-02</c:v>
                </c:pt>
                <c:pt idx="149">
                  <c:v>3.5504E-02</c:v>
                </c:pt>
                <c:pt idx="150">
                  <c:v>3.5859E-02</c:v>
                </c:pt>
                <c:pt idx="151">
                  <c:v>3.6218E-02</c:v>
                </c:pt>
                <c:pt idx="152">
                  <c:v>3.6580E-02</c:v>
                </c:pt>
                <c:pt idx="153">
                  <c:v>3.6946E-02</c:v>
                </c:pt>
                <c:pt idx="154">
                  <c:v>3.7315E-02</c:v>
                </c:pt>
                <c:pt idx="155">
                  <c:v>3.7689E-02</c:v>
                </c:pt>
                <c:pt idx="156">
                  <c:v>3.8065E-02</c:v>
                </c:pt>
                <c:pt idx="157">
                  <c:v>3.8446E-02</c:v>
                </c:pt>
                <c:pt idx="158">
                  <c:v>3.8831E-02</c:v>
                </c:pt>
                <c:pt idx="159">
                  <c:v>3.9219E-02</c:v>
                </c:pt>
                <c:pt idx="160">
                  <c:v>3.9611E-02</c:v>
                </c:pt>
                <c:pt idx="161">
                  <c:v>4.0007E-02</c:v>
                </c:pt>
                <c:pt idx="162">
                  <c:v>4.0407E-02</c:v>
                </c:pt>
                <c:pt idx="163">
                  <c:v>4.0811E-02</c:v>
                </c:pt>
                <c:pt idx="164">
                  <c:v>4.1219E-02</c:v>
                </c:pt>
                <c:pt idx="165">
                  <c:v>4.1632E-02</c:v>
                </c:pt>
                <c:pt idx="166">
                  <c:v>4.2048E-02</c:v>
                </c:pt>
                <c:pt idx="167">
                  <c:v>4.2468E-02</c:v>
                </c:pt>
                <c:pt idx="168">
                  <c:v>4.2893E-02</c:v>
                </c:pt>
                <c:pt idx="169">
                  <c:v>4.3322E-02</c:v>
                </c:pt>
                <c:pt idx="170">
                  <c:v>4.3755E-02</c:v>
                </c:pt>
                <c:pt idx="171">
                  <c:v>4.4193E-02</c:v>
                </c:pt>
                <c:pt idx="172">
                  <c:v>4.4635E-02</c:v>
                </c:pt>
                <c:pt idx="173">
                  <c:v>4.5081E-02</c:v>
                </c:pt>
                <c:pt idx="174">
                  <c:v>4.5532E-02</c:v>
                </c:pt>
                <c:pt idx="175">
                  <c:v>4.5987E-02</c:v>
                </c:pt>
                <c:pt idx="176">
                  <c:v>4.6447E-02</c:v>
                </c:pt>
                <c:pt idx="177">
                  <c:v>4.6911E-02</c:v>
                </c:pt>
                <c:pt idx="178">
                  <c:v>4.7381E-02</c:v>
                </c:pt>
                <c:pt idx="179">
                  <c:v>4.7854E-02</c:v>
                </c:pt>
                <c:pt idx="180">
                  <c:v>4.8333E-02</c:v>
                </c:pt>
                <c:pt idx="181">
                  <c:v>4.8816E-02</c:v>
                </c:pt>
                <c:pt idx="182">
                  <c:v>4.9304E-02</c:v>
                </c:pt>
                <c:pt idx="183">
                  <c:v>4.9797E-02</c:v>
                </c:pt>
                <c:pt idx="184">
                  <c:v>5.0295E-02</c:v>
                </c:pt>
                <c:pt idx="185">
                  <c:v>5.0798E-02</c:v>
                </c:pt>
                <c:pt idx="186">
                  <c:v>5.1306E-02</c:v>
                </c:pt>
                <c:pt idx="187">
                  <c:v>5.1819E-02</c:v>
                </c:pt>
                <c:pt idx="188">
                  <c:v>5.2338E-02</c:v>
                </c:pt>
                <c:pt idx="189">
                  <c:v>5.2861E-02</c:v>
                </c:pt>
                <c:pt idx="190">
                  <c:v>5.3390E-02</c:v>
                </c:pt>
                <c:pt idx="191">
                  <c:v>5.3924E-02</c:v>
                </c:pt>
                <c:pt idx="192">
                  <c:v>5.4463E-02</c:v>
                </c:pt>
                <c:pt idx="193">
                  <c:v>5.5007E-02</c:v>
                </c:pt>
                <c:pt idx="194">
                  <c:v>5.5557E-02</c:v>
                </c:pt>
                <c:pt idx="195">
                  <c:v>5.6113E-02</c:v>
                </c:pt>
                <c:pt idx="196">
                  <c:v>5.6674E-02</c:v>
                </c:pt>
                <c:pt idx="197">
                  <c:v>5.7241E-02</c:v>
                </c:pt>
                <c:pt idx="198">
                  <c:v>5.7813E-02</c:v>
                </c:pt>
                <c:pt idx="199">
                  <c:v>5.8391E-02</c:v>
                </c:pt>
                <c:pt idx="200">
                  <c:v>5.8975E-02</c:v>
                </c:pt>
                <c:pt idx="201">
                  <c:v>5.9565E-02</c:v>
                </c:pt>
                <c:pt idx="202">
                  <c:v>6.0161E-02</c:v>
                </c:pt>
                <c:pt idx="203">
                  <c:v>6.0762E-02</c:v>
                </c:pt>
                <c:pt idx="204">
                  <c:v>6.1370E-02</c:v>
                </c:pt>
                <c:pt idx="205">
                  <c:v>6.1984E-02</c:v>
                </c:pt>
                <c:pt idx="206">
                  <c:v>6.2604E-02</c:v>
                </c:pt>
                <c:pt idx="207">
                  <c:v>6.3230E-02</c:v>
                </c:pt>
                <c:pt idx="208">
                  <c:v>6.3862E-02</c:v>
                </c:pt>
                <c:pt idx="209">
                  <c:v>6.4500E-02</c:v>
                </c:pt>
                <c:pt idx="210">
                  <c:v>6.5146E-02</c:v>
                </c:pt>
                <c:pt idx="211">
                  <c:v>6.5797E-02</c:v>
                </c:pt>
                <c:pt idx="212">
                  <c:v>6.6455E-02</c:v>
                </c:pt>
                <c:pt idx="213">
                  <c:v>6.7119E-02</c:v>
                </c:pt>
                <c:pt idx="214">
                  <c:v>6.7791E-02</c:v>
                </c:pt>
                <c:pt idx="215">
                  <c:v>6.8469E-02</c:v>
                </c:pt>
                <c:pt idx="216">
                  <c:v>6.9153E-02</c:v>
                </c:pt>
                <c:pt idx="217">
                  <c:v>6.9845E-02</c:v>
                </c:pt>
                <c:pt idx="218">
                  <c:v>7.0543E-02</c:v>
                </c:pt>
                <c:pt idx="219">
                  <c:v>7.1249E-02</c:v>
                </c:pt>
                <c:pt idx="220">
                  <c:v>7.1961E-02</c:v>
                </c:pt>
                <c:pt idx="221">
                  <c:v>7.2681E-02</c:v>
                </c:pt>
                <c:pt idx="222">
                  <c:v>7.3408E-02</c:v>
                </c:pt>
                <c:pt idx="223">
                  <c:v>7.4142E-02</c:v>
                </c:pt>
                <c:pt idx="224">
                  <c:v>7.4883E-02</c:v>
                </c:pt>
                <c:pt idx="225">
                  <c:v>7.5632E-02</c:v>
                </c:pt>
                <c:pt idx="226">
                  <c:v>7.6388E-02</c:v>
                </c:pt>
                <c:pt idx="227">
                  <c:v>7.7152E-02</c:v>
                </c:pt>
                <c:pt idx="228">
                  <c:v>7.7924E-02</c:v>
                </c:pt>
                <c:pt idx="229">
                  <c:v>7.8703E-02</c:v>
                </c:pt>
                <c:pt idx="230">
                  <c:v>7.9490E-02</c:v>
                </c:pt>
                <c:pt idx="231">
                  <c:v>8.0285E-02</c:v>
                </c:pt>
                <c:pt idx="232">
                  <c:v>8.1088E-02</c:v>
                </c:pt>
                <c:pt idx="233">
                  <c:v>8.1899E-02</c:v>
                </c:pt>
                <c:pt idx="234">
                  <c:v>8.2718E-02</c:v>
                </c:pt>
                <c:pt idx="235">
                  <c:v>8.3545E-02</c:v>
                </c:pt>
                <c:pt idx="236">
                  <c:v>8.4380E-02</c:v>
                </c:pt>
                <c:pt idx="237">
                  <c:v>8.5224E-02</c:v>
                </c:pt>
                <c:pt idx="238">
                  <c:v>8.6076E-02</c:v>
                </c:pt>
                <c:pt idx="239">
                  <c:v>8.6937E-02</c:v>
                </c:pt>
                <c:pt idx="240">
                  <c:v>8.7806E-02</c:v>
                </c:pt>
                <c:pt idx="241">
                  <c:v>8.8684E-02</c:v>
                </c:pt>
                <c:pt idx="242">
                  <c:v>8.9571E-02</c:v>
                </c:pt>
                <c:pt idx="243">
                  <c:v>9.0467E-02</c:v>
                </c:pt>
                <c:pt idx="244">
                  <c:v>9.1372E-02</c:v>
                </c:pt>
                <c:pt idx="245">
                  <c:v>9.2285E-02</c:v>
                </c:pt>
                <c:pt idx="246">
                  <c:v>9.3208E-02</c:v>
                </c:pt>
                <c:pt idx="247">
                  <c:v>9.4140E-02</c:v>
                </c:pt>
                <c:pt idx="248">
                  <c:v>9.5082E-02</c:v>
                </c:pt>
                <c:pt idx="249">
                  <c:v>9.6032E-02</c:v>
                </c:pt>
                <c:pt idx="250">
                  <c:v>9.6993E-02</c:v>
                </c:pt>
                <c:pt idx="251">
                  <c:v>9.7963E-02</c:v>
                </c:pt>
                <c:pt idx="252">
                  <c:v>9.8942E-02</c:v>
                </c:pt>
                <c:pt idx="253">
                  <c:v>9.9932E-02</c:v>
                </c:pt>
                <c:pt idx="254">
                  <c:v>1.0093E-01</c:v>
                </c:pt>
                <c:pt idx="255">
                  <c:v>1.0194E-01</c:v>
                </c:pt>
                <c:pt idx="256">
                  <c:v>1.0296E-01</c:v>
                </c:pt>
                <c:pt idx="257">
                  <c:v>1.0399E-01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0.0000E+00</c:formatCode>
                <c:ptCount val="335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3.9742994230832891E-2</c:v>
                </c:pt>
                <c:pt idx="1">
                  <c:v>3.7877318857830987E-2</c:v>
                </c:pt>
                <c:pt idx="2">
                  <c:v>3.6118050267269143E-2</c:v>
                </c:pt>
                <c:pt idx="3">
                  <c:v>3.4467331535902479E-2</c:v>
                </c:pt>
                <c:pt idx="4">
                  <c:v>3.2929584294221048E-2</c:v>
                </c:pt>
                <c:pt idx="5">
                  <c:v>3.1510396982109098E-2</c:v>
                </c:pt>
                <c:pt idx="6">
                  <c:v>3.0214996178843032E-2</c:v>
                </c:pt>
                <c:pt idx="7">
                  <c:v>2.9047591963583058E-2</c:v>
                </c:pt>
                <c:pt idx="8">
                  <c:v>2.8011486819532146E-2</c:v>
                </c:pt>
                <c:pt idx="9">
                  <c:v>2.7109889633475659E-2</c:v>
                </c:pt>
                <c:pt idx="10">
                  <c:v>2.6343640015138434E-2</c:v>
                </c:pt>
                <c:pt idx="11">
                  <c:v>2.5715231845456384E-2</c:v>
                </c:pt>
                <c:pt idx="12">
                  <c:v>2.5225875993825989E-2</c:v>
                </c:pt>
                <c:pt idx="13">
                  <c:v>2.4876260617336693E-2</c:v>
                </c:pt>
                <c:pt idx="14">
                  <c:v>2.4666518498938972E-2</c:v>
                </c:pt>
                <c:pt idx="15">
                  <c:v>2.4596196539883201E-2</c:v>
                </c:pt>
                <c:pt idx="16">
                  <c:v>2.4664227803110644E-2</c:v>
                </c:pt>
                <c:pt idx="17">
                  <c:v>2.4868906501942532E-2</c:v>
                </c:pt>
                <c:pt idx="18">
                  <c:v>2.5207866320713736E-2</c:v>
                </c:pt>
                <c:pt idx="19">
                  <c:v>2.5678062441231608E-2</c:v>
                </c:pt>
                <c:pt idx="20">
                  <c:v>2.6275757631613397E-2</c:v>
                </c:pt>
                <c:pt idx="21">
                  <c:v>2.6996512730626511E-2</c:v>
                </c:pt>
                <c:pt idx="22">
                  <c:v>2.78351818342202E-2</c:v>
                </c:pt>
                <c:pt idx="23">
                  <c:v>2.8785912457576817E-2</c:v>
                </c:pt>
                <c:pt idx="24">
                  <c:v>2.9843261027790734E-2</c:v>
                </c:pt>
                <c:pt idx="25">
                  <c:v>3.0997861047120906E-2</c:v>
                </c:pt>
                <c:pt idx="26">
                  <c:v>3.2242783596010759E-2</c:v>
                </c:pt>
                <c:pt idx="27">
                  <c:v>3.3569460422331582E-2</c:v>
                </c:pt>
                <c:pt idx="28">
                  <c:v>3.4968699118764351E-2</c:v>
                </c:pt>
                <c:pt idx="29">
                  <c:v>3.6430716748796735E-2</c:v>
                </c:pt>
                <c:pt idx="30">
                  <c:v>3.7945179260884185E-2</c:v>
                </c:pt>
                <c:pt idx="31">
                  <c:v>3.9501246650532791E-2</c:v>
                </c:pt>
                <c:pt idx="32">
                  <c:v>4.1087623757895528E-2</c:v>
                </c:pt>
                <c:pt idx="33">
                  <c:v>4.2692616588148991E-2</c:v>
                </c:pt>
                <c:pt idx="34">
                  <c:v>4.4304193988891002E-2</c:v>
                </c:pt>
                <c:pt idx="35">
                  <c:v>4.5910054470473388E-2</c:v>
                </c:pt>
                <c:pt idx="36">
                  <c:v>4.7497697961003817E-2</c:v>
                </c:pt>
                <c:pt idx="37">
                  <c:v>4.9054502224745847E-2</c:v>
                </c:pt>
                <c:pt idx="38">
                  <c:v>5.0567803639426451E-2</c:v>
                </c:pt>
                <c:pt idx="39">
                  <c:v>5.2024982024343316E-2</c:v>
                </c:pt>
                <c:pt idx="40">
                  <c:v>5.341354915497161E-2</c:v>
                </c:pt>
                <c:pt idx="41">
                  <c:v>5.4721240551383249E-2</c:v>
                </c:pt>
                <c:pt idx="42">
                  <c:v>5.5936110115718127E-2</c:v>
                </c:pt>
                <c:pt idx="43">
                  <c:v>5.7046627118449697E-2</c:v>
                </c:pt>
                <c:pt idx="44">
                  <c:v>5.8041774969754101E-2</c:v>
                </c:pt>
                <c:pt idx="45">
                  <c:v>5.8910616985616331E-2</c:v>
                </c:pt>
                <c:pt idx="46">
                  <c:v>5.9644772958183143E-2</c:v>
                </c:pt>
                <c:pt idx="47">
                  <c:v>6.0234579647051784E-2</c:v>
                </c:pt>
                <c:pt idx="48">
                  <c:v>6.0672076336835939E-2</c:v>
                </c:pt>
                <c:pt idx="49">
                  <c:v>6.095031266848866E-2</c:v>
                </c:pt>
                <c:pt idx="50">
                  <c:v>6.1063441913271191E-2</c:v>
                </c:pt>
                <c:pt idx="51">
                  <c:v>6.1006809613574034E-2</c:v>
                </c:pt>
                <c:pt idx="52">
                  <c:v>6.0777036190810131E-2</c:v>
                </c:pt>
                <c:pt idx="53">
                  <c:v>6.0372091992073357E-2</c:v>
                </c:pt>
                <c:pt idx="54">
                  <c:v>5.9791363126991855E-2</c:v>
                </c:pt>
                <c:pt idx="55">
                  <c:v>5.9035706343334583E-2</c:v>
                </c:pt>
                <c:pt idx="56">
                  <c:v>5.8107491117045447E-2</c:v>
                </c:pt>
                <c:pt idx="57">
                  <c:v>5.7010627106518094E-2</c:v>
                </c:pt>
                <c:pt idx="58">
                  <c:v>5.5750575119527954E-2</c:v>
                </c:pt>
                <c:pt idx="59">
                  <c:v>5.4334339831859493E-2</c:v>
                </c:pt>
                <c:pt idx="60">
                  <c:v>5.2768642415408185E-2</c:v>
                </c:pt>
                <c:pt idx="61">
                  <c:v>5.106693474136835E-2</c:v>
                </c:pt>
                <c:pt idx="62">
                  <c:v>4.9238969950575751E-2</c:v>
                </c:pt>
                <c:pt idx="63">
                  <c:v>4.7297438098732048E-2</c:v>
                </c:pt>
                <c:pt idx="64">
                  <c:v>4.5256215577503728E-2</c:v>
                </c:pt>
                <c:pt idx="65">
                  <c:v>4.3130224973861722E-2</c:v>
                </c:pt>
                <c:pt idx="66">
                  <c:v>4.0935272776204339E-2</c:v>
                </c:pt>
                <c:pt idx="67">
                  <c:v>3.868786646043311E-2</c:v>
                </c:pt>
                <c:pt idx="68">
                  <c:v>3.6405013086357935E-2</c:v>
                </c:pt>
                <c:pt idx="69">
                  <c:v>3.4104002183863946E-2</c:v>
                </c:pt>
                <c:pt idx="70">
                  <c:v>3.180217633258068E-2</c:v>
                </c:pt>
                <c:pt idx="71">
                  <c:v>2.9516693363159711E-2</c:v>
                </c:pt>
                <c:pt idx="72">
                  <c:v>2.7264284576730538E-2</c:v>
                </c:pt>
                <c:pt idx="73">
                  <c:v>2.506101377005002E-2</c:v>
                </c:pt>
                <c:pt idx="74">
                  <c:v>2.292204207521949E-2</c:v>
                </c:pt>
                <c:pt idx="75">
                  <c:v>2.0861403805432277E-2</c:v>
                </c:pt>
                <c:pt idx="76">
                  <c:v>1.889179843259969E-2</c:v>
                </c:pt>
                <c:pt idx="77">
                  <c:v>1.7024403740567379E-2</c:v>
                </c:pt>
                <c:pt idx="78">
                  <c:v>1.5268714867038761E-2</c:v>
                </c:pt>
                <c:pt idx="79">
                  <c:v>1.3632413549652321E-2</c:v>
                </c:pt>
                <c:pt idx="80">
                  <c:v>1.2121271349811131E-2</c:v>
                </c:pt>
                <c:pt idx="81">
                  <c:v>1.0739089901243835E-2</c:v>
                </c:pt>
                <c:pt idx="82">
                  <c:v>9.4876804691184022E-3</c:v>
                </c:pt>
                <c:pt idx="83">
                  <c:v>8.3668841806288832E-3</c:v>
                </c:pt>
                <c:pt idx="84">
                  <c:v>7.3746333037793621E-3</c:v>
                </c:pt>
                <c:pt idx="85">
                  <c:v>6.5070528937343445E-3</c:v>
                </c:pt>
                <c:pt idx="86">
                  <c:v>5.758601045944646E-3</c:v>
                </c:pt>
                <c:pt idx="87">
                  <c:v>5.1222448986253076E-3</c:v>
                </c:pt>
                <c:pt idx="88">
                  <c:v>4.589668461340614E-3</c:v>
                </c:pt>
                <c:pt idx="89">
                  <c:v>4.1515073371985482E-3</c:v>
                </c:pt>
                <c:pt idx="90">
                  <c:v>3.7976044953275381E-3</c:v>
                </c:pt>
                <c:pt idx="91">
                  <c:v>3.5172804470802728E-3</c:v>
                </c:pt>
                <c:pt idx="92">
                  <c:v>3.2996105418988592E-3</c:v>
                </c:pt>
                <c:pt idx="93">
                  <c:v>3.1337016414719671E-3</c:v>
                </c:pt>
                <c:pt idx="94">
                  <c:v>3.0089601713142022E-3</c:v>
                </c:pt>
                <c:pt idx="95">
                  <c:v>2.9153435397918761E-3</c:v>
                </c:pt>
                <c:pt idx="96">
                  <c:v>2.8435871545713755E-3</c:v>
                </c:pt>
                <c:pt idx="97">
                  <c:v>2.7853997921093864E-3</c:v>
                </c:pt>
                <c:pt idx="98">
                  <c:v>2.7336208959114643E-3</c:v>
                </c:pt>
                <c:pt idx="99">
                  <c:v>2.6824362517322573E-3</c:v>
                </c:pt>
                <c:pt idx="100">
                  <c:v>2.6270468913400266E-3</c:v>
                </c:pt>
                <c:pt idx="101">
                  <c:v>2.5642679875241782E-3</c:v>
                </c:pt>
                <c:pt idx="102">
                  <c:v>2.4921176398664756E-3</c:v>
                </c:pt>
                <c:pt idx="103">
                  <c:v>2.4098290468947806E-3</c:v>
                </c:pt>
                <c:pt idx="104">
                  <c:v>2.317725127872026E-3</c:v>
                </c:pt>
                <c:pt idx="105">
                  <c:v>2.2170545099148391E-3</c:v>
                </c:pt>
                <c:pt idx="106">
                  <c:v>2.1097965771898451E-3</c:v>
                </c:pt>
                <c:pt idx="107">
                  <c:v>1.998444908600956E-3</c:v>
                </c:pt>
                <c:pt idx="108">
                  <c:v>1.88577969684545E-3</c:v>
                </c:pt>
                <c:pt idx="109">
                  <c:v>1.7746405528707384E-3</c:v>
                </c:pt>
                <c:pt idx="110">
                  <c:v>1.6677113827849152E-3</c:v>
                </c:pt>
                <c:pt idx="111">
                  <c:v>1.5673287252078623E-3</c:v>
                </c:pt>
                <c:pt idx="112">
                  <c:v>1.4753240164123173E-3</c:v>
                </c:pt>
                <c:pt idx="113">
                  <c:v>1.3929086994066777E-3</c:v>
                </c:pt>
                <c:pt idx="114">
                  <c:v>1.3206089181342997E-3</c:v>
                </c:pt>
                <c:pt idx="115">
                  <c:v>1.258253787208279E-3</c:v>
                </c:pt>
                <c:pt idx="116">
                  <c:v>1.205017987439067E-3</c:v>
                </c:pt>
                <c:pt idx="117">
                  <c:v>1.1594233342362887E-3</c:v>
                </c:pt>
                <c:pt idx="118">
                  <c:v>1.1198634299237004E-3</c:v>
                </c:pt>
                <c:pt idx="119">
                  <c:v>1.0841728175464847E-3</c:v>
                </c:pt>
                <c:pt idx="120">
                  <c:v>1.050244442252349E-3</c:v>
                </c:pt>
                <c:pt idx="121">
                  <c:v>1.0161204131938547E-3</c:v>
                </c:pt>
                <c:pt idx="122">
                  <c:v>9.8018211137938273E-4</c:v>
                </c:pt>
                <c:pt idx="123">
                  <c:v>9.4131259368417217E-4</c:v>
                </c:pt>
                <c:pt idx="124">
                  <c:v>8.9901632817363593E-4</c:v>
                </c:pt>
                <c:pt idx="125">
                  <c:v>8.534845184127801E-4</c:v>
                </c:pt>
                <c:pt idx="126">
                  <c:v>8.0559879220162476E-4</c:v>
                </c:pt>
                <c:pt idx="127">
                  <c:v>7.5687144478532912E-4</c:v>
                </c:pt>
                <c:pt idx="128">
                  <c:v>7.0932619447733076E-4</c:v>
                </c:pt>
                <c:pt idx="129">
                  <c:v>6.6532891917212879E-4</c:v>
                </c:pt>
                <c:pt idx="130">
                  <c:v>6.2738250814304945E-4</c:v>
                </c:pt>
                <c:pt idx="131">
                  <c:v>5.9790331533533347E-4</c:v>
                </c:pt>
                <c:pt idx="132">
                  <c:v>5.7899844960171464E-4</c:v>
                </c:pt>
                <c:pt idx="133">
                  <c:v>5.7226319444830343E-4</c:v>
                </c:pt>
                <c:pt idx="134">
                  <c:v>5.7861629880410679E-4</c:v>
                </c:pt>
                <c:pt idx="135">
                  <c:v>5.9818790937423913E-4</c:v>
                </c:pt>
                <c:pt idx="136">
                  <c:v>6.3027075218952784E-4</c:v>
                </c:pt>
                <c:pt idx="137">
                  <c:v>6.7334004463168878E-4</c:v>
                </c:pt>
                <c:pt idx="138">
                  <c:v>7.2514177340269248E-4</c:v>
                </c:pt>
                <c:pt idx="139">
                  <c:v>7.8284273415820239E-4</c:v>
                </c:pt>
                <c:pt idx="140">
                  <c:v>8.4322957779308261E-4</c:v>
                </c:pt>
                <c:pt idx="141">
                  <c:v>9.0293872699207423E-4</c:v>
                </c:pt>
                <c:pt idx="142">
                  <c:v>9.5869524547466888E-4</c:v>
                </c:pt>
                <c:pt idx="143">
                  <c:v>1.0075373772848329E-3</c:v>
                </c:pt>
                <c:pt idx="144">
                  <c:v>1.0470050923887999E-3</c:v>
                </c:pt>
                <c:pt idx="145">
                  <c:v>1.0752756470452862E-3</c:v>
                </c:pt>
                <c:pt idx="146">
                  <c:v>1.0912363156686587E-3</c:v>
                </c:pt>
                <c:pt idx="147">
                  <c:v>1.0944928813777864E-3</c:v>
                </c:pt>
                <c:pt idx="148">
                  <c:v>1.085320612009402E-3</c:v>
                </c:pt>
                <c:pt idx="149">
                  <c:v>1.0645707492892213E-3</c:v>
                </c:pt>
                <c:pt idx="150">
                  <c:v>1.0335489098005479E-3</c:v>
                </c:pt>
                <c:pt idx="151">
                  <c:v>9.9388191749871574E-4</c:v>
                </c:pt>
                <c:pt idx="152">
                  <c:v>9.4738697276413599E-4</c:v>
                </c:pt>
                <c:pt idx="153">
                  <c:v>8.9595284385195055E-4</c:v>
                </c:pt>
                <c:pt idx="154">
                  <c:v>8.4143827393564881E-4</c:v>
                </c:pt>
                <c:pt idx="155">
                  <c:v>7.8558912146905243E-4</c:v>
                </c:pt>
                <c:pt idx="156">
                  <c:v>7.2997345874054108E-4</c:v>
                </c:pt>
                <c:pt idx="157">
                  <c:v>6.7593294923404105E-4</c:v>
                </c:pt>
                <c:pt idx="158">
                  <c:v>6.2454894695928751E-4</c:v>
                </c:pt>
                <c:pt idx="159">
                  <c:v>5.7662245391378356E-4</c:v>
                </c:pt>
                <c:pt idx="160">
                  <c:v>5.3266796272317832E-4</c:v>
                </c:pt>
                <c:pt idx="161">
                  <c:v>4.9292202493155792E-4</c:v>
                </c:pt>
                <c:pt idx="162">
                  <c:v>4.5736782644443207E-4</c:v>
                </c:pt>
                <c:pt idx="163">
                  <c:v>4.2577671759000055E-4</c:v>
                </c:pt>
                <c:pt idx="164">
                  <c:v>3.9776610913189517E-4</c:v>
                </c:pt>
                <c:pt idx="165">
                  <c:v>3.7287022804454817E-4</c:v>
                </c:pt>
                <c:pt idx="166">
                  <c:v>3.5061632652521663E-4</c:v>
                </c:pt>
                <c:pt idx="167">
                  <c:v>3.3059517167958541E-4</c:v>
                </c:pt>
                <c:pt idx="168">
                  <c:v>3.1251262054641686E-4</c:v>
                </c:pt>
                <c:pt idx="169">
                  <c:v>2.9621032830518001E-4</c:v>
                </c:pt>
                <c:pt idx="170">
                  <c:v>2.8164886224355153E-4</c:v>
                </c:pt>
                <c:pt idx="171">
                  <c:v>2.6885509161596625E-4</c:v>
                </c:pt>
                <c:pt idx="172">
                  <c:v>2.5784570269293805E-4</c:v>
                </c:pt>
                <c:pt idx="173">
                  <c:v>2.4854714763487151E-4</c:v>
                </c:pt>
                <c:pt idx="174">
                  <c:v>2.4073630739156405E-4</c:v>
                </c:pt>
                <c:pt idx="175">
                  <c:v>2.3402354865638471E-4</c:v>
                </c:pt>
                <c:pt idx="176">
                  <c:v>2.2789026402905769E-4</c:v>
                </c:pt>
                <c:pt idx="177">
                  <c:v>2.2177805816804493E-4</c:v>
                </c:pt>
                <c:pt idx="178">
                  <c:v>2.1521010843063035E-4</c:v>
                </c:pt>
                <c:pt idx="179">
                  <c:v>2.0791178601806229E-4</c:v>
                </c:pt>
                <c:pt idx="180">
                  <c:v>1.9989227374950946E-4</c:v>
                </c:pt>
                <c:pt idx="181">
                  <c:v>1.9145494537423064E-4</c:v>
                </c:pt>
                <c:pt idx="182">
                  <c:v>1.8312186240525925E-4</c:v>
                </c:pt>
                <c:pt idx="183">
                  <c:v>1.7548322083177766E-4</c:v>
                </c:pt>
                <c:pt idx="184">
                  <c:v>1.6900885718738957E-4</c:v>
                </c:pt>
                <c:pt idx="185">
                  <c:v>1.6387728049306878E-4</c:v>
                </c:pt>
                <c:pt idx="186">
                  <c:v>1.5988048434540069E-4</c:v>
                </c:pt>
                <c:pt idx="187">
                  <c:v>1.5644629727518385E-4</c:v>
                </c:pt>
                <c:pt idx="188">
                  <c:v>1.5278653076630135E-4</c:v>
                </c:pt>
                <c:pt idx="189">
                  <c:v>1.4813735035419293E-4</c:v>
                </c:pt>
                <c:pt idx="190">
                  <c:v>1.4202139029117832E-4</c:v>
                </c:pt>
                <c:pt idx="191">
                  <c:v>1.3444316624578088E-4</c:v>
                </c:pt>
                <c:pt idx="192">
                  <c:v>1.2594007879382927E-4</c:v>
                </c:pt>
                <c:pt idx="193">
                  <c:v>1.1745177475538207E-4</c:v>
                </c:pt>
                <c:pt idx="194">
                  <c:v>1.1003103297576721E-4</c:v>
                </c:pt>
                <c:pt idx="195">
                  <c:v>1.0448063558044448E-4</c:v>
                </c:pt>
                <c:pt idx="196">
                  <c:v>1.0104010752838554E-4</c:v>
                </c:pt>
                <c:pt idx="197">
                  <c:v>9.9245224736699915E-5</c:v>
                </c:pt>
                <c:pt idx="198">
                  <c:v>9.8035406019955767E-5</c:v>
                </c:pt>
                <c:pt idx="199">
                  <c:v>9.6100043068901748E-5</c:v>
                </c:pt>
                <c:pt idx="200">
                  <c:v>9.2361114629827093E-5</c:v>
                </c:pt>
                <c:pt idx="201">
                  <c:v>8.6421431269258171E-5</c:v>
                </c:pt>
                <c:pt idx="202">
                  <c:v>7.879716164586382E-5</c:v>
                </c:pt>
                <c:pt idx="203">
                  <c:v>7.0814080785637867E-5</c:v>
                </c:pt>
                <c:pt idx="204">
                  <c:v>6.4166632356896117E-5</c:v>
                </c:pt>
                <c:pt idx="205">
                  <c:v>6.0277803789646074E-5</c:v>
                </c:pt>
                <c:pt idx="206">
                  <c:v>5.9700612613270877E-5</c:v>
                </c:pt>
                <c:pt idx="207">
                  <c:v>6.1818125163814558E-5</c:v>
                </c:pt>
                <c:pt idx="208">
                  <c:v>6.5005880594858377E-5</c:v>
                </c:pt>
                <c:pt idx="209">
                  <c:v>6.7240316546571737E-5</c:v>
                </c:pt>
                <c:pt idx="210">
                  <c:v>6.6935603368942695E-5</c:v>
                </c:pt>
                <c:pt idx="211">
                  <c:v>6.3658670749439477E-5</c:v>
                </c:pt>
                <c:pt idx="212">
                  <c:v>5.8382833595371019E-5</c:v>
                </c:pt>
                <c:pt idx="213">
                  <c:v>5.3114020388429599E-5</c:v>
                </c:pt>
                <c:pt idx="214">
                  <c:v>5.0002882495300875E-5</c:v>
                </c:pt>
                <c:pt idx="215">
                  <c:v>5.0319305010972531E-5</c:v>
                </c:pt>
                <c:pt idx="216">
                  <c:v>5.3776744376345172E-5</c:v>
                </c:pt>
                <c:pt idx="217">
                  <c:v>5.857115090243377E-5</c:v>
                </c:pt>
                <c:pt idx="218">
                  <c:v>6.2172429116253992E-5</c:v>
                </c:pt>
                <c:pt idx="219">
                  <c:v>6.252122926973443E-5</c:v>
                </c:pt>
                <c:pt idx="220">
                  <c:v>5.9042049262472765E-5</c:v>
                </c:pt>
                <c:pt idx="221">
                  <c:v>5.2936579240104614E-5</c:v>
                </c:pt>
                <c:pt idx="222">
                  <c:v>4.6572944575182449E-5</c:v>
                </c:pt>
                <c:pt idx="223">
                  <c:v>4.2266504398606417E-5</c:v>
                </c:pt>
                <c:pt idx="224">
                  <c:v>4.1105778077884654E-5</c:v>
                </c:pt>
                <c:pt idx="225">
                  <c:v>4.2441289927411698E-5</c:v>
                </c:pt>
                <c:pt idx="226">
                  <c:v>4.4336944194880373E-5</c:v>
                </c:pt>
                <c:pt idx="227">
                  <c:v>4.4703739751626961E-5</c:v>
                </c:pt>
                <c:pt idx="228">
                  <c:v>4.2459946721313704E-5</c:v>
                </c:pt>
                <c:pt idx="229">
                  <c:v>3.8058868867558705E-5</c:v>
                </c:pt>
                <c:pt idx="230">
                  <c:v>3.3114582079202921E-5</c:v>
                </c:pt>
                <c:pt idx="231">
                  <c:v>2.9396075091693244E-5</c:v>
                </c:pt>
                <c:pt idx="232">
                  <c:v>2.7816908258344036E-5</c:v>
                </c:pt>
                <c:pt idx="233">
                  <c:v>2.8009568324803487E-5</c:v>
                </c:pt>
                <c:pt idx="234">
                  <c:v>2.8684393385557953E-5</c:v>
                </c:pt>
                <c:pt idx="235">
                  <c:v>2.8491290416466726E-5</c:v>
                </c:pt>
                <c:pt idx="236">
                  <c:v>2.682704693877669E-5</c:v>
                </c:pt>
                <c:pt idx="237">
                  <c:v>2.4112014238646512E-5</c:v>
                </c:pt>
                <c:pt idx="238">
                  <c:v>2.142055185968094E-5</c:v>
                </c:pt>
                <c:pt idx="239">
                  <c:v>1.9751898779160263E-5</c:v>
                </c:pt>
                <c:pt idx="240">
                  <c:v>1.9425308145777705E-5</c:v>
                </c:pt>
                <c:pt idx="241">
                  <c:v>1.9964954158170955E-5</c:v>
                </c:pt>
                <c:pt idx="242">
                  <c:v>2.0495225180342217E-5</c:v>
                </c:pt>
                <c:pt idx="243">
                  <c:v>2.0330898198505315E-5</c:v>
                </c:pt>
                <c:pt idx="244">
                  <c:v>1.9349958759263025E-5</c:v>
                </c:pt>
                <c:pt idx="245">
                  <c:v>1.7938637302242741E-5</c:v>
                </c:pt>
                <c:pt idx="246">
                  <c:v>1.6629962259056236E-5</c:v>
                </c:pt>
                <c:pt idx="247">
                  <c:v>1.5750667587865231E-5</c:v>
                </c:pt>
                <c:pt idx="248">
                  <c:v>1.5308952159894271E-5</c:v>
                </c:pt>
                <c:pt idx="249">
                  <c:v>1.5111539743889997E-5</c:v>
                </c:pt>
                <c:pt idx="250">
                  <c:v>1.4936070302455224E-5</c:v>
                </c:pt>
                <c:pt idx="251">
                  <c:v>1.4625664852547489E-5</c:v>
                </c:pt>
                <c:pt idx="252">
                  <c:v>1.4110286373030994E-5</c:v>
                </c:pt>
                <c:pt idx="253">
                  <c:v>1.3415430170120927E-5</c:v>
                </c:pt>
                <c:pt idx="254">
                  <c:v>1.266067386326108E-5</c:v>
                </c:pt>
                <c:pt idx="255">
                  <c:v>1.2003319915765484E-5</c:v>
                </c:pt>
                <c:pt idx="256">
                  <c:v>1.1534468973811349E-5</c:v>
                </c:pt>
                <c:pt idx="257">
                  <c:v>1.1213786089480675E-5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swellRatioRich!$B$3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swellRatioRich!$A$4:$A$23</c:f>
              <c:numCache>
                <c:formatCode>0.000</c:formatCode>
                <c:ptCount val="20"/>
                <c:pt idx="0">
                  <c:v>2.68</c:v>
                </c:pt>
                <c:pt idx="1">
                  <c:v>2.72</c:v>
                </c:pt>
                <c:pt idx="2">
                  <c:v>2.7600000000000002</c:v>
                </c:pt>
                <c:pt idx="3">
                  <c:v>2.8</c:v>
                </c:pt>
                <c:pt idx="4">
                  <c:v>2.84</c:v>
                </c:pt>
                <c:pt idx="5">
                  <c:v>2.88</c:v>
                </c:pt>
              </c:numCache>
            </c:numRef>
          </c:xVal>
          <c:yVal>
            <c:numRef>
              <c:f>swellRatioRich!$B$4:$B$23</c:f>
              <c:numCache>
                <c:formatCode>0.00</c:formatCode>
                <c:ptCount val="20"/>
                <c:pt idx="0">
                  <c:v>11.434297174711592</c:v>
                </c:pt>
                <c:pt idx="1">
                  <c:v>9.2711004072838428</c:v>
                </c:pt>
                <c:pt idx="2">
                  <c:v>8.0061795347245397</c:v>
                </c:pt>
                <c:pt idx="3">
                  <c:v>7.5866980218950246</c:v>
                </c:pt>
                <c:pt idx="4">
                  <c:v>7.9623578428320743</c:v>
                </c:pt>
                <c:pt idx="5">
                  <c:v>9.1127942526719465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A-4DA4-8F7F-0CE40AA1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swellRatioPoor!$B$3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swellRatioPoor!$A$4:$A$23</c:f>
              <c:numCache>
                <c:formatCode>0.000</c:formatCode>
                <c:ptCount val="20"/>
                <c:pt idx="0">
                  <c:v>3.35</c:v>
                </c:pt>
                <c:pt idx="1">
                  <c:v>3.47</c:v>
                </c:pt>
                <c:pt idx="2">
                  <c:v>3.5900000000000003</c:v>
                </c:pt>
                <c:pt idx="3">
                  <c:v>3.71</c:v>
                </c:pt>
                <c:pt idx="4">
                  <c:v>3.83</c:v>
                </c:pt>
                <c:pt idx="5">
                  <c:v>3.95</c:v>
                </c:pt>
              </c:numCache>
            </c:numRef>
          </c:xVal>
          <c:yVal>
            <c:numRef>
              <c:f>swellRatioPoor!$B$4:$B$23</c:f>
              <c:numCache>
                <c:formatCode>0.00</c:formatCode>
                <c:ptCount val="20"/>
                <c:pt idx="0">
                  <c:v>10.294775807371314</c:v>
                </c:pt>
                <c:pt idx="1">
                  <c:v>8.4670643358000461</c:v>
                </c:pt>
                <c:pt idx="2">
                  <c:v>7.6192037195401987</c:v>
                </c:pt>
                <c:pt idx="3">
                  <c:v>7.889198363622862</c:v>
                </c:pt>
                <c:pt idx="4">
                  <c:v>9.4298366458627445</c:v>
                </c:pt>
                <c:pt idx="5">
                  <c:v>12.403253762481134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F-405B-9D52-2CFD5BCC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26</c:v>
                </c:pt>
                <c:pt idx="1">
                  <c:v>36</c:v>
                </c:pt>
                <c:pt idx="2">
                  <c:v>46</c:v>
                </c:pt>
                <c:pt idx="3">
                  <c:v>56</c:v>
                </c:pt>
                <c:pt idx="4">
                  <c:v>66</c:v>
                </c:pt>
                <c:pt idx="5">
                  <c:v>76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9.0929994547802888</c:v>
                </c:pt>
                <c:pt idx="1">
                  <c:v>8.0027074105177274</c:v>
                </c:pt>
                <c:pt idx="2">
                  <c:v>7.5714227733294006</c:v>
                </c:pt>
                <c:pt idx="3">
                  <c:v>7.6678443052625438</c:v>
                </c:pt>
                <c:pt idx="4">
                  <c:v>8.1617621919956722</c:v>
                </c:pt>
                <c:pt idx="5">
                  <c:v>8.9645709787313841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7-4D56-A249-23C52929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0.03</c:v>
                </c:pt>
                <c:pt idx="1">
                  <c:v>4.8000000000000001E-2</c:v>
                </c:pt>
                <c:pt idx="2">
                  <c:v>6.6000000000000003E-2</c:v>
                </c:pt>
                <c:pt idx="3">
                  <c:v>8.3999999999999991E-2</c:v>
                </c:pt>
                <c:pt idx="4">
                  <c:v>0.10199999999999999</c:v>
                </c:pt>
                <c:pt idx="5">
                  <c:v>0.12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12.739567648960596</c:v>
                </c:pt>
                <c:pt idx="1">
                  <c:v>9.5243351496984925</c:v>
                </c:pt>
                <c:pt idx="2">
                  <c:v>7.7146825121860099</c:v>
                </c:pt>
                <c:pt idx="3">
                  <c:v>7.8979071430496743</c:v>
                </c:pt>
                <c:pt idx="4">
                  <c:v>9.6794561732125199</c:v>
                </c:pt>
                <c:pt idx="5">
                  <c:v>12.870731312010099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8</c:v>
                </c:pt>
                <c:pt idx="1">
                  <c:v>9.1999999999999993</c:v>
                </c:pt>
                <c:pt idx="2">
                  <c:v>10.4</c:v>
                </c:pt>
                <c:pt idx="3">
                  <c:v>11.6</c:v>
                </c:pt>
                <c:pt idx="4">
                  <c:v>12.8</c:v>
                </c:pt>
                <c:pt idx="5">
                  <c:v>14</c:v>
                </c:pt>
                <c:pt idx="6">
                  <c:v>15.2</c:v>
                </c:pt>
                <c:pt idx="7">
                  <c:v>16.399999999999999</c:v>
                </c:pt>
                <c:pt idx="8">
                  <c:v>17.600000000000001</c:v>
                </c:pt>
                <c:pt idx="9">
                  <c:v>18.8</c:v>
                </c:pt>
                <c:pt idx="10">
                  <c:v>20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9.8111516691099947</c:v>
                </c:pt>
                <c:pt idx="1">
                  <c:v>9.2445864534133229</c:v>
                </c:pt>
                <c:pt idx="2">
                  <c:v>8.7046552054950848</c:v>
                </c:pt>
                <c:pt idx="3">
                  <c:v>8.2332095107467058</c:v>
                </c:pt>
                <c:pt idx="4">
                  <c:v>7.8720538928828034</c:v>
                </c:pt>
                <c:pt idx="5">
                  <c:v>7.6609905314859876</c:v>
                </c:pt>
                <c:pt idx="6">
                  <c:v>7.6364901354171026</c:v>
                </c:pt>
                <c:pt idx="7">
                  <c:v>7.8309725146369678</c:v>
                </c:pt>
                <c:pt idx="8">
                  <c:v>8.2725629234552276</c:v>
                </c:pt>
                <c:pt idx="9">
                  <c:v>8.9851530631466741</c:v>
                </c:pt>
                <c:pt idx="10">
                  <c:v>9.9886144845730733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NbSiOx!$A$4:$A$23</c:f>
              <c:numCache>
                <c:formatCode>0.00E+00</c:formatCode>
                <c:ptCount val="20"/>
                <c:pt idx="0">
                  <c:v>3.0000000000000001E-6</c:v>
                </c:pt>
                <c:pt idx="1">
                  <c:v>3.1E-6</c:v>
                </c:pt>
                <c:pt idx="2">
                  <c:v>3.1999999999999999E-6</c:v>
                </c:pt>
                <c:pt idx="3">
                  <c:v>3.3000000000000002E-6</c:v>
                </c:pt>
                <c:pt idx="4">
                  <c:v>3.4000000000000001E-6</c:v>
                </c:pt>
                <c:pt idx="5">
                  <c:v>3.4999999999999999E-6</c:v>
                </c:pt>
                <c:pt idx="6">
                  <c:v>3.5999999999999998E-6</c:v>
                </c:pt>
                <c:pt idx="7">
                  <c:v>3.6999999999999997E-6</c:v>
                </c:pt>
                <c:pt idx="8">
                  <c:v>3.8E-6</c:v>
                </c:pt>
                <c:pt idx="9">
                  <c:v>3.8999999999999999E-6</c:v>
                </c:pt>
                <c:pt idx="10">
                  <c:v>3.9999999999999998E-6</c:v>
                </c:pt>
              </c:numCache>
            </c:numRef>
          </c:xVal>
          <c:yVal>
            <c:numRef>
              <c:f>NbSiOx!$B$4:$B$23</c:f>
              <c:numCache>
                <c:formatCode>0.00</c:formatCode>
                <c:ptCount val="20"/>
                <c:pt idx="0">
                  <c:v>8.2418621814572735</c:v>
                </c:pt>
                <c:pt idx="1">
                  <c:v>7.8849035649173631</c:v>
                </c:pt>
                <c:pt idx="2">
                  <c:v>7.611062163123278</c:v>
                </c:pt>
                <c:pt idx="3">
                  <c:v>7.4323194268573003</c:v>
                </c:pt>
                <c:pt idx="4">
                  <c:v>7.36119421765477</c:v>
                </c:pt>
                <c:pt idx="5">
                  <c:v>7.4107433981124107</c:v>
                </c:pt>
                <c:pt idx="6">
                  <c:v>7.5945624172422628</c:v>
                </c:pt>
                <c:pt idx="7">
                  <c:v>7.926785890860204</c:v>
                </c:pt>
                <c:pt idx="8">
                  <c:v>8.4220881769981322</c:v>
                </c:pt>
                <c:pt idx="9">
                  <c:v>9.0956839463289985</c:v>
                </c:pt>
                <c:pt idx="10">
                  <c:v>9.9633287475948666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4A-4F2A-AF35-0A13E29AF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461963</xdr:colOff>
      <xdr:row>4</xdr:row>
      <xdr:rowOff>0</xdr:rowOff>
    </xdr:from>
    <xdr:to>
      <xdr:col>15</xdr:col>
      <xdr:colOff>750093</xdr:colOff>
      <xdr:row>25</xdr:row>
      <xdr:rowOff>9525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2038351</xdr:colOff>
      <xdr:row>28</xdr:row>
      <xdr:rowOff>69057</xdr:rowOff>
    </xdr:from>
    <xdr:to>
      <xdr:col>19</xdr:col>
      <xdr:colOff>240509</xdr:colOff>
      <xdr:row>54</xdr:row>
      <xdr:rowOff>223837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03062_UAB_0813_VK2x_pH4.6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swellRatioMarker"/>
      <sheetName val="swellRatioPoor"/>
      <sheetName val="sigMarker"/>
      <sheetName val="deldod"/>
      <sheetName val="dSiOx"/>
      <sheetName val="sigBuffer"/>
      <sheetName val="ScaledCombined"/>
      <sheetName val="ScatteringParameters"/>
      <sheetName val="AtomicParameters"/>
    </sheetNames>
    <sheetDataSet>
      <sheetData sheetId="0">
        <row r="13">
          <cell r="C13">
            <v>-5.6000000000000004E-7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zoomScale="80" workbookViewId="0">
      <selection activeCell="H16" sqref="H16"/>
    </sheetView>
  </sheetViews>
  <sheetFormatPr defaultRowHeight="15.75" x14ac:dyDescent="0.25"/>
  <cols>
    <col min="1" max="1" width="19.375" style="64" bestFit="1" customWidth="1"/>
    <col min="2" max="2" width="14.87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125" style="39" bestFit="1" customWidth="1"/>
    <col min="7" max="7" width="8.375" style="39" bestFit="1" customWidth="1"/>
    <col min="8" max="8" width="26.87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0" bestFit="1" customWidth="1"/>
    <col min="21" max="21" width="11.75" style="174" bestFit="1" customWidth="1"/>
    <col min="22" max="22" width="8.25" style="176" bestFit="1" customWidth="1"/>
    <col min="23" max="23" width="11.75" style="177" bestFit="1" customWidth="1"/>
    <col min="24" max="24" width="8.25" style="176" bestFit="1" customWidth="1"/>
    <col min="25" max="25" width="8.375" style="186" bestFit="1" customWidth="1"/>
    <col min="27" max="27" width="8.625" style="86" bestFit="1" customWidth="1"/>
    <col min="28" max="28" width="8.625" style="79" bestFit="1" customWidth="1"/>
    <col min="29" max="29" width="8.25" style="75" bestFit="1" customWidth="1"/>
    <col min="30" max="30" width="9" style="80"/>
    <col min="31" max="31" width="12.5" style="80" bestFit="1" customWidth="1"/>
    <col min="32" max="32" width="10" style="80" bestFit="1" customWidth="1"/>
    <col min="33" max="33" width="12.25" style="80" bestFit="1" customWidth="1"/>
    <col min="34" max="34" width="9" style="79"/>
    <col min="35" max="35" width="9" style="1"/>
  </cols>
  <sheetData>
    <row r="1" spans="1:36" ht="18.75" x14ac:dyDescent="0.25">
      <c r="A1" s="92" t="s">
        <v>525</v>
      </c>
      <c r="B1" s="194" t="s">
        <v>491</v>
      </c>
      <c r="C1" s="194"/>
      <c r="D1" s="194"/>
      <c r="E1" s="194"/>
      <c r="F1" s="194"/>
      <c r="G1" s="194"/>
      <c r="H1" s="194"/>
      <c r="I1" s="195" t="s">
        <v>507</v>
      </c>
      <c r="J1" s="195"/>
      <c r="K1" s="195"/>
      <c r="L1" s="68" t="s">
        <v>505</v>
      </c>
      <c r="M1" s="196" t="s">
        <v>489</v>
      </c>
      <c r="N1" s="196"/>
      <c r="O1" s="196"/>
      <c r="P1" s="196"/>
      <c r="Q1" s="196"/>
      <c r="R1" s="193" t="s">
        <v>490</v>
      </c>
      <c r="S1" s="193"/>
      <c r="T1" s="74"/>
      <c r="U1" s="192" t="s">
        <v>624</v>
      </c>
      <c r="V1" s="192"/>
      <c r="W1" s="192"/>
      <c r="X1" s="169" t="s">
        <v>625</v>
      </c>
      <c r="Y1" s="183" t="s">
        <v>536</v>
      </c>
      <c r="AA1" s="191" t="s">
        <v>635</v>
      </c>
      <c r="AB1" s="191"/>
      <c r="AC1" s="191"/>
      <c r="AD1" s="191"/>
      <c r="AE1" s="191"/>
      <c r="AF1" s="191"/>
      <c r="AG1" s="74"/>
      <c r="AH1" s="76"/>
    </row>
    <row r="2" spans="1:36" s="16" customFormat="1" ht="18.75" x14ac:dyDescent="0.25">
      <c r="A2" s="93" t="s">
        <v>526</v>
      </c>
      <c r="B2" s="129" t="s">
        <v>481</v>
      </c>
      <c r="C2" s="130" t="s">
        <v>607</v>
      </c>
      <c r="D2" s="131" t="s">
        <v>608</v>
      </c>
      <c r="E2" s="131" t="s">
        <v>609</v>
      </c>
      <c r="F2" s="132" t="s">
        <v>495</v>
      </c>
      <c r="G2" s="133" t="s">
        <v>496</v>
      </c>
      <c r="H2" s="134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77"/>
      <c r="U2" s="170" t="s">
        <v>626</v>
      </c>
      <c r="V2" s="171" t="s">
        <v>627</v>
      </c>
      <c r="W2" s="171" t="s">
        <v>628</v>
      </c>
      <c r="X2" s="169" t="s">
        <v>629</v>
      </c>
      <c r="Y2" s="184">
        <f>SUM(Y3:Y260)/257</f>
        <v>7.5648689546627033</v>
      </c>
      <c r="AA2" s="139" t="s">
        <v>600</v>
      </c>
      <c r="AB2" s="140" t="s">
        <v>0</v>
      </c>
      <c r="AC2" s="141" t="s">
        <v>500</v>
      </c>
      <c r="AD2" s="142" t="s">
        <v>506</v>
      </c>
      <c r="AE2" s="142" t="s">
        <v>601</v>
      </c>
      <c r="AF2" s="142" t="s">
        <v>602</v>
      </c>
      <c r="AG2" s="77"/>
      <c r="AH2" s="181"/>
      <c r="AI2" s="182"/>
      <c r="AJ2" s="182"/>
    </row>
    <row r="3" spans="1:36" ht="19.5" x14ac:dyDescent="0.3">
      <c r="A3" s="93" t="s">
        <v>527</v>
      </c>
      <c r="B3" s="153" t="s">
        <v>52</v>
      </c>
      <c r="C3" s="157">
        <v>2.0700000000000001E-6</v>
      </c>
      <c r="D3" s="157">
        <v>4.7498147887006942E-11</v>
      </c>
      <c r="E3" s="157">
        <v>1.9976998807213682E-12</v>
      </c>
      <c r="F3" s="138">
        <v>100</v>
      </c>
      <c r="G3" s="138">
        <v>0</v>
      </c>
      <c r="H3" s="146" t="s">
        <v>639</v>
      </c>
      <c r="I3" s="125">
        <v>8.06113038841E-3</v>
      </c>
      <c r="J3" s="50">
        <v>6.5571301182156011E-2</v>
      </c>
      <c r="K3" s="50">
        <v>7.4274859315668013E-3</v>
      </c>
      <c r="L3" s="67">
        <v>3.5249583508739912E-2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72">
        <v>6.484924249409843E-2</v>
      </c>
      <c r="V3" s="172">
        <v>3.5249583508739912E-2</v>
      </c>
      <c r="W3" s="173">
        <v>2.3623567411753303E-2</v>
      </c>
      <c r="X3" s="173">
        <f t="shared" ref="X3:X66" si="0">(U3+2*V3+W3)/4</f>
        <v>3.9742994230832891E-2</v>
      </c>
      <c r="Y3" s="185">
        <f t="shared" ref="Y3:Y66" si="1">(J3-X3)*(J3-X3)/(K3*K3)</f>
        <v>12.09228020930432</v>
      </c>
      <c r="AA3" s="143">
        <f t="shared" ref="AA3:AA66" si="2">I3*10</f>
        <v>8.0611303884099997E-2</v>
      </c>
      <c r="AB3" s="144">
        <f t="shared" ref="AB3:AB66" si="3">J3</f>
        <v>6.5571301182156011E-2</v>
      </c>
      <c r="AC3" s="144">
        <f t="shared" ref="AC3:AC66" si="4">K3</f>
        <v>7.4274859315668013E-3</v>
      </c>
      <c r="AD3" s="144">
        <f>X3</f>
        <v>3.9742994230832891E-2</v>
      </c>
      <c r="AE3" s="145">
        <f t="shared" ref="AE3:AE66" si="5">(R3-129.85)/10</f>
        <v>-13.984999999999999</v>
      </c>
      <c r="AF3" s="145">
        <f t="shared" ref="AF3:AF66" si="6">S3*100</f>
        <v>2.0700000000000002E-4</v>
      </c>
      <c r="AH3" s="181"/>
      <c r="AI3" s="181"/>
      <c r="AJ3" s="182"/>
    </row>
    <row r="4" spans="1:36" ht="18.75" x14ac:dyDescent="0.25">
      <c r="A4" s="93" t="s">
        <v>528</v>
      </c>
      <c r="B4" s="153" t="s">
        <v>504</v>
      </c>
      <c r="C4" s="157">
        <v>3.4400000000000001E-6</v>
      </c>
      <c r="D4" s="157">
        <v>2.5307649463664093E-11</v>
      </c>
      <c r="E4" s="157">
        <v>1.486857631694136E-12</v>
      </c>
      <c r="F4" s="138">
        <v>14.8</v>
      </c>
      <c r="G4" s="138">
        <v>5</v>
      </c>
      <c r="H4" s="110">
        <f>H42*(H16*C13+(1-H16)*H32)+(1-H42)*(H20*C13+(1-H20)*H32)</f>
        <v>-5.5330594452061435E-8</v>
      </c>
      <c r="I4" s="125">
        <v>8.1417416922999995E-3</v>
      </c>
      <c r="J4" s="50">
        <v>7.2399251609519988E-2</v>
      </c>
      <c r="K4" s="50">
        <v>7.5959651868935992E-3</v>
      </c>
      <c r="L4" s="67">
        <v>3.2867365277738002E-2</v>
      </c>
      <c r="M4" s="27"/>
      <c r="N4" s="18">
        <v>5.3595302827890901E-9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172">
        <v>6.2090192552860524E-2</v>
      </c>
      <c r="V4" s="172">
        <v>3.2867365277738002E-2</v>
      </c>
      <c r="W4" s="173">
        <v>2.3684352322987396E-2</v>
      </c>
      <c r="X4" s="173">
        <f t="shared" si="0"/>
        <v>3.7877318857830987E-2</v>
      </c>
      <c r="Y4" s="185">
        <f t="shared" si="1"/>
        <v>20.654955951133264</v>
      </c>
      <c r="AA4" s="143">
        <f t="shared" si="2"/>
        <v>8.1417416923000002E-2</v>
      </c>
      <c r="AB4" s="144">
        <f t="shared" si="3"/>
        <v>7.2399251609519988E-2</v>
      </c>
      <c r="AC4" s="144">
        <f t="shared" si="4"/>
        <v>7.5959651868935992E-3</v>
      </c>
      <c r="AD4" s="144">
        <f t="shared" ref="AD4:AD67" si="7">X4</f>
        <v>3.7877318857830987E-2</v>
      </c>
      <c r="AE4" s="145">
        <f t="shared" si="5"/>
        <v>-2.9849999999999994</v>
      </c>
      <c r="AF4" s="145">
        <f t="shared" si="6"/>
        <v>2.0700000000000002E-4</v>
      </c>
      <c r="AH4" s="181"/>
      <c r="AI4" s="181"/>
      <c r="AJ4" s="182"/>
    </row>
    <row r="5" spans="1:36" ht="19.5" x14ac:dyDescent="0.3">
      <c r="A5" s="94"/>
      <c r="B5" s="154" t="s">
        <v>539</v>
      </c>
      <c r="C5" s="128">
        <v>8.9999999999999996E-7</v>
      </c>
      <c r="D5" s="128">
        <v>1.5392483148537927E-10</v>
      </c>
      <c r="E5" s="128">
        <v>5.0509225500401457E-8</v>
      </c>
      <c r="F5" s="158">
        <f>F39</f>
        <v>15.701245666991817</v>
      </c>
      <c r="G5" s="158">
        <f>F4</f>
        <v>14.8</v>
      </c>
      <c r="H5" s="146" t="s">
        <v>640</v>
      </c>
      <c r="I5" s="125">
        <v>8.2231591092200001E-3</v>
      </c>
      <c r="J5" s="50">
        <v>6.8663553369708016E-2</v>
      </c>
      <c r="K5" s="50">
        <v>7.4369875299059992E-3</v>
      </c>
      <c r="L5" s="67">
        <v>3.0601113792775043E-2</v>
      </c>
      <c r="M5" s="27"/>
      <c r="N5" s="18">
        <v>4.4148001005763255E-8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2.0753595302827892E-6</v>
      </c>
      <c r="U5" s="172">
        <v>5.9337081384462274E-2</v>
      </c>
      <c r="V5" s="172">
        <v>3.0601113792775043E-2</v>
      </c>
      <c r="W5" s="173">
        <v>2.3932892099064206E-2</v>
      </c>
      <c r="X5" s="173">
        <f t="shared" si="0"/>
        <v>3.6118050267269143E-2</v>
      </c>
      <c r="Y5" s="185">
        <f t="shared" si="1"/>
        <v>19.150841959998552</v>
      </c>
      <c r="AA5" s="143">
        <f t="shared" si="2"/>
        <v>8.2231591092200004E-2</v>
      </c>
      <c r="AB5" s="144">
        <f t="shared" si="3"/>
        <v>6.8663553369708016E-2</v>
      </c>
      <c r="AC5" s="144">
        <f t="shared" si="4"/>
        <v>7.4369875299059992E-3</v>
      </c>
      <c r="AD5" s="144">
        <f t="shared" si="7"/>
        <v>3.6118050267269143E-2</v>
      </c>
      <c r="AE5" s="145">
        <f t="shared" si="5"/>
        <v>-2.9849999999999994</v>
      </c>
      <c r="AF5" s="145">
        <f t="shared" si="6"/>
        <v>2.0753595302827892E-4</v>
      </c>
      <c r="AH5" s="181"/>
      <c r="AI5" s="181"/>
      <c r="AJ5" s="182"/>
    </row>
    <row r="6" spans="1:36" x14ac:dyDescent="0.25">
      <c r="B6" s="107" t="s">
        <v>610</v>
      </c>
      <c r="C6" s="108">
        <f>H4</f>
        <v>-5.5330594452061435E-8</v>
      </c>
      <c r="D6" s="108">
        <v>1.5392483148537927E-10</v>
      </c>
      <c r="E6" s="108">
        <v>5.0509225500401457E-8</v>
      </c>
      <c r="F6" s="109">
        <f>F38*H22*H28-(F7-H22*F33*H28)/2</f>
        <v>200.70448950610529</v>
      </c>
      <c r="G6" s="39">
        <f>F5</f>
        <v>15.701245666991817</v>
      </c>
      <c r="H6" s="110">
        <f>H16*C13+(1-H16)*H34</f>
        <v>6.6162287453449993E-7</v>
      </c>
      <c r="I6" s="125">
        <v>8.3053907003100003E-3</v>
      </c>
      <c r="J6" s="50">
        <v>6.1733954762172007E-2</v>
      </c>
      <c r="K6" s="50">
        <v>6.49463946483E-3</v>
      </c>
      <c r="L6" s="67">
        <v>2.8454922643598154E-2</v>
      </c>
      <c r="M6" s="27"/>
      <c r="N6" s="18">
        <v>1.0026134824645095E-7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2.0753595302827892E-6</v>
      </c>
      <c r="U6" s="172">
        <v>5.6590651539031506E-2</v>
      </c>
      <c r="V6" s="172">
        <v>2.8454922643598154E-2</v>
      </c>
      <c r="W6" s="173">
        <v>2.4368829317382094E-2</v>
      </c>
      <c r="X6" s="173">
        <f t="shared" si="0"/>
        <v>3.4467331535902479E-2</v>
      </c>
      <c r="Y6" s="185">
        <f t="shared" si="1"/>
        <v>17.625953485015806</v>
      </c>
      <c r="AA6" s="143">
        <f t="shared" si="2"/>
        <v>8.3053907003100003E-2</v>
      </c>
      <c r="AB6" s="144">
        <f t="shared" si="3"/>
        <v>6.1733954762172007E-2</v>
      </c>
      <c r="AC6" s="144">
        <f t="shared" si="4"/>
        <v>6.49463946483E-3</v>
      </c>
      <c r="AD6" s="144">
        <f t="shared" si="7"/>
        <v>3.4467331535902479E-2</v>
      </c>
      <c r="AE6" s="145">
        <f t="shared" si="5"/>
        <v>-2.8128918411925867</v>
      </c>
      <c r="AF6" s="145">
        <f t="shared" si="6"/>
        <v>2.0753595302827892E-4</v>
      </c>
      <c r="AH6" s="181"/>
      <c r="AI6" s="181"/>
      <c r="AJ6" s="182"/>
    </row>
    <row r="7" spans="1:36" ht="19.5" x14ac:dyDescent="0.3">
      <c r="A7" s="72" t="s">
        <v>529</v>
      </c>
      <c r="B7" s="111" t="s">
        <v>611</v>
      </c>
      <c r="C7" s="112">
        <f>H6</f>
        <v>6.6162287453449993E-7</v>
      </c>
      <c r="D7" s="113">
        <v>7.9300000000000003E-12</v>
      </c>
      <c r="E7" s="113">
        <v>3.6399999999999998E-10</v>
      </c>
      <c r="F7" s="159">
        <f>H8</f>
        <v>124.76373941193387</v>
      </c>
      <c r="G7" s="123">
        <v>51.041655699581355</v>
      </c>
      <c r="H7" s="117" t="s">
        <v>641</v>
      </c>
      <c r="I7" s="125">
        <v>8.3884446073099993E-3</v>
      </c>
      <c r="J7" s="50">
        <v>6.7439158942716015E-2</v>
      </c>
      <c r="K7" s="50">
        <v>6.5633377576932005E-3</v>
      </c>
      <c r="L7" s="67">
        <v>2.6435917782248904E-2</v>
      </c>
      <c r="M7" s="27"/>
      <c r="N7" s="18">
        <v>1.6375653629491505E-7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2.1141480010057634E-6</v>
      </c>
      <c r="U7" s="172">
        <v>5.3855469381693256E-2</v>
      </c>
      <c r="V7" s="172">
        <v>2.6435917782248904E-2</v>
      </c>
      <c r="W7" s="173">
        <v>2.4991032230693135E-2</v>
      </c>
      <c r="X7" s="173">
        <f t="shared" si="0"/>
        <v>3.2929584294221048E-2</v>
      </c>
      <c r="Y7" s="185">
        <f t="shared" si="1"/>
        <v>27.645834537585429</v>
      </c>
      <c r="AA7" s="143">
        <f t="shared" si="2"/>
        <v>8.38844460731E-2</v>
      </c>
      <c r="AB7" s="144">
        <f t="shared" si="3"/>
        <v>6.7439158942716015E-2</v>
      </c>
      <c r="AC7" s="144">
        <f t="shared" si="4"/>
        <v>6.5633377576932005E-3</v>
      </c>
      <c r="AD7" s="144">
        <f t="shared" si="7"/>
        <v>3.2929584294221048E-2</v>
      </c>
      <c r="AE7" s="145">
        <f t="shared" si="5"/>
        <v>-2.8128918411925867</v>
      </c>
      <c r="AF7" s="145">
        <f t="shared" si="6"/>
        <v>2.1141480010057633E-4</v>
      </c>
      <c r="AH7" s="181"/>
      <c r="AI7" s="181"/>
      <c r="AJ7" s="182"/>
    </row>
    <row r="8" spans="1:36" x14ac:dyDescent="0.25">
      <c r="A8" s="95" t="b">
        <v>0</v>
      </c>
      <c r="B8" s="107" t="s">
        <v>610</v>
      </c>
      <c r="C8" s="108">
        <f>H4</f>
        <v>-5.5330594452061435E-8</v>
      </c>
      <c r="D8" s="108">
        <v>1.5392483148537927E-10</v>
      </c>
      <c r="E8" s="108">
        <v>5.0509225500401457E-8</v>
      </c>
      <c r="F8" s="109">
        <f>(2*H$10-F$7-F$9)/2</f>
        <v>233.58924603465499</v>
      </c>
      <c r="G8" s="109">
        <f>G7</f>
        <v>51.041655699581355</v>
      </c>
      <c r="H8" s="118">
        <f>H14*F33*H28</f>
        <v>124.76373941193387</v>
      </c>
      <c r="I8" s="125">
        <v>8.4723290533899997E-3</v>
      </c>
      <c r="J8" s="50">
        <v>5.9560495951440008E-2</v>
      </c>
      <c r="K8" s="50">
        <v>6.0682306646280002E-3</v>
      </c>
      <c r="L8" s="67">
        <v>2.4552880305353134E-2</v>
      </c>
      <c r="M8" s="27"/>
      <c r="N8" s="18">
        <v>2.307661947574837E-7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2.1141480010057634E-6</v>
      </c>
      <c r="U8" s="172">
        <v>5.1138742483439782E-2</v>
      </c>
      <c r="V8" s="172">
        <v>2.4552880305353134E-2</v>
      </c>
      <c r="W8" s="173">
        <v>2.5797084834290343E-2</v>
      </c>
      <c r="X8" s="173">
        <f t="shared" si="0"/>
        <v>3.1510396982109098E-2</v>
      </c>
      <c r="Y8" s="185">
        <f t="shared" si="1"/>
        <v>21.367053347022985</v>
      </c>
      <c r="AA8" s="143">
        <f t="shared" si="2"/>
        <v>8.47232905339E-2</v>
      </c>
      <c r="AB8" s="144">
        <f t="shared" si="3"/>
        <v>5.9560495951440008E-2</v>
      </c>
      <c r="AC8" s="144">
        <f t="shared" si="4"/>
        <v>6.0682306646280002E-3</v>
      </c>
      <c r="AD8" s="144">
        <f t="shared" si="7"/>
        <v>3.1510396982109098E-2</v>
      </c>
      <c r="AE8" s="145">
        <f t="shared" si="5"/>
        <v>-2.6847329536551983</v>
      </c>
      <c r="AF8" s="145">
        <f t="shared" si="6"/>
        <v>2.1141480010057633E-4</v>
      </c>
      <c r="AH8" s="181"/>
      <c r="AI8" s="181"/>
      <c r="AJ8" s="182"/>
    </row>
    <row r="9" spans="1:36" ht="19.5" x14ac:dyDescent="0.3">
      <c r="A9" s="72" t="s">
        <v>522</v>
      </c>
      <c r="B9" s="111" t="s">
        <v>611</v>
      </c>
      <c r="C9" s="112">
        <f>H6</f>
        <v>6.6162287453449993E-7</v>
      </c>
      <c r="D9" s="113">
        <v>7.9300000000000003E-12</v>
      </c>
      <c r="E9" s="113">
        <v>3.6399999999999998E-10</v>
      </c>
      <c r="F9" s="159">
        <f>F7</f>
        <v>124.76373941193387</v>
      </c>
      <c r="G9" s="115">
        <f>G7</f>
        <v>51.041655699581355</v>
      </c>
      <c r="H9" s="117" t="s">
        <v>642</v>
      </c>
      <c r="I9" s="125">
        <v>8.5570523439199991E-3</v>
      </c>
      <c r="J9" s="50">
        <v>4.8753873828132004E-2</v>
      </c>
      <c r="K9" s="50">
        <v>5.2771238179308002E-3</v>
      </c>
      <c r="L9" s="67">
        <v>2.2814281469735225E-2</v>
      </c>
      <c r="M9" s="27"/>
      <c r="N9" s="18">
        <v>2.995198721662014E-7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2.1702613482464512E-6</v>
      </c>
      <c r="U9" s="172">
        <v>4.8448148906718114E-2</v>
      </c>
      <c r="V9" s="172">
        <v>2.2814281469735225E-2</v>
      </c>
      <c r="W9" s="173">
        <v>2.6783272869183562E-2</v>
      </c>
      <c r="X9" s="173">
        <f t="shared" si="0"/>
        <v>3.0214996178843032E-2</v>
      </c>
      <c r="Y9" s="185">
        <f t="shared" si="1"/>
        <v>12.341623915232455</v>
      </c>
      <c r="AA9" s="143">
        <f t="shared" si="2"/>
        <v>8.5570523439199991E-2</v>
      </c>
      <c r="AB9" s="144">
        <f t="shared" si="3"/>
        <v>4.8753873828132004E-2</v>
      </c>
      <c r="AC9" s="144">
        <f t="shared" si="4"/>
        <v>5.2771238179308002E-3</v>
      </c>
      <c r="AD9" s="144">
        <f t="shared" si="7"/>
        <v>3.0214996178843032E-2</v>
      </c>
      <c r="AE9" s="145">
        <f t="shared" si="5"/>
        <v>-2.6847329536551983</v>
      </c>
      <c r="AF9" s="145">
        <f t="shared" si="6"/>
        <v>2.1702613482464512E-4</v>
      </c>
      <c r="AH9" s="181"/>
      <c r="AI9" s="181"/>
      <c r="AJ9" s="182"/>
    </row>
    <row r="10" spans="1:36" x14ac:dyDescent="0.25">
      <c r="A10" s="73">
        <v>16.247876500491728</v>
      </c>
      <c r="B10" s="107" t="s">
        <v>610</v>
      </c>
      <c r="C10" s="108">
        <f>H4</f>
        <v>-5.5330594452061435E-8</v>
      </c>
      <c r="D10" s="108">
        <v>1.5392483148537927E-10</v>
      </c>
      <c r="E10" s="108">
        <v>5.0509225500401457E-8</v>
      </c>
      <c r="F10" s="109">
        <f>(2*H$10-F$7-F$9)/2</f>
        <v>233.58924603465499</v>
      </c>
      <c r="G10" s="109">
        <f>G7</f>
        <v>51.041655699581355</v>
      </c>
      <c r="H10" s="118">
        <f>H38*H22*H28</f>
        <v>358.35298544658889</v>
      </c>
      <c r="I10" s="125">
        <v>8.6426228673600006E-3</v>
      </c>
      <c r="J10" s="50">
        <v>5.6771970698124008E-2</v>
      </c>
      <c r="K10" s="50">
        <v>5.4050268398676002E-3</v>
      </c>
      <c r="L10" s="67">
        <v>2.1227407282160424E-2</v>
      </c>
      <c r="M10" s="27"/>
      <c r="N10" s="18">
        <v>3.6913497802404518E-7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2.1702613482464512E-6</v>
      </c>
      <c r="U10" s="172">
        <v>4.5790746825300759E-2</v>
      </c>
      <c r="V10" s="172">
        <v>2.1227407282160424E-2</v>
      </c>
      <c r="W10" s="173">
        <v>2.7944806464710627E-2</v>
      </c>
      <c r="X10" s="173">
        <f t="shared" si="0"/>
        <v>2.9047591963583058E-2</v>
      </c>
      <c r="Y10" s="185">
        <f t="shared" si="1"/>
        <v>26.310429409040918</v>
      </c>
      <c r="AA10" s="143">
        <f t="shared" si="2"/>
        <v>8.6426228673600003E-2</v>
      </c>
      <c r="AB10" s="144">
        <f t="shared" si="3"/>
        <v>5.6771970698124008E-2</v>
      </c>
      <c r="AC10" s="144">
        <f t="shared" si="4"/>
        <v>5.4050268398676002E-3</v>
      </c>
      <c r="AD10" s="144">
        <f t="shared" si="7"/>
        <v>2.9047591963583058E-2</v>
      </c>
      <c r="AE10" s="145">
        <f t="shared" si="5"/>
        <v>-2.613415234852849</v>
      </c>
      <c r="AF10" s="145">
        <f t="shared" si="6"/>
        <v>2.1702613482464512E-4</v>
      </c>
      <c r="AH10" s="181"/>
      <c r="AI10" s="181"/>
      <c r="AJ10" s="182"/>
    </row>
    <row r="11" spans="1:36" ht="19.5" x14ac:dyDescent="0.3">
      <c r="B11" s="111" t="s">
        <v>611</v>
      </c>
      <c r="C11" s="112">
        <f>H6</f>
        <v>6.6162287453449993E-7</v>
      </c>
      <c r="D11" s="113">
        <v>7.9300000000000003E-12</v>
      </c>
      <c r="E11" s="113">
        <v>3.6399999999999998E-10</v>
      </c>
      <c r="F11" s="159">
        <f>F7</f>
        <v>124.76373941193387</v>
      </c>
      <c r="G11" s="115">
        <f>G7</f>
        <v>51.041655699581355</v>
      </c>
      <c r="H11" s="117" t="s">
        <v>643</v>
      </c>
      <c r="I11" s="125">
        <v>8.7290490960300008E-3</v>
      </c>
      <c r="J11" s="50">
        <v>4.7840892489456006E-2</v>
      </c>
      <c r="K11" s="50">
        <v>4.9557221688612003E-3</v>
      </c>
      <c r="L11" s="67">
        <v>1.9798464797008804E-2</v>
      </c>
      <c r="M11" s="27"/>
      <c r="N11" s="18">
        <v>4.3915563739579004E-7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2.2337565362949153E-6</v>
      </c>
      <c r="U11" s="172">
        <v>4.3173049921948564E-2</v>
      </c>
      <c r="V11" s="172">
        <v>1.9798464797008804E-2</v>
      </c>
      <c r="W11" s="173">
        <v>2.9275967762162399E-2</v>
      </c>
      <c r="X11" s="173">
        <f t="shared" si="0"/>
        <v>2.8011486819532146E-2</v>
      </c>
      <c r="Y11" s="185">
        <f t="shared" si="1"/>
        <v>16.010522084207413</v>
      </c>
      <c r="AA11" s="143">
        <f t="shared" si="2"/>
        <v>8.7290490960300005E-2</v>
      </c>
      <c r="AB11" s="144">
        <f t="shared" si="3"/>
        <v>4.7840892489456006E-2</v>
      </c>
      <c r="AC11" s="144">
        <f t="shared" si="4"/>
        <v>4.9557221688612003E-3</v>
      </c>
      <c r="AD11" s="144">
        <f t="shared" si="7"/>
        <v>2.8011486819532146E-2</v>
      </c>
      <c r="AE11" s="145">
        <f t="shared" si="5"/>
        <v>-2.613415234852849</v>
      </c>
      <c r="AF11" s="145">
        <f t="shared" si="6"/>
        <v>2.2337565362949154E-4</v>
      </c>
      <c r="AH11" s="181"/>
      <c r="AI11" s="181"/>
      <c r="AJ11" s="182"/>
    </row>
    <row r="12" spans="1:36" ht="19.5" x14ac:dyDescent="0.3">
      <c r="A12" s="87" t="s">
        <v>515</v>
      </c>
      <c r="B12" s="107" t="s">
        <v>610</v>
      </c>
      <c r="C12" s="108">
        <f>H4</f>
        <v>-5.5330594452061435E-8</v>
      </c>
      <c r="D12" s="108">
        <v>1.5392483148537927E-10</v>
      </c>
      <c r="E12" s="108">
        <v>5.0509225500401457E-8</v>
      </c>
      <c r="F12" s="109">
        <f>F32*H22*H28-(F11-H22*F33*H28)/2</f>
        <v>113.90897045071731</v>
      </c>
      <c r="G12" s="109">
        <f>G7</f>
        <v>51.041655699581355</v>
      </c>
      <c r="H12" s="118">
        <f>SUM(F6:F12)</f>
        <v>1156.0831702619341</v>
      </c>
      <c r="I12" s="125">
        <v>8.8163395869899994E-3</v>
      </c>
      <c r="J12" s="50">
        <v>5.2330438354920003E-2</v>
      </c>
      <c r="K12" s="50">
        <v>4.6213287789636003E-3</v>
      </c>
      <c r="L12" s="67">
        <v>1.8533774368115818E-2</v>
      </c>
      <c r="M12" s="27"/>
      <c r="N12" s="18">
        <v>5.093482334753733E-7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2.2337565362949153E-6</v>
      </c>
      <c r="U12" s="172">
        <v>4.0604775200348941E-2</v>
      </c>
      <c r="V12" s="172">
        <v>1.8533774368115818E-2</v>
      </c>
      <c r="W12" s="173">
        <v>3.0767234597322061E-2</v>
      </c>
      <c r="X12" s="173">
        <f t="shared" si="0"/>
        <v>2.7109889633475659E-2</v>
      </c>
      <c r="Y12" s="185">
        <f t="shared" si="1"/>
        <v>29.783472302055031</v>
      </c>
      <c r="AA12" s="143">
        <f t="shared" si="2"/>
        <v>8.8163395869899991E-2</v>
      </c>
      <c r="AB12" s="144">
        <f t="shared" si="3"/>
        <v>5.2330438354920003E-2</v>
      </c>
      <c r="AC12" s="144">
        <f t="shared" si="4"/>
        <v>4.6213287789636003E-3</v>
      </c>
      <c r="AD12" s="144">
        <f t="shared" si="7"/>
        <v>2.7109889633475659E-2</v>
      </c>
      <c r="AE12" s="145">
        <f t="shared" si="5"/>
        <v>-2.5611629638661855</v>
      </c>
      <c r="AF12" s="145">
        <f t="shared" si="6"/>
        <v>2.2337565362949154E-4</v>
      </c>
      <c r="AH12" s="181"/>
      <c r="AI12" s="181"/>
      <c r="AJ12" s="182"/>
    </row>
    <row r="13" spans="1:36" ht="18.75" x14ac:dyDescent="0.25">
      <c r="A13" s="90">
        <v>2.0000000000000001E-4</v>
      </c>
      <c r="B13" s="154" t="s">
        <v>612</v>
      </c>
      <c r="C13" s="128">
        <v>-5.6000000000000004E-7</v>
      </c>
      <c r="D13" s="128">
        <v>1.2366419808836742E-10</v>
      </c>
      <c r="E13" s="128">
        <v>5.3639993783027661E-8</v>
      </c>
      <c r="F13" s="138">
        <v>200</v>
      </c>
      <c r="G13" s="138">
        <v>148</v>
      </c>
      <c r="H13" s="188" t="s">
        <v>694</v>
      </c>
      <c r="I13" s="125">
        <v>8.9045029828599999E-3</v>
      </c>
      <c r="J13" s="50">
        <v>4.7823940305372001E-2</v>
      </c>
      <c r="K13" s="50">
        <v>4.6217010997080003E-3</v>
      </c>
      <c r="L13" s="67">
        <v>1.7436134077671861E-2</v>
      </c>
      <c r="M13" s="27"/>
      <c r="N13" s="18">
        <v>5.7960038782447302E-7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2.3007661947574838E-6</v>
      </c>
      <c r="U13" s="172">
        <v>3.8085366240080319E-2</v>
      </c>
      <c r="V13" s="172">
        <v>1.7436134077671861E-2</v>
      </c>
      <c r="W13" s="173">
        <v>3.241692566512968E-2</v>
      </c>
      <c r="X13" s="173">
        <f t="shared" si="0"/>
        <v>2.6343640015138434E-2</v>
      </c>
      <c r="Y13" s="185">
        <f t="shared" si="1"/>
        <v>21.601155694278813</v>
      </c>
      <c r="AA13" s="143">
        <f t="shared" si="2"/>
        <v>8.9045029828599992E-2</v>
      </c>
      <c r="AB13" s="144">
        <f t="shared" si="3"/>
        <v>4.7823940305372001E-2</v>
      </c>
      <c r="AC13" s="144">
        <f t="shared" si="4"/>
        <v>4.6217010997080003E-3</v>
      </c>
      <c r="AD13" s="144">
        <f t="shared" si="7"/>
        <v>2.6343640015138434E-2</v>
      </c>
      <c r="AE13" s="145">
        <f t="shared" si="5"/>
        <v>-2.5611629638661855</v>
      </c>
      <c r="AF13" s="145">
        <f t="shared" si="6"/>
        <v>2.3007661947574838E-4</v>
      </c>
      <c r="AH13" s="181"/>
      <c r="AI13" s="181"/>
      <c r="AJ13" s="182"/>
    </row>
    <row r="14" spans="1:36" ht="17.25" x14ac:dyDescent="0.3">
      <c r="A14" s="87" t="s">
        <v>517</v>
      </c>
      <c r="C14" s="19"/>
      <c r="H14" s="155">
        <v>2.8020705740343073</v>
      </c>
      <c r="I14" s="125">
        <v>8.9935480126900006E-3</v>
      </c>
      <c r="J14" s="50">
        <v>5.1430216341900002E-2</v>
      </c>
      <c r="K14" s="50">
        <v>4.1535891952500011E-3</v>
      </c>
      <c r="L14" s="67">
        <v>1.6511025614675313E-2</v>
      </c>
      <c r="M14" s="27"/>
      <c r="N14" s="18">
        <v>6.4986628547250992E-7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2.3007661947574838E-6</v>
      </c>
      <c r="U14" s="172">
        <v>3.5625165747153568E-2</v>
      </c>
      <c r="V14" s="172">
        <v>1.6511025614675313E-2</v>
      </c>
      <c r="W14" s="173">
        <v>3.421371040532134E-2</v>
      </c>
      <c r="X14" s="173">
        <f t="shared" si="0"/>
        <v>2.5715231845456384E-2</v>
      </c>
      <c r="Y14" s="185">
        <f t="shared" si="1"/>
        <v>38.328820208844689</v>
      </c>
      <c r="AA14" s="143">
        <f t="shared" si="2"/>
        <v>8.9935480126900003E-2</v>
      </c>
      <c r="AB14" s="144">
        <f t="shared" si="3"/>
        <v>5.1430216341900002E-2</v>
      </c>
      <c r="AC14" s="144">
        <f t="shared" si="4"/>
        <v>4.1535891952500011E-3</v>
      </c>
      <c r="AD14" s="144">
        <f t="shared" si="7"/>
        <v>2.5715231845456384E-2</v>
      </c>
      <c r="AE14" s="145">
        <f t="shared" si="5"/>
        <v>-2.518640781064323</v>
      </c>
      <c r="AF14" s="145">
        <f t="shared" si="6"/>
        <v>2.3007661947574838E-4</v>
      </c>
      <c r="AH14" s="181"/>
      <c r="AI14" s="181"/>
      <c r="AJ14" s="182"/>
    </row>
    <row r="15" spans="1:36" ht="18.75" x14ac:dyDescent="0.25">
      <c r="A15" s="137">
        <v>2.3E-2</v>
      </c>
      <c r="C15" s="19"/>
      <c r="H15" s="116" t="s">
        <v>695</v>
      </c>
      <c r="I15" s="125">
        <v>9.0834834928199999E-3</v>
      </c>
      <c r="J15" s="50">
        <v>4.2508733614776008E-2</v>
      </c>
      <c r="K15" s="50">
        <v>4.0140502763328003E-3</v>
      </c>
      <c r="L15" s="67">
        <v>1.5762107690110976E-2</v>
      </c>
      <c r="M15" s="27"/>
      <c r="N15" s="18">
        <v>7.0294849686495344E-7</v>
      </c>
      <c r="O15" s="18">
        <v>3.6983302919706933E-11</v>
      </c>
      <c r="P15" s="18">
        <v>5.0470603752656034E-10</v>
      </c>
      <c r="Q15" s="28">
        <v>0.33636363636363636</v>
      </c>
      <c r="R15" s="61">
        <v>104.66359218935676</v>
      </c>
      <c r="S15" s="58">
        <v>2.3695198721662014E-6</v>
      </c>
      <c r="U15" s="172">
        <v>3.3231030680365273E-2</v>
      </c>
      <c r="V15" s="172">
        <v>1.5762107690110976E-2</v>
      </c>
      <c r="W15" s="173">
        <v>3.6148257914716736E-2</v>
      </c>
      <c r="X15" s="173">
        <f t="shared" si="0"/>
        <v>2.5225875993825989E-2</v>
      </c>
      <c r="Y15" s="185">
        <f t="shared" si="1"/>
        <v>18.5381114514926</v>
      </c>
      <c r="AA15" s="143">
        <f t="shared" si="2"/>
        <v>9.0834834928199992E-2</v>
      </c>
      <c r="AB15" s="144">
        <f t="shared" si="3"/>
        <v>4.2508733614776008E-2</v>
      </c>
      <c r="AC15" s="144">
        <f t="shared" si="4"/>
        <v>4.0140502763328003E-3</v>
      </c>
      <c r="AD15" s="144">
        <f t="shared" si="7"/>
        <v>2.5225875993825989E-2</v>
      </c>
      <c r="AE15" s="145">
        <f t="shared" si="5"/>
        <v>-2.518640781064323</v>
      </c>
      <c r="AF15" s="145">
        <f t="shared" si="6"/>
        <v>2.3695198721662014E-4</v>
      </c>
      <c r="AH15" s="181"/>
      <c r="AI15" s="181"/>
      <c r="AJ15" s="182"/>
    </row>
    <row r="16" spans="1:36" x14ac:dyDescent="0.25">
      <c r="A16" s="88" t="s">
        <v>516</v>
      </c>
      <c r="C16" s="19"/>
      <c r="H16" s="156">
        <f>1-1/H14</f>
        <v>0.64312105153003318</v>
      </c>
      <c r="I16" s="125">
        <v>9.1743183277499998E-3</v>
      </c>
      <c r="J16" s="50">
        <v>4.4132646361716009E-2</v>
      </c>
      <c r="K16" s="50">
        <v>3.7197218614644003E-3</v>
      </c>
      <c r="L16" s="67">
        <v>1.5192351345676624E-2</v>
      </c>
      <c r="M16" s="27"/>
      <c r="N16" s="18">
        <v>8.2405784005722283E-7</v>
      </c>
      <c r="O16" s="18">
        <v>3.5226440516024389E-11</v>
      </c>
      <c r="P16" s="18">
        <v>6.2290816718689221E-10</v>
      </c>
      <c r="Q16" s="28">
        <v>0.67272727272727273</v>
      </c>
      <c r="R16" s="61">
        <v>105.03077359861321</v>
      </c>
      <c r="S16" s="58">
        <v>2.3695198721662014E-6</v>
      </c>
      <c r="U16" s="172">
        <v>3.0909973788882418E-2</v>
      </c>
      <c r="V16" s="172">
        <v>1.5192351345676624E-2</v>
      </c>
      <c r="W16" s="173">
        <v>3.8210365989111116E-2</v>
      </c>
      <c r="X16" s="173">
        <f t="shared" si="0"/>
        <v>2.4876260617336693E-2</v>
      </c>
      <c r="Y16" s="185">
        <f t="shared" si="1"/>
        <v>26.799619007513268</v>
      </c>
      <c r="AA16" s="143">
        <f t="shared" si="2"/>
        <v>9.1743183277500001E-2</v>
      </c>
      <c r="AB16" s="144">
        <f t="shared" si="3"/>
        <v>4.4132646361716009E-2</v>
      </c>
      <c r="AC16" s="144">
        <f t="shared" si="4"/>
        <v>3.7197218614644003E-3</v>
      </c>
      <c r="AD16" s="144">
        <f t="shared" si="7"/>
        <v>2.4876260617336693E-2</v>
      </c>
      <c r="AE16" s="145">
        <f t="shared" si="5"/>
        <v>-2.4819226401386785</v>
      </c>
      <c r="AF16" s="145">
        <f t="shared" si="6"/>
        <v>2.3695198721662014E-4</v>
      </c>
      <c r="AH16" s="181"/>
      <c r="AI16" s="181"/>
      <c r="AJ16" s="182"/>
    </row>
    <row r="17" spans="1:36" ht="18.75" x14ac:dyDescent="0.25">
      <c r="A17" s="89">
        <v>4.25</v>
      </c>
      <c r="B17" s="119"/>
      <c r="C17" s="120"/>
      <c r="D17" s="120"/>
      <c r="E17" s="120"/>
      <c r="F17" s="120"/>
      <c r="G17" s="120"/>
      <c r="H17" s="188" t="s">
        <v>644</v>
      </c>
      <c r="I17" s="125">
        <v>9.2660615110300003E-3</v>
      </c>
      <c r="J17" s="50">
        <v>3.6866651755560004E-2</v>
      </c>
      <c r="K17" s="50">
        <v>3.6726898242539999E-3</v>
      </c>
      <c r="L17" s="67">
        <v>1.4803976641903189E-2</v>
      </c>
      <c r="M17" s="27"/>
      <c r="N17" s="18">
        <v>9.6843607317608502E-7</v>
      </c>
      <c r="O17" s="18">
        <v>3.3224943856902097E-11</v>
      </c>
      <c r="P17" s="18">
        <v>8.1746735191254606E-10</v>
      </c>
      <c r="Q17" s="28">
        <v>0.67272727272727273</v>
      </c>
      <c r="R17" s="61">
        <v>105.03077359861321</v>
      </c>
      <c r="S17" s="58">
        <v>2.4391349780240453E-6</v>
      </c>
      <c r="U17" s="172">
        <v>2.8669125423658934E-2</v>
      </c>
      <c r="V17" s="172">
        <v>1.4803976641903189E-2</v>
      </c>
      <c r="W17" s="173">
        <v>4.0388995288290569E-2</v>
      </c>
      <c r="X17" s="173">
        <f t="shared" si="0"/>
        <v>2.4666518498938972E-2</v>
      </c>
      <c r="Y17" s="185">
        <f t="shared" si="1"/>
        <v>11.034702914185154</v>
      </c>
      <c r="AA17" s="143">
        <f t="shared" si="2"/>
        <v>9.2660615110300007E-2</v>
      </c>
      <c r="AB17" s="144">
        <f t="shared" si="3"/>
        <v>3.6866651755560004E-2</v>
      </c>
      <c r="AC17" s="144">
        <f t="shared" si="4"/>
        <v>3.6726898242539999E-3</v>
      </c>
      <c r="AD17" s="144">
        <f t="shared" si="7"/>
        <v>2.4666518498938972E-2</v>
      </c>
      <c r="AE17" s="145">
        <f t="shared" si="5"/>
        <v>-2.4819226401386785</v>
      </c>
      <c r="AF17" s="145">
        <f t="shared" si="6"/>
        <v>2.4391349780240453E-4</v>
      </c>
      <c r="AH17" s="181"/>
      <c r="AI17" s="181"/>
      <c r="AJ17" s="182"/>
    </row>
    <row r="18" spans="1:36" x14ac:dyDescent="0.25">
      <c r="B18" s="119"/>
      <c r="C18" s="120"/>
      <c r="D18" s="120"/>
      <c r="E18" s="120"/>
      <c r="F18" s="120"/>
      <c r="G18" s="120"/>
      <c r="H18" s="155">
        <v>3.6108080603044077</v>
      </c>
      <c r="I18" s="125">
        <v>9.3587221261399994E-3</v>
      </c>
      <c r="J18" s="50">
        <v>3.6454706966832E-2</v>
      </c>
      <c r="K18" s="50">
        <v>3.3644338854984003E-3</v>
      </c>
      <c r="L18" s="67">
        <v>1.4598392449294126E-2</v>
      </c>
      <c r="N18" s="18">
        <v>1.0824694663931442E-6</v>
      </c>
      <c r="O18" s="18">
        <v>3.1801651114376499E-11</v>
      </c>
      <c r="P18" s="18">
        <v>1.0620939362608109E-9</v>
      </c>
      <c r="Q18" s="28">
        <v>0.67272727272727273</v>
      </c>
      <c r="R18" s="61">
        <v>105.36062844830079</v>
      </c>
      <c r="S18" s="58">
        <v>2.4391349780240453E-6</v>
      </c>
      <c r="U18" s="172">
        <v>2.6515690638199522E-2</v>
      </c>
      <c r="V18" s="172">
        <v>1.4598392449294126E-2</v>
      </c>
      <c r="W18" s="173">
        <v>4.2672310622745034E-2</v>
      </c>
      <c r="X18" s="173">
        <f t="shared" si="0"/>
        <v>2.4596196539883201E-2</v>
      </c>
      <c r="Y18" s="185">
        <f t="shared" si="1"/>
        <v>12.423280262346413</v>
      </c>
      <c r="AA18" s="143">
        <f t="shared" si="2"/>
        <v>9.3587221261399997E-2</v>
      </c>
      <c r="AB18" s="144">
        <f t="shared" si="3"/>
        <v>3.6454706966832E-2</v>
      </c>
      <c r="AC18" s="144">
        <f t="shared" si="4"/>
        <v>3.3644338854984003E-3</v>
      </c>
      <c r="AD18" s="144">
        <f t="shared" si="7"/>
        <v>2.4596196539883201E-2</v>
      </c>
      <c r="AE18" s="145">
        <f t="shared" si="5"/>
        <v>-2.4489371551699208</v>
      </c>
      <c r="AF18" s="145">
        <f t="shared" si="6"/>
        <v>2.4391349780240453E-4</v>
      </c>
      <c r="AH18" s="181"/>
      <c r="AI18" s="181"/>
      <c r="AJ18" s="182"/>
    </row>
    <row r="19" spans="1:36" ht="18.75" x14ac:dyDescent="0.25">
      <c r="B19" s="124"/>
      <c r="C19" s="120"/>
      <c r="D19" s="120"/>
      <c r="E19" s="120"/>
      <c r="F19" s="120"/>
      <c r="G19" s="120"/>
      <c r="H19" s="116" t="s">
        <v>645</v>
      </c>
      <c r="I19" s="125">
        <v>9.4523093474000001E-3</v>
      </c>
      <c r="J19" s="50">
        <v>4.0114539267528004E-2</v>
      </c>
      <c r="K19" s="50">
        <v>3.3502869392256001E-3</v>
      </c>
      <c r="L19" s="67">
        <v>1.4576140294296817E-2</v>
      </c>
      <c r="N19" s="18">
        <v>1.1609007952452855E-6</v>
      </c>
      <c r="O19" s="18">
        <v>3.1057952027809529E-11</v>
      </c>
      <c r="P19" s="18">
        <v>1.3661643191574863E-9</v>
      </c>
      <c r="Q19" s="28">
        <v>0.67272727272727273</v>
      </c>
      <c r="R19" s="61">
        <v>105.36062844830079</v>
      </c>
      <c r="S19" s="58">
        <v>2.5091556373957901E-6</v>
      </c>
      <c r="U19" s="172">
        <v>2.4456901592476949E-2</v>
      </c>
      <c r="V19" s="172">
        <v>1.4576140294296817E-2</v>
      </c>
      <c r="W19" s="173">
        <v>4.504772903137199E-2</v>
      </c>
      <c r="X19" s="173">
        <f t="shared" si="0"/>
        <v>2.4664227803110644E-2</v>
      </c>
      <c r="Y19" s="185">
        <f t="shared" si="1"/>
        <v>21.267207533338002</v>
      </c>
      <c r="AA19" s="143">
        <f t="shared" si="2"/>
        <v>9.4523093474000008E-2</v>
      </c>
      <c r="AB19" s="144">
        <f t="shared" si="3"/>
        <v>4.0114539267528004E-2</v>
      </c>
      <c r="AC19" s="144">
        <f t="shared" si="4"/>
        <v>3.3502869392256001E-3</v>
      </c>
      <c r="AD19" s="144">
        <f t="shared" si="7"/>
        <v>2.4664227803110644E-2</v>
      </c>
      <c r="AE19" s="145">
        <f t="shared" si="5"/>
        <v>-2.4489371551699208</v>
      </c>
      <c r="AF19" s="145">
        <f t="shared" si="6"/>
        <v>2.5091556373957899E-4</v>
      </c>
      <c r="AH19" s="181"/>
      <c r="AI19" s="181"/>
      <c r="AJ19" s="182"/>
    </row>
    <row r="20" spans="1:36" x14ac:dyDescent="0.25">
      <c r="H20" s="156">
        <f>1-1/H18</f>
        <v>0.72305368125391434</v>
      </c>
      <c r="I20" s="125">
        <v>9.5468324408700001E-3</v>
      </c>
      <c r="J20" s="50">
        <v>3.8011407907968003E-2</v>
      </c>
      <c r="K20" s="50">
        <v>3.0390549486131999E-3</v>
      </c>
      <c r="L20" s="67">
        <v>1.4736843209845148E-2</v>
      </c>
      <c r="N20" s="18">
        <v>1.2050519701903314E-6</v>
      </c>
      <c r="O20" s="18">
        <v>3.0989987665824604E-11</v>
      </c>
      <c r="P20" s="18">
        <v>1.7398125680478673E-9</v>
      </c>
      <c r="Q20" s="28">
        <v>0.67272727272727273</v>
      </c>
      <c r="R20" s="61">
        <v>105.66574430796707</v>
      </c>
      <c r="S20" s="58">
        <v>2.5091556373957901E-6</v>
      </c>
      <c r="U20" s="172">
        <v>2.2499965352582692E-2</v>
      </c>
      <c r="V20" s="172">
        <v>1.4736843209845148E-2</v>
      </c>
      <c r="W20" s="173">
        <v>4.7501974235497131E-2</v>
      </c>
      <c r="X20" s="173">
        <f t="shared" si="0"/>
        <v>2.4868906501942532E-2</v>
      </c>
      <c r="Y20" s="185">
        <f t="shared" si="1"/>
        <v>18.701608412919263</v>
      </c>
      <c r="AA20" s="143">
        <f t="shared" si="2"/>
        <v>9.5468324408699998E-2</v>
      </c>
      <c r="AB20" s="144">
        <f t="shared" si="3"/>
        <v>3.8011407907968003E-2</v>
      </c>
      <c r="AC20" s="144">
        <f t="shared" si="4"/>
        <v>3.0390549486131999E-3</v>
      </c>
      <c r="AD20" s="144">
        <f t="shared" si="7"/>
        <v>2.4868906501942532E-2</v>
      </c>
      <c r="AE20" s="145">
        <f t="shared" si="5"/>
        <v>-2.4184255692032921</v>
      </c>
      <c r="AF20" s="145">
        <f t="shared" si="6"/>
        <v>2.5091556373957899E-4</v>
      </c>
      <c r="AH20" s="181"/>
      <c r="AI20" s="181"/>
      <c r="AJ20" s="182"/>
    </row>
    <row r="21" spans="1:36" s="17" customFormat="1" ht="18.75" x14ac:dyDescent="0.25">
      <c r="A21" s="64"/>
      <c r="B21" s="120"/>
      <c r="C21" s="120"/>
      <c r="D21" s="120"/>
      <c r="E21" s="120"/>
      <c r="F21" s="120"/>
      <c r="G21" s="120"/>
      <c r="H21" s="188" t="s">
        <v>646</v>
      </c>
      <c r="I21" s="125">
        <v>9.6423007652800003E-3</v>
      </c>
      <c r="J21" s="50">
        <v>3.1407067435524003E-2</v>
      </c>
      <c r="K21" s="50">
        <v>2.6179651179528002E-3</v>
      </c>
      <c r="L21" s="67">
        <v>1.5079160517586707E-2</v>
      </c>
      <c r="M21" s="31"/>
      <c r="N21" s="18">
        <v>1.2204899653385656E-6</v>
      </c>
      <c r="O21" s="18">
        <v>3.1526099309720329E-11</v>
      </c>
      <c r="P21" s="30">
        <v>2.1937251032949351E-9</v>
      </c>
      <c r="Q21" s="66">
        <v>0.67272727272727273</v>
      </c>
      <c r="R21" s="63">
        <v>105.66574430796707</v>
      </c>
      <c r="S21" s="62">
        <v>2.5793482334753735E-6</v>
      </c>
      <c r="T21" s="80"/>
      <c r="U21" s="172">
        <v>2.0652007262045458E-2</v>
      </c>
      <c r="V21" s="172">
        <v>1.5079160517586707E-2</v>
      </c>
      <c r="W21" s="173">
        <v>5.0021136985636067E-2</v>
      </c>
      <c r="X21" s="173">
        <f t="shared" si="0"/>
        <v>2.5207866320713736E-2</v>
      </c>
      <c r="Y21" s="185">
        <f t="shared" si="1"/>
        <v>5.6071702227897706</v>
      </c>
      <c r="AA21" s="143">
        <f t="shared" si="2"/>
        <v>9.64230076528E-2</v>
      </c>
      <c r="AB21" s="144">
        <f t="shared" si="3"/>
        <v>3.1407067435524003E-2</v>
      </c>
      <c r="AC21" s="144">
        <f t="shared" si="4"/>
        <v>2.6179651179528002E-3</v>
      </c>
      <c r="AD21" s="144">
        <f t="shared" si="7"/>
        <v>2.5207866320713736E-2</v>
      </c>
      <c r="AE21" s="145">
        <f t="shared" si="5"/>
        <v>-2.4184255692032921</v>
      </c>
      <c r="AF21" s="145">
        <f t="shared" si="6"/>
        <v>2.5793482334753737E-4</v>
      </c>
      <c r="AG21" s="80"/>
      <c r="AH21" s="181"/>
      <c r="AI21" s="181"/>
      <c r="AJ21" s="182"/>
    </row>
    <row r="22" spans="1:36" x14ac:dyDescent="0.25">
      <c r="H22" s="163">
        <f>H42*H14+(1-H42)*H18</f>
        <v>3.0211394271977348</v>
      </c>
      <c r="I22" s="125">
        <v>9.7387237729300007E-3</v>
      </c>
      <c r="J22" s="50">
        <v>3.2167744558355998E-2</v>
      </c>
      <c r="K22" s="50">
        <v>2.6163008591147999E-3</v>
      </c>
      <c r="L22" s="67">
        <v>1.560074942592813E-2</v>
      </c>
      <c r="N22" s="18">
        <v>1.2141340973159044E-6</v>
      </c>
      <c r="O22" s="18">
        <v>3.2573196386843887E-11</v>
      </c>
      <c r="P22" s="18">
        <v>2.7388607334068322E-9</v>
      </c>
      <c r="Q22" s="28">
        <v>0.67272727272727273</v>
      </c>
      <c r="R22" s="61">
        <v>105.95463979083682</v>
      </c>
      <c r="S22" s="58">
        <v>2.5793482334753735E-6</v>
      </c>
      <c r="U22" s="172">
        <v>1.8920010155526523E-2</v>
      </c>
      <c r="V22" s="172">
        <v>1.560074942592813E-2</v>
      </c>
      <c r="W22" s="173">
        <v>5.2590740757543643E-2</v>
      </c>
      <c r="X22" s="173">
        <f t="shared" si="0"/>
        <v>2.5678062441231608E-2</v>
      </c>
      <c r="Y22" s="185">
        <f t="shared" si="1"/>
        <v>6.1527813377835692</v>
      </c>
      <c r="AA22" s="143">
        <f t="shared" si="2"/>
        <v>9.7387237729300011E-2</v>
      </c>
      <c r="AB22" s="144">
        <f t="shared" si="3"/>
        <v>3.2167744558355998E-2</v>
      </c>
      <c r="AC22" s="144">
        <f t="shared" si="4"/>
        <v>2.6163008591147999E-3</v>
      </c>
      <c r="AD22" s="144">
        <f t="shared" si="7"/>
        <v>2.5678062441231608E-2</v>
      </c>
      <c r="AE22" s="145">
        <f t="shared" si="5"/>
        <v>-2.3895360209163172</v>
      </c>
      <c r="AF22" s="145">
        <f t="shared" si="6"/>
        <v>2.5793482334753737E-4</v>
      </c>
      <c r="AH22" s="181"/>
      <c r="AI22" s="181"/>
      <c r="AJ22" s="182"/>
    </row>
    <row r="23" spans="1:36" ht="18.75" x14ac:dyDescent="0.25">
      <c r="H23" s="116" t="s">
        <v>638</v>
      </c>
      <c r="I23" s="125">
        <v>9.8361110106600005E-3</v>
      </c>
      <c r="J23" s="50">
        <v>3.8693874999252004E-2</v>
      </c>
      <c r="K23" s="50">
        <v>2.8456713228240003E-3</v>
      </c>
      <c r="L23" s="67">
        <v>1.6298234264769163E-2</v>
      </c>
      <c r="N23" s="18">
        <v>1.1920762149381052E-6</v>
      </c>
      <c r="O23" s="18">
        <v>3.4051449339708748E-11</v>
      </c>
      <c r="P23" s="18">
        <v>3.3860966748443518E-9</v>
      </c>
      <c r="Q23" s="28">
        <v>0.67272727272727273</v>
      </c>
      <c r="R23" s="61">
        <v>105.95463979083682</v>
      </c>
      <c r="S23" s="58">
        <v>2.6496003878244729E-6</v>
      </c>
      <c r="U23" s="172">
        <v>1.7310749781282397E-2</v>
      </c>
      <c r="V23" s="172">
        <v>1.6298234264769163E-2</v>
      </c>
      <c r="W23" s="173">
        <v>5.519581221563287E-2</v>
      </c>
      <c r="X23" s="173">
        <f t="shared" si="0"/>
        <v>2.6275757631613397E-2</v>
      </c>
      <c r="Y23" s="185">
        <f t="shared" si="1"/>
        <v>19.043292835453993</v>
      </c>
      <c r="AA23" s="143">
        <f t="shared" si="2"/>
        <v>9.8361110106600008E-2</v>
      </c>
      <c r="AB23" s="144">
        <f t="shared" si="3"/>
        <v>3.8693874999252004E-2</v>
      </c>
      <c r="AC23" s="144">
        <f t="shared" si="4"/>
        <v>2.8456713228240003E-3</v>
      </c>
      <c r="AD23" s="144">
        <f t="shared" si="7"/>
        <v>2.6275757631613397E-2</v>
      </c>
      <c r="AE23" s="145">
        <f t="shared" si="5"/>
        <v>-2.3895360209163172</v>
      </c>
      <c r="AF23" s="145">
        <f t="shared" si="6"/>
        <v>2.6496003878244726E-4</v>
      </c>
      <c r="AH23" s="181"/>
      <c r="AI23" s="181"/>
      <c r="AJ23" s="182"/>
    </row>
    <row r="24" spans="1:36" x14ac:dyDescent="0.25">
      <c r="H24" s="156">
        <f>1-1/H22</f>
        <v>0.66899905678052329</v>
      </c>
      <c r="I24" s="125">
        <v>9.9344721207699997E-3</v>
      </c>
      <c r="J24" s="50">
        <v>2.8368002090076002E-2</v>
      </c>
      <c r="K24" s="50">
        <v>4.0953102965016006E-3</v>
      </c>
      <c r="L24" s="67">
        <v>1.7167184093342124E-2</v>
      </c>
      <c r="N24" s="18">
        <v>1.1586022191968389E-6</v>
      </c>
      <c r="O24" s="18">
        <v>3.5909408164641431E-11</v>
      </c>
      <c r="P24" s="18">
        <v>4.1458072343528407E-9</v>
      </c>
      <c r="Q24" s="28">
        <v>0.67272727272727273</v>
      </c>
      <c r="R24" s="61">
        <v>106.23365761646924</v>
      </c>
      <c r="S24" s="58">
        <v>2.6496003878244729E-6</v>
      </c>
      <c r="U24" s="172">
        <v>1.5830726906190591E-2</v>
      </c>
      <c r="V24" s="172">
        <v>1.7167184093342124E-2</v>
      </c>
      <c r="W24" s="173">
        <v>5.7820955829631211E-2</v>
      </c>
      <c r="X24" s="173">
        <f t="shared" si="0"/>
        <v>2.6996512730626511E-2</v>
      </c>
      <c r="Y24" s="185">
        <f t="shared" si="1"/>
        <v>0.11215309384105096</v>
      </c>
      <c r="AA24" s="143">
        <f t="shared" si="2"/>
        <v>9.9344721207699993E-2</v>
      </c>
      <c r="AB24" s="144">
        <f t="shared" si="3"/>
        <v>2.8368002090076002E-2</v>
      </c>
      <c r="AC24" s="144">
        <f t="shared" si="4"/>
        <v>4.0953102965016006E-3</v>
      </c>
      <c r="AD24" s="144">
        <f t="shared" si="7"/>
        <v>2.6996512730626511E-2</v>
      </c>
      <c r="AE24" s="145">
        <f t="shared" si="5"/>
        <v>-2.3616342383530751</v>
      </c>
      <c r="AF24" s="145">
        <f t="shared" si="6"/>
        <v>2.6496003878244726E-4</v>
      </c>
      <c r="AH24" s="181"/>
      <c r="AI24" s="181"/>
      <c r="AJ24" s="182"/>
    </row>
    <row r="25" spans="1:36" x14ac:dyDescent="0.25">
      <c r="H25" s="130" t="s">
        <v>630</v>
      </c>
      <c r="I25" s="125">
        <v>1.0033816842E-2</v>
      </c>
      <c r="J25" s="50">
        <v>5.3114916393396001E-2</v>
      </c>
      <c r="K25" s="50">
        <v>5.8244372009604011E-3</v>
      </c>
      <c r="L25" s="67">
        <v>1.8202099316082174E-2</v>
      </c>
      <c r="N25" s="18">
        <v>1.1161996687455644E-6</v>
      </c>
      <c r="O25" s="18">
        <v>3.8123055897146559E-11</v>
      </c>
      <c r="P25" s="18">
        <v>5.0273884338030565E-9</v>
      </c>
      <c r="Q25" s="28">
        <v>0.67272727272727273</v>
      </c>
      <c r="R25" s="61">
        <v>106.23365761646924</v>
      </c>
      <c r="S25" s="58">
        <v>2.7198662854725101E-6</v>
      </c>
      <c r="U25" s="172">
        <v>1.448609667808386E-2</v>
      </c>
      <c r="V25" s="172">
        <v>1.8202099316082174E-2</v>
      </c>
      <c r="W25" s="173">
        <v>6.045043202663259E-2</v>
      </c>
      <c r="X25" s="173">
        <f t="shared" si="0"/>
        <v>2.78351818342202E-2</v>
      </c>
      <c r="Y25" s="185">
        <f t="shared" si="1"/>
        <v>18.838099429770764</v>
      </c>
      <c r="AA25" s="143">
        <f t="shared" si="2"/>
        <v>0.10033816842</v>
      </c>
      <c r="AB25" s="144">
        <f t="shared" si="3"/>
        <v>5.3114916393396001E-2</v>
      </c>
      <c r="AC25" s="144">
        <f t="shared" si="4"/>
        <v>5.8244372009604011E-3</v>
      </c>
      <c r="AD25" s="144">
        <f t="shared" si="7"/>
        <v>2.78351818342202E-2</v>
      </c>
      <c r="AE25" s="145">
        <f t="shared" si="5"/>
        <v>-2.3616342383530751</v>
      </c>
      <c r="AF25" s="145">
        <f t="shared" si="6"/>
        <v>2.7198662854725103E-4</v>
      </c>
      <c r="AH25" s="181"/>
      <c r="AI25" s="181"/>
      <c r="AJ25" s="182"/>
    </row>
    <row r="26" spans="1:36" x14ac:dyDescent="0.25">
      <c r="H26" s="178">
        <v>7.4595161173638777E-2</v>
      </c>
      <c r="I26" s="125">
        <v>1.0134155010399999E-2</v>
      </c>
      <c r="J26" s="50">
        <v>3.3347642097528003E-2</v>
      </c>
      <c r="K26" s="50">
        <v>3.9838793786220001E-3</v>
      </c>
      <c r="L26" s="67">
        <v>1.9396407820260447E-2</v>
      </c>
      <c r="N26" s="18">
        <v>1.0660529137616046E-6</v>
      </c>
      <c r="O26" s="18">
        <v>4.0686906371477618E-11</v>
      </c>
      <c r="P26" s="18">
        <v>6.0387483807375662E-9</v>
      </c>
      <c r="Q26" s="28">
        <v>0.67272727272727273</v>
      </c>
      <c r="R26" s="61">
        <v>106.50798841519858</v>
      </c>
      <c r="S26" s="58">
        <v>2.7198662854725101E-6</v>
      </c>
      <c r="U26" s="172">
        <v>1.3282595929565526E-2</v>
      </c>
      <c r="V26" s="172">
        <v>1.9396407820260447E-2</v>
      </c>
      <c r="W26" s="173">
        <v>6.3068238260220844E-2</v>
      </c>
      <c r="X26" s="173">
        <f t="shared" si="0"/>
        <v>2.8785912457576817E-2</v>
      </c>
      <c r="Y26" s="185">
        <f t="shared" si="1"/>
        <v>1.3111329248591257</v>
      </c>
      <c r="AA26" s="143">
        <f t="shared" si="2"/>
        <v>0.10134155010399999</v>
      </c>
      <c r="AB26" s="144">
        <f t="shared" si="3"/>
        <v>3.3347642097528003E-2</v>
      </c>
      <c r="AC26" s="144">
        <f t="shared" si="4"/>
        <v>3.9838793786220001E-3</v>
      </c>
      <c r="AD26" s="144">
        <f t="shared" si="7"/>
        <v>2.8785912457576817E-2</v>
      </c>
      <c r="AE26" s="145">
        <f t="shared" si="5"/>
        <v>-2.3342011584801412</v>
      </c>
      <c r="AF26" s="145">
        <f t="shared" si="6"/>
        <v>2.7198662854725103E-4</v>
      </c>
      <c r="AH26" s="181"/>
      <c r="AI26" s="181"/>
      <c r="AJ26" s="182"/>
    </row>
    <row r="27" spans="1:36" x14ac:dyDescent="0.25">
      <c r="H27" s="179" t="s">
        <v>631</v>
      </c>
      <c r="I27" s="125">
        <v>1.0235496560500001E-2</v>
      </c>
      <c r="J27" s="50">
        <v>3.8869528636092006E-2</v>
      </c>
      <c r="K27" s="50">
        <v>4.2246606704675997E-3</v>
      </c>
      <c r="L27" s="67">
        <v>2.0743819834976567E-2</v>
      </c>
      <c r="N27" s="18">
        <v>1.0086078399426881E-6</v>
      </c>
      <c r="O27" s="18">
        <v>4.3603959622566884E-11</v>
      </c>
      <c r="P27" s="18">
        <v>7.1857890380572453E-9</v>
      </c>
      <c r="Q27" s="28">
        <v>0.67272727272727273</v>
      </c>
      <c r="R27" s="61">
        <v>106.50798841519858</v>
      </c>
      <c r="S27" s="58">
        <v>2.7729484968649535E-6</v>
      </c>
      <c r="U27" s="172">
        <v>1.2223336297737829E-2</v>
      </c>
      <c r="V27" s="172">
        <v>2.0743819834976567E-2</v>
      </c>
      <c r="W27" s="173">
        <v>6.5662068143471974E-2</v>
      </c>
      <c r="X27" s="173">
        <f t="shared" si="0"/>
        <v>2.9843261027790734E-2</v>
      </c>
      <c r="Y27" s="185">
        <f t="shared" si="1"/>
        <v>4.5649155450354399</v>
      </c>
      <c r="AA27" s="143">
        <f t="shared" si="2"/>
        <v>0.10235496560500001</v>
      </c>
      <c r="AB27" s="144">
        <f t="shared" si="3"/>
        <v>3.8869528636092006E-2</v>
      </c>
      <c r="AC27" s="144">
        <f t="shared" si="4"/>
        <v>4.2246606704675997E-3</v>
      </c>
      <c r="AD27" s="144">
        <f t="shared" si="7"/>
        <v>2.9843261027790734E-2</v>
      </c>
      <c r="AE27" s="145">
        <f t="shared" si="5"/>
        <v>-2.3342011584801412</v>
      </c>
      <c r="AF27" s="145">
        <f t="shared" si="6"/>
        <v>2.7729484968649535E-4</v>
      </c>
      <c r="AH27" s="181"/>
      <c r="AI27" s="181"/>
      <c r="AJ27" s="182"/>
    </row>
    <row r="28" spans="1:36" x14ac:dyDescent="0.25">
      <c r="H28" s="180">
        <v>1</v>
      </c>
      <c r="I28" s="125">
        <v>1.0337851526100001E-2</v>
      </c>
      <c r="J28" s="50">
        <v>2.8276341160847998E-2</v>
      </c>
      <c r="K28" s="50">
        <v>3.7837359621996003E-3</v>
      </c>
      <c r="L28" s="67">
        <v>2.2233099327480237E-2</v>
      </c>
      <c r="N28" s="18">
        <v>9.4400203600558794E-7</v>
      </c>
      <c r="O28" s="18">
        <v>4.6877874495658318E-11</v>
      </c>
      <c r="P28" s="18">
        <v>8.4719096450972706E-9</v>
      </c>
      <c r="Q28" s="28">
        <v>0.67272727272727273</v>
      </c>
      <c r="R28" s="61">
        <v>106.84435205156223</v>
      </c>
      <c r="S28" s="58">
        <v>2.7729484968649535E-6</v>
      </c>
      <c r="U28" s="172">
        <v>1.1317574076094553E-2</v>
      </c>
      <c r="V28" s="172">
        <v>2.2233099327480237E-2</v>
      </c>
      <c r="W28" s="173">
        <v>6.8207671457428592E-2</v>
      </c>
      <c r="X28" s="173">
        <f t="shared" si="0"/>
        <v>3.0997861047120906E-2</v>
      </c>
      <c r="Y28" s="185">
        <f t="shared" si="1"/>
        <v>0.51734633728611934</v>
      </c>
      <c r="AA28" s="143">
        <f t="shared" si="2"/>
        <v>0.103378515261</v>
      </c>
      <c r="AB28" s="144">
        <f t="shared" si="3"/>
        <v>2.8276341160847998E-2</v>
      </c>
      <c r="AC28" s="144">
        <f t="shared" si="4"/>
        <v>3.7837359621996003E-3</v>
      </c>
      <c r="AD28" s="144">
        <f t="shared" si="7"/>
        <v>3.0997861047120906E-2</v>
      </c>
      <c r="AE28" s="145">
        <f t="shared" si="5"/>
        <v>-2.3005647948437771</v>
      </c>
      <c r="AF28" s="145">
        <f t="shared" si="6"/>
        <v>2.7729484968649535E-4</v>
      </c>
      <c r="AH28" s="181"/>
      <c r="AI28" s="181"/>
      <c r="AJ28" s="182"/>
    </row>
    <row r="29" spans="1:36" x14ac:dyDescent="0.25">
      <c r="I29" s="125">
        <v>1.0441230041400001E-2</v>
      </c>
      <c r="J29" s="50">
        <v>3.4214808426875999E-2</v>
      </c>
      <c r="K29" s="50">
        <v>3.9764580367247998E-3</v>
      </c>
      <c r="L29" s="67">
        <v>2.3855700862093245E-2</v>
      </c>
      <c r="N29" s="18">
        <v>8.7232663334940463E-7</v>
      </c>
      <c r="O29" s="18">
        <v>5.0507962324294901E-11</v>
      </c>
      <c r="P29" s="18">
        <v>9.897564814580078E-9</v>
      </c>
      <c r="Q29" s="28">
        <v>0.67272727272727273</v>
      </c>
      <c r="R29" s="61">
        <v>106.84435205156223</v>
      </c>
      <c r="S29" s="58">
        <v>2.8940578400572229E-6</v>
      </c>
      <c r="U29" s="172">
        <v>1.0566880039886602E-2</v>
      </c>
      <c r="V29" s="172">
        <v>2.3855700862093245E-2</v>
      </c>
      <c r="W29" s="173">
        <v>7.0692852619969937E-2</v>
      </c>
      <c r="X29" s="173">
        <f t="shared" si="0"/>
        <v>3.2242783596010759E-2</v>
      </c>
      <c r="Y29" s="185">
        <f t="shared" si="1"/>
        <v>0.24594157544452999</v>
      </c>
      <c r="AA29" s="143">
        <f t="shared" si="2"/>
        <v>0.10441230041400001</v>
      </c>
      <c r="AB29" s="144">
        <f t="shared" si="3"/>
        <v>3.4214808426875999E-2</v>
      </c>
      <c r="AC29" s="144">
        <f t="shared" si="4"/>
        <v>3.9764580367247998E-3</v>
      </c>
      <c r="AD29" s="144">
        <f t="shared" si="7"/>
        <v>3.2242783596010759E-2</v>
      </c>
      <c r="AE29" s="145">
        <f t="shared" si="5"/>
        <v>-2.3005647948437771</v>
      </c>
      <c r="AF29" s="145">
        <f t="shared" si="6"/>
        <v>2.8940578400572228E-4</v>
      </c>
      <c r="AH29" s="181"/>
      <c r="AI29" s="181"/>
      <c r="AJ29" s="182"/>
    </row>
    <row r="30" spans="1:36" x14ac:dyDescent="0.25">
      <c r="B30" s="190" t="s">
        <v>599</v>
      </c>
      <c r="C30" s="190"/>
      <c r="D30" s="190"/>
      <c r="E30" s="190"/>
      <c r="F30" s="190"/>
      <c r="G30" s="190"/>
      <c r="H30" s="165"/>
      <c r="I30" s="125">
        <v>1.0545642341800001E-2</v>
      </c>
      <c r="J30" s="50">
        <v>4.0273622458212005E-2</v>
      </c>
      <c r="K30" s="50">
        <v>3.7599504870443998E-3</v>
      </c>
      <c r="L30" s="67">
        <v>2.5600926588680108E-2</v>
      </c>
      <c r="N30" s="18">
        <v>7.9376223502424647E-7</v>
      </c>
      <c r="O30" s="18">
        <v>5.4486372595158089E-11</v>
      </c>
      <c r="P30" s="18">
        <v>1.1459910759114108E-8</v>
      </c>
      <c r="Q30" s="28">
        <v>0.67272727272727273</v>
      </c>
      <c r="R30" s="61">
        <v>107.5170793242895</v>
      </c>
      <c r="S30" s="58">
        <v>2.8940578400572229E-6</v>
      </c>
      <c r="U30" s="172">
        <v>9.9745791231042602E-3</v>
      </c>
      <c r="V30" s="172">
        <v>2.5600926588680108E-2</v>
      </c>
      <c r="W30" s="173">
        <v>7.3101409388861852E-2</v>
      </c>
      <c r="X30" s="173">
        <f t="shared" si="0"/>
        <v>3.3569460422331582E-2</v>
      </c>
      <c r="Y30" s="185">
        <f t="shared" si="1"/>
        <v>3.1792505340020303</v>
      </c>
      <c r="AA30" s="143">
        <f t="shared" si="2"/>
        <v>0.105456423418</v>
      </c>
      <c r="AB30" s="144">
        <f t="shared" si="3"/>
        <v>4.0273622458212005E-2</v>
      </c>
      <c r="AC30" s="144">
        <f t="shared" si="4"/>
        <v>3.7599504870443998E-3</v>
      </c>
      <c r="AD30" s="144">
        <f t="shared" si="7"/>
        <v>3.3569460422331582E-2</v>
      </c>
      <c r="AE30" s="145">
        <f t="shared" si="5"/>
        <v>-2.2332920675710497</v>
      </c>
      <c r="AF30" s="145">
        <f t="shared" si="6"/>
        <v>2.8940578400572228E-4</v>
      </c>
      <c r="AH30" s="181"/>
      <c r="AI30" s="181"/>
      <c r="AJ30" s="182"/>
    </row>
    <row r="31" spans="1:36" ht="19.5" x14ac:dyDescent="0.3">
      <c r="B31" s="153" t="s">
        <v>613</v>
      </c>
      <c r="C31" s="160">
        <v>0</v>
      </c>
      <c r="D31" s="160">
        <v>0</v>
      </c>
      <c r="E31" s="160">
        <v>0</v>
      </c>
      <c r="F31" s="138">
        <v>100</v>
      </c>
      <c r="G31" s="138">
        <v>0</v>
      </c>
      <c r="H31" s="146" t="s">
        <v>658</v>
      </c>
      <c r="I31" s="125">
        <v>1.06510987652E-2</v>
      </c>
      <c r="J31" s="50">
        <v>3.6230453176367999E-2</v>
      </c>
      <c r="K31" s="50">
        <v>3.5250458119932002E-3</v>
      </c>
      <c r="L31" s="67">
        <v>2.7457137950977008E-2</v>
      </c>
      <c r="N31" s="18">
        <v>7.0864061147163781E-7</v>
      </c>
      <c r="O31" s="18">
        <v>5.8796687592267471E-11</v>
      </c>
      <c r="P31" s="18">
        <v>1.3152570826970628E-8</v>
      </c>
      <c r="Q31" s="28">
        <v>0.67272727272727273</v>
      </c>
      <c r="R31" s="61">
        <v>107.5170793242895</v>
      </c>
      <c r="S31" s="58">
        <v>3.0384360731760849E-6</v>
      </c>
      <c r="U31" s="172">
        <v>9.5432141732376494E-3</v>
      </c>
      <c r="V31" s="172">
        <v>2.7457137950977008E-2</v>
      </c>
      <c r="W31" s="173">
        <v>7.5417306399865741E-2</v>
      </c>
      <c r="X31" s="173">
        <f t="shared" si="0"/>
        <v>3.4968699118764351E-2</v>
      </c>
      <c r="Y31" s="185">
        <f t="shared" si="1"/>
        <v>0.12812087294030117</v>
      </c>
      <c r="AA31" s="143">
        <f t="shared" si="2"/>
        <v>0.106510987652</v>
      </c>
      <c r="AB31" s="144">
        <f t="shared" si="3"/>
        <v>3.6230453176367999E-2</v>
      </c>
      <c r="AC31" s="144">
        <f t="shared" si="4"/>
        <v>3.5250458119932002E-3</v>
      </c>
      <c r="AD31" s="144">
        <f t="shared" si="7"/>
        <v>3.4968699118764351E-2</v>
      </c>
      <c r="AE31" s="145">
        <f t="shared" si="5"/>
        <v>-2.2332920675710497</v>
      </c>
      <c r="AF31" s="145">
        <f t="shared" si="6"/>
        <v>3.0384360731760851E-4</v>
      </c>
      <c r="AH31" s="181"/>
      <c r="AI31" s="181"/>
      <c r="AJ31" s="182"/>
    </row>
    <row r="32" spans="1:36" x14ac:dyDescent="0.25">
      <c r="B32" s="107" t="s">
        <v>614</v>
      </c>
      <c r="C32" s="108">
        <f>H32</f>
        <v>9.4545576236162603E-7</v>
      </c>
      <c r="D32" s="108">
        <v>1.5392483148537927E-10</v>
      </c>
      <c r="E32" s="108">
        <v>5.0509225500401457E-8</v>
      </c>
      <c r="F32" s="109">
        <f>F63*H42-(F33-F64*H42)/2</f>
        <v>36.089658308560537</v>
      </c>
      <c r="G32" s="123">
        <v>36.724059660049043</v>
      </c>
      <c r="H32" s="110">
        <f>0.0000000000000001*H44*H50</f>
        <v>9.4545576236162603E-7</v>
      </c>
      <c r="I32" s="125">
        <v>1.0757609752900001E-2</v>
      </c>
      <c r="J32" s="50">
        <v>3.4645630450199992E-2</v>
      </c>
      <c r="K32" s="50">
        <v>3.5929878310656006E-3</v>
      </c>
      <c r="L32" s="67">
        <v>2.9411811802782569E-2</v>
      </c>
      <c r="N32" s="18">
        <v>6.1746751975255662E-7</v>
      </c>
      <c r="O32" s="18">
        <v>6.3413398541205574E-11</v>
      </c>
      <c r="P32" s="18">
        <v>1.4965546436826737E-8</v>
      </c>
      <c r="Q32" s="28">
        <v>0.67272727272727273</v>
      </c>
      <c r="R32" s="61">
        <v>108.18980659701677</v>
      </c>
      <c r="S32" s="58">
        <v>3.0384360731760849E-6</v>
      </c>
      <c r="U32" s="172">
        <v>9.2744802886643787E-3</v>
      </c>
      <c r="V32" s="172">
        <v>2.9411811802782569E-2</v>
      </c>
      <c r="W32" s="173">
        <v>7.7624763100957409E-2</v>
      </c>
      <c r="X32" s="173">
        <f t="shared" si="0"/>
        <v>3.6430716748796735E-2</v>
      </c>
      <c r="Y32" s="185">
        <f t="shared" si="1"/>
        <v>0.24683511365300348</v>
      </c>
      <c r="AA32" s="143">
        <f t="shared" si="2"/>
        <v>0.10757609752900001</v>
      </c>
      <c r="AB32" s="144">
        <f t="shared" si="3"/>
        <v>3.4645630450199992E-2</v>
      </c>
      <c r="AC32" s="144">
        <f t="shared" si="4"/>
        <v>3.5929878310656006E-3</v>
      </c>
      <c r="AD32" s="144">
        <f t="shared" si="7"/>
        <v>3.6430716748796735E-2</v>
      </c>
      <c r="AE32" s="145">
        <f t="shared" si="5"/>
        <v>-2.1660193402983223</v>
      </c>
      <c r="AF32" s="145">
        <f t="shared" si="6"/>
        <v>3.0384360731760851E-4</v>
      </c>
      <c r="AH32" s="181"/>
      <c r="AI32" s="181"/>
      <c r="AJ32" s="182"/>
    </row>
    <row r="33" spans="2:36" ht="18.75" x14ac:dyDescent="0.25">
      <c r="B33" s="111" t="s">
        <v>615</v>
      </c>
      <c r="C33" s="112">
        <f>H34</f>
        <v>2.8630735093003271E-6</v>
      </c>
      <c r="D33" s="113">
        <v>7.9300000000000003E-12</v>
      </c>
      <c r="E33" s="113">
        <v>3.6399999999999998E-10</v>
      </c>
      <c r="F33" s="114">
        <v>44.525552128511919</v>
      </c>
      <c r="G33" s="115">
        <f>F32</f>
        <v>36.089658308560537</v>
      </c>
      <c r="H33" s="116" t="s">
        <v>661</v>
      </c>
      <c r="I33" s="125">
        <v>1.08651858504E-2</v>
      </c>
      <c r="J33" s="50">
        <v>3.2671553439096002E-2</v>
      </c>
      <c r="K33" s="50">
        <v>3.2895725657652E-3</v>
      </c>
      <c r="L33" s="67">
        <v>3.145160562250017E-2</v>
      </c>
      <c r="N33" s="18">
        <v>5.2092486675921432E-7</v>
      </c>
      <c r="O33" s="18">
        <v>6.8301999956952982E-11</v>
      </c>
      <c r="P33" s="18">
        <v>1.6885291782170518E-8</v>
      </c>
      <c r="Q33" s="28">
        <v>0.67272727272727273</v>
      </c>
      <c r="R33" s="61">
        <v>108.18980659701677</v>
      </c>
      <c r="S33" s="58">
        <v>3.1524694663931443E-6</v>
      </c>
      <c r="U33" s="172">
        <v>9.1691641334793843E-3</v>
      </c>
      <c r="V33" s="172">
        <v>3.145160562250017E-2</v>
      </c>
      <c r="W33" s="173">
        <v>7.9708341665057011E-2</v>
      </c>
      <c r="X33" s="173">
        <f t="shared" si="0"/>
        <v>3.7945179260884185E-2</v>
      </c>
      <c r="Y33" s="185">
        <f t="shared" si="1"/>
        <v>2.5700388131316734</v>
      </c>
      <c r="AA33" s="143">
        <f t="shared" si="2"/>
        <v>0.108651858504</v>
      </c>
      <c r="AB33" s="144">
        <f t="shared" si="3"/>
        <v>3.2671553439096002E-2</v>
      </c>
      <c r="AC33" s="144">
        <f t="shared" si="4"/>
        <v>3.2895725657652E-3</v>
      </c>
      <c r="AD33" s="144">
        <f t="shared" si="7"/>
        <v>3.7945179260884185E-2</v>
      </c>
      <c r="AE33" s="145">
        <f t="shared" si="5"/>
        <v>-2.1660193402983223</v>
      </c>
      <c r="AF33" s="145">
        <f t="shared" si="6"/>
        <v>3.1524694663931445E-4</v>
      </c>
      <c r="AH33" s="181"/>
      <c r="AI33" s="181"/>
      <c r="AJ33" s="182"/>
    </row>
    <row r="34" spans="2:36" x14ac:dyDescent="0.25">
      <c r="B34" s="107" t="s">
        <v>614</v>
      </c>
      <c r="C34" s="108">
        <f>H32</f>
        <v>9.4545576236162603E-7</v>
      </c>
      <c r="D34" s="108">
        <v>1.5392483148537927E-10</v>
      </c>
      <c r="E34" s="108">
        <v>5.0509225500401457E-8</v>
      </c>
      <c r="F34" s="109">
        <f>(2*H38-F35-F33)/2</f>
        <v>74.089624059824445</v>
      </c>
      <c r="G34" s="109">
        <f>G35</f>
        <v>44.5</v>
      </c>
      <c r="H34" s="110">
        <f>0.0000000000000001*(H52*H44*(H48/H46))</f>
        <v>2.8630735093003271E-6</v>
      </c>
      <c r="I34" s="125">
        <v>1.09738377089E-2</v>
      </c>
      <c r="J34" s="50">
        <v>2.7413143363716003E-2</v>
      </c>
      <c r="K34" s="50">
        <v>2.8789332402204002E-3</v>
      </c>
      <c r="L34" s="67">
        <v>3.3562431230765015E-2</v>
      </c>
      <c r="N34" s="18">
        <v>4.1985997743084476E-7</v>
      </c>
      <c r="O34" s="18">
        <v>7.3419591244609153E-11</v>
      </c>
      <c r="P34" s="18">
        <v>1.8894960823444293E-8</v>
      </c>
      <c r="Q34" s="28">
        <v>0.67272727272727273</v>
      </c>
      <c r="R34" s="61">
        <v>108.86253386974404</v>
      </c>
      <c r="S34" s="58">
        <v>3.1524694663931443E-6</v>
      </c>
      <c r="U34" s="172">
        <v>9.2270893679846783E-3</v>
      </c>
      <c r="V34" s="172">
        <v>3.3562431230765015E-2</v>
      </c>
      <c r="W34" s="173">
        <v>8.1653034772616456E-2</v>
      </c>
      <c r="X34" s="173">
        <f t="shared" si="0"/>
        <v>3.9501246650532791E-2</v>
      </c>
      <c r="Y34" s="185">
        <f t="shared" si="1"/>
        <v>17.630033443189127</v>
      </c>
      <c r="AA34" s="143">
        <f t="shared" si="2"/>
        <v>0.109738377089</v>
      </c>
      <c r="AB34" s="144">
        <f t="shared" si="3"/>
        <v>2.7413143363716003E-2</v>
      </c>
      <c r="AC34" s="144">
        <f t="shared" si="4"/>
        <v>2.8789332402204002E-3</v>
      </c>
      <c r="AD34" s="144">
        <f t="shared" si="7"/>
        <v>3.9501246650532791E-2</v>
      </c>
      <c r="AE34" s="145">
        <f t="shared" si="5"/>
        <v>-2.0987466130255954</v>
      </c>
      <c r="AF34" s="145">
        <f t="shared" si="6"/>
        <v>3.1524694663931445E-4</v>
      </c>
      <c r="AH34" s="181"/>
      <c r="AI34" s="181"/>
      <c r="AJ34" s="182"/>
    </row>
    <row r="35" spans="2:36" ht="19.5" x14ac:dyDescent="0.3">
      <c r="B35" s="111" t="s">
        <v>615</v>
      </c>
      <c r="C35" s="112">
        <f>H34</f>
        <v>2.8630735093003271E-6</v>
      </c>
      <c r="D35" s="113">
        <v>7.9300000000000003E-12</v>
      </c>
      <c r="E35" s="113">
        <v>3.6399999999999998E-10</v>
      </c>
      <c r="F35" s="159">
        <f>F33</f>
        <v>44.525552128511919</v>
      </c>
      <c r="G35" s="123">
        <f>44.5</f>
        <v>44.5</v>
      </c>
      <c r="H35" s="117" t="s">
        <v>662</v>
      </c>
      <c r="I35" s="125">
        <v>1.1083576086E-2</v>
      </c>
      <c r="J35" s="50">
        <v>4.0791757531272003E-2</v>
      </c>
      <c r="K35" s="50">
        <v>3.2485085510196004E-3</v>
      </c>
      <c r="L35" s="67">
        <v>3.5729536271271768E-2</v>
      </c>
      <c r="N35" s="18">
        <v>3.1526507326428975E-7</v>
      </c>
      <c r="O35" s="18">
        <v>7.8715930582739698E-11</v>
      </c>
      <c r="P35" s="18">
        <v>2.0974823868963845E-8</v>
      </c>
      <c r="Q35" s="28">
        <v>0.67272727272727273</v>
      </c>
      <c r="R35" s="61">
        <v>108.86253386974404</v>
      </c>
      <c r="S35" s="58">
        <v>3.2309007952452858E-6</v>
      </c>
      <c r="U35" s="172">
        <v>9.4470693018723524E-3</v>
      </c>
      <c r="V35" s="172">
        <v>3.5729536271271768E-2</v>
      </c>
      <c r="W35" s="173">
        <v>8.3444353187166212E-2</v>
      </c>
      <c r="X35" s="173">
        <f t="shared" si="0"/>
        <v>4.1087623757895528E-2</v>
      </c>
      <c r="Y35" s="185">
        <f t="shared" si="1"/>
        <v>8.2951216079457258E-3</v>
      </c>
      <c r="AA35" s="143">
        <f t="shared" si="2"/>
        <v>0.11083576085999999</v>
      </c>
      <c r="AB35" s="144">
        <f t="shared" si="3"/>
        <v>4.0791757531272003E-2</v>
      </c>
      <c r="AC35" s="144">
        <f t="shared" si="4"/>
        <v>3.2485085510196004E-3</v>
      </c>
      <c r="AD35" s="144">
        <f t="shared" si="7"/>
        <v>4.1087623757895528E-2</v>
      </c>
      <c r="AE35" s="145">
        <f t="shared" si="5"/>
        <v>-2.0987466130255954</v>
      </c>
      <c r="AF35" s="145">
        <f t="shared" si="6"/>
        <v>3.2309007952452856E-4</v>
      </c>
      <c r="AH35" s="181"/>
      <c r="AI35" s="181"/>
      <c r="AJ35" s="182"/>
    </row>
    <row r="36" spans="2:36" x14ac:dyDescent="0.25">
      <c r="B36" s="107" t="s">
        <v>614</v>
      </c>
      <c r="C36" s="108">
        <f>H32</f>
        <v>9.4545576236162603E-7</v>
      </c>
      <c r="D36" s="108">
        <v>1.5392483148537927E-10</v>
      </c>
      <c r="E36" s="108">
        <v>5.0509225500401457E-8</v>
      </c>
      <c r="F36" s="109">
        <f>(2*H38-F37-F35)/2</f>
        <v>74.089624059824445</v>
      </c>
      <c r="G36" s="109">
        <f>G35</f>
        <v>44.5</v>
      </c>
      <c r="H36" s="118">
        <f>H38/5</f>
        <v>23.723035237667272</v>
      </c>
      <c r="I36" s="125">
        <v>1.11944118468E-2</v>
      </c>
      <c r="J36" s="50">
        <v>3.2661175202567998E-2</v>
      </c>
      <c r="K36" s="50">
        <v>2.9914091504088E-3</v>
      </c>
      <c r="L36" s="67">
        <v>3.793759268474433E-2</v>
      </c>
      <c r="N36" s="18">
        <v>2.0824861047698764E-7</v>
      </c>
      <c r="O36" s="18">
        <v>8.4134889593007302E-11</v>
      </c>
      <c r="P36" s="18">
        <v>2.3102839435940359E-8</v>
      </c>
      <c r="Q36" s="28">
        <v>0.67272727272727273</v>
      </c>
      <c r="R36" s="61">
        <v>109.53526114247131</v>
      </c>
      <c r="S36" s="58">
        <v>3.2309007952452858E-6</v>
      </c>
      <c r="U36" s="172">
        <v>9.8268678096750609E-3</v>
      </c>
      <c r="V36" s="172">
        <v>3.793759268474433E-2</v>
      </c>
      <c r="W36" s="173">
        <v>8.5068413173432222E-2</v>
      </c>
      <c r="X36" s="173">
        <f t="shared" si="0"/>
        <v>4.2692616588148991E-2</v>
      </c>
      <c r="Y36" s="185">
        <f t="shared" si="1"/>
        <v>11.245403528117301</v>
      </c>
      <c r="AA36" s="143">
        <f t="shared" si="2"/>
        <v>0.111944118468</v>
      </c>
      <c r="AB36" s="144">
        <f t="shared" si="3"/>
        <v>3.2661175202567998E-2</v>
      </c>
      <c r="AC36" s="144">
        <f t="shared" si="4"/>
        <v>2.9914091504088E-3</v>
      </c>
      <c r="AD36" s="144">
        <f t="shared" si="7"/>
        <v>4.2692616588148991E-2</v>
      </c>
      <c r="AE36" s="145">
        <f t="shared" si="5"/>
        <v>-2.031473885752868</v>
      </c>
      <c r="AF36" s="145">
        <f t="shared" si="6"/>
        <v>3.2309007952452856E-4</v>
      </c>
      <c r="AH36" s="181"/>
      <c r="AI36" s="181"/>
      <c r="AJ36" s="182"/>
    </row>
    <row r="37" spans="2:36" ht="19.5" x14ac:dyDescent="0.3">
      <c r="B37" s="111" t="s">
        <v>615</v>
      </c>
      <c r="C37" s="112">
        <f>H34</f>
        <v>2.8630735093003271E-6</v>
      </c>
      <c r="D37" s="113">
        <v>7.9300000000000003E-12</v>
      </c>
      <c r="E37" s="113">
        <v>3.6399999999999998E-10</v>
      </c>
      <c r="F37" s="159">
        <f>F33</f>
        <v>44.525552128511919</v>
      </c>
      <c r="G37" s="115">
        <f>G36</f>
        <v>44.5</v>
      </c>
      <c r="H37" s="117" t="s">
        <v>652</v>
      </c>
      <c r="I37" s="125">
        <v>1.13063559653E-2</v>
      </c>
      <c r="J37" s="50">
        <v>3.5235512939088005E-2</v>
      </c>
      <c r="K37" s="50">
        <v>2.8981705430304004E-3</v>
      </c>
      <c r="L37" s="67">
        <v>4.0170791325679682E-2</v>
      </c>
      <c r="N37" s="18">
        <v>1.2711068808249742E-7</v>
      </c>
      <c r="O37" s="18">
        <v>8.8243445079177019E-11</v>
      </c>
      <c r="P37" s="18">
        <v>2.4716261868666253E-8</v>
      </c>
      <c r="Q37" s="28">
        <v>0.33636363636363636</v>
      </c>
      <c r="R37" s="61">
        <v>109.53526114247131</v>
      </c>
      <c r="S37" s="58">
        <v>3.2750519701903315E-6</v>
      </c>
      <c r="U37" s="172">
        <v>1.0363169467826861E-2</v>
      </c>
      <c r="V37" s="172">
        <v>4.0170791325679682E-2</v>
      </c>
      <c r="W37" s="173">
        <v>8.6512023836377794E-2</v>
      </c>
      <c r="X37" s="173">
        <f t="shared" si="0"/>
        <v>4.4304193988891002E-2</v>
      </c>
      <c r="Y37" s="185">
        <f t="shared" si="1"/>
        <v>9.7913005038676335</v>
      </c>
      <c r="AA37" s="143">
        <f t="shared" si="2"/>
        <v>0.113063559653</v>
      </c>
      <c r="AB37" s="144">
        <f t="shared" si="3"/>
        <v>3.5235512939088005E-2</v>
      </c>
      <c r="AC37" s="144">
        <f t="shared" si="4"/>
        <v>2.8981705430304004E-3</v>
      </c>
      <c r="AD37" s="144">
        <f t="shared" si="7"/>
        <v>4.4304193988891002E-2</v>
      </c>
      <c r="AE37" s="145">
        <f t="shared" si="5"/>
        <v>-2.031473885752868</v>
      </c>
      <c r="AF37" s="145">
        <f t="shared" si="6"/>
        <v>3.2750519701903316E-4</v>
      </c>
      <c r="AH37" s="181"/>
      <c r="AI37" s="181"/>
      <c r="AJ37" s="182"/>
    </row>
    <row r="38" spans="2:36" x14ac:dyDescent="0.25">
      <c r="B38" s="107" t="s">
        <v>614</v>
      </c>
      <c r="C38" s="108">
        <f>H32</f>
        <v>9.4545576236162603E-7</v>
      </c>
      <c r="D38" s="108">
        <v>1.5392483148537927E-10</v>
      </c>
      <c r="E38" s="108">
        <v>5.0509225500401457E-8</v>
      </c>
      <c r="F38" s="109">
        <f>F69*H42-(F37-F68*H42)/2</f>
        <v>64.819056983118031</v>
      </c>
      <c r="G38" s="109">
        <f>G37</f>
        <v>44.5</v>
      </c>
      <c r="H38" s="118">
        <f>H69*H42</f>
        <v>118.61517618833636</v>
      </c>
      <c r="I38" s="125">
        <v>1.1419419525E-2</v>
      </c>
      <c r="J38" s="50">
        <v>3.5516922596100002E-2</v>
      </c>
      <c r="K38" s="50">
        <v>2.7620461484352001E-3</v>
      </c>
      <c r="L38" s="67">
        <v>4.2412941817391275E-2</v>
      </c>
      <c r="N38" s="18">
        <v>6.1725208043028922E-8</v>
      </c>
      <c r="O38" s="18">
        <v>9.1072610263260333E-11</v>
      </c>
      <c r="P38" s="18">
        <v>2.5827270004989196E-8</v>
      </c>
      <c r="Q38" s="28">
        <v>0.35684649243163219</v>
      </c>
      <c r="R38" s="61">
        <v>110.20798841519859</v>
      </c>
      <c r="S38" s="58">
        <v>3.2750519701903315E-6</v>
      </c>
      <c r="U38" s="172">
        <v>1.1051559752548585E-2</v>
      </c>
      <c r="V38" s="172">
        <v>4.2412941817391275E-2</v>
      </c>
      <c r="W38" s="173">
        <v>8.7762774494562421E-2</v>
      </c>
      <c r="X38" s="173">
        <f t="shared" si="0"/>
        <v>4.5910054470473388E-2</v>
      </c>
      <c r="Y38" s="185">
        <f t="shared" si="1"/>
        <v>14.158948913160931</v>
      </c>
      <c r="AA38" s="143">
        <f t="shared" si="2"/>
        <v>0.11419419525000001</v>
      </c>
      <c r="AB38" s="144">
        <f t="shared" si="3"/>
        <v>3.5516922596100002E-2</v>
      </c>
      <c r="AC38" s="144">
        <f t="shared" si="4"/>
        <v>2.7620461484352001E-3</v>
      </c>
      <c r="AD38" s="144">
        <f t="shared" si="7"/>
        <v>4.5910054470473388E-2</v>
      </c>
      <c r="AE38" s="145">
        <f t="shared" si="5"/>
        <v>-1.9642011584801409</v>
      </c>
      <c r="AF38" s="145">
        <f t="shared" si="6"/>
        <v>3.2750519701903316E-4</v>
      </c>
      <c r="AH38" s="181"/>
      <c r="AI38" s="181"/>
      <c r="AJ38" s="182"/>
    </row>
    <row r="39" spans="2:36" ht="19.5" x14ac:dyDescent="0.3">
      <c r="B39" s="154" t="s">
        <v>539</v>
      </c>
      <c r="C39" s="128">
        <v>8.9999999999999996E-7</v>
      </c>
      <c r="D39" s="128">
        <v>1.5392483148537927E-10</v>
      </c>
      <c r="E39" s="128">
        <v>5.0509225500401457E-8</v>
      </c>
      <c r="F39" s="123">
        <v>15.701245666991817</v>
      </c>
      <c r="G39" s="158">
        <f>F39</f>
        <v>15.701245666991817</v>
      </c>
      <c r="H39" s="117" t="s">
        <v>651</v>
      </c>
      <c r="I39" s="125">
        <v>1.15336137202E-2</v>
      </c>
      <c r="J39" s="50">
        <v>4.0372358221404003E-2</v>
      </c>
      <c r="K39" s="50">
        <v>2.8481577273996002E-3</v>
      </c>
      <c r="L39" s="67">
        <v>4.4647576783553911E-2</v>
      </c>
      <c r="N39" s="18">
        <v>-2.6563186092138491E-8</v>
      </c>
      <c r="O39" s="18">
        <v>9.5429986161374994E-11</v>
      </c>
      <c r="P39" s="18">
        <v>2.7538403770881407E-8</v>
      </c>
      <c r="Q39" s="28">
        <v>0.71369298486326438</v>
      </c>
      <c r="R39" s="61">
        <v>110.20798841519859</v>
      </c>
      <c r="S39" s="58">
        <v>3.2904899653385658E-6</v>
      </c>
      <c r="U39" s="172">
        <v>1.188651601259544E-2</v>
      </c>
      <c r="V39" s="172">
        <v>4.4647576783553911E-2</v>
      </c>
      <c r="W39" s="173">
        <v>8.8809122264312007E-2</v>
      </c>
      <c r="X39" s="173">
        <f t="shared" si="0"/>
        <v>4.7497697961003817E-2</v>
      </c>
      <c r="Y39" s="185">
        <f t="shared" si="1"/>
        <v>6.2586848043164824</v>
      </c>
      <c r="AA39" s="143">
        <f t="shared" si="2"/>
        <v>0.11533613720200001</v>
      </c>
      <c r="AB39" s="144">
        <f t="shared" si="3"/>
        <v>4.0372358221404003E-2</v>
      </c>
      <c r="AC39" s="144">
        <f t="shared" si="4"/>
        <v>2.8481577273996002E-3</v>
      </c>
      <c r="AD39" s="144">
        <f t="shared" si="7"/>
        <v>4.7497697961003817E-2</v>
      </c>
      <c r="AE39" s="145">
        <f t="shared" si="5"/>
        <v>-1.9642011584801409</v>
      </c>
      <c r="AF39" s="145">
        <f t="shared" si="6"/>
        <v>3.290489965338566E-4</v>
      </c>
      <c r="AH39" s="181"/>
      <c r="AI39" s="181"/>
      <c r="AJ39" s="182"/>
    </row>
    <row r="40" spans="2:36" x14ac:dyDescent="0.25">
      <c r="B40" s="153" t="s">
        <v>504</v>
      </c>
      <c r="C40" s="157">
        <v>3.4400000000000001E-6</v>
      </c>
      <c r="D40" s="157">
        <v>2.5307649463664093E-11</v>
      </c>
      <c r="E40" s="157">
        <v>1.486857631694136E-12</v>
      </c>
      <c r="F40" s="138">
        <v>14.8</v>
      </c>
      <c r="G40" s="138">
        <f>F40</f>
        <v>14.8</v>
      </c>
      <c r="H40" s="118">
        <f>SUM(F32:F38)</f>
        <v>382.66461979686312</v>
      </c>
      <c r="I40" s="125">
        <v>1.16489498574E-2</v>
      </c>
      <c r="J40" s="50">
        <v>4.0433272310244003E-2</v>
      </c>
      <c r="K40" s="50">
        <v>2.7268417063932003E-3</v>
      </c>
      <c r="L40" s="67">
        <v>4.6858059564592755E-2</v>
      </c>
      <c r="N40" s="18">
        <v>-1.4358761347263303E-7</v>
      </c>
      <c r="O40" s="18">
        <v>1.0116931740158012E-10</v>
      </c>
      <c r="P40" s="18">
        <v>2.9792228941888666E-8</v>
      </c>
      <c r="Q40" s="28">
        <v>0.71369298486326438</v>
      </c>
      <c r="R40" s="61">
        <v>110.88071568792586</v>
      </c>
      <c r="S40" s="58">
        <v>3.2904899653385658E-6</v>
      </c>
      <c r="U40" s="172">
        <v>1.2861409772200133E-2</v>
      </c>
      <c r="V40" s="172">
        <v>4.6858059564592755E-2</v>
      </c>
      <c r="W40" s="173">
        <v>8.9640479997597736E-2</v>
      </c>
      <c r="X40" s="173">
        <f t="shared" si="0"/>
        <v>4.9054502224745847E-2</v>
      </c>
      <c r="Y40" s="185">
        <f t="shared" si="1"/>
        <v>9.9958239544595315</v>
      </c>
      <c r="AA40" s="143">
        <f t="shared" si="2"/>
        <v>0.11648949857400001</v>
      </c>
      <c r="AB40" s="144">
        <f t="shared" si="3"/>
        <v>4.0433272310244003E-2</v>
      </c>
      <c r="AC40" s="144">
        <f t="shared" si="4"/>
        <v>2.7268417063932003E-3</v>
      </c>
      <c r="AD40" s="144">
        <f t="shared" si="7"/>
        <v>4.9054502224745847E-2</v>
      </c>
      <c r="AE40" s="145">
        <f t="shared" si="5"/>
        <v>-1.8969284312074137</v>
      </c>
      <c r="AF40" s="145">
        <f t="shared" si="6"/>
        <v>3.290489965338566E-4</v>
      </c>
      <c r="AH40" s="181"/>
      <c r="AI40" s="181"/>
      <c r="AJ40" s="182"/>
    </row>
    <row r="41" spans="2:36" ht="18.75" x14ac:dyDescent="0.25">
      <c r="B41" s="153" t="s">
        <v>52</v>
      </c>
      <c r="C41" s="157">
        <v>2.0700000000000001E-6</v>
      </c>
      <c r="D41" s="157">
        <v>4.7498147887006942E-11</v>
      </c>
      <c r="E41" s="157">
        <v>1.9976998807213682E-12</v>
      </c>
      <c r="F41" s="138">
        <v>100</v>
      </c>
      <c r="G41" s="138">
        <v>5</v>
      </c>
      <c r="H41" s="161" t="s">
        <v>663</v>
      </c>
      <c r="I41" s="126">
        <v>1.1765439355999999E-2</v>
      </c>
      <c r="J41" s="127">
        <v>4.3567467175056003E-2</v>
      </c>
      <c r="K41" s="127">
        <v>2.7565383487092002E-3</v>
      </c>
      <c r="L41" s="67">
        <v>4.9027694558372102E-2</v>
      </c>
      <c r="N41" s="18">
        <v>-2.5867673326731454E-7</v>
      </c>
      <c r="O41" s="18">
        <v>1.0676270798576089E-10</v>
      </c>
      <c r="P41" s="18">
        <v>3.1988743476820975E-8</v>
      </c>
      <c r="Q41" s="28">
        <v>0.71369298486326438</v>
      </c>
      <c r="R41" s="61">
        <v>110.88071568792586</v>
      </c>
      <c r="S41" s="58">
        <v>3.2841340973159043E-6</v>
      </c>
      <c r="U41" s="172">
        <v>1.3968520740865074E-2</v>
      </c>
      <c r="V41" s="172">
        <v>4.9027694558372102E-2</v>
      </c>
      <c r="W41" s="173">
        <v>9.0247304700096509E-2</v>
      </c>
      <c r="X41" s="173">
        <f t="shared" si="0"/>
        <v>5.0567803639426451E-2</v>
      </c>
      <c r="Y41" s="185">
        <f t="shared" si="1"/>
        <v>6.4492580060712559</v>
      </c>
      <c r="AA41" s="143">
        <f t="shared" si="2"/>
        <v>0.11765439355999999</v>
      </c>
      <c r="AB41" s="144">
        <f t="shared" si="3"/>
        <v>4.3567467175056003E-2</v>
      </c>
      <c r="AC41" s="144">
        <f t="shared" si="4"/>
        <v>2.7565383487092002E-3</v>
      </c>
      <c r="AD41" s="144">
        <f t="shared" si="7"/>
        <v>5.0567803639426451E-2</v>
      </c>
      <c r="AE41" s="145">
        <f t="shared" si="5"/>
        <v>-1.8969284312074137</v>
      </c>
      <c r="AF41" s="145">
        <f t="shared" si="6"/>
        <v>3.284134097315904E-4</v>
      </c>
      <c r="AH41" s="181"/>
      <c r="AI41" s="181"/>
      <c r="AJ41" s="182"/>
    </row>
    <row r="42" spans="2:36" x14ac:dyDescent="0.25">
      <c r="B42" s="119"/>
      <c r="C42" s="120"/>
      <c r="D42" s="120"/>
      <c r="E42" s="120"/>
      <c r="F42" s="120"/>
      <c r="G42" s="120"/>
      <c r="H42" s="162">
        <v>0.72912241996624438</v>
      </c>
      <c r="I42" s="126">
        <v>1.1883093749499999E-2</v>
      </c>
      <c r="J42" s="127">
        <v>4.4069714166060002E-2</v>
      </c>
      <c r="K42" s="127">
        <v>2.7653465111580002E-3</v>
      </c>
      <c r="L42" s="67">
        <v>5.1139839418384708E-2</v>
      </c>
      <c r="N42" s="18">
        <v>-3.707035649577732E-7</v>
      </c>
      <c r="O42" s="18">
        <v>1.1214411263503572E-10</v>
      </c>
      <c r="P42" s="18">
        <v>3.4102011512118691E-8</v>
      </c>
      <c r="Q42" s="28">
        <v>0.71369298486326438</v>
      </c>
      <c r="R42" s="61">
        <v>111.55344296065313</v>
      </c>
      <c r="S42" s="58">
        <v>3.2841340973159043E-6</v>
      </c>
      <c r="U42" s="172">
        <v>1.51990627413429E-2</v>
      </c>
      <c r="V42" s="172">
        <v>5.1139839418384708E-2</v>
      </c>
      <c r="W42" s="173">
        <v>9.0621186519260932E-2</v>
      </c>
      <c r="X42" s="173">
        <f t="shared" si="0"/>
        <v>5.2024982024343316E-2</v>
      </c>
      <c r="Y42" s="185">
        <f t="shared" si="1"/>
        <v>8.2758097428461728</v>
      </c>
      <c r="AA42" s="143">
        <f t="shared" si="2"/>
        <v>0.118830937495</v>
      </c>
      <c r="AB42" s="144">
        <f t="shared" si="3"/>
        <v>4.4069714166060002E-2</v>
      </c>
      <c r="AC42" s="144">
        <f t="shared" si="4"/>
        <v>2.7653465111580002E-3</v>
      </c>
      <c r="AD42" s="144">
        <f t="shared" si="7"/>
        <v>5.2024982024343316E-2</v>
      </c>
      <c r="AE42" s="145">
        <f t="shared" si="5"/>
        <v>-1.8296557039346866</v>
      </c>
      <c r="AF42" s="145">
        <f t="shared" si="6"/>
        <v>3.284134097315904E-4</v>
      </c>
      <c r="AH42" s="181"/>
      <c r="AI42" s="181"/>
      <c r="AJ42" s="182"/>
    </row>
    <row r="43" spans="2:36" ht="18.75" x14ac:dyDescent="0.25">
      <c r="B43" s="119"/>
      <c r="C43" s="120"/>
      <c r="D43" s="120"/>
      <c r="E43" s="120"/>
      <c r="F43" s="120"/>
      <c r="G43" s="120"/>
      <c r="H43" s="116" t="s">
        <v>664</v>
      </c>
      <c r="I43" s="126">
        <v>1.2001924686999999E-2</v>
      </c>
      <c r="J43" s="127">
        <v>4.4244755633364004E-2</v>
      </c>
      <c r="K43" s="127">
        <v>2.6513781343104003E-3</v>
      </c>
      <c r="L43" s="67">
        <v>5.317801838135388E-2</v>
      </c>
      <c r="N43" s="18">
        <v>-4.7870992353563406E-7</v>
      </c>
      <c r="O43" s="18">
        <v>1.1725530528061856E-10</v>
      </c>
      <c r="P43" s="18">
        <v>3.6109167774120748E-8</v>
      </c>
      <c r="Q43" s="28">
        <v>0.71369298486326438</v>
      </c>
      <c r="R43" s="61">
        <v>111.55344296065313</v>
      </c>
      <c r="S43" s="58">
        <v>3.2620762149381051E-6</v>
      </c>
      <c r="U43" s="172">
        <v>1.6543221573072687E-2</v>
      </c>
      <c r="V43" s="172">
        <v>5.317801838135388E-2</v>
      </c>
      <c r="W43" s="173">
        <v>9.0754938284105982E-2</v>
      </c>
      <c r="X43" s="173">
        <f t="shared" si="0"/>
        <v>5.341354915497161E-2</v>
      </c>
      <c r="Y43" s="185">
        <f t="shared" si="1"/>
        <v>11.958619414126265</v>
      </c>
      <c r="AA43" s="143">
        <f t="shared" si="2"/>
        <v>0.12001924686999998</v>
      </c>
      <c r="AB43" s="144">
        <f t="shared" si="3"/>
        <v>4.4244755633364004E-2</v>
      </c>
      <c r="AC43" s="144">
        <f t="shared" si="4"/>
        <v>2.6513781343104003E-3</v>
      </c>
      <c r="AD43" s="144">
        <f t="shared" si="7"/>
        <v>5.341354915497161E-2</v>
      </c>
      <c r="AE43" s="145">
        <f t="shared" si="5"/>
        <v>-1.8296557039346866</v>
      </c>
      <c r="AF43" s="145">
        <f t="shared" si="6"/>
        <v>3.2620762149381053E-4</v>
      </c>
      <c r="AH43" s="181"/>
      <c r="AI43" s="181"/>
      <c r="AJ43" s="182"/>
    </row>
    <row r="44" spans="2:36" x14ac:dyDescent="0.25">
      <c r="B44" s="119"/>
      <c r="C44" s="120"/>
      <c r="D44" s="120"/>
      <c r="E44" s="120"/>
      <c r="F44" s="120"/>
      <c r="G44" s="120"/>
      <c r="H44" s="163">
        <f>H75*(H46/B46)*(H40/H71)/H42</f>
        <v>0.92714465541713764</v>
      </c>
      <c r="I44" s="126">
        <v>1.21219439339E-2</v>
      </c>
      <c r="J44" s="127">
        <v>5.0144784792564005E-2</v>
      </c>
      <c r="K44" s="127">
        <v>2.7252518469528001E-3</v>
      </c>
      <c r="L44" s="67">
        <v>5.5126036060550658E-2</v>
      </c>
      <c r="N44" s="18">
        <v>-5.8193900933669818E-7</v>
      </c>
      <c r="O44" s="18">
        <v>1.2204772678731945E-10</v>
      </c>
      <c r="P44" s="18">
        <v>3.7991143176797285E-8</v>
      </c>
      <c r="Q44" s="28">
        <v>0.71369298486326438</v>
      </c>
      <c r="R44" s="61">
        <v>112.2261702333804</v>
      </c>
      <c r="S44" s="58">
        <v>3.2620762149381051E-6</v>
      </c>
      <c r="U44" s="172">
        <v>1.7990204627033147E-2</v>
      </c>
      <c r="V44" s="172">
        <v>5.5126036060550658E-2</v>
      </c>
      <c r="W44" s="173">
        <v>9.064268545739855E-2</v>
      </c>
      <c r="X44" s="173">
        <f t="shared" si="0"/>
        <v>5.4721240551383249E-2</v>
      </c>
      <c r="Y44" s="185">
        <f t="shared" si="1"/>
        <v>2.8199749559295868</v>
      </c>
      <c r="AA44" s="143">
        <f t="shared" si="2"/>
        <v>0.12121943933900001</v>
      </c>
      <c r="AB44" s="144">
        <f t="shared" si="3"/>
        <v>5.0144784792564005E-2</v>
      </c>
      <c r="AC44" s="144">
        <f t="shared" si="4"/>
        <v>2.7252518469528001E-3</v>
      </c>
      <c r="AD44" s="144">
        <f t="shared" si="7"/>
        <v>5.4721240551383249E-2</v>
      </c>
      <c r="AE44" s="145">
        <f t="shared" si="5"/>
        <v>-1.7623829766619594</v>
      </c>
      <c r="AF44" s="145">
        <f t="shared" si="6"/>
        <v>3.2620762149381053E-4</v>
      </c>
      <c r="AH44" s="181"/>
      <c r="AI44" s="181"/>
      <c r="AJ44" s="182"/>
    </row>
    <row r="45" spans="2:36" ht="19.5" x14ac:dyDescent="0.3">
      <c r="B45" s="117" t="s">
        <v>665</v>
      </c>
      <c r="C45" s="117" t="s">
        <v>666</v>
      </c>
      <c r="D45" s="117" t="s">
        <v>667</v>
      </c>
      <c r="E45" s="117" t="s">
        <v>668</v>
      </c>
      <c r="F45" s="117" t="s">
        <v>669</v>
      </c>
      <c r="G45" s="120"/>
      <c r="H45" s="117" t="s">
        <v>670</v>
      </c>
      <c r="I45" s="126">
        <v>1.22431633732E-2</v>
      </c>
      <c r="J45" s="127">
        <v>4.2053104955928004E-2</v>
      </c>
      <c r="K45" s="127">
        <v>6.0548762167344002E-3</v>
      </c>
      <c r="L45" s="67">
        <v>5.6968091172942603E-2</v>
      </c>
      <c r="N45" s="18">
        <v>-6.7985514875335775E-7</v>
      </c>
      <c r="O45" s="18">
        <v>1.2648375373766481E-10</v>
      </c>
      <c r="P45" s="18">
        <v>3.9733163071017153E-8</v>
      </c>
      <c r="Q45" s="28">
        <v>0.71369298486326438</v>
      </c>
      <c r="R45" s="61">
        <v>112.2261702333804</v>
      </c>
      <c r="S45" s="58">
        <v>3.228602219196839E-6</v>
      </c>
      <c r="U45" s="172">
        <v>1.9528301912636523E-2</v>
      </c>
      <c r="V45" s="172">
        <v>5.6968091172942603E-2</v>
      </c>
      <c r="W45" s="173">
        <v>9.0279956204350795E-2</v>
      </c>
      <c r="X45" s="173">
        <f t="shared" si="0"/>
        <v>5.5936110115718127E-2</v>
      </c>
      <c r="Y45" s="185">
        <f t="shared" si="1"/>
        <v>5.2572233972717326</v>
      </c>
      <c r="AA45" s="143">
        <f t="shared" si="2"/>
        <v>0.122431633732</v>
      </c>
      <c r="AB45" s="144">
        <f t="shared" si="3"/>
        <v>4.2053104955928004E-2</v>
      </c>
      <c r="AC45" s="144">
        <f t="shared" si="4"/>
        <v>6.0548762167344002E-3</v>
      </c>
      <c r="AD45" s="144">
        <f t="shared" si="7"/>
        <v>5.5936110115718127E-2</v>
      </c>
      <c r="AE45" s="145">
        <f t="shared" si="5"/>
        <v>-1.7623829766619594</v>
      </c>
      <c r="AF45" s="145">
        <f t="shared" si="6"/>
        <v>3.2286022191968392E-4</v>
      </c>
      <c r="AH45" s="181"/>
      <c r="AI45" s="181"/>
      <c r="AJ45" s="182"/>
    </row>
    <row r="46" spans="2:36" x14ac:dyDescent="0.25">
      <c r="B46" s="163">
        <v>86.1</v>
      </c>
      <c r="C46" s="163">
        <v>92.1</v>
      </c>
      <c r="D46" s="163">
        <v>196.28</v>
      </c>
      <c r="E46" s="163">
        <v>208.28</v>
      </c>
      <c r="F46" s="163">
        <v>202.28</v>
      </c>
      <c r="G46" s="120"/>
      <c r="H46" s="163">
        <f>(2*(1-H54)*B46+H54*D46)/2</f>
        <v>87.905999999999992</v>
      </c>
      <c r="I46" s="126">
        <v>1.2365595007E-2</v>
      </c>
      <c r="J46" s="127">
        <v>4.4721553506168008E-2</v>
      </c>
      <c r="K46" s="127">
        <v>6.1455933451308002E-3</v>
      </c>
      <c r="L46" s="67">
        <v>5.8688889720290703E-2</v>
      </c>
      <c r="N46" s="18">
        <v>-7.7214985984159352E-7</v>
      </c>
      <c r="O46" s="18">
        <v>1.3053734539043988E-10</v>
      </c>
      <c r="P46" s="18">
        <v>4.1325001304017077E-8</v>
      </c>
      <c r="Q46" s="28">
        <v>0.71369298486326438</v>
      </c>
      <c r="R46" s="61">
        <v>112.89889750610767</v>
      </c>
      <c r="S46" s="58">
        <v>3.228602219196839E-6</v>
      </c>
      <c r="U46" s="172">
        <v>2.1144957969488738E-2</v>
      </c>
      <c r="V46" s="172">
        <v>5.8688889720290703E-2</v>
      </c>
      <c r="W46" s="173">
        <v>8.9663771063728651E-2</v>
      </c>
      <c r="X46" s="173">
        <f t="shared" si="0"/>
        <v>5.7046627118449697E-2</v>
      </c>
      <c r="Y46" s="185">
        <f t="shared" si="1"/>
        <v>4.0220864827216944</v>
      </c>
      <c r="AA46" s="143">
        <f t="shared" si="2"/>
        <v>0.12365595006999999</v>
      </c>
      <c r="AB46" s="144">
        <f t="shared" si="3"/>
        <v>4.4721553506168008E-2</v>
      </c>
      <c r="AC46" s="144">
        <f t="shared" si="4"/>
        <v>6.1455933451308002E-3</v>
      </c>
      <c r="AD46" s="144">
        <f t="shared" si="7"/>
        <v>5.7046627118449697E-2</v>
      </c>
      <c r="AE46" s="145">
        <f t="shared" si="5"/>
        <v>-1.695110249389232</v>
      </c>
      <c r="AF46" s="145">
        <f t="shared" si="6"/>
        <v>3.2286022191968392E-4</v>
      </c>
      <c r="AH46" s="181"/>
      <c r="AI46" s="181"/>
      <c r="AJ46" s="182"/>
    </row>
    <row r="47" spans="2:36" ht="19.5" x14ac:dyDescent="0.3">
      <c r="B47" s="117" t="s">
        <v>671</v>
      </c>
      <c r="C47" s="117" t="s">
        <v>672</v>
      </c>
      <c r="D47" s="117" t="s">
        <v>673</v>
      </c>
      <c r="E47" s="117" t="s">
        <v>674</v>
      </c>
      <c r="F47" s="117" t="s">
        <v>675</v>
      </c>
      <c r="H47" s="117" t="s">
        <v>676</v>
      </c>
      <c r="I47" s="126">
        <v>1.2489250957E-2</v>
      </c>
      <c r="J47" s="127">
        <v>5.2225010101836E-2</v>
      </c>
      <c r="K47" s="127">
        <v>6.4406042235480004E-3</v>
      </c>
      <c r="L47" s="67">
        <v>6.0273757219724548E-2</v>
      </c>
      <c r="N47" s="18">
        <v>-8.5873445832355556E-7</v>
      </c>
      <c r="O47" s="18">
        <v>1.341940731554256E-10</v>
      </c>
      <c r="P47" s="18">
        <v>4.2760991794078315E-8</v>
      </c>
      <c r="Q47" s="28">
        <v>0.71369298486326438</v>
      </c>
      <c r="R47" s="61">
        <v>112.89889750610767</v>
      </c>
      <c r="S47" s="58">
        <v>3.1861996687455645E-6</v>
      </c>
      <c r="U47" s="172">
        <v>2.2826853967124586E-2</v>
      </c>
      <c r="V47" s="172">
        <v>6.0273757219724548E-2</v>
      </c>
      <c r="W47" s="173">
        <v>8.8792731472442696E-2</v>
      </c>
      <c r="X47" s="173">
        <f t="shared" si="0"/>
        <v>5.8041774969754101E-2</v>
      </c>
      <c r="Y47" s="185">
        <f t="shared" si="1"/>
        <v>0.81566117795129511</v>
      </c>
      <c r="AA47" s="143">
        <f t="shared" si="2"/>
        <v>0.12489250957</v>
      </c>
      <c r="AB47" s="144">
        <f t="shared" si="3"/>
        <v>5.2225010101836E-2</v>
      </c>
      <c r="AC47" s="144">
        <f t="shared" si="4"/>
        <v>6.4406042235480004E-3</v>
      </c>
      <c r="AD47" s="144">
        <f t="shared" si="7"/>
        <v>5.8041774969754101E-2</v>
      </c>
      <c r="AE47" s="145">
        <f t="shared" si="5"/>
        <v>-1.695110249389232</v>
      </c>
      <c r="AF47" s="145">
        <f t="shared" si="6"/>
        <v>3.1861996687455646E-4</v>
      </c>
      <c r="AH47" s="181"/>
      <c r="AI47" s="181"/>
      <c r="AJ47" s="182"/>
    </row>
    <row r="48" spans="2:36" x14ac:dyDescent="0.25">
      <c r="B48" s="110">
        <v>11000000000</v>
      </c>
      <c r="C48" s="110">
        <v>51100000000</v>
      </c>
      <c r="D48" s="110">
        <v>11300000000</v>
      </c>
      <c r="E48" s="110">
        <v>46800000000</v>
      </c>
      <c r="F48" s="110">
        <v>29600000000</v>
      </c>
      <c r="H48" s="163">
        <f>(2*(1-H54)*(H56*C46+(1-H56)*B46)+H54*(B50*E46+2*C50*F46+E50*D46))/2</f>
        <v>91.102775887588763</v>
      </c>
      <c r="I48" s="126">
        <v>1.2614143466599999E-2</v>
      </c>
      <c r="J48" s="127">
        <v>5.9406624517284005E-2</v>
      </c>
      <c r="K48" s="127">
        <v>6.9840274055244008E-3</v>
      </c>
      <c r="L48" s="67">
        <v>6.1707575179835009E-2</v>
      </c>
      <c r="N48" s="18">
        <v>-9.3972040985608477E-7</v>
      </c>
      <c r="O48" s="18">
        <v>1.3745058100307623E-10</v>
      </c>
      <c r="P48" s="18">
        <v>4.4039816634366728E-8</v>
      </c>
      <c r="Q48" s="28">
        <v>0.71369298486326438</v>
      </c>
      <c r="R48" s="61">
        <v>113.57162477883494</v>
      </c>
      <c r="S48" s="58">
        <v>3.1861996687455645E-6</v>
      </c>
      <c r="U48" s="172">
        <v>2.4557515729338241E-2</v>
      </c>
      <c r="V48" s="172">
        <v>6.1707575179835009E-2</v>
      </c>
      <c r="W48" s="173">
        <v>8.7669801853457074E-2</v>
      </c>
      <c r="X48" s="173">
        <f t="shared" si="0"/>
        <v>5.8910616985616331E-2</v>
      </c>
      <c r="Y48" s="185">
        <f t="shared" si="1"/>
        <v>5.0438791503081403E-3</v>
      </c>
      <c r="AA48" s="143">
        <f t="shared" si="2"/>
        <v>0.126141434666</v>
      </c>
      <c r="AB48" s="144">
        <f t="shared" si="3"/>
        <v>5.9406624517284005E-2</v>
      </c>
      <c r="AC48" s="144">
        <f t="shared" si="4"/>
        <v>6.9840274055244008E-3</v>
      </c>
      <c r="AD48" s="144">
        <f t="shared" si="7"/>
        <v>5.8910616985616331E-2</v>
      </c>
      <c r="AE48" s="145">
        <f t="shared" si="5"/>
        <v>-1.6278375221165049</v>
      </c>
      <c r="AF48" s="145">
        <f t="shared" si="6"/>
        <v>3.1861996687455646E-4</v>
      </c>
      <c r="AH48" s="181"/>
      <c r="AI48" s="181"/>
      <c r="AJ48" s="182"/>
    </row>
    <row r="49" spans="2:36" ht="19.5" x14ac:dyDescent="0.3">
      <c r="B49" s="146" t="s">
        <v>677</v>
      </c>
      <c r="C49" s="146" t="s">
        <v>678</v>
      </c>
      <c r="D49" s="146" t="s">
        <v>679</v>
      </c>
      <c r="E49" s="146" t="s">
        <v>680</v>
      </c>
      <c r="F49" s="120"/>
      <c r="G49" s="120"/>
      <c r="H49" s="117" t="s">
        <v>681</v>
      </c>
      <c r="I49" s="126">
        <v>1.2740284901299999E-2</v>
      </c>
      <c r="J49" s="127">
        <v>5.6751235167528002E-2</v>
      </c>
      <c r="K49" s="127">
        <v>6.2201573600496008E-3</v>
      </c>
      <c r="L49" s="67">
        <v>6.2979910718647239E-2</v>
      </c>
      <c r="N49" s="18">
        <v>-1.0153894820865803E-6</v>
      </c>
      <c r="O49" s="18">
        <v>1.4031356200345485E-10</v>
      </c>
      <c r="P49" s="18">
        <v>4.5164104181592932E-8</v>
      </c>
      <c r="Q49" s="28">
        <v>0.71369298486326438</v>
      </c>
      <c r="R49" s="61">
        <v>113.57162477883494</v>
      </c>
      <c r="S49" s="58">
        <v>3.1360529137616047E-6</v>
      </c>
      <c r="U49" s="172">
        <v>2.6327493598636887E-2</v>
      </c>
      <c r="V49" s="172">
        <v>6.2979910718647239E-2</v>
      </c>
      <c r="W49" s="173">
        <v>8.6291776796801181E-2</v>
      </c>
      <c r="X49" s="173">
        <f t="shared" si="0"/>
        <v>5.9644772958183143E-2</v>
      </c>
      <c r="Y49" s="185">
        <f t="shared" si="1"/>
        <v>0.21639916167276763</v>
      </c>
      <c r="AA49" s="143">
        <f t="shared" si="2"/>
        <v>0.127402849013</v>
      </c>
      <c r="AB49" s="144">
        <f t="shared" si="3"/>
        <v>5.6751235167528002E-2</v>
      </c>
      <c r="AC49" s="144">
        <f t="shared" si="4"/>
        <v>6.2201573600496008E-3</v>
      </c>
      <c r="AD49" s="144">
        <f t="shared" si="7"/>
        <v>5.9644772958183143E-2</v>
      </c>
      <c r="AE49" s="145">
        <f t="shared" si="5"/>
        <v>-1.6278375221165049</v>
      </c>
      <c r="AF49" s="145">
        <f t="shared" si="6"/>
        <v>3.1360529137616045E-4</v>
      </c>
      <c r="AH49" s="181"/>
      <c r="AI49" s="181"/>
      <c r="AJ49" s="182"/>
    </row>
    <row r="50" spans="2:36" x14ac:dyDescent="0.25">
      <c r="B50" s="164">
        <f>H56*H56</f>
        <v>0.28387155765191541</v>
      </c>
      <c r="C50" s="164">
        <f>H56*(1-H56)</f>
        <v>0.24892442361287923</v>
      </c>
      <c r="D50" s="164">
        <f>C50</f>
        <v>0.24892442361287923</v>
      </c>
      <c r="E50" s="164">
        <f>(1-H56)*(1-H56)</f>
        <v>0.21827959512232611</v>
      </c>
      <c r="H50" s="110">
        <f>(2*(1-H54)*B48+H54*D48)/2</f>
        <v>10197500000</v>
      </c>
      <c r="I50" s="126">
        <v>1.28676877503E-2</v>
      </c>
      <c r="J50" s="127">
        <v>5.5058658489516001E-2</v>
      </c>
      <c r="K50" s="127">
        <v>5.9045463560292001E-3</v>
      </c>
      <c r="L50" s="67">
        <v>6.4077091558579741E-2</v>
      </c>
      <c r="N50" s="18">
        <v>-1.0861563836444414E-6</v>
      </c>
      <c r="O50" s="18">
        <v>1.4279836264142212E-10</v>
      </c>
      <c r="P50" s="18">
        <v>4.6139880973068971E-8</v>
      </c>
      <c r="Q50" s="28">
        <v>0.71369298486326438</v>
      </c>
      <c r="R50" s="61">
        <v>114.24435205156222</v>
      </c>
      <c r="S50" s="58">
        <v>3.1360529137616047E-6</v>
      </c>
      <c r="U50" s="172">
        <v>2.8119142467336676E-2</v>
      </c>
      <c r="V50" s="172">
        <v>6.4077091558579741E-2</v>
      </c>
      <c r="W50" s="173">
        <v>8.4664993003710984E-2</v>
      </c>
      <c r="X50" s="173">
        <f t="shared" si="0"/>
        <v>6.0234579647051784E-2</v>
      </c>
      <c r="Y50" s="185">
        <f t="shared" si="1"/>
        <v>0.768426319405772</v>
      </c>
      <c r="AA50" s="143">
        <f t="shared" si="2"/>
        <v>0.128676877503</v>
      </c>
      <c r="AB50" s="144">
        <f t="shared" si="3"/>
        <v>5.5058658489516001E-2</v>
      </c>
      <c r="AC50" s="144">
        <f t="shared" si="4"/>
        <v>5.9045463560292001E-3</v>
      </c>
      <c r="AD50" s="144">
        <f t="shared" si="7"/>
        <v>6.0234579647051784E-2</v>
      </c>
      <c r="AE50" s="145">
        <f t="shared" si="5"/>
        <v>-1.5605647948437777</v>
      </c>
      <c r="AF50" s="145">
        <f t="shared" si="6"/>
        <v>3.1360529137616045E-4</v>
      </c>
      <c r="AH50" s="181"/>
      <c r="AI50" s="181"/>
      <c r="AJ50" s="182"/>
    </row>
    <row r="51" spans="2:36" ht="19.5" x14ac:dyDescent="0.3">
      <c r="H51" s="117" t="s">
        <v>682</v>
      </c>
      <c r="I51" s="126">
        <v>1.2996364627799999E-2</v>
      </c>
      <c r="J51" s="127">
        <v>5.7035253102168004E-2</v>
      </c>
      <c r="K51" s="127">
        <v>6.4265389085700004E-3</v>
      </c>
      <c r="L51" s="67">
        <v>6.4988013965443431E-2</v>
      </c>
      <c r="N51" s="18">
        <v>-1.1525269522845558E-6</v>
      </c>
      <c r="O51" s="18">
        <v>1.4492734106626647E-10</v>
      </c>
      <c r="P51" s="18">
        <v>4.6975927014257917E-8</v>
      </c>
      <c r="Q51" s="28">
        <v>0.71369298486326438</v>
      </c>
      <c r="R51" s="61">
        <v>114.24435205156222</v>
      </c>
      <c r="S51" s="58">
        <v>3.0786078399426882E-6</v>
      </c>
      <c r="U51" s="172">
        <v>2.9917081758155096E-2</v>
      </c>
      <c r="V51" s="172">
        <v>6.4988013965443431E-2</v>
      </c>
      <c r="W51" s="173">
        <v>8.2795195658301804E-2</v>
      </c>
      <c r="X51" s="173">
        <f t="shared" si="0"/>
        <v>6.0672076336835939E-2</v>
      </c>
      <c r="Y51" s="185">
        <f t="shared" si="1"/>
        <v>0.3202507116094887</v>
      </c>
      <c r="AA51" s="143">
        <f t="shared" si="2"/>
        <v>0.129963646278</v>
      </c>
      <c r="AB51" s="144">
        <f t="shared" si="3"/>
        <v>5.7035253102168004E-2</v>
      </c>
      <c r="AC51" s="144">
        <f t="shared" si="4"/>
        <v>6.4265389085700004E-3</v>
      </c>
      <c r="AD51" s="144">
        <f t="shared" si="7"/>
        <v>6.0672076336835939E-2</v>
      </c>
      <c r="AE51" s="145">
        <f t="shared" si="5"/>
        <v>-1.5605647948437777</v>
      </c>
      <c r="AF51" s="145">
        <f t="shared" si="6"/>
        <v>3.0786078399426883E-4</v>
      </c>
      <c r="AH51" s="181"/>
      <c r="AI51" s="181"/>
      <c r="AJ51" s="182"/>
    </row>
    <row r="52" spans="2:36" x14ac:dyDescent="0.25">
      <c r="H52" s="110">
        <f>(2*(1-H54)*((1-H56)*B48+H56*C48)+H54*(B50*E48+C50*F48+D50*F48+D48*E50))/2</f>
        <v>29796956586.476105</v>
      </c>
      <c r="I52" s="126">
        <v>1.3126328274099999E-2</v>
      </c>
      <c r="J52" s="127">
        <v>5.678685875689201E-2</v>
      </c>
      <c r="K52" s="127">
        <v>5.8955039490071999E-3</v>
      </c>
      <c r="L52" s="67">
        <v>6.5702731792160393E-2</v>
      </c>
      <c r="N52" s="18">
        <v>-1.2150550557489545E-6</v>
      </c>
      <c r="O52" s="18">
        <v>1.4672810784989186E-10</v>
      </c>
      <c r="P52" s="18">
        <v>4.76830849276429E-8</v>
      </c>
      <c r="Q52" s="28">
        <v>0.71369298486326438</v>
      </c>
      <c r="R52" s="61">
        <v>114.91707932428949</v>
      </c>
      <c r="S52" s="58">
        <v>3.0786078399426882E-6</v>
      </c>
      <c r="U52" s="172">
        <v>3.1705699332100691E-2</v>
      </c>
      <c r="V52" s="172">
        <v>6.5702731792160393E-2</v>
      </c>
      <c r="W52" s="173">
        <v>8.0690087757533169E-2</v>
      </c>
      <c r="X52" s="173">
        <f t="shared" si="0"/>
        <v>6.095031266848866E-2</v>
      </c>
      <c r="Y52" s="185">
        <f t="shared" si="1"/>
        <v>0.49873018458060336</v>
      </c>
      <c r="AA52" s="143">
        <f t="shared" si="2"/>
        <v>0.13126328274099999</v>
      </c>
      <c r="AB52" s="144">
        <f t="shared" si="3"/>
        <v>5.678685875689201E-2</v>
      </c>
      <c r="AC52" s="144">
        <f t="shared" si="4"/>
        <v>5.8955039490071999E-3</v>
      </c>
      <c r="AD52" s="144">
        <f t="shared" si="7"/>
        <v>6.095031266848866E-2</v>
      </c>
      <c r="AE52" s="145">
        <f t="shared" si="5"/>
        <v>-1.4932920675710506</v>
      </c>
      <c r="AF52" s="145">
        <f t="shared" si="6"/>
        <v>3.0786078399426883E-4</v>
      </c>
      <c r="AH52" s="181"/>
      <c r="AI52" s="181"/>
      <c r="AJ52" s="182"/>
    </row>
    <row r="53" spans="2:36" ht="17.25" x14ac:dyDescent="0.25">
      <c r="H53" s="116" t="s">
        <v>683</v>
      </c>
      <c r="I53" s="126">
        <v>1.3257591556799999E-2</v>
      </c>
      <c r="J53" s="127">
        <v>5.3861000650248007E-2</v>
      </c>
      <c r="K53" s="127">
        <v>5.61347580651E-3</v>
      </c>
      <c r="L53" s="67">
        <v>6.6212557766667082E-2</v>
      </c>
      <c r="N53" s="18">
        <v>-1.2743012095680356E-6</v>
      </c>
      <c r="O53" s="18">
        <v>1.4823176932072222E-10</v>
      </c>
      <c r="P53" s="18">
        <v>4.8273570113075439E-8</v>
      </c>
      <c r="Q53" s="28">
        <v>0.71369298486326438</v>
      </c>
      <c r="R53" s="61">
        <v>114.91707932428949</v>
      </c>
      <c r="S53" s="58">
        <v>3.0140020360055879E-6</v>
      </c>
      <c r="U53" s="172">
        <v>3.3469274707975651E-2</v>
      </c>
      <c r="V53" s="172">
        <v>6.6212557766667082E-2</v>
      </c>
      <c r="W53" s="173">
        <v>7.8359377411774941E-2</v>
      </c>
      <c r="X53" s="173">
        <f t="shared" si="0"/>
        <v>6.1063441913271191E-2</v>
      </c>
      <c r="Y53" s="185">
        <f t="shared" si="1"/>
        <v>1.6462498182295713</v>
      </c>
      <c r="AA53" s="143">
        <f t="shared" si="2"/>
        <v>0.132575915568</v>
      </c>
      <c r="AB53" s="144">
        <f t="shared" si="3"/>
        <v>5.3861000650248007E-2</v>
      </c>
      <c r="AC53" s="144">
        <f t="shared" si="4"/>
        <v>5.61347580651E-3</v>
      </c>
      <c r="AD53" s="144">
        <f t="shared" si="7"/>
        <v>6.1063441913271191E-2</v>
      </c>
      <c r="AE53" s="145">
        <f t="shared" si="5"/>
        <v>-1.4932920675710506</v>
      </c>
      <c r="AF53" s="145">
        <f t="shared" si="6"/>
        <v>3.0140020360055878E-4</v>
      </c>
      <c r="AH53" s="181"/>
      <c r="AI53" s="181"/>
      <c r="AJ53" s="182"/>
    </row>
    <row r="54" spans="2:36" x14ac:dyDescent="0.25">
      <c r="H54" s="163">
        <v>0.15</v>
      </c>
      <c r="I54" s="126">
        <v>1.3390167472400001E-2</v>
      </c>
      <c r="J54" s="127">
        <v>6.8936731350696001E-2</v>
      </c>
      <c r="K54" s="127">
        <v>6.280393207730401E-3</v>
      </c>
      <c r="L54" s="67">
        <v>6.6510162025311889E-2</v>
      </c>
      <c r="N54" s="18">
        <v>-1.3307955328328705E-6</v>
      </c>
      <c r="O54" s="18">
        <v>1.4947127631165742E-10</v>
      </c>
      <c r="P54" s="18">
        <v>4.8760322304034421E-8</v>
      </c>
      <c r="Q54" s="28">
        <v>0.71369298486326438</v>
      </c>
      <c r="R54" s="61">
        <v>115.58980659701676</v>
      </c>
      <c r="S54" s="58">
        <v>3.0140020360055879E-6</v>
      </c>
      <c r="U54" s="172">
        <v>3.5192105361177228E-2</v>
      </c>
      <c r="V54" s="172">
        <v>6.6510162025311889E-2</v>
      </c>
      <c r="W54" s="173">
        <v>7.5814809042495115E-2</v>
      </c>
      <c r="X54" s="173">
        <f t="shared" si="0"/>
        <v>6.1006809613574034E-2</v>
      </c>
      <c r="Y54" s="185">
        <f t="shared" si="1"/>
        <v>1.5942782888146301</v>
      </c>
      <c r="AA54" s="143">
        <f t="shared" si="2"/>
        <v>0.133901674724</v>
      </c>
      <c r="AB54" s="144">
        <f t="shared" si="3"/>
        <v>6.8936731350696001E-2</v>
      </c>
      <c r="AC54" s="144">
        <f t="shared" si="4"/>
        <v>6.280393207730401E-3</v>
      </c>
      <c r="AD54" s="144">
        <f t="shared" si="7"/>
        <v>6.1006809613574034E-2</v>
      </c>
      <c r="AE54" s="145">
        <f t="shared" si="5"/>
        <v>-1.4260193402983234</v>
      </c>
      <c r="AF54" s="145">
        <f t="shared" si="6"/>
        <v>3.0140020360055878E-4</v>
      </c>
      <c r="AH54" s="181"/>
      <c r="AI54" s="181"/>
      <c r="AJ54" s="182"/>
    </row>
    <row r="55" spans="2:36" ht="18.75" x14ac:dyDescent="0.25">
      <c r="H55" s="116" t="s">
        <v>684</v>
      </c>
      <c r="I55" s="126">
        <v>1.35240691471E-2</v>
      </c>
      <c r="J55" s="127">
        <v>5.7609947679503996E-2</v>
      </c>
      <c r="K55" s="127">
        <v>5.4881450022299999E-3</v>
      </c>
      <c r="L55" s="67">
        <v>6.6589667411631956E-2</v>
      </c>
      <c r="N55" s="18">
        <v>-1.3850071100709681E-6</v>
      </c>
      <c r="O55" s="18">
        <v>1.5047995804444472E-10</v>
      </c>
      <c r="P55" s="18">
        <v>4.9156429826626198E-8</v>
      </c>
      <c r="Q55" s="28">
        <v>0.71369298486326438</v>
      </c>
      <c r="R55" s="61">
        <v>115.58980659701676</v>
      </c>
      <c r="S55" s="58">
        <v>2.9423266333494046E-6</v>
      </c>
      <c r="U55" s="172">
        <v>3.685863503684586E-2</v>
      </c>
      <c r="V55" s="172">
        <v>6.6589667411631956E-2</v>
      </c>
      <c r="W55" s="173">
        <v>7.3070174903130752E-2</v>
      </c>
      <c r="X55" s="173">
        <f t="shared" si="0"/>
        <v>6.0777036190810131E-2</v>
      </c>
      <c r="Y55" s="185">
        <f t="shared" si="1"/>
        <v>0.33301917995374974</v>
      </c>
      <c r="AA55" s="143">
        <f t="shared" si="2"/>
        <v>0.13524069147100001</v>
      </c>
      <c r="AB55" s="144">
        <f t="shared" si="3"/>
        <v>5.7609947679503996E-2</v>
      </c>
      <c r="AC55" s="144">
        <f t="shared" si="4"/>
        <v>5.4881450022299999E-3</v>
      </c>
      <c r="AD55" s="144">
        <f t="shared" si="7"/>
        <v>6.0777036190810131E-2</v>
      </c>
      <c r="AE55" s="145">
        <f t="shared" si="5"/>
        <v>-1.4260193402983234</v>
      </c>
      <c r="AF55" s="145">
        <f t="shared" si="6"/>
        <v>2.9423266333494048E-4</v>
      </c>
      <c r="AH55" s="181"/>
      <c r="AI55" s="181"/>
      <c r="AJ55" s="182"/>
    </row>
    <row r="56" spans="2:36" x14ac:dyDescent="0.25">
      <c r="H56" s="163">
        <f>H36/F33</f>
        <v>0.53279598126479466</v>
      </c>
      <c r="I56" s="126">
        <v>1.36593098386E-2</v>
      </c>
      <c r="J56" s="127">
        <v>5.9712763359480003E-2</v>
      </c>
      <c r="K56" s="127">
        <v>5.4984057614508005E-3</v>
      </c>
      <c r="L56" s="67">
        <v>6.6446740906257615E-2</v>
      </c>
      <c r="N56" s="18">
        <v>-1.4373211685977593E-6</v>
      </c>
      <c r="O56" s="18">
        <v>1.5129029491467559E-10</v>
      </c>
      <c r="P56" s="18">
        <v>4.9474647674435301E-8</v>
      </c>
      <c r="Q56" s="28">
        <v>0.71369298486326438</v>
      </c>
      <c r="R56" s="61">
        <v>116.26253386974403</v>
      </c>
      <c r="S56" s="58">
        <v>2.9423266333494046E-6</v>
      </c>
      <c r="U56" s="172">
        <v>3.8453583107106622E-2</v>
      </c>
      <c r="V56" s="172">
        <v>6.6446740906257615E-2</v>
      </c>
      <c r="W56" s="173">
        <v>7.0141303048671597E-2</v>
      </c>
      <c r="X56" s="173">
        <f t="shared" si="0"/>
        <v>6.0372091992073357E-2</v>
      </c>
      <c r="Y56" s="185">
        <f t="shared" si="1"/>
        <v>1.4379053529503586E-2</v>
      </c>
      <c r="AA56" s="143">
        <f t="shared" si="2"/>
        <v>0.13659309838600001</v>
      </c>
      <c r="AB56" s="144">
        <f t="shared" si="3"/>
        <v>5.9712763359480003E-2</v>
      </c>
      <c r="AC56" s="144">
        <f t="shared" si="4"/>
        <v>5.4984057614508005E-3</v>
      </c>
      <c r="AD56" s="144">
        <f t="shared" si="7"/>
        <v>6.0372091992073357E-2</v>
      </c>
      <c r="AE56" s="145">
        <f t="shared" si="5"/>
        <v>-1.3587466130255961</v>
      </c>
      <c r="AF56" s="145">
        <f t="shared" si="6"/>
        <v>2.9423266333494048E-4</v>
      </c>
      <c r="AH56" s="181"/>
      <c r="AI56" s="181"/>
      <c r="AJ56" s="182"/>
    </row>
    <row r="57" spans="2:36" x14ac:dyDescent="0.25">
      <c r="I57" s="126">
        <v>1.3795902937000001E-2</v>
      </c>
      <c r="J57" s="127">
        <v>7.2714741208031994E-2</v>
      </c>
      <c r="K57" s="127">
        <v>6.0519156692940002E-3</v>
      </c>
      <c r="L57" s="67">
        <v>6.607868033934361E-2</v>
      </c>
      <c r="N57" s="18">
        <v>-1.488024782132854E-6</v>
      </c>
      <c r="O57" s="18">
        <v>1.5193295800813124E-10</v>
      </c>
      <c r="P57" s="18">
        <v>4.9727020328301492E-8</v>
      </c>
      <c r="Q57" s="28">
        <v>0.71369298486326438</v>
      </c>
      <c r="R57" s="61">
        <v>116.26253386974403</v>
      </c>
      <c r="S57" s="58">
        <v>2.8637622350242467E-6</v>
      </c>
      <c r="U57" s="172">
        <v>3.9962074019200933E-2</v>
      </c>
      <c r="V57" s="172">
        <v>6.607868033934361E-2</v>
      </c>
      <c r="W57" s="173">
        <v>6.7046017810079267E-2</v>
      </c>
      <c r="X57" s="173">
        <f t="shared" si="0"/>
        <v>5.9791363126991855E-2</v>
      </c>
      <c r="Y57" s="185">
        <f t="shared" si="1"/>
        <v>4.560015981198263</v>
      </c>
      <c r="AA57" s="143">
        <f t="shared" si="2"/>
        <v>0.13795902937000001</v>
      </c>
      <c r="AB57" s="144">
        <f t="shared" si="3"/>
        <v>7.2714741208031994E-2</v>
      </c>
      <c r="AC57" s="144">
        <f t="shared" si="4"/>
        <v>6.0519156692940002E-3</v>
      </c>
      <c r="AD57" s="144">
        <f t="shared" si="7"/>
        <v>5.9791363126991855E-2</v>
      </c>
      <c r="AE57" s="145">
        <f t="shared" si="5"/>
        <v>-1.3587466130255961</v>
      </c>
      <c r="AF57" s="145">
        <f t="shared" si="6"/>
        <v>2.8637622350242465E-4</v>
      </c>
      <c r="AH57" s="181"/>
      <c r="AI57" s="181"/>
      <c r="AJ57" s="182"/>
    </row>
    <row r="58" spans="2:36" x14ac:dyDescent="0.25">
      <c r="I58" s="126">
        <v>1.3933861966300001E-2</v>
      </c>
      <c r="J58" s="127">
        <v>5.9199270975504009E-2</v>
      </c>
      <c r="K58" s="127">
        <v>5.2239886188599994E-3</v>
      </c>
      <c r="L58" s="67">
        <v>6.5484495303767404E-2</v>
      </c>
      <c r="N58" s="18">
        <v>-1.5373011346981694E-6</v>
      </c>
      <c r="O58" s="18">
        <v>1.5243611965491276E-10</v>
      </c>
      <c r="P58" s="18">
        <v>4.9924611012152855E-8</v>
      </c>
      <c r="Q58" s="28">
        <v>0.71369298486326438</v>
      </c>
      <c r="R58" s="61">
        <v>116.9352611424713</v>
      </c>
      <c r="S58" s="58">
        <v>2.8637622350242467E-6</v>
      </c>
      <c r="U58" s="172">
        <v>4.1369765994850191E-2</v>
      </c>
      <c r="V58" s="172">
        <v>6.5484495303767404E-2</v>
      </c>
      <c r="W58" s="173">
        <v>6.3804068770953321E-2</v>
      </c>
      <c r="X58" s="173">
        <f t="shared" si="0"/>
        <v>5.9035706343334583E-2</v>
      </c>
      <c r="Y58" s="185">
        <f t="shared" si="1"/>
        <v>9.8033466212658535E-4</v>
      </c>
      <c r="AA58" s="143">
        <f t="shared" si="2"/>
        <v>0.13933861966300001</v>
      </c>
      <c r="AB58" s="144">
        <f t="shared" si="3"/>
        <v>5.9199270975504009E-2</v>
      </c>
      <c r="AC58" s="144">
        <f t="shared" si="4"/>
        <v>5.2239886188599994E-3</v>
      </c>
      <c r="AD58" s="144">
        <f t="shared" si="7"/>
        <v>5.9035706343334583E-2</v>
      </c>
      <c r="AE58" s="145">
        <f t="shared" si="5"/>
        <v>-1.2914738857528689</v>
      </c>
      <c r="AF58" s="145">
        <f t="shared" si="6"/>
        <v>2.8637622350242465E-4</v>
      </c>
      <c r="AH58" s="181"/>
      <c r="AI58" s="181"/>
      <c r="AJ58" s="182"/>
    </row>
    <row r="59" spans="2:36" x14ac:dyDescent="0.25">
      <c r="I59" s="126">
        <v>1.4073200586E-2</v>
      </c>
      <c r="J59" s="127">
        <v>5.4246909620508002E-2</v>
      </c>
      <c r="K59" s="127">
        <v>4.6897813806228003E-3</v>
      </c>
      <c r="L59" s="67">
        <v>6.4664980908876971E-2</v>
      </c>
      <c r="N59" s="18">
        <v>-1.5852317759982671E-6</v>
      </c>
      <c r="O59" s="18">
        <v>1.5282501992330663E-10</v>
      </c>
      <c r="P59" s="18">
        <v>5.0077331455917709E-8</v>
      </c>
      <c r="Q59" s="28">
        <v>0.71369298486326438</v>
      </c>
      <c r="R59" s="61">
        <v>116.9352611424713</v>
      </c>
      <c r="S59" s="58">
        <v>2.7786406114716381E-6</v>
      </c>
      <c r="U59" s="172">
        <v>4.2662978182072722E-2</v>
      </c>
      <c r="V59" s="172">
        <v>6.4664980908876971E-2</v>
      </c>
      <c r="W59" s="173">
        <v>6.0437024468355117E-2</v>
      </c>
      <c r="X59" s="173">
        <f t="shared" si="0"/>
        <v>5.8107491117045447E-2</v>
      </c>
      <c r="Y59" s="185">
        <f t="shared" si="1"/>
        <v>0.67764190312030415</v>
      </c>
      <c r="AA59" s="143">
        <f t="shared" si="2"/>
        <v>0.14073200586000001</v>
      </c>
      <c r="AB59" s="144">
        <f t="shared" si="3"/>
        <v>5.4246909620508002E-2</v>
      </c>
      <c r="AC59" s="144">
        <f t="shared" si="4"/>
        <v>4.6897813806228003E-3</v>
      </c>
      <c r="AD59" s="144">
        <f t="shared" si="7"/>
        <v>5.8107491117045447E-2</v>
      </c>
      <c r="AE59" s="145">
        <f t="shared" si="5"/>
        <v>-1.2914738857528689</v>
      </c>
      <c r="AF59" s="145">
        <f t="shared" si="6"/>
        <v>2.7786406114716378E-4</v>
      </c>
      <c r="AH59" s="181"/>
      <c r="AI59" s="181"/>
      <c r="AJ59" s="182"/>
    </row>
    <row r="60" spans="2:36" x14ac:dyDescent="0.25">
      <c r="I60" s="126">
        <v>1.42139325919E-2</v>
      </c>
      <c r="J60" s="127">
        <v>4.7130797635548005E-2</v>
      </c>
      <c r="K60" s="127">
        <v>4.2523713481656001E-3</v>
      </c>
      <c r="L60" s="67">
        <v>6.362278272656624E-2</v>
      </c>
      <c r="N60" s="18">
        <v>-1.6202931663164949E-6</v>
      </c>
      <c r="O60" s="18">
        <v>1.5305512561830875E-10</v>
      </c>
      <c r="P60" s="18">
        <v>5.0167693553117274E-8</v>
      </c>
      <c r="Q60" s="28">
        <v>0.35684649243163219</v>
      </c>
      <c r="R60" s="61">
        <v>117.60798841519858</v>
      </c>
      <c r="S60" s="58">
        <v>2.7786406114716381E-6</v>
      </c>
      <c r="U60" s="172">
        <v>4.3828815521712486E-2</v>
      </c>
      <c r="V60" s="172">
        <v>6.362278272656624E-2</v>
      </c>
      <c r="W60" s="173">
        <v>5.696812745122741E-2</v>
      </c>
      <c r="X60" s="173">
        <f t="shared" si="0"/>
        <v>5.7010627106518094E-2</v>
      </c>
      <c r="Y60" s="185">
        <f t="shared" si="1"/>
        <v>5.3980453723590172</v>
      </c>
      <c r="AA60" s="143">
        <f t="shared" si="2"/>
        <v>0.142139325919</v>
      </c>
      <c r="AB60" s="144">
        <f t="shared" si="3"/>
        <v>4.7130797635548005E-2</v>
      </c>
      <c r="AC60" s="144">
        <f t="shared" si="4"/>
        <v>4.2523713481656001E-3</v>
      </c>
      <c r="AD60" s="144">
        <f t="shared" si="7"/>
        <v>5.7010627106518094E-2</v>
      </c>
      <c r="AE60" s="145">
        <f t="shared" si="5"/>
        <v>-1.2242011584801418</v>
      </c>
      <c r="AF60" s="145">
        <f t="shared" si="6"/>
        <v>2.7786406114716378E-4</v>
      </c>
      <c r="AH60" s="181"/>
      <c r="AI60" s="181"/>
      <c r="AJ60" s="182"/>
    </row>
    <row r="61" spans="2:36" x14ac:dyDescent="0.25">
      <c r="B61" s="190" t="s">
        <v>617</v>
      </c>
      <c r="C61" s="190"/>
      <c r="D61" s="190"/>
      <c r="E61" s="190"/>
      <c r="F61" s="190"/>
      <c r="G61" s="190"/>
      <c r="H61" s="190"/>
      <c r="I61" s="126">
        <v>1.4356071917800001E-2</v>
      </c>
      <c r="J61" s="127">
        <v>5.5733919484452006E-2</v>
      </c>
      <c r="K61" s="127">
        <v>4.4062516783428003E-3</v>
      </c>
      <c r="L61" s="67">
        <v>6.2362450954140475E-2</v>
      </c>
      <c r="N61" s="18">
        <v>-1.6721647953171668E-6</v>
      </c>
      <c r="O61" s="18">
        <v>1.5392483148537927E-10</v>
      </c>
      <c r="P61" s="18">
        <v>5.0509225500401457E-8</v>
      </c>
      <c r="Q61" s="28">
        <v>0.86146705297430537</v>
      </c>
      <c r="R61" s="61">
        <v>117.60798841519858</v>
      </c>
      <c r="S61" s="58">
        <v>2.6874675197525567E-6</v>
      </c>
      <c r="U61" s="172">
        <v>4.4855290663605753E-2</v>
      </c>
      <c r="V61" s="172">
        <v>6.2362450954140475E-2</v>
      </c>
      <c r="W61" s="173">
        <v>5.3422107906225105E-2</v>
      </c>
      <c r="X61" s="173">
        <f t="shared" si="0"/>
        <v>5.5750575119527954E-2</v>
      </c>
      <c r="Y61" s="185">
        <f t="shared" si="1"/>
        <v>1.4288406402834428E-5</v>
      </c>
      <c r="AA61" s="143">
        <f t="shared" si="2"/>
        <v>0.14356071917800001</v>
      </c>
      <c r="AB61" s="144">
        <f t="shared" si="3"/>
        <v>5.5733919484452006E-2</v>
      </c>
      <c r="AC61" s="144">
        <f t="shared" si="4"/>
        <v>4.4062516783428003E-3</v>
      </c>
      <c r="AD61" s="144">
        <f t="shared" si="7"/>
        <v>5.5750575119527954E-2</v>
      </c>
      <c r="AE61" s="145">
        <f t="shared" si="5"/>
        <v>-1.2242011584801418</v>
      </c>
      <c r="AF61" s="145">
        <f t="shared" si="6"/>
        <v>2.6874675197525566E-4</v>
      </c>
      <c r="AH61" s="181"/>
      <c r="AI61" s="181"/>
      <c r="AJ61" s="182"/>
    </row>
    <row r="62" spans="2:36" ht="19.5" x14ac:dyDescent="0.3">
      <c r="B62" s="153" t="s">
        <v>613</v>
      </c>
      <c r="C62" s="160">
        <v>0</v>
      </c>
      <c r="D62" s="160">
        <v>0</v>
      </c>
      <c r="E62" s="160">
        <v>0</v>
      </c>
      <c r="F62" s="138">
        <v>0</v>
      </c>
      <c r="G62" s="138">
        <v>0</v>
      </c>
      <c r="H62" s="146" t="s">
        <v>685</v>
      </c>
      <c r="I62" s="126">
        <v>1.4499632637E-2</v>
      </c>
      <c r="J62" s="127">
        <v>5.1748151519592007E-2</v>
      </c>
      <c r="K62" s="127">
        <v>4.1563015600656001E-3</v>
      </c>
      <c r="L62" s="67">
        <v>6.0890481515226393E-2</v>
      </c>
      <c r="N62" s="18">
        <v>-1.7211627236162958E-6</v>
      </c>
      <c r="O62" s="18">
        <v>1.5392483148537927E-10</v>
      </c>
      <c r="P62" s="18">
        <v>5.0509225500401457E-8</v>
      </c>
      <c r="Q62" s="28">
        <v>0.87618548514490913</v>
      </c>
      <c r="R62" s="61">
        <v>118.28071568792585</v>
      </c>
      <c r="S62" s="58">
        <v>2.6874675197525567E-6</v>
      </c>
      <c r="U62" s="172">
        <v>4.5731442264182368E-2</v>
      </c>
      <c r="V62" s="172">
        <v>6.0890481515226393E-2</v>
      </c>
      <c r="W62" s="173">
        <v>4.9824954032802821E-2</v>
      </c>
      <c r="X62" s="173">
        <f t="shared" si="0"/>
        <v>5.4334339831859493E-2</v>
      </c>
      <c r="Y62" s="185">
        <f t="shared" si="1"/>
        <v>0.38717400319317363</v>
      </c>
      <c r="AA62" s="143">
        <f t="shared" si="2"/>
        <v>0.14499632636999998</v>
      </c>
      <c r="AB62" s="144">
        <f t="shared" si="3"/>
        <v>5.1748151519592007E-2</v>
      </c>
      <c r="AC62" s="144">
        <f t="shared" si="4"/>
        <v>4.1563015600656001E-3</v>
      </c>
      <c r="AD62" s="144">
        <f t="shared" si="7"/>
        <v>5.4334339831859493E-2</v>
      </c>
      <c r="AE62" s="145">
        <f t="shared" si="5"/>
        <v>-1.1569284312074146</v>
      </c>
      <c r="AF62" s="145">
        <f t="shared" si="6"/>
        <v>2.6874675197525566E-4</v>
      </c>
      <c r="AH62" s="181"/>
      <c r="AI62" s="181"/>
      <c r="AJ62" s="182"/>
    </row>
    <row r="63" spans="2:36" x14ac:dyDescent="0.25">
      <c r="B63" s="107" t="s">
        <v>618</v>
      </c>
      <c r="C63" s="108">
        <f>H63</f>
        <v>1.0136721026109248E-6</v>
      </c>
      <c r="D63" s="108">
        <v>1.5392483148537927E-10</v>
      </c>
      <c r="E63" s="108">
        <v>5.0509225500401457E-8</v>
      </c>
      <c r="F63" s="123">
        <v>61.774063156716643</v>
      </c>
      <c r="G63" s="123">
        <v>44.340579166116143</v>
      </c>
      <c r="H63" s="110">
        <f>0.0000000000000001*H75*(H73*B79+(1-H73)*D79)</f>
        <v>1.0136721026109248E-6</v>
      </c>
      <c r="I63" s="126">
        <v>1.46446289633E-2</v>
      </c>
      <c r="J63" s="127">
        <v>5.3254229316155997E-2</v>
      </c>
      <c r="K63" s="127">
        <v>4.0899371616444002E-3</v>
      </c>
      <c r="L63" s="67">
        <v>5.9213562395595137E-2</v>
      </c>
      <c r="N63" s="18">
        <v>-1.7701510684161962E-6</v>
      </c>
      <c r="O63" s="18">
        <v>1.5392483148537927E-10</v>
      </c>
      <c r="P63" s="18">
        <v>5.0509225500401457E-8</v>
      </c>
      <c r="Q63" s="28">
        <v>0.90720378972442595</v>
      </c>
      <c r="R63" s="61">
        <v>118.28071568792585</v>
      </c>
      <c r="S63" s="58">
        <v>2.5909248667592145E-6</v>
      </c>
      <c r="U63" s="172">
        <v>4.6449019614003009E-2</v>
      </c>
      <c r="V63" s="172">
        <v>5.9213562395595137E-2</v>
      </c>
      <c r="W63" s="173">
        <v>4.6198425256439454E-2</v>
      </c>
      <c r="X63" s="173">
        <f t="shared" si="0"/>
        <v>5.2768642415408185E-2</v>
      </c>
      <c r="Y63" s="185">
        <f t="shared" si="1"/>
        <v>1.4096154601889073E-2</v>
      </c>
      <c r="AA63" s="143">
        <f t="shared" si="2"/>
        <v>0.14644628963299999</v>
      </c>
      <c r="AB63" s="144">
        <f t="shared" si="3"/>
        <v>5.3254229316155997E-2</v>
      </c>
      <c r="AC63" s="144">
        <f t="shared" si="4"/>
        <v>4.0899371616444002E-3</v>
      </c>
      <c r="AD63" s="144">
        <f t="shared" si="7"/>
        <v>5.2768642415408185E-2</v>
      </c>
      <c r="AE63" s="145">
        <f t="shared" si="5"/>
        <v>-1.1569284312074146</v>
      </c>
      <c r="AF63" s="145">
        <f t="shared" si="6"/>
        <v>2.5909248667592145E-4</v>
      </c>
      <c r="AH63" s="181"/>
      <c r="AI63" s="181"/>
      <c r="AJ63" s="182"/>
    </row>
    <row r="64" spans="2:36" ht="18.75" x14ac:dyDescent="0.25">
      <c r="B64" s="111" t="s">
        <v>540</v>
      </c>
      <c r="C64" s="112">
        <f>H65</f>
        <v>3.2243909411123124E-6</v>
      </c>
      <c r="D64" s="113">
        <v>7.9300000000000003E-12</v>
      </c>
      <c r="E64" s="113">
        <v>3.6399999999999998E-10</v>
      </c>
      <c r="F64" s="114">
        <v>36.513977867968762</v>
      </c>
      <c r="G64" s="123">
        <v>21.368981921742197</v>
      </c>
      <c r="H64" s="116" t="s">
        <v>686</v>
      </c>
      <c r="I64" s="126">
        <v>1.4791075253E-2</v>
      </c>
      <c r="J64" s="127">
        <v>5.0247163727243999E-2</v>
      </c>
      <c r="K64" s="127">
        <v>4.0018050063420005E-3</v>
      </c>
      <c r="L64" s="67">
        <v>5.7345480068780263E-2</v>
      </c>
      <c r="N64" s="18">
        <v>-1.8190978819481974E-6</v>
      </c>
      <c r="O64" s="18">
        <v>1.5392483148537927E-10</v>
      </c>
      <c r="P64" s="18">
        <v>5.0509225500401457E-8</v>
      </c>
      <c r="Q64" s="28">
        <v>0.95813981390315928</v>
      </c>
      <c r="R64" s="61">
        <v>118.95344296065312</v>
      </c>
      <c r="S64" s="58">
        <v>2.5909248667592145E-6</v>
      </c>
      <c r="U64" s="172">
        <v>4.6996028758533433E-2</v>
      </c>
      <c r="V64" s="172">
        <v>5.7345480068780263E-2</v>
      </c>
      <c r="W64" s="173">
        <v>4.2580750069379461E-2</v>
      </c>
      <c r="X64" s="173">
        <f t="shared" si="0"/>
        <v>5.106693474136835E-2</v>
      </c>
      <c r="Y64" s="185">
        <f t="shared" si="1"/>
        <v>4.196365135151861E-2</v>
      </c>
      <c r="AA64" s="143">
        <f t="shared" si="2"/>
        <v>0.14791075252999999</v>
      </c>
      <c r="AB64" s="144">
        <f t="shared" si="3"/>
        <v>5.0247163727243999E-2</v>
      </c>
      <c r="AC64" s="144">
        <f t="shared" si="4"/>
        <v>4.0018050063420005E-3</v>
      </c>
      <c r="AD64" s="144">
        <f t="shared" si="7"/>
        <v>5.106693474136835E-2</v>
      </c>
      <c r="AE64" s="145">
        <f t="shared" si="5"/>
        <v>-1.0896557039346875</v>
      </c>
      <c r="AF64" s="145">
        <f t="shared" si="6"/>
        <v>2.5909248667592145E-4</v>
      </c>
      <c r="AH64" s="181"/>
      <c r="AI64" s="181"/>
      <c r="AJ64" s="182"/>
    </row>
    <row r="65" spans="2:36" x14ac:dyDescent="0.25">
      <c r="B65" s="107" t="s">
        <v>619</v>
      </c>
      <c r="C65" s="108">
        <f>H63</f>
        <v>1.0136721026109248E-6</v>
      </c>
      <c r="D65" s="108">
        <v>1.5392483148537927E-10</v>
      </c>
      <c r="E65" s="108">
        <v>5.0509225500401457E-8</v>
      </c>
      <c r="F65" s="109">
        <f>H69-(F66+F64)/2</f>
        <v>126.16813550584273</v>
      </c>
      <c r="G65" s="109">
        <f>G64</f>
        <v>21.368981921742197</v>
      </c>
      <c r="H65" s="110">
        <f>0.0000000000000001*(H75*(C77/B77)*H77*C79+(1-H77)*H63)</f>
        <v>3.2243909411123124E-6</v>
      </c>
      <c r="I65" s="126">
        <v>1.4938986005499999E-2</v>
      </c>
      <c r="J65" s="127">
        <v>5.251596061047601E-2</v>
      </c>
      <c r="K65" s="127">
        <v>3.8524342147632003E-3</v>
      </c>
      <c r="L65" s="67">
        <v>5.5297116319892071E-2</v>
      </c>
      <c r="N65" s="18">
        <v>-1.8679248002996823E-6</v>
      </c>
      <c r="O65" s="18">
        <v>1.5392483148537927E-10</v>
      </c>
      <c r="P65" s="18">
        <v>5.0509225500401457E-8</v>
      </c>
      <c r="Q65" s="28">
        <v>1.0358264058786453</v>
      </c>
      <c r="R65" s="61">
        <v>118.95344296065312</v>
      </c>
      <c r="S65" s="58">
        <v>2.4898599774308446E-6</v>
      </c>
      <c r="U65" s="172">
        <v>4.7367110298285553E-2</v>
      </c>
      <c r="V65" s="172">
        <v>5.5297116319892071E-2</v>
      </c>
      <c r="W65" s="173">
        <v>3.8994536864233313E-2</v>
      </c>
      <c r="X65" s="173">
        <f t="shared" si="0"/>
        <v>4.9238969950575751E-2</v>
      </c>
      <c r="Y65" s="185">
        <f t="shared" si="1"/>
        <v>0.72356898740694564</v>
      </c>
      <c r="AA65" s="143">
        <f t="shared" si="2"/>
        <v>0.14938986005499999</v>
      </c>
      <c r="AB65" s="144">
        <f t="shared" si="3"/>
        <v>5.251596061047601E-2</v>
      </c>
      <c r="AC65" s="144">
        <f t="shared" si="4"/>
        <v>3.8524342147632003E-3</v>
      </c>
      <c r="AD65" s="144">
        <f t="shared" si="7"/>
        <v>4.9238969950575751E-2</v>
      </c>
      <c r="AE65" s="145">
        <f t="shared" si="5"/>
        <v>-1.0896557039346875</v>
      </c>
      <c r="AF65" s="145">
        <f t="shared" si="6"/>
        <v>2.4898599774308446E-4</v>
      </c>
      <c r="AH65" s="181"/>
      <c r="AI65" s="181"/>
      <c r="AJ65" s="182"/>
    </row>
    <row r="66" spans="2:36" ht="19.5" x14ac:dyDescent="0.3">
      <c r="B66" s="111" t="s">
        <v>540</v>
      </c>
      <c r="C66" s="112">
        <f>H65</f>
        <v>3.2243909411123124E-6</v>
      </c>
      <c r="D66" s="113">
        <v>7.9300000000000003E-12</v>
      </c>
      <c r="E66" s="113">
        <v>3.6399999999999998E-10</v>
      </c>
      <c r="F66" s="159">
        <f>F64</f>
        <v>36.513977867968762</v>
      </c>
      <c r="G66" s="115">
        <f>G64</f>
        <v>21.368981921742197</v>
      </c>
      <c r="H66" s="117" t="s">
        <v>693</v>
      </c>
      <c r="I66" s="126">
        <v>1.5088375865499999E-2</v>
      </c>
      <c r="J66" s="127">
        <v>4.0093582849319999E-2</v>
      </c>
      <c r="K66" s="127">
        <v>3.1546917151860001E-3</v>
      </c>
      <c r="L66" s="67">
        <v>5.3082803694931083E-2</v>
      </c>
      <c r="N66" s="18">
        <v>-1.9164689174252419E-6</v>
      </c>
      <c r="O66" s="18">
        <v>1.5392483148537927E-10</v>
      </c>
      <c r="P66" s="18">
        <v>5.0509225500401457E-8</v>
      </c>
      <c r="Q66" s="28">
        <v>1.1530411022175422</v>
      </c>
      <c r="R66" s="61">
        <v>119.62617023338039</v>
      </c>
      <c r="S66" s="58">
        <v>2.4898599774308446E-6</v>
      </c>
      <c r="U66" s="172">
        <v>4.7556495985461723E-2</v>
      </c>
      <c r="V66" s="172">
        <v>5.3082803694931083E-2</v>
      </c>
      <c r="W66" s="173">
        <v>3.5467649019604322E-2</v>
      </c>
      <c r="X66" s="173">
        <f t="shared" si="0"/>
        <v>4.7297438098732048E-2</v>
      </c>
      <c r="Y66" s="185">
        <f t="shared" si="1"/>
        <v>5.2145412219597764</v>
      </c>
      <c r="AA66" s="143">
        <f t="shared" si="2"/>
        <v>0.15088375865499998</v>
      </c>
      <c r="AB66" s="144">
        <f t="shared" si="3"/>
        <v>4.0093582849319999E-2</v>
      </c>
      <c r="AC66" s="144">
        <f t="shared" si="4"/>
        <v>3.1546917151860001E-3</v>
      </c>
      <c r="AD66" s="144">
        <f t="shared" si="7"/>
        <v>4.7297438098732048E-2</v>
      </c>
      <c r="AE66" s="145">
        <f t="shared" si="5"/>
        <v>-1.0223829766619601</v>
      </c>
      <c r="AF66" s="145">
        <f t="shared" si="6"/>
        <v>2.4898599774308446E-4</v>
      </c>
      <c r="AH66" s="181"/>
      <c r="AI66" s="181"/>
      <c r="AJ66" s="182"/>
    </row>
    <row r="67" spans="2:36" x14ac:dyDescent="0.25">
      <c r="B67" s="107" t="s">
        <v>619</v>
      </c>
      <c r="C67" s="108">
        <f>H63</f>
        <v>1.0136721026109248E-6</v>
      </c>
      <c r="D67" s="108">
        <v>1.5392483148537927E-10</v>
      </c>
      <c r="E67" s="108">
        <v>5.0509225500401457E-8</v>
      </c>
      <c r="F67" s="109">
        <f>(2*H69-F68-F66)/2</f>
        <v>126.16813550584271</v>
      </c>
      <c r="G67" s="109">
        <f>G64</f>
        <v>21.368981921742197</v>
      </c>
      <c r="H67" s="118">
        <f>H73*H69/5</f>
        <v>23.719052129901716</v>
      </c>
      <c r="I67" s="126">
        <v>1.5239259624200001E-2</v>
      </c>
      <c r="J67" s="127">
        <v>3.9413103315036002E-2</v>
      </c>
      <c r="K67" s="127">
        <v>2.9901053389811997E-3</v>
      </c>
      <c r="L67" s="67">
        <v>5.0718731769663315E-2</v>
      </c>
      <c r="N67" s="18">
        <v>-1.9644123418848301E-6</v>
      </c>
      <c r="O67" s="18">
        <v>1.5392483148537927E-10</v>
      </c>
      <c r="P67" s="18">
        <v>5.0509225500401457E-8</v>
      </c>
      <c r="Q67" s="28">
        <v>1.3353024769375388</v>
      </c>
      <c r="R67" s="61">
        <v>119.62617023338039</v>
      </c>
      <c r="S67" s="58">
        <v>2.38526507326429E-6</v>
      </c>
      <c r="U67" s="172">
        <v>4.7559956181449106E-2</v>
      </c>
      <c r="V67" s="172">
        <v>5.0718731769663315E-2</v>
      </c>
      <c r="W67" s="173">
        <v>3.2027442589239181E-2</v>
      </c>
      <c r="X67" s="173">
        <f t="shared" ref="X67:X130" si="8">(U67+2*V67+W67)/4</f>
        <v>4.5256215577503728E-2</v>
      </c>
      <c r="Y67" s="185">
        <f t="shared" ref="Y67:Y130" si="9">(J67-X67)*(J67-X67)/(K67*K67)</f>
        <v>3.8186994963254155</v>
      </c>
      <c r="AA67" s="143">
        <f t="shared" ref="AA67:AA130" si="10">I67*10</f>
        <v>0.15239259624199999</v>
      </c>
      <c r="AB67" s="144">
        <f t="shared" ref="AB67:AB130" si="11">J67</f>
        <v>3.9413103315036002E-2</v>
      </c>
      <c r="AC67" s="144">
        <f t="shared" ref="AC67:AC130" si="12">K67</f>
        <v>2.9901053389811997E-3</v>
      </c>
      <c r="AD67" s="144">
        <f t="shared" si="7"/>
        <v>4.5256215577503728E-2</v>
      </c>
      <c r="AE67" s="145">
        <f t="shared" ref="AE67:AE130" si="13">(R67-129.85)/10</f>
        <v>-1.0223829766619601</v>
      </c>
      <c r="AF67" s="145">
        <f t="shared" ref="AF67:AF130" si="14">S67*100</f>
        <v>2.3852650732642899E-4</v>
      </c>
      <c r="AH67" s="181"/>
      <c r="AI67" s="181"/>
      <c r="AJ67" s="182"/>
    </row>
    <row r="68" spans="2:36" ht="19.5" x14ac:dyDescent="0.3">
      <c r="B68" s="111" t="s">
        <v>540</v>
      </c>
      <c r="C68" s="112">
        <f>H65</f>
        <v>3.2243909411123124E-6</v>
      </c>
      <c r="D68" s="113">
        <v>7.9300000000000003E-12</v>
      </c>
      <c r="E68" s="113">
        <v>3.6399999999999998E-10</v>
      </c>
      <c r="F68" s="159">
        <f>F64</f>
        <v>36.513977867968762</v>
      </c>
      <c r="G68" s="115">
        <f>G64</f>
        <v>21.368981921742197</v>
      </c>
      <c r="H68" s="117" t="s">
        <v>687</v>
      </c>
      <c r="I68" s="126">
        <v>1.5391652220400001E-2</v>
      </c>
      <c r="J68" s="127">
        <v>3.9956285719020004E-2</v>
      </c>
      <c r="K68" s="127">
        <v>2.9022078808139998E-3</v>
      </c>
      <c r="L68" s="67">
        <v>4.8222849199718407E-2</v>
      </c>
      <c r="N68" s="18">
        <v>-2.0111396242593376E-6</v>
      </c>
      <c r="O68" s="18">
        <v>1.5392483148537927E-10</v>
      </c>
      <c r="P68" s="18">
        <v>5.0509225500401457E-8</v>
      </c>
      <c r="Q68" s="28">
        <v>1.640851486839652</v>
      </c>
      <c r="R68" s="61">
        <v>120.29889750610766</v>
      </c>
      <c r="S68" s="58">
        <v>2.38526507326429E-6</v>
      </c>
      <c r="U68" s="172">
        <v>4.7374880759784327E-2</v>
      </c>
      <c r="V68" s="172">
        <v>4.8222849199718407E-2</v>
      </c>
      <c r="W68" s="173">
        <v>2.8700320736225755E-2</v>
      </c>
      <c r="X68" s="173">
        <f t="shared" si="8"/>
        <v>4.3130224973861722E-2</v>
      </c>
      <c r="Y68" s="185">
        <f t="shared" si="9"/>
        <v>1.1960248059250886</v>
      </c>
      <c r="AA68" s="143">
        <f t="shared" si="10"/>
        <v>0.15391652220400001</v>
      </c>
      <c r="AB68" s="144">
        <f t="shared" si="11"/>
        <v>3.9956285719020004E-2</v>
      </c>
      <c r="AC68" s="144">
        <f t="shared" si="12"/>
        <v>2.9022078808139998E-3</v>
      </c>
      <c r="AD68" s="144">
        <f t="shared" ref="AD68:AD131" si="15">X68</f>
        <v>4.3130224973861722E-2</v>
      </c>
      <c r="AE68" s="145">
        <f t="shared" si="13"/>
        <v>-0.95511024938923295</v>
      </c>
      <c r="AF68" s="145">
        <f t="shared" si="14"/>
        <v>2.3852650732642899E-4</v>
      </c>
      <c r="AH68" s="181"/>
      <c r="AI68" s="181"/>
      <c r="AJ68" s="182"/>
    </row>
    <row r="69" spans="2:36" x14ac:dyDescent="0.25">
      <c r="B69" s="107" t="s">
        <v>620</v>
      </c>
      <c r="C69" s="108">
        <f>H63</f>
        <v>1.0136721026109248E-6</v>
      </c>
      <c r="D69" s="108">
        <v>1.5392483148537927E-10</v>
      </c>
      <c r="E69" s="108">
        <v>5.0509225500401457E-8</v>
      </c>
      <c r="F69" s="123">
        <v>101.17677234221604</v>
      </c>
      <c r="G69" s="109">
        <f>G64</f>
        <v>21.368981921742197</v>
      </c>
      <c r="H69" s="123">
        <v>162.68211337381149</v>
      </c>
      <c r="I69" s="126">
        <v>1.55455687426E-2</v>
      </c>
      <c r="J69" s="127">
        <v>3.1691988750708E-2</v>
      </c>
      <c r="K69" s="127">
        <v>2.5257543174864003E-3</v>
      </c>
      <c r="L69" s="67">
        <v>4.5614732175887171E-2</v>
      </c>
      <c r="N69" s="18">
        <v>-2.0554161904952389E-6</v>
      </c>
      <c r="O69" s="18">
        <v>1.5392483148537927E-10</v>
      </c>
      <c r="P69" s="18">
        <v>5.0509225500401457E-8</v>
      </c>
      <c r="Q69" s="28">
        <v>2.2395540466502442</v>
      </c>
      <c r="R69" s="61">
        <v>120.29889750610766</v>
      </c>
      <c r="S69" s="58">
        <v>2.2782486104769875E-6</v>
      </c>
      <c r="U69" s="172">
        <v>4.7000350182347543E-2</v>
      </c>
      <c r="V69" s="172">
        <v>4.5614732175887171E-2</v>
      </c>
      <c r="W69" s="173">
        <v>2.5511276570695459E-2</v>
      </c>
      <c r="X69" s="173">
        <f t="shared" si="8"/>
        <v>4.0935272776204339E-2</v>
      </c>
      <c r="Y69" s="185">
        <f t="shared" si="9"/>
        <v>13.392769310485408</v>
      </c>
      <c r="AA69" s="143">
        <f t="shared" si="10"/>
        <v>0.15545568742599999</v>
      </c>
      <c r="AB69" s="144">
        <f t="shared" si="11"/>
        <v>3.1691988750708E-2</v>
      </c>
      <c r="AC69" s="144">
        <f t="shared" si="12"/>
        <v>2.5257543174864003E-3</v>
      </c>
      <c r="AD69" s="144">
        <f t="shared" si="15"/>
        <v>4.0935272776204339E-2</v>
      </c>
      <c r="AE69" s="145">
        <f t="shared" si="13"/>
        <v>-0.95511024938923295</v>
      </c>
      <c r="AF69" s="145">
        <f t="shared" si="14"/>
        <v>2.2782486104769875E-4</v>
      </c>
      <c r="AH69" s="181"/>
      <c r="AI69" s="181"/>
      <c r="AJ69" s="182"/>
    </row>
    <row r="70" spans="2:36" ht="19.5" x14ac:dyDescent="0.3">
      <c r="B70" s="154" t="s">
        <v>539</v>
      </c>
      <c r="C70" s="128">
        <v>8.9999999999999996E-7</v>
      </c>
      <c r="D70" s="128">
        <v>1.5392483148537927E-10</v>
      </c>
      <c r="E70" s="128">
        <v>5.0509225500401457E-8</v>
      </c>
      <c r="F70" s="158">
        <v>15.7</v>
      </c>
      <c r="G70" s="158">
        <f>F70</f>
        <v>15.7</v>
      </c>
      <c r="H70" s="117" t="s">
        <v>688</v>
      </c>
      <c r="I70" s="126">
        <v>1.5701024430100002E-2</v>
      </c>
      <c r="J70" s="127">
        <v>3.6229755364043999E-2</v>
      </c>
      <c r="K70" s="127">
        <v>2.5515979958435999E-3</v>
      </c>
      <c r="L70" s="67">
        <v>4.2915417125042099E-2</v>
      </c>
      <c r="N70" s="18">
        <v>-2.0945452396749039E-6</v>
      </c>
      <c r="O70" s="18">
        <v>1.5392483148537927E-10</v>
      </c>
      <c r="P70" s="18">
        <v>5.0509225500401457E-8</v>
      </c>
      <c r="Q70" s="28">
        <v>4.0245083552658345</v>
      </c>
      <c r="R70" s="61">
        <v>120.97162477883494</v>
      </c>
      <c r="S70" s="58">
        <v>2.2782486104769875E-6</v>
      </c>
      <c r="U70" s="172">
        <v>4.6437195271828803E-2</v>
      </c>
      <c r="V70" s="172">
        <v>4.2915417125042099E-2</v>
      </c>
      <c r="W70" s="173">
        <v>2.248343631981943E-2</v>
      </c>
      <c r="X70" s="173">
        <f t="shared" si="8"/>
        <v>3.868786646043311E-2</v>
      </c>
      <c r="Y70" s="185">
        <f t="shared" si="9"/>
        <v>0.92806524656959322</v>
      </c>
      <c r="AA70" s="143">
        <f t="shared" si="10"/>
        <v>0.15701024430100002</v>
      </c>
      <c r="AB70" s="144">
        <f t="shared" si="11"/>
        <v>3.6229755364043999E-2</v>
      </c>
      <c r="AC70" s="144">
        <f t="shared" si="12"/>
        <v>2.5515979958435999E-3</v>
      </c>
      <c r="AD70" s="144">
        <f t="shared" si="15"/>
        <v>3.868786646043311E-2</v>
      </c>
      <c r="AE70" s="145">
        <f t="shared" si="13"/>
        <v>-0.8878375221165058</v>
      </c>
      <c r="AF70" s="145">
        <f t="shared" si="14"/>
        <v>2.2782486104769875E-4</v>
      </c>
      <c r="AH70" s="181"/>
      <c r="AI70" s="181"/>
      <c r="AJ70" s="182"/>
    </row>
    <row r="71" spans="2:36" ht="18.75" x14ac:dyDescent="0.35">
      <c r="B71" s="154" t="s">
        <v>621</v>
      </c>
      <c r="C71" s="157">
        <v>3.4400000000000001E-6</v>
      </c>
      <c r="D71" s="157">
        <v>2.5307649463664093E-11</v>
      </c>
      <c r="E71" s="157">
        <v>1.486857631694136E-12</v>
      </c>
      <c r="F71" s="138">
        <v>14.8</v>
      </c>
      <c r="G71" s="138">
        <f>F71</f>
        <v>14.8</v>
      </c>
      <c r="H71" s="118">
        <f>SUM(F63:F69)</f>
        <v>524.82904011452445</v>
      </c>
      <c r="I71" s="126">
        <v>1.5858034674400001E-2</v>
      </c>
      <c r="J71" s="127">
        <v>3.3191717783531999E-2</v>
      </c>
      <c r="K71" s="127">
        <v>2.3358706420236E-3</v>
      </c>
      <c r="L71" s="67">
        <v>4.0147196170828153E-2</v>
      </c>
      <c r="N71" s="18">
        <v>-2.121593278210426E-6</v>
      </c>
      <c r="O71" s="18">
        <v>1.5392483148537927E-10</v>
      </c>
      <c r="P71" s="18">
        <v>5.0509225500401457E-8</v>
      </c>
      <c r="Q71" s="28">
        <v>5.4046249654576455</v>
      </c>
      <c r="R71" s="61">
        <v>120.97162477883494</v>
      </c>
      <c r="S71" s="58">
        <v>2.1971106880824975E-6</v>
      </c>
      <c r="U71" s="172">
        <v>4.5688043996453535E-2</v>
      </c>
      <c r="V71" s="172">
        <v>4.0147196170828153E-2</v>
      </c>
      <c r="W71" s="173">
        <v>1.963761600732189E-2</v>
      </c>
      <c r="X71" s="173">
        <f t="shared" si="8"/>
        <v>3.6405013086357935E-2</v>
      </c>
      <c r="Y71" s="185">
        <f t="shared" si="9"/>
        <v>1.8923597479072429</v>
      </c>
      <c r="AA71" s="143">
        <f t="shared" si="10"/>
        <v>0.15858034674400001</v>
      </c>
      <c r="AB71" s="144">
        <f t="shared" si="11"/>
        <v>3.3191717783531999E-2</v>
      </c>
      <c r="AC71" s="144">
        <f t="shared" si="12"/>
        <v>2.3358706420236E-3</v>
      </c>
      <c r="AD71" s="144">
        <f t="shared" si="15"/>
        <v>3.6405013086357935E-2</v>
      </c>
      <c r="AE71" s="145">
        <f t="shared" si="13"/>
        <v>-0.8878375221165058</v>
      </c>
      <c r="AF71" s="145">
        <f t="shared" si="14"/>
        <v>2.1971106880824974E-4</v>
      </c>
      <c r="AH71" s="181"/>
      <c r="AI71" s="181"/>
      <c r="AJ71" s="182"/>
    </row>
    <row r="72" spans="2:36" ht="17.25" x14ac:dyDescent="0.3">
      <c r="B72" s="153" t="s">
        <v>52</v>
      </c>
      <c r="C72" s="157">
        <v>2.108515049501502E-6</v>
      </c>
      <c r="D72" s="157">
        <v>4.7498147887006942E-11</v>
      </c>
      <c r="E72" s="157">
        <v>1.9976998807213682E-12</v>
      </c>
      <c r="F72" s="138">
        <v>100</v>
      </c>
      <c r="G72" s="138">
        <v>5</v>
      </c>
      <c r="H72" s="117" t="s">
        <v>616</v>
      </c>
      <c r="I72" s="126">
        <v>1.6016615021100002E-2</v>
      </c>
      <c r="J72" s="127">
        <v>2.8315273725684001E-2</v>
      </c>
      <c r="K72" s="127">
        <v>2.11289062743E-3</v>
      </c>
      <c r="L72" s="67">
        <v>3.7333374832356755E-2</v>
      </c>
      <c r="N72" s="18">
        <v>-2.1253305944520615E-6</v>
      </c>
      <c r="O72" s="18">
        <v>1.5392483148537927E-10</v>
      </c>
      <c r="P72" s="18">
        <v>5.0509225500401457E-8</v>
      </c>
      <c r="Q72" s="28">
        <v>113.83208372802547</v>
      </c>
      <c r="R72" s="61">
        <v>121.30798841519858</v>
      </c>
      <c r="S72" s="58">
        <v>2.1971106880824975E-6</v>
      </c>
      <c r="U72" s="172">
        <v>4.4757353371816945E-2</v>
      </c>
      <c r="V72" s="172">
        <v>3.7333374832356755E-2</v>
      </c>
      <c r="W72" s="173">
        <v>1.6991905698925325E-2</v>
      </c>
      <c r="X72" s="173">
        <f t="shared" si="8"/>
        <v>3.4104002183863946E-2</v>
      </c>
      <c r="Y72" s="185">
        <f t="shared" si="9"/>
        <v>7.5060650259094448</v>
      </c>
      <c r="AA72" s="143">
        <f t="shared" si="10"/>
        <v>0.160166150211</v>
      </c>
      <c r="AB72" s="144">
        <f t="shared" si="11"/>
        <v>2.8315273725684001E-2</v>
      </c>
      <c r="AC72" s="144">
        <f t="shared" si="12"/>
        <v>2.11289062743E-3</v>
      </c>
      <c r="AD72" s="144">
        <f t="shared" si="15"/>
        <v>3.4104002183863946E-2</v>
      </c>
      <c r="AE72" s="145">
        <f t="shared" si="13"/>
        <v>-0.85420115848014144</v>
      </c>
      <c r="AF72" s="145">
        <f t="shared" si="14"/>
        <v>2.1971106880824974E-4</v>
      </c>
      <c r="AH72" s="181"/>
      <c r="AI72" s="181"/>
      <c r="AJ72" s="182"/>
    </row>
    <row r="73" spans="2:36" x14ac:dyDescent="0.25">
      <c r="B73" s="119"/>
      <c r="C73" s="120"/>
      <c r="D73" s="120"/>
      <c r="E73" s="120"/>
      <c r="F73" s="120"/>
      <c r="G73" s="120"/>
      <c r="H73" s="164">
        <v>0.72899999999999998</v>
      </c>
      <c r="I73" s="126">
        <v>1.61767811713E-2</v>
      </c>
      <c r="J73" s="127">
        <v>2.8321548557940002E-2</v>
      </c>
      <c r="K73" s="127">
        <v>2.0141564484228002E-3</v>
      </c>
      <c r="L73" s="67">
        <v>3.4497992632621217E-2</v>
      </c>
      <c r="N73" s="18">
        <v>-2.122525825234263E-6</v>
      </c>
      <c r="O73" s="18">
        <v>1.5335369008357155E-10</v>
      </c>
      <c r="P73" s="18">
        <v>5.0313054073681245E-8</v>
      </c>
      <c r="Q73" s="28">
        <v>17.569370769873625</v>
      </c>
      <c r="R73" s="61">
        <v>121.30798841519858</v>
      </c>
      <c r="S73" s="58">
        <v>2.1317252080430291E-6</v>
      </c>
      <c r="U73" s="172">
        <v>4.3651424404536052E-2</v>
      </c>
      <c r="V73" s="172">
        <v>3.4497992632621217E-2</v>
      </c>
      <c r="W73" s="173">
        <v>1.4561295660544224E-2</v>
      </c>
      <c r="X73" s="173">
        <f t="shared" si="8"/>
        <v>3.180217633258068E-2</v>
      </c>
      <c r="Y73" s="185">
        <f t="shared" si="9"/>
        <v>2.9862678636351587</v>
      </c>
      <c r="AA73" s="143">
        <f t="shared" si="10"/>
        <v>0.161767811713</v>
      </c>
      <c r="AB73" s="144">
        <f t="shared" si="11"/>
        <v>2.8321548557940002E-2</v>
      </c>
      <c r="AC73" s="144">
        <f t="shared" si="12"/>
        <v>2.0141564484228002E-3</v>
      </c>
      <c r="AD73" s="144">
        <f t="shared" si="15"/>
        <v>3.180217633258068E-2</v>
      </c>
      <c r="AE73" s="145">
        <f t="shared" si="13"/>
        <v>-0.85420115848014144</v>
      </c>
      <c r="AF73" s="145">
        <f t="shared" si="14"/>
        <v>2.1317252080430292E-4</v>
      </c>
      <c r="AH73" s="181"/>
      <c r="AI73" s="181"/>
      <c r="AJ73" s="182"/>
    </row>
    <row r="74" spans="2:36" ht="18.75" x14ac:dyDescent="0.25">
      <c r="B74" s="119"/>
      <c r="C74" s="120"/>
      <c r="D74" s="120"/>
      <c r="E74" s="120"/>
      <c r="F74" s="120"/>
      <c r="G74" s="120"/>
      <c r="H74" s="116" t="s">
        <v>689</v>
      </c>
      <c r="I74" s="126">
        <v>1.6338548982999999E-2</v>
      </c>
      <c r="J74" s="127">
        <v>2.1730512784068002E-2</v>
      </c>
      <c r="K74" s="127">
        <v>1.6816032844247999E-3</v>
      </c>
      <c r="L74" s="67">
        <v>3.1665508627993333E-2</v>
      </c>
      <c r="N74" s="18">
        <v>-2.1022268992185546E-6</v>
      </c>
      <c r="O74" s="18">
        <v>1.4922017457497579E-10</v>
      </c>
      <c r="P74" s="18">
        <v>4.8893304722426312E-8</v>
      </c>
      <c r="Q74" s="28">
        <v>13.082883625049535</v>
      </c>
      <c r="R74" s="61">
        <v>121.66483490763021</v>
      </c>
      <c r="S74" s="58">
        <v>2.1317252080430291E-6</v>
      </c>
      <c r="U74" s="172">
        <v>4.2378397845528673E-2</v>
      </c>
      <c r="V74" s="172">
        <v>3.1665508627993333E-2</v>
      </c>
      <c r="W74" s="173">
        <v>1.2357358351123502E-2</v>
      </c>
      <c r="X74" s="173">
        <f t="shared" si="8"/>
        <v>2.9516693363159711E-2</v>
      </c>
      <c r="Y74" s="185">
        <f t="shared" si="9"/>
        <v>21.438867968661917</v>
      </c>
      <c r="AA74" s="143">
        <f t="shared" si="10"/>
        <v>0.16338548982999998</v>
      </c>
      <c r="AB74" s="144">
        <f t="shared" si="11"/>
        <v>2.1730512784068002E-2</v>
      </c>
      <c r="AC74" s="144">
        <f t="shared" si="12"/>
        <v>1.6816032844247999E-3</v>
      </c>
      <c r="AD74" s="144">
        <f t="shared" si="15"/>
        <v>2.9516693363159711E-2</v>
      </c>
      <c r="AE74" s="145">
        <f t="shared" si="13"/>
        <v>-0.81851650923697861</v>
      </c>
      <c r="AF74" s="145">
        <f t="shared" si="14"/>
        <v>2.1317252080430292E-4</v>
      </c>
      <c r="AH74" s="181"/>
      <c r="AI74" s="181"/>
      <c r="AJ74" s="182"/>
    </row>
    <row r="75" spans="2:36" x14ac:dyDescent="0.25">
      <c r="B75" s="119"/>
      <c r="C75" s="120"/>
      <c r="D75" s="120"/>
      <c r="E75" s="120"/>
      <c r="F75" s="120"/>
      <c r="G75" s="120"/>
      <c r="H75" s="155">
        <v>0.90809677190880689</v>
      </c>
      <c r="I75" s="126">
        <v>1.65019344729E-2</v>
      </c>
      <c r="J75" s="127">
        <v>2.4488783172216002E-2</v>
      </c>
      <c r="K75" s="127">
        <v>1.6886601854364002E-3</v>
      </c>
      <c r="L75" s="67">
        <v>2.8860455397926862E-2</v>
      </c>
      <c r="N75" s="18">
        <v>-2.072861454721724E-6</v>
      </c>
      <c r="O75" s="18">
        <v>1.4324042371768765E-10</v>
      </c>
      <c r="P75" s="18">
        <v>4.6839424101282796E-8</v>
      </c>
      <c r="Q75" s="28">
        <v>7.2803488967781078</v>
      </c>
      <c r="R75" s="61">
        <v>121.66483490763021</v>
      </c>
      <c r="S75" s="58">
        <v>2.0434368139078616E-6</v>
      </c>
      <c r="U75" s="172">
        <v>4.0948228419429418E-2</v>
      </c>
      <c r="V75" s="172">
        <v>2.8860455397926862E-2</v>
      </c>
      <c r="W75" s="173">
        <v>1.0387999091639004E-2</v>
      </c>
      <c r="X75" s="173">
        <f t="shared" si="8"/>
        <v>2.7264284576730538E-2</v>
      </c>
      <c r="Y75" s="185">
        <f t="shared" si="9"/>
        <v>2.70145896565425</v>
      </c>
      <c r="AA75" s="143">
        <f t="shared" si="10"/>
        <v>0.16501934472899998</v>
      </c>
      <c r="AB75" s="144">
        <f t="shared" si="11"/>
        <v>2.4488783172216002E-2</v>
      </c>
      <c r="AC75" s="144">
        <f t="shared" si="12"/>
        <v>1.6886601854364002E-3</v>
      </c>
      <c r="AD75" s="144">
        <f t="shared" si="15"/>
        <v>2.7264284576730538E-2</v>
      </c>
      <c r="AE75" s="145">
        <f t="shared" si="13"/>
        <v>-0.81851650923697861</v>
      </c>
      <c r="AF75" s="145">
        <f t="shared" si="14"/>
        <v>2.0434368139078617E-4</v>
      </c>
      <c r="AH75" s="181"/>
      <c r="AI75" s="181"/>
      <c r="AJ75" s="182"/>
    </row>
    <row r="76" spans="2:36" ht="19.5" x14ac:dyDescent="0.3">
      <c r="B76" s="117" t="s">
        <v>665</v>
      </c>
      <c r="C76" s="117" t="s">
        <v>666</v>
      </c>
      <c r="D76" s="117" t="s">
        <v>690</v>
      </c>
      <c r="E76" s="135"/>
      <c r="F76" s="135"/>
      <c r="H76" s="116" t="s">
        <v>691</v>
      </c>
      <c r="I76" s="126">
        <v>1.66669538176E-2</v>
      </c>
      <c r="J76" s="127">
        <v>2.4863178222036E-2</v>
      </c>
      <c r="K76" s="127">
        <v>1.6377518183136003E-3</v>
      </c>
      <c r="L76" s="67">
        <v>2.6107066693430062E-2</v>
      </c>
      <c r="N76" s="18">
        <v>-2.0396329179806285E-6</v>
      </c>
      <c r="O76" s="18">
        <v>1.364740227839154E-10</v>
      </c>
      <c r="P76" s="18">
        <v>4.4515350726917373E-8</v>
      </c>
      <c r="Q76" s="28">
        <v>5.3340848504449632</v>
      </c>
      <c r="R76" s="61">
        <v>122.37852789249347</v>
      </c>
      <c r="S76" s="58">
        <v>2.0434368139078616E-6</v>
      </c>
      <c r="U76" s="172">
        <v>3.9372635188216681E-2</v>
      </c>
      <c r="V76" s="172">
        <v>2.6107066693430062E-2</v>
      </c>
      <c r="W76" s="173">
        <v>8.657286505123275E-3</v>
      </c>
      <c r="X76" s="173">
        <f t="shared" si="8"/>
        <v>2.506101377005002E-2</v>
      </c>
      <c r="Y76" s="185">
        <f t="shared" si="9"/>
        <v>1.4591921348187162E-2</v>
      </c>
      <c r="AA76" s="143">
        <f t="shared" si="10"/>
        <v>0.166669538176</v>
      </c>
      <c r="AB76" s="144">
        <f t="shared" si="11"/>
        <v>2.4863178222036E-2</v>
      </c>
      <c r="AC76" s="144">
        <f t="shared" si="12"/>
        <v>1.6377518183136003E-3</v>
      </c>
      <c r="AD76" s="144">
        <f t="shared" si="15"/>
        <v>2.506101377005002E-2</v>
      </c>
      <c r="AE76" s="145">
        <f t="shared" si="13"/>
        <v>-0.74714721075065282</v>
      </c>
      <c r="AF76" s="145">
        <f t="shared" si="14"/>
        <v>2.0434368139078617E-4</v>
      </c>
      <c r="AH76" s="181"/>
      <c r="AI76" s="181"/>
      <c r="AJ76" s="182"/>
    </row>
    <row r="77" spans="2:36" x14ac:dyDescent="0.25">
      <c r="B77" s="163">
        <v>86.1</v>
      </c>
      <c r="C77" s="163">
        <v>92.1</v>
      </c>
      <c r="D77" s="163">
        <v>111.16</v>
      </c>
      <c r="E77" s="124"/>
      <c r="F77" s="124"/>
      <c r="H77" s="163">
        <f>H67/F64</f>
        <v>0.64958828138823055</v>
      </c>
      <c r="I77" s="126">
        <v>1.68336233558E-2</v>
      </c>
      <c r="J77" s="127">
        <v>2.2969893470040002E-2</v>
      </c>
      <c r="K77" s="127">
        <v>1.6687869093060001E-3</v>
      </c>
      <c r="L77" s="67">
        <v>2.3428885564780001E-2</v>
      </c>
      <c r="N77" s="18">
        <v>-2.004565175578918E-6</v>
      </c>
      <c r="O77" s="18">
        <v>1.2933310030571428E-10</v>
      </c>
      <c r="P77" s="18">
        <v>4.2062639460997382E-8</v>
      </c>
      <c r="Q77" s="28">
        <v>4.3408052283345979</v>
      </c>
      <c r="R77" s="61">
        <v>122.37852789249347</v>
      </c>
      <c r="S77" s="58">
        <v>1.9264123865273671E-6</v>
      </c>
      <c r="U77" s="172">
        <v>3.7665025766976119E-2</v>
      </c>
      <c r="V77" s="172">
        <v>2.3428885564780001E-2</v>
      </c>
      <c r="W77" s="173">
        <v>7.1653714043418354E-3</v>
      </c>
      <c r="X77" s="173">
        <f t="shared" si="8"/>
        <v>2.292204207521949E-2</v>
      </c>
      <c r="Y77" s="185">
        <f t="shared" si="9"/>
        <v>8.2221886023154788E-4</v>
      </c>
      <c r="AA77" s="143">
        <f t="shared" si="10"/>
        <v>0.16833623355799998</v>
      </c>
      <c r="AB77" s="144">
        <f t="shared" si="11"/>
        <v>2.2969893470040002E-2</v>
      </c>
      <c r="AC77" s="144">
        <f t="shared" si="12"/>
        <v>1.6687869093060001E-3</v>
      </c>
      <c r="AD77" s="144">
        <f t="shared" si="15"/>
        <v>2.292204207521949E-2</v>
      </c>
      <c r="AE77" s="145">
        <f t="shared" si="13"/>
        <v>-0.74714721075065282</v>
      </c>
      <c r="AF77" s="145">
        <f t="shared" si="14"/>
        <v>1.9264123865273672E-4</v>
      </c>
      <c r="AH77" s="181"/>
      <c r="AI77" s="181"/>
      <c r="AJ77" s="182"/>
    </row>
    <row r="78" spans="2:36" ht="19.5" x14ac:dyDescent="0.3">
      <c r="B78" s="117" t="s">
        <v>671</v>
      </c>
      <c r="C78" s="117" t="s">
        <v>672</v>
      </c>
      <c r="D78" s="117" t="s">
        <v>692</v>
      </c>
      <c r="H78" s="151"/>
      <c r="I78" s="126">
        <v>1.7001959589300002E-2</v>
      </c>
      <c r="J78" s="127">
        <v>1.9308731513807999E-2</v>
      </c>
      <c r="K78" s="127">
        <v>1.4073927580943999E-3</v>
      </c>
      <c r="L78" s="67">
        <v>2.0848361460760072E-2</v>
      </c>
      <c r="N78" s="18">
        <v>-1.9685847467294559E-6</v>
      </c>
      <c r="O78" s="18">
        <v>1.220063254536808E-10</v>
      </c>
      <c r="P78" s="18">
        <v>3.9546092995565262E-8</v>
      </c>
      <c r="Q78" s="28">
        <v>3.7483094141109112</v>
      </c>
      <c r="R78" s="61">
        <v>123.09222087735672</v>
      </c>
      <c r="S78" s="58">
        <v>1.9264123865273671E-6</v>
      </c>
      <c r="U78" s="172">
        <v>3.5840392346567725E-2</v>
      </c>
      <c r="V78" s="172">
        <v>2.0848361460760072E-2</v>
      </c>
      <c r="W78" s="173">
        <v>5.9084999536412365E-3</v>
      </c>
      <c r="X78" s="173">
        <f t="shared" si="8"/>
        <v>2.0861403805432277E-2</v>
      </c>
      <c r="Y78" s="185">
        <f t="shared" si="9"/>
        <v>1.2171076206885745</v>
      </c>
      <c r="AA78" s="143">
        <f t="shared" si="10"/>
        <v>0.17001959589300003</v>
      </c>
      <c r="AB78" s="144">
        <f t="shared" si="11"/>
        <v>1.9308731513807999E-2</v>
      </c>
      <c r="AC78" s="144">
        <f t="shared" si="12"/>
        <v>1.4073927580943999E-3</v>
      </c>
      <c r="AD78" s="144">
        <f t="shared" si="15"/>
        <v>2.0861403805432277E-2</v>
      </c>
      <c r="AE78" s="145">
        <f t="shared" si="13"/>
        <v>-0.67577791226432704</v>
      </c>
      <c r="AF78" s="145">
        <f t="shared" si="14"/>
        <v>1.9264123865273672E-4</v>
      </c>
      <c r="AH78" s="181"/>
      <c r="AI78" s="181"/>
      <c r="AJ78" s="182"/>
    </row>
    <row r="79" spans="2:36" x14ac:dyDescent="0.25">
      <c r="B79" s="110">
        <v>11000000000</v>
      </c>
      <c r="C79" s="110">
        <v>51100000000</v>
      </c>
      <c r="D79" s="110">
        <v>11600000000</v>
      </c>
      <c r="H79" s="108"/>
      <c r="I79" s="126">
        <v>1.7171979185200002E-2</v>
      </c>
      <c r="J79" s="127">
        <v>1.6081954007591999E-2</v>
      </c>
      <c r="K79" s="127">
        <v>1.31133625426188E-3</v>
      </c>
      <c r="L79" s="67">
        <v>1.8386446161513276E-2</v>
      </c>
      <c r="N79" s="18">
        <v>-1.9321535119567203E-6</v>
      </c>
      <c r="O79" s="18">
        <v>1.145877519875839E-10</v>
      </c>
      <c r="P79" s="18">
        <v>3.6998016220765337E-8</v>
      </c>
      <c r="Q79" s="28">
        <v>3.3672675337180418</v>
      </c>
      <c r="R79" s="61">
        <v>123.09222087735672</v>
      </c>
      <c r="S79" s="58">
        <v>1.8113232667326854E-6</v>
      </c>
      <c r="U79" s="172">
        <v>3.3915177781415666E-2</v>
      </c>
      <c r="V79" s="172">
        <v>1.8386446161513276E-2</v>
      </c>
      <c r="W79" s="173">
        <v>4.8791236259565348E-3</v>
      </c>
      <c r="X79" s="173">
        <f t="shared" si="8"/>
        <v>1.889179843259969E-2</v>
      </c>
      <c r="Y79" s="185">
        <f t="shared" si="9"/>
        <v>4.5913078430029985</v>
      </c>
      <c r="AA79" s="143">
        <f t="shared" si="10"/>
        <v>0.17171979185200001</v>
      </c>
      <c r="AB79" s="144">
        <f t="shared" si="11"/>
        <v>1.6081954007591999E-2</v>
      </c>
      <c r="AC79" s="144">
        <f t="shared" si="12"/>
        <v>1.31133625426188E-3</v>
      </c>
      <c r="AD79" s="144">
        <f t="shared" si="15"/>
        <v>1.889179843259969E-2</v>
      </c>
      <c r="AE79" s="145">
        <f t="shared" si="13"/>
        <v>-0.67577791226432704</v>
      </c>
      <c r="AF79" s="145">
        <f t="shared" si="14"/>
        <v>1.8113232667326854E-4</v>
      </c>
      <c r="AH79" s="181"/>
      <c r="AI79" s="181"/>
      <c r="AJ79" s="182"/>
    </row>
    <row r="80" spans="2:36" x14ac:dyDescent="0.25">
      <c r="I80" s="126">
        <v>1.7343698977099999E-2</v>
      </c>
      <c r="J80" s="127">
        <v>1.7390932590108002E-2</v>
      </c>
      <c r="K80" s="127">
        <v>1.3308631102800002E-3</v>
      </c>
      <c r="L80" s="67">
        <v>1.6062199663485155E-2</v>
      </c>
      <c r="N80" s="18">
        <v>-1.8955100414185461E-6</v>
      </c>
      <c r="O80" s="18">
        <v>1.0712596047993935E-10</v>
      </c>
      <c r="P80" s="18">
        <v>3.4435095232529613E-8</v>
      </c>
      <c r="Q80" s="28">
        <v>3.1147237315136964</v>
      </c>
      <c r="R80" s="61">
        <v>123.80591386221998</v>
      </c>
      <c r="S80" s="58">
        <v>1.8113232667326854E-6</v>
      </c>
      <c r="U80" s="172">
        <v>3.1907110549883731E-2</v>
      </c>
      <c r="V80" s="172">
        <v>1.6062199663485155E-2</v>
      </c>
      <c r="W80" s="173">
        <v>4.0661050854154694E-3</v>
      </c>
      <c r="X80" s="173">
        <f t="shared" si="8"/>
        <v>1.7024403740567379E-2</v>
      </c>
      <c r="Y80" s="185">
        <f t="shared" si="9"/>
        <v>7.5848946501603426E-2</v>
      </c>
      <c r="AA80" s="143">
        <f t="shared" si="10"/>
        <v>0.173436989771</v>
      </c>
      <c r="AB80" s="144">
        <f t="shared" si="11"/>
        <v>1.7390932590108002E-2</v>
      </c>
      <c r="AC80" s="144">
        <f t="shared" si="12"/>
        <v>1.3308631102800002E-3</v>
      </c>
      <c r="AD80" s="144">
        <f t="shared" si="15"/>
        <v>1.7024403740567379E-2</v>
      </c>
      <c r="AE80" s="145">
        <f t="shared" si="13"/>
        <v>-0.60440861377800137</v>
      </c>
      <c r="AF80" s="145">
        <f t="shared" si="14"/>
        <v>1.8113232667326854E-4</v>
      </c>
      <c r="AH80" s="181"/>
      <c r="AI80" s="181"/>
      <c r="AJ80" s="182"/>
    </row>
    <row r="81" spans="2:36" x14ac:dyDescent="0.25">
      <c r="I81" s="126">
        <v>1.7517135966800001E-2</v>
      </c>
      <c r="J81" s="127">
        <v>1.5286886536020002E-2</v>
      </c>
      <c r="K81" s="127">
        <v>1.2009358136160001E-3</v>
      </c>
      <c r="L81" s="67">
        <v>1.3892417887003804E-2</v>
      </c>
      <c r="N81" s="18">
        <v>-1.8587765923262615E-6</v>
      </c>
      <c r="O81" s="18">
        <v>9.9645846438946616E-11</v>
      </c>
      <c r="P81" s="18">
        <v>3.1865880955982683E-8</v>
      </c>
      <c r="Q81" s="28">
        <v>2.94914075396039</v>
      </c>
      <c r="R81" s="61">
        <v>123.80591386221998</v>
      </c>
      <c r="S81" s="58">
        <v>1.699296435042227E-6</v>
      </c>
      <c r="U81" s="172">
        <v>2.9835008030891921E-2</v>
      </c>
      <c r="V81" s="172">
        <v>1.3892417887003804E-2</v>
      </c>
      <c r="W81" s="173">
        <v>3.4550156632555183E-3</v>
      </c>
      <c r="X81" s="173">
        <f t="shared" si="8"/>
        <v>1.5268714867038761E-2</v>
      </c>
      <c r="Y81" s="185">
        <f t="shared" si="9"/>
        <v>2.2895495213137831E-4</v>
      </c>
      <c r="AA81" s="143">
        <f t="shared" si="10"/>
        <v>0.17517135966800002</v>
      </c>
      <c r="AB81" s="144">
        <f t="shared" si="11"/>
        <v>1.5286886536020002E-2</v>
      </c>
      <c r="AC81" s="144">
        <f t="shared" si="12"/>
        <v>1.2009358136160001E-3</v>
      </c>
      <c r="AD81" s="144">
        <f t="shared" si="15"/>
        <v>1.5268714867038761E-2</v>
      </c>
      <c r="AE81" s="145">
        <f t="shared" si="13"/>
        <v>-0.60440861377800137</v>
      </c>
      <c r="AF81" s="145">
        <f t="shared" si="14"/>
        <v>1.6992964350422271E-4</v>
      </c>
      <c r="AH81" s="181"/>
      <c r="AI81" s="181"/>
      <c r="AJ81" s="182"/>
    </row>
    <row r="82" spans="2:36" x14ac:dyDescent="0.25">
      <c r="I82" s="126">
        <v>1.7692307326500002E-2</v>
      </c>
      <c r="J82" s="127">
        <v>1.24318095360492E-2</v>
      </c>
      <c r="K82" s="127">
        <v>1.02818509829244E-3</v>
      </c>
      <c r="L82" s="67">
        <v>1.1891294459382817E-2</v>
      </c>
      <c r="N82" s="18">
        <v>-1.8220119749800088E-6</v>
      </c>
      <c r="O82" s="18">
        <v>9.2159385536989183E-11</v>
      </c>
      <c r="P82" s="18">
        <v>2.9294486706548655E-8</v>
      </c>
      <c r="Q82" s="28">
        <v>2.8483063579951828</v>
      </c>
      <c r="R82" s="61">
        <v>124.51960684708324</v>
      </c>
      <c r="S82" s="58">
        <v>1.699296435042227E-6</v>
      </c>
      <c r="U82" s="172">
        <v>2.7718548401071939E-2</v>
      </c>
      <c r="V82" s="172">
        <v>1.1891294459382817E-2</v>
      </c>
      <c r="W82" s="173">
        <v>3.0285168787717101E-3</v>
      </c>
      <c r="X82" s="173">
        <f t="shared" si="8"/>
        <v>1.3632413549652321E-2</v>
      </c>
      <c r="Y82" s="185">
        <f t="shared" si="9"/>
        <v>1.36350574211041</v>
      </c>
      <c r="AA82" s="143">
        <f t="shared" si="10"/>
        <v>0.17692307326500001</v>
      </c>
      <c r="AB82" s="144">
        <f t="shared" si="11"/>
        <v>1.24318095360492E-2</v>
      </c>
      <c r="AC82" s="144">
        <f t="shared" si="12"/>
        <v>1.02818509829244E-3</v>
      </c>
      <c r="AD82" s="144">
        <f t="shared" si="15"/>
        <v>1.3632413549652321E-2</v>
      </c>
      <c r="AE82" s="145">
        <f t="shared" si="13"/>
        <v>-0.53303931529167559</v>
      </c>
      <c r="AF82" s="145">
        <f t="shared" si="14"/>
        <v>1.6992964350422271E-4</v>
      </c>
      <c r="AH82" s="181"/>
      <c r="AI82" s="181"/>
      <c r="AJ82" s="182"/>
    </row>
    <row r="83" spans="2:36" x14ac:dyDescent="0.25">
      <c r="I83" s="126">
        <v>1.7869230399799998E-2</v>
      </c>
      <c r="J83" s="127">
        <v>1.2848957988411604E-2</v>
      </c>
      <c r="K83" s="127">
        <v>1.0439643174206402E-3</v>
      </c>
      <c r="L83" s="67">
        <v>1.0070128667079618E-2</v>
      </c>
      <c r="N83" s="18">
        <v>-1.785240165439706E-6</v>
      </c>
      <c r="O83" s="18">
        <v>8.467146007254098E-11</v>
      </c>
      <c r="P83" s="18">
        <v>2.6722589420016585E-8</v>
      </c>
      <c r="Q83" s="28">
        <v>2.800459635306872</v>
      </c>
      <c r="R83" s="61">
        <v>124.51960684708324</v>
      </c>
      <c r="S83" s="58">
        <v>1.591290076464366E-6</v>
      </c>
      <c r="U83" s="172">
        <v>2.5578012485878699E-2</v>
      </c>
      <c r="V83" s="172">
        <v>1.0070128667079618E-2</v>
      </c>
      <c r="W83" s="173">
        <v>2.7668155792065943E-3</v>
      </c>
      <c r="X83" s="173">
        <f t="shared" si="8"/>
        <v>1.2121271349811131E-2</v>
      </c>
      <c r="Y83" s="185">
        <f t="shared" si="9"/>
        <v>0.48586709955166224</v>
      </c>
      <c r="AA83" s="143">
        <f t="shared" si="10"/>
        <v>0.17869230399799998</v>
      </c>
      <c r="AB83" s="144">
        <f t="shared" si="11"/>
        <v>1.2848957988411604E-2</v>
      </c>
      <c r="AC83" s="144">
        <f t="shared" si="12"/>
        <v>1.0439643174206402E-3</v>
      </c>
      <c r="AD83" s="144">
        <f t="shared" si="15"/>
        <v>1.2121271349811131E-2</v>
      </c>
      <c r="AE83" s="145">
        <f t="shared" si="13"/>
        <v>-0.53303931529167559</v>
      </c>
      <c r="AF83" s="145">
        <f t="shared" si="14"/>
        <v>1.5912900764643661E-4</v>
      </c>
      <c r="AH83" s="181"/>
      <c r="AI83" s="181"/>
      <c r="AJ83" s="182"/>
    </row>
    <row r="84" spans="2:36" x14ac:dyDescent="0.25">
      <c r="I84" s="126">
        <v>1.8047922703799998E-2</v>
      </c>
      <c r="J84" s="127">
        <v>1.1055396866302801E-2</v>
      </c>
      <c r="K84" s="127">
        <v>9.1112772577860005E-4</v>
      </c>
      <c r="L84" s="67">
        <v>8.4370908717772905E-3</v>
      </c>
      <c r="N84" s="18">
        <v>-1.7481598386162788E-6</v>
      </c>
      <c r="O84" s="18">
        <v>7.71207105466878E-11</v>
      </c>
      <c r="P84" s="18">
        <v>2.4129113789279101E-8</v>
      </c>
      <c r="Q84" s="28">
        <v>2.8355395320894061</v>
      </c>
      <c r="R84" s="61">
        <v>125.2332998319465</v>
      </c>
      <c r="S84" s="58">
        <v>1.591290076464366E-6</v>
      </c>
      <c r="U84" s="172">
        <v>2.3433997994447044E-2</v>
      </c>
      <c r="V84" s="172">
        <v>8.4370908717772905E-3</v>
      </c>
      <c r="W84" s="173">
        <v>2.6481798669737138E-3</v>
      </c>
      <c r="X84" s="173">
        <f t="shared" si="8"/>
        <v>1.0739089901243835E-2</v>
      </c>
      <c r="Y84" s="185">
        <f t="shared" si="9"/>
        <v>0.12051996179252347</v>
      </c>
      <c r="AA84" s="143">
        <f t="shared" si="10"/>
        <v>0.18047922703799998</v>
      </c>
      <c r="AB84" s="144">
        <f t="shared" si="11"/>
        <v>1.1055396866302801E-2</v>
      </c>
      <c r="AC84" s="144">
        <f t="shared" si="12"/>
        <v>9.1112772577860005E-4</v>
      </c>
      <c r="AD84" s="144">
        <f t="shared" si="15"/>
        <v>1.0739089901243835E-2</v>
      </c>
      <c r="AE84" s="145">
        <f t="shared" si="13"/>
        <v>-0.4616700168053498</v>
      </c>
      <c r="AF84" s="145">
        <f t="shared" si="14"/>
        <v>1.5912900764643661E-4</v>
      </c>
      <c r="AH84" s="181"/>
      <c r="AI84" s="181"/>
      <c r="AJ84" s="182"/>
    </row>
    <row r="85" spans="2:36" x14ac:dyDescent="0.25">
      <c r="I85" s="126">
        <v>1.8228401930800001E-2</v>
      </c>
      <c r="J85" s="127">
        <v>8.7616160313132001E-3</v>
      </c>
      <c r="K85" s="127">
        <v>8.1416714221391997E-4</v>
      </c>
      <c r="L85" s="67">
        <v>6.9970554162974491E-3</v>
      </c>
      <c r="N85" s="18">
        <v>-1.6928696152854648E-6</v>
      </c>
      <c r="O85" s="18">
        <v>6.5861839243113075E-11</v>
      </c>
      <c r="P85" s="18">
        <v>2.026199990138579E-8</v>
      </c>
      <c r="Q85" s="28">
        <v>5.6710790641788122</v>
      </c>
      <c r="R85" s="61">
        <v>125.2332998319465</v>
      </c>
      <c r="S85" s="58">
        <v>1.4880609906633019E-6</v>
      </c>
      <c r="U85" s="172">
        <v>2.1307109866767988E-2</v>
      </c>
      <c r="V85" s="172">
        <v>6.9970554162974491E-3</v>
      </c>
      <c r="W85" s="173">
        <v>2.6495011771107179E-3</v>
      </c>
      <c r="X85" s="173">
        <f t="shared" si="8"/>
        <v>9.4876804691184022E-3</v>
      </c>
      <c r="Y85" s="185">
        <f t="shared" si="9"/>
        <v>0.79528572825262034</v>
      </c>
      <c r="AA85" s="143">
        <f t="shared" si="10"/>
        <v>0.18228401930800001</v>
      </c>
      <c r="AB85" s="144">
        <f t="shared" si="11"/>
        <v>8.7616160313132001E-3</v>
      </c>
      <c r="AC85" s="144">
        <f t="shared" si="12"/>
        <v>8.1416714221391997E-4</v>
      </c>
      <c r="AD85" s="144">
        <f t="shared" si="15"/>
        <v>9.4876804691184022E-3</v>
      </c>
      <c r="AE85" s="145">
        <f t="shared" si="13"/>
        <v>-0.4616700168053498</v>
      </c>
      <c r="AF85" s="145">
        <f t="shared" si="14"/>
        <v>1.488060990663302E-4</v>
      </c>
      <c r="AH85" s="181"/>
      <c r="AI85" s="181"/>
      <c r="AJ85" s="182"/>
    </row>
    <row r="86" spans="2:36" x14ac:dyDescent="0.25">
      <c r="I86" s="126">
        <v>1.8410685950100002E-2</v>
      </c>
      <c r="J86" s="127">
        <v>6.774361471218E-3</v>
      </c>
      <c r="K86" s="127">
        <v>7.0820058224387993E-4</v>
      </c>
      <c r="L86" s="67">
        <v>5.7515091644979241E-3</v>
      </c>
      <c r="N86" s="18">
        <v>-1.623752823906694E-6</v>
      </c>
      <c r="O86" s="18">
        <v>5.178743309731771E-11</v>
      </c>
      <c r="P86" s="18">
        <v>1.5427826918790692E-8</v>
      </c>
      <c r="Q86" s="28">
        <v>5.6710790641788122</v>
      </c>
      <c r="R86" s="61">
        <v>125.94699281680975</v>
      </c>
      <c r="S86" s="58">
        <v>1.4880609906633019E-6</v>
      </c>
      <c r="U86" s="172">
        <v>1.9217631748343515E-2</v>
      </c>
      <c r="V86" s="172">
        <v>5.7515091644979241E-3</v>
      </c>
      <c r="W86" s="173">
        <v>2.7468866451761699E-3</v>
      </c>
      <c r="X86" s="173">
        <f t="shared" si="8"/>
        <v>8.3668841806288832E-3</v>
      </c>
      <c r="Y86" s="185">
        <f t="shared" si="9"/>
        <v>5.0566012682234982</v>
      </c>
      <c r="AA86" s="143">
        <f t="shared" si="10"/>
        <v>0.18410685950100003</v>
      </c>
      <c r="AB86" s="144">
        <f t="shared" si="11"/>
        <v>6.774361471218E-3</v>
      </c>
      <c r="AC86" s="144">
        <f t="shared" si="12"/>
        <v>7.0820058224387993E-4</v>
      </c>
      <c r="AD86" s="144">
        <f t="shared" si="15"/>
        <v>8.3668841806288832E-3</v>
      </c>
      <c r="AE86" s="145">
        <f t="shared" si="13"/>
        <v>-0.39030071831902402</v>
      </c>
      <c r="AF86" s="145">
        <f t="shared" si="14"/>
        <v>1.488060990663302E-4</v>
      </c>
      <c r="AH86" s="181"/>
      <c r="AI86" s="181"/>
      <c r="AJ86" s="182"/>
    </row>
    <row r="87" spans="2:36" x14ac:dyDescent="0.25">
      <c r="I87" s="126">
        <v>1.85947928096E-2</v>
      </c>
      <c r="J87" s="127">
        <v>8.1528966593184017E-3</v>
      </c>
      <c r="K87" s="127">
        <v>7.6049687546316013E-4</v>
      </c>
      <c r="L87" s="67">
        <v>4.6985415054221534E-3</v>
      </c>
      <c r="N87" s="18">
        <v>-1.5634315771189237E-6</v>
      </c>
      <c r="O87" s="18">
        <v>3.9504083283532799E-11</v>
      </c>
      <c r="P87" s="18">
        <v>1.1208832725326771E-8</v>
      </c>
      <c r="Q87" s="28">
        <v>5.6710790641788122</v>
      </c>
      <c r="R87" s="61">
        <v>125.94699281680975</v>
      </c>
      <c r="S87" s="58">
        <v>1.3901448512466422E-6</v>
      </c>
      <c r="U87" s="172">
        <v>1.7185184917578273E-2</v>
      </c>
      <c r="V87" s="172">
        <v>4.6985415054221534E-3</v>
      </c>
      <c r="W87" s="173">
        <v>2.9162652866948678E-3</v>
      </c>
      <c r="X87" s="173">
        <f t="shared" si="8"/>
        <v>7.3746333037793621E-3</v>
      </c>
      <c r="Y87" s="185">
        <f t="shared" si="9"/>
        <v>1.0472691157940248</v>
      </c>
      <c r="AA87" s="143">
        <f t="shared" si="10"/>
        <v>0.185947928096</v>
      </c>
      <c r="AB87" s="144">
        <f t="shared" si="11"/>
        <v>8.1528966593184017E-3</v>
      </c>
      <c r="AC87" s="144">
        <f t="shared" si="12"/>
        <v>7.6049687546316013E-4</v>
      </c>
      <c r="AD87" s="144">
        <f t="shared" si="15"/>
        <v>7.3746333037793621E-3</v>
      </c>
      <c r="AE87" s="145">
        <f t="shared" si="13"/>
        <v>-0.39030071831902402</v>
      </c>
      <c r="AF87" s="145">
        <f t="shared" si="14"/>
        <v>1.3901448512466423E-4</v>
      </c>
      <c r="AH87" s="181"/>
      <c r="AI87" s="181"/>
      <c r="AJ87" s="182"/>
    </row>
    <row r="88" spans="2:36" x14ac:dyDescent="0.25">
      <c r="B88" s="42"/>
      <c r="C88" s="42"/>
      <c r="D88" s="20"/>
      <c r="E88" s="20"/>
      <c r="F88" s="43"/>
      <c r="G88" s="43"/>
      <c r="I88" s="126">
        <v>1.8780740737699999E-2</v>
      </c>
      <c r="J88" s="127">
        <v>6.0667477582271997E-3</v>
      </c>
      <c r="K88" s="127">
        <v>6.3170741330928004E-4</v>
      </c>
      <c r="L88" s="67">
        <v>3.8329189700200056E-3</v>
      </c>
      <c r="N88" s="18">
        <v>-1.5142506697512303E-6</v>
      </c>
      <c r="O88" s="18">
        <v>2.9489265594465983E-11</v>
      </c>
      <c r="P88" s="18">
        <v>7.7690171766923835E-9</v>
      </c>
      <c r="Q88" s="28">
        <v>5.6710790641788122</v>
      </c>
      <c r="R88" s="61">
        <v>126.66068580167301</v>
      </c>
      <c r="S88" s="58">
        <v>1.3901448512466422E-6</v>
      </c>
      <c r="U88" s="172">
        <v>1.5228382205376787E-2</v>
      </c>
      <c r="V88" s="172">
        <v>3.8329189700200056E-3</v>
      </c>
      <c r="W88" s="173">
        <v>3.1339914295205806E-3</v>
      </c>
      <c r="X88" s="173">
        <f t="shared" si="8"/>
        <v>6.5070528937343445E-3</v>
      </c>
      <c r="Y88" s="185">
        <f t="shared" si="9"/>
        <v>0.48582018466039945</v>
      </c>
      <c r="AA88" s="143">
        <f t="shared" si="10"/>
        <v>0.187807407377</v>
      </c>
      <c r="AB88" s="144">
        <f t="shared" si="11"/>
        <v>6.0667477582271997E-3</v>
      </c>
      <c r="AC88" s="144">
        <f t="shared" si="12"/>
        <v>6.3170741330928004E-4</v>
      </c>
      <c r="AD88" s="144">
        <f t="shared" si="15"/>
        <v>6.5070528937343445E-3</v>
      </c>
      <c r="AE88" s="145">
        <f t="shared" si="13"/>
        <v>-0.31893141983269829</v>
      </c>
      <c r="AF88" s="145">
        <f t="shared" si="14"/>
        <v>1.3901448512466423E-4</v>
      </c>
      <c r="AH88" s="181"/>
      <c r="AI88" s="181"/>
      <c r="AJ88" s="182"/>
    </row>
    <row r="89" spans="2:36" x14ac:dyDescent="0.25">
      <c r="I89" s="126">
        <v>1.89685481451E-2</v>
      </c>
      <c r="J89" s="127">
        <v>5.4934680057708001E-3</v>
      </c>
      <c r="K89" s="127">
        <v>6.1768899622452E-4</v>
      </c>
      <c r="L89" s="67">
        <v>3.1462447206356899E-3</v>
      </c>
      <c r="N89" s="18">
        <v>-1.4767920500980275E-6</v>
      </c>
      <c r="O89" s="18">
        <v>2.1861483457259009E-11</v>
      </c>
      <c r="P89" s="18">
        <v>5.1490829540450334E-9</v>
      </c>
      <c r="Q89" s="28">
        <v>5.6710790641788122</v>
      </c>
      <c r="R89" s="61">
        <v>126.66068580167301</v>
      </c>
      <c r="S89" s="58">
        <v>1.2978501401584065E-6</v>
      </c>
      <c r="U89" s="172">
        <v>1.3364485524592641E-2</v>
      </c>
      <c r="V89" s="172">
        <v>3.1462447206356899E-3</v>
      </c>
      <c r="W89" s="173">
        <v>3.3774292179145639E-3</v>
      </c>
      <c r="X89" s="173">
        <f t="shared" si="8"/>
        <v>5.758601045944646E-3</v>
      </c>
      <c r="Y89" s="185">
        <f t="shared" si="9"/>
        <v>0.18424171775130602</v>
      </c>
      <c r="AA89" s="143">
        <f t="shared" si="10"/>
        <v>0.189685481451</v>
      </c>
      <c r="AB89" s="144">
        <f t="shared" si="11"/>
        <v>5.4934680057708001E-3</v>
      </c>
      <c r="AC89" s="144">
        <f t="shared" si="12"/>
        <v>6.1768899622452E-4</v>
      </c>
      <c r="AD89" s="144">
        <f t="shared" si="15"/>
        <v>5.758601045944646E-3</v>
      </c>
      <c r="AE89" s="145">
        <f t="shared" si="13"/>
        <v>-0.31893141983269829</v>
      </c>
      <c r="AF89" s="145">
        <f t="shared" si="14"/>
        <v>1.2978501401584064E-4</v>
      </c>
      <c r="AH89" s="181"/>
      <c r="AI89" s="181"/>
      <c r="AJ89" s="182"/>
    </row>
    <row r="90" spans="2:36" x14ac:dyDescent="0.25">
      <c r="I90" s="126">
        <v>1.9158233626600001E-2</v>
      </c>
      <c r="J90" s="127">
        <v>4.5701707102524004E-3</v>
      </c>
      <c r="K90" s="127">
        <v>5.6350678162680004E-4</v>
      </c>
      <c r="L90" s="67">
        <v>2.6272002017824546E-3</v>
      </c>
      <c r="N90" s="18">
        <v>-1.4501430134413062E-6</v>
      </c>
      <c r="O90" s="18">
        <v>1.6434880777666367E-11</v>
      </c>
      <c r="P90" s="18">
        <v>3.2851935800125886E-9</v>
      </c>
      <c r="Q90" s="28">
        <v>5.6710790641788122</v>
      </c>
      <c r="R90" s="61">
        <v>127.37437878653627</v>
      </c>
      <c r="S90" s="58">
        <v>1.2978501401584065E-6</v>
      </c>
      <c r="U90" s="172">
        <v>1.1609076447792311E-2</v>
      </c>
      <c r="V90" s="172">
        <v>2.6272002017824546E-3</v>
      </c>
      <c r="W90" s="173">
        <v>3.6255027431440095E-3</v>
      </c>
      <c r="X90" s="173">
        <f t="shared" si="8"/>
        <v>5.1222448986253076E-3</v>
      </c>
      <c r="Y90" s="185">
        <f t="shared" si="9"/>
        <v>0.95983501992858522</v>
      </c>
      <c r="AA90" s="143">
        <f t="shared" si="10"/>
        <v>0.19158233626600002</v>
      </c>
      <c r="AB90" s="144">
        <f t="shared" si="11"/>
        <v>4.5701707102524004E-3</v>
      </c>
      <c r="AC90" s="144">
        <f t="shared" si="12"/>
        <v>5.6350678162680004E-4</v>
      </c>
      <c r="AD90" s="144">
        <f t="shared" si="15"/>
        <v>5.1222448986253076E-3</v>
      </c>
      <c r="AE90" s="145">
        <f t="shared" si="13"/>
        <v>-0.24756212134637251</v>
      </c>
      <c r="AF90" s="145">
        <f t="shared" si="14"/>
        <v>1.2978501401584064E-4</v>
      </c>
      <c r="AH90" s="181"/>
      <c r="AI90" s="181"/>
      <c r="AJ90" s="182"/>
    </row>
    <row r="91" spans="2:36" x14ac:dyDescent="0.25">
      <c r="I91" s="126">
        <v>1.9349815962799999E-2</v>
      </c>
      <c r="J91" s="127">
        <v>3.2884928278092002E-3</v>
      </c>
      <c r="K91" s="127">
        <v>4.9145195980056006E-4</v>
      </c>
      <c r="L91" s="67">
        <v>2.2618633552957614E-3</v>
      </c>
      <c r="N91" s="18">
        <v>-1.4324442470274379E-6</v>
      </c>
      <c r="O91" s="18">
        <v>1.283084155913204E-11</v>
      </c>
      <c r="P91" s="18">
        <v>2.047304830890718E-9</v>
      </c>
      <c r="Q91" s="28">
        <v>5.6710790641788122</v>
      </c>
      <c r="R91" s="61">
        <v>127.37437878653627</v>
      </c>
      <c r="S91" s="58">
        <v>1.2112655416764445E-6</v>
      </c>
      <c r="U91" s="172">
        <v>9.9757497840488665E-3</v>
      </c>
      <c r="V91" s="172">
        <v>2.2618633552957614E-3</v>
      </c>
      <c r="W91" s="173">
        <v>3.8591973507220664E-3</v>
      </c>
      <c r="X91" s="173">
        <f t="shared" si="8"/>
        <v>4.589668461340614E-3</v>
      </c>
      <c r="Y91" s="185">
        <f t="shared" si="9"/>
        <v>7.0098657591104194</v>
      </c>
      <c r="AA91" s="143">
        <f t="shared" si="10"/>
        <v>0.19349815962799999</v>
      </c>
      <c r="AB91" s="144">
        <f t="shared" si="11"/>
        <v>3.2884928278092002E-3</v>
      </c>
      <c r="AC91" s="144">
        <f t="shared" si="12"/>
        <v>4.9145195980056006E-4</v>
      </c>
      <c r="AD91" s="144">
        <f t="shared" si="15"/>
        <v>4.589668461340614E-3</v>
      </c>
      <c r="AE91" s="145">
        <f t="shared" si="13"/>
        <v>-0.24756212134637251</v>
      </c>
      <c r="AF91" s="145">
        <f t="shared" si="14"/>
        <v>1.2112655416764445E-4</v>
      </c>
      <c r="AH91" s="181"/>
      <c r="AI91" s="181"/>
      <c r="AJ91" s="182"/>
    </row>
    <row r="92" spans="2:36" x14ac:dyDescent="0.25">
      <c r="I92" s="126">
        <v>1.9543314122399999E-2</v>
      </c>
      <c r="J92" s="127">
        <v>2.8052076819491999E-3</v>
      </c>
      <c r="K92" s="127">
        <v>4.3108271229804E-4</v>
      </c>
      <c r="L92" s="67">
        <v>2.0340951375919228E-3</v>
      </c>
      <c r="N92" s="18">
        <v>-1.4214983013104339E-6</v>
      </c>
      <c r="O92" s="18">
        <v>1.060189425706933E-11</v>
      </c>
      <c r="P92" s="18">
        <v>1.2817224883292322E-9</v>
      </c>
      <c r="Q92" s="28">
        <v>5.6710790641788122</v>
      </c>
      <c r="R92" s="61">
        <v>128.08807177139954</v>
      </c>
      <c r="S92" s="58">
        <v>1.2112655416764445E-6</v>
      </c>
      <c r="U92" s="172">
        <v>8.4758402302223673E-3</v>
      </c>
      <c r="V92" s="172">
        <v>2.0340951375919228E-3</v>
      </c>
      <c r="W92" s="173">
        <v>4.0619988433879799E-3</v>
      </c>
      <c r="X92" s="173">
        <f t="shared" si="8"/>
        <v>4.1515073371985482E-3</v>
      </c>
      <c r="Y92" s="185">
        <f t="shared" si="9"/>
        <v>9.7535396940983095</v>
      </c>
      <c r="AA92" s="143">
        <f t="shared" si="10"/>
        <v>0.19543314122399999</v>
      </c>
      <c r="AB92" s="144">
        <f t="shared" si="11"/>
        <v>2.8052076819491999E-3</v>
      </c>
      <c r="AC92" s="144">
        <f t="shared" si="12"/>
        <v>4.3108271229804E-4</v>
      </c>
      <c r="AD92" s="144">
        <f t="shared" si="15"/>
        <v>4.1515073371985482E-3</v>
      </c>
      <c r="AE92" s="145">
        <f t="shared" si="13"/>
        <v>-0.17619282286004534</v>
      </c>
      <c r="AF92" s="145">
        <f t="shared" si="14"/>
        <v>1.2112655416764445E-4</v>
      </c>
      <c r="AH92" s="181"/>
      <c r="AI92" s="181"/>
      <c r="AJ92" s="182"/>
    </row>
    <row r="93" spans="2:36" x14ac:dyDescent="0.25">
      <c r="I93" s="126">
        <v>1.97387472637E-2</v>
      </c>
      <c r="J93" s="127">
        <v>2.9473204784232002E-3</v>
      </c>
      <c r="K93" s="127">
        <v>3.8416162091735995E-4</v>
      </c>
      <c r="L93" s="67">
        <v>1.9259837559821877E-3</v>
      </c>
      <c r="N93" s="18">
        <v>-1.4152653245632896E-6</v>
      </c>
      <c r="O93" s="18">
        <v>9.3326593217284033E-12</v>
      </c>
      <c r="P93" s="18">
        <v>8.4577505513511845E-10</v>
      </c>
      <c r="Q93" s="28">
        <v>5.6710790641788122</v>
      </c>
      <c r="R93" s="61">
        <v>128.08807177139954</v>
      </c>
      <c r="S93" s="58">
        <v>1.1302795901439154E-6</v>
      </c>
      <c r="U93" s="172">
        <v>7.118191891524045E-3</v>
      </c>
      <c r="V93" s="172">
        <v>1.9259837559821877E-3</v>
      </c>
      <c r="W93" s="173">
        <v>4.2202585778217325E-3</v>
      </c>
      <c r="X93" s="173">
        <f t="shared" si="8"/>
        <v>3.7976044953275381E-3</v>
      </c>
      <c r="Y93" s="185">
        <f t="shared" si="9"/>
        <v>4.8989169923825289</v>
      </c>
      <c r="AA93" s="143">
        <f t="shared" si="10"/>
        <v>0.19738747263700002</v>
      </c>
      <c r="AB93" s="144">
        <f t="shared" si="11"/>
        <v>2.9473204784232002E-3</v>
      </c>
      <c r="AC93" s="144">
        <f t="shared" si="12"/>
        <v>3.8416162091735995E-4</v>
      </c>
      <c r="AD93" s="144">
        <f t="shared" si="15"/>
        <v>3.7976044953275381E-3</v>
      </c>
      <c r="AE93" s="145">
        <f t="shared" si="13"/>
        <v>-0.17619282286004534</v>
      </c>
      <c r="AF93" s="145">
        <f t="shared" si="14"/>
        <v>1.1302795901439154E-4</v>
      </c>
      <c r="AH93" s="181"/>
      <c r="AI93" s="181"/>
      <c r="AJ93" s="182"/>
    </row>
    <row r="94" spans="2:36" x14ac:dyDescent="0.25">
      <c r="I94" s="126">
        <v>1.9936134736300001E-2</v>
      </c>
      <c r="J94" s="127">
        <v>3.0422443781267998E-3</v>
      </c>
      <c r="K94" s="127">
        <v>4.3525115406696003E-4</v>
      </c>
      <c r="L94" s="67">
        <v>1.918334135920678E-3</v>
      </c>
      <c r="N94" s="18">
        <v>-1.4121714275592724E-6</v>
      </c>
      <c r="O94" s="18">
        <v>8.7026421849495019E-12</v>
      </c>
      <c r="P94" s="18">
        <v>6.2938142618628059E-10</v>
      </c>
      <c r="Q94" s="28">
        <v>5.6710790641788122</v>
      </c>
      <c r="R94" s="61">
        <v>128.8017647562628</v>
      </c>
      <c r="S94" s="58">
        <v>1.1302795901439154E-6</v>
      </c>
      <c r="U94" s="172">
        <v>5.9089796886688207E-3</v>
      </c>
      <c r="V94" s="172">
        <v>1.918334135920678E-3</v>
      </c>
      <c r="W94" s="173">
        <v>4.3234738278109149E-3</v>
      </c>
      <c r="X94" s="173">
        <f t="shared" si="8"/>
        <v>3.5172804470802728E-3</v>
      </c>
      <c r="Y94" s="185">
        <f t="shared" si="9"/>
        <v>1.1911688015663997</v>
      </c>
      <c r="AA94" s="143">
        <f t="shared" si="10"/>
        <v>0.19936134736300001</v>
      </c>
      <c r="AB94" s="144">
        <f t="shared" si="11"/>
        <v>3.0422443781267998E-3</v>
      </c>
      <c r="AC94" s="144">
        <f t="shared" si="12"/>
        <v>4.3525115406696003E-4</v>
      </c>
      <c r="AD94" s="144">
        <f t="shared" si="15"/>
        <v>3.5172804470802728E-3</v>
      </c>
      <c r="AE94" s="145">
        <f t="shared" si="13"/>
        <v>-0.10482352437371958</v>
      </c>
      <c r="AF94" s="145">
        <f t="shared" si="14"/>
        <v>1.1302795901439154E-4</v>
      </c>
      <c r="AH94" s="181"/>
      <c r="AI94" s="181"/>
      <c r="AJ94" s="182"/>
    </row>
    <row r="95" spans="2:36" x14ac:dyDescent="0.25">
      <c r="I95" s="126">
        <v>2.0135496083700001E-2</v>
      </c>
      <c r="J95" s="127">
        <v>2.4969508374096004E-3</v>
      </c>
      <c r="K95" s="127">
        <v>3.5750132071236002E-4</v>
      </c>
      <c r="L95" s="67">
        <v>1.9911887159335048E-3</v>
      </c>
      <c r="N95" s="18">
        <v>-1.4112481877968637E-6</v>
      </c>
      <c r="O95" s="18">
        <v>8.5146408161521993E-12</v>
      </c>
      <c r="P95" s="18">
        <v>5.6480810576932488E-10</v>
      </c>
      <c r="Q95" s="28">
        <v>5.6710790641788122</v>
      </c>
      <c r="R95" s="61">
        <v>128.8017647562628</v>
      </c>
      <c r="S95" s="58">
        <v>1.0546105179134198E-6</v>
      </c>
      <c r="U95" s="172">
        <v>4.8515904753602514E-3</v>
      </c>
      <c r="V95" s="172">
        <v>1.9911887159335048E-3</v>
      </c>
      <c r="W95" s="173">
        <v>4.3644742603681768E-3</v>
      </c>
      <c r="X95" s="173">
        <f t="shared" si="8"/>
        <v>3.2996105418988592E-3</v>
      </c>
      <c r="Y95" s="185">
        <f t="shared" si="9"/>
        <v>5.0408946435570305</v>
      </c>
      <c r="AA95" s="143">
        <f t="shared" si="10"/>
        <v>0.201354960837</v>
      </c>
      <c r="AB95" s="144">
        <f t="shared" si="11"/>
        <v>2.4969508374096004E-3</v>
      </c>
      <c r="AC95" s="144">
        <f t="shared" si="12"/>
        <v>3.5750132071236002E-4</v>
      </c>
      <c r="AD95" s="144">
        <f t="shared" si="15"/>
        <v>3.2996105418988592E-3</v>
      </c>
      <c r="AE95" s="145">
        <f t="shared" si="13"/>
        <v>-0.10482352437371958</v>
      </c>
      <c r="AF95" s="145">
        <f t="shared" si="14"/>
        <v>1.0546105179134198E-4</v>
      </c>
      <c r="AH95" s="181"/>
      <c r="AI95" s="181"/>
      <c r="AJ95" s="182"/>
    </row>
    <row r="96" spans="2:36" x14ac:dyDescent="0.25">
      <c r="I96" s="126">
        <v>2.03368510445E-2</v>
      </c>
      <c r="J96" s="127">
        <v>2.5258754990304002E-3</v>
      </c>
      <c r="K96" s="127">
        <v>3.4233556391364005E-4</v>
      </c>
      <c r="L96" s="67">
        <v>2.1243647365840677E-3</v>
      </c>
      <c r="N96" s="18">
        <v>-1.4121714275592724E-6</v>
      </c>
      <c r="O96" s="18">
        <v>8.7026421849495019E-12</v>
      </c>
      <c r="P96" s="18">
        <v>6.2938142618628059E-10</v>
      </c>
      <c r="Q96" s="28">
        <v>5.6710790641788122</v>
      </c>
      <c r="R96" s="61">
        <v>129.51545774112606</v>
      </c>
      <c r="S96" s="58">
        <v>1.0546105179134198E-6</v>
      </c>
      <c r="U96" s="172">
        <v>3.9465700878118055E-3</v>
      </c>
      <c r="V96" s="172">
        <v>2.1243647365840677E-3</v>
      </c>
      <c r="W96" s="173">
        <v>4.3395070049079276E-3</v>
      </c>
      <c r="X96" s="173">
        <f t="shared" si="8"/>
        <v>3.1337016414719671E-3</v>
      </c>
      <c r="Y96" s="185">
        <f t="shared" si="9"/>
        <v>3.1524972236664963</v>
      </c>
      <c r="AA96" s="143">
        <f t="shared" si="10"/>
        <v>0.20336851044500001</v>
      </c>
      <c r="AB96" s="144">
        <f t="shared" si="11"/>
        <v>2.5258754990304002E-3</v>
      </c>
      <c r="AC96" s="144">
        <f t="shared" si="12"/>
        <v>3.4233556391364005E-4</v>
      </c>
      <c r="AD96" s="144">
        <f t="shared" si="15"/>
        <v>3.1337016414719671E-3</v>
      </c>
      <c r="AE96" s="145">
        <f t="shared" si="13"/>
        <v>-3.3454225887393815E-2</v>
      </c>
      <c r="AF96" s="145">
        <f t="shared" si="14"/>
        <v>1.0546105179134198E-4</v>
      </c>
      <c r="AH96" s="181"/>
      <c r="AI96" s="181"/>
      <c r="AJ96" s="182"/>
    </row>
    <row r="97" spans="9:36" x14ac:dyDescent="0.25">
      <c r="I97" s="126">
        <v>2.0540219554899999E-2</v>
      </c>
      <c r="J97" s="127">
        <v>1.9907628844884001E-3</v>
      </c>
      <c r="K97" s="127">
        <v>3.4798129150224002E-4</v>
      </c>
      <c r="L97" s="67">
        <v>2.2979927331343085E-3</v>
      </c>
      <c r="N97" s="18">
        <v>-1.4152653245632896E-6</v>
      </c>
      <c r="O97" s="18">
        <v>9.3326593217284033E-12</v>
      </c>
      <c r="P97" s="18">
        <v>8.4577505513511845E-10</v>
      </c>
      <c r="Q97" s="28">
        <v>5.6710790641788122</v>
      </c>
      <c r="R97" s="61">
        <v>129.51545774112606</v>
      </c>
      <c r="S97" s="58">
        <v>9.8384361635555864E-7</v>
      </c>
      <c r="U97" s="172">
        <v>3.191640538253326E-3</v>
      </c>
      <c r="V97" s="172">
        <v>2.2979927331343085E-3</v>
      </c>
      <c r="W97" s="173">
        <v>4.2482146807348653E-3</v>
      </c>
      <c r="X97" s="173">
        <f t="shared" si="8"/>
        <v>3.0089601713142022E-3</v>
      </c>
      <c r="Y97" s="185">
        <f t="shared" si="9"/>
        <v>8.5615437371483125</v>
      </c>
      <c r="AA97" s="143">
        <f t="shared" si="10"/>
        <v>0.20540219554899999</v>
      </c>
      <c r="AB97" s="144">
        <f t="shared" si="11"/>
        <v>1.9907628844884001E-3</v>
      </c>
      <c r="AC97" s="144">
        <f t="shared" si="12"/>
        <v>3.4798129150224002E-4</v>
      </c>
      <c r="AD97" s="144">
        <f t="shared" si="15"/>
        <v>3.0089601713142022E-3</v>
      </c>
      <c r="AE97" s="145">
        <f t="shared" si="13"/>
        <v>-3.3454225887393815E-2</v>
      </c>
      <c r="AF97" s="145">
        <f t="shared" si="14"/>
        <v>9.8384361635555864E-5</v>
      </c>
      <c r="AH97" s="181"/>
      <c r="AI97" s="181"/>
      <c r="AJ97" s="182"/>
    </row>
    <row r="98" spans="9:36" x14ac:dyDescent="0.25">
      <c r="I98" s="126">
        <v>2.0745621750500001E-2</v>
      </c>
      <c r="J98" s="127">
        <v>2.3396933526648E-3</v>
      </c>
      <c r="K98" s="127">
        <v>3.4237182912768004E-4</v>
      </c>
      <c r="L98" s="67">
        <v>2.4930409157520122E-3</v>
      </c>
      <c r="N98" s="18">
        <v>-1.4214983013104339E-6</v>
      </c>
      <c r="O98" s="18">
        <v>1.060189425706933E-11</v>
      </c>
      <c r="P98" s="18">
        <v>1.2817224883292322E-9</v>
      </c>
      <c r="Q98" s="28">
        <v>5.6710790641788122</v>
      </c>
      <c r="R98" s="61">
        <v>130.22915072598931</v>
      </c>
      <c r="S98" s="58">
        <v>9.8384361635555864E-7</v>
      </c>
      <c r="U98" s="172">
        <v>2.581789345696145E-3</v>
      </c>
      <c r="V98" s="172">
        <v>2.4930409157520122E-3</v>
      </c>
      <c r="W98" s="173">
        <v>4.0935029819673344E-3</v>
      </c>
      <c r="X98" s="173">
        <f t="shared" si="8"/>
        <v>2.9153435397918761E-3</v>
      </c>
      <c r="Y98" s="185">
        <f t="shared" si="9"/>
        <v>2.8269703545140938</v>
      </c>
      <c r="AA98" s="143">
        <f t="shared" si="10"/>
        <v>0.20745621750500001</v>
      </c>
      <c r="AB98" s="144">
        <f t="shared" si="11"/>
        <v>2.3396933526648E-3</v>
      </c>
      <c r="AC98" s="144">
        <f t="shared" si="12"/>
        <v>3.4237182912768004E-4</v>
      </c>
      <c r="AD98" s="144">
        <f t="shared" si="15"/>
        <v>2.9153435397918761E-3</v>
      </c>
      <c r="AE98" s="145">
        <f t="shared" si="13"/>
        <v>3.791507259893194E-2</v>
      </c>
      <c r="AF98" s="145">
        <f t="shared" si="14"/>
        <v>9.8384361635555864E-5</v>
      </c>
      <c r="AH98" s="181"/>
      <c r="AI98" s="181"/>
      <c r="AJ98" s="182"/>
    </row>
    <row r="99" spans="9:36" x14ac:dyDescent="0.25">
      <c r="I99" s="126">
        <v>2.0953077968E-2</v>
      </c>
      <c r="J99" s="127">
        <v>1.7902002484344E-3</v>
      </c>
      <c r="K99" s="127">
        <v>3.0560138313012004E-4</v>
      </c>
      <c r="L99" s="67">
        <v>2.6918104661782468E-3</v>
      </c>
      <c r="N99" s="18">
        <v>-1.4324442470274379E-6</v>
      </c>
      <c r="O99" s="18">
        <v>1.283084155913204E-11</v>
      </c>
      <c r="P99" s="18">
        <v>2.047304830890718E-9</v>
      </c>
      <c r="Q99" s="28">
        <v>5.6710790641788122</v>
      </c>
      <c r="R99" s="61">
        <v>130.22915072598931</v>
      </c>
      <c r="S99" s="58">
        <v>9.1747304771544433E-7</v>
      </c>
      <c r="U99" s="172">
        <v>2.1094305641778384E-3</v>
      </c>
      <c r="V99" s="172">
        <v>2.6918104661782468E-3</v>
      </c>
      <c r="W99" s="173">
        <v>3.8812971217511709E-3</v>
      </c>
      <c r="X99" s="173">
        <f t="shared" si="8"/>
        <v>2.8435871545713755E-3</v>
      </c>
      <c r="Y99" s="185">
        <f t="shared" si="9"/>
        <v>11.881333882333653</v>
      </c>
      <c r="AA99" s="143">
        <f t="shared" si="10"/>
        <v>0.20953077968</v>
      </c>
      <c r="AB99" s="144">
        <f t="shared" si="11"/>
        <v>1.7902002484344E-3</v>
      </c>
      <c r="AC99" s="144">
        <f t="shared" si="12"/>
        <v>3.0560138313012004E-4</v>
      </c>
      <c r="AD99" s="144">
        <f t="shared" si="15"/>
        <v>2.8435871545713755E-3</v>
      </c>
      <c r="AE99" s="145">
        <f t="shared" si="13"/>
        <v>3.791507259893194E-2</v>
      </c>
      <c r="AF99" s="145">
        <f t="shared" si="14"/>
        <v>9.1747304771544428E-5</v>
      </c>
      <c r="AH99" s="181"/>
      <c r="AI99" s="181"/>
      <c r="AJ99" s="182"/>
    </row>
    <row r="100" spans="9:36" x14ac:dyDescent="0.25">
      <c r="I100" s="126">
        <v>2.1162608747699999E-2</v>
      </c>
      <c r="J100" s="127">
        <v>1.9723808868192002E-3</v>
      </c>
      <c r="K100" s="127">
        <v>2.9902513489199999E-4</v>
      </c>
      <c r="L100" s="67">
        <v>2.878387437141792E-3</v>
      </c>
      <c r="N100" s="18">
        <v>-1.4501430134413062E-6</v>
      </c>
      <c r="O100" s="18">
        <v>1.6434880777666367E-11</v>
      </c>
      <c r="P100" s="18">
        <v>3.2851935800125886E-9</v>
      </c>
      <c r="Q100" s="28">
        <v>5.6710790641788122</v>
      </c>
      <c r="R100" s="61">
        <v>130.94284371085257</v>
      </c>
      <c r="S100" s="58">
        <v>9.1747304771544433E-7</v>
      </c>
      <c r="U100" s="172">
        <v>1.7646346026362039E-3</v>
      </c>
      <c r="V100" s="172">
        <v>2.878387437141792E-3</v>
      </c>
      <c r="W100" s="173">
        <v>3.6201896915177578E-3</v>
      </c>
      <c r="X100" s="173">
        <f t="shared" si="8"/>
        <v>2.7853997921093864E-3</v>
      </c>
      <c r="Y100" s="185">
        <f t="shared" si="9"/>
        <v>7.3924074997512017</v>
      </c>
      <c r="AA100" s="143">
        <f t="shared" si="10"/>
        <v>0.21162608747699999</v>
      </c>
      <c r="AB100" s="144">
        <f t="shared" si="11"/>
        <v>1.9723808868192002E-3</v>
      </c>
      <c r="AC100" s="144">
        <f t="shared" si="12"/>
        <v>2.9902513489199999E-4</v>
      </c>
      <c r="AD100" s="144">
        <f t="shared" si="15"/>
        <v>2.7853997921093864E-3</v>
      </c>
      <c r="AE100" s="145">
        <f t="shared" si="13"/>
        <v>0.10928437108525771</v>
      </c>
      <c r="AF100" s="145">
        <f t="shared" si="14"/>
        <v>9.1747304771544428E-5</v>
      </c>
      <c r="AH100" s="181"/>
      <c r="AI100" s="181"/>
      <c r="AJ100" s="182"/>
    </row>
    <row r="101" spans="9:36" x14ac:dyDescent="0.25">
      <c r="I101" s="126">
        <v>2.1374234835199998E-2</v>
      </c>
      <c r="J101" s="127">
        <v>1.5832512603864001E-3</v>
      </c>
      <c r="K101" s="127">
        <v>2.9492624021388003E-4</v>
      </c>
      <c r="L101" s="67">
        <v>3.0390378522661757E-3</v>
      </c>
      <c r="N101" s="18">
        <v>-1.4767920500980275E-6</v>
      </c>
      <c r="O101" s="18">
        <v>2.1861483457259009E-11</v>
      </c>
      <c r="P101" s="18">
        <v>5.1490829540450334E-9</v>
      </c>
      <c r="Q101" s="28">
        <v>5.6710790641788122</v>
      </c>
      <c r="R101" s="61">
        <v>130.94284371085257</v>
      </c>
      <c r="S101" s="58">
        <v>8.5494494425104558E-7</v>
      </c>
      <c r="U101" s="172">
        <v>1.5354215289639169E-3</v>
      </c>
      <c r="V101" s="172">
        <v>3.0390378522661757E-3</v>
      </c>
      <c r="W101" s="173">
        <v>3.32098635014959E-3</v>
      </c>
      <c r="X101" s="173">
        <f t="shared" si="8"/>
        <v>2.7336208959114643E-3</v>
      </c>
      <c r="Y101" s="185">
        <f t="shared" si="9"/>
        <v>15.214160408661911</v>
      </c>
      <c r="AA101" s="143">
        <f t="shared" si="10"/>
        <v>0.21374234835199998</v>
      </c>
      <c r="AB101" s="144">
        <f t="shared" si="11"/>
        <v>1.5832512603864001E-3</v>
      </c>
      <c r="AC101" s="144">
        <f t="shared" si="12"/>
        <v>2.9492624021388003E-4</v>
      </c>
      <c r="AD101" s="144">
        <f t="shared" si="15"/>
        <v>2.7336208959114643E-3</v>
      </c>
      <c r="AE101" s="145">
        <f t="shared" si="13"/>
        <v>0.10928437108525771</v>
      </c>
      <c r="AF101" s="145">
        <f t="shared" si="14"/>
        <v>8.5494494425104555E-5</v>
      </c>
      <c r="AH101" s="181"/>
      <c r="AI101" s="181"/>
      <c r="AJ101" s="182"/>
    </row>
    <row r="102" spans="9:36" x14ac:dyDescent="0.25">
      <c r="I102" s="126">
        <v>2.1587977183500001E-2</v>
      </c>
      <c r="J102" s="127">
        <v>2.1459148369692002E-3</v>
      </c>
      <c r="K102" s="127">
        <v>2.9692400573483996E-4</v>
      </c>
      <c r="L102" s="67">
        <v>3.1625609983720539E-3</v>
      </c>
      <c r="N102" s="18">
        <v>-1.5142506697512303E-6</v>
      </c>
      <c r="O102" s="18">
        <v>2.9489265594465983E-11</v>
      </c>
      <c r="P102" s="18">
        <v>7.7690171766923835E-9</v>
      </c>
      <c r="Q102" s="28">
        <v>5.6710790641788122</v>
      </c>
      <c r="R102" s="61">
        <v>131.65653669571583</v>
      </c>
      <c r="S102" s="58">
        <v>8.5494494425104558E-7</v>
      </c>
      <c r="U102" s="172">
        <v>1.4080127865501756E-3</v>
      </c>
      <c r="V102" s="172">
        <v>3.1625609983720539E-3</v>
      </c>
      <c r="W102" s="173">
        <v>2.9966102236347446E-3</v>
      </c>
      <c r="X102" s="173">
        <f t="shared" si="8"/>
        <v>2.6824362517322573E-3</v>
      </c>
      <c r="Y102" s="185">
        <f t="shared" si="9"/>
        <v>3.2650023669714558</v>
      </c>
      <c r="AA102" s="143">
        <f t="shared" si="10"/>
        <v>0.21587977183500001</v>
      </c>
      <c r="AB102" s="144">
        <f t="shared" si="11"/>
        <v>2.1459148369692002E-3</v>
      </c>
      <c r="AC102" s="144">
        <f t="shared" si="12"/>
        <v>2.9692400573483996E-4</v>
      </c>
      <c r="AD102" s="144">
        <f t="shared" si="15"/>
        <v>2.6824362517322573E-3</v>
      </c>
      <c r="AE102" s="145">
        <f t="shared" si="13"/>
        <v>0.18065366957158346</v>
      </c>
      <c r="AF102" s="145">
        <f t="shared" si="14"/>
        <v>8.5494494425104555E-5</v>
      </c>
      <c r="AH102" s="181"/>
      <c r="AI102" s="181"/>
      <c r="AJ102" s="182"/>
    </row>
    <row r="103" spans="9:36" x14ac:dyDescent="0.25">
      <c r="I103" s="126">
        <v>2.1803856955299999E-2</v>
      </c>
      <c r="J103" s="127">
        <v>2.6327908025892003E-3</v>
      </c>
      <c r="K103" s="127">
        <v>3.2239223294123999E-4</v>
      </c>
      <c r="L103" s="67">
        <v>3.2404971443697993E-3</v>
      </c>
      <c r="N103" s="18">
        <v>-1.5634315771189237E-6</v>
      </c>
      <c r="O103" s="18">
        <v>3.9504083283532799E-11</v>
      </c>
      <c r="P103" s="18">
        <v>1.1208832725326771E-8</v>
      </c>
      <c r="Q103" s="28">
        <v>5.6710790641788122</v>
      </c>
      <c r="R103" s="61">
        <v>131.65653669571583</v>
      </c>
      <c r="S103" s="58">
        <v>7.9569879043196448E-7</v>
      </c>
      <c r="U103" s="172">
        <v>1.3675636856082779E-3</v>
      </c>
      <c r="V103" s="172">
        <v>3.2404971443697993E-3</v>
      </c>
      <c r="W103" s="173">
        <v>2.6596295910122302E-3</v>
      </c>
      <c r="X103" s="173">
        <f t="shared" si="8"/>
        <v>2.6270468913400266E-3</v>
      </c>
      <c r="Y103" s="185">
        <f t="shared" si="9"/>
        <v>3.1742878094321827E-4</v>
      </c>
      <c r="AA103" s="143">
        <f t="shared" si="10"/>
        <v>0.21803856955299999</v>
      </c>
      <c r="AB103" s="144">
        <f t="shared" si="11"/>
        <v>2.6327908025892003E-3</v>
      </c>
      <c r="AC103" s="144">
        <f t="shared" si="12"/>
        <v>3.2239223294123999E-4</v>
      </c>
      <c r="AD103" s="144">
        <f t="shared" si="15"/>
        <v>2.6270468913400266E-3</v>
      </c>
      <c r="AE103" s="145">
        <f t="shared" si="13"/>
        <v>0.18065366957158346</v>
      </c>
      <c r="AF103" s="145">
        <f t="shared" si="14"/>
        <v>7.9569879043196452E-5</v>
      </c>
      <c r="AH103" s="181"/>
      <c r="AI103" s="181"/>
      <c r="AJ103" s="182"/>
    </row>
    <row r="104" spans="9:36" x14ac:dyDescent="0.25">
      <c r="I104" s="126">
        <v>2.2021895524900002E-2</v>
      </c>
      <c r="J104" s="127">
        <v>1.7237588342963999E-3</v>
      </c>
      <c r="K104" s="127">
        <v>2.7613117048440002E-4</v>
      </c>
      <c r="L104" s="67">
        <v>3.2672273660863871E-3</v>
      </c>
      <c r="N104" s="18">
        <v>-1.623752823906694E-6</v>
      </c>
      <c r="O104" s="18">
        <v>5.178743309731771E-11</v>
      </c>
      <c r="P104" s="18">
        <v>1.5427826918790692E-8</v>
      </c>
      <c r="Q104" s="28">
        <v>5.6710790641788122</v>
      </c>
      <c r="R104" s="61">
        <v>132.37022968057909</v>
      </c>
      <c r="S104" s="58">
        <v>7.9569879043196448E-7</v>
      </c>
      <c r="U104" s="172">
        <v>1.3981933638035808E-3</v>
      </c>
      <c r="V104" s="172">
        <v>3.2672273660863871E-3</v>
      </c>
      <c r="W104" s="173">
        <v>2.3244238541203577E-3</v>
      </c>
      <c r="X104" s="173">
        <f t="shared" si="8"/>
        <v>2.5642679875241782E-3</v>
      </c>
      <c r="Y104" s="185">
        <f t="shared" si="9"/>
        <v>9.2651835403715666</v>
      </c>
      <c r="AA104" s="143">
        <f t="shared" si="10"/>
        <v>0.22021895524900001</v>
      </c>
      <c r="AB104" s="144">
        <f t="shared" si="11"/>
        <v>1.7237588342963999E-3</v>
      </c>
      <c r="AC104" s="144">
        <f t="shared" si="12"/>
        <v>2.7613117048440002E-4</v>
      </c>
      <c r="AD104" s="144">
        <f t="shared" si="15"/>
        <v>2.5642679875241782E-3</v>
      </c>
      <c r="AE104" s="145">
        <f t="shared" si="13"/>
        <v>0.25202296805790925</v>
      </c>
      <c r="AF104" s="145">
        <f t="shared" si="14"/>
        <v>7.9569879043196452E-5</v>
      </c>
      <c r="AH104" s="181"/>
      <c r="AI104" s="181"/>
      <c r="AJ104" s="182"/>
    </row>
    <row r="105" spans="9:36" x14ac:dyDescent="0.25">
      <c r="I105" s="126">
        <v>2.2242114480200002E-2</v>
      </c>
      <c r="J105" s="127">
        <v>1.736506786542E-3</v>
      </c>
      <c r="K105" s="127">
        <v>2.6226277750199999E-4</v>
      </c>
      <c r="L105" s="67">
        <v>3.240151146448907E-3</v>
      </c>
      <c r="N105" s="18">
        <v>-1.6928696152854648E-6</v>
      </c>
      <c r="O105" s="18">
        <v>6.5861839243113075E-11</v>
      </c>
      <c r="P105" s="18">
        <v>2.026199990138579E-8</v>
      </c>
      <c r="Q105" s="28">
        <v>5.6710790641788122</v>
      </c>
      <c r="R105" s="61">
        <v>132.37022968057909</v>
      </c>
      <c r="S105" s="58">
        <v>7.3920446716712961E-7</v>
      </c>
      <c r="U105" s="172">
        <v>1.483615973527833E-3</v>
      </c>
      <c r="V105" s="172">
        <v>3.240151146448907E-3</v>
      </c>
      <c r="W105" s="173">
        <v>2.004552293040255E-3</v>
      </c>
      <c r="X105" s="173">
        <f t="shared" si="8"/>
        <v>2.4921176398664756E-3</v>
      </c>
      <c r="Y105" s="185">
        <f t="shared" si="9"/>
        <v>8.300859480979824</v>
      </c>
      <c r="AA105" s="143">
        <f t="shared" si="10"/>
        <v>0.22242114480200001</v>
      </c>
      <c r="AB105" s="144">
        <f t="shared" si="11"/>
        <v>1.736506786542E-3</v>
      </c>
      <c r="AC105" s="144">
        <f t="shared" si="12"/>
        <v>2.6226277750199999E-4</v>
      </c>
      <c r="AD105" s="144">
        <f t="shared" si="15"/>
        <v>2.4921176398664756E-3</v>
      </c>
      <c r="AE105" s="145">
        <f t="shared" si="13"/>
        <v>0.25202296805790925</v>
      </c>
      <c r="AF105" s="145">
        <f t="shared" si="14"/>
        <v>7.3920446716712961E-5</v>
      </c>
      <c r="AH105" s="181"/>
      <c r="AI105" s="181"/>
      <c r="AJ105" s="182"/>
    </row>
    <row r="106" spans="9:36" x14ac:dyDescent="0.25">
      <c r="I106" s="126">
        <v>2.2464535625E-2</v>
      </c>
      <c r="J106" s="127">
        <v>1.8438934066344001E-3</v>
      </c>
      <c r="K106" s="127">
        <v>2.5948714426668001E-4</v>
      </c>
      <c r="L106" s="67">
        <v>3.1595960878514078E-3</v>
      </c>
      <c r="N106" s="18">
        <v>-1.7481598386162788E-6</v>
      </c>
      <c r="O106" s="18">
        <v>7.71207105466878E-11</v>
      </c>
      <c r="P106" s="18">
        <v>2.4129113789279101E-8</v>
      </c>
      <c r="Q106" s="28">
        <v>2.8355395320894061</v>
      </c>
      <c r="R106" s="61">
        <v>133.08392266544234</v>
      </c>
      <c r="S106" s="58">
        <v>7.3920446716712961E-7</v>
      </c>
      <c r="U106" s="172">
        <v>1.6075873163087495E-3</v>
      </c>
      <c r="V106" s="172">
        <v>3.1595960878514078E-3</v>
      </c>
      <c r="W106" s="173">
        <v>1.7125366955675577E-3</v>
      </c>
      <c r="X106" s="173">
        <f t="shared" si="8"/>
        <v>2.4098290468947806E-3</v>
      </c>
      <c r="Y106" s="185">
        <f t="shared" si="9"/>
        <v>4.7566631425437942</v>
      </c>
      <c r="AA106" s="143">
        <f t="shared" si="10"/>
        <v>0.22464535625000001</v>
      </c>
      <c r="AB106" s="144">
        <f t="shared" si="11"/>
        <v>1.8438934066344001E-3</v>
      </c>
      <c r="AC106" s="144">
        <f t="shared" si="12"/>
        <v>2.5948714426668001E-4</v>
      </c>
      <c r="AD106" s="144">
        <f t="shared" si="15"/>
        <v>2.4098290468947806E-3</v>
      </c>
      <c r="AE106" s="145">
        <f t="shared" si="13"/>
        <v>0.32339226654423497</v>
      </c>
      <c r="AF106" s="145">
        <f t="shared" si="14"/>
        <v>7.3920446716712961E-5</v>
      </c>
      <c r="AH106" s="181"/>
      <c r="AI106" s="181"/>
      <c r="AJ106" s="182"/>
    </row>
    <row r="107" spans="9:36" x14ac:dyDescent="0.25">
      <c r="I107" s="126">
        <v>2.2689180981199999E-2</v>
      </c>
      <c r="J107" s="127">
        <v>1.9733447457767998E-3</v>
      </c>
      <c r="K107" s="127">
        <v>2.7012682214892E-4</v>
      </c>
      <c r="L107" s="67">
        <v>3.0286718027080282E-3</v>
      </c>
      <c r="N107" s="18">
        <v>-1.785240165439706E-6</v>
      </c>
      <c r="O107" s="18">
        <v>8.467146007254098E-11</v>
      </c>
      <c r="P107" s="18">
        <v>2.6722589420016585E-8</v>
      </c>
      <c r="Q107" s="28">
        <v>2.800459635306872</v>
      </c>
      <c r="R107" s="61">
        <v>133.08392266544234</v>
      </c>
      <c r="S107" s="58">
        <v>6.8499288992903203E-7</v>
      </c>
      <c r="U107" s="172">
        <v>1.7543633744562597E-3</v>
      </c>
      <c r="V107" s="172">
        <v>3.0286718027080282E-3</v>
      </c>
      <c r="W107" s="173">
        <v>1.4591935316157875E-3</v>
      </c>
      <c r="X107" s="173">
        <f t="shared" si="8"/>
        <v>2.317725127872026E-3</v>
      </c>
      <c r="Y107" s="185">
        <f t="shared" si="9"/>
        <v>1.6253293887101108</v>
      </c>
      <c r="AA107" s="143">
        <f t="shared" si="10"/>
        <v>0.22689180981199999</v>
      </c>
      <c r="AB107" s="144">
        <f t="shared" si="11"/>
        <v>1.9733447457767998E-3</v>
      </c>
      <c r="AC107" s="144">
        <f t="shared" si="12"/>
        <v>2.7012682214892E-4</v>
      </c>
      <c r="AD107" s="144">
        <f t="shared" si="15"/>
        <v>2.317725127872026E-3</v>
      </c>
      <c r="AE107" s="145">
        <f t="shared" si="13"/>
        <v>0.32339226654423497</v>
      </c>
      <c r="AF107" s="145">
        <f t="shared" si="14"/>
        <v>6.8499288992903199E-5</v>
      </c>
      <c r="AH107" s="181"/>
      <c r="AI107" s="181"/>
      <c r="AJ107" s="182"/>
    </row>
    <row r="108" spans="9:36" x14ac:dyDescent="0.25">
      <c r="I108" s="126">
        <v>2.2916072791000001E-2</v>
      </c>
      <c r="J108" s="127">
        <v>1.8960454403880004E-3</v>
      </c>
      <c r="K108" s="127">
        <v>2.7482685308364001E-4</v>
      </c>
      <c r="L108" s="67">
        <v>2.8530200784096715E-3</v>
      </c>
      <c r="N108" s="18">
        <v>-1.8220119749800088E-6</v>
      </c>
      <c r="O108" s="18">
        <v>9.2159385536989183E-11</v>
      </c>
      <c r="P108" s="18">
        <v>2.9294486706548655E-8</v>
      </c>
      <c r="Q108" s="28">
        <v>2.8483063579951828</v>
      </c>
      <c r="R108" s="61">
        <v>133.7976156503056</v>
      </c>
      <c r="S108" s="58">
        <v>6.8499288992903203E-7</v>
      </c>
      <c r="U108" s="172">
        <v>1.9091403459135946E-3</v>
      </c>
      <c r="V108" s="172">
        <v>2.8530200784096715E-3</v>
      </c>
      <c r="W108" s="173">
        <v>1.2530375369264189E-3</v>
      </c>
      <c r="X108" s="173">
        <f t="shared" si="8"/>
        <v>2.2170545099148391E-3</v>
      </c>
      <c r="Y108" s="185">
        <f t="shared" si="9"/>
        <v>1.3643200940937492</v>
      </c>
      <c r="AA108" s="143">
        <f t="shared" si="10"/>
        <v>0.22916072791</v>
      </c>
      <c r="AB108" s="144">
        <f t="shared" si="11"/>
        <v>1.8960454403880004E-3</v>
      </c>
      <c r="AC108" s="144">
        <f t="shared" si="12"/>
        <v>2.7482685308364001E-4</v>
      </c>
      <c r="AD108" s="144">
        <f t="shared" si="15"/>
        <v>2.2170545099148391E-3</v>
      </c>
      <c r="AE108" s="145">
        <f t="shared" si="13"/>
        <v>0.39476156503056076</v>
      </c>
      <c r="AF108" s="145">
        <f t="shared" si="14"/>
        <v>6.8499288992903199E-5</v>
      </c>
      <c r="AH108" s="181"/>
      <c r="AI108" s="181"/>
      <c r="AJ108" s="182"/>
    </row>
    <row r="109" spans="9:36" x14ac:dyDescent="0.25">
      <c r="I109" s="126">
        <v>2.3145233518900001E-2</v>
      </c>
      <c r="J109" s="127">
        <v>1.8656218751544002E-3</v>
      </c>
      <c r="K109" s="127">
        <v>2.4358466210232E-4</v>
      </c>
      <c r="L109" s="67">
        <v>2.6404656756291614E-3</v>
      </c>
      <c r="N109" s="18">
        <v>-1.8587765923262615E-6</v>
      </c>
      <c r="O109" s="18">
        <v>9.9645846438946616E-11</v>
      </c>
      <c r="P109" s="18">
        <v>3.1865880955982683E-8</v>
      </c>
      <c r="Q109" s="28">
        <v>2.94914075396039</v>
      </c>
      <c r="R109" s="61">
        <v>133.7976156503056</v>
      </c>
      <c r="S109" s="58">
        <v>6.3267883140224077E-7</v>
      </c>
      <c r="U109" s="172">
        <v>2.0584624215060519E-3</v>
      </c>
      <c r="V109" s="172">
        <v>2.6404656756291614E-3</v>
      </c>
      <c r="W109" s="173">
        <v>1.0997925359950056E-3</v>
      </c>
      <c r="X109" s="173">
        <f t="shared" si="8"/>
        <v>2.1097965771898451E-3</v>
      </c>
      <c r="Y109" s="185">
        <f t="shared" si="9"/>
        <v>1.0048505070944311</v>
      </c>
      <c r="AA109" s="143">
        <f t="shared" si="10"/>
        <v>0.23145233518899999</v>
      </c>
      <c r="AB109" s="144">
        <f t="shared" si="11"/>
        <v>1.8656218751544002E-3</v>
      </c>
      <c r="AC109" s="144">
        <f t="shared" si="12"/>
        <v>2.4358466210232E-4</v>
      </c>
      <c r="AD109" s="144">
        <f t="shared" si="15"/>
        <v>2.1097965771898451E-3</v>
      </c>
      <c r="AE109" s="145">
        <f t="shared" si="13"/>
        <v>0.39476156503056076</v>
      </c>
      <c r="AF109" s="145">
        <f t="shared" si="14"/>
        <v>6.326788314022408E-5</v>
      </c>
      <c r="AH109" s="181"/>
      <c r="AI109" s="181"/>
      <c r="AJ109" s="182"/>
    </row>
    <row r="110" spans="9:36" x14ac:dyDescent="0.25">
      <c r="I110" s="126">
        <v>2.33766858541E-2</v>
      </c>
      <c r="J110" s="127">
        <v>2.4080437470539997E-3</v>
      </c>
      <c r="K110" s="127">
        <v>2.6762891811084002E-4</v>
      </c>
      <c r="L110" s="67">
        <v>2.4005763128979109E-3</v>
      </c>
      <c r="N110" s="18">
        <v>-1.8955100414185461E-6</v>
      </c>
      <c r="O110" s="18">
        <v>1.0712596047993935E-10</v>
      </c>
      <c r="P110" s="18">
        <v>3.4435095232529613E-8</v>
      </c>
      <c r="Q110" s="28">
        <v>3.1147237315136964</v>
      </c>
      <c r="R110" s="61">
        <v>134.51130863516886</v>
      </c>
      <c r="S110" s="58">
        <v>6.3267883140224077E-7</v>
      </c>
      <c r="U110" s="172">
        <v>2.1905841083426033E-3</v>
      </c>
      <c r="V110" s="172">
        <v>2.4005763128979109E-3</v>
      </c>
      <c r="W110" s="173">
        <v>1.0020429002653994E-3</v>
      </c>
      <c r="X110" s="173">
        <f t="shared" si="8"/>
        <v>1.998444908600956E-3</v>
      </c>
      <c r="Y110" s="185">
        <f t="shared" si="9"/>
        <v>2.3423476639484591</v>
      </c>
      <c r="AA110" s="143">
        <f t="shared" si="10"/>
        <v>0.23376685854099999</v>
      </c>
      <c r="AB110" s="144">
        <f t="shared" si="11"/>
        <v>2.4080437470539997E-3</v>
      </c>
      <c r="AC110" s="144">
        <f t="shared" si="12"/>
        <v>2.6762891811084002E-4</v>
      </c>
      <c r="AD110" s="144">
        <f t="shared" si="15"/>
        <v>1.998444908600956E-3</v>
      </c>
      <c r="AE110" s="145">
        <f t="shared" si="13"/>
        <v>0.46613086351688648</v>
      </c>
      <c r="AF110" s="145">
        <f t="shared" si="14"/>
        <v>6.326788314022408E-5</v>
      </c>
      <c r="AH110" s="181"/>
      <c r="AI110" s="181"/>
      <c r="AJ110" s="182"/>
    </row>
    <row r="111" spans="9:36" x14ac:dyDescent="0.25">
      <c r="I111" s="126">
        <v>2.36104527127E-2</v>
      </c>
      <c r="J111" s="127">
        <v>1.7203712285496001E-3</v>
      </c>
      <c r="K111" s="127">
        <v>2.2605815392380004E-4</v>
      </c>
      <c r="L111" s="67">
        <v>2.1441449888581518E-3</v>
      </c>
      <c r="N111" s="18">
        <v>-1.9321535119567203E-6</v>
      </c>
      <c r="O111" s="18">
        <v>1.1458775198758391E-10</v>
      </c>
      <c r="P111" s="18">
        <v>3.6998016220765344E-8</v>
      </c>
      <c r="Q111" s="28">
        <v>3.3672675337180418</v>
      </c>
      <c r="R111" s="61">
        <v>134.51130863516886</v>
      </c>
      <c r="S111" s="58">
        <v>5.8197521786714605E-7</v>
      </c>
      <c r="U111" s="172">
        <v>2.2957747858513254E-3</v>
      </c>
      <c r="V111" s="172">
        <v>2.1441449888581518E-3</v>
      </c>
      <c r="W111" s="173">
        <v>9.5905402381417078E-4</v>
      </c>
      <c r="X111" s="173">
        <f t="shared" si="8"/>
        <v>1.88577969684545E-3</v>
      </c>
      <c r="Y111" s="185">
        <f t="shared" si="9"/>
        <v>0.53539600560433465</v>
      </c>
      <c r="AA111" s="143">
        <f t="shared" si="10"/>
        <v>0.236104527127</v>
      </c>
      <c r="AB111" s="144">
        <f t="shared" si="11"/>
        <v>1.7203712285496001E-3</v>
      </c>
      <c r="AC111" s="144">
        <f t="shared" si="12"/>
        <v>2.2605815392380004E-4</v>
      </c>
      <c r="AD111" s="144">
        <f t="shared" si="15"/>
        <v>1.88577969684545E-3</v>
      </c>
      <c r="AE111" s="145">
        <f t="shared" si="13"/>
        <v>0.46613086351688648</v>
      </c>
      <c r="AF111" s="145">
        <f t="shared" si="14"/>
        <v>5.8197521786714603E-5</v>
      </c>
      <c r="AH111" s="181"/>
      <c r="AI111" s="181"/>
      <c r="AJ111" s="182"/>
    </row>
    <row r="112" spans="9:36" x14ac:dyDescent="0.25">
      <c r="I112" s="126">
        <v>2.38465572398E-2</v>
      </c>
      <c r="J112" s="127">
        <v>1.6408272558084002E-3</v>
      </c>
      <c r="K112" s="127">
        <v>2.5283720747076003E-4</v>
      </c>
      <c r="L112" s="67">
        <v>1.8826126048344712E-3</v>
      </c>
      <c r="N112" s="18">
        <v>-1.9685847467294559E-6</v>
      </c>
      <c r="O112" s="18">
        <v>1.220063254536808E-10</v>
      </c>
      <c r="P112" s="18">
        <v>3.9546092995565262E-8</v>
      </c>
      <c r="Q112" s="28">
        <v>3.7483094141109112</v>
      </c>
      <c r="R112" s="61">
        <v>135.22500162003212</v>
      </c>
      <c r="S112" s="58">
        <v>5.8197521786714605E-7</v>
      </c>
      <c r="U112" s="172">
        <v>2.3665543859589335E-3</v>
      </c>
      <c r="V112" s="172">
        <v>1.8826126048344712E-3</v>
      </c>
      <c r="W112" s="173">
        <v>9.6678261585507778E-4</v>
      </c>
      <c r="X112" s="173">
        <f t="shared" si="8"/>
        <v>1.7746405528707384E-3</v>
      </c>
      <c r="Y112" s="185">
        <f t="shared" si="9"/>
        <v>0.28010223428705</v>
      </c>
      <c r="AA112" s="143">
        <f t="shared" si="10"/>
        <v>0.23846557239800001</v>
      </c>
      <c r="AB112" s="144">
        <f t="shared" si="11"/>
        <v>1.6408272558084002E-3</v>
      </c>
      <c r="AC112" s="144">
        <f t="shared" si="12"/>
        <v>2.5283720747076003E-4</v>
      </c>
      <c r="AD112" s="144">
        <f t="shared" si="15"/>
        <v>1.7746405528707384E-3</v>
      </c>
      <c r="AE112" s="145">
        <f t="shared" si="13"/>
        <v>0.53750016200321227</v>
      </c>
      <c r="AF112" s="145">
        <f t="shared" si="14"/>
        <v>5.8197521786714603E-5</v>
      </c>
      <c r="AH112" s="181"/>
      <c r="AI112" s="181"/>
      <c r="AJ112" s="182"/>
    </row>
    <row r="113" spans="9:36" x14ac:dyDescent="0.25">
      <c r="I113" s="126">
        <v>2.4085022812199999E-2</v>
      </c>
      <c r="J113" s="127">
        <v>1.5605725170288003E-3</v>
      </c>
      <c r="K113" s="127">
        <v>2.2134252791772003E-4</v>
      </c>
      <c r="L113" s="67">
        <v>1.6274535912262982E-3</v>
      </c>
      <c r="N113" s="18">
        <v>-2.004565175578918E-6</v>
      </c>
      <c r="O113" s="18">
        <v>1.2933310030571428E-10</v>
      </c>
      <c r="P113" s="18">
        <v>4.2062639460997382E-8</v>
      </c>
      <c r="Q113" s="28">
        <v>4.3408052283345979</v>
      </c>
      <c r="R113" s="61">
        <v>135.22500162003212</v>
      </c>
      <c r="S113" s="58">
        <v>5.3269886530183067E-7</v>
      </c>
      <c r="U113" s="172">
        <v>2.3978506312612633E-3</v>
      </c>
      <c r="V113" s="172">
        <v>1.6274535912262982E-3</v>
      </c>
      <c r="W113" s="173">
        <v>1.018087717425801E-3</v>
      </c>
      <c r="X113" s="173">
        <f t="shared" si="8"/>
        <v>1.6677113827849152E-3</v>
      </c>
      <c r="Y113" s="185">
        <f t="shared" si="9"/>
        <v>0.23429572117280195</v>
      </c>
      <c r="AA113" s="143">
        <f t="shared" si="10"/>
        <v>0.24085022812199999</v>
      </c>
      <c r="AB113" s="144">
        <f t="shared" si="11"/>
        <v>1.5605725170288003E-3</v>
      </c>
      <c r="AC113" s="144">
        <f t="shared" si="12"/>
        <v>2.2134252791772003E-4</v>
      </c>
      <c r="AD113" s="144">
        <f t="shared" si="15"/>
        <v>1.6677113827849152E-3</v>
      </c>
      <c r="AE113" s="145">
        <f t="shared" si="13"/>
        <v>0.53750016200321227</v>
      </c>
      <c r="AF113" s="145">
        <f t="shared" si="14"/>
        <v>5.3269886530183066E-5</v>
      </c>
      <c r="AH113" s="181"/>
      <c r="AI113" s="181"/>
      <c r="AJ113" s="182"/>
    </row>
    <row r="114" spans="9:36" x14ac:dyDescent="0.25">
      <c r="I114" s="126">
        <v>2.4325873040300001E-2</v>
      </c>
      <c r="J114" s="127">
        <v>1.5762633813432003E-3</v>
      </c>
      <c r="K114" s="127">
        <v>2.164571924856E-4</v>
      </c>
      <c r="L114" s="67">
        <v>1.3895515436610883E-3</v>
      </c>
      <c r="N114" s="18">
        <v>-2.0396329179806285E-6</v>
      </c>
      <c r="O114" s="18">
        <v>1.364740227839154E-10</v>
      </c>
      <c r="P114" s="18">
        <v>4.4515350726917373E-8</v>
      </c>
      <c r="Q114" s="28">
        <v>5.3340848504449632</v>
      </c>
      <c r="R114" s="61">
        <v>135.93869460489537</v>
      </c>
      <c r="S114" s="58">
        <v>5.3269886530183067E-7</v>
      </c>
      <c r="U114" s="172">
        <v>2.3870701760624097E-3</v>
      </c>
      <c r="V114" s="172">
        <v>1.3895515436610883E-3</v>
      </c>
      <c r="W114" s="173">
        <v>1.1031416374468628E-3</v>
      </c>
      <c r="X114" s="173">
        <f t="shared" si="8"/>
        <v>1.5673287252078623E-3</v>
      </c>
      <c r="Y114" s="185">
        <f t="shared" si="9"/>
        <v>1.7037726517185508E-3</v>
      </c>
      <c r="AA114" s="143">
        <f t="shared" si="10"/>
        <v>0.243258730403</v>
      </c>
      <c r="AB114" s="144">
        <f t="shared" si="11"/>
        <v>1.5762633813432003E-3</v>
      </c>
      <c r="AC114" s="144">
        <f t="shared" si="12"/>
        <v>2.164571924856E-4</v>
      </c>
      <c r="AD114" s="144">
        <f t="shared" si="15"/>
        <v>1.5673287252078623E-3</v>
      </c>
      <c r="AE114" s="145">
        <f t="shared" si="13"/>
        <v>0.60886946048953805</v>
      </c>
      <c r="AF114" s="145">
        <f t="shared" si="14"/>
        <v>5.3269886530183066E-5</v>
      </c>
      <c r="AH114" s="181"/>
      <c r="AI114" s="181"/>
      <c r="AJ114" s="182"/>
    </row>
    <row r="115" spans="9:36" x14ac:dyDescent="0.25">
      <c r="I115" s="126">
        <v>2.4569131770700001E-2</v>
      </c>
      <c r="J115" s="50">
        <v>1.3628713846572001E-3</v>
      </c>
      <c r="K115" s="50">
        <v>2.1894971873279999E-4</v>
      </c>
      <c r="L115" s="67">
        <v>1.1785952932971714E-3</v>
      </c>
      <c r="N115" s="18">
        <v>-2.072861454721724E-6</v>
      </c>
      <c r="O115" s="18">
        <v>1.4324042371768765E-10</v>
      </c>
      <c r="P115" s="18">
        <v>4.6839424101282796E-8</v>
      </c>
      <c r="Q115" s="28">
        <v>7.2803488967781078</v>
      </c>
      <c r="R115" s="61">
        <v>135.93869460489537</v>
      </c>
      <c r="S115" s="58">
        <v>4.8476822400173296E-7</v>
      </c>
      <c r="U115" s="172">
        <v>2.3340783176301256E-3</v>
      </c>
      <c r="V115" s="172">
        <v>1.1785952932971714E-3</v>
      </c>
      <c r="W115" s="173">
        <v>1.2100271614248015E-3</v>
      </c>
      <c r="X115" s="173">
        <f t="shared" si="8"/>
        <v>1.4753240164123173E-3</v>
      </c>
      <c r="Y115" s="185">
        <f t="shared" si="9"/>
        <v>0.26378522372714902</v>
      </c>
      <c r="AA115" s="143">
        <f t="shared" si="10"/>
        <v>0.24569131770700001</v>
      </c>
      <c r="AB115" s="144">
        <f t="shared" si="11"/>
        <v>1.3628713846572001E-3</v>
      </c>
      <c r="AC115" s="144">
        <f t="shared" si="12"/>
        <v>2.1894971873279999E-4</v>
      </c>
      <c r="AD115" s="144">
        <f t="shared" si="15"/>
        <v>1.4753240164123173E-3</v>
      </c>
      <c r="AE115" s="145">
        <f t="shared" si="13"/>
        <v>0.60886946048953805</v>
      </c>
      <c r="AF115" s="145">
        <f t="shared" si="14"/>
        <v>4.8476822400173299E-5</v>
      </c>
      <c r="AH115" s="181"/>
      <c r="AI115" s="181"/>
      <c r="AJ115" s="182"/>
    </row>
    <row r="116" spans="9:36" x14ac:dyDescent="0.25">
      <c r="I116" s="126">
        <v>2.4814823088399999E-2</v>
      </c>
      <c r="J116" s="50">
        <v>1.6839828508008004E-3</v>
      </c>
      <c r="K116" s="50">
        <v>2.2451015393927997E-4</v>
      </c>
      <c r="L116" s="67">
        <v>1.002527919785555E-3</v>
      </c>
      <c r="N116" s="18">
        <v>-2.1022268992185546E-6</v>
      </c>
      <c r="O116" s="18">
        <v>1.4922017457497579E-10</v>
      </c>
      <c r="P116" s="18">
        <v>4.8893304722426312E-8</v>
      </c>
      <c r="Q116" s="28">
        <v>13.082883625049535</v>
      </c>
      <c r="R116" s="61">
        <v>136.65238758975863</v>
      </c>
      <c r="S116" s="58">
        <v>4.8476822400173296E-7</v>
      </c>
      <c r="U116" s="172">
        <v>2.2410847128582875E-3</v>
      </c>
      <c r="V116" s="172">
        <v>1.002527919785555E-3</v>
      </c>
      <c r="W116" s="173">
        <v>1.325494245197313E-3</v>
      </c>
      <c r="X116" s="173">
        <f t="shared" si="8"/>
        <v>1.3929086994066777E-3</v>
      </c>
      <c r="Y116" s="185">
        <f t="shared" si="9"/>
        <v>1.6808745617293137</v>
      </c>
      <c r="AA116" s="143">
        <f t="shared" si="10"/>
        <v>0.24814823088399998</v>
      </c>
      <c r="AB116" s="144">
        <f t="shared" si="11"/>
        <v>1.6839828508008004E-3</v>
      </c>
      <c r="AC116" s="144">
        <f t="shared" si="12"/>
        <v>2.2451015393927997E-4</v>
      </c>
      <c r="AD116" s="144">
        <f t="shared" si="15"/>
        <v>1.3929086994066777E-3</v>
      </c>
      <c r="AE116" s="145">
        <f t="shared" si="13"/>
        <v>0.68023875897586383</v>
      </c>
      <c r="AF116" s="145">
        <f t="shared" si="14"/>
        <v>4.8476822400173299E-5</v>
      </c>
      <c r="AH116" s="181"/>
      <c r="AI116" s="181"/>
      <c r="AJ116" s="182"/>
    </row>
    <row r="117" spans="9:36" x14ac:dyDescent="0.25">
      <c r="I117" s="126">
        <v>2.5062971319299999E-2</v>
      </c>
      <c r="J117" s="50">
        <v>1.4633694479448001E-3</v>
      </c>
      <c r="K117" s="50">
        <v>2.0988348120563999E-4</v>
      </c>
      <c r="L117" s="67">
        <v>8.6708151715706404E-4</v>
      </c>
      <c r="N117" s="18">
        <v>-2.122525825234263E-6</v>
      </c>
      <c r="O117" s="18">
        <v>1.5335369008357155E-10</v>
      </c>
      <c r="P117" s="18">
        <v>5.0313054073681245E-8</v>
      </c>
      <c r="Q117" s="28">
        <v>17.569370769873625</v>
      </c>
      <c r="R117" s="61">
        <v>136.65238758975863</v>
      </c>
      <c r="S117" s="58">
        <v>4.4970683368350521E-7</v>
      </c>
      <c r="U117" s="172">
        <v>2.1124357728121439E-3</v>
      </c>
      <c r="V117" s="172">
        <v>8.6708151715706404E-4</v>
      </c>
      <c r="W117" s="173">
        <v>1.435836865410927E-3</v>
      </c>
      <c r="X117" s="173">
        <f t="shared" si="8"/>
        <v>1.3206089181342997E-3</v>
      </c>
      <c r="Y117" s="185">
        <f t="shared" si="9"/>
        <v>0.46265768896174242</v>
      </c>
      <c r="AA117" s="143">
        <f t="shared" si="10"/>
        <v>0.25062971319299998</v>
      </c>
      <c r="AB117" s="144">
        <f t="shared" si="11"/>
        <v>1.4633694479448001E-3</v>
      </c>
      <c r="AC117" s="144">
        <f t="shared" si="12"/>
        <v>2.0988348120563999E-4</v>
      </c>
      <c r="AD117" s="144">
        <f t="shared" si="15"/>
        <v>1.3206089181342997E-3</v>
      </c>
      <c r="AE117" s="145">
        <f t="shared" si="13"/>
        <v>0.68023875897586383</v>
      </c>
      <c r="AF117" s="145">
        <f t="shared" si="14"/>
        <v>4.4970683368350519E-5</v>
      </c>
      <c r="AH117" s="181"/>
      <c r="AI117" s="181"/>
      <c r="AJ117" s="182"/>
    </row>
    <row r="118" spans="9:36" x14ac:dyDescent="0.25">
      <c r="I118" s="126">
        <v>2.5313601032500001E-2</v>
      </c>
      <c r="J118" s="50">
        <v>1.11513851428188E-3</v>
      </c>
      <c r="K118" s="50">
        <v>1.8267257491296003E-4</v>
      </c>
      <c r="L118" s="67">
        <v>7.7542869699619512E-4</v>
      </c>
      <c r="N118" s="18">
        <v>-2.1253305944520615E-6</v>
      </c>
      <c r="O118" s="18">
        <v>1.5392483148537927E-10</v>
      </c>
      <c r="P118" s="18">
        <v>5.0509225500401457E-8</v>
      </c>
      <c r="Q118" s="28">
        <v>100.71784444048316</v>
      </c>
      <c r="R118" s="61">
        <v>137.00923408219026</v>
      </c>
      <c r="S118" s="58">
        <v>4.4970683368350521E-7</v>
      </c>
      <c r="U118" s="172">
        <v>1.9543180998383546E-3</v>
      </c>
      <c r="V118" s="172">
        <v>7.7542869699619512E-4</v>
      </c>
      <c r="W118" s="173">
        <v>1.5278396550023718E-3</v>
      </c>
      <c r="X118" s="173">
        <f t="shared" si="8"/>
        <v>1.258253787208279E-3</v>
      </c>
      <c r="Y118" s="185">
        <f t="shared" si="9"/>
        <v>0.61379771192982813</v>
      </c>
      <c r="AA118" s="143">
        <f t="shared" si="10"/>
        <v>0.25313601032499999</v>
      </c>
      <c r="AB118" s="144">
        <f t="shared" si="11"/>
        <v>1.11513851428188E-3</v>
      </c>
      <c r="AC118" s="144">
        <f t="shared" si="12"/>
        <v>1.8267257491296003E-4</v>
      </c>
      <c r="AD118" s="144">
        <f t="shared" si="15"/>
        <v>1.258253787208279E-3</v>
      </c>
      <c r="AE118" s="145">
        <f t="shared" si="13"/>
        <v>0.71592340821902667</v>
      </c>
      <c r="AF118" s="145">
        <f t="shared" si="14"/>
        <v>4.4970683368350519E-5</v>
      </c>
      <c r="AH118" s="181"/>
      <c r="AI118" s="181"/>
      <c r="AJ118" s="182"/>
    </row>
    <row r="119" spans="9:36" x14ac:dyDescent="0.25">
      <c r="I119" s="126">
        <v>2.5566737042799999E-2</v>
      </c>
      <c r="J119" s="50">
        <v>1.2620532255262801E-3</v>
      </c>
      <c r="K119" s="50">
        <v>1.9198380004848E-4</v>
      </c>
      <c r="L119" s="67">
        <v>7.2797764411426614E-4</v>
      </c>
      <c r="N119" s="18">
        <v>-2.122525825234263E-6</v>
      </c>
      <c r="O119" s="18">
        <v>1.5335369008357155E-10</v>
      </c>
      <c r="P119" s="18">
        <v>5.0313054073681245E-8</v>
      </c>
      <c r="Q119" s="28">
        <v>17.569370769873625</v>
      </c>
      <c r="R119" s="61">
        <v>137.00923408219026</v>
      </c>
      <c r="S119" s="58">
        <v>3.9783520468283332E-7</v>
      </c>
      <c r="U119" s="172">
        <v>1.7743814146119765E-3</v>
      </c>
      <c r="V119" s="172">
        <v>7.2797764411426614E-4</v>
      </c>
      <c r="W119" s="173">
        <v>1.5897352469157594E-3</v>
      </c>
      <c r="X119" s="173">
        <f t="shared" si="8"/>
        <v>1.205017987439067E-3</v>
      </c>
      <c r="Y119" s="185">
        <f t="shared" si="9"/>
        <v>8.8258664234972944E-2</v>
      </c>
      <c r="AA119" s="143">
        <f t="shared" si="10"/>
        <v>0.25566737042799997</v>
      </c>
      <c r="AB119" s="144">
        <f t="shared" si="11"/>
        <v>1.2620532255262801E-3</v>
      </c>
      <c r="AC119" s="144">
        <f t="shared" si="12"/>
        <v>1.9198380004848E-4</v>
      </c>
      <c r="AD119" s="144">
        <f t="shared" si="15"/>
        <v>1.205017987439067E-3</v>
      </c>
      <c r="AE119" s="145">
        <f t="shared" si="13"/>
        <v>0.71592340821902667</v>
      </c>
      <c r="AF119" s="145">
        <f t="shared" si="14"/>
        <v>3.9783520468283335E-5</v>
      </c>
      <c r="AH119" s="181"/>
      <c r="AI119" s="181"/>
      <c r="AJ119" s="182"/>
    </row>
    <row r="120" spans="9:36" x14ac:dyDescent="0.25">
      <c r="I120" s="126">
        <v>2.5822404413199999E-2</v>
      </c>
      <c r="J120" s="50">
        <v>6.6595572061391997E-4</v>
      </c>
      <c r="K120" s="50">
        <v>1.6946790734676E-4</v>
      </c>
      <c r="L120" s="67">
        <v>7.2220373259733949E-4</v>
      </c>
      <c r="N120" s="18">
        <v>-2.1022268992185546E-6</v>
      </c>
      <c r="O120" s="18">
        <v>1.4922017457497579E-10</v>
      </c>
      <c r="P120" s="18">
        <v>4.8893304722426312E-8</v>
      </c>
      <c r="Q120" s="28">
        <v>13.082883625049535</v>
      </c>
      <c r="R120" s="61">
        <v>137.87070113516458</v>
      </c>
      <c r="S120" s="58">
        <v>3.9783520468283332E-7</v>
      </c>
      <c r="U120" s="172">
        <v>1.5810547675226541E-3</v>
      </c>
      <c r="V120" s="172">
        <v>7.2220373259733949E-4</v>
      </c>
      <c r="W120" s="173">
        <v>1.6122311042278219E-3</v>
      </c>
      <c r="X120" s="173">
        <f t="shared" si="8"/>
        <v>1.1594233342362887E-3</v>
      </c>
      <c r="Y120" s="185">
        <f t="shared" si="9"/>
        <v>8.4789559086460411</v>
      </c>
      <c r="AA120" s="143">
        <f t="shared" si="10"/>
        <v>0.25822404413200001</v>
      </c>
      <c r="AB120" s="144">
        <f t="shared" si="11"/>
        <v>6.6595572061391997E-4</v>
      </c>
      <c r="AC120" s="144">
        <f t="shared" si="12"/>
        <v>1.6946790734676E-4</v>
      </c>
      <c r="AD120" s="144">
        <f t="shared" si="15"/>
        <v>1.1594233342362887E-3</v>
      </c>
      <c r="AE120" s="145">
        <f t="shared" si="13"/>
        <v>0.80207011351645863</v>
      </c>
      <c r="AF120" s="145">
        <f t="shared" si="14"/>
        <v>3.9783520468283335E-5</v>
      </c>
      <c r="AH120" s="181"/>
      <c r="AI120" s="181"/>
      <c r="AJ120" s="182"/>
    </row>
    <row r="121" spans="9:36" x14ac:dyDescent="0.25">
      <c r="I121" s="126">
        <v>2.6080628457400001E-2</v>
      </c>
      <c r="J121" s="50">
        <v>6.9655371786528006E-4</v>
      </c>
      <c r="K121" s="50">
        <v>1.4930509418088002E-4</v>
      </c>
      <c r="L121" s="67">
        <v>7.5335905057842545E-4</v>
      </c>
      <c r="N121" s="18">
        <v>-2.072861454721724E-6</v>
      </c>
      <c r="O121" s="18">
        <v>1.4324042371768765E-10</v>
      </c>
      <c r="P121" s="18">
        <v>4.6839424101282796E-8</v>
      </c>
      <c r="Q121" s="28">
        <v>7.2803488967781078</v>
      </c>
      <c r="R121" s="61">
        <v>137.87070113516458</v>
      </c>
      <c r="S121" s="58">
        <v>3.4883727638370429E-7</v>
      </c>
      <c r="U121" s="172">
        <v>1.383985669660091E-3</v>
      </c>
      <c r="V121" s="172">
        <v>7.5335905057842545E-4</v>
      </c>
      <c r="W121" s="173">
        <v>1.5887499488778595E-3</v>
      </c>
      <c r="X121" s="173">
        <f t="shared" si="8"/>
        <v>1.1198634299237004E-3</v>
      </c>
      <c r="Y121" s="185">
        <f t="shared" si="9"/>
        <v>8.0383555853440321</v>
      </c>
      <c r="AA121" s="143">
        <f t="shared" si="10"/>
        <v>0.26080628457400001</v>
      </c>
      <c r="AB121" s="144">
        <f t="shared" si="11"/>
        <v>6.9655371786528006E-4</v>
      </c>
      <c r="AC121" s="144">
        <f t="shared" si="12"/>
        <v>1.4930509418088002E-4</v>
      </c>
      <c r="AD121" s="144">
        <f t="shared" si="15"/>
        <v>1.1198634299237004E-3</v>
      </c>
      <c r="AE121" s="145">
        <f t="shared" si="13"/>
        <v>0.80207011351645863</v>
      </c>
      <c r="AF121" s="145">
        <f t="shared" si="14"/>
        <v>3.4883727638370426E-5</v>
      </c>
      <c r="AH121" s="181"/>
      <c r="AI121" s="181"/>
      <c r="AJ121" s="182"/>
    </row>
    <row r="122" spans="9:36" x14ac:dyDescent="0.25">
      <c r="I122" s="126">
        <v>2.63414347419E-2</v>
      </c>
      <c r="J122" s="50">
        <v>9.9988385157276003E-4</v>
      </c>
      <c r="K122" s="50">
        <v>1.5212353837164001E-4</v>
      </c>
      <c r="L122" s="67">
        <v>8.1381335153696722E-4</v>
      </c>
      <c r="N122" s="18">
        <v>-2.0396329179806285E-6</v>
      </c>
      <c r="O122" s="18">
        <v>1.364740227839154E-10</v>
      </c>
      <c r="P122" s="18">
        <v>4.4515350726917373E-8</v>
      </c>
      <c r="Q122" s="28">
        <v>5.3340848504449632</v>
      </c>
      <c r="R122" s="61">
        <v>138.74688662030948</v>
      </c>
      <c r="S122" s="58">
        <v>3.4883727638370429E-7</v>
      </c>
      <c r="U122" s="172">
        <v>1.1921598161191943E-3</v>
      </c>
      <c r="V122" s="172">
        <v>8.1381335153696722E-4</v>
      </c>
      <c r="W122" s="173">
        <v>1.5169047509928102E-3</v>
      </c>
      <c r="X122" s="173">
        <f t="shared" si="8"/>
        <v>1.0841728175464847E-3</v>
      </c>
      <c r="Y122" s="185">
        <f t="shared" si="9"/>
        <v>0.30700723850688205</v>
      </c>
      <c r="AA122" s="143">
        <f t="shared" si="10"/>
        <v>0.26341434741899999</v>
      </c>
      <c r="AB122" s="144">
        <f t="shared" si="11"/>
        <v>9.9988385157276003E-4</v>
      </c>
      <c r="AC122" s="144">
        <f t="shared" si="12"/>
        <v>1.5212353837164001E-4</v>
      </c>
      <c r="AD122" s="144">
        <f t="shared" si="15"/>
        <v>1.0841728175464847E-3</v>
      </c>
      <c r="AE122" s="145">
        <f t="shared" si="13"/>
        <v>0.88968866203094876</v>
      </c>
      <c r="AF122" s="145">
        <f t="shared" si="14"/>
        <v>3.4883727638370426E-5</v>
      </c>
      <c r="AH122" s="181"/>
      <c r="AI122" s="181"/>
      <c r="AJ122" s="182"/>
    </row>
    <row r="123" spans="9:36" x14ac:dyDescent="0.25">
      <c r="I123" s="126">
        <v>2.6604849089400001E-2</v>
      </c>
      <c r="J123" s="50">
        <v>8.3331295331063996E-4</v>
      </c>
      <c r="K123" s="50">
        <v>7.2967504002888003E-5</v>
      </c>
      <c r="L123" s="67">
        <v>8.9425153338013844E-4</v>
      </c>
      <c r="N123" s="18">
        <v>-2.004565175578918E-6</v>
      </c>
      <c r="O123" s="18">
        <v>1.2933310030571428E-10</v>
      </c>
      <c r="P123" s="18">
        <v>4.2062639460997382E-8</v>
      </c>
      <c r="Q123" s="28">
        <v>4.3408052283345979</v>
      </c>
      <c r="R123" s="61">
        <v>138.74688662030948</v>
      </c>
      <c r="S123" s="58">
        <v>2.9984893158380392E-7</v>
      </c>
      <c r="U123" s="172">
        <v>1.0142358158929136E-3</v>
      </c>
      <c r="V123" s="172">
        <v>8.9425153338013844E-4</v>
      </c>
      <c r="W123" s="173">
        <v>1.398238886356205E-3</v>
      </c>
      <c r="X123" s="173">
        <f t="shared" si="8"/>
        <v>1.050244442252349E-3</v>
      </c>
      <c r="Y123" s="185">
        <f t="shared" si="9"/>
        <v>8.8386556232627296</v>
      </c>
      <c r="AA123" s="143">
        <f t="shared" si="10"/>
        <v>0.26604849089400001</v>
      </c>
      <c r="AB123" s="144">
        <f t="shared" si="11"/>
        <v>8.3331295331063996E-4</v>
      </c>
      <c r="AC123" s="144">
        <f t="shared" si="12"/>
        <v>7.2967504002888003E-5</v>
      </c>
      <c r="AD123" s="144">
        <f t="shared" si="15"/>
        <v>1.050244442252349E-3</v>
      </c>
      <c r="AE123" s="145">
        <f t="shared" si="13"/>
        <v>0.88968866203094876</v>
      </c>
      <c r="AF123" s="145">
        <f t="shared" si="14"/>
        <v>2.9984893158380391E-5</v>
      </c>
      <c r="AH123" s="181"/>
      <c r="AI123" s="181"/>
      <c r="AJ123" s="182"/>
    </row>
    <row r="124" spans="9:36" x14ac:dyDescent="0.25">
      <c r="I124" s="126">
        <v>2.68708975803E-2</v>
      </c>
      <c r="J124" s="50">
        <v>7.3801690937568009E-4</v>
      </c>
      <c r="K124" s="50">
        <v>7.2034944495756001E-5</v>
      </c>
      <c r="L124" s="67">
        <v>9.8409678843263651E-4</v>
      </c>
      <c r="N124" s="18">
        <v>-1.9685847467294559E-6</v>
      </c>
      <c r="O124" s="18">
        <v>1.220063254536808E-10</v>
      </c>
      <c r="P124" s="18">
        <v>3.9546092995565262E-8</v>
      </c>
      <c r="Q124" s="28">
        <v>3.7483094141109112</v>
      </c>
      <c r="R124" s="61">
        <v>139.65409041003392</v>
      </c>
      <c r="S124" s="58">
        <v>2.9984893158380392E-7</v>
      </c>
      <c r="U124" s="172">
        <v>8.5783588621706906E-4</v>
      </c>
      <c r="V124" s="172">
        <v>9.8409678843263651E-4</v>
      </c>
      <c r="W124" s="173">
        <v>1.2384521896930767E-3</v>
      </c>
      <c r="X124" s="173">
        <f t="shared" si="8"/>
        <v>1.0161204131938547E-3</v>
      </c>
      <c r="Y124" s="185">
        <f t="shared" si="9"/>
        <v>14.904810863622776</v>
      </c>
      <c r="AA124" s="143">
        <f t="shared" si="10"/>
        <v>0.26870897580300002</v>
      </c>
      <c r="AB124" s="144">
        <f t="shared" si="11"/>
        <v>7.3801690937568009E-4</v>
      </c>
      <c r="AC124" s="144">
        <f t="shared" si="12"/>
        <v>7.2034944495756001E-5</v>
      </c>
      <c r="AD124" s="144">
        <f t="shared" si="15"/>
        <v>1.0161204131938547E-3</v>
      </c>
      <c r="AE124" s="145">
        <f t="shared" si="13"/>
        <v>0.98040904100339221</v>
      </c>
      <c r="AF124" s="145">
        <f t="shared" si="14"/>
        <v>2.9984893158380391E-5</v>
      </c>
      <c r="AH124" s="181"/>
      <c r="AI124" s="181"/>
      <c r="AJ124" s="182"/>
    </row>
    <row r="125" spans="9:36" x14ac:dyDescent="0.25">
      <c r="I125" s="126">
        <v>2.71396065561E-2</v>
      </c>
      <c r="J125" s="50">
        <v>6.7297606101791993E-4</v>
      </c>
      <c r="K125" s="50">
        <v>6.2499818546615999E-5</v>
      </c>
      <c r="L125" s="67">
        <v>1.072241363943658E-3</v>
      </c>
      <c r="N125" s="18">
        <v>-1.9321535119567203E-6</v>
      </c>
      <c r="O125" s="18">
        <v>1.145877519875839E-10</v>
      </c>
      <c r="P125" s="18">
        <v>3.6998016220765337E-8</v>
      </c>
      <c r="Q125" s="28">
        <v>3.3672675337180418</v>
      </c>
      <c r="R125" s="61">
        <v>139.65409041003392</v>
      </c>
      <c r="S125" s="58">
        <v>2.5090211805180269E-7</v>
      </c>
      <c r="U125" s="172">
        <v>7.2909263884842206E-4</v>
      </c>
      <c r="V125" s="172">
        <v>1.072241363943658E-3</v>
      </c>
      <c r="W125" s="173">
        <v>1.0471530787817928E-3</v>
      </c>
      <c r="X125" s="173">
        <f t="shared" si="8"/>
        <v>9.8018211137938273E-4</v>
      </c>
      <c r="Y125" s="185">
        <f t="shared" si="9"/>
        <v>24.160282975624234</v>
      </c>
      <c r="AA125" s="143">
        <f t="shared" si="10"/>
        <v>0.27139606556099999</v>
      </c>
      <c r="AB125" s="144">
        <f t="shared" si="11"/>
        <v>6.7297606101791993E-4</v>
      </c>
      <c r="AC125" s="144">
        <f t="shared" si="12"/>
        <v>6.2499818546615999E-5</v>
      </c>
      <c r="AD125" s="144">
        <f t="shared" si="15"/>
        <v>9.8018211137938273E-4</v>
      </c>
      <c r="AE125" s="145">
        <f t="shared" si="13"/>
        <v>0.98040904100339221</v>
      </c>
      <c r="AF125" s="145">
        <f t="shared" si="14"/>
        <v>2.5090211805180269E-5</v>
      </c>
      <c r="AH125" s="181"/>
      <c r="AI125" s="181"/>
      <c r="AJ125" s="182"/>
    </row>
    <row r="126" spans="9:36" x14ac:dyDescent="0.25">
      <c r="I126" s="126">
        <v>2.7411002621600001E-2</v>
      </c>
      <c r="J126" s="50">
        <v>6.0122579203235999E-4</v>
      </c>
      <c r="K126" s="50">
        <v>5.6265648446832001E-5</v>
      </c>
      <c r="L126" s="67">
        <v>1.1478431953966556E-3</v>
      </c>
      <c r="N126" s="18">
        <v>-1.8955100414185461E-6</v>
      </c>
      <c r="O126" s="18">
        <v>1.0712596047993935E-10</v>
      </c>
      <c r="P126" s="18">
        <v>3.4435095232529613E-8</v>
      </c>
      <c r="Q126" s="28">
        <v>3.1147237315136964</v>
      </c>
      <c r="R126" s="61">
        <v>140.61223022393708</v>
      </c>
      <c r="S126" s="58">
        <v>2.5090211805180269E-7</v>
      </c>
      <c r="U126" s="172">
        <v>6.322763885438068E-4</v>
      </c>
      <c r="V126" s="172">
        <v>1.1478431953966556E-3</v>
      </c>
      <c r="W126" s="173">
        <v>8.3728759539957061E-4</v>
      </c>
      <c r="X126" s="173">
        <f t="shared" si="8"/>
        <v>9.4131259368417217E-4</v>
      </c>
      <c r="Y126" s="185">
        <f t="shared" si="9"/>
        <v>36.533636128265663</v>
      </c>
      <c r="AA126" s="143">
        <f t="shared" si="10"/>
        <v>0.274110026216</v>
      </c>
      <c r="AB126" s="144">
        <f t="shared" si="11"/>
        <v>6.0122579203235999E-4</v>
      </c>
      <c r="AC126" s="144">
        <f t="shared" si="12"/>
        <v>5.6265648446832001E-5</v>
      </c>
      <c r="AD126" s="144">
        <f t="shared" si="15"/>
        <v>9.4131259368417217E-4</v>
      </c>
      <c r="AE126" s="145">
        <f t="shared" si="13"/>
        <v>1.0762230223937082</v>
      </c>
      <c r="AF126" s="145">
        <f t="shared" si="14"/>
        <v>2.5090211805180269E-5</v>
      </c>
      <c r="AH126" s="181"/>
      <c r="AI126" s="181"/>
      <c r="AJ126" s="182"/>
    </row>
    <row r="127" spans="9:36" x14ac:dyDescent="0.25">
      <c r="I127" s="126">
        <v>2.7685112647799999E-2</v>
      </c>
      <c r="J127" s="50">
        <v>6.4399952214444012E-4</v>
      </c>
      <c r="K127" s="50">
        <v>6.0245747975556001E-5</v>
      </c>
      <c r="L127" s="67">
        <v>1.2011365044244198E-3</v>
      </c>
      <c r="N127" s="18">
        <v>-1.8587765923262615E-6</v>
      </c>
      <c r="O127" s="18">
        <v>9.9645846438946616E-11</v>
      </c>
      <c r="P127" s="18">
        <v>3.1865880955982683E-8</v>
      </c>
      <c r="Q127" s="28">
        <v>2.94914075396039</v>
      </c>
      <c r="R127" s="61">
        <v>140.61223022393708</v>
      </c>
      <c r="S127" s="58">
        <v>2.0207519970031781E-7</v>
      </c>
      <c r="U127" s="172">
        <v>5.695289422108905E-4</v>
      </c>
      <c r="V127" s="172">
        <v>1.2011365044244198E-3</v>
      </c>
      <c r="W127" s="173">
        <v>6.2426336163481336E-4</v>
      </c>
      <c r="X127" s="173">
        <f t="shared" si="8"/>
        <v>8.9901632817363593E-4</v>
      </c>
      <c r="Y127" s="185">
        <f t="shared" si="9"/>
        <v>17.917804875308178</v>
      </c>
      <c r="AA127" s="143">
        <f t="shared" si="10"/>
        <v>0.27685112647799998</v>
      </c>
      <c r="AB127" s="144">
        <f t="shared" si="11"/>
        <v>6.4399952214444012E-4</v>
      </c>
      <c r="AC127" s="144">
        <f t="shared" si="12"/>
        <v>6.0245747975556001E-5</v>
      </c>
      <c r="AD127" s="144">
        <f t="shared" si="15"/>
        <v>8.9901632817363593E-4</v>
      </c>
      <c r="AE127" s="145">
        <f t="shared" si="13"/>
        <v>1.0762230223937082</v>
      </c>
      <c r="AF127" s="145">
        <f t="shared" si="14"/>
        <v>2.0207519970031782E-5</v>
      </c>
      <c r="AH127" s="181"/>
      <c r="AI127" s="181"/>
      <c r="AJ127" s="182"/>
    </row>
    <row r="128" spans="9:36" x14ac:dyDescent="0.25">
      <c r="I128" s="126">
        <v>2.7961963774299999E-2</v>
      </c>
      <c r="J128" s="50">
        <v>5.2342231608743992E-4</v>
      </c>
      <c r="K128" s="50">
        <v>5.7503863079124006E-5</v>
      </c>
      <c r="L128" s="67">
        <v>1.2241994335334507E-3</v>
      </c>
      <c r="N128" s="18">
        <v>-1.8220119749800088E-6</v>
      </c>
      <c r="O128" s="18">
        <v>9.2159385536989183E-11</v>
      </c>
      <c r="P128" s="18">
        <v>2.9294486706548655E-8</v>
      </c>
      <c r="Q128" s="28">
        <v>2.8483063579951828</v>
      </c>
      <c r="R128" s="61">
        <v>141.64805662981573</v>
      </c>
      <c r="S128" s="58">
        <v>2.0207519970031781E-7</v>
      </c>
      <c r="U128" s="172">
        <v>5.4072534358282553E-4</v>
      </c>
      <c r="V128" s="172">
        <v>1.2241994335334507E-3</v>
      </c>
      <c r="W128" s="173">
        <v>4.248138630013934E-4</v>
      </c>
      <c r="X128" s="173">
        <f t="shared" si="8"/>
        <v>8.534845184127801E-4</v>
      </c>
      <c r="Y128" s="185">
        <f t="shared" si="9"/>
        <v>32.945609282485464</v>
      </c>
      <c r="AA128" s="143">
        <f t="shared" si="10"/>
        <v>0.27961963774299997</v>
      </c>
      <c r="AB128" s="144">
        <f t="shared" si="11"/>
        <v>5.2342231608743992E-4</v>
      </c>
      <c r="AC128" s="144">
        <f t="shared" si="12"/>
        <v>5.7503863079124006E-5</v>
      </c>
      <c r="AD128" s="144">
        <f t="shared" si="15"/>
        <v>8.534845184127801E-4</v>
      </c>
      <c r="AE128" s="145">
        <f t="shared" si="13"/>
        <v>1.1798056629815732</v>
      </c>
      <c r="AF128" s="145">
        <f t="shared" si="14"/>
        <v>2.0207519970031782E-5</v>
      </c>
      <c r="AH128" s="181"/>
      <c r="AI128" s="181"/>
      <c r="AJ128" s="182"/>
    </row>
    <row r="129" spans="9:36" x14ac:dyDescent="0.25">
      <c r="I129" s="126">
        <v>2.8241583412100001E-2</v>
      </c>
      <c r="J129" s="50">
        <v>5.6808406412604004E-4</v>
      </c>
      <c r="K129" s="50">
        <v>5.9678379534708003E-5</v>
      </c>
      <c r="L129" s="67">
        <v>1.2116203050572373E-3</v>
      </c>
      <c r="N129" s="18">
        <v>-1.785240165439706E-6</v>
      </c>
      <c r="O129" s="18">
        <v>8.467146007254098E-11</v>
      </c>
      <c r="P129" s="18">
        <v>2.6722589420016585E-8</v>
      </c>
      <c r="Q129" s="28">
        <v>2.800459635306872</v>
      </c>
      <c r="R129" s="61">
        <v>141.64805662981573</v>
      </c>
      <c r="S129" s="58">
        <v>1.5353108257475821E-7</v>
      </c>
      <c r="U129" s="172">
        <v>5.4347854700316435E-4</v>
      </c>
      <c r="V129" s="172">
        <v>1.2116203050572373E-3</v>
      </c>
      <c r="W129" s="173">
        <v>2.5567601168886009E-4</v>
      </c>
      <c r="X129" s="173">
        <f t="shared" si="8"/>
        <v>8.0559879220162476E-4</v>
      </c>
      <c r="Y129" s="185">
        <f t="shared" si="9"/>
        <v>15.839703425715863</v>
      </c>
      <c r="AA129" s="143">
        <f t="shared" si="10"/>
        <v>0.28241583412100002</v>
      </c>
      <c r="AB129" s="144">
        <f t="shared" si="11"/>
        <v>5.6808406412604004E-4</v>
      </c>
      <c r="AC129" s="144">
        <f t="shared" si="12"/>
        <v>5.9678379534708003E-5</v>
      </c>
      <c r="AD129" s="144">
        <f t="shared" si="15"/>
        <v>8.0559879220162476E-4</v>
      </c>
      <c r="AE129" s="145">
        <f t="shared" si="13"/>
        <v>1.1798056629815732</v>
      </c>
      <c r="AF129" s="145">
        <f t="shared" si="14"/>
        <v>1.5353108257475819E-5</v>
      </c>
      <c r="AH129" s="181"/>
      <c r="AI129" s="181"/>
      <c r="AJ129" s="182"/>
    </row>
    <row r="130" spans="9:36" x14ac:dyDescent="0.25">
      <c r="I130" s="126">
        <v>2.8523999246199999E-2</v>
      </c>
      <c r="J130" s="50">
        <v>4.5521968483992E-4</v>
      </c>
      <c r="K130" s="50">
        <v>5.2084248838379994E-5</v>
      </c>
      <c r="L130" s="67">
        <v>1.1610066118806846E-3</v>
      </c>
      <c r="N130" s="18">
        <v>-1.7481598386162788E-6</v>
      </c>
      <c r="O130" s="18">
        <v>7.71207105466878E-11</v>
      </c>
      <c r="P130" s="18">
        <v>2.4129113789279101E-8</v>
      </c>
      <c r="Q130" s="28">
        <v>2.8355395320894061</v>
      </c>
      <c r="R130" s="61">
        <v>142.80109773203327</v>
      </c>
      <c r="S130" s="58">
        <v>1.5353108257475821E-7</v>
      </c>
      <c r="U130" s="172">
        <v>5.732937346625541E-4</v>
      </c>
      <c r="V130" s="172">
        <v>1.1610066118806846E-3</v>
      </c>
      <c r="W130" s="172">
        <v>1.3217882071739316E-4</v>
      </c>
      <c r="X130" s="173">
        <f t="shared" si="8"/>
        <v>7.5687144478532912E-4</v>
      </c>
      <c r="Y130" s="185">
        <f t="shared" si="9"/>
        <v>33.542769416670311</v>
      </c>
      <c r="AA130" s="143">
        <f t="shared" si="10"/>
        <v>0.28523999246199999</v>
      </c>
      <c r="AB130" s="144">
        <f t="shared" si="11"/>
        <v>4.5521968483992E-4</v>
      </c>
      <c r="AC130" s="144">
        <f t="shared" si="12"/>
        <v>5.2084248838379994E-5</v>
      </c>
      <c r="AD130" s="144">
        <f t="shared" si="15"/>
        <v>7.5687144478532912E-4</v>
      </c>
      <c r="AE130" s="145">
        <f t="shared" si="13"/>
        <v>1.2951097732033277</v>
      </c>
      <c r="AF130" s="145">
        <f t="shared" si="14"/>
        <v>1.5353108257475819E-5</v>
      </c>
      <c r="AH130" s="181"/>
      <c r="AI130" s="181"/>
      <c r="AJ130" s="182"/>
    </row>
    <row r="131" spans="9:36" x14ac:dyDescent="0.25">
      <c r="I131" s="126">
        <v>2.8809239238600001E-2</v>
      </c>
      <c r="J131" s="50">
        <v>3.8383981765536E-4</v>
      </c>
      <c r="K131" s="50">
        <v>4.8417272533872003E-5</v>
      </c>
      <c r="L131" s="67">
        <v>1.0732876784040845E-3</v>
      </c>
      <c r="N131" s="18">
        <v>-1.6928696152854648E-6</v>
      </c>
      <c r="O131" s="18">
        <v>6.5861839243113075E-11</v>
      </c>
      <c r="P131" s="18">
        <v>2.026199990138579E-8</v>
      </c>
      <c r="Q131" s="28">
        <v>5.6710790641788122</v>
      </c>
      <c r="R131" s="61">
        <v>142.80109773203327</v>
      </c>
      <c r="S131" s="58">
        <v>1.0558765811517002E-7</v>
      </c>
      <c r="U131" s="172">
        <v>6.2386941686653531E-4</v>
      </c>
      <c r="V131" s="172">
        <v>1.0732876784040845E-3</v>
      </c>
      <c r="W131" s="172">
        <v>6.6860004234618929E-5</v>
      </c>
      <c r="X131" s="173">
        <f t="shared" ref="X131:X194" si="16">(U131+2*V131+W131)/4</f>
        <v>7.0932619447733076E-4</v>
      </c>
      <c r="Y131" s="185">
        <f t="shared" ref="Y131:Y194" si="17">(J131-X131)*(J131-X131)/(K131*K131)</f>
        <v>45.192356754809957</v>
      </c>
      <c r="AA131" s="143">
        <f t="shared" ref="AA131:AA194" si="18">I131*10</f>
        <v>0.28809239238600004</v>
      </c>
      <c r="AB131" s="144">
        <f t="shared" ref="AB131:AB194" si="19">J131</f>
        <v>3.8383981765536E-4</v>
      </c>
      <c r="AC131" s="144">
        <f t="shared" ref="AC131:AC194" si="20">K131</f>
        <v>4.8417272533872003E-5</v>
      </c>
      <c r="AD131" s="144">
        <f t="shared" si="15"/>
        <v>7.0932619447733076E-4</v>
      </c>
      <c r="AE131" s="145">
        <f t="shared" ref="AE131:AE194" si="21">(R131-129.85)/10</f>
        <v>1.2951097732033277</v>
      </c>
      <c r="AF131" s="145">
        <f t="shared" ref="AF131:AF194" si="22">S131*100</f>
        <v>1.0558765811517002E-5</v>
      </c>
      <c r="AH131" s="181"/>
      <c r="AI131" s="181"/>
      <c r="AJ131" s="182"/>
    </row>
    <row r="132" spans="9:36" x14ac:dyDescent="0.25">
      <c r="I132" s="126">
        <v>2.9097331630999999E-2</v>
      </c>
      <c r="J132" s="50">
        <v>3.964120088068801E-4</v>
      </c>
      <c r="K132" s="50">
        <v>4.7204561183604012E-5</v>
      </c>
      <c r="L132" s="67">
        <v>9.5277316969595691E-4</v>
      </c>
      <c r="N132" s="18">
        <v>-1.623752823906694E-6</v>
      </c>
      <c r="O132" s="18">
        <v>5.178743309731771E-11</v>
      </c>
      <c r="P132" s="18">
        <v>1.5427826918790692E-8</v>
      </c>
      <c r="Q132" s="28">
        <v>5.6710790641788122</v>
      </c>
      <c r="R132" s="61">
        <v>144.1364002089708</v>
      </c>
      <c r="S132" s="58">
        <v>1.0558765811517002E-7</v>
      </c>
      <c r="U132" s="172">
        <v>6.8753217287044846E-4</v>
      </c>
      <c r="V132" s="172">
        <v>9.5277316969595691E-4</v>
      </c>
      <c r="W132" s="172">
        <v>6.8237164426152873E-5</v>
      </c>
      <c r="X132" s="173">
        <f t="shared" si="16"/>
        <v>6.6532891917212879E-4</v>
      </c>
      <c r="Y132" s="185">
        <f t="shared" si="17"/>
        <v>32.454004820057278</v>
      </c>
      <c r="AA132" s="143">
        <f t="shared" si="18"/>
        <v>0.29097331631000001</v>
      </c>
      <c r="AB132" s="144">
        <f t="shared" si="19"/>
        <v>3.964120088068801E-4</v>
      </c>
      <c r="AC132" s="144">
        <f t="shared" si="20"/>
        <v>4.7204561183604012E-5</v>
      </c>
      <c r="AD132" s="144">
        <f t="shared" ref="AD132:AD195" si="23">X132</f>
        <v>6.6532891917212879E-4</v>
      </c>
      <c r="AE132" s="145">
        <f t="shared" si="21"/>
        <v>1.4286400208970804</v>
      </c>
      <c r="AF132" s="145">
        <f t="shared" si="22"/>
        <v>1.0558765811517002E-5</v>
      </c>
      <c r="AH132" s="181"/>
      <c r="AI132" s="181"/>
      <c r="AJ132" s="182"/>
    </row>
    <row r="133" spans="9:36" x14ac:dyDescent="0.25">
      <c r="I133" s="126">
        <v>2.9388304947299999E-2</v>
      </c>
      <c r="J133" s="50">
        <v>3.2520471660072001E-4</v>
      </c>
      <c r="K133" s="50">
        <v>4.4281166537783989E-5</v>
      </c>
      <c r="L133" s="67">
        <v>8.0694510674233415E-4</v>
      </c>
      <c r="N133" s="18">
        <v>-1.5634315771189237E-6</v>
      </c>
      <c r="O133" s="18">
        <v>3.9504083283532799E-11</v>
      </c>
      <c r="P133" s="18">
        <v>1.1208832725326771E-8</v>
      </c>
      <c r="Q133" s="28">
        <v>5.6710790641788122</v>
      </c>
      <c r="R133" s="61">
        <v>144.1364002089708</v>
      </c>
      <c r="S133" s="58">
        <v>5.8860375740662466E-8</v>
      </c>
      <c r="U133" s="172">
        <v>7.5578162419118633E-4</v>
      </c>
      <c r="V133" s="172">
        <v>8.0694510674233415E-4</v>
      </c>
      <c r="W133" s="172">
        <v>1.3985819489634296E-4</v>
      </c>
      <c r="X133" s="173">
        <f t="shared" si="16"/>
        <v>6.2738250814304945E-4</v>
      </c>
      <c r="Y133" s="185">
        <f t="shared" si="17"/>
        <v>46.567934880662577</v>
      </c>
      <c r="AA133" s="143">
        <f t="shared" si="18"/>
        <v>0.29388304947299998</v>
      </c>
      <c r="AB133" s="144">
        <f t="shared" si="19"/>
        <v>3.2520471660072001E-4</v>
      </c>
      <c r="AC133" s="144">
        <f t="shared" si="20"/>
        <v>4.4281166537783989E-5</v>
      </c>
      <c r="AD133" s="144">
        <f t="shared" si="23"/>
        <v>6.2738250814304945E-4</v>
      </c>
      <c r="AE133" s="145">
        <f t="shared" si="21"/>
        <v>1.4286400208970804</v>
      </c>
      <c r="AF133" s="145">
        <f t="shared" si="22"/>
        <v>5.8860375740662466E-6</v>
      </c>
      <c r="AH133" s="181"/>
      <c r="AI133" s="181"/>
      <c r="AJ133" s="182"/>
    </row>
    <row r="134" spans="9:36" x14ac:dyDescent="0.25">
      <c r="I134" s="126">
        <v>2.9682187996799999E-2</v>
      </c>
      <c r="J134" s="50">
        <v>4.3919915929823994E-4</v>
      </c>
      <c r="K134" s="50">
        <v>4.8582446620224002E-5</v>
      </c>
      <c r="L134" s="67">
        <v>6.4598024871406236E-4</v>
      </c>
      <c r="N134" s="18">
        <v>-1.5142506697512303E-6</v>
      </c>
      <c r="O134" s="18">
        <v>2.9489265594465983E-11</v>
      </c>
      <c r="P134" s="18">
        <v>7.7690171766923835E-9</v>
      </c>
      <c r="Q134" s="28">
        <v>5.6710790641788122</v>
      </c>
      <c r="R134" s="61">
        <v>145.77725169581046</v>
      </c>
      <c r="S134" s="58">
        <v>5.8860375740662466E-8</v>
      </c>
      <c r="U134" s="172">
        <v>8.1991276649897053E-4</v>
      </c>
      <c r="V134" s="172">
        <v>6.4598024871406236E-4</v>
      </c>
      <c r="W134" s="172">
        <v>2.7973999741423864E-4</v>
      </c>
      <c r="X134" s="173">
        <f t="shared" si="16"/>
        <v>5.9790331533533347E-4</v>
      </c>
      <c r="Y134" s="185">
        <f t="shared" si="17"/>
        <v>10.671312438018695</v>
      </c>
      <c r="AA134" s="143">
        <f t="shared" si="18"/>
        <v>0.29682187996799997</v>
      </c>
      <c r="AB134" s="144">
        <f t="shared" si="19"/>
        <v>4.3919915929823994E-4</v>
      </c>
      <c r="AC134" s="144">
        <f t="shared" si="20"/>
        <v>4.8582446620224002E-5</v>
      </c>
      <c r="AD134" s="144">
        <f t="shared" si="23"/>
        <v>5.9790331533533347E-4</v>
      </c>
      <c r="AE134" s="145">
        <f t="shared" si="21"/>
        <v>1.5927251695810469</v>
      </c>
      <c r="AF134" s="145">
        <f t="shared" si="22"/>
        <v>5.8860375740662466E-6</v>
      </c>
      <c r="AH134" s="181"/>
      <c r="AI134" s="181"/>
      <c r="AJ134" s="182"/>
    </row>
    <row r="135" spans="9:36" x14ac:dyDescent="0.25">
      <c r="I135" s="126">
        <v>2.9979009876800002E-2</v>
      </c>
      <c r="J135" s="50">
        <v>2.9767688999136004E-4</v>
      </c>
      <c r="K135" s="50">
        <v>4.0450350943464001E-5</v>
      </c>
      <c r="L135" s="67">
        <v>4.8202167755688854E-4</v>
      </c>
      <c r="N135" s="18">
        <v>-1.4767920500980275E-6</v>
      </c>
      <c r="O135" s="18">
        <v>2.1861483457259009E-11</v>
      </c>
      <c r="P135" s="18">
        <v>5.1490829540450334E-9</v>
      </c>
      <c r="Q135" s="28">
        <v>5.6710790641788122</v>
      </c>
      <c r="R135" s="61">
        <v>145.77725169581046</v>
      </c>
      <c r="S135" s="58">
        <v>1.4583809504761189E-8</v>
      </c>
      <c r="U135" s="172">
        <v>8.7167489991486324E-4</v>
      </c>
      <c r="V135" s="172">
        <v>4.8202167755688854E-4</v>
      </c>
      <c r="W135" s="172">
        <v>4.8027554337821824E-4</v>
      </c>
      <c r="X135" s="173">
        <f t="shared" si="16"/>
        <v>5.7899844960171464E-4</v>
      </c>
      <c r="Y135" s="185">
        <f t="shared" si="17"/>
        <v>48.368369229050082</v>
      </c>
      <c r="AA135" s="143">
        <f t="shared" si="18"/>
        <v>0.299790098768</v>
      </c>
      <c r="AB135" s="144">
        <f t="shared" si="19"/>
        <v>2.9767688999136004E-4</v>
      </c>
      <c r="AC135" s="144">
        <f t="shared" si="20"/>
        <v>4.0450350943464001E-5</v>
      </c>
      <c r="AD135" s="144">
        <f t="shared" si="23"/>
        <v>5.7899844960171464E-4</v>
      </c>
      <c r="AE135" s="145">
        <f t="shared" si="21"/>
        <v>1.5927251695810469</v>
      </c>
      <c r="AF135" s="145">
        <f t="shared" si="22"/>
        <v>1.4583809504761189E-6</v>
      </c>
      <c r="AH135" s="181"/>
      <c r="AI135" s="181"/>
      <c r="AJ135" s="182"/>
    </row>
    <row r="136" spans="9:36" x14ac:dyDescent="0.25">
      <c r="I136" s="126">
        <v>3.0278799975499999E-2</v>
      </c>
      <c r="J136" s="50">
        <v>3.6156516877139996E-4</v>
      </c>
      <c r="K136" s="50">
        <v>4.4712985434876001E-5</v>
      </c>
      <c r="L136" s="67">
        <v>3.2824170072001983E-4</v>
      </c>
      <c r="N136" s="18">
        <v>-1.4501430134413062E-6</v>
      </c>
      <c r="O136" s="18">
        <v>1.6434880777666367E-11</v>
      </c>
      <c r="P136" s="18">
        <v>3.2851935800125886E-9</v>
      </c>
      <c r="Q136" s="28">
        <v>5.6710790641788122</v>
      </c>
      <c r="R136" s="61">
        <v>148.01680574246072</v>
      </c>
      <c r="S136" s="58">
        <v>1.4583809504761189E-8</v>
      </c>
      <c r="U136" s="172">
        <v>9.0392081677573885E-4</v>
      </c>
      <c r="V136" s="172">
        <v>3.2824170072001983E-4</v>
      </c>
      <c r="W136" s="172">
        <v>7.2864855957743542E-4</v>
      </c>
      <c r="X136" s="173">
        <f t="shared" si="16"/>
        <v>5.7226319444830343E-4</v>
      </c>
      <c r="Y136" s="185">
        <f t="shared" si="17"/>
        <v>22.205144100223322</v>
      </c>
      <c r="AA136" s="143">
        <f t="shared" si="18"/>
        <v>0.30278799975499998</v>
      </c>
      <c r="AB136" s="144">
        <f t="shared" si="19"/>
        <v>3.6156516877139996E-4</v>
      </c>
      <c r="AC136" s="144">
        <f t="shared" si="20"/>
        <v>4.4712985434876001E-5</v>
      </c>
      <c r="AD136" s="144">
        <f t="shared" si="23"/>
        <v>5.7226319444830343E-4</v>
      </c>
      <c r="AE136" s="145">
        <f t="shared" si="21"/>
        <v>1.8166805742460723</v>
      </c>
      <c r="AF136" s="145">
        <f t="shared" si="22"/>
        <v>1.4583809504761189E-6</v>
      </c>
      <c r="AH136" s="181"/>
      <c r="AI136" s="181"/>
      <c r="AJ136" s="182"/>
    </row>
    <row r="137" spans="9:36" x14ac:dyDescent="0.25">
      <c r="I137" s="126">
        <v>3.0581587975300001E-2</v>
      </c>
      <c r="J137" s="50">
        <v>4.0697080652976001E-4</v>
      </c>
      <c r="K137" s="50">
        <v>4.4534614897740002E-5</v>
      </c>
      <c r="L137" s="67">
        <v>1.9776080080105142E-4</v>
      </c>
      <c r="N137" s="18">
        <v>-1.4324442470274379E-6</v>
      </c>
      <c r="O137" s="18">
        <v>1.283084155913204E-11</v>
      </c>
      <c r="P137" s="18">
        <v>2.047304830890718E-9</v>
      </c>
      <c r="Q137" s="28">
        <v>5.6710790641788122</v>
      </c>
      <c r="R137" s="61">
        <v>148.01680574246072</v>
      </c>
      <c r="S137" s="58">
        <v>-2.4545239674903814E-8</v>
      </c>
      <c r="U137" s="172">
        <v>9.1119724851411129E-4</v>
      </c>
      <c r="V137" s="172">
        <v>1.9776080080105142E-4</v>
      </c>
      <c r="W137" s="172">
        <v>1.0077463451002128E-3</v>
      </c>
      <c r="X137" s="173">
        <f t="shared" si="16"/>
        <v>5.7861629880410679E-4</v>
      </c>
      <c r="Y137" s="185">
        <f t="shared" si="17"/>
        <v>14.854888715423016</v>
      </c>
      <c r="AA137" s="143">
        <f t="shared" si="18"/>
        <v>0.30581587975300001</v>
      </c>
      <c r="AB137" s="144">
        <f t="shared" si="19"/>
        <v>4.0697080652976001E-4</v>
      </c>
      <c r="AC137" s="144">
        <f t="shared" si="20"/>
        <v>4.4534614897740002E-5</v>
      </c>
      <c r="AD137" s="144">
        <f t="shared" si="23"/>
        <v>5.7861629880410679E-4</v>
      </c>
      <c r="AE137" s="145">
        <f t="shared" si="21"/>
        <v>1.8166805742460723</v>
      </c>
      <c r="AF137" s="145">
        <f t="shared" si="22"/>
        <v>-2.4545239674903814E-6</v>
      </c>
      <c r="AH137" s="181"/>
      <c r="AI137" s="181"/>
      <c r="AJ137" s="182"/>
    </row>
    <row r="138" spans="9:36" x14ac:dyDescent="0.25">
      <c r="I138" s="126">
        <v>3.0887403855099999E-2</v>
      </c>
      <c r="J138" s="50">
        <v>3.4077677559155999E-4</v>
      </c>
      <c r="K138" s="50">
        <v>4.3386761295372006E-5</v>
      </c>
      <c r="L138" s="67">
        <v>1.0250690313770442E-4</v>
      </c>
      <c r="N138" s="18">
        <v>-1.4214983013104339E-6</v>
      </c>
      <c r="O138" s="18">
        <v>1.060189425706933E-11</v>
      </c>
      <c r="P138" s="18">
        <v>1.2817224883292322E-9</v>
      </c>
      <c r="Q138" s="28">
        <v>5.6710790641788122</v>
      </c>
      <c r="R138" s="61">
        <v>152.04131409772654</v>
      </c>
      <c r="S138" s="58">
        <v>-2.4545239674903814E-8</v>
      </c>
      <c r="U138" s="172">
        <v>8.9022831893731857E-4</v>
      </c>
      <c r="V138" s="172">
        <v>1.0250690313770442E-4</v>
      </c>
      <c r="W138" s="172">
        <v>1.2975095122842288E-3</v>
      </c>
      <c r="X138" s="173">
        <f t="shared" si="16"/>
        <v>5.9818790937423913E-4</v>
      </c>
      <c r="Y138" s="185">
        <f t="shared" si="17"/>
        <v>35.199799530814218</v>
      </c>
      <c r="AA138" s="143">
        <f t="shared" si="18"/>
        <v>0.30887403855099999</v>
      </c>
      <c r="AB138" s="144">
        <f t="shared" si="19"/>
        <v>3.4077677559155999E-4</v>
      </c>
      <c r="AC138" s="144">
        <f t="shared" si="20"/>
        <v>4.3386761295372006E-5</v>
      </c>
      <c r="AD138" s="144">
        <f t="shared" si="23"/>
        <v>5.9818790937423913E-4</v>
      </c>
      <c r="AE138" s="145">
        <f t="shared" si="21"/>
        <v>2.2191314097726549</v>
      </c>
      <c r="AF138" s="145">
        <f t="shared" si="22"/>
        <v>-2.4545239674903814E-6</v>
      </c>
      <c r="AH138" s="181"/>
      <c r="AI138" s="181"/>
      <c r="AJ138" s="182"/>
    </row>
    <row r="139" spans="9:36" x14ac:dyDescent="0.25">
      <c r="I139" s="126">
        <v>3.1196277893600001E-2</v>
      </c>
      <c r="J139" s="50">
        <v>4.9117529382372007E-4</v>
      </c>
      <c r="K139" s="50">
        <v>5.0791644742608005E-5</v>
      </c>
      <c r="L139" s="67">
        <v>5.211308998577335E-5</v>
      </c>
      <c r="N139" s="18">
        <v>-1.4152653245632896E-6</v>
      </c>
      <c r="O139" s="18">
        <v>9.3326593217284033E-12</v>
      </c>
      <c r="P139" s="18">
        <v>8.4577505513511845E-10</v>
      </c>
      <c r="Q139" s="28">
        <v>5.6710790641788122</v>
      </c>
      <c r="R139" s="61">
        <v>152.04131409772654</v>
      </c>
      <c r="S139" s="58">
        <v>-5.1593278210425887E-8</v>
      </c>
      <c r="U139" s="172">
        <v>8.402482056019474E-4</v>
      </c>
      <c r="V139" s="172">
        <v>5.211308998577335E-5</v>
      </c>
      <c r="W139" s="172">
        <v>1.5766086231846174E-3</v>
      </c>
      <c r="X139" s="173">
        <f t="shared" si="16"/>
        <v>6.3027075218952784E-4</v>
      </c>
      <c r="Y139" s="185">
        <f t="shared" si="17"/>
        <v>7.4996560653982547</v>
      </c>
      <c r="AA139" s="143">
        <f t="shared" si="18"/>
        <v>0.311962778936</v>
      </c>
      <c r="AB139" s="144">
        <f t="shared" si="19"/>
        <v>4.9117529382372007E-4</v>
      </c>
      <c r="AC139" s="144">
        <f t="shared" si="20"/>
        <v>5.0791644742608005E-5</v>
      </c>
      <c r="AD139" s="144">
        <f t="shared" si="23"/>
        <v>6.3027075218952784E-4</v>
      </c>
      <c r="AE139" s="145">
        <f t="shared" si="21"/>
        <v>2.2191314097726549</v>
      </c>
      <c r="AF139" s="145">
        <f t="shared" si="22"/>
        <v>-5.1593278210425887E-6</v>
      </c>
      <c r="AH139" s="181"/>
      <c r="AI139" s="181"/>
      <c r="AJ139" s="182"/>
    </row>
    <row r="140" spans="9:36" x14ac:dyDescent="0.25">
      <c r="I140" s="126">
        <v>3.15082406725E-2</v>
      </c>
      <c r="J140" s="50">
        <v>5.9639393128523997E-4</v>
      </c>
      <c r="K140" s="50">
        <v>5.3358226590768006E-5</v>
      </c>
      <c r="L140" s="67">
        <v>5.2957590547946883E-5</v>
      </c>
      <c r="N140" s="18">
        <v>-1.4121714275592724E-6</v>
      </c>
      <c r="O140" s="18">
        <v>8.7026421849495019E-12</v>
      </c>
      <c r="P140" s="18">
        <v>6.2938142618628059E-10</v>
      </c>
      <c r="Q140" s="28">
        <v>5.6710790641788122</v>
      </c>
      <c r="R140" s="61">
        <v>157.4459390631842</v>
      </c>
      <c r="S140" s="58">
        <v>-5.1593278210425887E-8</v>
      </c>
      <c r="U140" s="172">
        <v>7.6314747216488287E-4</v>
      </c>
      <c r="V140" s="172">
        <v>5.2957590547946883E-5</v>
      </c>
      <c r="W140" s="172">
        <v>1.8242975252659786E-3</v>
      </c>
      <c r="X140" s="173">
        <f t="shared" si="16"/>
        <v>6.7334004463168878E-4</v>
      </c>
      <c r="Y140" s="185">
        <f t="shared" si="17"/>
        <v>2.0795559136880666</v>
      </c>
      <c r="AA140" s="143">
        <f t="shared" si="18"/>
        <v>0.31508240672499999</v>
      </c>
      <c r="AB140" s="144">
        <f t="shared" si="19"/>
        <v>5.9639393128523997E-4</v>
      </c>
      <c r="AC140" s="144">
        <f t="shared" si="20"/>
        <v>5.3358226590768006E-5</v>
      </c>
      <c r="AD140" s="144">
        <f t="shared" si="23"/>
        <v>6.7334004463168878E-4</v>
      </c>
      <c r="AE140" s="145">
        <f t="shared" si="21"/>
        <v>2.7595939063184205</v>
      </c>
      <c r="AF140" s="145">
        <f t="shared" si="22"/>
        <v>-5.1593278210425887E-6</v>
      </c>
      <c r="AH140" s="181"/>
      <c r="AI140" s="181"/>
      <c r="AJ140" s="182"/>
    </row>
    <row r="141" spans="9:36" x14ac:dyDescent="0.25">
      <c r="I141" s="126">
        <v>3.1823323079299998E-2</v>
      </c>
      <c r="J141" s="50">
        <v>6.7294676128812E-4</v>
      </c>
      <c r="K141" s="50">
        <v>5.7374165460744007E-5</v>
      </c>
      <c r="L141" s="67">
        <v>1.074454890204996E-4</v>
      </c>
      <c r="N141" s="18">
        <v>-1.4112481877968637E-6</v>
      </c>
      <c r="O141" s="18">
        <v>8.5146408161521993E-12</v>
      </c>
      <c r="P141" s="18">
        <v>5.6480810576932488E-10</v>
      </c>
      <c r="Q141" s="28">
        <v>5.6710790641788122</v>
      </c>
      <c r="R141" s="61">
        <v>157.4459390631842</v>
      </c>
      <c r="S141" s="58">
        <v>-5.5330594452061422E-8</v>
      </c>
      <c r="U141" s="172">
        <v>6.6340945738335884E-4</v>
      </c>
      <c r="V141" s="172">
        <v>1.074454890204996E-4</v>
      </c>
      <c r="W141" s="172">
        <v>2.0222666581864116E-3</v>
      </c>
      <c r="X141" s="173">
        <f t="shared" si="16"/>
        <v>7.2514177340269248E-4</v>
      </c>
      <c r="Y141" s="185">
        <f t="shared" si="17"/>
        <v>0.82760907152122387</v>
      </c>
      <c r="AA141" s="143">
        <f t="shared" si="18"/>
        <v>0.31823323079299998</v>
      </c>
      <c r="AB141" s="144">
        <f t="shared" si="19"/>
        <v>6.7294676128812E-4</v>
      </c>
      <c r="AC141" s="144">
        <f t="shared" si="20"/>
        <v>5.7374165460744007E-5</v>
      </c>
      <c r="AD141" s="144">
        <f t="shared" si="23"/>
        <v>7.2514177340269248E-4</v>
      </c>
      <c r="AE141" s="145">
        <f t="shared" si="21"/>
        <v>2.7595939063184205</v>
      </c>
      <c r="AF141" s="145">
        <f t="shared" si="22"/>
        <v>-5.5330594452061422E-6</v>
      </c>
      <c r="AH141" s="181"/>
      <c r="AI141" s="181"/>
      <c r="AJ141" s="182"/>
    </row>
    <row r="142" spans="9:36" x14ac:dyDescent="0.25">
      <c r="I142" s="126">
        <v>3.2141556310100003E-2</v>
      </c>
      <c r="J142" s="50">
        <v>7.3369483993212007E-4</v>
      </c>
      <c r="K142" s="50">
        <v>6.111314071764001E-5</v>
      </c>
      <c r="L142" s="67">
        <v>2.1361618507835834E-4</v>
      </c>
      <c r="N142" s="18">
        <v>-1.4121714275592724E-6</v>
      </c>
      <c r="O142" s="18">
        <v>8.7026421849495019E-12</v>
      </c>
      <c r="P142" s="18">
        <v>6.2938142618628059E-10</v>
      </c>
      <c r="Q142" s="28">
        <v>5.6710790641788122</v>
      </c>
      <c r="R142" s="61">
        <v>271.27802279120965</v>
      </c>
      <c r="S142" s="58">
        <v>-5.5330594452061422E-8</v>
      </c>
      <c r="U142" s="172">
        <v>5.4782824608982309E-4</v>
      </c>
      <c r="V142" s="172">
        <v>2.1361618507835834E-4</v>
      </c>
      <c r="W142" s="172">
        <v>2.1563103203862699E-3</v>
      </c>
      <c r="X142" s="173">
        <f t="shared" si="16"/>
        <v>7.8284273415820239E-4</v>
      </c>
      <c r="Y142" s="185">
        <f t="shared" si="17"/>
        <v>0.64675623305470575</v>
      </c>
      <c r="AA142" s="143">
        <f t="shared" si="18"/>
        <v>0.32141556310100006</v>
      </c>
      <c r="AB142" s="144">
        <f t="shared" si="19"/>
        <v>7.3369483993212007E-4</v>
      </c>
      <c r="AC142" s="144">
        <f t="shared" si="20"/>
        <v>6.111314071764001E-5</v>
      </c>
      <c r="AD142" s="144">
        <f t="shared" si="23"/>
        <v>7.8284273415820239E-4</v>
      </c>
      <c r="AE142" s="145">
        <f t="shared" si="21"/>
        <v>14.142802279120966</v>
      </c>
      <c r="AF142" s="145">
        <f t="shared" si="22"/>
        <v>-5.5330594452061422E-6</v>
      </c>
      <c r="AH142" s="181"/>
      <c r="AI142" s="181"/>
      <c r="AJ142" s="182"/>
    </row>
    <row r="143" spans="9:36" x14ac:dyDescent="0.25">
      <c r="I143" s="126">
        <v>3.2462971873199999E-2</v>
      </c>
      <c r="J143" s="50">
        <v>8.7439771565388019E-4</v>
      </c>
      <c r="K143" s="50">
        <v>6.7065336561564001E-5</v>
      </c>
      <c r="L143" s="67">
        <v>3.6513460315911876E-4</v>
      </c>
      <c r="N143" s="18">
        <v>-1.4152653245632896E-6</v>
      </c>
      <c r="O143" s="18">
        <v>9.3326593217284033E-12</v>
      </c>
      <c r="P143" s="18">
        <v>8.4577505513511845E-10</v>
      </c>
      <c r="Q143" s="28">
        <v>5.6710790641788122</v>
      </c>
      <c r="R143" s="61">
        <v>271.27802279120965</v>
      </c>
      <c r="S143" s="58">
        <v>-5.2525825234262953E-8</v>
      </c>
      <c r="U143" s="172">
        <v>4.2501731604245954E-4</v>
      </c>
      <c r="V143" s="172">
        <v>3.6513460315911876E-4</v>
      </c>
      <c r="W143" s="172">
        <v>2.2176317888116335E-3</v>
      </c>
      <c r="X143" s="173">
        <f t="shared" si="16"/>
        <v>8.4322957779308261E-4</v>
      </c>
      <c r="Y143" s="185">
        <f t="shared" si="17"/>
        <v>0.2159859472688137</v>
      </c>
      <c r="AA143" s="143">
        <f t="shared" si="18"/>
        <v>0.32462971873199997</v>
      </c>
      <c r="AB143" s="144">
        <f t="shared" si="19"/>
        <v>8.7439771565388019E-4</v>
      </c>
      <c r="AC143" s="144">
        <f t="shared" si="20"/>
        <v>6.7065336561564001E-5</v>
      </c>
      <c r="AD143" s="144">
        <f t="shared" si="23"/>
        <v>8.4322957779308261E-4</v>
      </c>
      <c r="AE143" s="145">
        <f t="shared" si="21"/>
        <v>14.142802279120966</v>
      </c>
      <c r="AF143" s="145">
        <f t="shared" si="22"/>
        <v>-5.2525825234262953E-6</v>
      </c>
      <c r="AH143" s="181"/>
      <c r="AI143" s="181"/>
      <c r="AJ143" s="182"/>
    </row>
    <row r="144" spans="9:36" x14ac:dyDescent="0.25">
      <c r="I144" s="126">
        <v>3.2787601591900001E-2</v>
      </c>
      <c r="J144" s="50">
        <v>9.2553808566516003E-4</v>
      </c>
      <c r="K144" s="50">
        <v>6.8562488910036003E-5</v>
      </c>
      <c r="L144" s="67">
        <v>5.5168934141077753E-4</v>
      </c>
      <c r="N144" s="18">
        <v>-1.4214983013104339E-6</v>
      </c>
      <c r="O144" s="30">
        <v>1.060189425706933E-11</v>
      </c>
      <c r="P144" s="18">
        <v>1.2817224883292322E-9</v>
      </c>
      <c r="Q144" s="28">
        <v>5.6710790641788122</v>
      </c>
      <c r="R144" s="61">
        <v>288.84739356108327</v>
      </c>
      <c r="S144" s="58">
        <v>-5.2525825234262953E-8</v>
      </c>
      <c r="U144" s="172">
        <v>3.0473678491299956E-4</v>
      </c>
      <c r="V144" s="172">
        <v>5.5168934141077753E-4</v>
      </c>
      <c r="W144" s="172">
        <v>2.2036394402337421E-3</v>
      </c>
      <c r="X144" s="173">
        <f t="shared" si="16"/>
        <v>9.0293872699207423E-4</v>
      </c>
      <c r="Y144" s="185">
        <f t="shared" si="17"/>
        <v>0.10864733559407926</v>
      </c>
      <c r="AA144" s="143">
        <f t="shared" si="18"/>
        <v>0.32787601591900001</v>
      </c>
      <c r="AB144" s="144">
        <f t="shared" si="19"/>
        <v>9.2553808566516003E-4</v>
      </c>
      <c r="AC144" s="144">
        <f t="shared" si="20"/>
        <v>6.8562488910036003E-5</v>
      </c>
      <c r="AD144" s="144">
        <f t="shared" si="23"/>
        <v>9.0293872699207423E-4</v>
      </c>
      <c r="AE144" s="145">
        <f t="shared" si="21"/>
        <v>15.899739356108327</v>
      </c>
      <c r="AF144" s="145">
        <f t="shared" si="22"/>
        <v>-5.2525825234262953E-6</v>
      </c>
      <c r="AH144" s="181"/>
      <c r="AI144" s="181"/>
      <c r="AJ144" s="182"/>
    </row>
    <row r="145" spans="9:36" x14ac:dyDescent="0.25">
      <c r="I145" s="126">
        <v>3.3115477607800002E-2</v>
      </c>
      <c r="J145" s="50">
        <v>1.13247249642648E-3</v>
      </c>
      <c r="K145" s="50">
        <v>7.8569605466880015E-5</v>
      </c>
      <c r="L145" s="67">
        <v>7.5978062503013241E-4</v>
      </c>
      <c r="N145" s="18">
        <v>-1.4324442470274379E-6</v>
      </c>
      <c r="O145" s="18">
        <v>1.283084155913204E-11</v>
      </c>
      <c r="P145" s="18">
        <v>2.047304830890718E-9</v>
      </c>
      <c r="Q145" s="28">
        <v>5.6710790641788122</v>
      </c>
      <c r="R145" s="61">
        <v>288.84739356108327</v>
      </c>
      <c r="S145" s="58">
        <v>-3.2226899218554557E-8</v>
      </c>
      <c r="U145" s="172">
        <v>1.9708572434187232E-4</v>
      </c>
      <c r="V145" s="172">
        <v>7.5978062503013241E-4</v>
      </c>
      <c r="W145" s="172">
        <v>2.1181340074965384E-3</v>
      </c>
      <c r="X145" s="173">
        <f t="shared" si="16"/>
        <v>9.5869524547466888E-4</v>
      </c>
      <c r="Y145" s="185">
        <f t="shared" si="17"/>
        <v>4.8918902002095361</v>
      </c>
      <c r="AA145" s="143">
        <f t="shared" si="18"/>
        <v>0.33115477607800003</v>
      </c>
      <c r="AB145" s="144">
        <f t="shared" si="19"/>
        <v>1.13247249642648E-3</v>
      </c>
      <c r="AC145" s="144">
        <f t="shared" si="20"/>
        <v>7.8569605466880015E-5</v>
      </c>
      <c r="AD145" s="144">
        <f t="shared" si="23"/>
        <v>9.5869524547466888E-4</v>
      </c>
      <c r="AE145" s="145">
        <f t="shared" si="21"/>
        <v>15.899739356108327</v>
      </c>
      <c r="AF145" s="145">
        <f t="shared" si="22"/>
        <v>-3.2226899218554557E-6</v>
      </c>
      <c r="AH145" s="181"/>
      <c r="AI145" s="181"/>
      <c r="AJ145" s="182"/>
    </row>
    <row r="146" spans="9:36" x14ac:dyDescent="0.25">
      <c r="I146" s="126">
        <v>3.3446632383899999E-2</v>
      </c>
      <c r="J146" s="50">
        <v>1.0725647543503199E-3</v>
      </c>
      <c r="K146" s="50">
        <v>7.7495687606435998E-5</v>
      </c>
      <c r="L146" s="67">
        <v>9.7383935060457564E-4</v>
      </c>
      <c r="N146" s="18">
        <v>-1.4501430134413062E-6</v>
      </c>
      <c r="O146" s="18">
        <v>1.6434880777666367E-11</v>
      </c>
      <c r="P146" s="18">
        <v>3.2851935800125886E-9</v>
      </c>
      <c r="Q146" s="28">
        <v>5.6710790641788122</v>
      </c>
      <c r="R146" s="61">
        <v>301.9302771861328</v>
      </c>
      <c r="S146" s="58">
        <v>-3.2226899218554557E-8</v>
      </c>
      <c r="U146" s="172">
        <v>1.1162241240098052E-4</v>
      </c>
      <c r="V146" s="172">
        <v>9.7383935060457564E-4</v>
      </c>
      <c r="W146" s="172">
        <v>1.9708483955292E-3</v>
      </c>
      <c r="X146" s="173">
        <f t="shared" si="16"/>
        <v>1.0075373772848329E-3</v>
      </c>
      <c r="Y146" s="185">
        <f t="shared" si="17"/>
        <v>0.70410495624784664</v>
      </c>
      <c r="AA146" s="143">
        <f t="shared" si="18"/>
        <v>0.33446632383899999</v>
      </c>
      <c r="AB146" s="144">
        <f t="shared" si="19"/>
        <v>1.0725647543503199E-3</v>
      </c>
      <c r="AC146" s="144">
        <f t="shared" si="20"/>
        <v>7.7495687606435998E-5</v>
      </c>
      <c r="AD146" s="144">
        <f t="shared" si="23"/>
        <v>1.0075373772848329E-3</v>
      </c>
      <c r="AE146" s="145">
        <f t="shared" si="21"/>
        <v>17.20802771861328</v>
      </c>
      <c r="AF146" s="145">
        <f t="shared" si="22"/>
        <v>-3.2226899218554557E-6</v>
      </c>
      <c r="AH146" s="181"/>
      <c r="AI146" s="181"/>
      <c r="AJ146" s="182"/>
    </row>
    <row r="147" spans="9:36" x14ac:dyDescent="0.25">
      <c r="I147" s="126">
        <v>3.3781098707699998E-2</v>
      </c>
      <c r="J147" s="50">
        <v>1.3687750532807999E-3</v>
      </c>
      <c r="K147" s="50">
        <v>8.6981230715940005E-5</v>
      </c>
      <c r="L147" s="67">
        <v>1.1775804362926189E-3</v>
      </c>
      <c r="N147" s="18">
        <v>-1.4767920500980275E-6</v>
      </c>
      <c r="O147" s="18">
        <v>2.1861483457259009E-11</v>
      </c>
      <c r="P147" s="18">
        <v>5.1490829540450334E-9</v>
      </c>
      <c r="Q147" s="28">
        <v>5.6710790641788122</v>
      </c>
      <c r="R147" s="61">
        <v>301.9302771861328</v>
      </c>
      <c r="S147" s="58">
        <v>-2.861454721723893E-9</v>
      </c>
      <c r="U147" s="172">
        <v>5.6487648195893664E-5</v>
      </c>
      <c r="V147" s="172">
        <v>1.1775804362926189E-3</v>
      </c>
      <c r="W147" s="172">
        <v>1.7763718487740681E-3</v>
      </c>
      <c r="X147" s="173">
        <f t="shared" si="16"/>
        <v>1.0470050923887999E-3</v>
      </c>
      <c r="Y147" s="185">
        <f t="shared" si="17"/>
        <v>13.684845506462768</v>
      </c>
      <c r="AA147" s="143">
        <f t="shared" si="18"/>
        <v>0.33781098707699997</v>
      </c>
      <c r="AB147" s="144">
        <f t="shared" si="19"/>
        <v>1.3687750532807999E-3</v>
      </c>
      <c r="AC147" s="144">
        <f t="shared" si="20"/>
        <v>8.6981230715940005E-5</v>
      </c>
      <c r="AD147" s="144">
        <f t="shared" si="23"/>
        <v>1.0470050923887999E-3</v>
      </c>
      <c r="AE147" s="145">
        <f t="shared" si="21"/>
        <v>17.20802771861328</v>
      </c>
      <c r="AF147" s="145">
        <f t="shared" si="22"/>
        <v>-2.861454721723893E-7</v>
      </c>
      <c r="AH147" s="181"/>
      <c r="AI147" s="181"/>
      <c r="AJ147" s="182"/>
    </row>
    <row r="148" spans="9:36" x14ac:dyDescent="0.25">
      <c r="I148" s="126">
        <v>3.4118909694799998E-2</v>
      </c>
      <c r="J148" s="50">
        <v>1.2417054667036801E-3</v>
      </c>
      <c r="K148" s="50">
        <v>8.0048723353104008E-5</v>
      </c>
      <c r="L148" s="67">
        <v>1.3554637460724817E-3</v>
      </c>
      <c r="N148" s="18">
        <v>-1.5142506697512303E-6</v>
      </c>
      <c r="O148" s="18">
        <v>2.9489265594465983E-11</v>
      </c>
      <c r="P148" s="18">
        <v>7.7690171766923835E-9</v>
      </c>
      <c r="Q148" s="28">
        <v>5.6710790641788122</v>
      </c>
      <c r="R148" s="61">
        <v>309.21062608291089</v>
      </c>
      <c r="S148" s="58">
        <v>-2.861454721723893E-9</v>
      </c>
      <c r="U148" s="172">
        <v>3.7612422032351278E-5</v>
      </c>
      <c r="V148" s="172">
        <v>1.3554637460724817E-3</v>
      </c>
      <c r="W148" s="172">
        <v>1.5525626740038303E-3</v>
      </c>
      <c r="X148" s="173">
        <f t="shared" si="16"/>
        <v>1.0752756470452862E-3</v>
      </c>
      <c r="Y148" s="185">
        <f t="shared" si="17"/>
        <v>4.3226837665660174</v>
      </c>
      <c r="AA148" s="143">
        <f t="shared" si="18"/>
        <v>0.34118909694799998</v>
      </c>
      <c r="AB148" s="144">
        <f t="shared" si="19"/>
        <v>1.2417054667036801E-3</v>
      </c>
      <c r="AC148" s="144">
        <f t="shared" si="20"/>
        <v>8.0048723353104008E-5</v>
      </c>
      <c r="AD148" s="144">
        <f t="shared" si="23"/>
        <v>1.0752756470452862E-3</v>
      </c>
      <c r="AE148" s="145">
        <f t="shared" si="21"/>
        <v>17.936062608291088</v>
      </c>
      <c r="AF148" s="145">
        <f t="shared" si="22"/>
        <v>-2.861454721723893E-7</v>
      </c>
      <c r="AH148" s="181"/>
      <c r="AI148" s="181"/>
      <c r="AJ148" s="182"/>
    </row>
    <row r="149" spans="9:36" x14ac:dyDescent="0.25">
      <c r="I149" s="126">
        <v>3.4460098791800002E-2</v>
      </c>
      <c r="J149" s="50">
        <v>1.2756786741520802E-3</v>
      </c>
      <c r="K149" s="50">
        <v>8.0048459169888001E-5</v>
      </c>
      <c r="L149" s="67">
        <v>1.4941179321339209E-3</v>
      </c>
      <c r="N149" s="18">
        <v>-1.5634315771189237E-6</v>
      </c>
      <c r="O149" s="18">
        <v>3.9504083283532799E-11</v>
      </c>
      <c r="P149" s="18">
        <v>1.1208832725326771E-8</v>
      </c>
      <c r="Q149" s="28">
        <v>5.6710790641788122</v>
      </c>
      <c r="R149" s="61">
        <v>309.21062608291089</v>
      </c>
      <c r="S149" s="58">
        <v>3.036708201937162E-8</v>
      </c>
      <c r="U149" s="172">
        <v>5.8089766982364805E-5</v>
      </c>
      <c r="V149" s="172">
        <v>1.4941179321339209E-3</v>
      </c>
      <c r="W149" s="172">
        <v>1.3186196314244286E-3</v>
      </c>
      <c r="X149" s="173">
        <f t="shared" si="16"/>
        <v>1.0912363156686587E-3</v>
      </c>
      <c r="Y149" s="185">
        <f t="shared" si="17"/>
        <v>5.3090324573197849</v>
      </c>
      <c r="AA149" s="143">
        <f t="shared" si="18"/>
        <v>0.34460098791800003</v>
      </c>
      <c r="AB149" s="144">
        <f t="shared" si="19"/>
        <v>1.2756786741520802E-3</v>
      </c>
      <c r="AC149" s="144">
        <f t="shared" si="20"/>
        <v>8.0048459169888001E-5</v>
      </c>
      <c r="AD149" s="144">
        <f t="shared" si="23"/>
        <v>1.0912363156686587E-3</v>
      </c>
      <c r="AE149" s="145">
        <f t="shared" si="21"/>
        <v>17.936062608291088</v>
      </c>
      <c r="AF149" s="145">
        <f t="shared" si="22"/>
        <v>3.036708201937162E-6</v>
      </c>
      <c r="AH149" s="181"/>
      <c r="AI149" s="181"/>
      <c r="AJ149" s="182"/>
    </row>
    <row r="150" spans="9:36" x14ac:dyDescent="0.25">
      <c r="I150" s="126">
        <v>3.48046997797E-2</v>
      </c>
      <c r="J150" s="50">
        <v>1.4824810607244E-3</v>
      </c>
      <c r="K150" s="50">
        <v>8.846998955506801E-5</v>
      </c>
      <c r="L150" s="67">
        <v>1.5835793662013434E-3</v>
      </c>
      <c r="N150" s="18">
        <v>-1.623752823906694E-6</v>
      </c>
      <c r="O150" s="18">
        <v>5.178743309731771E-11</v>
      </c>
      <c r="P150" s="18">
        <v>1.5427826918790692E-8</v>
      </c>
      <c r="Q150" s="28">
        <v>5.6710790641788122</v>
      </c>
      <c r="R150" s="61">
        <v>314.54471093335587</v>
      </c>
      <c r="S150" s="58">
        <v>3.036708201937162E-8</v>
      </c>
      <c r="U150" s="172">
        <v>1.177806484345707E-4</v>
      </c>
      <c r="V150" s="172">
        <v>1.5835793662013434E-3</v>
      </c>
      <c r="W150" s="172">
        <v>1.093032144673888E-3</v>
      </c>
      <c r="X150" s="173">
        <f t="shared" si="16"/>
        <v>1.0944928813777864E-3</v>
      </c>
      <c r="Y150" s="185">
        <f t="shared" si="17"/>
        <v>19.232911654864694</v>
      </c>
      <c r="AA150" s="143">
        <f t="shared" si="18"/>
        <v>0.34804699779699999</v>
      </c>
      <c r="AB150" s="144">
        <f t="shared" si="19"/>
        <v>1.4824810607244E-3</v>
      </c>
      <c r="AC150" s="144">
        <f t="shared" si="20"/>
        <v>8.846998955506801E-5</v>
      </c>
      <c r="AD150" s="144">
        <f t="shared" si="23"/>
        <v>1.0944928813777864E-3</v>
      </c>
      <c r="AE150" s="145">
        <f t="shared" si="21"/>
        <v>18.469471093335589</v>
      </c>
      <c r="AF150" s="145">
        <f t="shared" si="22"/>
        <v>3.036708201937162E-6</v>
      </c>
      <c r="AH150" s="181"/>
      <c r="AI150" s="181"/>
      <c r="AJ150" s="182"/>
    </row>
    <row r="151" spans="9:36" x14ac:dyDescent="0.25">
      <c r="I151" s="126">
        <v>3.51527467775E-2</v>
      </c>
      <c r="J151" s="50">
        <v>1.4649294645348E-3</v>
      </c>
      <c r="K151" s="50">
        <v>8.646639444550799E-5</v>
      </c>
      <c r="L151" s="67">
        <v>1.6182111667710347E-3</v>
      </c>
      <c r="N151" s="18">
        <v>-1.6928696152854648E-6</v>
      </c>
      <c r="O151" s="18">
        <v>6.5861839243113075E-11</v>
      </c>
      <c r="P151" s="18">
        <v>2.026199990138579E-8</v>
      </c>
      <c r="Q151" s="28">
        <v>5.6710790641788122</v>
      </c>
      <c r="R151" s="61">
        <v>314.54471093335587</v>
      </c>
      <c r="S151" s="58">
        <v>6.5434824421082048E-8</v>
      </c>
      <c r="U151" s="172">
        <v>2.1320537011280756E-4</v>
      </c>
      <c r="V151" s="172">
        <v>1.6182111667710347E-3</v>
      </c>
      <c r="W151" s="172">
        <v>8.9165474438273056E-4</v>
      </c>
      <c r="X151" s="173">
        <f t="shared" si="16"/>
        <v>1.085320612009402E-3</v>
      </c>
      <c r="Y151" s="185">
        <f t="shared" si="17"/>
        <v>19.274271128732689</v>
      </c>
      <c r="AA151" s="143">
        <f t="shared" si="18"/>
        <v>0.35152746777499999</v>
      </c>
      <c r="AB151" s="144">
        <f t="shared" si="19"/>
        <v>1.4649294645348E-3</v>
      </c>
      <c r="AC151" s="144">
        <f t="shared" si="20"/>
        <v>8.646639444550799E-5</v>
      </c>
      <c r="AD151" s="144">
        <f t="shared" si="23"/>
        <v>1.085320612009402E-3</v>
      </c>
      <c r="AE151" s="145">
        <f t="shared" si="21"/>
        <v>18.469471093335589</v>
      </c>
      <c r="AF151" s="145">
        <f t="shared" si="22"/>
        <v>6.5434824421082048E-6</v>
      </c>
      <c r="AH151" s="181"/>
      <c r="AI151" s="181"/>
      <c r="AJ151" s="182"/>
    </row>
    <row r="152" spans="9:36" x14ac:dyDescent="0.25">
      <c r="I152" s="126">
        <v>3.5504274245200002E-2</v>
      </c>
      <c r="J152" s="50">
        <v>1.4276027975616004E-3</v>
      </c>
      <c r="K152" s="50">
        <v>8.7049220018244007E-5</v>
      </c>
      <c r="L152" s="67">
        <v>1.5971958492452061E-3</v>
      </c>
      <c r="N152" s="18">
        <v>-1.7481598386162788E-6</v>
      </c>
      <c r="O152" s="18">
        <v>7.71207105466878E-11</v>
      </c>
      <c r="P152" s="18">
        <v>2.4129113789279101E-8</v>
      </c>
      <c r="Q152" s="28">
        <v>2.8355395320894061</v>
      </c>
      <c r="R152" s="61">
        <v>318.88551616169048</v>
      </c>
      <c r="S152" s="58">
        <v>6.5434824421082048E-8</v>
      </c>
      <c r="U152" s="172">
        <v>3.3774637504819258E-4</v>
      </c>
      <c r="V152" s="172">
        <v>1.5971958492452061E-3</v>
      </c>
      <c r="W152" s="172">
        <v>7.2614492361828035E-4</v>
      </c>
      <c r="X152" s="173">
        <f t="shared" si="16"/>
        <v>1.0645707492892213E-3</v>
      </c>
      <c r="Y152" s="185">
        <f t="shared" si="17"/>
        <v>17.392425984482564</v>
      </c>
      <c r="AA152" s="143">
        <f t="shared" si="18"/>
        <v>0.35504274245200002</v>
      </c>
      <c r="AB152" s="144">
        <f t="shared" si="19"/>
        <v>1.4276027975616004E-3</v>
      </c>
      <c r="AC152" s="144">
        <f t="shared" si="20"/>
        <v>8.7049220018244007E-5</v>
      </c>
      <c r="AD152" s="144">
        <f t="shared" si="23"/>
        <v>1.0645707492892213E-3</v>
      </c>
      <c r="AE152" s="145">
        <f t="shared" si="21"/>
        <v>18.903551616169047</v>
      </c>
      <c r="AF152" s="145">
        <f t="shared" si="22"/>
        <v>6.5434824421082048E-6</v>
      </c>
      <c r="AH152" s="181"/>
      <c r="AI152" s="181"/>
      <c r="AJ152" s="182"/>
    </row>
    <row r="153" spans="9:36" x14ac:dyDescent="0.25">
      <c r="I153" s="126">
        <v>3.58593169877E-2</v>
      </c>
      <c r="J153" s="50">
        <v>1.4057988389808002E-3</v>
      </c>
      <c r="K153" s="50">
        <v>8.4352776269652028E-5</v>
      </c>
      <c r="L153" s="67">
        <v>1.5245373649580654E-3</v>
      </c>
      <c r="N153" s="18">
        <v>-1.785240165439706E-6</v>
      </c>
      <c r="O153" s="18">
        <v>8.467146007254098E-11</v>
      </c>
      <c r="P153" s="18">
        <v>2.6722589420016585E-8</v>
      </c>
      <c r="Q153" s="28">
        <v>2.800459635306872</v>
      </c>
      <c r="R153" s="61">
        <v>318.88551616169048</v>
      </c>
      <c r="S153" s="58">
        <v>1.0141525327054418E-7</v>
      </c>
      <c r="U153" s="172">
        <v>4.8215776448887914E-4</v>
      </c>
      <c r="V153" s="172">
        <v>1.5245373649580654E-3</v>
      </c>
      <c r="W153" s="172">
        <v>6.0296314479718106E-4</v>
      </c>
      <c r="X153" s="173">
        <f t="shared" si="16"/>
        <v>1.0335489098005479E-3</v>
      </c>
      <c r="Y153" s="185">
        <f t="shared" si="17"/>
        <v>19.474686973001198</v>
      </c>
      <c r="AA153" s="143">
        <f t="shared" si="18"/>
        <v>0.35859316987700002</v>
      </c>
      <c r="AB153" s="144">
        <f t="shared" si="19"/>
        <v>1.4057988389808002E-3</v>
      </c>
      <c r="AC153" s="144">
        <f t="shared" si="20"/>
        <v>8.4352776269652028E-5</v>
      </c>
      <c r="AD153" s="144">
        <f t="shared" si="23"/>
        <v>1.0335489098005479E-3</v>
      </c>
      <c r="AE153" s="145">
        <f t="shared" si="21"/>
        <v>18.903551616169047</v>
      </c>
      <c r="AF153" s="145">
        <f t="shared" si="22"/>
        <v>1.0141525327054418E-5</v>
      </c>
      <c r="AH153" s="181"/>
      <c r="AI153" s="181"/>
      <c r="AJ153" s="182"/>
    </row>
    <row r="154" spans="9:36" x14ac:dyDescent="0.25">
      <c r="I154" s="126">
        <v>3.6217910157600001E-2</v>
      </c>
      <c r="J154" s="50">
        <v>1.3020948113975999E-3</v>
      </c>
      <c r="K154" s="50">
        <v>8.2041507915840012E-5</v>
      </c>
      <c r="L154" s="67">
        <v>1.4085606745082744E-3</v>
      </c>
      <c r="N154" s="18">
        <v>-1.8220119749800088E-6</v>
      </c>
      <c r="O154" s="18">
        <v>9.2159385536989183E-11</v>
      </c>
      <c r="P154" s="18">
        <v>2.9294486706548655E-8</v>
      </c>
      <c r="Q154" s="28">
        <v>2.8483063579951828</v>
      </c>
      <c r="R154" s="61">
        <v>322.63382557580138</v>
      </c>
      <c r="S154" s="58">
        <v>1.0141525327054418E-7</v>
      </c>
      <c r="U154" s="172">
        <v>6.3534447661757151E-4</v>
      </c>
      <c r="V154" s="172">
        <v>1.4085606745082744E-3</v>
      </c>
      <c r="W154" s="172">
        <v>5.2306184436074236E-4</v>
      </c>
      <c r="X154" s="173">
        <f t="shared" si="16"/>
        <v>9.9388191749871574E-4</v>
      </c>
      <c r="Y154" s="185">
        <f t="shared" si="17"/>
        <v>14.113487348647382</v>
      </c>
      <c r="AA154" s="143">
        <f t="shared" si="18"/>
        <v>0.36217910157600003</v>
      </c>
      <c r="AB154" s="144">
        <f t="shared" si="19"/>
        <v>1.3020948113975999E-3</v>
      </c>
      <c r="AC154" s="144">
        <f t="shared" si="20"/>
        <v>8.2041507915840012E-5</v>
      </c>
      <c r="AD154" s="144">
        <f t="shared" si="23"/>
        <v>9.9388191749871574E-4</v>
      </c>
      <c r="AE154" s="145">
        <f t="shared" si="21"/>
        <v>19.278382557580137</v>
      </c>
      <c r="AF154" s="145">
        <f t="shared" si="22"/>
        <v>1.0141525327054418E-5</v>
      </c>
      <c r="AH154" s="181"/>
      <c r="AI154" s="181"/>
      <c r="AJ154" s="182"/>
    </row>
    <row r="155" spans="9:36" x14ac:dyDescent="0.25">
      <c r="I155" s="126">
        <v>3.6580089259100002E-2</v>
      </c>
      <c r="J155" s="50">
        <v>1.14495951187728E-3</v>
      </c>
      <c r="K155" s="50">
        <v>7.4272013814768011E-5</v>
      </c>
      <c r="L155" s="67">
        <v>1.2609544162236128E-3</v>
      </c>
      <c r="N155" s="18">
        <v>-1.8587765923262615E-6</v>
      </c>
      <c r="O155" s="18">
        <v>9.9645846438946616E-11</v>
      </c>
      <c r="P155" s="18">
        <v>3.1865880955982683E-8</v>
      </c>
      <c r="Q155" s="28">
        <v>2.94914075396039</v>
      </c>
      <c r="R155" s="61">
        <v>322.63382557580138</v>
      </c>
      <c r="S155" s="58">
        <v>1.3784648804327984E-7</v>
      </c>
      <c r="U155" s="172">
        <v>7.853435010581355E-4</v>
      </c>
      <c r="V155" s="172">
        <v>1.2609544162236128E-3</v>
      </c>
      <c r="W155" s="172">
        <v>4.8229555755118289E-4</v>
      </c>
      <c r="X155" s="173">
        <f t="shared" si="16"/>
        <v>9.4738697276413599E-4</v>
      </c>
      <c r="Y155" s="185">
        <f t="shared" si="17"/>
        <v>7.0762434088729105</v>
      </c>
      <c r="AA155" s="143">
        <f t="shared" si="18"/>
        <v>0.36580089259100002</v>
      </c>
      <c r="AB155" s="144">
        <f t="shared" si="19"/>
        <v>1.14495951187728E-3</v>
      </c>
      <c r="AC155" s="144">
        <f t="shared" si="20"/>
        <v>7.4272013814768011E-5</v>
      </c>
      <c r="AD155" s="144">
        <f t="shared" si="23"/>
        <v>9.4738697276413599E-4</v>
      </c>
      <c r="AE155" s="145">
        <f t="shared" si="21"/>
        <v>19.278382557580137</v>
      </c>
      <c r="AF155" s="145">
        <f t="shared" si="22"/>
        <v>1.3784648804327984E-5</v>
      </c>
      <c r="AH155" s="181"/>
      <c r="AI155" s="181"/>
      <c r="AJ155" s="182"/>
    </row>
    <row r="156" spans="9:36" x14ac:dyDescent="0.25">
      <c r="I156" s="126">
        <v>3.6945890151700002E-2</v>
      </c>
      <c r="J156" s="50">
        <v>1.22945450652156E-3</v>
      </c>
      <c r="K156" s="50">
        <v>8.239134315297601E-5</v>
      </c>
      <c r="L156" s="67">
        <v>1.0954582724299676E-3</v>
      </c>
      <c r="N156" s="18">
        <v>-1.8955100414185461E-6</v>
      </c>
      <c r="O156" s="18">
        <v>1.0712596047993935E-10</v>
      </c>
      <c r="P156" s="18">
        <v>3.4435095232529613E-8</v>
      </c>
      <c r="Q156" s="28">
        <v>3.1147237315136964</v>
      </c>
      <c r="R156" s="61">
        <v>326.00109310951945</v>
      </c>
      <c r="S156" s="58">
        <v>1.3784648804327984E-7</v>
      </c>
      <c r="U156" s="172">
        <v>9.2041443474510974E-4</v>
      </c>
      <c r="V156" s="172">
        <v>1.0954582724299676E-3</v>
      </c>
      <c r="W156" s="172">
        <v>4.7248039580275733E-4</v>
      </c>
      <c r="X156" s="173">
        <f t="shared" si="16"/>
        <v>8.9595284385195055E-4</v>
      </c>
      <c r="Y156" s="185">
        <f t="shared" si="17"/>
        <v>16.384486738433051</v>
      </c>
      <c r="AA156" s="143">
        <f t="shared" si="18"/>
        <v>0.369458901517</v>
      </c>
      <c r="AB156" s="144">
        <f t="shared" si="19"/>
        <v>1.22945450652156E-3</v>
      </c>
      <c r="AC156" s="144">
        <f t="shared" si="20"/>
        <v>8.239134315297601E-5</v>
      </c>
      <c r="AD156" s="144">
        <f t="shared" si="23"/>
        <v>8.9595284385195055E-4</v>
      </c>
      <c r="AE156" s="145">
        <f t="shared" si="21"/>
        <v>19.615109310951944</v>
      </c>
      <c r="AF156" s="145">
        <f t="shared" si="22"/>
        <v>1.3784648804327984E-5</v>
      </c>
      <c r="AH156" s="181"/>
      <c r="AI156" s="181"/>
      <c r="AJ156" s="182"/>
    </row>
    <row r="157" spans="9:36" x14ac:dyDescent="0.25">
      <c r="I157" s="126">
        <v>3.7315349053300001E-2</v>
      </c>
      <c r="J157" s="50">
        <v>1.1591919785358001E-3</v>
      </c>
      <c r="K157" s="50">
        <v>8.0293772719644007E-5</v>
      </c>
      <c r="L157" s="67">
        <v>9.2634406384663919E-4</v>
      </c>
      <c r="N157" s="18">
        <v>-1.9321535119567203E-6</v>
      </c>
      <c r="O157" s="18">
        <v>1.1458775198758391E-10</v>
      </c>
      <c r="P157" s="18">
        <v>3.6998016220765344E-8</v>
      </c>
      <c r="Q157" s="28">
        <v>3.3672675337180418</v>
      </c>
      <c r="R157" s="61">
        <v>326.00109310951945</v>
      </c>
      <c r="S157" s="58">
        <v>1.74489958581454E-7</v>
      </c>
      <c r="U157" s="172">
        <v>1.030130380337369E-3</v>
      </c>
      <c r="V157" s="172">
        <v>9.2634406384663919E-4</v>
      </c>
      <c r="W157" s="172">
        <v>4.8293458771194781E-4</v>
      </c>
      <c r="X157" s="173">
        <f t="shared" si="16"/>
        <v>8.4143827393564881E-4</v>
      </c>
      <c r="Y157" s="185">
        <f t="shared" si="17"/>
        <v>15.660928847756885</v>
      </c>
      <c r="AA157" s="143">
        <f t="shared" si="18"/>
        <v>0.37315349053300001</v>
      </c>
      <c r="AB157" s="144">
        <f t="shared" si="19"/>
        <v>1.1591919785358001E-3</v>
      </c>
      <c r="AC157" s="144">
        <f t="shared" si="20"/>
        <v>8.0293772719644007E-5</v>
      </c>
      <c r="AD157" s="144">
        <f t="shared" si="23"/>
        <v>8.4143827393564881E-4</v>
      </c>
      <c r="AE157" s="145">
        <f t="shared" si="21"/>
        <v>19.615109310951944</v>
      </c>
      <c r="AF157" s="145">
        <f t="shared" si="22"/>
        <v>1.7448995858145401E-5</v>
      </c>
      <c r="AH157" s="181"/>
      <c r="AI157" s="181"/>
      <c r="AJ157" s="182"/>
    </row>
    <row r="158" spans="9:36" x14ac:dyDescent="0.25">
      <c r="I158" s="126">
        <v>3.7688502543799997E-2</v>
      </c>
      <c r="J158" s="50">
        <v>1.2174492139048799E-3</v>
      </c>
      <c r="K158" s="50">
        <v>8.1089864802011993E-5</v>
      </c>
      <c r="L158" s="67">
        <v>7.668711532635424E-4</v>
      </c>
      <c r="N158" s="18">
        <v>-1.9685847467294559E-6</v>
      </c>
      <c r="O158" s="18">
        <v>1.220063254536808E-10</v>
      </c>
      <c r="P158" s="18">
        <v>3.9546092995565262E-8</v>
      </c>
      <c r="Q158" s="28">
        <v>3.7483094141109112</v>
      </c>
      <c r="R158" s="61">
        <v>329.11581684103317</v>
      </c>
      <c r="S158" s="58">
        <v>1.74489958581454E-7</v>
      </c>
      <c r="U158" s="172">
        <v>1.106355087633426E-3</v>
      </c>
      <c r="V158" s="172">
        <v>7.668711532635424E-4</v>
      </c>
      <c r="W158" s="172">
        <v>5.0225909171569875E-4</v>
      </c>
      <c r="X158" s="173">
        <f t="shared" si="16"/>
        <v>7.8558912146905243E-4</v>
      </c>
      <c r="Y158" s="185">
        <f t="shared" si="17"/>
        <v>28.363054148435559</v>
      </c>
      <c r="AA158" s="143">
        <f t="shared" si="18"/>
        <v>0.37688502543799995</v>
      </c>
      <c r="AB158" s="144">
        <f t="shared" si="19"/>
        <v>1.2174492139048799E-3</v>
      </c>
      <c r="AC158" s="144">
        <f t="shared" si="20"/>
        <v>8.1089864802011993E-5</v>
      </c>
      <c r="AD158" s="144">
        <f t="shared" si="23"/>
        <v>7.8558912146905243E-4</v>
      </c>
      <c r="AE158" s="145">
        <f t="shared" si="21"/>
        <v>19.926581684103319</v>
      </c>
      <c r="AF158" s="145">
        <f t="shared" si="22"/>
        <v>1.7448995858145401E-5</v>
      </c>
      <c r="AH158" s="181"/>
      <c r="AI158" s="181"/>
      <c r="AJ158" s="182"/>
    </row>
    <row r="159" spans="9:36" x14ac:dyDescent="0.25">
      <c r="I159" s="126">
        <v>3.8065387569199999E-2</v>
      </c>
      <c r="J159" s="50">
        <v>1.0133439770242802E-3</v>
      </c>
      <c r="K159" s="50">
        <v>7.1061816262008007E-5</v>
      </c>
      <c r="L159" s="67">
        <v>6.2790628186185765E-4</v>
      </c>
      <c r="N159" s="18">
        <v>-2.004565175578918E-6</v>
      </c>
      <c r="O159" s="18">
        <v>1.2933310030571428E-10</v>
      </c>
      <c r="P159" s="18">
        <v>4.2062639460997382E-8</v>
      </c>
      <c r="Q159" s="28">
        <v>4.3408052283345979</v>
      </c>
      <c r="R159" s="61">
        <v>329.11581684103317</v>
      </c>
      <c r="S159" s="58">
        <v>2.1122340767373856E-7</v>
      </c>
      <c r="U159" s="172">
        <v>1.1439996487908875E-3</v>
      </c>
      <c r="V159" s="172">
        <v>6.2790628186185765E-4</v>
      </c>
      <c r="W159" s="172">
        <v>5.2008162244756195E-4</v>
      </c>
      <c r="X159" s="173">
        <f t="shared" si="16"/>
        <v>7.2997345874054108E-4</v>
      </c>
      <c r="Y159" s="185">
        <f t="shared" si="17"/>
        <v>15.901449789029515</v>
      </c>
      <c r="AA159" s="143">
        <f t="shared" si="18"/>
        <v>0.38065387569199999</v>
      </c>
      <c r="AB159" s="144">
        <f t="shared" si="19"/>
        <v>1.0133439770242802E-3</v>
      </c>
      <c r="AC159" s="144">
        <f t="shared" si="20"/>
        <v>7.1061816262008007E-5</v>
      </c>
      <c r="AD159" s="144">
        <f t="shared" si="23"/>
        <v>7.2997345874054108E-4</v>
      </c>
      <c r="AE159" s="145">
        <f t="shared" si="21"/>
        <v>19.926581684103319</v>
      </c>
      <c r="AF159" s="145">
        <f t="shared" si="22"/>
        <v>2.1122340767373858E-5</v>
      </c>
      <c r="AH159" s="181"/>
      <c r="AI159" s="181"/>
      <c r="AJ159" s="182"/>
    </row>
    <row r="160" spans="9:36" x14ac:dyDescent="0.25">
      <c r="I160" s="126">
        <v>3.8446041444899999E-2</v>
      </c>
      <c r="J160" s="50">
        <v>1.0019101295306401E-3</v>
      </c>
      <c r="K160" s="50">
        <v>7.1667107361563992E-5</v>
      </c>
      <c r="L160" s="70">
        <v>5.1688180106476851E-4</v>
      </c>
      <c r="M160" s="32"/>
      <c r="N160" s="18">
        <v>-2.0396329179806285E-6</v>
      </c>
      <c r="O160" s="18">
        <v>1.364740227839154E-10</v>
      </c>
      <c r="P160" s="18">
        <v>4.4515350726917373E-8</v>
      </c>
      <c r="Q160" s="28">
        <v>5.3340848504449632</v>
      </c>
      <c r="R160" s="61">
        <v>332.06495759499353</v>
      </c>
      <c r="S160" s="58">
        <v>2.1122340767373856E-7</v>
      </c>
      <c r="U160" s="172">
        <v>1.1414719828199669E-3</v>
      </c>
      <c r="V160" s="172">
        <v>5.1688180106476851E-4</v>
      </c>
      <c r="W160" s="172">
        <v>5.2849621198666037E-4</v>
      </c>
      <c r="X160" s="173">
        <f t="shared" si="16"/>
        <v>6.7593294923404105E-4</v>
      </c>
      <c r="Y160" s="185">
        <f t="shared" si="17"/>
        <v>20.688768786154512</v>
      </c>
      <c r="AA160" s="143">
        <f t="shared" si="18"/>
        <v>0.38446041444899998</v>
      </c>
      <c r="AB160" s="144">
        <f t="shared" si="19"/>
        <v>1.0019101295306401E-3</v>
      </c>
      <c r="AC160" s="144">
        <f t="shared" si="20"/>
        <v>7.1667107361563992E-5</v>
      </c>
      <c r="AD160" s="144">
        <f t="shared" si="23"/>
        <v>6.7593294923404105E-4</v>
      </c>
      <c r="AE160" s="145">
        <f t="shared" si="21"/>
        <v>20.221495759499355</v>
      </c>
      <c r="AF160" s="145">
        <f t="shared" si="22"/>
        <v>2.1122340767373858E-5</v>
      </c>
      <c r="AH160" s="181"/>
      <c r="AI160" s="181"/>
      <c r="AJ160" s="182"/>
    </row>
    <row r="161" spans="1:36" x14ac:dyDescent="0.25">
      <c r="I161" s="126">
        <v>3.8830501859399999E-2</v>
      </c>
      <c r="J161" s="50">
        <v>7.9899218416379998E-4</v>
      </c>
      <c r="K161" s="50">
        <v>6.4439911133267993E-5</v>
      </c>
      <c r="L161" s="70">
        <v>4.3722433777147979E-4</v>
      </c>
      <c r="M161" s="32"/>
      <c r="N161" s="18">
        <v>-2.0728614547224304E-6</v>
      </c>
      <c r="O161" s="18">
        <v>1.4324042371766284E-10</v>
      </c>
      <c r="P161" s="18">
        <v>4.6839424101291419E-8</v>
      </c>
      <c r="Q161" s="28">
        <v>7.2803488967781078</v>
      </c>
      <c r="R161" s="61">
        <v>332.06495759499353</v>
      </c>
      <c r="S161" s="58">
        <v>2.4798802501999132E-7</v>
      </c>
      <c r="U161" s="172">
        <v>1.1007633994934466E-3</v>
      </c>
      <c r="V161" s="172">
        <v>4.3722433777147979E-4</v>
      </c>
      <c r="W161" s="172">
        <v>5.2298371280074354E-4</v>
      </c>
      <c r="X161" s="173">
        <f t="shared" si="16"/>
        <v>6.2454894695928751E-4</v>
      </c>
      <c r="Y161" s="185">
        <f t="shared" si="17"/>
        <v>7.3282184885503163</v>
      </c>
      <c r="AA161" s="143">
        <f t="shared" si="18"/>
        <v>0.38830501859400002</v>
      </c>
      <c r="AB161" s="144">
        <f t="shared" si="19"/>
        <v>7.9899218416379998E-4</v>
      </c>
      <c r="AC161" s="144">
        <f t="shared" si="20"/>
        <v>6.4439911133267993E-5</v>
      </c>
      <c r="AD161" s="144">
        <f t="shared" si="23"/>
        <v>6.2454894695928751E-4</v>
      </c>
      <c r="AE161" s="145">
        <f t="shared" si="21"/>
        <v>20.221495759499355</v>
      </c>
      <c r="AF161" s="145">
        <f t="shared" si="22"/>
        <v>2.4798802501999134E-5</v>
      </c>
      <c r="AH161" s="181"/>
      <c r="AI161" s="181"/>
      <c r="AJ161" s="182"/>
    </row>
    <row r="162" spans="1:36" x14ac:dyDescent="0.25">
      <c r="I162" s="126">
        <v>3.9218806878000001E-2</v>
      </c>
      <c r="J162" s="50">
        <v>8.4550885616208006E-4</v>
      </c>
      <c r="K162" s="50">
        <v>6.7461599799528008E-5</v>
      </c>
      <c r="L162" s="70">
        <v>3.8832250568748502E-4</v>
      </c>
      <c r="M162" s="32"/>
      <c r="N162" s="18">
        <v>-2.1022268992206532E-6</v>
      </c>
      <c r="O162" s="18">
        <v>1.4922017457487418E-10</v>
      </c>
      <c r="P162" s="18">
        <v>4.8893304722445185E-8</v>
      </c>
      <c r="Q162" s="28">
        <v>13.082883625049535</v>
      </c>
      <c r="R162" s="61">
        <v>334.9132639529887</v>
      </c>
      <c r="S162" s="58">
        <v>2.4798802501999132E-7</v>
      </c>
      <c r="U162" s="172">
        <v>1.0271559620769731E-3</v>
      </c>
      <c r="V162" s="172">
        <v>3.8832250568748502E-4</v>
      </c>
      <c r="W162" s="172">
        <v>5.0268884220319113E-4</v>
      </c>
      <c r="X162" s="173">
        <f t="shared" si="16"/>
        <v>5.7662245391378356E-4</v>
      </c>
      <c r="Y162" s="185">
        <f t="shared" si="17"/>
        <v>15.886360320492084</v>
      </c>
      <c r="AA162" s="143">
        <f t="shared" si="18"/>
        <v>0.39218806878000001</v>
      </c>
      <c r="AB162" s="144">
        <f t="shared" si="19"/>
        <v>8.4550885616208006E-4</v>
      </c>
      <c r="AC162" s="144">
        <f t="shared" si="20"/>
        <v>6.7461599799528008E-5</v>
      </c>
      <c r="AD162" s="144">
        <f t="shared" si="23"/>
        <v>5.7662245391378356E-4</v>
      </c>
      <c r="AE162" s="145">
        <f t="shared" si="21"/>
        <v>20.506326395298871</v>
      </c>
      <c r="AF162" s="145">
        <f t="shared" si="22"/>
        <v>2.4798802501999134E-5</v>
      </c>
      <c r="AH162" s="181"/>
      <c r="AI162" s="181"/>
      <c r="AJ162" s="182"/>
    </row>
    <row r="163" spans="1:36" x14ac:dyDescent="0.25">
      <c r="I163" s="126">
        <v>3.96109949467E-2</v>
      </c>
      <c r="J163" s="50">
        <v>8.5512531420096005E-4</v>
      </c>
      <c r="K163" s="50">
        <v>6.3383267171927986E-5</v>
      </c>
      <c r="L163" s="70">
        <v>3.6602578918418563E-4</v>
      </c>
      <c r="M163" s="32"/>
      <c r="N163" s="18">
        <v>-2.1225258252450064E-6</v>
      </c>
      <c r="O163" s="18">
        <v>1.5335369008294302E-10</v>
      </c>
      <c r="P163" s="18">
        <v>5.0313054073751674E-8</v>
      </c>
      <c r="Q163" s="28">
        <v>17.569370769873625</v>
      </c>
      <c r="R163" s="61">
        <v>334.9132639529887</v>
      </c>
      <c r="S163" s="58">
        <v>2.8475983456029408E-7</v>
      </c>
      <c r="U163" s="172">
        <v>9.2857816823987624E-4</v>
      </c>
      <c r="V163" s="172">
        <v>3.6602578918418563E-4</v>
      </c>
      <c r="W163" s="172">
        <v>4.7004210428446577E-4</v>
      </c>
      <c r="X163" s="173">
        <f t="shared" si="16"/>
        <v>5.3266796272317832E-4</v>
      </c>
      <c r="Y163" s="185">
        <f t="shared" si="17"/>
        <v>25.881850347368836</v>
      </c>
      <c r="AA163" s="143">
        <f t="shared" si="18"/>
        <v>0.39610994946700001</v>
      </c>
      <c r="AB163" s="144">
        <f t="shared" si="19"/>
        <v>8.5512531420096005E-4</v>
      </c>
      <c r="AC163" s="144">
        <f t="shared" si="20"/>
        <v>6.3383267171927986E-5</v>
      </c>
      <c r="AD163" s="144">
        <f t="shared" si="23"/>
        <v>5.3266796272317832E-4</v>
      </c>
      <c r="AE163" s="145">
        <f t="shared" si="21"/>
        <v>20.506326395298871</v>
      </c>
      <c r="AF163" s="145">
        <f t="shared" si="22"/>
        <v>2.847598345602941E-5</v>
      </c>
      <c r="AH163" s="181"/>
      <c r="AI163" s="181"/>
      <c r="AJ163" s="182"/>
    </row>
    <row r="164" spans="1:36" x14ac:dyDescent="0.25">
      <c r="I164" s="126">
        <v>4.0007104896199998E-2</v>
      </c>
      <c r="J164" s="50">
        <v>7.2782999364636011E-4</v>
      </c>
      <c r="K164" s="50">
        <v>6.046030030774801E-5</v>
      </c>
      <c r="L164" s="70">
        <v>3.6358872196157194E-4</v>
      </c>
      <c r="M164" s="32"/>
      <c r="N164" s="18">
        <v>-2.1253305983852366E-6</v>
      </c>
      <c r="O164" s="18">
        <v>1.5392483124954098E-10</v>
      </c>
      <c r="P164" s="18">
        <v>5.0509225524801313E-8</v>
      </c>
      <c r="Q164" s="28">
        <v>100.71784444048316</v>
      </c>
      <c r="R164" s="61">
        <v>337.71372358829558</v>
      </c>
      <c r="S164" s="58">
        <v>2.8475983456029408E-7</v>
      </c>
      <c r="U164" s="172">
        <v>8.1467962483630998E-4</v>
      </c>
      <c r="V164" s="172">
        <v>3.6358872196157194E-4</v>
      </c>
      <c r="W164" s="172">
        <v>4.2983103096677801E-4</v>
      </c>
      <c r="X164" s="173">
        <f t="shared" si="16"/>
        <v>4.9292202493155792E-4</v>
      </c>
      <c r="Y164" s="185">
        <f t="shared" si="17"/>
        <v>15.095757093103286</v>
      </c>
      <c r="AA164" s="143">
        <f t="shared" si="18"/>
        <v>0.40007104896199996</v>
      </c>
      <c r="AB164" s="144">
        <f t="shared" si="19"/>
        <v>7.2782999364636011E-4</v>
      </c>
      <c r="AC164" s="144">
        <f t="shared" si="20"/>
        <v>6.046030030774801E-5</v>
      </c>
      <c r="AD164" s="144">
        <f t="shared" si="23"/>
        <v>4.9292202493155792E-4</v>
      </c>
      <c r="AE164" s="145">
        <f t="shared" si="21"/>
        <v>20.78637235882956</v>
      </c>
      <c r="AF164" s="145">
        <f t="shared" si="22"/>
        <v>2.847598345602941E-5</v>
      </c>
      <c r="AH164" s="181"/>
      <c r="AI164" s="181"/>
      <c r="AJ164" s="182"/>
    </row>
    <row r="165" spans="1:36" x14ac:dyDescent="0.25">
      <c r="I165" s="126">
        <v>4.0407175945199998E-2</v>
      </c>
      <c r="J165" s="50">
        <v>6.7852608123431999E-4</v>
      </c>
      <c r="K165" s="50">
        <v>5.6757437984807994E-5</v>
      </c>
      <c r="L165" s="70">
        <v>3.7290771573771179E-4</v>
      </c>
      <c r="M165" s="32"/>
      <c r="N165" s="18">
        <v>-2.1225264408318348E-6</v>
      </c>
      <c r="O165" s="18">
        <v>1.5335365406838085E-10</v>
      </c>
      <c r="P165" s="18">
        <v>5.0313058109464954E-8</v>
      </c>
      <c r="Q165" s="28">
        <v>17.569370769873625</v>
      </c>
      <c r="R165" s="61">
        <v>337.71372358829558</v>
      </c>
      <c r="S165" s="58">
        <v>3.2184016138372131E-7</v>
      </c>
      <c r="U165" s="172">
        <v>6.9573231299220606E-4</v>
      </c>
      <c r="V165" s="172">
        <v>3.7290771573771179E-4</v>
      </c>
      <c r="W165" s="172">
        <v>3.8792356131009869E-4</v>
      </c>
      <c r="X165" s="173">
        <f t="shared" si="16"/>
        <v>4.5736782644443207E-4</v>
      </c>
      <c r="Y165" s="185">
        <f t="shared" si="17"/>
        <v>15.183110114759524</v>
      </c>
      <c r="AA165" s="143">
        <f t="shared" si="18"/>
        <v>0.40407175945199997</v>
      </c>
      <c r="AB165" s="144">
        <f t="shared" si="19"/>
        <v>6.7852608123431999E-4</v>
      </c>
      <c r="AC165" s="144">
        <f t="shared" si="20"/>
        <v>5.6757437984807994E-5</v>
      </c>
      <c r="AD165" s="144">
        <f t="shared" si="23"/>
        <v>4.5736782644443207E-4</v>
      </c>
      <c r="AE165" s="145">
        <f t="shared" si="21"/>
        <v>20.78637235882956</v>
      </c>
      <c r="AF165" s="145">
        <f t="shared" si="22"/>
        <v>3.2184016138372128E-5</v>
      </c>
      <c r="AH165" s="181"/>
      <c r="AI165" s="181"/>
      <c r="AJ165" s="182"/>
    </row>
    <row r="166" spans="1:36" x14ac:dyDescent="0.25">
      <c r="I166" s="126">
        <v>4.0811247704599998E-2</v>
      </c>
      <c r="J166" s="50">
        <v>7.0067953164263991E-4</v>
      </c>
      <c r="K166" s="50">
        <v>5.7768178790124002E-5</v>
      </c>
      <c r="L166" s="70">
        <v>3.8585402145198248E-4</v>
      </c>
      <c r="M166" s="32"/>
      <c r="N166" s="18">
        <v>-2.1022289589481422E-6</v>
      </c>
      <c r="O166" s="18">
        <v>1.4922007483817444E-10</v>
      </c>
      <c r="P166" s="18">
        <v>4.8893323247235339E-8</v>
      </c>
      <c r="Q166" s="28">
        <v>13.082883625049535</v>
      </c>
      <c r="R166" s="61">
        <v>340.54926312038498</v>
      </c>
      <c r="S166" s="58">
        <v>3.2184016138372131E-7</v>
      </c>
      <c r="U166" s="172">
        <v>5.8149120235433029E-4</v>
      </c>
      <c r="V166" s="172">
        <v>3.8585402145198248E-4</v>
      </c>
      <c r="W166" s="172">
        <v>3.4990762510170683E-4</v>
      </c>
      <c r="X166" s="173">
        <f t="shared" si="16"/>
        <v>4.2577671759000055E-4</v>
      </c>
      <c r="Y166" s="185">
        <f t="shared" si="17"/>
        <v>22.645453318646975</v>
      </c>
      <c r="AA166" s="143">
        <f t="shared" si="18"/>
        <v>0.40811247704599996</v>
      </c>
      <c r="AB166" s="144">
        <f t="shared" si="19"/>
        <v>7.0067953164263991E-4</v>
      </c>
      <c r="AC166" s="144">
        <f t="shared" si="20"/>
        <v>5.7768178790124002E-5</v>
      </c>
      <c r="AD166" s="144">
        <f t="shared" si="23"/>
        <v>4.2577671759000055E-4</v>
      </c>
      <c r="AE166" s="145">
        <f t="shared" si="21"/>
        <v>21.069926312038497</v>
      </c>
      <c r="AF166" s="145">
        <f t="shared" si="22"/>
        <v>3.2184016138372128E-5</v>
      </c>
      <c r="AH166" s="181"/>
      <c r="AI166" s="181"/>
      <c r="AJ166" s="182"/>
    </row>
    <row r="167" spans="1:36" x14ac:dyDescent="0.25">
      <c r="I167" s="126">
        <v>4.1219360181699999E-2</v>
      </c>
      <c r="J167" s="50">
        <v>4.6569900200471993E-4</v>
      </c>
      <c r="K167" s="50">
        <v>4.8917392626432003E-5</v>
      </c>
      <c r="L167" s="70">
        <v>3.9549364767864581E-4</v>
      </c>
      <c r="M167" s="32"/>
      <c r="N167" s="18">
        <v>-2.0728660335278045E-6</v>
      </c>
      <c r="O167" s="18">
        <v>1.4324026283177929E-10</v>
      </c>
      <c r="P167" s="18">
        <v>4.6839479991312434E-8</v>
      </c>
      <c r="Q167" s="28">
        <v>7.2803488967781078</v>
      </c>
      <c r="R167" s="61">
        <v>340.54926312038498</v>
      </c>
      <c r="S167" s="58">
        <v>3.7713038471453524E-7</v>
      </c>
      <c r="U167" s="172">
        <v>4.8015577600560311E-4</v>
      </c>
      <c r="V167" s="172">
        <v>3.9549364767864581E-4</v>
      </c>
      <c r="W167" s="172">
        <v>3.1992136516468584E-4</v>
      </c>
      <c r="X167" s="173">
        <f t="shared" si="16"/>
        <v>3.9776610913189517E-4</v>
      </c>
      <c r="Y167" s="185">
        <f t="shared" si="17"/>
        <v>1.9285620538594306</v>
      </c>
      <c r="AA167" s="143">
        <f t="shared" si="18"/>
        <v>0.41219360181699999</v>
      </c>
      <c r="AB167" s="144">
        <f t="shared" si="19"/>
        <v>4.6569900200471993E-4</v>
      </c>
      <c r="AC167" s="144">
        <f t="shared" si="20"/>
        <v>4.8917392626432003E-5</v>
      </c>
      <c r="AD167" s="144">
        <f t="shared" si="23"/>
        <v>3.9776610913189517E-4</v>
      </c>
      <c r="AE167" s="145">
        <f t="shared" si="21"/>
        <v>21.069926312038497</v>
      </c>
      <c r="AF167" s="145">
        <f t="shared" si="22"/>
        <v>3.7713038471453524E-5</v>
      </c>
      <c r="AH167" s="181"/>
      <c r="AI167" s="181"/>
      <c r="AJ167" s="182"/>
    </row>
    <row r="168" spans="1:36" x14ac:dyDescent="0.25">
      <c r="I168" s="126">
        <v>4.1631553783500003E-2</v>
      </c>
      <c r="J168" s="50">
        <v>6.1355417687123997E-4</v>
      </c>
      <c r="K168" s="50">
        <v>5.4225259229591992E-5</v>
      </c>
      <c r="L168" s="70">
        <v>3.9700690346288815E-4</v>
      </c>
      <c r="M168" s="32"/>
      <c r="N168" s="18">
        <v>-2.0396405175415783E-6</v>
      </c>
      <c r="O168" s="18">
        <v>1.3647385788813022E-10</v>
      </c>
      <c r="P168" s="18">
        <v>4.4515468184823074E-8</v>
      </c>
      <c r="Q168" s="28">
        <v>5.3340848504449632</v>
      </c>
      <c r="R168" s="61">
        <v>346.22034218456378</v>
      </c>
      <c r="S168" s="58">
        <v>3.7713038471453524E-7</v>
      </c>
      <c r="U168" s="172">
        <v>3.9756371196230939E-4</v>
      </c>
      <c r="V168" s="172">
        <v>3.9700690346288815E-4</v>
      </c>
      <c r="W168" s="172">
        <v>2.9990339329010699E-4</v>
      </c>
      <c r="X168" s="173">
        <f t="shared" si="16"/>
        <v>3.7287022804454817E-4</v>
      </c>
      <c r="Y168" s="185">
        <f t="shared" si="17"/>
        <v>19.701123009764778</v>
      </c>
      <c r="AA168" s="143">
        <f t="shared" si="18"/>
        <v>0.41631553783500003</v>
      </c>
      <c r="AB168" s="144">
        <f t="shared" si="19"/>
        <v>6.1355417687123997E-4</v>
      </c>
      <c r="AC168" s="144">
        <f t="shared" si="20"/>
        <v>5.4225259229591992E-5</v>
      </c>
      <c r="AD168" s="144">
        <f t="shared" si="23"/>
        <v>3.7287022804454817E-4</v>
      </c>
      <c r="AE168" s="145">
        <f t="shared" si="21"/>
        <v>21.637034218456378</v>
      </c>
      <c r="AF168" s="145">
        <f t="shared" si="22"/>
        <v>3.7713038471453524E-5</v>
      </c>
      <c r="AH168" s="181"/>
      <c r="AI168" s="181"/>
      <c r="AJ168" s="182"/>
    </row>
    <row r="169" spans="1:36" x14ac:dyDescent="0.25">
      <c r="I169" s="126">
        <v>4.2047869321300002E-2</v>
      </c>
      <c r="J169" s="50">
        <v>4.6640919821628002E-4</v>
      </c>
      <c r="K169" s="50">
        <v>4.6573017285696003E-5</v>
      </c>
      <c r="L169" s="70">
        <v>3.8817397714366043E-4</v>
      </c>
      <c r="M169" s="32"/>
      <c r="N169" s="18">
        <v>-2.0045764600177877E-6</v>
      </c>
      <c r="O169" s="18">
        <v>1.2933299802426459E-10</v>
      </c>
      <c r="P169" s="18">
        <v>4.2062848345987497E-8</v>
      </c>
      <c r="Q169" s="28">
        <v>4.3408052283345979</v>
      </c>
      <c r="R169" s="61">
        <v>346.22034218456378</v>
      </c>
      <c r="S169" s="58">
        <v>4.4624717609330607E-7</v>
      </c>
      <c r="U169" s="172">
        <v>3.3671844508284152E-4</v>
      </c>
      <c r="V169" s="172">
        <v>3.8817397714366043E-4</v>
      </c>
      <c r="W169" s="172">
        <v>2.8939890673070415E-4</v>
      </c>
      <c r="X169" s="173">
        <f t="shared" si="16"/>
        <v>3.5061632652521663E-4</v>
      </c>
      <c r="Y169" s="185">
        <f t="shared" si="17"/>
        <v>6.1815145971805174</v>
      </c>
      <c r="AA169" s="143">
        <f t="shared" si="18"/>
        <v>0.42047869321300002</v>
      </c>
      <c r="AB169" s="144">
        <f t="shared" si="19"/>
        <v>4.6640919821628002E-4</v>
      </c>
      <c r="AC169" s="144">
        <f t="shared" si="20"/>
        <v>4.6573017285696003E-5</v>
      </c>
      <c r="AD169" s="144">
        <f t="shared" si="23"/>
        <v>3.5061632652521663E-4</v>
      </c>
      <c r="AE169" s="145">
        <f t="shared" si="21"/>
        <v>21.637034218456378</v>
      </c>
      <c r="AF169" s="145">
        <f t="shared" si="22"/>
        <v>4.4624717609330606E-5</v>
      </c>
      <c r="AH169" s="181"/>
      <c r="AI169" s="181"/>
      <c r="AJ169" s="182"/>
    </row>
    <row r="170" spans="1:36" x14ac:dyDescent="0.25">
      <c r="I170" s="126">
        <v>4.2468348014500001E-2</v>
      </c>
      <c r="J170" s="50">
        <v>5.4537037689024004E-4</v>
      </c>
      <c r="K170" s="50">
        <v>5.2302783033204E-5</v>
      </c>
      <c r="L170" s="70">
        <v>3.6937025063657892E-4</v>
      </c>
      <c r="M170" s="32"/>
      <c r="N170" s="18">
        <v>-1.9686005041196796E-6</v>
      </c>
      <c r="O170" s="18">
        <v>1.2200636495042044E-10</v>
      </c>
      <c r="P170" s="18">
        <v>3.9546428765103963E-8</v>
      </c>
      <c r="Q170" s="28">
        <v>3.7483094141109112</v>
      </c>
      <c r="R170" s="61">
        <v>351.89142124874257</v>
      </c>
      <c r="S170" s="58">
        <v>4.4624717609330607E-7</v>
      </c>
      <c r="U170" s="172">
        <v>2.9770665203791006E-4</v>
      </c>
      <c r="V170" s="172">
        <v>3.6937025063657892E-4</v>
      </c>
      <c r="W170" s="172">
        <v>2.8593353340727385E-4</v>
      </c>
      <c r="X170" s="173">
        <f t="shared" si="16"/>
        <v>3.3059517167958541E-4</v>
      </c>
      <c r="Y170" s="185">
        <f t="shared" si="17"/>
        <v>16.862372880759221</v>
      </c>
      <c r="AA170" s="143">
        <f t="shared" si="18"/>
        <v>0.42468348014500001</v>
      </c>
      <c r="AB170" s="144">
        <f t="shared" si="19"/>
        <v>5.4537037689024004E-4</v>
      </c>
      <c r="AC170" s="144">
        <f t="shared" si="20"/>
        <v>5.2302783033204E-5</v>
      </c>
      <c r="AD170" s="144">
        <f t="shared" si="23"/>
        <v>3.3059517167958541E-4</v>
      </c>
      <c r="AE170" s="145">
        <f t="shared" si="21"/>
        <v>22.204142124874259</v>
      </c>
      <c r="AF170" s="145">
        <f t="shared" si="22"/>
        <v>4.4624717609330606E-5</v>
      </c>
      <c r="AH170" s="181"/>
      <c r="AI170" s="181"/>
      <c r="AJ170" s="182"/>
    </row>
    <row r="171" spans="1:36" x14ac:dyDescent="0.25">
      <c r="I171" s="126">
        <v>4.2893031494700001E-2</v>
      </c>
      <c r="J171" s="50">
        <v>4.9584275233020001E-4</v>
      </c>
      <c r="K171" s="50">
        <v>5.0090537874564004E-5</v>
      </c>
      <c r="L171" s="70">
        <v>3.4310285486805365E-4</v>
      </c>
      <c r="M171" s="32"/>
      <c r="N171" s="18">
        <v>-1.9321746729594435E-6</v>
      </c>
      <c r="O171" s="18">
        <v>1.1458802721530797E-10</v>
      </c>
      <c r="P171" s="18">
        <v>3.6998520860307911E-8</v>
      </c>
      <c r="Q171" s="28">
        <v>3.3672675337180418</v>
      </c>
      <c r="R171" s="61">
        <v>351.89142124874257</v>
      </c>
      <c r="S171" s="58">
        <v>5.0656842288107643E-7</v>
      </c>
      <c r="U171" s="172">
        <v>2.7800593577714529E-4</v>
      </c>
      <c r="V171" s="172">
        <v>3.4310285486805365E-4</v>
      </c>
      <c r="W171" s="172">
        <v>2.8583883667241479E-4</v>
      </c>
      <c r="X171" s="173">
        <f t="shared" si="16"/>
        <v>3.1251262054641686E-4</v>
      </c>
      <c r="Y171" s="185">
        <f t="shared" si="17"/>
        <v>13.395419254941739</v>
      </c>
      <c r="AA171" s="143">
        <f t="shared" si="18"/>
        <v>0.42893031494700001</v>
      </c>
      <c r="AB171" s="144">
        <f t="shared" si="19"/>
        <v>4.9584275233020001E-4</v>
      </c>
      <c r="AC171" s="144">
        <f t="shared" si="20"/>
        <v>5.0090537874564004E-5</v>
      </c>
      <c r="AD171" s="144">
        <f t="shared" si="23"/>
        <v>3.1251262054641686E-4</v>
      </c>
      <c r="AE171" s="145">
        <f t="shared" si="21"/>
        <v>22.204142124874259</v>
      </c>
      <c r="AF171" s="145">
        <f t="shared" si="22"/>
        <v>5.0656842288107639E-5</v>
      </c>
      <c r="AH171" s="181"/>
      <c r="AI171" s="181"/>
      <c r="AJ171" s="182"/>
    </row>
    <row r="172" spans="1:36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26">
        <v>4.3321961809599997E-2</v>
      </c>
      <c r="J172" s="50">
        <v>4.9842856145808009E-4</v>
      </c>
      <c r="K172" s="50">
        <v>4.8140209139351999E-5</v>
      </c>
      <c r="L172" s="70">
        <v>3.1320255641336753E-4</v>
      </c>
      <c r="M172" s="32"/>
      <c r="N172" s="18">
        <v>-1.8955377137563488E-6</v>
      </c>
      <c r="O172" s="18">
        <v>1.0712658356769216E-10</v>
      </c>
      <c r="P172" s="30">
        <v>3.4435818788289564E-8</v>
      </c>
      <c r="Q172" s="66">
        <v>3.1147237315136964</v>
      </c>
      <c r="R172" s="63">
        <v>357.56250031292137</v>
      </c>
      <c r="S172" s="62">
        <v>5.0656842288107643E-7</v>
      </c>
      <c r="T172" s="80"/>
      <c r="U172" s="172">
        <v>2.7312550438200029E-4</v>
      </c>
      <c r="V172" s="172">
        <v>3.1320255641336753E-4</v>
      </c>
      <c r="W172" s="172">
        <v>2.853106960119848E-4</v>
      </c>
      <c r="X172" s="173">
        <f t="shared" si="16"/>
        <v>2.9621032830518001E-4</v>
      </c>
      <c r="Y172" s="185">
        <f t="shared" si="17"/>
        <v>17.645122494319779</v>
      </c>
      <c r="AA172" s="143">
        <f t="shared" si="18"/>
        <v>0.43321961809599996</v>
      </c>
      <c r="AB172" s="144">
        <f t="shared" si="19"/>
        <v>4.9842856145808009E-4</v>
      </c>
      <c r="AC172" s="144">
        <f t="shared" si="20"/>
        <v>4.8140209139351999E-5</v>
      </c>
      <c r="AD172" s="144">
        <f t="shared" si="23"/>
        <v>2.9621032830518001E-4</v>
      </c>
      <c r="AE172" s="145">
        <f t="shared" si="21"/>
        <v>22.771250031292137</v>
      </c>
      <c r="AF172" s="145">
        <f t="shared" si="22"/>
        <v>5.0656842288107639E-5</v>
      </c>
      <c r="AG172" s="80"/>
      <c r="AH172" s="181"/>
      <c r="AI172" s="181"/>
      <c r="AJ172" s="182"/>
    </row>
    <row r="173" spans="1:36" x14ac:dyDescent="0.25">
      <c r="I173" s="126">
        <v>4.3755181427699998E-2</v>
      </c>
      <c r="J173" s="50">
        <v>4.6296438701172004E-4</v>
      </c>
      <c r="K173" s="50">
        <v>4.7366226319896004E-5</v>
      </c>
      <c r="L173" s="70">
        <v>2.838466214252642E-4</v>
      </c>
      <c r="M173" s="32"/>
      <c r="N173" s="18">
        <v>-1.8588121101927489E-6</v>
      </c>
      <c r="O173" s="18">
        <v>9.9646952578359202E-11</v>
      </c>
      <c r="P173" s="18">
        <v>3.1866883739384452E-8</v>
      </c>
      <c r="Q173" s="28">
        <v>2.94914075396039</v>
      </c>
      <c r="R173" s="61">
        <v>357.56250031292137</v>
      </c>
      <c r="S173" s="58">
        <v>5.5574933024876981E-7</v>
      </c>
      <c r="U173" s="172">
        <v>2.7747277470404285E-4</v>
      </c>
      <c r="V173" s="172">
        <v>2.838466214252642E-4</v>
      </c>
      <c r="W173" s="172">
        <v>2.8142943141963486E-4</v>
      </c>
      <c r="X173" s="173">
        <f t="shared" si="16"/>
        <v>2.8164886224355153E-4</v>
      </c>
      <c r="Y173" s="185">
        <f t="shared" si="17"/>
        <v>14.65319776408921</v>
      </c>
      <c r="AA173" s="143">
        <f t="shared" si="18"/>
        <v>0.43755181427699996</v>
      </c>
      <c r="AB173" s="144">
        <f t="shared" si="19"/>
        <v>4.6296438701172004E-4</v>
      </c>
      <c r="AC173" s="144">
        <f t="shared" si="20"/>
        <v>4.7366226319896004E-5</v>
      </c>
      <c r="AD173" s="144">
        <f t="shared" si="23"/>
        <v>2.8164886224355153E-4</v>
      </c>
      <c r="AE173" s="145">
        <f t="shared" si="21"/>
        <v>22.771250031292137</v>
      </c>
      <c r="AF173" s="145">
        <f t="shared" si="22"/>
        <v>5.5574933024876984E-5</v>
      </c>
      <c r="AH173" s="181"/>
      <c r="AI173" s="181"/>
      <c r="AJ173" s="182"/>
    </row>
    <row r="174" spans="1:36" x14ac:dyDescent="0.25">
      <c r="I174" s="126">
        <v>4.4192733242000001E-2</v>
      </c>
      <c r="J174" s="50">
        <v>3.4608967119672006E-4</v>
      </c>
      <c r="K174" s="50">
        <v>4.2487843387835998E-5</v>
      </c>
      <c r="L174" s="70">
        <v>2.5861599712529121E-4</v>
      </c>
      <c r="M174" s="32"/>
      <c r="N174" s="18">
        <v>-1.8220569683148346E-6</v>
      </c>
      <c r="O174" s="18">
        <v>9.2161139902816211E-11</v>
      </c>
      <c r="P174" s="18">
        <v>2.9295842401828134E-8</v>
      </c>
      <c r="Q174" s="28">
        <v>2.8483063579951828</v>
      </c>
      <c r="R174" s="61">
        <v>363.23357937710017</v>
      </c>
      <c r="S174" s="58">
        <v>5.5574933024876981E-7</v>
      </c>
      <c r="U174" s="172">
        <v>2.8530523410651311E-4</v>
      </c>
      <c r="V174" s="172">
        <v>2.5861599712529121E-4</v>
      </c>
      <c r="W174" s="172">
        <v>2.7288313810676964E-4</v>
      </c>
      <c r="X174" s="173">
        <f t="shared" si="16"/>
        <v>2.6885509161596625E-4</v>
      </c>
      <c r="Y174" s="185">
        <f t="shared" si="17"/>
        <v>3.3044120600281603</v>
      </c>
      <c r="AA174" s="143">
        <f t="shared" si="18"/>
        <v>0.44192733242000004</v>
      </c>
      <c r="AB174" s="144">
        <f t="shared" si="19"/>
        <v>3.4608967119672006E-4</v>
      </c>
      <c r="AC174" s="144">
        <f t="shared" si="20"/>
        <v>4.2487843387835998E-5</v>
      </c>
      <c r="AD174" s="144">
        <f t="shared" si="23"/>
        <v>2.6885509161596625E-4</v>
      </c>
      <c r="AE174" s="145">
        <f t="shared" si="21"/>
        <v>23.338357937710018</v>
      </c>
      <c r="AF174" s="145">
        <f t="shared" si="22"/>
        <v>5.5574933024876984E-5</v>
      </c>
      <c r="AH174" s="181"/>
      <c r="AI174" s="181"/>
      <c r="AJ174" s="182"/>
    </row>
    <row r="175" spans="1:36" x14ac:dyDescent="0.25">
      <c r="I175" s="126">
        <v>4.4634660574399999E-2</v>
      </c>
      <c r="J175" s="50">
        <v>3.7861558046664004E-4</v>
      </c>
      <c r="K175" s="50">
        <v>4.3046613761184008E-5</v>
      </c>
      <c r="L175" s="70">
        <v>2.397770603811845E-4</v>
      </c>
      <c r="M175" s="32"/>
      <c r="N175" s="18">
        <v>-1.785296658321877E-6</v>
      </c>
      <c r="O175" s="18">
        <v>8.4674067691966211E-11</v>
      </c>
      <c r="P175" s="18">
        <v>2.6724389507675606E-8</v>
      </c>
      <c r="Q175" s="28">
        <v>2.800459635306872</v>
      </c>
      <c r="R175" s="61">
        <v>363.23357937710017</v>
      </c>
      <c r="S175" s="58">
        <v>5.9320794990197259E-7</v>
      </c>
      <c r="U175" s="172">
        <v>2.9161587911831022E-4</v>
      </c>
      <c r="V175" s="172">
        <v>2.397770603811845E-4</v>
      </c>
      <c r="W175" s="172">
        <v>2.6021281089107305E-4</v>
      </c>
      <c r="X175" s="173">
        <f t="shared" si="16"/>
        <v>2.5784570269293805E-4</v>
      </c>
      <c r="Y175" s="185">
        <f t="shared" si="17"/>
        <v>7.8711695297055231</v>
      </c>
      <c r="AA175" s="143">
        <f t="shared" si="18"/>
        <v>0.44634660574399998</v>
      </c>
      <c r="AB175" s="144">
        <f t="shared" si="19"/>
        <v>3.7861558046664004E-4</v>
      </c>
      <c r="AC175" s="144">
        <f t="shared" si="20"/>
        <v>4.3046613761184008E-5</v>
      </c>
      <c r="AD175" s="144">
        <f t="shared" si="23"/>
        <v>2.5784570269293805E-4</v>
      </c>
      <c r="AE175" s="145">
        <f t="shared" si="21"/>
        <v>23.338357937710018</v>
      </c>
      <c r="AF175" s="145">
        <f t="shared" si="22"/>
        <v>5.9320794990197256E-5</v>
      </c>
      <c r="AH175" s="181"/>
      <c r="AI175" s="181"/>
      <c r="AJ175" s="182"/>
    </row>
    <row r="176" spans="1:36" x14ac:dyDescent="0.25">
      <c r="I176" s="126">
        <v>4.50810071802E-2</v>
      </c>
      <c r="J176" s="50">
        <v>4.0075796315544002E-4</v>
      </c>
      <c r="K176" s="50">
        <v>4.5804051716016002E-5</v>
      </c>
      <c r="L176" s="70">
        <v>2.2792545582679883E-4</v>
      </c>
      <c r="M176" s="32"/>
      <c r="N176" s="18">
        <v>-1.7482304961071566E-6</v>
      </c>
      <c r="O176" s="18">
        <v>7.7124439846157711E-11</v>
      </c>
      <c r="P176" s="18">
        <v>2.4131478350143151E-8</v>
      </c>
      <c r="Q176" s="28">
        <v>2.8355395320894061</v>
      </c>
      <c r="R176" s="61">
        <v>368.90465844127897</v>
      </c>
      <c r="S176" s="58">
        <v>5.9320794990197259E-7</v>
      </c>
      <c r="U176" s="172">
        <v>2.9281478739634281E-4</v>
      </c>
      <c r="V176" s="172">
        <v>2.2792545582679883E-4</v>
      </c>
      <c r="W176" s="172">
        <v>2.4552289148954562E-4</v>
      </c>
      <c r="X176" s="173">
        <f t="shared" si="16"/>
        <v>2.4854714763487151E-4</v>
      </c>
      <c r="Y176" s="185">
        <f t="shared" si="17"/>
        <v>11.042902380020138</v>
      </c>
      <c r="AA176" s="143">
        <f t="shared" si="18"/>
        <v>0.450810071802</v>
      </c>
      <c r="AB176" s="144">
        <f t="shared" si="19"/>
        <v>4.0075796315544002E-4</v>
      </c>
      <c r="AC176" s="144">
        <f t="shared" si="20"/>
        <v>4.5804051716016002E-5</v>
      </c>
      <c r="AD176" s="144">
        <f t="shared" si="23"/>
        <v>2.4854714763487151E-4</v>
      </c>
      <c r="AE176" s="145">
        <f t="shared" si="21"/>
        <v>23.905465844127896</v>
      </c>
      <c r="AF176" s="145">
        <f t="shared" si="22"/>
        <v>5.9320794990197256E-5</v>
      </c>
      <c r="AH176" s="181"/>
      <c r="AI176" s="181"/>
      <c r="AJ176" s="182"/>
    </row>
    <row r="177" spans="9:36" x14ac:dyDescent="0.25">
      <c r="I177" s="126">
        <v>4.5531817251999999E-2</v>
      </c>
      <c r="J177" s="50">
        <v>2.5321934647151999E-4</v>
      </c>
      <c r="K177" s="50">
        <v>3.8936950483200001E-5</v>
      </c>
      <c r="L177" s="67">
        <v>2.2204705659217575E-4</v>
      </c>
      <c r="M177" s="33"/>
      <c r="N177" s="18">
        <v>-1.6929679021574784E-6</v>
      </c>
      <c r="O177" s="18">
        <v>6.5867901593815356E-11</v>
      </c>
      <c r="P177" s="18">
        <v>2.0265500608081701E-8</v>
      </c>
      <c r="Q177" s="28">
        <v>5.6710790641788122</v>
      </c>
      <c r="R177" s="61">
        <v>368.90465844127897</v>
      </c>
      <c r="S177" s="58">
        <v>6.1985698655869384E-7</v>
      </c>
      <c r="U177" s="172">
        <v>2.8710717874761191E-4</v>
      </c>
      <c r="V177" s="172">
        <v>2.2204705659217575E-4</v>
      </c>
      <c r="W177" s="172">
        <v>2.3174393763429277E-4</v>
      </c>
      <c r="X177" s="173">
        <f t="shared" si="16"/>
        <v>2.4073630739156405E-4</v>
      </c>
      <c r="Y177" s="185">
        <f t="shared" si="17"/>
        <v>0.10278193523614308</v>
      </c>
      <c r="AA177" s="143">
        <f t="shared" si="18"/>
        <v>0.45531817252000001</v>
      </c>
      <c r="AB177" s="144">
        <f t="shared" si="19"/>
        <v>2.5321934647151999E-4</v>
      </c>
      <c r="AC177" s="144">
        <f t="shared" si="20"/>
        <v>3.8936950483200001E-5</v>
      </c>
      <c r="AD177" s="144">
        <f t="shared" si="23"/>
        <v>2.4073630739156405E-4</v>
      </c>
      <c r="AE177" s="145">
        <f t="shared" si="21"/>
        <v>23.905465844127896</v>
      </c>
      <c r="AF177" s="145">
        <f t="shared" si="22"/>
        <v>6.1985698655869388E-5</v>
      </c>
      <c r="AH177" s="181"/>
      <c r="AI177" s="181"/>
      <c r="AJ177" s="182"/>
    </row>
    <row r="178" spans="9:36" x14ac:dyDescent="0.25">
      <c r="I178" s="126">
        <v>4.5987135424500003E-2</v>
      </c>
      <c r="J178" s="50">
        <v>2.4177050639544E-4</v>
      </c>
      <c r="K178" s="50">
        <v>3.5651765723904004E-5</v>
      </c>
      <c r="L178" s="67">
        <v>2.1995608696899518E-4</v>
      </c>
      <c r="M178" s="33"/>
      <c r="N178" s="18">
        <v>-1.623902921534518E-6</v>
      </c>
      <c r="O178" s="18">
        <v>5.1798154649812092E-11</v>
      </c>
      <c r="P178" s="18">
        <v>1.5433526865818221E-8</v>
      </c>
      <c r="Q178" s="28">
        <v>5.6710790641788122</v>
      </c>
      <c r="R178" s="61">
        <v>374.57573750545777</v>
      </c>
      <c r="S178" s="58">
        <v>6.1985698655869384E-7</v>
      </c>
      <c r="U178" s="172">
        <v>2.7452366230577374E-4</v>
      </c>
      <c r="V178" s="172">
        <v>2.1995608696899518E-4</v>
      </c>
      <c r="W178" s="172">
        <v>2.2165835838177471E-4</v>
      </c>
      <c r="X178" s="173">
        <f t="shared" si="16"/>
        <v>2.3402354865638471E-4</v>
      </c>
      <c r="Y178" s="185">
        <f t="shared" si="17"/>
        <v>4.7217206085122337E-2</v>
      </c>
      <c r="AA178" s="143">
        <f t="shared" si="18"/>
        <v>0.45987135424500003</v>
      </c>
      <c r="AB178" s="144">
        <f t="shared" si="19"/>
        <v>2.4177050639544E-4</v>
      </c>
      <c r="AC178" s="144">
        <f t="shared" si="20"/>
        <v>3.5651765723904004E-5</v>
      </c>
      <c r="AD178" s="144">
        <f t="shared" si="23"/>
        <v>2.3402354865638471E-4</v>
      </c>
      <c r="AE178" s="145">
        <f t="shared" si="21"/>
        <v>24.472573750545777</v>
      </c>
      <c r="AF178" s="145">
        <f t="shared" si="22"/>
        <v>6.1985698655869388E-5</v>
      </c>
      <c r="AH178" s="181"/>
      <c r="AI178" s="181"/>
      <c r="AJ178" s="182"/>
    </row>
    <row r="179" spans="9:36" x14ac:dyDescent="0.25">
      <c r="I179" s="126">
        <v>4.6447006778699999E-2</v>
      </c>
      <c r="J179" s="50">
        <v>2.4310517822712002E-4</v>
      </c>
      <c r="K179" s="50">
        <v>3.5841964997387999E-5</v>
      </c>
      <c r="L179" s="67">
        <v>2.1898423035005403E-4</v>
      </c>
      <c r="M179" s="33"/>
      <c r="N179" s="18">
        <v>-1.5636561152261162E-6</v>
      </c>
      <c r="O179" s="18">
        <v>3.9521800996221435E-11</v>
      </c>
      <c r="P179" s="18">
        <v>1.1217765497369785E-8</v>
      </c>
      <c r="Q179" s="28">
        <v>5.6710790641788122</v>
      </c>
      <c r="R179" s="61">
        <v>374.57573750545777</v>
      </c>
      <c r="S179" s="58">
        <v>6.3755575297256222E-7</v>
      </c>
      <c r="U179" s="172">
        <v>2.5662169951869423E-4</v>
      </c>
      <c r="V179" s="172">
        <v>2.1898423035005403E-4</v>
      </c>
      <c r="W179" s="172">
        <v>2.1697089589742843E-4</v>
      </c>
      <c r="X179" s="173">
        <f t="shared" si="16"/>
        <v>2.2789026402905769E-4</v>
      </c>
      <c r="Y179" s="185">
        <f t="shared" si="17"/>
        <v>0.18020025134238679</v>
      </c>
      <c r="AA179" s="143">
        <f t="shared" si="18"/>
        <v>0.46447006778700001</v>
      </c>
      <c r="AB179" s="144">
        <f t="shared" si="19"/>
        <v>2.4310517822712002E-4</v>
      </c>
      <c r="AC179" s="144">
        <f t="shared" si="20"/>
        <v>3.5841964997387999E-5</v>
      </c>
      <c r="AD179" s="144">
        <f t="shared" si="23"/>
        <v>2.2789026402905769E-4</v>
      </c>
      <c r="AE179" s="145">
        <f t="shared" si="21"/>
        <v>24.472573750545777</v>
      </c>
      <c r="AF179" s="145">
        <f t="shared" si="22"/>
        <v>6.3755575297256219E-5</v>
      </c>
      <c r="AH179" s="181"/>
      <c r="AI179" s="181"/>
      <c r="AJ179" s="182"/>
    </row>
    <row r="180" spans="9:36" x14ac:dyDescent="0.25">
      <c r="I180" s="126">
        <v>4.6911476846500003E-2</v>
      </c>
      <c r="J180" s="50">
        <v>2.2442350151496E-4</v>
      </c>
      <c r="K180" s="50">
        <v>3.3841586280479998E-5</v>
      </c>
      <c r="L180" s="67">
        <v>2.1673763306101138E-4</v>
      </c>
      <c r="M180" s="33"/>
      <c r="N180" s="18">
        <v>-1.5145796469248432E-6</v>
      </c>
      <c r="O180" s="18">
        <v>2.9517032945319004E-11</v>
      </c>
      <c r="P180" s="18">
        <v>7.7825421718016865E-9</v>
      </c>
      <c r="Q180" s="28">
        <v>5.6710790641788122</v>
      </c>
      <c r="R180" s="61">
        <v>380.24681656963656</v>
      </c>
      <c r="S180" s="58">
        <v>6.3755575297256222E-7</v>
      </c>
      <c r="U180" s="172">
        <v>2.3593705611680443E-4</v>
      </c>
      <c r="V180" s="172">
        <v>2.1673763306101138E-4</v>
      </c>
      <c r="W180" s="172">
        <v>2.1769991043335248E-4</v>
      </c>
      <c r="X180" s="173">
        <f t="shared" si="16"/>
        <v>2.2177805816804493E-4</v>
      </c>
      <c r="Y180" s="185">
        <f t="shared" si="17"/>
        <v>6.1107639395605448E-3</v>
      </c>
      <c r="AA180" s="143">
        <f t="shared" si="18"/>
        <v>0.469114768465</v>
      </c>
      <c r="AB180" s="144">
        <f t="shared" si="19"/>
        <v>2.2442350151496E-4</v>
      </c>
      <c r="AC180" s="144">
        <f t="shared" si="20"/>
        <v>3.3841586280479998E-5</v>
      </c>
      <c r="AD180" s="144">
        <f t="shared" si="23"/>
        <v>2.2177805816804493E-4</v>
      </c>
      <c r="AE180" s="145">
        <f t="shared" si="21"/>
        <v>25.039681656963658</v>
      </c>
      <c r="AF180" s="145">
        <f t="shared" si="22"/>
        <v>6.3755575297256219E-5</v>
      </c>
      <c r="AH180" s="181"/>
      <c r="AI180" s="181"/>
      <c r="AJ180" s="182"/>
    </row>
    <row r="181" spans="9:36" x14ac:dyDescent="0.25">
      <c r="I181" s="126">
        <v>4.7380591615000002E-2</v>
      </c>
      <c r="J181" s="50">
        <v>1.6881996514020003E-4</v>
      </c>
      <c r="K181" s="50">
        <v>2.9866152122136002E-5</v>
      </c>
      <c r="L181" s="67">
        <v>2.1172577461050495E-4</v>
      </c>
      <c r="M181" s="33"/>
      <c r="N181" s="18">
        <v>-1.4772646325911871E-6</v>
      </c>
      <c r="O181" s="18">
        <v>2.1903202022149994E-11</v>
      </c>
      <c r="P181" s="18">
        <v>5.1689544399614198E-9</v>
      </c>
      <c r="Q181" s="28">
        <v>5.6710790641788122</v>
      </c>
      <c r="R181" s="61">
        <v>380.24681656963656</v>
      </c>
      <c r="S181" s="58">
        <v>6.4850169868956617E-7</v>
      </c>
      <c r="U181" s="172">
        <v>2.1530859739472231E-4</v>
      </c>
      <c r="V181" s="172">
        <v>2.1172577461050495E-4</v>
      </c>
      <c r="W181" s="172">
        <v>2.2208028710678926E-4</v>
      </c>
      <c r="X181" s="173">
        <f t="shared" si="16"/>
        <v>2.1521010843063035E-4</v>
      </c>
      <c r="Y181" s="185">
        <f t="shared" si="17"/>
        <v>2.41264199116149</v>
      </c>
      <c r="AA181" s="143">
        <f t="shared" si="18"/>
        <v>0.47380591615000001</v>
      </c>
      <c r="AB181" s="144">
        <f t="shared" si="19"/>
        <v>1.6881996514020003E-4</v>
      </c>
      <c r="AC181" s="144">
        <f t="shared" si="20"/>
        <v>2.9866152122136002E-5</v>
      </c>
      <c r="AD181" s="144">
        <f t="shared" si="23"/>
        <v>2.1521010843063035E-4</v>
      </c>
      <c r="AE181" s="145">
        <f t="shared" si="21"/>
        <v>25.039681656963658</v>
      </c>
      <c r="AF181" s="145">
        <f t="shared" si="22"/>
        <v>6.4850169868956619E-5</v>
      </c>
      <c r="AH181" s="181"/>
      <c r="AI181" s="181"/>
      <c r="AJ181" s="182"/>
    </row>
    <row r="182" spans="9:36" x14ac:dyDescent="0.25">
      <c r="I182" s="126">
        <v>4.7854397531099997E-2</v>
      </c>
      <c r="J182" s="50">
        <v>1.3714123982328002E-4</v>
      </c>
      <c r="K182" s="50">
        <v>3.0279618237659999E-5</v>
      </c>
      <c r="L182" s="67">
        <v>2.0370190578334393E-4</v>
      </c>
      <c r="M182" s="33"/>
      <c r="N182" s="18">
        <v>-1.4508098987941206E-6</v>
      </c>
      <c r="O182" s="18">
        <v>1.6495489531033469E-11</v>
      </c>
      <c r="P182" s="18">
        <v>3.3136554013026665E-9</v>
      </c>
      <c r="Q182" s="28">
        <v>5.6710790641788122</v>
      </c>
      <c r="R182" s="61">
        <v>385.91789563381536</v>
      </c>
      <c r="S182" s="58">
        <v>6.4850169868956617E-7</v>
      </c>
      <c r="U182" s="172">
        <v>1.9721992703632606E-4</v>
      </c>
      <c r="V182" s="172">
        <v>2.0370190578334393E-4</v>
      </c>
      <c r="W182" s="172">
        <v>2.2702340546923528E-4</v>
      </c>
      <c r="X182" s="173">
        <f t="shared" si="16"/>
        <v>2.0791178601806229E-4</v>
      </c>
      <c r="Y182" s="185">
        <f t="shared" si="17"/>
        <v>5.4626616812737634</v>
      </c>
      <c r="AA182" s="143">
        <f t="shared" si="18"/>
        <v>0.47854397531099996</v>
      </c>
      <c r="AB182" s="144">
        <f t="shared" si="19"/>
        <v>1.3714123982328002E-4</v>
      </c>
      <c r="AC182" s="144">
        <f t="shared" si="20"/>
        <v>3.0279618237659999E-5</v>
      </c>
      <c r="AD182" s="144">
        <f t="shared" si="23"/>
        <v>2.0791178601806229E-4</v>
      </c>
      <c r="AE182" s="145">
        <f t="shared" si="21"/>
        <v>25.60678956338154</v>
      </c>
      <c r="AF182" s="145">
        <f t="shared" si="22"/>
        <v>6.4850169868956619E-5</v>
      </c>
      <c r="AH182" s="181"/>
      <c r="AI182" s="181"/>
      <c r="AJ182" s="182"/>
    </row>
    <row r="183" spans="9:36" x14ac:dyDescent="0.25">
      <c r="I183" s="126">
        <v>4.8332941506400003E-2</v>
      </c>
      <c r="J183" s="50">
        <v>2.1261106844603999E-4</v>
      </c>
      <c r="K183" s="50">
        <v>3.2390671288140004E-5</v>
      </c>
      <c r="L183" s="67">
        <v>1.9363191574958276E-4</v>
      </c>
      <c r="M183" s="33"/>
      <c r="N183" s="18">
        <v>-1.4333707751009315E-6</v>
      </c>
      <c r="O183" s="18">
        <v>1.2916591400881759E-11</v>
      </c>
      <c r="P183" s="18">
        <v>2.0872211976924512E-9</v>
      </c>
      <c r="Q183" s="28">
        <v>5.6710790641788122</v>
      </c>
      <c r="R183" s="61">
        <v>385.91789563381536</v>
      </c>
      <c r="S183" s="58">
        <v>6.5473467543671045E-7</v>
      </c>
      <c r="U183" s="172">
        <v>1.8329224766547509E-4</v>
      </c>
      <c r="V183" s="172">
        <v>1.9363191574958276E-4</v>
      </c>
      <c r="W183" s="172">
        <v>2.2901301583339728E-4</v>
      </c>
      <c r="X183" s="173">
        <f t="shared" si="16"/>
        <v>1.9989227374950946E-4</v>
      </c>
      <c r="Y183" s="185">
        <f t="shared" si="17"/>
        <v>0.15418851180378082</v>
      </c>
      <c r="AA183" s="143">
        <f t="shared" si="18"/>
        <v>0.48332941506400001</v>
      </c>
      <c r="AB183" s="144">
        <f t="shared" si="19"/>
        <v>2.1261106844603999E-4</v>
      </c>
      <c r="AC183" s="144">
        <f t="shared" si="20"/>
        <v>3.2390671288140004E-5</v>
      </c>
      <c r="AD183" s="144">
        <f t="shared" si="23"/>
        <v>1.9989227374950946E-4</v>
      </c>
      <c r="AE183" s="145">
        <f t="shared" si="21"/>
        <v>25.60678956338154</v>
      </c>
      <c r="AF183" s="145">
        <f t="shared" si="22"/>
        <v>6.5473467543671044E-5</v>
      </c>
      <c r="AH183" s="181"/>
      <c r="AI183" s="181"/>
      <c r="AJ183" s="182"/>
    </row>
    <row r="184" spans="9:36" x14ac:dyDescent="0.25">
      <c r="I184" s="126">
        <v>4.8816270921500003E-2</v>
      </c>
      <c r="J184" s="50">
        <v>1.660695056922E-4</v>
      </c>
      <c r="K184" s="50">
        <v>2.9490638984928003E-5</v>
      </c>
      <c r="L184" s="67">
        <v>1.8330877539086022E-4</v>
      </c>
      <c r="M184" s="33"/>
      <c r="N184" s="18">
        <v>-1.4227684340102722E-6</v>
      </c>
      <c r="O184" s="18">
        <v>1.0720722496509036E-11</v>
      </c>
      <c r="P184" s="18">
        <v>1.3367509194439817E-9</v>
      </c>
      <c r="Q184" s="28">
        <v>5.6710790641788122</v>
      </c>
      <c r="R184" s="61">
        <v>391.58897469799416</v>
      </c>
      <c r="S184" s="58">
        <v>6.5473467543671045E-7</v>
      </c>
      <c r="U184" s="172">
        <v>1.7402551957343629E-4</v>
      </c>
      <c r="V184" s="172">
        <v>1.8330877539086022E-4</v>
      </c>
      <c r="W184" s="172">
        <v>2.2517671114176575E-4</v>
      </c>
      <c r="X184" s="173">
        <f t="shared" si="16"/>
        <v>1.9145494537423064E-4</v>
      </c>
      <c r="Y184" s="185">
        <f t="shared" si="17"/>
        <v>0.74097066467776962</v>
      </c>
      <c r="AA184" s="143">
        <f t="shared" si="18"/>
        <v>0.48816270921500005</v>
      </c>
      <c r="AB184" s="144">
        <f t="shared" si="19"/>
        <v>1.660695056922E-4</v>
      </c>
      <c r="AC184" s="144">
        <f t="shared" si="20"/>
        <v>2.9490638984928003E-5</v>
      </c>
      <c r="AD184" s="144">
        <f t="shared" si="23"/>
        <v>1.9145494537423064E-4</v>
      </c>
      <c r="AE184" s="145">
        <f t="shared" si="21"/>
        <v>26.173897469799421</v>
      </c>
      <c r="AF184" s="145">
        <f t="shared" si="22"/>
        <v>6.5473467543671044E-5</v>
      </c>
      <c r="AH184" s="181"/>
      <c r="AI184" s="181"/>
      <c r="AJ184" s="182"/>
    </row>
    <row r="185" spans="9:36" x14ac:dyDescent="0.25">
      <c r="I185" s="126">
        <v>4.9304433630700001E-2</v>
      </c>
      <c r="J185" s="50">
        <v>1.2365324453565601E-4</v>
      </c>
      <c r="K185" s="50">
        <v>2.8529401057740008E-5</v>
      </c>
      <c r="L185" s="67">
        <v>1.7472756850790534E-4</v>
      </c>
      <c r="M185" s="33"/>
      <c r="N185" s="18">
        <v>-1.4169865170075236E-6</v>
      </c>
      <c r="O185" s="18">
        <v>9.4946589621783027E-12</v>
      </c>
      <c r="P185" s="18">
        <v>9.2058069970191374E-10</v>
      </c>
      <c r="Q185" s="28">
        <v>5.6710790641788122</v>
      </c>
      <c r="R185" s="61">
        <v>391.58897469799416</v>
      </c>
      <c r="S185" s="58">
        <v>6.5782857244072772E-7</v>
      </c>
      <c r="U185" s="172">
        <v>1.688268568431218E-4</v>
      </c>
      <c r="V185" s="172">
        <v>1.7472756850790534E-4</v>
      </c>
      <c r="W185" s="172">
        <v>2.142054557621046E-4</v>
      </c>
      <c r="X185" s="173">
        <f t="shared" si="16"/>
        <v>1.8312186240525925E-4</v>
      </c>
      <c r="Y185" s="185">
        <f t="shared" si="17"/>
        <v>4.3450060109112085</v>
      </c>
      <c r="AA185" s="143">
        <f t="shared" si="18"/>
        <v>0.49304433630700001</v>
      </c>
      <c r="AB185" s="144">
        <f t="shared" si="19"/>
        <v>1.2365324453565601E-4</v>
      </c>
      <c r="AC185" s="144">
        <f t="shared" si="20"/>
        <v>2.8529401057740008E-5</v>
      </c>
      <c r="AD185" s="144">
        <f t="shared" si="23"/>
        <v>1.8312186240525925E-4</v>
      </c>
      <c r="AE185" s="145">
        <f t="shared" si="21"/>
        <v>26.173897469799421</v>
      </c>
      <c r="AF185" s="145">
        <f t="shared" si="22"/>
        <v>6.5782857244072766E-5</v>
      </c>
      <c r="AH185" s="181"/>
      <c r="AI185" s="181"/>
      <c r="AJ185" s="182"/>
    </row>
    <row r="186" spans="9:36" x14ac:dyDescent="0.25">
      <c r="I186" s="126">
        <v>4.9797477967000001E-2</v>
      </c>
      <c r="J186" s="50">
        <v>1.2095183513226001E-4</v>
      </c>
      <c r="K186" s="50">
        <v>2.8704084865104E-5</v>
      </c>
      <c r="L186" s="67">
        <v>1.6940491289931398E-4</v>
      </c>
      <c r="M186" s="33"/>
      <c r="N186" s="18">
        <v>-1.4144802856813528E-6</v>
      </c>
      <c r="O186" s="18">
        <v>8.9205956211565736E-12</v>
      </c>
      <c r="P186" s="18">
        <v>7.2988324201348926E-10</v>
      </c>
      <c r="Q186" s="28">
        <v>5.6710790641788122</v>
      </c>
      <c r="R186" s="61">
        <v>397.26005376217296</v>
      </c>
      <c r="S186" s="58">
        <v>6.5782857244072772E-7</v>
      </c>
      <c r="U186" s="172">
        <v>1.6629861592040837E-4</v>
      </c>
      <c r="V186" s="172">
        <v>1.6940491289931398E-4</v>
      </c>
      <c r="W186" s="172">
        <v>1.9682444160807426E-4</v>
      </c>
      <c r="X186" s="173">
        <f t="shared" si="16"/>
        <v>1.7548322083177766E-4</v>
      </c>
      <c r="Y186" s="185">
        <f t="shared" si="17"/>
        <v>3.6091560207577493</v>
      </c>
      <c r="AA186" s="143">
        <f t="shared" si="18"/>
        <v>0.49797477967000003</v>
      </c>
      <c r="AB186" s="144">
        <f t="shared" si="19"/>
        <v>1.2095183513226001E-4</v>
      </c>
      <c r="AC186" s="144">
        <f t="shared" si="20"/>
        <v>2.8704084865104E-5</v>
      </c>
      <c r="AD186" s="144">
        <f t="shared" si="23"/>
        <v>1.7548322083177766E-4</v>
      </c>
      <c r="AE186" s="145">
        <f t="shared" si="21"/>
        <v>26.741005376217299</v>
      </c>
      <c r="AF186" s="145">
        <f t="shared" si="22"/>
        <v>6.5782857244072766E-5</v>
      </c>
      <c r="AH186" s="181"/>
      <c r="AI186" s="181"/>
      <c r="AJ186" s="182"/>
    </row>
    <row r="187" spans="9:36" x14ac:dyDescent="0.25">
      <c r="I187" s="126">
        <v>5.0295452746699998E-2</v>
      </c>
      <c r="J187" s="50">
        <v>1.4752817048112001E-4</v>
      </c>
      <c r="K187" s="50">
        <v>2.9692165086144001E-5</v>
      </c>
      <c r="L187" s="67">
        <v>1.6784570464452756E-4</v>
      </c>
      <c r="M187" s="33"/>
      <c r="N187" s="18">
        <v>-1.4143166208313619E-6</v>
      </c>
      <c r="O187" s="18">
        <v>8.8045511177444409E-12</v>
      </c>
      <c r="P187" s="18">
        <v>6.9843469931655865E-10</v>
      </c>
      <c r="Q187" s="28">
        <v>5.6710790641788122</v>
      </c>
      <c r="R187" s="61">
        <v>397.26005376217296</v>
      </c>
      <c r="S187" s="58">
        <v>6.5875181220313634E-7</v>
      </c>
      <c r="U187" s="172">
        <v>1.6469892059575898E-4</v>
      </c>
      <c r="V187" s="172">
        <v>1.6784570464452756E-4</v>
      </c>
      <c r="W187" s="172">
        <v>1.7564509886474415E-4</v>
      </c>
      <c r="X187" s="173">
        <f t="shared" si="16"/>
        <v>1.6900885718738957E-4</v>
      </c>
      <c r="Y187" s="185">
        <f t="shared" si="17"/>
        <v>0.52337453610487272</v>
      </c>
      <c r="AA187" s="143">
        <f t="shared" si="18"/>
        <v>0.50295452746699998</v>
      </c>
      <c r="AB187" s="144">
        <f t="shared" si="19"/>
        <v>1.4752817048112001E-4</v>
      </c>
      <c r="AC187" s="144">
        <f t="shared" si="20"/>
        <v>2.9692165086144001E-5</v>
      </c>
      <c r="AD187" s="144">
        <f t="shared" si="23"/>
        <v>1.6900885718738957E-4</v>
      </c>
      <c r="AE187" s="145">
        <f t="shared" si="21"/>
        <v>26.741005376217299</v>
      </c>
      <c r="AF187" s="145">
        <f t="shared" si="22"/>
        <v>6.5875181220313633E-5</v>
      </c>
      <c r="AH187" s="181"/>
      <c r="AI187" s="181"/>
      <c r="AJ187" s="182"/>
    </row>
    <row r="188" spans="9:36" x14ac:dyDescent="0.25">
      <c r="I188" s="126">
        <v>5.07984072742E-2</v>
      </c>
      <c r="J188" s="50">
        <v>1.3237582070328E-4</v>
      </c>
      <c r="K188" s="50">
        <v>2.7321634030416007E-5</v>
      </c>
      <c r="L188" s="67">
        <v>1.693214536456064E-4</v>
      </c>
      <c r="M188" s="33"/>
      <c r="N188" s="18">
        <v>-1.4162126792610535E-6</v>
      </c>
      <c r="O188" s="18">
        <v>9.0841314962923677E-12</v>
      </c>
      <c r="P188" s="18">
        <v>8.0529224996518718E-10</v>
      </c>
      <c r="Q188" s="28">
        <v>5.6710790641788122</v>
      </c>
      <c r="R188" s="61">
        <v>402.93113282635176</v>
      </c>
      <c r="S188" s="58">
        <v>6.5875181220313634E-7</v>
      </c>
      <c r="U188" s="172">
        <v>1.6244873118930356E-4</v>
      </c>
      <c r="V188" s="172">
        <v>1.693214536456064E-4</v>
      </c>
      <c r="W188" s="172">
        <v>1.5441748349175882E-4</v>
      </c>
      <c r="X188" s="173">
        <f t="shared" si="16"/>
        <v>1.6387728049306878E-4</v>
      </c>
      <c r="Y188" s="185">
        <f t="shared" si="17"/>
        <v>1.3293765689666033</v>
      </c>
      <c r="AA188" s="143">
        <f t="shared" si="18"/>
        <v>0.50798407274199997</v>
      </c>
      <c r="AB188" s="144">
        <f t="shared" si="19"/>
        <v>1.3237582070328E-4</v>
      </c>
      <c r="AC188" s="144">
        <f t="shared" si="20"/>
        <v>2.7321634030416007E-5</v>
      </c>
      <c r="AD188" s="144">
        <f t="shared" si="23"/>
        <v>1.6387728049306878E-4</v>
      </c>
      <c r="AE188" s="145">
        <f t="shared" si="21"/>
        <v>27.30811328263518</v>
      </c>
      <c r="AF188" s="145">
        <f t="shared" si="22"/>
        <v>6.5875181220313633E-5</v>
      </c>
      <c r="AH188" s="181"/>
      <c r="AI188" s="181"/>
      <c r="AJ188" s="182"/>
    </row>
    <row r="189" spans="9:36" x14ac:dyDescent="0.25">
      <c r="I189" s="126">
        <v>5.1306391346900002E-2</v>
      </c>
      <c r="J189" s="50">
        <v>1.0525648701374401E-4</v>
      </c>
      <c r="K189" s="50">
        <v>2.4952482552228002E-5</v>
      </c>
      <c r="L189" s="67">
        <v>1.7203592463605719E-4</v>
      </c>
      <c r="M189" s="33"/>
      <c r="N189" s="18">
        <v>-1.4205387052037988E-6</v>
      </c>
      <c r="O189" s="18">
        <v>9.828992994688596E-12</v>
      </c>
      <c r="P189" s="18">
        <v>1.0749642077954577E-9</v>
      </c>
      <c r="Q189" s="28">
        <v>5.6710790641788122</v>
      </c>
      <c r="R189" s="61">
        <v>402.93113282635176</v>
      </c>
      <c r="S189" s="58">
        <v>6.5782857244072772E-7</v>
      </c>
      <c r="U189" s="172">
        <v>1.5855189506290104E-4</v>
      </c>
      <c r="V189" s="172">
        <v>1.7203592463605719E-4</v>
      </c>
      <c r="W189" s="172">
        <v>1.3689819304658736E-4</v>
      </c>
      <c r="X189" s="173">
        <f t="shared" si="16"/>
        <v>1.5988048434540069E-4</v>
      </c>
      <c r="Y189" s="185">
        <f t="shared" si="17"/>
        <v>4.7922496602846261</v>
      </c>
      <c r="AA189" s="143">
        <f t="shared" si="18"/>
        <v>0.51306391346900004</v>
      </c>
      <c r="AB189" s="144">
        <f t="shared" si="19"/>
        <v>1.0525648701374401E-4</v>
      </c>
      <c r="AC189" s="144">
        <f t="shared" si="20"/>
        <v>2.4952482552228002E-5</v>
      </c>
      <c r="AD189" s="144">
        <f t="shared" si="23"/>
        <v>1.5988048434540069E-4</v>
      </c>
      <c r="AE189" s="145">
        <f t="shared" si="21"/>
        <v>27.30811328263518</v>
      </c>
      <c r="AF189" s="145">
        <f t="shared" si="22"/>
        <v>6.5782857244072766E-5</v>
      </c>
      <c r="AH189" s="181"/>
      <c r="AI189" s="181"/>
      <c r="AJ189" s="182"/>
    </row>
    <row r="190" spans="9:36" x14ac:dyDescent="0.25">
      <c r="I190" s="126">
        <v>5.1819455260400001E-2</v>
      </c>
      <c r="J190" s="50">
        <v>9.810645289896002E-5</v>
      </c>
      <c r="K190" s="50">
        <v>2.5912949159592E-5</v>
      </c>
      <c r="L190" s="67">
        <v>1.7363858243211693E-4</v>
      </c>
      <c r="M190" s="33"/>
      <c r="N190" s="18">
        <v>-1.4283106155080154E-6</v>
      </c>
      <c r="O190" s="18">
        <v>1.1239225539628899E-11</v>
      </c>
      <c r="P190" s="18">
        <v>1.5768656356565962E-9</v>
      </c>
      <c r="Q190" s="28">
        <v>5.6710790641788122</v>
      </c>
      <c r="R190" s="61">
        <v>408.60221189053055</v>
      </c>
      <c r="S190" s="58">
        <v>6.5782857244072772E-7</v>
      </c>
      <c r="U190" s="172">
        <v>1.5282058642471157E-4</v>
      </c>
      <c r="V190" s="172">
        <v>1.7363858243211693E-4</v>
      </c>
      <c r="W190" s="172">
        <v>1.2568743781178997E-4</v>
      </c>
      <c r="X190" s="173">
        <f t="shared" si="16"/>
        <v>1.5644629727518385E-4</v>
      </c>
      <c r="Y190" s="185">
        <f t="shared" si="17"/>
        <v>5.0687030245506213</v>
      </c>
      <c r="AA190" s="143">
        <f t="shared" si="18"/>
        <v>0.51819455260400005</v>
      </c>
      <c r="AB190" s="144">
        <f t="shared" si="19"/>
        <v>9.810645289896002E-5</v>
      </c>
      <c r="AC190" s="144">
        <f t="shared" si="20"/>
        <v>2.5912949159592E-5</v>
      </c>
      <c r="AD190" s="144">
        <f t="shared" si="23"/>
        <v>1.5644629727518385E-4</v>
      </c>
      <c r="AE190" s="145">
        <f t="shared" si="21"/>
        <v>27.875221189053057</v>
      </c>
      <c r="AF190" s="145">
        <f t="shared" si="22"/>
        <v>6.5782857244072766E-5</v>
      </c>
      <c r="AH190" s="181"/>
      <c r="AI190" s="181"/>
      <c r="AJ190" s="182"/>
    </row>
    <row r="191" spans="9:36" x14ac:dyDescent="0.25">
      <c r="I191" s="126">
        <v>5.2337649813000001E-2</v>
      </c>
      <c r="J191" s="50">
        <v>1.01001579281196E-4</v>
      </c>
      <c r="K191" s="50">
        <v>1.0985699906016E-5</v>
      </c>
      <c r="L191" s="67">
        <v>1.719375237783471E-4</v>
      </c>
      <c r="M191" s="33"/>
      <c r="N191" s="18">
        <v>-1.4411450137038295E-6</v>
      </c>
      <c r="O191" s="18">
        <v>1.3636094402457744E-11</v>
      </c>
      <c r="P191" s="18">
        <v>2.4221482965631508E-9</v>
      </c>
      <c r="Q191" s="28">
        <v>5.6710790641788122</v>
      </c>
      <c r="R191" s="61">
        <v>408.60221189053055</v>
      </c>
      <c r="S191" s="58">
        <v>6.5473467543671045E-7</v>
      </c>
      <c r="U191" s="172">
        <v>1.4585241696610861E-4</v>
      </c>
      <c r="V191" s="172">
        <v>1.719375237783471E-4</v>
      </c>
      <c r="W191" s="172">
        <v>1.2141865854240252E-4</v>
      </c>
      <c r="X191" s="173">
        <f t="shared" si="16"/>
        <v>1.5278653076630135E-4</v>
      </c>
      <c r="Y191" s="185">
        <f t="shared" si="17"/>
        <v>22.22039038981768</v>
      </c>
      <c r="AA191" s="143">
        <f t="shared" si="18"/>
        <v>0.52337649812999998</v>
      </c>
      <c r="AB191" s="144">
        <f t="shared" si="19"/>
        <v>1.01001579281196E-4</v>
      </c>
      <c r="AC191" s="144">
        <f t="shared" si="20"/>
        <v>1.0985699906016E-5</v>
      </c>
      <c r="AD191" s="144">
        <f t="shared" si="23"/>
        <v>1.5278653076630135E-4</v>
      </c>
      <c r="AE191" s="145">
        <f t="shared" si="21"/>
        <v>27.875221189053057</v>
      </c>
      <c r="AF191" s="145">
        <f t="shared" si="22"/>
        <v>6.5473467543671044E-5</v>
      </c>
      <c r="AH191" s="181"/>
      <c r="AI191" s="181"/>
      <c r="AJ191" s="182"/>
    </row>
    <row r="192" spans="9:36" x14ac:dyDescent="0.25">
      <c r="I192" s="126">
        <v>5.2861026311099998E-2</v>
      </c>
      <c r="J192" s="50">
        <v>1.0202188370457601E-4</v>
      </c>
      <c r="K192" s="50">
        <v>1.08786010501344E-5</v>
      </c>
      <c r="L192" s="67">
        <v>1.6559488631890412E-4</v>
      </c>
      <c r="M192" s="33"/>
      <c r="N192" s="18">
        <v>-1.4611101653259967E-6</v>
      </c>
      <c r="O192" s="18">
        <v>1.7431611926301744E-11</v>
      </c>
      <c r="P192" s="18">
        <v>3.7532577168029781E-9</v>
      </c>
      <c r="Q192" s="28">
        <v>5.6710790641788122</v>
      </c>
      <c r="R192" s="61">
        <v>414.27329095470935</v>
      </c>
      <c r="S192" s="58">
        <v>6.5473467543671045E-7</v>
      </c>
      <c r="U192" s="172">
        <v>1.3877399620983112E-4</v>
      </c>
      <c r="V192" s="172">
        <v>1.6559488631890412E-4</v>
      </c>
      <c r="W192" s="172">
        <v>1.2258563256913231E-4</v>
      </c>
      <c r="X192" s="173">
        <f t="shared" si="16"/>
        <v>1.4813735035419293E-4</v>
      </c>
      <c r="Y192" s="185">
        <f t="shared" si="17"/>
        <v>17.969960188863613</v>
      </c>
      <c r="AA192" s="143">
        <f t="shared" si="18"/>
        <v>0.52861026311100001</v>
      </c>
      <c r="AB192" s="144">
        <f t="shared" si="19"/>
        <v>1.0202188370457601E-4</v>
      </c>
      <c r="AC192" s="144">
        <f t="shared" si="20"/>
        <v>1.08786010501344E-5</v>
      </c>
      <c r="AD192" s="144">
        <f t="shared" si="23"/>
        <v>1.4813735035419293E-4</v>
      </c>
      <c r="AE192" s="145">
        <f t="shared" si="21"/>
        <v>28.442329095470939</v>
      </c>
      <c r="AF192" s="145">
        <f t="shared" si="22"/>
        <v>6.5473467543671044E-5</v>
      </c>
      <c r="AH192" s="181"/>
      <c r="AI192" s="181"/>
      <c r="AJ192" s="182"/>
    </row>
    <row r="193" spans="9:36" x14ac:dyDescent="0.25">
      <c r="I193" s="126">
        <v>5.3389636574199997E-2</v>
      </c>
      <c r="J193" s="50">
        <v>8.642040774906001E-5</v>
      </c>
      <c r="K193" s="50">
        <v>1.04886147017124E-5</v>
      </c>
      <c r="L193" s="67">
        <v>1.5458315879370778E-4</v>
      </c>
      <c r="M193" s="33"/>
      <c r="N193" s="18">
        <v>-1.4904057963520055E-6</v>
      </c>
      <c r="O193" s="18">
        <v>2.306327566227446E-11</v>
      </c>
      <c r="P193" s="18">
        <v>5.721523471565014E-9</v>
      </c>
      <c r="Q193" s="28">
        <v>5.6710790641788122</v>
      </c>
      <c r="R193" s="61">
        <v>414.27329095470935</v>
      </c>
      <c r="S193" s="58">
        <v>6.4850169868956617E-7</v>
      </c>
      <c r="U193" s="172">
        <v>1.3283096333175233E-4</v>
      </c>
      <c r="V193" s="172">
        <v>1.5458315879370778E-4</v>
      </c>
      <c r="W193" s="172">
        <v>1.2608828024554539E-4</v>
      </c>
      <c r="X193" s="173">
        <f t="shared" si="16"/>
        <v>1.4202139029117832E-4</v>
      </c>
      <c r="Y193" s="185">
        <f t="shared" si="17"/>
        <v>28.101446052213014</v>
      </c>
      <c r="AA193" s="143">
        <f t="shared" si="18"/>
        <v>0.53389636574199995</v>
      </c>
      <c r="AB193" s="144">
        <f t="shared" si="19"/>
        <v>8.642040774906001E-5</v>
      </c>
      <c r="AC193" s="144">
        <f t="shared" si="20"/>
        <v>1.04886147017124E-5</v>
      </c>
      <c r="AD193" s="144">
        <f t="shared" si="23"/>
        <v>1.4202139029117832E-4</v>
      </c>
      <c r="AE193" s="145">
        <f t="shared" si="21"/>
        <v>28.442329095470939</v>
      </c>
      <c r="AF193" s="145">
        <f t="shared" si="22"/>
        <v>6.4850169868956619E-5</v>
      </c>
      <c r="AH193" s="181"/>
      <c r="AI193" s="181"/>
      <c r="AJ193" s="182"/>
    </row>
    <row r="194" spans="9:36" x14ac:dyDescent="0.25">
      <c r="I194" s="126">
        <v>5.3923532939999998E-2</v>
      </c>
      <c r="J194" s="50">
        <v>9.0643841212980004E-5</v>
      </c>
      <c r="K194" s="50">
        <v>1.0812614644590001E-5</v>
      </c>
      <c r="L194" s="67">
        <v>1.402462110543885E-4</v>
      </c>
      <c r="M194" s="33"/>
      <c r="N194" s="18">
        <v>-1.5308564923693804E-6</v>
      </c>
      <c r="O194" s="18">
        <v>3.0890881693775057E-11</v>
      </c>
      <c r="P194" s="18">
        <v>8.4517200743730681E-9</v>
      </c>
      <c r="Q194" s="28">
        <v>5.6710790641788122</v>
      </c>
      <c r="R194" s="61">
        <v>419.94437001888815</v>
      </c>
      <c r="S194" s="58">
        <v>6.4850169868956617E-7</v>
      </c>
      <c r="U194" s="172">
        <v>1.2894848796624644E-4</v>
      </c>
      <c r="V194" s="172">
        <v>1.402462110543885E-4</v>
      </c>
      <c r="W194" s="172">
        <v>1.2833175490810012E-4</v>
      </c>
      <c r="X194" s="173">
        <f t="shared" si="16"/>
        <v>1.3444316624578088E-4</v>
      </c>
      <c r="Y194" s="185">
        <f t="shared" si="17"/>
        <v>16.40867016559519</v>
      </c>
      <c r="AA194" s="143">
        <f t="shared" si="18"/>
        <v>0.53923532939999996</v>
      </c>
      <c r="AB194" s="144">
        <f t="shared" si="19"/>
        <v>9.0643841212980004E-5</v>
      </c>
      <c r="AC194" s="144">
        <f t="shared" si="20"/>
        <v>1.0812614644590001E-5</v>
      </c>
      <c r="AD194" s="144">
        <f t="shared" si="23"/>
        <v>1.3444316624578088E-4</v>
      </c>
      <c r="AE194" s="145">
        <f t="shared" si="21"/>
        <v>29.00943700188882</v>
      </c>
      <c r="AF194" s="145">
        <f t="shared" si="22"/>
        <v>6.4850169868956619E-5</v>
      </c>
      <c r="AH194" s="181"/>
      <c r="AI194" s="181"/>
      <c r="AJ194" s="182"/>
    </row>
    <row r="195" spans="9:36" x14ac:dyDescent="0.25">
      <c r="I195" s="125">
        <v>5.4462768269399997E-2</v>
      </c>
      <c r="J195" s="50">
        <v>9.1140939206064007E-5</v>
      </c>
      <c r="K195" s="50">
        <v>1.02876434479104E-5</v>
      </c>
      <c r="L195" s="67">
        <v>1.2492829587299264E-4</v>
      </c>
      <c r="M195" s="33"/>
      <c r="N195" s="18">
        <v>-1.5832989634470596E-6</v>
      </c>
      <c r="O195" s="18">
        <v>4.1071766592336662E-11</v>
      </c>
      <c r="P195" s="18">
        <v>1.1999214524562444E-8</v>
      </c>
      <c r="Q195" s="28">
        <v>5.6710790641788122</v>
      </c>
      <c r="R195" s="61">
        <v>419.94437001888815</v>
      </c>
      <c r="S195" s="58">
        <v>6.3755575297256222E-7</v>
      </c>
      <c r="U195" s="172">
        <v>1.2739576601110349E-4</v>
      </c>
      <c r="V195" s="172">
        <v>1.2492829587299264E-4</v>
      </c>
      <c r="W195" s="172">
        <v>1.2650795741822823E-4</v>
      </c>
      <c r="X195" s="173">
        <f t="shared" ref="X195:X258" si="24">(U195+2*V195+W195)/4</f>
        <v>1.2594007879382927E-4</v>
      </c>
      <c r="Y195" s="185">
        <f t="shared" ref="Y195:Y258" si="25">(J195-X195)*(J195-X195)/(K195*K195)</f>
        <v>11.442085912632685</v>
      </c>
      <c r="AA195" s="143">
        <f t="shared" ref="AA195:AA258" si="26">I195*10</f>
        <v>0.54462768269399997</v>
      </c>
      <c r="AB195" s="144">
        <f t="shared" ref="AB195:AB258" si="27">J195</f>
        <v>9.1140939206064007E-5</v>
      </c>
      <c r="AC195" s="144">
        <f t="shared" ref="AC195:AC258" si="28">K195</f>
        <v>1.02876434479104E-5</v>
      </c>
      <c r="AD195" s="144">
        <f t="shared" si="23"/>
        <v>1.2594007879382927E-4</v>
      </c>
      <c r="AE195" s="145">
        <f t="shared" ref="AE195:AE258" si="29">(R195-129.85)/10</f>
        <v>29.00943700188882</v>
      </c>
      <c r="AF195" s="145">
        <f t="shared" ref="AF195:AF258" si="30">S195*100</f>
        <v>6.3755575297256219E-5</v>
      </c>
      <c r="AH195" s="181"/>
      <c r="AI195" s="181"/>
      <c r="AJ195" s="182"/>
    </row>
    <row r="196" spans="9:36" x14ac:dyDescent="0.25">
      <c r="I196" s="125">
        <v>5.5007395952099997E-2</v>
      </c>
      <c r="J196" s="50">
        <v>1.1344008852475201E-4</v>
      </c>
      <c r="K196" s="50">
        <v>1.16166340378704E-5</v>
      </c>
      <c r="L196" s="67">
        <v>1.1127302434836849E-4</v>
      </c>
      <c r="M196" s="33"/>
      <c r="N196" s="18">
        <v>-1.6470426792847382E-6</v>
      </c>
      <c r="O196" s="18">
        <v>5.3451039715507099E-11</v>
      </c>
      <c r="P196" s="18">
        <v>1.6312257564752815E-8</v>
      </c>
      <c r="Q196" s="28">
        <v>5.6710790641788122</v>
      </c>
      <c r="R196" s="61">
        <v>425.61544908306695</v>
      </c>
      <c r="S196" s="58">
        <v>6.3755575297256222E-7</v>
      </c>
      <c r="U196" s="172">
        <v>1.2765890697599309E-4</v>
      </c>
      <c r="V196" s="172">
        <v>1.1127302434836849E-4</v>
      </c>
      <c r="W196" s="172">
        <v>1.1960214334879819E-4</v>
      </c>
      <c r="X196" s="173">
        <f t="shared" si="24"/>
        <v>1.1745177475538207E-4</v>
      </c>
      <c r="Y196" s="185">
        <f t="shared" si="25"/>
        <v>0.11925958669868242</v>
      </c>
      <c r="AA196" s="143">
        <f t="shared" si="26"/>
        <v>0.55007395952100002</v>
      </c>
      <c r="AB196" s="144">
        <f t="shared" si="27"/>
        <v>1.1344008852475201E-4</v>
      </c>
      <c r="AC196" s="144">
        <f t="shared" si="28"/>
        <v>1.16166340378704E-5</v>
      </c>
      <c r="AD196" s="144">
        <f t="shared" ref="AD196:AD259" si="31">X196</f>
        <v>1.1745177475538207E-4</v>
      </c>
      <c r="AE196" s="145">
        <f t="shared" si="29"/>
        <v>29.576544908306698</v>
      </c>
      <c r="AF196" s="145">
        <f t="shared" si="30"/>
        <v>6.3755575297256219E-5</v>
      </c>
      <c r="AH196" s="181"/>
      <c r="AI196" s="181"/>
      <c r="AJ196" s="182"/>
    </row>
    <row r="197" spans="9:36" x14ac:dyDescent="0.25">
      <c r="I197" s="125">
        <v>5.5557469911600002E-2</v>
      </c>
      <c r="J197" s="50">
        <v>1.1265311310778801E-4</v>
      </c>
      <c r="K197" s="50">
        <v>1.14381853063368E-5</v>
      </c>
      <c r="L197" s="67">
        <v>1.0140823737948831E-4</v>
      </c>
      <c r="M197" s="33"/>
      <c r="N197" s="18">
        <v>-1.7196269277405439E-6</v>
      </c>
      <c r="O197" s="18">
        <v>6.7512234749960503E-11</v>
      </c>
      <c r="P197" s="18">
        <v>2.1215021408299006E-8</v>
      </c>
      <c r="Q197" s="28">
        <v>5.6710790641788122</v>
      </c>
      <c r="R197" s="61">
        <v>425.61544908306695</v>
      </c>
      <c r="S197" s="58">
        <v>6.1985698655869384E-7</v>
      </c>
      <c r="U197" s="172">
        <v>1.2856556504594333E-4</v>
      </c>
      <c r="V197" s="172">
        <v>1.0140823737948831E-4</v>
      </c>
      <c r="W197" s="172">
        <v>1.0874209209814886E-4</v>
      </c>
      <c r="X197" s="173">
        <f t="shared" si="24"/>
        <v>1.1003103297576721E-4</v>
      </c>
      <c r="Y197" s="185">
        <f t="shared" si="25"/>
        <v>5.2550598108056165E-2</v>
      </c>
      <c r="AA197" s="143">
        <f t="shared" si="26"/>
        <v>0.55557469911599999</v>
      </c>
      <c r="AB197" s="144">
        <f t="shared" si="27"/>
        <v>1.1265311310778801E-4</v>
      </c>
      <c r="AC197" s="144">
        <f t="shared" si="28"/>
        <v>1.14381853063368E-5</v>
      </c>
      <c r="AD197" s="144">
        <f t="shared" si="31"/>
        <v>1.1003103297576721E-4</v>
      </c>
      <c r="AE197" s="145">
        <f t="shared" si="29"/>
        <v>29.576544908306698</v>
      </c>
      <c r="AF197" s="145">
        <f t="shared" si="30"/>
        <v>6.1985698655869388E-5</v>
      </c>
      <c r="AH197" s="181"/>
      <c r="AI197" s="181"/>
      <c r="AJ197" s="182"/>
    </row>
    <row r="198" spans="9:36" x14ac:dyDescent="0.25">
      <c r="I198" s="125">
        <v>5.6113044610699998E-2</v>
      </c>
      <c r="J198" s="50">
        <v>1.02470109008388E-4</v>
      </c>
      <c r="K198" s="50">
        <v>1.0756807751342399E-5</v>
      </c>
      <c r="L198" s="67">
        <v>9.6281842766002975E-5</v>
      </c>
      <c r="M198" s="33"/>
      <c r="N198" s="18">
        <v>-1.7774941185672579E-6</v>
      </c>
      <c r="O198" s="18">
        <v>7.8668972639106197E-11</v>
      </c>
      <c r="P198" s="18">
        <v>2.5110788760827239E-8</v>
      </c>
      <c r="Q198" s="28">
        <v>2.8355395320894061</v>
      </c>
      <c r="R198" s="61">
        <v>431.28652814724575</v>
      </c>
      <c r="S198" s="58">
        <v>6.1985698655869384E-7</v>
      </c>
      <c r="U198" s="172">
        <v>1.2862834218728731E-4</v>
      </c>
      <c r="V198" s="172">
        <v>9.6281842766002975E-5</v>
      </c>
      <c r="W198" s="172">
        <v>9.6730514602484666E-5</v>
      </c>
      <c r="X198" s="173">
        <f t="shared" si="24"/>
        <v>1.0448063558044448E-4</v>
      </c>
      <c r="Y198" s="185">
        <f t="shared" si="25"/>
        <v>3.4934362376805403E-2</v>
      </c>
      <c r="AA198" s="143">
        <f t="shared" si="26"/>
        <v>0.56113044610700002</v>
      </c>
      <c r="AB198" s="144">
        <f t="shared" si="27"/>
        <v>1.02470109008388E-4</v>
      </c>
      <c r="AC198" s="144">
        <f t="shared" si="28"/>
        <v>1.0756807751342399E-5</v>
      </c>
      <c r="AD198" s="144">
        <f t="shared" si="31"/>
        <v>1.0448063558044448E-4</v>
      </c>
      <c r="AE198" s="145">
        <f t="shared" si="29"/>
        <v>30.143652814724579</v>
      </c>
      <c r="AF198" s="145">
        <f t="shared" si="30"/>
        <v>6.1985698655869388E-5</v>
      </c>
      <c r="AH198" s="181"/>
      <c r="AI198" s="181"/>
      <c r="AJ198" s="182"/>
    </row>
    <row r="199" spans="9:36" x14ac:dyDescent="0.25">
      <c r="I199" s="125">
        <v>5.6674175056800002E-2</v>
      </c>
      <c r="J199" s="50">
        <v>9.0032292937884E-5</v>
      </c>
      <c r="K199" s="50">
        <v>1.01224786237872E-5</v>
      </c>
      <c r="L199" s="67">
        <v>9.5376268894179373E-5</v>
      </c>
      <c r="M199" s="33"/>
      <c r="N199" s="18">
        <v>-1.8023901196647285E-6</v>
      </c>
      <c r="O199" s="18">
        <v>8.3296058270184729E-11</v>
      </c>
      <c r="P199" s="18">
        <v>2.6745057736366101E-8</v>
      </c>
      <c r="Q199" s="28">
        <v>2.5888402375163024</v>
      </c>
      <c r="R199" s="61">
        <v>431.28652814724575</v>
      </c>
      <c r="S199" s="58">
        <v>5.9320794990197259E-7</v>
      </c>
      <c r="U199" s="172">
        <v>1.2650473840550161E-4</v>
      </c>
      <c r="V199" s="172">
        <v>9.5376268894179373E-5</v>
      </c>
      <c r="W199" s="172">
        <v>8.6903153919681774E-5</v>
      </c>
      <c r="X199" s="173">
        <f t="shared" si="24"/>
        <v>1.0104010752838554E-4</v>
      </c>
      <c r="Y199" s="185">
        <f t="shared" si="25"/>
        <v>1.1825744053073401</v>
      </c>
      <c r="AA199" s="143">
        <f t="shared" si="26"/>
        <v>0.56674175056800002</v>
      </c>
      <c r="AB199" s="144">
        <f t="shared" si="27"/>
        <v>9.0032292937884E-5</v>
      </c>
      <c r="AC199" s="144">
        <f t="shared" si="28"/>
        <v>1.01224786237872E-5</v>
      </c>
      <c r="AD199" s="144">
        <f t="shared" si="31"/>
        <v>1.0104010752838554E-4</v>
      </c>
      <c r="AE199" s="145">
        <f t="shared" si="29"/>
        <v>30.143652814724579</v>
      </c>
      <c r="AF199" s="145">
        <f t="shared" si="30"/>
        <v>5.9320794990197256E-5</v>
      </c>
      <c r="AH199" s="181"/>
      <c r="AI199" s="181"/>
      <c r="AJ199" s="182"/>
    </row>
    <row r="200" spans="9:36" x14ac:dyDescent="0.25">
      <c r="I200" s="125">
        <v>5.7240916807399997E-2</v>
      </c>
      <c r="J200" s="50">
        <v>1.07292582160896E-4</v>
      </c>
      <c r="K200" s="50">
        <v>1.05824991285816E-5</v>
      </c>
      <c r="L200" s="67">
        <v>9.691108490945228E-5</v>
      </c>
      <c r="M200" s="33"/>
      <c r="N200" s="18">
        <v>-1.8556357159926969E-6</v>
      </c>
      <c r="O200" s="18">
        <v>9.3442562630306E-11</v>
      </c>
      <c r="P200" s="18">
        <v>3.0300865549990167E-8</v>
      </c>
      <c r="Q200" s="28">
        <v>5.1776804750326049</v>
      </c>
      <c r="R200" s="61">
        <v>436.95760721142454</v>
      </c>
      <c r="S200" s="58">
        <v>5.9320794990197259E-7</v>
      </c>
      <c r="U200" s="172">
        <v>1.2143094306155987E-4</v>
      </c>
      <c r="V200" s="172">
        <v>9.691108490945228E-5</v>
      </c>
      <c r="W200" s="172">
        <v>8.1727786066335204E-5</v>
      </c>
      <c r="X200" s="173">
        <f t="shared" si="24"/>
        <v>9.9245224736699915E-5</v>
      </c>
      <c r="Y200" s="185">
        <f t="shared" si="25"/>
        <v>0.57826925040097843</v>
      </c>
      <c r="AA200" s="143">
        <f t="shared" si="26"/>
        <v>0.572409168074</v>
      </c>
      <c r="AB200" s="144">
        <f t="shared" si="27"/>
        <v>1.07292582160896E-4</v>
      </c>
      <c r="AC200" s="144">
        <f t="shared" si="28"/>
        <v>1.05824991285816E-5</v>
      </c>
      <c r="AD200" s="144">
        <f t="shared" si="31"/>
        <v>9.9245224736699915E-5</v>
      </c>
      <c r="AE200" s="145">
        <f t="shared" si="29"/>
        <v>30.710760721142456</v>
      </c>
      <c r="AF200" s="145">
        <f t="shared" si="30"/>
        <v>5.9320794990197256E-5</v>
      </c>
      <c r="AH200" s="181"/>
      <c r="AI200" s="181"/>
      <c r="AJ200" s="182"/>
    </row>
    <row r="201" spans="9:36" x14ac:dyDescent="0.25">
      <c r="I201" s="125">
        <v>5.7813325975400003E-2</v>
      </c>
      <c r="J201" s="50">
        <v>9.0101035773539997E-5</v>
      </c>
      <c r="K201" s="50">
        <v>9.3425137301496E-6</v>
      </c>
      <c r="L201" s="67">
        <v>9.8479157356874089E-5</v>
      </c>
      <c r="M201" s="33"/>
      <c r="N201" s="18">
        <v>-1.9235623009819942E-6</v>
      </c>
      <c r="O201" s="18">
        <v>1.0622353636090652E-10</v>
      </c>
      <c r="P201" s="18">
        <v>3.4797638475934269E-8</v>
      </c>
      <c r="Q201" s="28">
        <v>5.1776804750326049</v>
      </c>
      <c r="R201" s="61">
        <v>436.95760721142454</v>
      </c>
      <c r="S201" s="58">
        <v>5.5574933024876981E-7</v>
      </c>
      <c r="U201" s="172">
        <v>1.1348932293734228E-4</v>
      </c>
      <c r="V201" s="172">
        <v>9.8479157356874089E-5</v>
      </c>
      <c r="W201" s="172">
        <v>8.169398642873262E-5</v>
      </c>
      <c r="X201" s="173">
        <f t="shared" si="24"/>
        <v>9.8035406019955767E-5</v>
      </c>
      <c r="Y201" s="185">
        <f t="shared" si="25"/>
        <v>0.7212692797859277</v>
      </c>
      <c r="AA201" s="143">
        <f t="shared" si="26"/>
        <v>0.57813325975399998</v>
      </c>
      <c r="AB201" s="144">
        <f t="shared" si="27"/>
        <v>9.0101035773539997E-5</v>
      </c>
      <c r="AC201" s="144">
        <f t="shared" si="28"/>
        <v>9.3425137301496E-6</v>
      </c>
      <c r="AD201" s="144">
        <f t="shared" si="31"/>
        <v>9.8035406019955767E-5</v>
      </c>
      <c r="AE201" s="145">
        <f t="shared" si="29"/>
        <v>30.710760721142456</v>
      </c>
      <c r="AF201" s="145">
        <f t="shared" si="30"/>
        <v>5.5574933024876984E-5</v>
      </c>
      <c r="AH201" s="181"/>
      <c r="AI201" s="181"/>
      <c r="AJ201" s="182"/>
    </row>
    <row r="202" spans="9:36" x14ac:dyDescent="0.25">
      <c r="I202" s="125">
        <v>5.8391459235199998E-2</v>
      </c>
      <c r="J202" s="50">
        <v>9.2361644988888002E-5</v>
      </c>
      <c r="K202" s="50">
        <v>9.4875405697380006E-6</v>
      </c>
      <c r="L202" s="67">
        <v>9.7905704836868062E-5</v>
      </c>
      <c r="M202" s="33"/>
      <c r="N202" s="18">
        <v>-1.9852040728602378E-6</v>
      </c>
      <c r="O202" s="18">
        <v>1.1757203071186924E-10</v>
      </c>
      <c r="P202" s="18">
        <v>3.8817917338982017E-8</v>
      </c>
      <c r="Q202" s="28">
        <v>5.1776804750326049</v>
      </c>
      <c r="R202" s="61">
        <v>442.62868627560334</v>
      </c>
      <c r="S202" s="58">
        <v>5.5574933024876981E-7</v>
      </c>
      <c r="U202" s="172">
        <v>1.0361681512275189E-4</v>
      </c>
      <c r="V202" s="172">
        <v>9.7905704836868062E-5</v>
      </c>
      <c r="W202" s="172">
        <v>8.497194747911899E-5</v>
      </c>
      <c r="X202" s="173">
        <f t="shared" si="24"/>
        <v>9.6100043068901748E-5</v>
      </c>
      <c r="Y202" s="185">
        <f t="shared" si="25"/>
        <v>0.15526150726624219</v>
      </c>
      <c r="AA202" s="143">
        <f t="shared" si="26"/>
        <v>0.58391459235199994</v>
      </c>
      <c r="AB202" s="144">
        <f t="shared" si="27"/>
        <v>9.2361644988888002E-5</v>
      </c>
      <c r="AC202" s="144">
        <f t="shared" si="28"/>
        <v>9.4875405697380006E-6</v>
      </c>
      <c r="AD202" s="144">
        <f t="shared" si="31"/>
        <v>9.6100043068901748E-5</v>
      </c>
      <c r="AE202" s="145">
        <f t="shared" si="29"/>
        <v>31.277868627560338</v>
      </c>
      <c r="AF202" s="145">
        <f t="shared" si="30"/>
        <v>5.5574933024876984E-5</v>
      </c>
      <c r="AH202" s="181"/>
      <c r="AI202" s="181"/>
      <c r="AJ202" s="182"/>
    </row>
    <row r="203" spans="9:36" x14ac:dyDescent="0.25">
      <c r="I203" s="125">
        <v>5.89753738276E-2</v>
      </c>
      <c r="J203" s="50">
        <v>8.9802426035916024E-5</v>
      </c>
      <c r="K203" s="50">
        <v>9.6384012902892026E-6</v>
      </c>
      <c r="L203" s="67">
        <v>9.4028386759871716E-5</v>
      </c>
      <c r="M203" s="33"/>
      <c r="N203" s="18">
        <v>-2.0385342348903468E-6</v>
      </c>
      <c r="O203" s="18">
        <v>1.2706246210422978E-10</v>
      </c>
      <c r="P203" s="18">
        <v>4.2216833518976203E-8</v>
      </c>
      <c r="Q203" s="28">
        <v>5.1776804750326049</v>
      </c>
      <c r="R203" s="61">
        <v>442.62868627560334</v>
      </c>
      <c r="S203" s="58">
        <v>5.0656842288107643E-7</v>
      </c>
      <c r="U203" s="172">
        <v>9.3341187757278447E-5</v>
      </c>
      <c r="V203" s="172">
        <v>9.4028386759871716E-5</v>
      </c>
      <c r="W203" s="172">
        <v>8.8046497242286507E-5</v>
      </c>
      <c r="X203" s="173">
        <f t="shared" si="24"/>
        <v>9.2361114629827093E-5</v>
      </c>
      <c r="Y203" s="185">
        <f t="shared" si="25"/>
        <v>7.0473340560486986E-2</v>
      </c>
      <c r="AA203" s="143">
        <f t="shared" si="26"/>
        <v>0.58975373827599997</v>
      </c>
      <c r="AB203" s="144">
        <f t="shared" si="27"/>
        <v>8.9802426035916024E-5</v>
      </c>
      <c r="AC203" s="144">
        <f t="shared" si="28"/>
        <v>9.6384012902892026E-6</v>
      </c>
      <c r="AD203" s="144">
        <f t="shared" si="31"/>
        <v>9.2361114629827093E-5</v>
      </c>
      <c r="AE203" s="145">
        <f t="shared" si="29"/>
        <v>31.277868627560338</v>
      </c>
      <c r="AF203" s="145">
        <f t="shared" si="30"/>
        <v>5.0656842288107639E-5</v>
      </c>
      <c r="AH203" s="181"/>
      <c r="AI203" s="181"/>
      <c r="AJ203" s="182"/>
    </row>
    <row r="204" spans="9:36" x14ac:dyDescent="0.25">
      <c r="I204" s="125">
        <v>5.95651275658E-2</v>
      </c>
      <c r="J204" s="50">
        <v>9.4590153028667985E-5</v>
      </c>
      <c r="K204" s="50">
        <v>9.731818676870401E-6</v>
      </c>
      <c r="L204" s="67">
        <v>8.7108859123466914E-5</v>
      </c>
      <c r="M204" s="33"/>
      <c r="N204" s="18">
        <v>-2.0827585665321256E-6</v>
      </c>
      <c r="O204" s="18">
        <v>1.3452086207421251E-10</v>
      </c>
      <c r="P204" s="18">
        <v>4.4935877969495373E-8</v>
      </c>
      <c r="Q204" s="28">
        <v>5.1776804750326049</v>
      </c>
      <c r="R204" s="61">
        <v>448.29976533978214</v>
      </c>
      <c r="S204" s="58">
        <v>5.0656842288107643E-7</v>
      </c>
      <c r="U204" s="172">
        <v>8.4320510300314475E-5</v>
      </c>
      <c r="V204" s="172">
        <v>8.7108859123466914E-5</v>
      </c>
      <c r="W204" s="172">
        <v>8.7147496529784368E-5</v>
      </c>
      <c r="X204" s="173">
        <f t="shared" si="24"/>
        <v>8.6421431269258171E-5</v>
      </c>
      <c r="Y204" s="185">
        <f t="shared" si="25"/>
        <v>0.7045635796961025</v>
      </c>
      <c r="AA204" s="143">
        <f t="shared" si="26"/>
        <v>0.59565127565800002</v>
      </c>
      <c r="AB204" s="144">
        <f t="shared" si="27"/>
        <v>9.4590153028667985E-5</v>
      </c>
      <c r="AC204" s="144">
        <f t="shared" si="28"/>
        <v>9.731818676870401E-6</v>
      </c>
      <c r="AD204" s="144">
        <f t="shared" si="31"/>
        <v>8.6421431269258171E-5</v>
      </c>
      <c r="AE204" s="145">
        <f t="shared" si="29"/>
        <v>31.844976533978219</v>
      </c>
      <c r="AF204" s="145">
        <f t="shared" si="30"/>
        <v>5.0656842288107639E-5</v>
      </c>
      <c r="AH204" s="181"/>
      <c r="AI204" s="181"/>
      <c r="AJ204" s="182"/>
    </row>
    <row r="205" spans="9:36" x14ac:dyDescent="0.25">
      <c r="I205" s="126">
        <v>6.01607788415E-2</v>
      </c>
      <c r="J205" s="50">
        <v>9.4928029737552003E-5</v>
      </c>
      <c r="K205" s="50">
        <v>9.5106692241791996E-6</v>
      </c>
      <c r="L205" s="67">
        <v>7.8706763277469456E-5</v>
      </c>
      <c r="M205" s="33"/>
      <c r="N205" s="18">
        <v>-2.1182200272530416E-6</v>
      </c>
      <c r="O205" s="18">
        <v>1.4000579883364377E-10</v>
      </c>
      <c r="P205" s="18">
        <v>4.6996312987749465E-8</v>
      </c>
      <c r="Q205" s="28">
        <v>5.1776804750326049</v>
      </c>
      <c r="R205" s="61">
        <v>448.29976533978214</v>
      </c>
      <c r="S205" s="58">
        <v>4.4624717609330607E-7</v>
      </c>
      <c r="U205" s="172">
        <v>7.7829709893191475E-5</v>
      </c>
      <c r="V205" s="172">
        <v>7.8706763277469456E-5</v>
      </c>
      <c r="W205" s="172">
        <v>7.994541013532488E-5</v>
      </c>
      <c r="X205" s="173">
        <f t="shared" si="24"/>
        <v>7.879716164586382E-5</v>
      </c>
      <c r="Y205" s="185">
        <f t="shared" si="25"/>
        <v>2.8766917298684964</v>
      </c>
      <c r="AA205" s="143">
        <f t="shared" si="26"/>
        <v>0.60160778841499996</v>
      </c>
      <c r="AB205" s="144">
        <f t="shared" si="27"/>
        <v>9.4928029737552003E-5</v>
      </c>
      <c r="AC205" s="144">
        <f t="shared" si="28"/>
        <v>9.5106692241791996E-6</v>
      </c>
      <c r="AD205" s="144">
        <f t="shared" si="31"/>
        <v>7.879716164586382E-5</v>
      </c>
      <c r="AE205" s="145">
        <f t="shared" si="29"/>
        <v>31.844976533978219</v>
      </c>
      <c r="AF205" s="145">
        <f t="shared" si="30"/>
        <v>4.4624717609330606E-5</v>
      </c>
      <c r="AH205" s="181"/>
      <c r="AI205" s="181"/>
      <c r="AJ205" s="182"/>
    </row>
    <row r="206" spans="9:36" x14ac:dyDescent="0.25">
      <c r="I206" s="126">
        <v>6.0762386629900002E-2</v>
      </c>
      <c r="J206" s="50">
        <v>1.05358660420332E-4</v>
      </c>
      <c r="K206" s="50">
        <v>1.0083078898068E-5</v>
      </c>
      <c r="L206" s="67">
        <v>7.1040887953950058E-5</v>
      </c>
      <c r="M206" s="33"/>
      <c r="N206" s="18">
        <v>-2.1460995103295333E-6</v>
      </c>
      <c r="O206" s="18">
        <v>1.4374780552757317E-10</v>
      </c>
      <c r="P206" s="18">
        <v>4.8478330430151711E-8</v>
      </c>
      <c r="Q206" s="28">
        <v>5.1776804750326049</v>
      </c>
      <c r="R206" s="61">
        <v>453.97084440396094</v>
      </c>
      <c r="S206" s="58">
        <v>4.4624717609330607E-7</v>
      </c>
      <c r="U206" s="172">
        <v>7.4362571401999803E-5</v>
      </c>
      <c r="V206" s="172">
        <v>7.1040887953950058E-5</v>
      </c>
      <c r="W206" s="172">
        <v>6.6811975832651563E-5</v>
      </c>
      <c r="X206" s="173">
        <f t="shared" si="24"/>
        <v>7.0814080785637867E-5</v>
      </c>
      <c r="Y206" s="185">
        <f t="shared" si="25"/>
        <v>11.73744292605469</v>
      </c>
      <c r="AA206" s="143">
        <f t="shared" si="26"/>
        <v>0.607623866299</v>
      </c>
      <c r="AB206" s="144">
        <f t="shared" si="27"/>
        <v>1.05358660420332E-4</v>
      </c>
      <c r="AC206" s="144">
        <f t="shared" si="28"/>
        <v>1.0083078898068E-5</v>
      </c>
      <c r="AD206" s="144">
        <f t="shared" si="31"/>
        <v>7.0814080785637867E-5</v>
      </c>
      <c r="AE206" s="145">
        <f t="shared" si="29"/>
        <v>32.4120844403961</v>
      </c>
      <c r="AF206" s="145">
        <f t="shared" si="30"/>
        <v>4.4624717609330606E-5</v>
      </c>
      <c r="AH206" s="181"/>
      <c r="AI206" s="181"/>
      <c r="AJ206" s="182"/>
    </row>
    <row r="207" spans="9:36" x14ac:dyDescent="0.25">
      <c r="I207" s="126">
        <v>6.13700104962E-2</v>
      </c>
      <c r="J207" s="50">
        <v>1.0105124935910401E-4</v>
      </c>
      <c r="K207" s="50">
        <v>9.3312691896336008E-6</v>
      </c>
      <c r="L207" s="67">
        <v>6.6062796239629344E-5</v>
      </c>
      <c r="M207" s="33"/>
      <c r="N207" s="18">
        <v>-2.1680288740860456E-6</v>
      </c>
      <c r="O207" s="18">
        <v>1.4607095160412984E-10</v>
      </c>
      <c r="P207" s="18">
        <v>4.949407594036635E-8</v>
      </c>
      <c r="Q207" s="28">
        <v>5.1776804750326049</v>
      </c>
      <c r="R207" s="61">
        <v>453.97084440396094</v>
      </c>
      <c r="S207" s="58">
        <v>3.7713038471453524E-7</v>
      </c>
      <c r="U207" s="172">
        <v>7.3486526840911074E-5</v>
      </c>
      <c r="V207" s="172">
        <v>6.6062796239629344E-5</v>
      </c>
      <c r="W207" s="172">
        <v>5.1054410107414672E-5</v>
      </c>
      <c r="X207" s="173">
        <f t="shared" si="24"/>
        <v>6.4166632356896117E-5</v>
      </c>
      <c r="Y207" s="185">
        <f t="shared" si="25"/>
        <v>15.624607633418528</v>
      </c>
      <c r="AA207" s="143">
        <f t="shared" si="26"/>
        <v>0.613700104962</v>
      </c>
      <c r="AB207" s="144">
        <f t="shared" si="27"/>
        <v>1.0105124935910401E-4</v>
      </c>
      <c r="AC207" s="144">
        <f t="shared" si="28"/>
        <v>9.3312691896336008E-6</v>
      </c>
      <c r="AD207" s="144">
        <f t="shared" si="31"/>
        <v>6.4166632356896117E-5</v>
      </c>
      <c r="AE207" s="145">
        <f t="shared" si="29"/>
        <v>32.4120844403961</v>
      </c>
      <c r="AF207" s="145">
        <f t="shared" si="30"/>
        <v>3.7713038471453524E-5</v>
      </c>
      <c r="AH207" s="181"/>
      <c r="AI207" s="181"/>
      <c r="AJ207" s="182"/>
    </row>
    <row r="208" spans="9:36" x14ac:dyDescent="0.25">
      <c r="I208" s="126">
        <v>6.1983710601199997E-2</v>
      </c>
      <c r="J208" s="50">
        <v>9.4316125330284003E-5</v>
      </c>
      <c r="K208" s="50">
        <v>9.3486108537888003E-6</v>
      </c>
      <c r="L208" s="67">
        <v>6.4598767003284596E-5</v>
      </c>
      <c r="M208" s="33"/>
      <c r="N208" s="18">
        <v>-2.1857288866582247E-6</v>
      </c>
      <c r="O208" s="18">
        <v>1.473194811706276E-10</v>
      </c>
      <c r="P208" s="18">
        <v>5.0162414179703025E-8</v>
      </c>
      <c r="Q208" s="28">
        <v>5.1776804750326049</v>
      </c>
      <c r="R208" s="61">
        <v>459.64192346813974</v>
      </c>
      <c r="S208" s="58">
        <v>3.7713038471453524E-7</v>
      </c>
      <c r="U208" s="172">
        <v>7.4007557863085518E-5</v>
      </c>
      <c r="V208" s="172">
        <v>6.4598767003284596E-5</v>
      </c>
      <c r="W208" s="172">
        <v>3.7906123288929595E-5</v>
      </c>
      <c r="X208" s="173">
        <f t="shared" si="24"/>
        <v>6.0277803789646074E-5</v>
      </c>
      <c r="Y208" s="185">
        <f t="shared" si="25"/>
        <v>13.256903917955224</v>
      </c>
      <c r="AA208" s="143">
        <f t="shared" si="26"/>
        <v>0.61983710601199993</v>
      </c>
      <c r="AB208" s="144">
        <f t="shared" si="27"/>
        <v>9.4316125330284003E-5</v>
      </c>
      <c r="AC208" s="144">
        <f t="shared" si="28"/>
        <v>9.3486108537888003E-6</v>
      </c>
      <c r="AD208" s="144">
        <f t="shared" si="31"/>
        <v>6.0277803789646074E-5</v>
      </c>
      <c r="AE208" s="145">
        <f t="shared" si="29"/>
        <v>32.979192346813974</v>
      </c>
      <c r="AF208" s="145">
        <f t="shared" si="30"/>
        <v>3.7713038471453524E-5</v>
      </c>
      <c r="AH208" s="181"/>
      <c r="AI208" s="181"/>
      <c r="AJ208" s="182"/>
    </row>
    <row r="209" spans="9:36" x14ac:dyDescent="0.25">
      <c r="I209" s="125">
        <v>6.2603547707200002E-2</v>
      </c>
      <c r="J209" s="50">
        <v>7.3952298871176003E-5</v>
      </c>
      <c r="K209" s="50">
        <v>8.4576809669351999E-6</v>
      </c>
      <c r="L209" s="67">
        <v>6.5917623169093584E-5</v>
      </c>
      <c r="M209" s="33"/>
      <c r="N209" s="18">
        <v>-2.2007462460624003E-6</v>
      </c>
      <c r="O209" s="18">
        <v>1.4780460644711437E-10</v>
      </c>
      <c r="P209" s="18">
        <v>5.0590618797217712E-8</v>
      </c>
      <c r="Q209" s="28">
        <v>5.1776804750326049</v>
      </c>
      <c r="R209" s="61">
        <v>459.64192346813974</v>
      </c>
      <c r="S209" s="58">
        <v>3.2184016138372131E-7</v>
      </c>
      <c r="U209" s="172">
        <v>7.4397485537326896E-5</v>
      </c>
      <c r="V209" s="172">
        <v>6.5917623169093584E-5</v>
      </c>
      <c r="W209" s="172">
        <v>3.2569718577569456E-5</v>
      </c>
      <c r="X209" s="173">
        <f t="shared" si="24"/>
        <v>5.9700612613270877E-5</v>
      </c>
      <c r="Y209" s="185">
        <f t="shared" si="25"/>
        <v>2.8394217715840018</v>
      </c>
      <c r="AA209" s="143">
        <f t="shared" si="26"/>
        <v>0.62603547707200002</v>
      </c>
      <c r="AB209" s="144">
        <f t="shared" si="27"/>
        <v>7.3952298871176003E-5</v>
      </c>
      <c r="AC209" s="144">
        <f t="shared" si="28"/>
        <v>8.4576809669351999E-6</v>
      </c>
      <c r="AD209" s="144">
        <f t="shared" si="31"/>
        <v>5.9700612613270877E-5</v>
      </c>
      <c r="AE209" s="145">
        <f t="shared" si="29"/>
        <v>32.979192346813974</v>
      </c>
      <c r="AF209" s="145">
        <f t="shared" si="30"/>
        <v>3.2184016138372128E-5</v>
      </c>
      <c r="AH209" s="181"/>
      <c r="AI209" s="181"/>
      <c r="AJ209" s="182"/>
    </row>
    <row r="210" spans="9:36" x14ac:dyDescent="0.25">
      <c r="I210" s="125">
        <v>6.3229583184199994E-2</v>
      </c>
      <c r="J210" s="50">
        <v>8.4128992103903999E-5</v>
      </c>
      <c r="K210" s="50">
        <v>8.8801816252512002E-6</v>
      </c>
      <c r="L210" s="70">
        <v>6.7939672071710554E-5</v>
      </c>
      <c r="M210" s="18"/>
      <c r="N210" s="18">
        <v>-2.2143137969364591E-6</v>
      </c>
      <c r="O210" s="18">
        <v>1.4777635397905729E-10</v>
      </c>
      <c r="P210" s="18">
        <v>5.0864670798422831E-8</v>
      </c>
      <c r="Q210" s="28">
        <v>5.1776804750326049</v>
      </c>
      <c r="R210" s="61">
        <v>462.47746300022914</v>
      </c>
      <c r="S210" s="58">
        <v>3.2184016138372131E-7</v>
      </c>
      <c r="U210" s="172">
        <v>7.334076888528526E-5</v>
      </c>
      <c r="V210" s="172">
        <v>6.7939672071710554E-5</v>
      </c>
      <c r="W210" s="172">
        <v>3.8052387626551849E-5</v>
      </c>
      <c r="X210" s="173">
        <f t="shared" si="24"/>
        <v>6.1818125163814558E-5</v>
      </c>
      <c r="Y210" s="185">
        <f t="shared" si="25"/>
        <v>6.3123227362712546</v>
      </c>
      <c r="AA210" s="143">
        <f t="shared" si="26"/>
        <v>0.632295831842</v>
      </c>
      <c r="AB210" s="144">
        <f t="shared" si="27"/>
        <v>8.4128992103903999E-5</v>
      </c>
      <c r="AC210" s="144">
        <f t="shared" si="28"/>
        <v>8.8801816252512002E-6</v>
      </c>
      <c r="AD210" s="144">
        <f t="shared" si="31"/>
        <v>6.1818125163814558E-5</v>
      </c>
      <c r="AE210" s="145">
        <f t="shared" si="29"/>
        <v>33.262746300022911</v>
      </c>
      <c r="AF210" s="145">
        <f t="shared" si="30"/>
        <v>3.2184016138372128E-5</v>
      </c>
      <c r="AH210" s="181"/>
      <c r="AI210" s="181"/>
      <c r="AJ210" s="182"/>
    </row>
    <row r="211" spans="9:36" x14ac:dyDescent="0.25">
      <c r="I211" s="125">
        <v>6.3861879016100007E-2</v>
      </c>
      <c r="J211" s="50">
        <v>7.2408051183468002E-5</v>
      </c>
      <c r="K211" s="50">
        <v>8.5061837972364005E-6</v>
      </c>
      <c r="L211" s="70">
        <v>6.8056400032145349E-5</v>
      </c>
      <c r="M211" s="18"/>
      <c r="N211" s="18">
        <v>-2.2273175722767325E-6</v>
      </c>
      <c r="O211" s="18">
        <v>1.4741711561248334E-10</v>
      </c>
      <c r="P211" s="18">
        <v>5.1047016810711664E-8</v>
      </c>
      <c r="Q211" s="28">
        <v>5.1776804750326049</v>
      </c>
      <c r="R211" s="61">
        <v>462.47746300022914</v>
      </c>
      <c r="S211" s="58">
        <v>2.8475983456029408E-7</v>
      </c>
      <c r="U211" s="172">
        <v>7.0207389526860786E-5</v>
      </c>
      <c r="V211" s="172">
        <v>6.8056400032145349E-5</v>
      </c>
      <c r="W211" s="172">
        <v>5.3703332788281982E-5</v>
      </c>
      <c r="X211" s="173">
        <f t="shared" si="24"/>
        <v>6.5005880594858377E-5</v>
      </c>
      <c r="Y211" s="185">
        <f t="shared" si="25"/>
        <v>0.7572663415893458</v>
      </c>
      <c r="AA211" s="143">
        <f t="shared" si="26"/>
        <v>0.63861879016100009</v>
      </c>
      <c r="AB211" s="144">
        <f t="shared" si="27"/>
        <v>7.2408051183468002E-5</v>
      </c>
      <c r="AC211" s="144">
        <f t="shared" si="28"/>
        <v>8.5061837972364005E-6</v>
      </c>
      <c r="AD211" s="144">
        <f t="shared" si="31"/>
        <v>6.5005880594858377E-5</v>
      </c>
      <c r="AE211" s="145">
        <f t="shared" si="29"/>
        <v>33.262746300022911</v>
      </c>
      <c r="AF211" s="145">
        <f t="shared" si="30"/>
        <v>2.847598345602941E-5</v>
      </c>
      <c r="AH211" s="181"/>
      <c r="AI211" s="181"/>
      <c r="AJ211" s="182"/>
    </row>
    <row r="212" spans="9:36" x14ac:dyDescent="0.25">
      <c r="I212" s="125">
        <v>6.45004978062E-2</v>
      </c>
      <c r="J212" s="50">
        <v>7.1619092971536008E-5</v>
      </c>
      <c r="K212" s="50">
        <v>8.7746255997840002E-6</v>
      </c>
      <c r="L212" s="70">
        <v>6.4270362864110537E-5</v>
      </c>
      <c r="M212" s="18"/>
      <c r="N212" s="18">
        <v>-2.2403337496470556E-6</v>
      </c>
      <c r="O212" s="18">
        <v>1.4684937459004952E-10</v>
      </c>
      <c r="P212" s="18">
        <v>5.1179202389270438E-8</v>
      </c>
      <c r="Q212" s="28">
        <v>5.1776804750326049</v>
      </c>
      <c r="R212" s="61">
        <v>465.27792263553602</v>
      </c>
      <c r="S212" s="58">
        <v>2.8475983456029408E-7</v>
      </c>
      <c r="U212" s="172">
        <v>6.5274593925925163E-5</v>
      </c>
      <c r="V212" s="172">
        <v>6.4270362864110537E-5</v>
      </c>
      <c r="W212" s="172">
        <v>7.5145946532140739E-5</v>
      </c>
      <c r="X212" s="173">
        <f t="shared" si="24"/>
        <v>6.7240316546571737E-5</v>
      </c>
      <c r="Y212" s="185">
        <f t="shared" si="25"/>
        <v>0.24902809866501349</v>
      </c>
      <c r="AA212" s="143">
        <f t="shared" si="26"/>
        <v>0.64500497806199997</v>
      </c>
      <c r="AB212" s="144">
        <f t="shared" si="27"/>
        <v>7.1619092971536008E-5</v>
      </c>
      <c r="AC212" s="144">
        <f t="shared" si="28"/>
        <v>8.7746255997840002E-6</v>
      </c>
      <c r="AD212" s="144">
        <f t="shared" si="31"/>
        <v>6.7240316546571737E-5</v>
      </c>
      <c r="AE212" s="145">
        <f t="shared" si="29"/>
        <v>33.542792263553601</v>
      </c>
      <c r="AF212" s="145">
        <f t="shared" si="30"/>
        <v>2.847598345602941E-5</v>
      </c>
      <c r="AH212" s="181"/>
      <c r="AI212" s="181"/>
      <c r="AJ212" s="182"/>
    </row>
    <row r="213" spans="9:36" x14ac:dyDescent="0.25">
      <c r="I213" s="125">
        <v>6.5145502784299994E-2</v>
      </c>
      <c r="J213" s="50">
        <v>9.0785833422899994E-5</v>
      </c>
      <c r="K213" s="50">
        <v>9.4755453521256018E-6</v>
      </c>
      <c r="L213" s="70">
        <v>5.6196851938557598E-5</v>
      </c>
      <c r="M213" s="18"/>
      <c r="N213" s="18">
        <v>-2.2536970983444989E-6</v>
      </c>
      <c r="O213" s="18">
        <v>1.4614977047670108E-10</v>
      </c>
      <c r="P213" s="18">
        <v>5.1286690034628595E-8</v>
      </c>
      <c r="Q213" s="28">
        <v>5.1776804750326049</v>
      </c>
      <c r="R213" s="61">
        <v>465.27792263553602</v>
      </c>
      <c r="S213" s="58">
        <v>2.4798802501999132E-7</v>
      </c>
      <c r="U213" s="172">
        <v>5.9603367716626183E-5</v>
      </c>
      <c r="V213" s="172">
        <v>5.6196851938557598E-5</v>
      </c>
      <c r="W213" s="172">
        <v>9.5745341882029399E-5</v>
      </c>
      <c r="X213" s="173">
        <f t="shared" si="24"/>
        <v>6.6935603368942695E-5</v>
      </c>
      <c r="Y213" s="185">
        <f t="shared" si="25"/>
        <v>6.3354390307728838</v>
      </c>
      <c r="AA213" s="143">
        <f t="shared" si="26"/>
        <v>0.65145502784299991</v>
      </c>
      <c r="AB213" s="144">
        <f t="shared" si="27"/>
        <v>9.0785833422899994E-5</v>
      </c>
      <c r="AC213" s="144">
        <f t="shared" si="28"/>
        <v>9.4755453521256018E-6</v>
      </c>
      <c r="AD213" s="144">
        <f t="shared" si="31"/>
        <v>6.6935603368942695E-5</v>
      </c>
      <c r="AE213" s="145">
        <f t="shared" si="29"/>
        <v>33.542792263553601</v>
      </c>
      <c r="AF213" s="145">
        <f t="shared" si="30"/>
        <v>2.4798802501999134E-5</v>
      </c>
      <c r="AH213" s="181"/>
      <c r="AI213" s="181"/>
      <c r="AJ213" s="182"/>
    </row>
    <row r="214" spans="9:36" x14ac:dyDescent="0.25">
      <c r="I214" s="125">
        <v>6.5796957812200005E-2</v>
      </c>
      <c r="J214" s="50">
        <v>6.7371237997932007E-5</v>
      </c>
      <c r="K214" s="50">
        <v>7.8744968370155998E-6</v>
      </c>
      <c r="L214" s="70">
        <v>4.5476546527981728E-5</v>
      </c>
      <c r="M214" s="18"/>
      <c r="N214" s="18">
        <v>-2.2675724854961768E-6</v>
      </c>
      <c r="O214" s="18">
        <v>1.4536370335094508E-10</v>
      </c>
      <c r="P214" s="18">
        <v>5.1383870935692134E-8</v>
      </c>
      <c r="Q214" s="28">
        <v>5.1776804750326049</v>
      </c>
      <c r="R214" s="61">
        <v>468.12622899353119</v>
      </c>
      <c r="S214" s="58">
        <v>2.4798802501999132E-7</v>
      </c>
      <c r="U214" s="172">
        <v>5.4601045014300672E-5</v>
      </c>
      <c r="V214" s="172">
        <v>4.5476546527981728E-5</v>
      </c>
      <c r="W214" s="172">
        <v>1.090805449274938E-4</v>
      </c>
      <c r="X214" s="173">
        <f t="shared" si="24"/>
        <v>6.3658670749439477E-5</v>
      </c>
      <c r="Y214" s="185">
        <f t="shared" si="25"/>
        <v>0.22228135340654834</v>
      </c>
      <c r="AA214" s="143">
        <f t="shared" si="26"/>
        <v>0.65796957812200008</v>
      </c>
      <c r="AB214" s="144">
        <f t="shared" si="27"/>
        <v>6.7371237997932007E-5</v>
      </c>
      <c r="AC214" s="144">
        <f t="shared" si="28"/>
        <v>7.8744968370155998E-6</v>
      </c>
      <c r="AD214" s="144">
        <f t="shared" si="31"/>
        <v>6.3658670749439477E-5</v>
      </c>
      <c r="AE214" s="145">
        <f t="shared" si="29"/>
        <v>33.827622899353116</v>
      </c>
      <c r="AF214" s="145">
        <f t="shared" si="30"/>
        <v>2.4798802501999134E-5</v>
      </c>
      <c r="AH214" s="181"/>
      <c r="AI214" s="181"/>
      <c r="AJ214" s="182"/>
    </row>
    <row r="215" spans="9:36" x14ac:dyDescent="0.25">
      <c r="I215" s="125">
        <v>6.6454927390299998E-2</v>
      </c>
      <c r="J215" s="50">
        <v>7.3328230427363998E-5</v>
      </c>
      <c r="K215" s="50">
        <v>8.499462895585201E-6</v>
      </c>
      <c r="L215" s="70">
        <v>3.5351512636853107E-5</v>
      </c>
      <c r="M215" s="18"/>
      <c r="N215" s="18">
        <v>-2.2820141462289541E-6</v>
      </c>
      <c r="O215" s="18">
        <v>1.4451735561110526E-10</v>
      </c>
      <c r="P215" s="18">
        <v>5.1478198961110454E-8</v>
      </c>
      <c r="Q215" s="28">
        <v>5.1776804750326049</v>
      </c>
      <c r="R215" s="61">
        <v>468.12622899353119</v>
      </c>
      <c r="S215" s="58">
        <v>2.1122340767373856E-7</v>
      </c>
      <c r="U215" s="172">
        <v>5.1426149037423182E-5</v>
      </c>
      <c r="V215" s="172">
        <v>3.5351512636853107E-5</v>
      </c>
      <c r="W215" s="172">
        <v>1.1140216007035469E-4</v>
      </c>
      <c r="X215" s="173">
        <f t="shared" si="24"/>
        <v>5.8382833595371019E-5</v>
      </c>
      <c r="Y215" s="185">
        <f t="shared" si="25"/>
        <v>3.0919462621393601</v>
      </c>
      <c r="AA215" s="143">
        <f t="shared" si="26"/>
        <v>0.664549273903</v>
      </c>
      <c r="AB215" s="144">
        <f t="shared" si="27"/>
        <v>7.3328230427363998E-5</v>
      </c>
      <c r="AC215" s="144">
        <f t="shared" si="28"/>
        <v>8.499462895585201E-6</v>
      </c>
      <c r="AD215" s="144">
        <f t="shared" si="31"/>
        <v>5.8382833595371019E-5</v>
      </c>
      <c r="AE215" s="145">
        <f t="shared" si="29"/>
        <v>33.827622899353116</v>
      </c>
      <c r="AF215" s="145">
        <f t="shared" si="30"/>
        <v>2.1122340767373858E-5</v>
      </c>
      <c r="AH215" s="181"/>
      <c r="AI215" s="181"/>
      <c r="AJ215" s="182"/>
    </row>
    <row r="216" spans="9:36" x14ac:dyDescent="0.25">
      <c r="I216" s="125">
        <v>6.7119476664199998E-2</v>
      </c>
      <c r="J216" s="50">
        <v>4.9228023161196001E-5</v>
      </c>
      <c r="K216" s="50">
        <v>7.2831850842036001E-6</v>
      </c>
      <c r="L216" s="70">
        <v>2.9493340141093914E-5</v>
      </c>
      <c r="M216" s="18"/>
      <c r="N216" s="18">
        <v>-2.2970081387640524E-6</v>
      </c>
      <c r="O216" s="18">
        <v>1.4362619508330462E-10</v>
      </c>
      <c r="P216" s="18">
        <v>5.1573125692554994E-8</v>
      </c>
      <c r="Q216" s="28">
        <v>5.1776804750326049</v>
      </c>
      <c r="R216" s="61">
        <v>471.07536974749155</v>
      </c>
      <c r="S216" s="58">
        <v>2.1122340767373856E-7</v>
      </c>
      <c r="U216" s="172">
        <v>5.0467067985145342E-5</v>
      </c>
      <c r="V216" s="172">
        <v>2.9493340141093914E-5</v>
      </c>
      <c r="W216" s="172">
        <v>1.0300233328638524E-4</v>
      </c>
      <c r="X216" s="173">
        <f t="shared" si="24"/>
        <v>5.3114020388429599E-5</v>
      </c>
      <c r="Y216" s="185">
        <f t="shared" si="25"/>
        <v>0.28468348883664446</v>
      </c>
      <c r="AA216" s="143">
        <f t="shared" si="26"/>
        <v>0.67119476664199995</v>
      </c>
      <c r="AB216" s="144">
        <f t="shared" si="27"/>
        <v>4.9228023161196001E-5</v>
      </c>
      <c r="AC216" s="144">
        <f t="shared" si="28"/>
        <v>7.2831850842036001E-6</v>
      </c>
      <c r="AD216" s="144">
        <f t="shared" si="31"/>
        <v>5.3114020388429599E-5</v>
      </c>
      <c r="AE216" s="145">
        <f t="shared" si="29"/>
        <v>34.122536974749153</v>
      </c>
      <c r="AF216" s="145">
        <f t="shared" si="30"/>
        <v>2.1122340767373858E-5</v>
      </c>
      <c r="AH216" s="181"/>
      <c r="AI216" s="181"/>
      <c r="AJ216" s="182"/>
    </row>
    <row r="217" spans="9:36" x14ac:dyDescent="0.25">
      <c r="I217" s="125">
        <v>6.7790671430800004E-2</v>
      </c>
      <c r="J217" s="50">
        <v>5.5879832827368001E-5</v>
      </c>
      <c r="K217" s="50">
        <v>7.3109661006888007E-6</v>
      </c>
      <c r="L217" s="70">
        <v>3.0510981658377102E-5</v>
      </c>
      <c r="M217" s="18"/>
      <c r="N217" s="18">
        <v>-2.3124997038046124E-6</v>
      </c>
      <c r="O217" s="18">
        <v>1.4270030932955418E-10</v>
      </c>
      <c r="P217" s="18">
        <v>5.1669956702822429E-8</v>
      </c>
      <c r="Q217" s="28">
        <v>5.1776804750326049</v>
      </c>
      <c r="R217" s="61">
        <v>471.07536974749155</v>
      </c>
      <c r="S217" s="58">
        <v>1.74489958581454E-7</v>
      </c>
      <c r="U217" s="172">
        <v>5.11168874547741E-5</v>
      </c>
      <c r="V217" s="172">
        <v>3.0510981658377102E-5</v>
      </c>
      <c r="W217" s="172">
        <v>8.7872679209675199E-5</v>
      </c>
      <c r="X217" s="173">
        <f t="shared" si="24"/>
        <v>5.0002882495300875E-5</v>
      </c>
      <c r="Y217" s="185">
        <f t="shared" si="25"/>
        <v>0.64618147061687758</v>
      </c>
      <c r="AA217" s="143">
        <f t="shared" si="26"/>
        <v>0.67790671430799998</v>
      </c>
      <c r="AB217" s="144">
        <f t="shared" si="27"/>
        <v>5.5879832827368001E-5</v>
      </c>
      <c r="AC217" s="144">
        <f t="shared" si="28"/>
        <v>7.3109661006888007E-6</v>
      </c>
      <c r="AD217" s="144">
        <f t="shared" si="31"/>
        <v>5.0002882495300875E-5</v>
      </c>
      <c r="AE217" s="145">
        <f t="shared" si="29"/>
        <v>34.122536974749153</v>
      </c>
      <c r="AF217" s="145">
        <f t="shared" si="30"/>
        <v>1.7448995858145401E-5</v>
      </c>
      <c r="AH217" s="181"/>
      <c r="AI217" s="181"/>
      <c r="AJ217" s="182"/>
    </row>
    <row r="218" spans="9:36" x14ac:dyDescent="0.25">
      <c r="I218" s="125">
        <v>6.8468578145100004E-2</v>
      </c>
      <c r="J218" s="50">
        <v>4.3521766977612008E-5</v>
      </c>
      <c r="K218" s="50">
        <v>7.3200533289048011E-6</v>
      </c>
      <c r="L218" s="70">
        <v>3.8754689667589844E-5</v>
      </c>
      <c r="M218" s="18"/>
      <c r="N218" s="18">
        <v>-2.328409638480416E-6</v>
      </c>
      <c r="O218" s="18">
        <v>1.4174741172119938E-10</v>
      </c>
      <c r="P218" s="18">
        <v>5.176891742562979E-8</v>
      </c>
      <c r="Q218" s="28">
        <v>5.1776804750326049</v>
      </c>
      <c r="R218" s="61">
        <v>474.19009347900527</v>
      </c>
      <c r="S218" s="58">
        <v>1.74489958581454E-7</v>
      </c>
      <c r="U218" s="172">
        <v>5.1965789667740168E-5</v>
      </c>
      <c r="V218" s="172">
        <v>3.8754689667589844E-5</v>
      </c>
      <c r="W218" s="172">
        <v>7.1802051040970266E-5</v>
      </c>
      <c r="X218" s="173">
        <f t="shared" si="24"/>
        <v>5.0319305010972531E-5</v>
      </c>
      <c r="Y218" s="185">
        <f t="shared" si="25"/>
        <v>0.86233259538856288</v>
      </c>
      <c r="AA218" s="143">
        <f t="shared" si="26"/>
        <v>0.68468578145100001</v>
      </c>
      <c r="AB218" s="144">
        <f t="shared" si="27"/>
        <v>4.3521766977612008E-5</v>
      </c>
      <c r="AC218" s="144">
        <f t="shared" si="28"/>
        <v>7.3200533289048011E-6</v>
      </c>
      <c r="AD218" s="144">
        <f t="shared" si="31"/>
        <v>5.0319305010972531E-5</v>
      </c>
      <c r="AE218" s="145">
        <f t="shared" si="29"/>
        <v>34.434009347900528</v>
      </c>
      <c r="AF218" s="145">
        <f t="shared" si="30"/>
        <v>1.7448995858145401E-5</v>
      </c>
      <c r="AH218" s="181"/>
      <c r="AI218" s="181"/>
      <c r="AJ218" s="182"/>
    </row>
    <row r="219" spans="9:36" x14ac:dyDescent="0.25">
      <c r="I219" s="125">
        <v>6.9153263926599998E-2</v>
      </c>
      <c r="J219" s="50">
        <v>5.0342528366988006E-5</v>
      </c>
      <c r="K219" s="50">
        <v>7.6554958833012001E-6</v>
      </c>
      <c r="L219" s="70">
        <v>5.1964763434522271E-5</v>
      </c>
      <c r="M219" s="18"/>
      <c r="N219" s="18">
        <v>-2.3446437766916676E-6</v>
      </c>
      <c r="O219" s="18">
        <v>1.4077435986270723E-10</v>
      </c>
      <c r="P219" s="18">
        <v>5.1869716587350926E-8</v>
      </c>
      <c r="Q219" s="28">
        <v>5.1776804750326049</v>
      </c>
      <c r="R219" s="61">
        <v>474.19009347900527</v>
      </c>
      <c r="S219" s="58">
        <v>1.3784648804327984E-7</v>
      </c>
      <c r="U219" s="172">
        <v>5.1369337218511262E-5</v>
      </c>
      <c r="V219" s="172">
        <v>5.1964763434522271E-5</v>
      </c>
      <c r="W219" s="172">
        <v>5.9808113417824883E-5</v>
      </c>
      <c r="X219" s="173">
        <f t="shared" si="24"/>
        <v>5.3776744376345172E-5</v>
      </c>
      <c r="Y219" s="185">
        <f t="shared" si="25"/>
        <v>0.20123733732669558</v>
      </c>
      <c r="AA219" s="143">
        <f t="shared" si="26"/>
        <v>0.69153263926599995</v>
      </c>
      <c r="AB219" s="144">
        <f t="shared" si="27"/>
        <v>5.0342528366988006E-5</v>
      </c>
      <c r="AC219" s="144">
        <f t="shared" si="28"/>
        <v>7.6554958833012001E-6</v>
      </c>
      <c r="AD219" s="144">
        <f t="shared" si="31"/>
        <v>5.3776744376345172E-5</v>
      </c>
      <c r="AE219" s="145">
        <f t="shared" si="29"/>
        <v>34.434009347900528</v>
      </c>
      <c r="AF219" s="145">
        <f t="shared" si="30"/>
        <v>1.3784648804327984E-5</v>
      </c>
      <c r="AH219" s="181"/>
      <c r="AI219" s="181"/>
      <c r="AJ219" s="182"/>
    </row>
    <row r="220" spans="9:36" x14ac:dyDescent="0.25">
      <c r="I220" s="125">
        <v>6.9844796565800005E-2</v>
      </c>
      <c r="J220" s="50">
        <v>5.3033759862336002E-5</v>
      </c>
      <c r="K220" s="50">
        <v>6.9917210568084003E-6</v>
      </c>
      <c r="L220" s="70">
        <v>6.5987659569544086E-5</v>
      </c>
      <c r="M220" s="18"/>
      <c r="N220" s="18">
        <v>-2.3610986473931076E-6</v>
      </c>
      <c r="O220" s="18">
        <v>1.3978782271186529E-10</v>
      </c>
      <c r="P220" s="18">
        <v>5.1971824661875304E-8</v>
      </c>
      <c r="Q220" s="28">
        <v>5.1776804750326049</v>
      </c>
      <c r="R220" s="61">
        <v>477.55736101272333</v>
      </c>
      <c r="S220" s="58">
        <v>1.3784648804327984E-7</v>
      </c>
      <c r="U220" s="172">
        <v>4.8185509879227239E-5</v>
      </c>
      <c r="V220" s="172">
        <v>6.5987659569544086E-5</v>
      </c>
      <c r="W220" s="172">
        <v>5.4123774591419682E-5</v>
      </c>
      <c r="X220" s="173">
        <f t="shared" si="24"/>
        <v>5.857115090243377E-5</v>
      </c>
      <c r="Y220" s="185">
        <f t="shared" si="25"/>
        <v>0.627252210906456</v>
      </c>
      <c r="AA220" s="143">
        <f t="shared" si="26"/>
        <v>0.69844796565800005</v>
      </c>
      <c r="AB220" s="144">
        <f t="shared" si="27"/>
        <v>5.3033759862336002E-5</v>
      </c>
      <c r="AC220" s="144">
        <f t="shared" si="28"/>
        <v>6.9917210568084003E-6</v>
      </c>
      <c r="AD220" s="144">
        <f t="shared" si="31"/>
        <v>5.857115090243377E-5</v>
      </c>
      <c r="AE220" s="145">
        <f t="shared" si="29"/>
        <v>34.770736101272334</v>
      </c>
      <c r="AF220" s="145">
        <f t="shared" si="30"/>
        <v>1.3784648804327984E-5</v>
      </c>
      <c r="AH220" s="181"/>
      <c r="AI220" s="181"/>
      <c r="AJ220" s="182"/>
    </row>
    <row r="221" spans="9:36" x14ac:dyDescent="0.25">
      <c r="I221" s="125">
        <v>7.0543244531500002E-2</v>
      </c>
      <c r="J221" s="50">
        <v>6.1573747754904004E-5</v>
      </c>
      <c r="K221" s="50">
        <v>7.5153526876692002E-6</v>
      </c>
      <c r="L221" s="70">
        <v>7.6319216074248973E-5</v>
      </c>
      <c r="M221" s="18"/>
      <c r="N221" s="18">
        <v>-2.3735192046042843E-6</v>
      </c>
      <c r="O221" s="18">
        <v>1.3904310052407454E-10</v>
      </c>
      <c r="P221" s="18">
        <v>5.2048884249574719E-8</v>
      </c>
      <c r="Q221" s="28">
        <v>2.5888402375163024</v>
      </c>
      <c r="R221" s="61">
        <v>477.55736101272333</v>
      </c>
      <c r="S221" s="58">
        <v>1.0141525327054418E-7</v>
      </c>
      <c r="U221" s="172">
        <v>4.2375873341182467E-5</v>
      </c>
      <c r="V221" s="172">
        <v>7.6319216074248973E-5</v>
      </c>
      <c r="W221" s="172">
        <v>5.367541097533554E-5</v>
      </c>
      <c r="X221" s="173">
        <f t="shared" si="24"/>
        <v>6.2172429116253992E-5</v>
      </c>
      <c r="Y221" s="185">
        <f t="shared" si="25"/>
        <v>6.3458929596476657E-3</v>
      </c>
      <c r="AA221" s="143">
        <f t="shared" si="26"/>
        <v>0.70543244531500005</v>
      </c>
      <c r="AB221" s="144">
        <f t="shared" si="27"/>
        <v>6.1573747754904004E-5</v>
      </c>
      <c r="AC221" s="144">
        <f t="shared" si="28"/>
        <v>7.5153526876692002E-6</v>
      </c>
      <c r="AD221" s="144">
        <f t="shared" si="31"/>
        <v>6.2172429116253992E-5</v>
      </c>
      <c r="AE221" s="145">
        <f t="shared" si="29"/>
        <v>34.770736101272334</v>
      </c>
      <c r="AF221" s="145">
        <f t="shared" si="30"/>
        <v>1.0141525327054418E-5</v>
      </c>
      <c r="AH221" s="181"/>
      <c r="AI221" s="181"/>
      <c r="AJ221" s="182"/>
    </row>
    <row r="222" spans="9:36" x14ac:dyDescent="0.25">
      <c r="I222" s="125">
        <v>7.1248676976799999E-2</v>
      </c>
      <c r="J222" s="50">
        <v>5.5833033042072007E-5</v>
      </c>
      <c r="K222" s="50">
        <v>7.4441784526296004E-6</v>
      </c>
      <c r="L222" s="70">
        <v>7.9841003383203111E-5</v>
      </c>
      <c r="M222" s="18"/>
      <c r="N222" s="18">
        <v>-2.3906075679014172E-6</v>
      </c>
      <c r="O222" s="18">
        <v>1.3801847941812032E-10</v>
      </c>
      <c r="P222" s="18">
        <v>5.2154898341782817E-8</v>
      </c>
      <c r="Q222" s="28">
        <v>8.1201916423886029</v>
      </c>
      <c r="R222" s="61">
        <v>481.30567042683424</v>
      </c>
      <c r="S222" s="58">
        <v>1.0141525327054418E-7</v>
      </c>
      <c r="U222" s="172">
        <v>3.5189009433488209E-5</v>
      </c>
      <c r="V222" s="172">
        <v>7.9841003383203111E-5</v>
      </c>
      <c r="W222" s="172">
        <v>5.5213900879043288E-5</v>
      </c>
      <c r="X222" s="173">
        <f t="shared" si="24"/>
        <v>6.252122926973443E-5</v>
      </c>
      <c r="Y222" s="185">
        <f t="shared" si="25"/>
        <v>0.80720614993696704</v>
      </c>
      <c r="AA222" s="143">
        <f t="shared" si="26"/>
        <v>0.71248676976799996</v>
      </c>
      <c r="AB222" s="144">
        <f t="shared" si="27"/>
        <v>5.5833033042072007E-5</v>
      </c>
      <c r="AC222" s="144">
        <f t="shared" si="28"/>
        <v>7.4441784526296004E-6</v>
      </c>
      <c r="AD222" s="144">
        <f t="shared" si="31"/>
        <v>6.252122926973443E-5</v>
      </c>
      <c r="AE222" s="145">
        <f t="shared" si="29"/>
        <v>35.145567042683425</v>
      </c>
      <c r="AF222" s="145">
        <f t="shared" si="30"/>
        <v>1.0141525327054418E-5</v>
      </c>
      <c r="AH222" s="181"/>
      <c r="AI222" s="181"/>
      <c r="AJ222" s="182"/>
    </row>
    <row r="223" spans="9:36" x14ac:dyDescent="0.25">
      <c r="I223" s="125">
        <v>7.1961163746599999E-2</v>
      </c>
      <c r="J223" s="50">
        <v>3.8671150394184E-5</v>
      </c>
      <c r="K223" s="50">
        <v>6.7739763485064012E-6</v>
      </c>
      <c r="L223" s="70">
        <v>7.5989856643757998E-5</v>
      </c>
      <c r="M223" s="18"/>
      <c r="N223" s="18">
        <v>-2.4164915451250138E-6</v>
      </c>
      <c r="O223" s="18">
        <v>1.3646644250641287E-10</v>
      </c>
      <c r="P223" s="18">
        <v>5.2315472242298679E-8</v>
      </c>
      <c r="Q223" s="28">
        <v>8.2589276387196939</v>
      </c>
      <c r="R223" s="61">
        <v>481.30567042683424</v>
      </c>
      <c r="S223" s="58">
        <v>6.5434824421082048E-8</v>
      </c>
      <c r="U223" s="172">
        <v>2.8794985998950468E-5</v>
      </c>
      <c r="V223" s="172">
        <v>7.5989856643757998E-5</v>
      </c>
      <c r="W223" s="172">
        <v>5.5393497763424591E-5</v>
      </c>
      <c r="X223" s="173">
        <f t="shared" si="24"/>
        <v>5.9042049262472765E-5</v>
      </c>
      <c r="Y223" s="185">
        <f t="shared" si="25"/>
        <v>9.0434269223476953</v>
      </c>
      <c r="AA223" s="143">
        <f t="shared" si="26"/>
        <v>0.71961163746599999</v>
      </c>
      <c r="AB223" s="144">
        <f t="shared" si="27"/>
        <v>3.8671150394184E-5</v>
      </c>
      <c r="AC223" s="144">
        <f t="shared" si="28"/>
        <v>6.7739763485064012E-6</v>
      </c>
      <c r="AD223" s="144">
        <f t="shared" si="31"/>
        <v>5.9042049262472765E-5</v>
      </c>
      <c r="AE223" s="145">
        <f t="shared" si="29"/>
        <v>35.145567042683425</v>
      </c>
      <c r="AF223" s="145">
        <f t="shared" si="30"/>
        <v>6.5434824421082048E-6</v>
      </c>
      <c r="AH223" s="181"/>
      <c r="AI223" s="181"/>
      <c r="AJ223" s="182"/>
    </row>
    <row r="224" spans="9:36" x14ac:dyDescent="0.25">
      <c r="I224" s="125">
        <v>7.2680775384100005E-2</v>
      </c>
      <c r="J224" s="50">
        <v>4.7037400616712002E-5</v>
      </c>
      <c r="K224" s="50">
        <v>7.5062177247156003E-6</v>
      </c>
      <c r="L224" s="70">
        <v>6.6830637738472636E-5</v>
      </c>
      <c r="M224" s="18"/>
      <c r="N224" s="18">
        <v>-2.4423704597044462E-6</v>
      </c>
      <c r="O224" s="18">
        <v>1.3491470915742863E-10</v>
      </c>
      <c r="P224" s="18">
        <v>5.2476014736183582E-8</v>
      </c>
      <c r="Q224" s="28">
        <v>8.5513062929445223</v>
      </c>
      <c r="R224" s="61">
        <v>485.64647565516884</v>
      </c>
      <c r="S224" s="58">
        <v>6.5434824421082048E-8</v>
      </c>
      <c r="U224" s="172">
        <v>2.5469166958034606E-5</v>
      </c>
      <c r="V224" s="172">
        <v>6.6830637738472636E-5</v>
      </c>
      <c r="W224" s="172">
        <v>5.261587452543858E-5</v>
      </c>
      <c r="X224" s="173">
        <f t="shared" si="24"/>
        <v>5.2936579240104614E-5</v>
      </c>
      <c r="Y224" s="185">
        <f t="shared" si="25"/>
        <v>0.61764762859529154</v>
      </c>
      <c r="AA224" s="143">
        <f t="shared" si="26"/>
        <v>0.72680775384100005</v>
      </c>
      <c r="AB224" s="144">
        <f t="shared" si="27"/>
        <v>4.7037400616712002E-5</v>
      </c>
      <c r="AC224" s="144">
        <f t="shared" si="28"/>
        <v>7.5062177247156003E-6</v>
      </c>
      <c r="AD224" s="144">
        <f t="shared" si="31"/>
        <v>5.2936579240104614E-5</v>
      </c>
      <c r="AE224" s="145">
        <f t="shared" si="29"/>
        <v>35.579647565516879</v>
      </c>
      <c r="AF224" s="145">
        <f t="shared" si="30"/>
        <v>6.5434824421082048E-6</v>
      </c>
      <c r="AH224" s="181"/>
      <c r="AI224" s="181"/>
      <c r="AJ224" s="182"/>
    </row>
    <row r="225" spans="9:36" x14ac:dyDescent="0.25">
      <c r="I225" s="125">
        <v>7.3407583137899995E-2</v>
      </c>
      <c r="J225" s="50">
        <v>5.1340062811356004E-5</v>
      </c>
      <c r="K225" s="50">
        <v>7.8923667324084012E-6</v>
      </c>
      <c r="L225" s="70">
        <v>5.6003830725039796E-5</v>
      </c>
      <c r="M225" s="18"/>
      <c r="N225" s="18">
        <v>-2.4682274346952122E-6</v>
      </c>
      <c r="O225" s="18">
        <v>1.3336429133469229E-10</v>
      </c>
      <c r="P225" s="18">
        <v>5.2636421125585883E-8</v>
      </c>
      <c r="Q225" s="28">
        <v>9.0314294461221412</v>
      </c>
      <c r="R225" s="61">
        <v>485.64647565516884</v>
      </c>
      <c r="S225" s="58">
        <v>3.036708201937162E-8</v>
      </c>
      <c r="U225" s="172">
        <v>2.663819171820933E-5</v>
      </c>
      <c r="V225" s="172">
        <v>5.6003830725039796E-5</v>
      </c>
      <c r="W225" s="172">
        <v>4.7645925132440851E-5</v>
      </c>
      <c r="X225" s="173">
        <f t="shared" si="24"/>
        <v>4.6572944575182449E-5</v>
      </c>
      <c r="Y225" s="185">
        <f t="shared" si="25"/>
        <v>0.36483570355686568</v>
      </c>
      <c r="AA225" s="143">
        <f t="shared" si="26"/>
        <v>0.7340758313789999</v>
      </c>
      <c r="AB225" s="144">
        <f t="shared" si="27"/>
        <v>5.1340062811356004E-5</v>
      </c>
      <c r="AC225" s="144">
        <f t="shared" si="28"/>
        <v>7.8923667324084012E-6</v>
      </c>
      <c r="AD225" s="144">
        <f t="shared" si="31"/>
        <v>4.6572944575182449E-5</v>
      </c>
      <c r="AE225" s="145">
        <f t="shared" si="29"/>
        <v>35.579647565516879</v>
      </c>
      <c r="AF225" s="145">
        <f t="shared" si="30"/>
        <v>3.036708201937162E-6</v>
      </c>
      <c r="AH225" s="181"/>
      <c r="AI225" s="181"/>
      <c r="AJ225" s="182"/>
    </row>
    <row r="226" spans="9:36" x14ac:dyDescent="0.25">
      <c r="I226" s="125">
        <v>7.4141658969300001E-2</v>
      </c>
      <c r="J226" s="50">
        <v>4.5163040202852001E-5</v>
      </c>
      <c r="K226" s="50">
        <v>7.4803441101708003E-6</v>
      </c>
      <c r="L226" s="70">
        <v>4.7059205286138455E-5</v>
      </c>
      <c r="M226" s="18"/>
      <c r="N226" s="18">
        <v>-2.494021073046463E-6</v>
      </c>
      <c r="O226" s="18">
        <v>1.3181767125917008E-10</v>
      </c>
      <c r="P226" s="18">
        <v>5.2796434599665906E-8</v>
      </c>
      <c r="Q226" s="28">
        <v>9.7637035507521297</v>
      </c>
      <c r="R226" s="61">
        <v>490.98056050561382</v>
      </c>
      <c r="S226" s="58">
        <v>3.036708201937162E-8</v>
      </c>
      <c r="U226" s="172">
        <v>3.2188740495654551E-5</v>
      </c>
      <c r="V226" s="172">
        <v>4.7059205286138455E-5</v>
      </c>
      <c r="W226" s="172">
        <v>4.2758866526494201E-5</v>
      </c>
      <c r="X226" s="173">
        <f t="shared" si="24"/>
        <v>4.2266504398606417E-5</v>
      </c>
      <c r="Y226" s="185">
        <f t="shared" si="25"/>
        <v>0.14993901345210603</v>
      </c>
      <c r="AA226" s="143">
        <f t="shared" si="26"/>
        <v>0.74141658969300006</v>
      </c>
      <c r="AB226" s="144">
        <f t="shared" si="27"/>
        <v>4.5163040202852001E-5</v>
      </c>
      <c r="AC226" s="144">
        <f t="shared" si="28"/>
        <v>7.4803441101708003E-6</v>
      </c>
      <c r="AD226" s="144">
        <f t="shared" si="31"/>
        <v>4.2266504398606417E-5</v>
      </c>
      <c r="AE226" s="145">
        <f t="shared" si="29"/>
        <v>36.113056050561383</v>
      </c>
      <c r="AF226" s="145">
        <f t="shared" si="30"/>
        <v>3.036708201937162E-6</v>
      </c>
      <c r="AH226" s="181"/>
      <c r="AI226" s="181"/>
      <c r="AJ226" s="182"/>
    </row>
    <row r="227" spans="9:36" x14ac:dyDescent="0.25">
      <c r="I227" s="125">
        <v>7.4883075559000006E-2</v>
      </c>
      <c r="J227" s="50">
        <v>3.6197578791264E-5</v>
      </c>
      <c r="K227" s="50">
        <v>7.6897360206216003E-6</v>
      </c>
      <c r="L227" s="70">
        <v>4.197202567770776E-5</v>
      </c>
      <c r="M227" s="18"/>
      <c r="N227" s="18">
        <v>-2.519665316908094E-6</v>
      </c>
      <c r="O227" s="18">
        <v>1.3028000907139025E-10</v>
      </c>
      <c r="P227" s="18">
        <v>5.2955521289747224E-8</v>
      </c>
      <c r="Q227" s="28">
        <v>10.86856971399078</v>
      </c>
      <c r="R227" s="61">
        <v>490.98056050561382</v>
      </c>
      <c r="S227" s="58">
        <v>-2.861454721723893E-9</v>
      </c>
      <c r="U227" s="172">
        <v>4.0426240740547345E-5</v>
      </c>
      <c r="V227" s="172">
        <v>4.197202567770776E-5</v>
      </c>
      <c r="W227" s="172">
        <v>4.0052820215575759E-5</v>
      </c>
      <c r="X227" s="173">
        <f t="shared" si="24"/>
        <v>4.1105778077884654E-5</v>
      </c>
      <c r="Y227" s="185">
        <f t="shared" si="25"/>
        <v>0.40740045853230639</v>
      </c>
      <c r="AA227" s="143">
        <f t="shared" si="26"/>
        <v>0.74883075559000001</v>
      </c>
      <c r="AB227" s="144">
        <f t="shared" si="27"/>
        <v>3.6197578791264E-5</v>
      </c>
      <c r="AC227" s="144">
        <f t="shared" si="28"/>
        <v>7.6897360206216003E-6</v>
      </c>
      <c r="AD227" s="144">
        <f t="shared" si="31"/>
        <v>4.1105778077884654E-5</v>
      </c>
      <c r="AE227" s="145">
        <f t="shared" si="29"/>
        <v>36.113056050561383</v>
      </c>
      <c r="AF227" s="145">
        <f t="shared" si="30"/>
        <v>-2.861454721723893E-7</v>
      </c>
      <c r="AH227" s="181"/>
      <c r="AI227" s="181"/>
      <c r="AJ227" s="182"/>
    </row>
    <row r="228" spans="9:36" x14ac:dyDescent="0.25">
      <c r="I228" s="125">
        <v>7.5631906314599998E-2</v>
      </c>
      <c r="J228" s="50">
        <v>3.5851046008404002E-5</v>
      </c>
      <c r="K228" s="50">
        <v>6.8851701460476004E-6</v>
      </c>
      <c r="L228" s="70">
        <v>4.0569738611417461E-5</v>
      </c>
      <c r="M228" s="18"/>
      <c r="N228" s="18">
        <v>-2.5449922347964826E-6</v>
      </c>
      <c r="O228" s="18">
        <v>1.2876137416134526E-10</v>
      </c>
      <c r="P228" s="18">
        <v>5.3112639415692571E-8</v>
      </c>
      <c r="Q228" s="28">
        <v>12.586566109351148</v>
      </c>
      <c r="R228" s="61">
        <v>498.26090940239192</v>
      </c>
      <c r="S228" s="58">
        <v>-2.861454721723893E-9</v>
      </c>
      <c r="U228" s="172">
        <v>4.8603297846851195E-5</v>
      </c>
      <c r="V228" s="172">
        <v>4.0569738611417461E-5</v>
      </c>
      <c r="W228" s="172">
        <v>4.002238463996066E-5</v>
      </c>
      <c r="X228" s="173">
        <f t="shared" si="24"/>
        <v>4.2441289927411698E-5</v>
      </c>
      <c r="Y228" s="185">
        <f t="shared" si="25"/>
        <v>0.91616484728048764</v>
      </c>
      <c r="AA228" s="143">
        <f t="shared" si="26"/>
        <v>0.75631906314599995</v>
      </c>
      <c r="AB228" s="144">
        <f t="shared" si="27"/>
        <v>3.5851046008404002E-5</v>
      </c>
      <c r="AC228" s="144">
        <f t="shared" si="28"/>
        <v>6.8851701460476004E-6</v>
      </c>
      <c r="AD228" s="144">
        <f t="shared" si="31"/>
        <v>4.2441289927411698E-5</v>
      </c>
      <c r="AE228" s="145">
        <f t="shared" si="29"/>
        <v>36.841090940239191</v>
      </c>
      <c r="AF228" s="145">
        <f t="shared" si="30"/>
        <v>-2.861454721723893E-7</v>
      </c>
      <c r="AH228" s="181"/>
      <c r="AI228" s="181"/>
      <c r="AJ228" s="182"/>
    </row>
    <row r="229" spans="9:36" x14ac:dyDescent="0.25">
      <c r="I229" s="125">
        <v>7.63882253777E-2</v>
      </c>
      <c r="J229" s="50">
        <v>3.0798853728852002E-5</v>
      </c>
      <c r="K229" s="50">
        <v>7.1960843066771995E-6</v>
      </c>
      <c r="L229" s="70">
        <v>4.1034382626190694E-5</v>
      </c>
      <c r="M229" s="18"/>
      <c r="N229" s="18">
        <v>-2.5696767052360992E-6</v>
      </c>
      <c r="O229" s="18">
        <v>1.272812612352177E-10</v>
      </c>
      <c r="P229" s="18">
        <v>5.3265772053170106E-8</v>
      </c>
      <c r="Q229" s="28">
        <v>15.466672212052273</v>
      </c>
      <c r="R229" s="61">
        <v>498.26090940239192</v>
      </c>
      <c r="S229" s="58">
        <v>-3.2226899218554557E-8</v>
      </c>
      <c r="U229" s="172">
        <v>5.4015631163768809E-5</v>
      </c>
      <c r="V229" s="172">
        <v>4.1034382626190694E-5</v>
      </c>
      <c r="W229" s="172">
        <v>4.1263380363371301E-5</v>
      </c>
      <c r="X229" s="173">
        <f t="shared" si="24"/>
        <v>4.4336944194880373E-5</v>
      </c>
      <c r="Y229" s="185">
        <f t="shared" si="25"/>
        <v>3.5393404396556587</v>
      </c>
      <c r="AA229" s="143">
        <f t="shared" si="26"/>
        <v>0.76388225377700003</v>
      </c>
      <c r="AB229" s="144">
        <f t="shared" si="27"/>
        <v>3.0798853728852002E-5</v>
      </c>
      <c r="AC229" s="144">
        <f t="shared" si="28"/>
        <v>7.1960843066771995E-6</v>
      </c>
      <c r="AD229" s="144">
        <f t="shared" si="31"/>
        <v>4.4336944194880373E-5</v>
      </c>
      <c r="AE229" s="145">
        <f t="shared" si="29"/>
        <v>36.841090940239191</v>
      </c>
      <c r="AF229" s="145">
        <f t="shared" si="30"/>
        <v>-3.2226899218554557E-6</v>
      </c>
      <c r="AH229" s="181"/>
      <c r="AI229" s="181"/>
      <c r="AJ229" s="182"/>
    </row>
    <row r="230" spans="9:36" x14ac:dyDescent="0.25">
      <c r="I230" s="125">
        <v>7.7152107631500003E-2</v>
      </c>
      <c r="J230" s="50">
        <v>2.5126736111928001E-5</v>
      </c>
      <c r="K230" s="50">
        <v>6.5432590251599999E-6</v>
      </c>
      <c r="L230" s="70">
        <v>4.1166179209972659E-5</v>
      </c>
      <c r="M230" s="27"/>
      <c r="N230" s="18">
        <v>-2.5930665437817729E-6</v>
      </c>
      <c r="O230" s="18">
        <v>1.2587877611988274E-10</v>
      </c>
      <c r="P230" s="18">
        <v>5.3410873309258807E-8</v>
      </c>
      <c r="Q230" s="28">
        <v>21.110044765495285</v>
      </c>
      <c r="R230" s="61">
        <v>511.34379302744145</v>
      </c>
      <c r="S230" s="58">
        <v>-3.2226899218554557E-8</v>
      </c>
      <c r="U230" s="172">
        <v>5.5041070423231385E-5</v>
      </c>
      <c r="V230" s="172">
        <v>4.1166179209972659E-5</v>
      </c>
      <c r="W230" s="172">
        <v>4.1441530163331142E-5</v>
      </c>
      <c r="X230" s="173">
        <f t="shared" si="24"/>
        <v>4.4703739751626961E-5</v>
      </c>
      <c r="Y230" s="185">
        <f t="shared" si="25"/>
        <v>8.951673167887316</v>
      </c>
      <c r="AA230" s="143">
        <f t="shared" si="26"/>
        <v>0.771521076315</v>
      </c>
      <c r="AB230" s="144">
        <f t="shared" si="27"/>
        <v>2.5126736111928001E-5</v>
      </c>
      <c r="AC230" s="144">
        <f t="shared" si="28"/>
        <v>6.5432590251599999E-6</v>
      </c>
      <c r="AD230" s="144">
        <f t="shared" si="31"/>
        <v>4.4703739751626961E-5</v>
      </c>
      <c r="AE230" s="145">
        <f t="shared" si="29"/>
        <v>38.149379302744151</v>
      </c>
      <c r="AF230" s="145">
        <f t="shared" si="30"/>
        <v>-3.2226899218554557E-6</v>
      </c>
      <c r="AH230" s="181"/>
      <c r="AI230" s="181"/>
      <c r="AJ230" s="182"/>
    </row>
    <row r="231" spans="9:36" x14ac:dyDescent="0.25">
      <c r="I231" s="125">
        <v>7.7923628707799994E-2</v>
      </c>
      <c r="J231" s="50">
        <v>5.5322527431336002E-5</v>
      </c>
      <c r="K231" s="50">
        <v>7.7733691893792005E-6</v>
      </c>
      <c r="L231" s="70">
        <v>3.9642123771935867E-5</v>
      </c>
      <c r="M231" s="27"/>
      <c r="N231" s="18">
        <v>-2.6137371201286804E-6</v>
      </c>
      <c r="O231" s="18">
        <v>1.2463934149978808E-10</v>
      </c>
      <c r="P231" s="18">
        <v>5.3539105344129711E-8</v>
      </c>
      <c r="Q231" s="28">
        <v>37.935030711067085</v>
      </c>
      <c r="R231" s="61">
        <v>511.34379302744145</v>
      </c>
      <c r="S231" s="58">
        <v>-5.2525825234262953E-8</v>
      </c>
      <c r="U231" s="172">
        <v>5.1718764387856188E-5</v>
      </c>
      <c r="V231" s="172">
        <v>3.9642123771935867E-5</v>
      </c>
      <c r="W231" s="172">
        <v>3.8836774953526879E-5</v>
      </c>
      <c r="X231" s="173">
        <f t="shared" si="24"/>
        <v>4.2459946721313704E-5</v>
      </c>
      <c r="Y231" s="185">
        <f t="shared" si="25"/>
        <v>2.7380264329800514</v>
      </c>
      <c r="AA231" s="143">
        <f t="shared" si="26"/>
        <v>0.77923628707799997</v>
      </c>
      <c r="AB231" s="144">
        <f t="shared" si="27"/>
        <v>5.5322527431336002E-5</v>
      </c>
      <c r="AC231" s="144">
        <f t="shared" si="28"/>
        <v>7.7733691893792005E-6</v>
      </c>
      <c r="AD231" s="144">
        <f t="shared" si="31"/>
        <v>4.2459946721313704E-5</v>
      </c>
      <c r="AE231" s="145">
        <f t="shared" si="29"/>
        <v>38.149379302744151</v>
      </c>
      <c r="AF231" s="145">
        <f t="shared" si="30"/>
        <v>-5.2525825234262953E-6</v>
      </c>
      <c r="AH231" s="181"/>
      <c r="AI231" s="181"/>
      <c r="AJ231" s="182"/>
    </row>
    <row r="232" spans="9:36" x14ac:dyDescent="0.25">
      <c r="I232" s="125">
        <v>7.8702864994899993E-2</v>
      </c>
      <c r="J232" s="50">
        <v>4.2131031289248001E-5</v>
      </c>
      <c r="K232" s="50">
        <v>6.7264972449179995E-6</v>
      </c>
      <c r="L232" s="70">
        <v>3.659031077771123E-5</v>
      </c>
      <c r="M232" s="27"/>
      <c r="N232" s="18">
        <v>-2.6280257000278607E-6</v>
      </c>
      <c r="O232" s="18">
        <v>1.237825796803876E-10</v>
      </c>
      <c r="P232" s="18">
        <v>5.3627746011188882E-8</v>
      </c>
      <c r="Q232" s="28">
        <v>50.944015006994064</v>
      </c>
      <c r="R232" s="61">
        <v>528.91316379731506</v>
      </c>
      <c r="S232" s="58">
        <v>-5.2525825234262953E-8</v>
      </c>
      <c r="U232" s="172">
        <v>4.5598925585759397E-5</v>
      </c>
      <c r="V232" s="172">
        <v>3.659031077771123E-5</v>
      </c>
      <c r="W232" s="172">
        <v>3.345592832905297E-5</v>
      </c>
      <c r="X232" s="173">
        <f t="shared" si="24"/>
        <v>3.8058868867558705E-5</v>
      </c>
      <c r="Y232" s="185">
        <f t="shared" si="25"/>
        <v>0.36649853794029613</v>
      </c>
      <c r="AA232" s="143">
        <f t="shared" si="26"/>
        <v>0.7870286499489999</v>
      </c>
      <c r="AB232" s="144">
        <f t="shared" si="27"/>
        <v>4.2131031289248001E-5</v>
      </c>
      <c r="AC232" s="144">
        <f t="shared" si="28"/>
        <v>6.7264972449179995E-6</v>
      </c>
      <c r="AD232" s="144">
        <f t="shared" si="31"/>
        <v>3.8058868867558705E-5</v>
      </c>
      <c r="AE232" s="145">
        <f t="shared" si="29"/>
        <v>39.906316379731507</v>
      </c>
      <c r="AF232" s="145">
        <f t="shared" si="30"/>
        <v>-5.2525825234262953E-6</v>
      </c>
      <c r="AH232" s="181"/>
      <c r="AI232" s="181"/>
      <c r="AJ232" s="182"/>
    </row>
    <row r="233" spans="9:36" x14ac:dyDescent="0.25">
      <c r="I233" s="125">
        <v>7.9489893644799997E-2</v>
      </c>
      <c r="J233" s="50">
        <v>2.0779017499284003E-5</v>
      </c>
      <c r="K233" s="50">
        <v>6.0252544331627997E-6</v>
      </c>
      <c r="L233" s="70">
        <v>3.3236596913574855E-5</v>
      </c>
      <c r="M233" s="27"/>
      <c r="N233" s="18">
        <v>-2.6300000000000002E-6</v>
      </c>
      <c r="O233" s="18">
        <v>1.2366419808836742E-10</v>
      </c>
      <c r="P233" s="18">
        <v>5.3639993783027661E-8</v>
      </c>
      <c r="Q233" s="28">
        <v>200</v>
      </c>
      <c r="R233" s="61">
        <v>528.91316379731506</v>
      </c>
      <c r="S233" s="58">
        <v>-5.5330594452061422E-8</v>
      </c>
      <c r="U233" s="172">
        <v>3.895338491468522E-5</v>
      </c>
      <c r="V233" s="172">
        <v>3.3236596913574855E-5</v>
      </c>
      <c r="W233" s="172">
        <v>2.703174957497674E-5</v>
      </c>
      <c r="X233" s="173">
        <f t="shared" si="24"/>
        <v>3.3114582079202921E-5</v>
      </c>
      <c r="Y233" s="185">
        <f t="shared" si="25"/>
        <v>4.1914788656325692</v>
      </c>
      <c r="AA233" s="143">
        <f t="shared" si="26"/>
        <v>0.79489893644799992</v>
      </c>
      <c r="AB233" s="144">
        <f t="shared" si="27"/>
        <v>2.0779017499284003E-5</v>
      </c>
      <c r="AC233" s="144">
        <f t="shared" si="28"/>
        <v>6.0252544331627997E-6</v>
      </c>
      <c r="AD233" s="144">
        <f t="shared" si="31"/>
        <v>3.3114582079202921E-5</v>
      </c>
      <c r="AE233" s="145">
        <f t="shared" si="29"/>
        <v>39.906316379731507</v>
      </c>
      <c r="AF233" s="145">
        <f t="shared" si="30"/>
        <v>-5.5330594452061422E-6</v>
      </c>
      <c r="AH233" s="181"/>
      <c r="AI233" s="181"/>
      <c r="AJ233" s="182"/>
    </row>
    <row r="234" spans="9:36" x14ac:dyDescent="0.25">
      <c r="I234" s="125">
        <v>8.0284792581300002E-2</v>
      </c>
      <c r="J234" s="50">
        <v>3.8973805289760007E-5</v>
      </c>
      <c r="K234" s="50">
        <v>7.010309013430801E-6</v>
      </c>
      <c r="L234" s="70">
        <v>3.0936169155293075E-5</v>
      </c>
      <c r="M234" s="27"/>
      <c r="R234" s="61">
        <v>629.63100823779826</v>
      </c>
      <c r="S234" s="58">
        <v>-5.5330594452061422E-8</v>
      </c>
      <c r="U234" s="172">
        <v>3.3745921882975302E-5</v>
      </c>
      <c r="V234" s="172">
        <v>3.0936169155293075E-5</v>
      </c>
      <c r="W234" s="172">
        <v>2.1966040173211531E-5</v>
      </c>
      <c r="X234" s="173">
        <f t="shared" si="24"/>
        <v>2.9396075091693244E-5</v>
      </c>
      <c r="Y234" s="185">
        <f t="shared" si="25"/>
        <v>1.866598333688178</v>
      </c>
      <c r="AA234" s="143">
        <f t="shared" si="26"/>
        <v>0.80284792581300002</v>
      </c>
      <c r="AB234" s="144">
        <f t="shared" si="27"/>
        <v>3.8973805289760007E-5</v>
      </c>
      <c r="AC234" s="144">
        <f t="shared" si="28"/>
        <v>7.010309013430801E-6</v>
      </c>
      <c r="AD234" s="144">
        <f t="shared" si="31"/>
        <v>2.9396075091693244E-5</v>
      </c>
      <c r="AE234" s="145">
        <f t="shared" si="29"/>
        <v>49.978100823779826</v>
      </c>
      <c r="AF234" s="145">
        <f t="shared" si="30"/>
        <v>-5.5330594452061422E-6</v>
      </c>
      <c r="AH234" s="181"/>
      <c r="AI234" s="181"/>
      <c r="AJ234" s="182"/>
    </row>
    <row r="235" spans="9:36" x14ac:dyDescent="0.25">
      <c r="I235" s="125">
        <v>8.1087640507100003E-2</v>
      </c>
      <c r="J235" s="50">
        <v>3.7722103247136002E-5</v>
      </c>
      <c r="K235" s="50">
        <v>6.4787919387444004E-6</v>
      </c>
      <c r="L235" s="70">
        <v>3.0237278704286143E-5</v>
      </c>
      <c r="M235" s="27"/>
      <c r="R235" s="61">
        <v>629.63100823779826</v>
      </c>
      <c r="S235" s="58">
        <v>-5.2525825234262953E-8</v>
      </c>
      <c r="U235" s="172">
        <v>3.0864722991519986E-5</v>
      </c>
      <c r="V235" s="172">
        <v>3.0237278704286143E-5</v>
      </c>
      <c r="W235" s="172">
        <v>1.9928352633283877E-5</v>
      </c>
      <c r="X235" s="173">
        <f t="shared" si="24"/>
        <v>2.7816908258344036E-5</v>
      </c>
      <c r="Y235" s="185">
        <f t="shared" si="25"/>
        <v>2.3374266549990956</v>
      </c>
      <c r="AA235" s="143">
        <f t="shared" si="26"/>
        <v>0.81087640507100001</v>
      </c>
      <c r="AB235" s="144">
        <f t="shared" si="27"/>
        <v>3.7722103247136002E-5</v>
      </c>
      <c r="AC235" s="144">
        <f t="shared" si="28"/>
        <v>6.4787919387444004E-6</v>
      </c>
      <c r="AD235" s="144">
        <f t="shared" si="31"/>
        <v>2.7816908258344036E-5</v>
      </c>
      <c r="AE235" s="145">
        <f t="shared" si="29"/>
        <v>49.978100823779826</v>
      </c>
      <c r="AF235" s="145">
        <f t="shared" si="30"/>
        <v>-5.2525825234262953E-6</v>
      </c>
      <c r="AH235" s="181"/>
      <c r="AI235" s="181"/>
      <c r="AJ235" s="182"/>
    </row>
    <row r="236" spans="9:36" x14ac:dyDescent="0.25">
      <c r="I236" s="125">
        <v>8.1898516912200001E-2</v>
      </c>
      <c r="J236" s="50">
        <v>3.7477342182984002E-5</v>
      </c>
      <c r="K236" s="50">
        <v>7.0306965855324001E-6</v>
      </c>
      <c r="L236" s="70">
        <v>3.0548220765109128E-5</v>
      </c>
      <c r="M236" s="27"/>
      <c r="R236" s="61">
        <v>647.20037900767193</v>
      </c>
      <c r="S236" s="58">
        <v>-5.2525825234262953E-8</v>
      </c>
      <c r="U236" s="172">
        <v>2.9959628551121933E-5</v>
      </c>
      <c r="V236" s="172">
        <v>3.0548220765109128E-5</v>
      </c>
      <c r="W236" s="172">
        <v>2.0982203217873752E-5</v>
      </c>
      <c r="X236" s="173">
        <f t="shared" si="24"/>
        <v>2.8009568324803487E-5</v>
      </c>
      <c r="Y236" s="185">
        <f t="shared" si="25"/>
        <v>1.8134226673645784</v>
      </c>
      <c r="AA236" s="143">
        <f t="shared" si="26"/>
        <v>0.81898516912200003</v>
      </c>
      <c r="AB236" s="144">
        <f t="shared" si="27"/>
        <v>3.7477342182984002E-5</v>
      </c>
      <c r="AC236" s="144">
        <f t="shared" si="28"/>
        <v>7.0306965855324001E-6</v>
      </c>
      <c r="AD236" s="144">
        <f t="shared" si="31"/>
        <v>2.8009568324803487E-5</v>
      </c>
      <c r="AE236" s="145">
        <f t="shared" si="29"/>
        <v>51.735037900767189</v>
      </c>
      <c r="AF236" s="145">
        <f t="shared" si="30"/>
        <v>-5.2525825234262953E-6</v>
      </c>
      <c r="AH236" s="181"/>
      <c r="AI236" s="181"/>
      <c r="AJ236" s="182"/>
    </row>
    <row r="237" spans="9:36" x14ac:dyDescent="0.25">
      <c r="I237" s="125">
        <v>8.2717502081300007E-2</v>
      </c>
      <c r="J237" s="50">
        <v>4.5514629729887998E-5</v>
      </c>
      <c r="K237" s="50">
        <v>6.8897883584376009E-6</v>
      </c>
      <c r="L237" s="70">
        <v>3.0564023158615902E-5</v>
      </c>
      <c r="M237" s="27"/>
      <c r="R237" s="61">
        <v>647.20037900767193</v>
      </c>
      <c r="S237" s="58">
        <v>-3.2226899218554557E-8</v>
      </c>
      <c r="U237" s="172">
        <v>2.9893436344391741E-5</v>
      </c>
      <c r="V237" s="172">
        <v>3.0564023158615902E-5</v>
      </c>
      <c r="W237" s="172">
        <v>2.3716090880608263E-5</v>
      </c>
      <c r="X237" s="173">
        <f t="shared" si="24"/>
        <v>2.8684393385557953E-5</v>
      </c>
      <c r="Y237" s="185">
        <f t="shared" si="25"/>
        <v>5.9671735172294831</v>
      </c>
      <c r="AA237" s="143">
        <f t="shared" si="26"/>
        <v>0.82717502081300009</v>
      </c>
      <c r="AB237" s="144">
        <f t="shared" si="27"/>
        <v>4.5514629729887998E-5</v>
      </c>
      <c r="AC237" s="144">
        <f t="shared" si="28"/>
        <v>6.8897883584376009E-6</v>
      </c>
      <c r="AD237" s="144">
        <f t="shared" si="31"/>
        <v>2.8684393385557953E-5</v>
      </c>
      <c r="AE237" s="145">
        <f t="shared" si="29"/>
        <v>51.735037900767189</v>
      </c>
      <c r="AF237" s="145">
        <f t="shared" si="30"/>
        <v>-3.2226899218554557E-6</v>
      </c>
      <c r="AH237" s="181"/>
      <c r="AI237" s="181"/>
      <c r="AJ237" s="182"/>
    </row>
    <row r="238" spans="9:36" x14ac:dyDescent="0.25">
      <c r="I238" s="125">
        <v>8.3544677102100007E-2</v>
      </c>
      <c r="J238" s="50">
        <v>3.8218749424415997E-5</v>
      </c>
      <c r="K238" s="50">
        <v>6.6363869747472009E-6</v>
      </c>
      <c r="L238" s="70">
        <v>2.9133081611611539E-5</v>
      </c>
      <c r="M238" s="27"/>
      <c r="R238" s="61">
        <v>660.28326263272152</v>
      </c>
      <c r="S238" s="58">
        <v>-3.2226899218554557E-8</v>
      </c>
      <c r="U238" s="172">
        <v>2.9498225666071307E-5</v>
      </c>
      <c r="V238" s="172">
        <v>2.9133081611611539E-5</v>
      </c>
      <c r="W238" s="172">
        <v>2.620077277657252E-5</v>
      </c>
      <c r="X238" s="173">
        <f t="shared" si="24"/>
        <v>2.8491290416466726E-5</v>
      </c>
      <c r="Y238" s="185">
        <f t="shared" si="25"/>
        <v>2.1485002777025506</v>
      </c>
      <c r="AA238" s="143">
        <f t="shared" si="26"/>
        <v>0.83544677102100007</v>
      </c>
      <c r="AB238" s="144">
        <f t="shared" si="27"/>
        <v>3.8218749424415997E-5</v>
      </c>
      <c r="AC238" s="144">
        <f t="shared" si="28"/>
        <v>6.6363869747472009E-6</v>
      </c>
      <c r="AD238" s="144">
        <f t="shared" si="31"/>
        <v>2.8491290416466726E-5</v>
      </c>
      <c r="AE238" s="145">
        <f t="shared" si="29"/>
        <v>53.043326263272149</v>
      </c>
      <c r="AF238" s="145">
        <f t="shared" si="30"/>
        <v>-3.2226899218554557E-6</v>
      </c>
      <c r="AH238" s="181"/>
      <c r="AI238" s="181"/>
      <c r="AJ238" s="182"/>
    </row>
    <row r="239" spans="9:36" x14ac:dyDescent="0.25">
      <c r="I239" s="125">
        <v>8.4380123873099996E-2</v>
      </c>
      <c r="J239" s="50">
        <v>3.1673668621452001E-5</v>
      </c>
      <c r="K239" s="50">
        <v>6.5258813595491995E-6</v>
      </c>
      <c r="L239" s="70">
        <v>2.5999951507722426E-5</v>
      </c>
      <c r="M239" s="27"/>
      <c r="R239" s="61">
        <v>660.28326263272152</v>
      </c>
      <c r="S239" s="58">
        <v>-2.861454721723893E-9</v>
      </c>
      <c r="U239" s="172">
        <v>2.8201003243665536E-5</v>
      </c>
      <c r="V239" s="172">
        <v>2.5999951507722426E-5</v>
      </c>
      <c r="W239" s="172">
        <v>2.7107281495996383E-5</v>
      </c>
      <c r="X239" s="173">
        <f t="shared" si="24"/>
        <v>2.682704693877669E-5</v>
      </c>
      <c r="Y239" s="185">
        <f t="shared" si="25"/>
        <v>0.5515690562728689</v>
      </c>
      <c r="AA239" s="143">
        <f t="shared" si="26"/>
        <v>0.84380123873099999</v>
      </c>
      <c r="AB239" s="144">
        <f t="shared" si="27"/>
        <v>3.1673668621452001E-5</v>
      </c>
      <c r="AC239" s="144">
        <f t="shared" si="28"/>
        <v>6.5258813595491995E-6</v>
      </c>
      <c r="AD239" s="144">
        <f t="shared" si="31"/>
        <v>2.682704693877669E-5</v>
      </c>
      <c r="AE239" s="145">
        <f t="shared" si="29"/>
        <v>53.043326263272149</v>
      </c>
      <c r="AF239" s="145">
        <f t="shared" si="30"/>
        <v>-2.861454721723893E-7</v>
      </c>
      <c r="AH239" s="181"/>
      <c r="AI239" s="181"/>
      <c r="AJ239" s="182"/>
    </row>
    <row r="240" spans="9:36" x14ac:dyDescent="0.25">
      <c r="I240" s="125">
        <v>8.5223925111800006E-2</v>
      </c>
      <c r="J240" s="50">
        <v>3.8211521756232007E-5</v>
      </c>
      <c r="K240" s="50">
        <v>6.0907887435384001E-6</v>
      </c>
      <c r="L240" s="70">
        <v>2.1975286923248763E-5</v>
      </c>
      <c r="M240" s="27"/>
      <c r="R240" s="61">
        <v>667.56361152949967</v>
      </c>
      <c r="S240" s="58">
        <v>-2.861454721723893E-9</v>
      </c>
      <c r="U240" s="172">
        <v>2.6206130899910898E-5</v>
      </c>
      <c r="V240" s="172">
        <v>2.1975286923248763E-5</v>
      </c>
      <c r="W240" s="172">
        <v>2.6291352208177624E-5</v>
      </c>
      <c r="X240" s="173">
        <f t="shared" si="24"/>
        <v>2.4112014238646512E-5</v>
      </c>
      <c r="Y240" s="185">
        <f t="shared" si="25"/>
        <v>5.3587169002228512</v>
      </c>
      <c r="AA240" s="143">
        <f t="shared" si="26"/>
        <v>0.85223925111800003</v>
      </c>
      <c r="AB240" s="144">
        <f t="shared" si="27"/>
        <v>3.8211521756232007E-5</v>
      </c>
      <c r="AC240" s="144">
        <f t="shared" si="28"/>
        <v>6.0907887435384001E-6</v>
      </c>
      <c r="AD240" s="144">
        <f t="shared" si="31"/>
        <v>2.4112014238646512E-5</v>
      </c>
      <c r="AE240" s="145">
        <f t="shared" si="29"/>
        <v>53.771361152949964</v>
      </c>
      <c r="AF240" s="145">
        <f t="shared" si="30"/>
        <v>-2.861454721723893E-7</v>
      </c>
      <c r="AH240" s="181"/>
      <c r="AI240" s="181"/>
      <c r="AJ240" s="182"/>
    </row>
    <row r="241" spans="9:36" x14ac:dyDescent="0.25">
      <c r="I241" s="125">
        <v>8.6076164363000002E-2</v>
      </c>
      <c r="J241" s="50">
        <v>2.9730152406240001E-5</v>
      </c>
      <c r="K241" s="50">
        <v>6.5501229486396005E-6</v>
      </c>
      <c r="L241" s="70">
        <v>1.8457184052664341E-5</v>
      </c>
      <c r="M241" s="27"/>
      <c r="R241" s="61">
        <v>667.56361152949967</v>
      </c>
      <c r="S241" s="58">
        <v>3.036708201937162E-8</v>
      </c>
      <c r="U241" s="172">
        <v>2.4204081817917933E-5</v>
      </c>
      <c r="V241" s="172">
        <v>1.8457184052664341E-5</v>
      </c>
      <c r="W241" s="172">
        <v>2.4563757515477142E-5</v>
      </c>
      <c r="X241" s="173">
        <f t="shared" si="24"/>
        <v>2.142055185968094E-5</v>
      </c>
      <c r="Y241" s="185">
        <f t="shared" si="25"/>
        <v>1.6093903406846348</v>
      </c>
      <c r="AA241" s="143">
        <f t="shared" si="26"/>
        <v>0.86076164363000007</v>
      </c>
      <c r="AB241" s="144">
        <f t="shared" si="27"/>
        <v>2.9730152406240001E-5</v>
      </c>
      <c r="AC241" s="144">
        <f t="shared" si="28"/>
        <v>6.5501229486396005E-6</v>
      </c>
      <c r="AD241" s="144">
        <f t="shared" si="31"/>
        <v>2.142055185968094E-5</v>
      </c>
      <c r="AE241" s="145">
        <f t="shared" si="29"/>
        <v>53.771361152949964</v>
      </c>
      <c r="AF241" s="145">
        <f t="shared" si="30"/>
        <v>3.036708201937162E-6</v>
      </c>
      <c r="AH241" s="181"/>
      <c r="AI241" s="181"/>
      <c r="AJ241" s="182"/>
    </row>
    <row r="242" spans="9:36" x14ac:dyDescent="0.25">
      <c r="I242" s="125">
        <v>8.6936926006599996E-2</v>
      </c>
      <c r="J242" s="50">
        <v>3.0746492149560004E-5</v>
      </c>
      <c r="K242" s="50">
        <v>6.1539067660224005E-6</v>
      </c>
      <c r="L242" s="70">
        <v>1.6619146400518598E-5</v>
      </c>
      <c r="M242" s="27"/>
      <c r="R242" s="61">
        <v>672.89769637994459</v>
      </c>
      <c r="S242" s="58">
        <v>3.036708201937162E-8</v>
      </c>
      <c r="U242" s="172">
        <v>2.2841621352277959E-5</v>
      </c>
      <c r="V242" s="172">
        <v>1.6619146400518598E-5</v>
      </c>
      <c r="W242" s="172">
        <v>2.2927680963325898E-5</v>
      </c>
      <c r="X242" s="173">
        <f t="shared" si="24"/>
        <v>1.9751898779160263E-5</v>
      </c>
      <c r="Y242" s="185">
        <f t="shared" si="25"/>
        <v>3.1919532295547213</v>
      </c>
      <c r="AA242" s="143">
        <f t="shared" si="26"/>
        <v>0.8693692600659999</v>
      </c>
      <c r="AB242" s="144">
        <f t="shared" si="27"/>
        <v>3.0746492149560004E-5</v>
      </c>
      <c r="AC242" s="144">
        <f t="shared" si="28"/>
        <v>6.1539067660224005E-6</v>
      </c>
      <c r="AD242" s="144">
        <f t="shared" si="31"/>
        <v>1.9751898779160263E-5</v>
      </c>
      <c r="AE242" s="145">
        <f t="shared" si="29"/>
        <v>54.304769637994454</v>
      </c>
      <c r="AF242" s="145">
        <f t="shared" si="30"/>
        <v>3.036708201937162E-6</v>
      </c>
      <c r="AH242" s="181"/>
      <c r="AI242" s="181"/>
      <c r="AJ242" s="182"/>
    </row>
    <row r="243" spans="9:36" x14ac:dyDescent="0.25">
      <c r="I243" s="125">
        <v>8.7806295266700002E-2</v>
      </c>
      <c r="J243" s="50">
        <v>2.3907668018388002E-5</v>
      </c>
      <c r="K243" s="50">
        <v>5.4217062360252004E-6</v>
      </c>
      <c r="L243" s="70">
        <v>1.6761664637172028E-5</v>
      </c>
      <c r="M243" s="27"/>
      <c r="R243" s="61">
        <v>672.89769637994459</v>
      </c>
      <c r="S243" s="58">
        <v>6.5434824421082048E-8</v>
      </c>
      <c r="U243" s="172">
        <v>2.229051269900535E-5</v>
      </c>
      <c r="V243" s="172">
        <v>1.6761664637172028E-5</v>
      </c>
      <c r="W243" s="172">
        <v>2.1887390609761417E-5</v>
      </c>
      <c r="X243" s="173">
        <f t="shared" si="24"/>
        <v>1.9425308145777705E-5</v>
      </c>
      <c r="Y243" s="185">
        <f t="shared" si="25"/>
        <v>0.68350465714041231</v>
      </c>
      <c r="AA243" s="143">
        <f t="shared" si="26"/>
        <v>0.87806295266700007</v>
      </c>
      <c r="AB243" s="144">
        <f t="shared" si="27"/>
        <v>2.3907668018388002E-5</v>
      </c>
      <c r="AC243" s="144">
        <f t="shared" si="28"/>
        <v>5.4217062360252004E-6</v>
      </c>
      <c r="AD243" s="144">
        <f t="shared" si="31"/>
        <v>1.9425308145777705E-5</v>
      </c>
      <c r="AE243" s="145">
        <f t="shared" si="29"/>
        <v>54.304769637994454</v>
      </c>
      <c r="AF243" s="145">
        <f t="shared" si="30"/>
        <v>6.5434824421082048E-6</v>
      </c>
      <c r="AH243" s="181"/>
      <c r="AI243" s="181"/>
      <c r="AJ243" s="182"/>
    </row>
    <row r="244" spans="9:36" x14ac:dyDescent="0.25">
      <c r="I244" s="125">
        <v>8.86843582193E-2</v>
      </c>
      <c r="J244" s="50">
        <v>3.2331315707064E-5</v>
      </c>
      <c r="K244" s="50">
        <v>6.1136410733375998E-6</v>
      </c>
      <c r="L244" s="70">
        <v>1.820489672827504E-5</v>
      </c>
      <c r="M244" s="27"/>
      <c r="R244" s="61">
        <v>677.23850160827919</v>
      </c>
      <c r="S244" s="58">
        <v>6.5434824421082048E-8</v>
      </c>
      <c r="U244" s="172">
        <v>2.2154978508479276E-5</v>
      </c>
      <c r="V244" s="172">
        <v>1.820489672827504E-5</v>
      </c>
      <c r="W244" s="172">
        <v>2.1295044667654468E-5</v>
      </c>
      <c r="X244" s="173">
        <f t="shared" si="24"/>
        <v>1.9964954158170955E-5</v>
      </c>
      <c r="Y244" s="185">
        <f t="shared" si="25"/>
        <v>4.0915136370631897</v>
      </c>
      <c r="AA244" s="143">
        <f t="shared" si="26"/>
        <v>0.88684358219299997</v>
      </c>
      <c r="AB244" s="144">
        <f t="shared" si="27"/>
        <v>3.2331315707064E-5</v>
      </c>
      <c r="AC244" s="144">
        <f t="shared" si="28"/>
        <v>6.1136410733375998E-6</v>
      </c>
      <c r="AD244" s="144">
        <f t="shared" si="31"/>
        <v>1.9964954158170955E-5</v>
      </c>
      <c r="AE244" s="145">
        <f t="shared" si="29"/>
        <v>54.738850160827916</v>
      </c>
      <c r="AF244" s="145">
        <f t="shared" si="30"/>
        <v>6.5434824421082048E-6</v>
      </c>
      <c r="AH244" s="181"/>
      <c r="AI244" s="181"/>
      <c r="AJ244" s="182"/>
    </row>
    <row r="245" spans="9:36" x14ac:dyDescent="0.25">
      <c r="I245" s="125">
        <v>8.9571201801499994E-2</v>
      </c>
      <c r="J245" s="50">
        <v>3.1840709896512004E-5</v>
      </c>
      <c r="K245" s="50">
        <v>5.6202059996808005E-6</v>
      </c>
      <c r="L245" s="70">
        <v>1.9757908295461305E-5</v>
      </c>
      <c r="M245" s="27"/>
      <c r="R245" s="61">
        <v>677.23850160827919</v>
      </c>
      <c r="S245" s="58">
        <v>1.0141525327054418E-7</v>
      </c>
      <c r="U245" s="172">
        <v>2.1741781149393207E-5</v>
      </c>
      <c r="V245" s="172">
        <v>1.9757908295461305E-5</v>
      </c>
      <c r="W245" s="172">
        <v>2.0723302981053049E-5</v>
      </c>
      <c r="X245" s="173">
        <f t="shared" si="24"/>
        <v>2.0495225180342217E-5</v>
      </c>
      <c r="Y245" s="185">
        <f t="shared" si="25"/>
        <v>4.0751316334564498</v>
      </c>
      <c r="AA245" s="143">
        <f t="shared" si="26"/>
        <v>0.895712018015</v>
      </c>
      <c r="AB245" s="144">
        <f t="shared" si="27"/>
        <v>3.1840709896512004E-5</v>
      </c>
      <c r="AC245" s="144">
        <f t="shared" si="28"/>
        <v>5.6202059996808005E-6</v>
      </c>
      <c r="AD245" s="144">
        <f t="shared" si="31"/>
        <v>2.0495225180342217E-5</v>
      </c>
      <c r="AE245" s="145">
        <f t="shared" si="29"/>
        <v>54.738850160827916</v>
      </c>
      <c r="AF245" s="145">
        <f t="shared" si="30"/>
        <v>1.0141525327054418E-5</v>
      </c>
      <c r="AH245" s="181"/>
      <c r="AI245" s="181"/>
      <c r="AJ245" s="182"/>
    </row>
    <row r="246" spans="9:36" x14ac:dyDescent="0.25">
      <c r="I246" s="125">
        <v>9.0466913819500006E-2</v>
      </c>
      <c r="J246" s="50">
        <v>1.14037845739356E-5</v>
      </c>
      <c r="K246" s="50">
        <v>5.3111603890620005E-6</v>
      </c>
      <c r="L246" s="70">
        <v>2.0440589138878819E-5</v>
      </c>
      <c r="M246" s="27"/>
      <c r="R246" s="61">
        <v>680.98681102239016</v>
      </c>
      <c r="S246" s="58">
        <v>1.0141525327054418E-7</v>
      </c>
      <c r="U246" s="172">
        <v>2.0510543379910398E-5</v>
      </c>
      <c r="V246" s="172">
        <v>2.0440589138878819E-5</v>
      </c>
      <c r="W246" s="172">
        <v>1.9931871136353225E-5</v>
      </c>
      <c r="X246" s="173">
        <f t="shared" si="24"/>
        <v>2.0330898198505315E-5</v>
      </c>
      <c r="Y246" s="185">
        <f t="shared" si="25"/>
        <v>2.825161581148762</v>
      </c>
      <c r="AA246" s="143">
        <f t="shared" si="26"/>
        <v>0.90466913819500006</v>
      </c>
      <c r="AB246" s="144">
        <f t="shared" si="27"/>
        <v>1.14037845739356E-5</v>
      </c>
      <c r="AC246" s="144">
        <f t="shared" si="28"/>
        <v>5.3111603890620005E-6</v>
      </c>
      <c r="AD246" s="144">
        <f t="shared" si="31"/>
        <v>2.0330898198505315E-5</v>
      </c>
      <c r="AE246" s="145">
        <f t="shared" si="29"/>
        <v>55.113681102239013</v>
      </c>
      <c r="AF246" s="145">
        <f t="shared" si="30"/>
        <v>1.0141525327054418E-5</v>
      </c>
      <c r="AH246" s="181"/>
      <c r="AI246" s="181"/>
      <c r="AJ246" s="182"/>
    </row>
    <row r="247" spans="9:36" x14ac:dyDescent="0.25">
      <c r="I247" s="125">
        <v>9.1371582957699995E-2</v>
      </c>
      <c r="J247" s="50">
        <v>2.9694784184472001E-5</v>
      </c>
      <c r="K247" s="50">
        <v>6.0693964070124006E-6</v>
      </c>
      <c r="L247" s="70">
        <v>1.998494068241115E-5</v>
      </c>
      <c r="M247" s="27"/>
      <c r="R247" s="61">
        <v>680.98681102239016</v>
      </c>
      <c r="S247" s="58">
        <v>1.3784648804327984E-7</v>
      </c>
      <c r="U247" s="172">
        <v>1.8429980638581527E-5</v>
      </c>
      <c r="V247" s="172">
        <v>1.998494068241115E-5</v>
      </c>
      <c r="W247" s="172">
        <v>1.8999973033648266E-5</v>
      </c>
      <c r="X247" s="173">
        <f t="shared" si="24"/>
        <v>1.9349958759263025E-5</v>
      </c>
      <c r="Y247" s="185">
        <f t="shared" si="25"/>
        <v>2.9050614658440943</v>
      </c>
      <c r="AA247" s="143">
        <f t="shared" si="26"/>
        <v>0.91371582957699993</v>
      </c>
      <c r="AB247" s="144">
        <f t="shared" si="27"/>
        <v>2.9694784184472001E-5</v>
      </c>
      <c r="AC247" s="144">
        <f t="shared" si="28"/>
        <v>6.0693964070124006E-6</v>
      </c>
      <c r="AD247" s="144">
        <f t="shared" si="31"/>
        <v>1.9349958759263025E-5</v>
      </c>
      <c r="AE247" s="145">
        <f t="shared" si="29"/>
        <v>55.113681102239013</v>
      </c>
      <c r="AF247" s="145">
        <f t="shared" si="30"/>
        <v>1.3784648804327984E-5</v>
      </c>
      <c r="AH247" s="181"/>
      <c r="AI247" s="181"/>
      <c r="AJ247" s="182"/>
    </row>
    <row r="248" spans="9:36" x14ac:dyDescent="0.25">
      <c r="I248" s="125">
        <v>9.2285298787300005E-2</v>
      </c>
      <c r="J248" s="50">
        <v>2.3767523642940001E-5</v>
      </c>
      <c r="K248" s="50">
        <v>5.6003459219796E-6</v>
      </c>
      <c r="L248" s="70">
        <v>1.8814583164593485E-5</v>
      </c>
      <c r="M248" s="27"/>
      <c r="R248" s="61">
        <v>684.35407855610822</v>
      </c>
      <c r="S248" s="58">
        <v>1.3784648804327984E-7</v>
      </c>
      <c r="U248" s="172">
        <v>1.6025722840136959E-5</v>
      </c>
      <c r="V248" s="172">
        <v>1.8814583164593485E-5</v>
      </c>
      <c r="W248" s="172">
        <v>1.8099660039647037E-5</v>
      </c>
      <c r="X248" s="173">
        <f t="shared" si="24"/>
        <v>1.7938637302242741E-5</v>
      </c>
      <c r="Y248" s="185">
        <f t="shared" si="25"/>
        <v>1.0832818512727007</v>
      </c>
      <c r="AA248" s="143">
        <f t="shared" si="26"/>
        <v>0.92285298787300007</v>
      </c>
      <c r="AB248" s="144">
        <f t="shared" si="27"/>
        <v>2.3767523642940001E-5</v>
      </c>
      <c r="AC248" s="144">
        <f t="shared" si="28"/>
        <v>5.6003459219796E-6</v>
      </c>
      <c r="AD248" s="144">
        <f t="shared" si="31"/>
        <v>1.7938637302242741E-5</v>
      </c>
      <c r="AE248" s="145">
        <f t="shared" si="29"/>
        <v>55.45040785561082</v>
      </c>
      <c r="AF248" s="145">
        <f t="shared" si="30"/>
        <v>1.3784648804327984E-5</v>
      </c>
      <c r="AH248" s="181"/>
      <c r="AI248" s="181"/>
      <c r="AJ248" s="182"/>
    </row>
    <row r="249" spans="9:36" x14ac:dyDescent="0.25">
      <c r="I249" s="125">
        <v>9.3208151775200004E-2</v>
      </c>
      <c r="J249" s="50">
        <v>1.4788182958032E-5</v>
      </c>
      <c r="K249" s="50">
        <v>5.2580868977868003E-6</v>
      </c>
      <c r="L249" s="70">
        <v>1.7587811204492844E-5</v>
      </c>
      <c r="M249" s="27"/>
      <c r="R249" s="61">
        <v>684.35407855610822</v>
      </c>
      <c r="S249" s="58">
        <v>1.74489958581454E-7</v>
      </c>
      <c r="U249" s="172">
        <v>1.4084824236120565E-5</v>
      </c>
      <c r="V249" s="172">
        <v>1.7587811204492844E-5</v>
      </c>
      <c r="W249" s="172">
        <v>1.7259402391118698E-5</v>
      </c>
      <c r="X249" s="173">
        <f t="shared" si="24"/>
        <v>1.6629962259056236E-5</v>
      </c>
      <c r="Y249" s="185">
        <f t="shared" si="25"/>
        <v>0.12269296371959119</v>
      </c>
      <c r="AA249" s="143">
        <f t="shared" si="26"/>
        <v>0.9320815177520001</v>
      </c>
      <c r="AB249" s="144">
        <f t="shared" si="27"/>
        <v>1.4788182958032E-5</v>
      </c>
      <c r="AC249" s="144">
        <f t="shared" si="28"/>
        <v>5.2580868977868003E-6</v>
      </c>
      <c r="AD249" s="144">
        <f t="shared" si="31"/>
        <v>1.6629962259056236E-5</v>
      </c>
      <c r="AE249" s="145">
        <f t="shared" si="29"/>
        <v>55.45040785561082</v>
      </c>
      <c r="AF249" s="145">
        <f t="shared" si="30"/>
        <v>1.7448995858145401E-5</v>
      </c>
      <c r="AH249" s="181"/>
      <c r="AI249" s="181"/>
      <c r="AJ249" s="182"/>
    </row>
    <row r="250" spans="9:36" x14ac:dyDescent="0.25">
      <c r="I250" s="125">
        <v>9.41402332929E-2</v>
      </c>
      <c r="J250" s="50">
        <v>1.7970938518764005E-5</v>
      </c>
      <c r="K250" s="50">
        <v>5.5642097853539999E-6</v>
      </c>
      <c r="L250" s="70">
        <v>1.6700765632461045E-5</v>
      </c>
      <c r="M250" s="27"/>
      <c r="R250" s="61">
        <v>687.46880228762188</v>
      </c>
      <c r="S250" s="58">
        <v>1.74489958581454E-7</v>
      </c>
      <c r="U250" s="172">
        <v>1.3190881544995361E-5</v>
      </c>
      <c r="V250" s="172">
        <v>1.6700765632461045E-5</v>
      </c>
      <c r="W250" s="172">
        <v>1.6410257541543474E-5</v>
      </c>
      <c r="X250" s="173">
        <f t="shared" si="24"/>
        <v>1.5750667587865231E-5</v>
      </c>
      <c r="Y250" s="185">
        <f t="shared" si="25"/>
        <v>0.15922268913389229</v>
      </c>
      <c r="AA250" s="143">
        <f t="shared" si="26"/>
        <v>0.941402332929</v>
      </c>
      <c r="AB250" s="144">
        <f t="shared" si="27"/>
        <v>1.7970938518764005E-5</v>
      </c>
      <c r="AC250" s="144">
        <f t="shared" si="28"/>
        <v>5.5642097853539999E-6</v>
      </c>
      <c r="AD250" s="144">
        <f t="shared" si="31"/>
        <v>1.5750667587865231E-5</v>
      </c>
      <c r="AE250" s="145">
        <f t="shared" si="29"/>
        <v>55.761880228762188</v>
      </c>
      <c r="AF250" s="145">
        <f t="shared" si="30"/>
        <v>1.7448995858145401E-5</v>
      </c>
      <c r="AH250" s="181"/>
      <c r="AI250" s="181"/>
      <c r="AJ250" s="182"/>
    </row>
    <row r="251" spans="9:36" x14ac:dyDescent="0.25">
      <c r="I251" s="125">
        <v>9.5081635625899996E-2</v>
      </c>
      <c r="J251" s="50">
        <v>2.1760929460379998E-5</v>
      </c>
      <c r="K251" s="50">
        <v>5.4948977217024006E-6</v>
      </c>
      <c r="L251" s="70">
        <v>1.612551043136208E-5</v>
      </c>
      <c r="M251" s="27"/>
      <c r="R251" s="61">
        <v>687.46880228762188</v>
      </c>
      <c r="S251" s="58">
        <v>2.1122340767373856E-7</v>
      </c>
      <c r="U251" s="172">
        <v>1.3381228915074457E-5</v>
      </c>
      <c r="V251" s="172">
        <v>1.612551043136208E-5</v>
      </c>
      <c r="W251" s="172">
        <v>1.5603558861778469E-5</v>
      </c>
      <c r="X251" s="173">
        <f t="shared" si="24"/>
        <v>1.5308952159894271E-5</v>
      </c>
      <c r="Y251" s="185">
        <f t="shared" si="25"/>
        <v>1.378689395736822</v>
      </c>
      <c r="AA251" s="143">
        <f t="shared" si="26"/>
        <v>0.95081635625899996</v>
      </c>
      <c r="AB251" s="144">
        <f t="shared" si="27"/>
        <v>2.1760929460379998E-5</v>
      </c>
      <c r="AC251" s="144">
        <f t="shared" si="28"/>
        <v>5.4948977217024006E-6</v>
      </c>
      <c r="AD251" s="144">
        <f t="shared" si="31"/>
        <v>1.5308952159894271E-5</v>
      </c>
      <c r="AE251" s="145">
        <f t="shared" si="29"/>
        <v>55.761880228762188</v>
      </c>
      <c r="AF251" s="145">
        <f t="shared" si="30"/>
        <v>2.1122340767373858E-5</v>
      </c>
      <c r="AH251" s="181"/>
      <c r="AI251" s="181"/>
      <c r="AJ251" s="182"/>
    </row>
    <row r="252" spans="9:36" x14ac:dyDescent="0.25">
      <c r="I252" s="125">
        <v>9.6032451982100003E-2</v>
      </c>
      <c r="J252" s="50">
        <v>2.4640890859200002E-5</v>
      </c>
      <c r="K252" s="50">
        <v>5.771577083052001E-6</v>
      </c>
      <c r="L252" s="70">
        <v>1.5622978694589669E-5</v>
      </c>
      <c r="M252" s="27"/>
      <c r="R252" s="61">
        <v>690.41794304158225</v>
      </c>
      <c r="S252" s="58">
        <v>2.1122340767373856E-7</v>
      </c>
      <c r="U252" s="172">
        <v>1.4151756540202593E-5</v>
      </c>
      <c r="V252" s="172">
        <v>1.5622978694589669E-5</v>
      </c>
      <c r="W252" s="172">
        <v>1.5048445046178054E-5</v>
      </c>
      <c r="X252" s="173">
        <f t="shared" si="24"/>
        <v>1.5111539743889997E-5</v>
      </c>
      <c r="Y252" s="185">
        <f t="shared" si="25"/>
        <v>2.7260741061356191</v>
      </c>
      <c r="AA252" s="143">
        <f t="shared" si="26"/>
        <v>0.96032451982099998</v>
      </c>
      <c r="AB252" s="144">
        <f t="shared" si="27"/>
        <v>2.4640890859200002E-5</v>
      </c>
      <c r="AC252" s="144">
        <f t="shared" si="28"/>
        <v>5.771577083052001E-6</v>
      </c>
      <c r="AD252" s="144">
        <f t="shared" si="31"/>
        <v>1.5111539743889997E-5</v>
      </c>
      <c r="AE252" s="145">
        <f t="shared" si="29"/>
        <v>56.056794304158224</v>
      </c>
      <c r="AF252" s="145">
        <f t="shared" si="30"/>
        <v>2.1122340767373858E-5</v>
      </c>
      <c r="AH252" s="181"/>
      <c r="AI252" s="181"/>
      <c r="AJ252" s="182"/>
    </row>
    <row r="253" spans="9:36" x14ac:dyDescent="0.25">
      <c r="I253" s="125">
        <v>9.6992776501899997E-2</v>
      </c>
      <c r="J253" s="50">
        <v>1.1910552413733602E-5</v>
      </c>
      <c r="K253" s="50">
        <v>5.4017512688700015E-6</v>
      </c>
      <c r="L253" s="70">
        <v>1.5040456307659587E-5</v>
      </c>
      <c r="M253" s="27"/>
      <c r="R253" s="61">
        <v>690.41794304158225</v>
      </c>
      <c r="S253" s="58">
        <v>2.4798802501999132E-7</v>
      </c>
      <c r="U253" s="172">
        <v>1.4802133017687505E-5</v>
      </c>
      <c r="V253" s="172">
        <v>1.5040456307659587E-5</v>
      </c>
      <c r="W253" s="172">
        <v>1.4861235576814209E-5</v>
      </c>
      <c r="X253" s="173">
        <f t="shared" si="24"/>
        <v>1.4936070302455224E-5</v>
      </c>
      <c r="Y253" s="185">
        <f t="shared" si="25"/>
        <v>0.31371138849657887</v>
      </c>
      <c r="AA253" s="143">
        <f t="shared" si="26"/>
        <v>0.96992776501899991</v>
      </c>
      <c r="AB253" s="144">
        <f t="shared" si="27"/>
        <v>1.1910552413733602E-5</v>
      </c>
      <c r="AC253" s="144">
        <f t="shared" si="28"/>
        <v>5.4017512688700015E-6</v>
      </c>
      <c r="AD253" s="144">
        <f t="shared" si="31"/>
        <v>1.4936070302455224E-5</v>
      </c>
      <c r="AE253" s="145">
        <f t="shared" si="29"/>
        <v>56.056794304158224</v>
      </c>
      <c r="AF253" s="145">
        <f t="shared" si="30"/>
        <v>2.4798802501999134E-5</v>
      </c>
      <c r="AH253" s="181"/>
      <c r="AI253" s="181"/>
      <c r="AJ253" s="182"/>
    </row>
    <row r="254" spans="9:36" x14ac:dyDescent="0.25">
      <c r="I254" s="125">
        <v>9.7962704267000003E-2</v>
      </c>
      <c r="J254" s="50">
        <v>2.7217587916860005E-5</v>
      </c>
      <c r="K254" s="50">
        <v>5.1386285606963988E-6</v>
      </c>
      <c r="L254" s="70">
        <v>1.4396566557822581E-5</v>
      </c>
      <c r="M254" s="27"/>
      <c r="R254" s="61">
        <v>693.26624939957742</v>
      </c>
      <c r="S254" s="58">
        <v>2.4798802501999132E-7</v>
      </c>
      <c r="U254" s="172">
        <v>1.486934747816818E-5</v>
      </c>
      <c r="V254" s="172">
        <v>1.4396566557822581E-5</v>
      </c>
      <c r="W254" s="172">
        <v>1.4840178816376618E-5</v>
      </c>
      <c r="X254" s="173">
        <f t="shared" si="24"/>
        <v>1.4625664852547489E-5</v>
      </c>
      <c r="Y254" s="185">
        <f t="shared" si="25"/>
        <v>6.0046772654347658</v>
      </c>
      <c r="AA254" s="143">
        <f t="shared" si="26"/>
        <v>0.97962704267</v>
      </c>
      <c r="AB254" s="144">
        <f t="shared" si="27"/>
        <v>2.7217587916860005E-5</v>
      </c>
      <c r="AC254" s="144">
        <f t="shared" si="28"/>
        <v>5.1386285606963988E-6</v>
      </c>
      <c r="AD254" s="144">
        <f t="shared" si="31"/>
        <v>1.4625664852547489E-5</v>
      </c>
      <c r="AE254" s="145">
        <f t="shared" si="29"/>
        <v>56.34162493995774</v>
      </c>
      <c r="AF254" s="145">
        <f t="shared" si="30"/>
        <v>2.4798802501999134E-5</v>
      </c>
      <c r="AH254" s="181"/>
      <c r="AI254" s="181"/>
      <c r="AJ254" s="182"/>
    </row>
    <row r="255" spans="9:36" x14ac:dyDescent="0.25">
      <c r="I255" s="125">
        <v>9.8942331309600007E-2</v>
      </c>
      <c r="J255" s="50">
        <v>2.6471427838680002E-5</v>
      </c>
      <c r="K255" s="50">
        <v>5.5537921492415987E-6</v>
      </c>
      <c r="L255" s="70">
        <v>1.3750583453510336E-5</v>
      </c>
      <c r="M255" s="27"/>
      <c r="R255" s="61">
        <v>693.26624939957742</v>
      </c>
      <c r="S255" s="58">
        <v>2.8475983456029408E-7</v>
      </c>
      <c r="U255" s="172">
        <v>1.4339082566322439E-5</v>
      </c>
      <c r="V255" s="172">
        <v>1.3750583453510336E-5</v>
      </c>
      <c r="W255" s="172">
        <v>1.460089601878086E-5</v>
      </c>
      <c r="X255" s="173">
        <f t="shared" si="24"/>
        <v>1.4110286373030994E-5</v>
      </c>
      <c r="Y255" s="185">
        <f t="shared" si="25"/>
        <v>4.9537936132513911</v>
      </c>
      <c r="AA255" s="143">
        <f t="shared" si="26"/>
        <v>0.98942331309600007</v>
      </c>
      <c r="AB255" s="144">
        <f t="shared" si="27"/>
        <v>2.6471427838680002E-5</v>
      </c>
      <c r="AC255" s="144">
        <f t="shared" si="28"/>
        <v>5.5537921492415987E-6</v>
      </c>
      <c r="AD255" s="144">
        <f t="shared" si="31"/>
        <v>1.4110286373030994E-5</v>
      </c>
      <c r="AE255" s="145">
        <f t="shared" si="29"/>
        <v>56.34162493995774</v>
      </c>
      <c r="AF255" s="145">
        <f t="shared" si="30"/>
        <v>2.847598345602941E-5</v>
      </c>
      <c r="AH255" s="181"/>
      <c r="AI255" s="181"/>
      <c r="AJ255" s="182"/>
    </row>
    <row r="256" spans="9:36" x14ac:dyDescent="0.25">
      <c r="I256" s="125">
        <v>9.99317546227E-2</v>
      </c>
      <c r="J256" s="50">
        <v>1.0287306694962E-5</v>
      </c>
      <c r="K256" s="50">
        <v>4.977354755617201E-6</v>
      </c>
      <c r="L256" s="70">
        <v>1.3093436611702531E-5</v>
      </c>
      <c r="M256" s="27"/>
      <c r="R256" s="61">
        <v>696.0667090348843</v>
      </c>
      <c r="S256" s="58">
        <v>2.8475983456029408E-7</v>
      </c>
      <c r="U256" s="172">
        <v>1.3517096649363008E-5</v>
      </c>
      <c r="V256" s="172">
        <v>1.3093436611702531E-5</v>
      </c>
      <c r="W256" s="172">
        <v>1.3957750807715635E-5</v>
      </c>
      <c r="X256" s="173">
        <f t="shared" si="24"/>
        <v>1.3415430170120927E-5</v>
      </c>
      <c r="Y256" s="185">
        <f t="shared" si="25"/>
        <v>0.39497588737410733</v>
      </c>
      <c r="AA256" s="143">
        <f t="shared" si="26"/>
        <v>0.99931754622699998</v>
      </c>
      <c r="AB256" s="144">
        <f t="shared" si="27"/>
        <v>1.0287306694962E-5</v>
      </c>
      <c r="AC256" s="144">
        <f t="shared" si="28"/>
        <v>4.977354755617201E-6</v>
      </c>
      <c r="AD256" s="144">
        <f t="shared" si="31"/>
        <v>1.3415430170120927E-5</v>
      </c>
      <c r="AE256" s="145">
        <f t="shared" si="29"/>
        <v>56.621670903488429</v>
      </c>
      <c r="AF256" s="145">
        <f t="shared" si="30"/>
        <v>2.847598345602941E-5</v>
      </c>
      <c r="AH256" s="181"/>
      <c r="AI256" s="181"/>
      <c r="AJ256" s="182"/>
    </row>
    <row r="257" spans="9:36" x14ac:dyDescent="0.25">
      <c r="I257" s="125">
        <v>0.10093107216900001</v>
      </c>
      <c r="J257" s="50">
        <v>1.0861436433777599E-5</v>
      </c>
      <c r="K257" s="50">
        <v>5.2831114433195995E-6</v>
      </c>
      <c r="L257" s="70">
        <v>1.2409450260525076E-5</v>
      </c>
      <c r="M257" s="27"/>
      <c r="R257" s="61">
        <v>696.0667090348843</v>
      </c>
      <c r="S257" s="58">
        <v>3.2184016138372131E-7</v>
      </c>
      <c r="U257" s="172">
        <v>1.2724888081955372E-5</v>
      </c>
      <c r="V257" s="172">
        <v>1.2409450260525076E-5</v>
      </c>
      <c r="W257" s="172">
        <v>1.3098906850038795E-5</v>
      </c>
      <c r="X257" s="173">
        <f t="shared" si="24"/>
        <v>1.266067386326108E-5</v>
      </c>
      <c r="Y257" s="185">
        <f t="shared" si="25"/>
        <v>0.11598382054933577</v>
      </c>
      <c r="AA257" s="143">
        <f t="shared" si="26"/>
        <v>1.0093107216900001</v>
      </c>
      <c r="AB257" s="144">
        <f t="shared" si="27"/>
        <v>1.0861436433777599E-5</v>
      </c>
      <c r="AC257" s="144">
        <f t="shared" si="28"/>
        <v>5.2831114433195995E-6</v>
      </c>
      <c r="AD257" s="144">
        <f t="shared" si="31"/>
        <v>1.266067386326108E-5</v>
      </c>
      <c r="AE257" s="145">
        <f t="shared" si="29"/>
        <v>56.621670903488429</v>
      </c>
      <c r="AF257" s="145">
        <f t="shared" si="30"/>
        <v>3.2184016138372128E-5</v>
      </c>
      <c r="AH257" s="181"/>
      <c r="AI257" s="181"/>
      <c r="AJ257" s="182"/>
    </row>
    <row r="258" spans="9:36" x14ac:dyDescent="0.25">
      <c r="I258" s="125">
        <v>0.10194038289100001</v>
      </c>
      <c r="J258" s="50">
        <v>1.9571598934799999E-5</v>
      </c>
      <c r="K258" s="50">
        <v>5.0221020926868007E-6</v>
      </c>
      <c r="L258" s="70">
        <v>1.178435315742169E-5</v>
      </c>
      <c r="M258" s="27"/>
      <c r="R258" s="61">
        <v>698.90224856697375</v>
      </c>
      <c r="S258" s="58">
        <v>3.2184016138372131E-7</v>
      </c>
      <c r="U258" s="172">
        <v>1.2096267615091536E-5</v>
      </c>
      <c r="V258" s="172">
        <v>1.178435315742169E-5</v>
      </c>
      <c r="W258" s="172">
        <v>1.2348305733127023E-5</v>
      </c>
      <c r="X258" s="173">
        <f t="shared" si="24"/>
        <v>1.2003319915765484E-5</v>
      </c>
      <c r="Y258" s="185">
        <f t="shared" si="25"/>
        <v>2.2710316950047327</v>
      </c>
      <c r="AA258" s="143">
        <f t="shared" si="26"/>
        <v>1.01940382891</v>
      </c>
      <c r="AB258" s="144">
        <f t="shared" si="27"/>
        <v>1.9571598934799999E-5</v>
      </c>
      <c r="AC258" s="144">
        <f t="shared" si="28"/>
        <v>5.0221020926868007E-6</v>
      </c>
      <c r="AD258" s="144">
        <f t="shared" si="31"/>
        <v>1.2003319915765484E-5</v>
      </c>
      <c r="AE258" s="145">
        <f t="shared" si="29"/>
        <v>56.905224856697373</v>
      </c>
      <c r="AF258" s="145">
        <f t="shared" si="30"/>
        <v>3.2184016138372128E-5</v>
      </c>
      <c r="AH258" s="181"/>
      <c r="AI258" s="181"/>
      <c r="AJ258" s="182"/>
    </row>
    <row r="259" spans="9:36" x14ac:dyDescent="0.25">
      <c r="I259" s="125">
        <v>0.10295978672</v>
      </c>
      <c r="J259" s="50">
        <v>1.6960305830952001E-5</v>
      </c>
      <c r="K259" s="50">
        <v>5.5315497447671996E-6</v>
      </c>
      <c r="L259" s="70">
        <v>1.1358835817660719E-5</v>
      </c>
      <c r="M259" s="27"/>
      <c r="R259" s="61">
        <v>698.90224856697375</v>
      </c>
      <c r="S259" s="58">
        <v>3.7713038471453524E-7</v>
      </c>
      <c r="U259" s="172">
        <v>1.1598802023519222E-5</v>
      </c>
      <c r="V259" s="172">
        <v>1.1358835817660719E-5</v>
      </c>
      <c r="W259" s="172">
        <v>1.1821402236404734E-5</v>
      </c>
      <c r="X259" s="173">
        <f t="shared" ref="X259:X260" si="32">(U259+2*V259+W259)/4</f>
        <v>1.1534468973811349E-5</v>
      </c>
      <c r="Y259" s="185">
        <f t="shared" ref="Y259:Y260" si="33">(J259-X259)*(J259-X259)/(K259*K259)</f>
        <v>0.96214342876529646</v>
      </c>
      <c r="AA259" s="143">
        <f t="shared" ref="AA259:AA260" si="34">I259*10</f>
        <v>1.0295978672000001</v>
      </c>
      <c r="AB259" s="144">
        <f t="shared" ref="AB259:AB260" si="35">J259</f>
        <v>1.6960305830952001E-5</v>
      </c>
      <c r="AC259" s="144">
        <f t="shared" ref="AC259:AC260" si="36">K259</f>
        <v>5.5315497447671996E-6</v>
      </c>
      <c r="AD259" s="144">
        <f t="shared" si="31"/>
        <v>1.1534468973811349E-5</v>
      </c>
      <c r="AE259" s="145">
        <f t="shared" ref="AE259:AE322" si="37">(R259-129.85)/10</f>
        <v>56.905224856697373</v>
      </c>
      <c r="AF259" s="145">
        <f t="shared" ref="AF259:AF322" si="38">S259*100</f>
        <v>3.7713038471453524E-5</v>
      </c>
      <c r="AH259" s="181"/>
      <c r="AI259" s="181"/>
      <c r="AJ259" s="182"/>
    </row>
    <row r="260" spans="9:36" x14ac:dyDescent="0.25">
      <c r="I260" s="125">
        <v>0.10398938458699999</v>
      </c>
      <c r="J260" s="50">
        <v>1.4977295013120001E-5</v>
      </c>
      <c r="K260" s="50">
        <v>2.9279808217835999E-6</v>
      </c>
      <c r="L260" s="70">
        <v>1.1154510736710718E-5</v>
      </c>
      <c r="M260" s="27"/>
      <c r="R260" s="61">
        <v>704.57332763115255</v>
      </c>
      <c r="S260" s="58">
        <v>3.7713038471453524E-7</v>
      </c>
      <c r="U260" s="172">
        <v>1.1166595013653445E-5</v>
      </c>
      <c r="V260" s="172">
        <v>1.1154510736710718E-5</v>
      </c>
      <c r="W260" s="172">
        <v>1.1379527870847826E-5</v>
      </c>
      <c r="X260" s="173">
        <f t="shared" si="32"/>
        <v>1.1213786089480675E-5</v>
      </c>
      <c r="Y260" s="185">
        <f t="shared" si="33"/>
        <v>1.6521498858244392</v>
      </c>
      <c r="AA260" s="143">
        <f t="shared" si="34"/>
        <v>1.03989384587</v>
      </c>
      <c r="AB260" s="144">
        <f t="shared" si="35"/>
        <v>1.4977295013120001E-5</v>
      </c>
      <c r="AC260" s="144">
        <f t="shared" si="36"/>
        <v>2.9279808217835999E-6</v>
      </c>
      <c r="AD260" s="144">
        <f t="shared" ref="AD260" si="39">X260</f>
        <v>1.1213786089480675E-5</v>
      </c>
      <c r="AE260" s="145">
        <f t="shared" si="37"/>
        <v>57.472332763115254</v>
      </c>
      <c r="AF260" s="145">
        <f t="shared" si="38"/>
        <v>3.7713038471453524E-5</v>
      </c>
      <c r="AH260" s="181"/>
      <c r="AI260" s="181"/>
      <c r="AJ260" s="182"/>
    </row>
    <row r="261" spans="9:36" x14ac:dyDescent="0.25">
      <c r="I261" s="125"/>
      <c r="J261" s="50"/>
      <c r="K261" s="50"/>
      <c r="L261" s="70"/>
      <c r="M261" s="27"/>
      <c r="R261" s="61">
        <v>704.57332763115255</v>
      </c>
      <c r="S261" s="58">
        <v>4.4624717609330607E-7</v>
      </c>
      <c r="U261" s="172"/>
      <c r="V261" s="172"/>
      <c r="W261" s="172"/>
      <c r="X261" s="173"/>
      <c r="Y261" s="185"/>
      <c r="AA261" s="143"/>
      <c r="AB261" s="144"/>
      <c r="AC261" s="144"/>
      <c r="AD261" s="144"/>
      <c r="AE261" s="145">
        <f t="shared" si="37"/>
        <v>57.472332763115254</v>
      </c>
      <c r="AF261" s="145">
        <f t="shared" si="38"/>
        <v>4.4624717609330606E-5</v>
      </c>
      <c r="AH261" s="181"/>
      <c r="AI261" s="181"/>
      <c r="AJ261" s="182"/>
    </row>
    <row r="262" spans="9:36" x14ac:dyDescent="0.25">
      <c r="I262" s="125"/>
      <c r="J262" s="50"/>
      <c r="K262" s="50"/>
      <c r="L262" s="70"/>
      <c r="M262" s="27"/>
      <c r="R262" s="61">
        <v>710.24440669533135</v>
      </c>
      <c r="S262" s="58">
        <v>4.4624717609330607E-7</v>
      </c>
      <c r="U262" s="172"/>
      <c r="V262" s="172"/>
      <c r="W262" s="172"/>
      <c r="X262" s="173"/>
      <c r="Y262" s="185"/>
      <c r="AA262" s="143"/>
      <c r="AB262" s="144"/>
      <c r="AC262" s="144"/>
      <c r="AD262" s="144"/>
      <c r="AE262" s="145">
        <f t="shared" si="37"/>
        <v>58.039440669533136</v>
      </c>
      <c r="AF262" s="145">
        <f t="shared" si="38"/>
        <v>4.4624717609330606E-5</v>
      </c>
      <c r="AH262" s="181"/>
      <c r="AI262" s="181"/>
      <c r="AJ262" s="182"/>
    </row>
    <row r="263" spans="9:36" x14ac:dyDescent="0.25">
      <c r="I263" s="125"/>
      <c r="J263" s="50"/>
      <c r="K263" s="50"/>
      <c r="L263" s="70"/>
      <c r="M263" s="27"/>
      <c r="R263" s="61">
        <v>710.24440669533135</v>
      </c>
      <c r="S263" s="58">
        <v>5.0656842288107643E-7</v>
      </c>
      <c r="U263" s="172"/>
      <c r="V263" s="172"/>
      <c r="W263" s="172"/>
      <c r="X263" s="173"/>
      <c r="Y263" s="185"/>
      <c r="AA263" s="143"/>
      <c r="AB263" s="144"/>
      <c r="AC263" s="144"/>
      <c r="AD263" s="144"/>
      <c r="AE263" s="145">
        <f t="shared" si="37"/>
        <v>58.039440669533136</v>
      </c>
      <c r="AF263" s="145">
        <f t="shared" si="38"/>
        <v>5.0656842288107639E-5</v>
      </c>
      <c r="AH263" s="181"/>
      <c r="AI263" s="181"/>
      <c r="AJ263" s="182"/>
    </row>
    <row r="264" spans="9:36" x14ac:dyDescent="0.25">
      <c r="I264" s="125"/>
      <c r="J264" s="50"/>
      <c r="K264" s="50"/>
      <c r="L264" s="70"/>
      <c r="M264" s="27"/>
      <c r="R264" s="61">
        <v>715.91548575951015</v>
      </c>
      <c r="S264" s="58">
        <v>5.0656842288107643E-7</v>
      </c>
      <c r="U264" s="172"/>
      <c r="V264" s="172"/>
      <c r="W264" s="172"/>
      <c r="X264" s="173"/>
      <c r="Y264" s="185"/>
      <c r="AA264" s="143"/>
      <c r="AB264" s="144"/>
      <c r="AC264" s="144"/>
      <c r="AD264" s="144"/>
      <c r="AE264" s="145">
        <f t="shared" si="37"/>
        <v>58.60654857595101</v>
      </c>
      <c r="AF264" s="145">
        <f t="shared" si="38"/>
        <v>5.0656842288107639E-5</v>
      </c>
      <c r="AH264" s="181"/>
      <c r="AI264" s="181"/>
      <c r="AJ264" s="182"/>
    </row>
    <row r="265" spans="9:36" x14ac:dyDescent="0.25">
      <c r="I265" s="125"/>
      <c r="J265" s="50"/>
      <c r="K265" s="50"/>
      <c r="L265" s="70"/>
      <c r="M265" s="27"/>
      <c r="R265" s="61">
        <v>715.91548575951015</v>
      </c>
      <c r="S265" s="58">
        <v>5.5574933024876981E-7</v>
      </c>
      <c r="U265" s="172"/>
      <c r="V265" s="172"/>
      <c r="W265" s="172"/>
      <c r="X265" s="173"/>
      <c r="Y265" s="185"/>
      <c r="AA265" s="143"/>
      <c r="AB265" s="144"/>
      <c r="AC265" s="144"/>
      <c r="AD265" s="144"/>
      <c r="AE265" s="145">
        <f t="shared" si="37"/>
        <v>58.60654857595101</v>
      </c>
      <c r="AF265" s="145">
        <f t="shared" si="38"/>
        <v>5.5574933024876984E-5</v>
      </c>
      <c r="AH265" s="181"/>
      <c r="AI265" s="181"/>
      <c r="AJ265" s="182"/>
    </row>
    <row r="266" spans="9:36" x14ac:dyDescent="0.25">
      <c r="I266" s="125"/>
      <c r="J266" s="50"/>
      <c r="K266" s="50"/>
      <c r="L266" s="70"/>
      <c r="M266" s="27"/>
      <c r="R266" s="61">
        <v>721.58656482368895</v>
      </c>
      <c r="S266" s="58">
        <v>5.5574933024876981E-7</v>
      </c>
      <c r="U266" s="172"/>
      <c r="V266" s="172"/>
      <c r="W266" s="172"/>
      <c r="X266" s="173"/>
      <c r="Y266" s="185"/>
      <c r="AA266" s="143"/>
      <c r="AB266" s="144"/>
      <c r="AC266" s="144"/>
      <c r="AD266" s="144"/>
      <c r="AE266" s="145">
        <f t="shared" si="37"/>
        <v>59.173656482368891</v>
      </c>
      <c r="AF266" s="145">
        <f t="shared" si="38"/>
        <v>5.5574933024876984E-5</v>
      </c>
      <c r="AH266" s="181"/>
      <c r="AI266" s="181"/>
      <c r="AJ266" s="182"/>
    </row>
    <row r="267" spans="9:36" x14ac:dyDescent="0.25">
      <c r="I267" s="125"/>
      <c r="J267" s="50"/>
      <c r="K267" s="50"/>
      <c r="M267" s="34"/>
      <c r="R267" s="61">
        <v>721.58656482368895</v>
      </c>
      <c r="S267" s="58">
        <v>5.9320794990197259E-7</v>
      </c>
      <c r="U267" s="172"/>
      <c r="V267" s="172"/>
      <c r="W267" s="172"/>
      <c r="X267" s="173"/>
      <c r="Y267" s="185"/>
      <c r="AA267" s="143"/>
      <c r="AB267" s="144"/>
      <c r="AC267" s="144"/>
      <c r="AD267" s="144"/>
      <c r="AE267" s="145">
        <f t="shared" si="37"/>
        <v>59.173656482368891</v>
      </c>
      <c r="AF267" s="145">
        <f t="shared" si="38"/>
        <v>5.9320794990197256E-5</v>
      </c>
      <c r="AH267" s="181"/>
      <c r="AI267" s="181"/>
      <c r="AJ267" s="182"/>
    </row>
    <row r="268" spans="9:36" x14ac:dyDescent="0.25">
      <c r="I268" s="125"/>
      <c r="J268" s="50"/>
      <c r="K268" s="50"/>
      <c r="M268" s="34"/>
      <c r="R268" s="61">
        <v>727.25764388786774</v>
      </c>
      <c r="S268" s="58">
        <v>5.9320794990197259E-7</v>
      </c>
      <c r="U268" s="172"/>
      <c r="V268" s="172"/>
      <c r="W268" s="172"/>
      <c r="X268" s="173"/>
      <c r="Y268" s="185"/>
      <c r="AA268" s="143"/>
      <c r="AB268" s="144"/>
      <c r="AC268" s="144"/>
      <c r="AD268" s="144"/>
      <c r="AE268" s="145">
        <f t="shared" si="37"/>
        <v>59.740764388786772</v>
      </c>
      <c r="AF268" s="145">
        <f t="shared" si="38"/>
        <v>5.9320794990197256E-5</v>
      </c>
      <c r="AH268" s="181"/>
      <c r="AI268" s="181"/>
      <c r="AJ268" s="182"/>
    </row>
    <row r="269" spans="9:36" x14ac:dyDescent="0.25">
      <c r="I269" s="125"/>
      <c r="J269" s="50"/>
      <c r="K269" s="50"/>
      <c r="M269" s="33"/>
      <c r="R269" s="61">
        <v>727.25764388786774</v>
      </c>
      <c r="S269" s="58">
        <v>6.1985698655869384E-7</v>
      </c>
      <c r="U269" s="172"/>
      <c r="V269" s="172"/>
      <c r="W269" s="172"/>
      <c r="X269" s="173"/>
      <c r="Y269" s="185"/>
      <c r="AA269" s="143"/>
      <c r="AB269" s="144"/>
      <c r="AC269" s="144"/>
      <c r="AD269" s="144"/>
      <c r="AE269" s="145">
        <f t="shared" si="37"/>
        <v>59.740764388786772</v>
      </c>
      <c r="AF269" s="145">
        <f t="shared" si="38"/>
        <v>6.1985698655869388E-5</v>
      </c>
      <c r="AH269" s="181"/>
      <c r="AI269" s="181"/>
      <c r="AJ269" s="182"/>
    </row>
    <row r="270" spans="9:36" x14ac:dyDescent="0.25">
      <c r="I270" s="125"/>
      <c r="J270" s="50"/>
      <c r="K270" s="50"/>
      <c r="M270" s="34"/>
      <c r="R270" s="61">
        <v>732.92872295204654</v>
      </c>
      <c r="S270" s="58">
        <v>6.1985698655869384E-7</v>
      </c>
      <c r="U270" s="172"/>
      <c r="V270" s="172"/>
      <c r="W270" s="172"/>
      <c r="X270" s="173"/>
      <c r="Y270" s="185"/>
      <c r="AA270" s="143"/>
      <c r="AB270" s="144"/>
      <c r="AC270" s="144"/>
      <c r="AD270" s="144"/>
      <c r="AE270" s="145">
        <f t="shared" si="37"/>
        <v>60.307872295204653</v>
      </c>
      <c r="AF270" s="145">
        <f t="shared" si="38"/>
        <v>6.1985698655869388E-5</v>
      </c>
      <c r="AH270" s="181"/>
      <c r="AI270" s="181"/>
      <c r="AJ270" s="182"/>
    </row>
    <row r="271" spans="9:36" x14ac:dyDescent="0.25">
      <c r="I271" s="125"/>
      <c r="J271" s="50"/>
      <c r="K271" s="50"/>
      <c r="M271" s="35"/>
      <c r="R271" s="61">
        <v>732.92872295204654</v>
      </c>
      <c r="S271" s="58">
        <v>6.3755575297256222E-7</v>
      </c>
      <c r="U271" s="172"/>
      <c r="V271" s="172"/>
      <c r="W271" s="172"/>
      <c r="X271" s="173"/>
      <c r="Y271" s="185"/>
      <c r="AA271" s="143"/>
      <c r="AB271" s="144"/>
      <c r="AC271" s="144"/>
      <c r="AD271" s="144"/>
      <c r="AE271" s="145">
        <f t="shared" si="37"/>
        <v>60.307872295204653</v>
      </c>
      <c r="AF271" s="145">
        <f t="shared" si="38"/>
        <v>6.3755575297256219E-5</v>
      </c>
      <c r="AH271" s="181"/>
      <c r="AI271" s="181"/>
      <c r="AJ271" s="182"/>
    </row>
    <row r="272" spans="9:36" x14ac:dyDescent="0.25">
      <c r="I272" s="125"/>
      <c r="J272" s="50"/>
      <c r="K272" s="50"/>
      <c r="M272" s="34"/>
      <c r="R272" s="61">
        <v>738.59980201622534</v>
      </c>
      <c r="S272" s="58">
        <v>6.3755575297256222E-7</v>
      </c>
      <c r="U272" s="172"/>
      <c r="V272" s="172"/>
      <c r="W272" s="172"/>
      <c r="X272" s="173"/>
      <c r="Y272" s="185"/>
      <c r="AA272" s="143"/>
      <c r="AB272" s="144"/>
      <c r="AC272" s="144"/>
      <c r="AD272" s="144"/>
      <c r="AE272" s="145">
        <f t="shared" si="37"/>
        <v>60.874980201622535</v>
      </c>
      <c r="AF272" s="145">
        <f t="shared" si="38"/>
        <v>6.3755575297256219E-5</v>
      </c>
      <c r="AH272" s="181"/>
      <c r="AI272" s="181"/>
      <c r="AJ272" s="182"/>
    </row>
    <row r="273" spans="9:36" x14ac:dyDescent="0.25">
      <c r="I273" s="125"/>
      <c r="J273" s="50"/>
      <c r="K273" s="50"/>
      <c r="M273" s="33"/>
      <c r="R273" s="61">
        <v>738.59980201622534</v>
      </c>
      <c r="S273" s="58">
        <v>6.4850169868956617E-7</v>
      </c>
      <c r="U273" s="172"/>
      <c r="V273" s="172"/>
      <c r="W273" s="172"/>
      <c r="X273" s="173"/>
      <c r="Y273" s="185"/>
      <c r="AA273" s="143"/>
      <c r="AB273" s="144"/>
      <c r="AC273" s="144"/>
      <c r="AD273" s="144"/>
      <c r="AE273" s="145">
        <f t="shared" si="37"/>
        <v>60.874980201622535</v>
      </c>
      <c r="AF273" s="145">
        <f t="shared" si="38"/>
        <v>6.4850169868956619E-5</v>
      </c>
      <c r="AH273" s="181"/>
      <c r="AI273" s="181"/>
      <c r="AJ273" s="182"/>
    </row>
    <row r="274" spans="9:36" x14ac:dyDescent="0.25">
      <c r="I274" s="125"/>
      <c r="J274" s="50"/>
      <c r="K274" s="50"/>
      <c r="M274" s="34"/>
      <c r="R274" s="61">
        <v>744.27088108040414</v>
      </c>
      <c r="S274" s="58">
        <v>6.4850169868956617E-7</v>
      </c>
      <c r="U274" s="172"/>
      <c r="V274" s="172"/>
      <c r="W274" s="172"/>
      <c r="X274" s="173"/>
      <c r="Y274" s="185"/>
      <c r="AA274" s="143"/>
      <c r="AB274" s="144"/>
      <c r="AC274" s="144"/>
      <c r="AD274" s="144"/>
      <c r="AE274" s="145">
        <f t="shared" si="37"/>
        <v>61.442088108040409</v>
      </c>
      <c r="AF274" s="145">
        <f t="shared" si="38"/>
        <v>6.4850169868956619E-5</v>
      </c>
      <c r="AH274" s="181"/>
      <c r="AI274" s="181"/>
      <c r="AJ274" s="182"/>
    </row>
    <row r="275" spans="9:36" x14ac:dyDescent="0.25">
      <c r="I275" s="125"/>
      <c r="J275" s="50"/>
      <c r="K275" s="50"/>
      <c r="M275" s="34"/>
      <c r="R275" s="61">
        <v>744.27088108040414</v>
      </c>
      <c r="S275" s="58">
        <v>6.5473467543671045E-7</v>
      </c>
      <c r="U275" s="172"/>
      <c r="V275" s="172"/>
      <c r="W275" s="172"/>
      <c r="X275" s="173"/>
      <c r="Y275" s="185"/>
      <c r="AA275" s="143"/>
      <c r="AB275" s="144"/>
      <c r="AC275" s="144"/>
      <c r="AD275" s="144"/>
      <c r="AE275" s="145">
        <f t="shared" si="37"/>
        <v>61.442088108040409</v>
      </c>
      <c r="AF275" s="145">
        <f t="shared" si="38"/>
        <v>6.5473467543671044E-5</v>
      </c>
      <c r="AH275" s="181"/>
      <c r="AI275" s="181"/>
      <c r="AJ275" s="182"/>
    </row>
    <row r="276" spans="9:36" x14ac:dyDescent="0.25">
      <c r="I276" s="125"/>
      <c r="J276" s="50"/>
      <c r="K276" s="50"/>
      <c r="M276" s="33"/>
      <c r="R276" s="61">
        <v>749.94196014458294</v>
      </c>
      <c r="S276" s="58">
        <v>6.5473467543671045E-7</v>
      </c>
      <c r="U276" s="172"/>
      <c r="V276" s="172"/>
      <c r="W276" s="172"/>
      <c r="X276" s="173"/>
      <c r="Y276" s="185"/>
      <c r="AA276" s="143"/>
      <c r="AB276" s="144"/>
      <c r="AC276" s="144"/>
      <c r="AD276" s="144"/>
      <c r="AE276" s="145">
        <f t="shared" si="37"/>
        <v>62.00919601445829</v>
      </c>
      <c r="AF276" s="145">
        <f t="shared" si="38"/>
        <v>6.5473467543671044E-5</v>
      </c>
      <c r="AH276" s="181"/>
      <c r="AI276" s="181"/>
      <c r="AJ276" s="182"/>
    </row>
    <row r="277" spans="9:36" x14ac:dyDescent="0.25">
      <c r="I277" s="125"/>
      <c r="J277" s="50"/>
      <c r="K277" s="50"/>
      <c r="M277" s="34"/>
      <c r="R277" s="61">
        <v>749.94196014458294</v>
      </c>
      <c r="S277" s="58">
        <v>6.5782857244072772E-7</v>
      </c>
      <c r="U277" s="172"/>
      <c r="V277" s="172"/>
      <c r="W277" s="172"/>
      <c r="X277" s="173"/>
      <c r="Y277" s="185"/>
      <c r="AA277" s="143"/>
      <c r="AB277" s="144"/>
      <c r="AC277" s="144"/>
      <c r="AD277" s="144"/>
      <c r="AE277" s="145">
        <f t="shared" si="37"/>
        <v>62.00919601445829</v>
      </c>
      <c r="AF277" s="145">
        <f t="shared" si="38"/>
        <v>6.5782857244072766E-5</v>
      </c>
      <c r="AH277" s="181"/>
      <c r="AI277" s="181"/>
      <c r="AJ277" s="182"/>
    </row>
    <row r="278" spans="9:36" x14ac:dyDescent="0.25">
      <c r="I278" s="125"/>
      <c r="J278" s="50"/>
      <c r="K278" s="50"/>
      <c r="M278" s="34"/>
      <c r="R278" s="61">
        <v>755.61303920876173</v>
      </c>
      <c r="S278" s="58">
        <v>6.5782857244072772E-7</v>
      </c>
      <c r="U278" s="172"/>
      <c r="V278" s="172"/>
      <c r="W278" s="172"/>
      <c r="X278" s="173"/>
      <c r="Y278" s="185"/>
      <c r="AA278" s="143"/>
      <c r="AB278" s="144"/>
      <c r="AC278" s="144"/>
      <c r="AD278" s="144"/>
      <c r="AE278" s="145">
        <f t="shared" si="37"/>
        <v>62.576303920876171</v>
      </c>
      <c r="AF278" s="145">
        <f t="shared" si="38"/>
        <v>6.5782857244072766E-5</v>
      </c>
      <c r="AH278" s="181"/>
      <c r="AI278" s="181"/>
      <c r="AJ278" s="182"/>
    </row>
    <row r="279" spans="9:36" x14ac:dyDescent="0.25">
      <c r="I279" s="125"/>
      <c r="J279" s="50"/>
      <c r="K279" s="50"/>
      <c r="M279" s="35"/>
      <c r="R279" s="61">
        <v>755.61303920876173</v>
      </c>
      <c r="S279" s="58">
        <v>6.5875181220313634E-7</v>
      </c>
      <c r="U279" s="172"/>
      <c r="V279" s="172"/>
      <c r="W279" s="172"/>
      <c r="X279" s="173"/>
      <c r="Y279" s="185"/>
      <c r="AA279" s="143"/>
      <c r="AB279" s="144"/>
      <c r="AC279" s="144"/>
      <c r="AD279" s="144"/>
      <c r="AE279" s="145">
        <f t="shared" si="37"/>
        <v>62.576303920876171</v>
      </c>
      <c r="AF279" s="145">
        <f t="shared" si="38"/>
        <v>6.5875181220313633E-5</v>
      </c>
      <c r="AH279" s="181"/>
      <c r="AI279" s="181"/>
      <c r="AJ279" s="182"/>
    </row>
    <row r="280" spans="9:36" x14ac:dyDescent="0.25">
      <c r="I280" s="125"/>
      <c r="J280" s="50"/>
      <c r="K280" s="50"/>
      <c r="M280" s="33"/>
      <c r="R280" s="61">
        <v>761.28411827294053</v>
      </c>
      <c r="S280" s="58">
        <v>6.5875181220313634E-7</v>
      </c>
      <c r="U280" s="172"/>
      <c r="V280" s="172"/>
      <c r="W280" s="172"/>
      <c r="X280" s="173"/>
      <c r="Y280" s="185"/>
      <c r="AA280" s="143"/>
      <c r="AB280" s="144"/>
      <c r="AC280" s="144"/>
      <c r="AD280" s="144"/>
      <c r="AE280" s="145">
        <f t="shared" si="37"/>
        <v>63.143411827294052</v>
      </c>
      <c r="AF280" s="145">
        <f t="shared" si="38"/>
        <v>6.5875181220313633E-5</v>
      </c>
      <c r="AH280" s="181"/>
      <c r="AI280" s="181"/>
      <c r="AJ280" s="182"/>
    </row>
    <row r="281" spans="9:36" x14ac:dyDescent="0.25">
      <c r="I281" s="125"/>
      <c r="J281" s="50"/>
      <c r="K281" s="50"/>
      <c r="M281" s="34"/>
      <c r="R281" s="61">
        <v>761.28411827294053</v>
      </c>
      <c r="S281" s="58">
        <v>6.5782857244072772E-7</v>
      </c>
      <c r="U281" s="172"/>
      <c r="V281" s="172"/>
      <c r="W281" s="172"/>
      <c r="X281" s="173"/>
      <c r="Y281" s="185"/>
      <c r="AA281" s="143"/>
      <c r="AB281" s="144"/>
      <c r="AC281" s="144"/>
      <c r="AD281" s="144"/>
      <c r="AE281" s="145">
        <f t="shared" si="37"/>
        <v>63.143411827294052</v>
      </c>
      <c r="AF281" s="145">
        <f t="shared" si="38"/>
        <v>6.5782857244072766E-5</v>
      </c>
      <c r="AH281" s="181"/>
      <c r="AI281" s="181"/>
      <c r="AJ281" s="182"/>
    </row>
    <row r="282" spans="9:36" x14ac:dyDescent="0.25">
      <c r="I282" s="125"/>
      <c r="J282" s="50"/>
      <c r="K282" s="50"/>
      <c r="M282" s="34"/>
      <c r="R282" s="61">
        <v>766.95519733711933</v>
      </c>
      <c r="S282" s="58">
        <v>6.5782857244072772E-7</v>
      </c>
      <c r="U282" s="172"/>
      <c r="V282" s="172"/>
      <c r="W282" s="172"/>
      <c r="X282" s="173"/>
      <c r="Y282" s="185"/>
      <c r="AA282" s="143"/>
      <c r="AB282" s="144"/>
      <c r="AC282" s="144"/>
      <c r="AD282" s="144"/>
      <c r="AE282" s="145">
        <f t="shared" si="37"/>
        <v>63.710519733711934</v>
      </c>
      <c r="AF282" s="145">
        <f t="shared" si="38"/>
        <v>6.5782857244072766E-5</v>
      </c>
      <c r="AH282" s="181"/>
      <c r="AI282" s="181"/>
      <c r="AJ282" s="182"/>
    </row>
    <row r="283" spans="9:36" x14ac:dyDescent="0.25">
      <c r="I283" s="125"/>
      <c r="J283" s="50"/>
      <c r="K283" s="50"/>
      <c r="M283" s="33"/>
      <c r="R283" s="61">
        <v>766.95519733711933</v>
      </c>
      <c r="S283" s="58">
        <v>6.5473467543671045E-7</v>
      </c>
      <c r="U283" s="172"/>
      <c r="V283" s="172"/>
      <c r="W283" s="172"/>
      <c r="X283" s="173"/>
      <c r="Y283" s="185"/>
      <c r="AA283" s="143"/>
      <c r="AB283" s="144"/>
      <c r="AC283" s="144"/>
      <c r="AD283" s="144"/>
      <c r="AE283" s="145">
        <f t="shared" si="37"/>
        <v>63.710519733711934</v>
      </c>
      <c r="AF283" s="145">
        <f t="shared" si="38"/>
        <v>6.5473467543671044E-5</v>
      </c>
      <c r="AH283" s="181"/>
      <c r="AI283" s="181"/>
      <c r="AJ283" s="182"/>
    </row>
    <row r="284" spans="9:36" x14ac:dyDescent="0.25">
      <c r="I284" s="125"/>
      <c r="J284" s="50"/>
      <c r="K284" s="50"/>
      <c r="M284" s="34"/>
      <c r="R284" s="61">
        <v>772.62627640129813</v>
      </c>
      <c r="S284" s="58">
        <v>6.5473467543671045E-7</v>
      </c>
      <c r="U284" s="172"/>
      <c r="V284" s="172"/>
      <c r="W284" s="172"/>
      <c r="X284" s="173"/>
      <c r="Y284" s="185"/>
      <c r="AA284" s="143"/>
      <c r="AB284" s="144"/>
      <c r="AC284" s="144"/>
      <c r="AD284" s="144"/>
      <c r="AE284" s="145">
        <f t="shared" si="37"/>
        <v>64.277627640129808</v>
      </c>
      <c r="AF284" s="145">
        <f t="shared" si="38"/>
        <v>6.5473467543671044E-5</v>
      </c>
      <c r="AH284" s="181"/>
      <c r="AI284" s="181"/>
      <c r="AJ284" s="182"/>
    </row>
    <row r="285" spans="9:36" x14ac:dyDescent="0.25">
      <c r="I285" s="125"/>
      <c r="J285" s="50"/>
      <c r="K285" s="50"/>
      <c r="M285" s="34"/>
      <c r="R285" s="61">
        <v>772.62627640129813</v>
      </c>
      <c r="S285" s="58">
        <v>6.4850169868956617E-7</v>
      </c>
      <c r="U285" s="172"/>
      <c r="V285" s="172"/>
      <c r="W285" s="172"/>
      <c r="X285" s="173"/>
      <c r="Y285" s="185"/>
      <c r="AA285" s="143"/>
      <c r="AB285" s="144"/>
      <c r="AC285" s="144"/>
      <c r="AD285" s="144"/>
      <c r="AE285" s="145">
        <f t="shared" si="37"/>
        <v>64.277627640129808</v>
      </c>
      <c r="AF285" s="145">
        <f t="shared" si="38"/>
        <v>6.4850169868956619E-5</v>
      </c>
      <c r="AH285" s="181"/>
      <c r="AI285" s="181"/>
      <c r="AJ285" s="182"/>
    </row>
    <row r="286" spans="9:36" x14ac:dyDescent="0.25">
      <c r="I286" s="125"/>
      <c r="J286" s="50"/>
      <c r="K286" s="50"/>
      <c r="M286" s="34"/>
      <c r="R286" s="61">
        <v>778.29735546547693</v>
      </c>
      <c r="S286" s="58">
        <v>6.4850169868956617E-7</v>
      </c>
      <c r="U286" s="172"/>
      <c r="V286" s="172"/>
      <c r="W286" s="172"/>
      <c r="X286" s="173"/>
      <c r="Y286" s="185"/>
      <c r="AA286" s="143"/>
      <c r="AB286" s="144"/>
      <c r="AC286" s="144"/>
      <c r="AD286" s="144"/>
      <c r="AE286" s="145">
        <f t="shared" si="37"/>
        <v>64.844735546547696</v>
      </c>
      <c r="AF286" s="145">
        <f t="shared" si="38"/>
        <v>6.4850169868956619E-5</v>
      </c>
      <c r="AH286" s="181"/>
      <c r="AI286" s="181"/>
      <c r="AJ286" s="182"/>
    </row>
    <row r="287" spans="9:36" x14ac:dyDescent="0.25">
      <c r="I287" s="125"/>
      <c r="J287" s="50"/>
      <c r="K287" s="50"/>
      <c r="M287" s="33"/>
      <c r="R287" s="61">
        <v>778.29735546547693</v>
      </c>
      <c r="S287" s="58">
        <v>6.3755575297256222E-7</v>
      </c>
      <c r="U287" s="172"/>
      <c r="V287" s="172"/>
      <c r="W287" s="172"/>
      <c r="X287" s="173"/>
      <c r="Y287" s="185"/>
      <c r="AA287" s="143"/>
      <c r="AB287" s="144"/>
      <c r="AC287" s="144"/>
      <c r="AD287" s="144"/>
      <c r="AE287" s="145">
        <f t="shared" si="37"/>
        <v>64.844735546547696</v>
      </c>
      <c r="AF287" s="145">
        <f t="shared" si="38"/>
        <v>6.3755575297256219E-5</v>
      </c>
      <c r="AH287" s="181"/>
      <c r="AI287" s="181"/>
      <c r="AJ287" s="182"/>
    </row>
    <row r="288" spans="9:36" x14ac:dyDescent="0.25">
      <c r="I288" s="125"/>
      <c r="J288" s="50"/>
      <c r="K288" s="50"/>
      <c r="M288" s="35"/>
      <c r="R288" s="61">
        <v>783.96843452965572</v>
      </c>
      <c r="S288" s="58">
        <v>6.3755575297256222E-7</v>
      </c>
      <c r="U288" s="172"/>
      <c r="V288" s="172"/>
      <c r="W288" s="172"/>
      <c r="X288" s="173"/>
      <c r="Y288" s="185"/>
      <c r="AA288" s="143"/>
      <c r="AB288" s="144"/>
      <c r="AC288" s="144"/>
      <c r="AD288" s="144"/>
      <c r="AE288" s="145">
        <f t="shared" si="37"/>
        <v>65.41184345296557</v>
      </c>
      <c r="AF288" s="145">
        <f t="shared" si="38"/>
        <v>6.3755575297256219E-5</v>
      </c>
      <c r="AH288" s="181"/>
      <c r="AI288" s="181"/>
      <c r="AJ288" s="182"/>
    </row>
    <row r="289" spans="9:36" x14ac:dyDescent="0.25">
      <c r="I289" s="125"/>
      <c r="J289" s="50"/>
      <c r="K289" s="50"/>
      <c r="M289" s="34"/>
      <c r="R289" s="61">
        <v>783.96843452965572</v>
      </c>
      <c r="S289" s="58">
        <v>6.1985698655869384E-7</v>
      </c>
      <c r="U289" s="172"/>
      <c r="V289" s="172"/>
      <c r="W289" s="172"/>
      <c r="X289" s="173"/>
      <c r="Y289" s="185"/>
      <c r="AA289" s="143"/>
      <c r="AB289" s="144"/>
      <c r="AC289" s="144"/>
      <c r="AD289" s="144"/>
      <c r="AE289" s="145">
        <f t="shared" si="37"/>
        <v>65.41184345296557</v>
      </c>
      <c r="AF289" s="145">
        <f t="shared" si="38"/>
        <v>6.1985698655869388E-5</v>
      </c>
      <c r="AH289" s="181"/>
      <c r="AI289" s="181"/>
      <c r="AJ289" s="182"/>
    </row>
    <row r="290" spans="9:36" x14ac:dyDescent="0.25">
      <c r="I290" s="125"/>
      <c r="J290" s="50"/>
      <c r="K290" s="50"/>
      <c r="M290" s="34"/>
      <c r="R290" s="61">
        <v>789.63951359383452</v>
      </c>
      <c r="S290" s="58">
        <v>6.1985698655869384E-7</v>
      </c>
      <c r="U290" s="172"/>
      <c r="V290" s="172"/>
      <c r="W290" s="172"/>
      <c r="X290" s="173"/>
      <c r="Y290" s="185"/>
      <c r="AA290" s="143"/>
      <c r="AB290" s="144"/>
      <c r="AC290" s="144"/>
      <c r="AD290" s="144"/>
      <c r="AE290" s="145">
        <f t="shared" si="37"/>
        <v>65.978951359383444</v>
      </c>
      <c r="AF290" s="145">
        <f t="shared" si="38"/>
        <v>6.1985698655869388E-5</v>
      </c>
      <c r="AH290" s="181"/>
      <c r="AI290" s="181"/>
      <c r="AJ290" s="182"/>
    </row>
    <row r="291" spans="9:36" x14ac:dyDescent="0.25">
      <c r="I291" s="125"/>
      <c r="J291" s="50"/>
      <c r="K291" s="50"/>
      <c r="M291" s="33"/>
      <c r="R291" s="61">
        <v>789.63951359383452</v>
      </c>
      <c r="S291" s="58">
        <v>5.9320794990197259E-7</v>
      </c>
      <c r="U291" s="172"/>
      <c r="V291" s="172"/>
      <c r="W291" s="172"/>
      <c r="X291" s="173"/>
      <c r="Y291" s="185"/>
      <c r="AA291" s="143"/>
      <c r="AB291" s="144"/>
      <c r="AC291" s="144"/>
      <c r="AD291" s="144"/>
      <c r="AE291" s="145">
        <f t="shared" si="37"/>
        <v>65.978951359383444</v>
      </c>
      <c r="AF291" s="145">
        <f t="shared" si="38"/>
        <v>5.9320794990197256E-5</v>
      </c>
      <c r="AH291" s="181"/>
      <c r="AI291" s="181"/>
      <c r="AJ291" s="182"/>
    </row>
    <row r="292" spans="9:36" x14ac:dyDescent="0.25">
      <c r="I292" s="125"/>
      <c r="J292" s="50"/>
      <c r="K292" s="50"/>
      <c r="M292" s="34"/>
      <c r="R292" s="61">
        <v>795.31059265801332</v>
      </c>
      <c r="S292" s="58">
        <v>5.9320794990197259E-7</v>
      </c>
      <c r="U292" s="172"/>
      <c r="V292" s="172"/>
      <c r="W292" s="172"/>
      <c r="X292" s="173"/>
      <c r="Y292" s="185"/>
      <c r="AA292" s="143"/>
      <c r="AB292" s="144"/>
      <c r="AC292" s="144"/>
      <c r="AD292" s="144"/>
      <c r="AE292" s="145">
        <f t="shared" si="37"/>
        <v>66.546059265801333</v>
      </c>
      <c r="AF292" s="145">
        <f t="shared" si="38"/>
        <v>5.9320794990197256E-5</v>
      </c>
      <c r="AH292" s="181"/>
      <c r="AI292" s="181"/>
      <c r="AJ292" s="182"/>
    </row>
    <row r="293" spans="9:36" x14ac:dyDescent="0.25">
      <c r="I293" s="125"/>
      <c r="J293" s="50"/>
      <c r="K293" s="50"/>
      <c r="M293" s="34"/>
      <c r="R293" s="61">
        <v>795.31059265801332</v>
      </c>
      <c r="S293" s="58">
        <v>5.5574933024876981E-7</v>
      </c>
      <c r="U293" s="172"/>
      <c r="V293" s="172"/>
      <c r="W293" s="172"/>
      <c r="X293" s="173"/>
      <c r="Y293" s="185"/>
      <c r="AA293" s="143"/>
      <c r="AB293" s="144"/>
      <c r="AC293" s="144"/>
      <c r="AD293" s="144"/>
      <c r="AE293" s="145">
        <f t="shared" si="37"/>
        <v>66.546059265801333</v>
      </c>
      <c r="AF293" s="145">
        <f t="shared" si="38"/>
        <v>5.5574933024876984E-5</v>
      </c>
      <c r="AH293" s="181"/>
      <c r="AI293" s="181"/>
      <c r="AJ293" s="182"/>
    </row>
    <row r="294" spans="9:36" x14ac:dyDescent="0.25">
      <c r="I294" s="125"/>
      <c r="J294" s="50"/>
      <c r="K294" s="50"/>
      <c r="M294" s="33"/>
      <c r="R294" s="61">
        <v>800.98167172219212</v>
      </c>
      <c r="S294" s="58">
        <v>5.5574933024876981E-7</v>
      </c>
      <c r="U294" s="172"/>
      <c r="V294" s="172"/>
      <c r="W294" s="172"/>
      <c r="X294" s="173"/>
      <c r="Y294" s="185"/>
      <c r="AA294" s="143"/>
      <c r="AB294" s="144"/>
      <c r="AC294" s="144"/>
      <c r="AD294" s="144"/>
      <c r="AE294" s="145">
        <f t="shared" si="37"/>
        <v>67.113167172219207</v>
      </c>
      <c r="AF294" s="145">
        <f t="shared" si="38"/>
        <v>5.5574933024876984E-5</v>
      </c>
      <c r="AH294" s="181"/>
      <c r="AI294" s="181"/>
      <c r="AJ294" s="182"/>
    </row>
    <row r="295" spans="9:36" x14ac:dyDescent="0.25">
      <c r="I295" s="125"/>
      <c r="J295" s="50"/>
      <c r="K295" s="50"/>
      <c r="M295" s="34"/>
      <c r="R295" s="61">
        <v>800.98167172219212</v>
      </c>
      <c r="S295" s="58">
        <v>5.0656842288107643E-7</v>
      </c>
      <c r="U295" s="172"/>
      <c r="V295" s="172"/>
      <c r="W295" s="172"/>
      <c r="X295" s="173"/>
      <c r="Y295" s="185"/>
      <c r="AA295" s="143"/>
      <c r="AB295" s="144"/>
      <c r="AC295" s="144"/>
      <c r="AD295" s="144"/>
      <c r="AE295" s="145">
        <f t="shared" si="37"/>
        <v>67.113167172219207</v>
      </c>
      <c r="AF295" s="145">
        <f t="shared" si="38"/>
        <v>5.0656842288107639E-5</v>
      </c>
      <c r="AH295" s="181"/>
      <c r="AI295" s="181"/>
      <c r="AJ295" s="182"/>
    </row>
    <row r="296" spans="9:36" x14ac:dyDescent="0.25">
      <c r="I296" s="126"/>
      <c r="J296" s="127"/>
      <c r="K296" s="127"/>
      <c r="M296" s="35"/>
      <c r="R296" s="61">
        <v>806.65275078637092</v>
      </c>
      <c r="S296" s="58">
        <v>5.0656842288107643E-7</v>
      </c>
      <c r="U296" s="172"/>
      <c r="V296" s="172"/>
      <c r="W296" s="172"/>
      <c r="X296" s="173"/>
      <c r="Y296" s="185"/>
      <c r="AA296" s="143"/>
      <c r="AB296" s="144"/>
      <c r="AC296" s="144"/>
      <c r="AD296" s="144"/>
      <c r="AE296" s="145">
        <f t="shared" si="37"/>
        <v>67.680275078637095</v>
      </c>
      <c r="AF296" s="145">
        <f t="shared" si="38"/>
        <v>5.0656842288107639E-5</v>
      </c>
      <c r="AH296" s="181"/>
      <c r="AI296" s="181"/>
      <c r="AJ296" s="182"/>
    </row>
    <row r="297" spans="9:36" x14ac:dyDescent="0.25">
      <c r="I297" s="126"/>
      <c r="J297" s="127"/>
      <c r="K297" s="127"/>
      <c r="M297" s="34"/>
      <c r="R297" s="61">
        <v>806.65275078637092</v>
      </c>
      <c r="S297" s="58">
        <v>4.4624717609330607E-7</v>
      </c>
      <c r="U297" s="172"/>
      <c r="V297" s="172"/>
      <c r="W297" s="173"/>
      <c r="X297" s="173"/>
      <c r="Y297" s="185"/>
      <c r="AA297" s="143"/>
      <c r="AB297" s="144"/>
      <c r="AC297" s="144"/>
      <c r="AD297" s="144"/>
      <c r="AE297" s="145">
        <f t="shared" si="37"/>
        <v>67.680275078637095</v>
      </c>
      <c r="AF297" s="145">
        <f t="shared" si="38"/>
        <v>4.4624717609330606E-5</v>
      </c>
      <c r="AH297" s="181"/>
      <c r="AI297" s="181"/>
      <c r="AJ297" s="182"/>
    </row>
    <row r="298" spans="9:36" x14ac:dyDescent="0.25">
      <c r="I298" s="126"/>
      <c r="J298" s="127"/>
      <c r="K298" s="127"/>
      <c r="M298" s="33"/>
      <c r="R298" s="61">
        <v>812.32382985054971</v>
      </c>
      <c r="S298" s="58">
        <v>4.4624717609330607E-7</v>
      </c>
      <c r="U298" s="172"/>
      <c r="V298" s="172"/>
      <c r="W298" s="173"/>
      <c r="X298" s="173"/>
      <c r="Y298" s="185"/>
      <c r="AA298" s="143"/>
      <c r="AB298" s="144"/>
      <c r="AC298" s="144"/>
      <c r="AD298" s="144"/>
      <c r="AE298" s="145">
        <f t="shared" si="37"/>
        <v>68.247382985054969</v>
      </c>
      <c r="AF298" s="145">
        <f t="shared" si="38"/>
        <v>4.4624717609330606E-5</v>
      </c>
      <c r="AH298" s="181"/>
      <c r="AI298" s="181"/>
      <c r="AJ298" s="182"/>
    </row>
    <row r="299" spans="9:36" x14ac:dyDescent="0.25">
      <c r="I299" s="126"/>
      <c r="J299" s="127"/>
      <c r="K299" s="127"/>
      <c r="M299" s="34"/>
      <c r="R299" s="61">
        <v>812.32382985054971</v>
      </c>
      <c r="S299" s="58">
        <v>3.7713038471453524E-7</v>
      </c>
      <c r="U299" s="172"/>
      <c r="V299" s="172"/>
      <c r="W299" s="173"/>
      <c r="X299" s="173"/>
      <c r="Y299" s="185"/>
      <c r="AA299" s="143"/>
      <c r="AB299" s="144"/>
      <c r="AC299" s="144"/>
      <c r="AD299" s="144"/>
      <c r="AE299" s="145">
        <f t="shared" si="37"/>
        <v>68.247382985054969</v>
      </c>
      <c r="AF299" s="145">
        <f t="shared" si="38"/>
        <v>3.7713038471453524E-5</v>
      </c>
      <c r="AH299" s="181"/>
      <c r="AI299" s="181"/>
      <c r="AJ299" s="182"/>
    </row>
    <row r="300" spans="9:36" x14ac:dyDescent="0.25">
      <c r="I300" s="126"/>
      <c r="J300" s="127"/>
      <c r="K300" s="127"/>
      <c r="M300" s="34"/>
      <c r="R300" s="61">
        <v>817.99490891472851</v>
      </c>
      <c r="S300" s="58">
        <v>3.7713038471453524E-7</v>
      </c>
      <c r="U300" s="172"/>
      <c r="V300" s="172"/>
      <c r="W300" s="173"/>
      <c r="X300" s="173"/>
      <c r="Y300" s="185"/>
      <c r="AA300" s="143"/>
      <c r="AB300" s="144"/>
      <c r="AC300" s="144"/>
      <c r="AD300" s="144"/>
      <c r="AE300" s="145">
        <f t="shared" si="37"/>
        <v>68.814490891472843</v>
      </c>
      <c r="AF300" s="145">
        <f t="shared" si="38"/>
        <v>3.7713038471453524E-5</v>
      </c>
      <c r="AH300" s="181"/>
      <c r="AI300" s="181"/>
      <c r="AJ300" s="182"/>
    </row>
    <row r="301" spans="9:36" x14ac:dyDescent="0.25">
      <c r="I301" s="126"/>
      <c r="J301" s="127"/>
      <c r="K301" s="127"/>
      <c r="M301" s="33"/>
      <c r="R301" s="61">
        <v>817.99490891472851</v>
      </c>
      <c r="S301" s="58">
        <v>3.2184016138372131E-7</v>
      </c>
      <c r="U301" s="172"/>
      <c r="V301" s="172"/>
      <c r="W301" s="173"/>
      <c r="X301" s="173"/>
      <c r="Y301" s="185"/>
      <c r="AA301" s="143"/>
      <c r="AB301" s="144"/>
      <c r="AC301" s="144"/>
      <c r="AD301" s="144"/>
      <c r="AE301" s="145">
        <f t="shared" si="37"/>
        <v>68.814490891472843</v>
      </c>
      <c r="AF301" s="145">
        <f t="shared" si="38"/>
        <v>3.2184016138372128E-5</v>
      </c>
      <c r="AH301" s="181"/>
      <c r="AI301" s="181"/>
      <c r="AJ301" s="182"/>
    </row>
    <row r="302" spans="9:36" x14ac:dyDescent="0.25">
      <c r="I302" s="126"/>
      <c r="J302" s="127"/>
      <c r="K302" s="127"/>
      <c r="M302" s="34"/>
      <c r="R302" s="61">
        <v>820.83044844681797</v>
      </c>
      <c r="S302" s="58">
        <v>3.2184016138372131E-7</v>
      </c>
      <c r="U302" s="172"/>
      <c r="V302" s="172"/>
      <c r="W302" s="173"/>
      <c r="X302" s="173"/>
      <c r="Y302" s="185"/>
      <c r="AA302" s="143"/>
      <c r="AB302" s="144"/>
      <c r="AC302" s="144"/>
      <c r="AD302" s="144"/>
      <c r="AE302" s="145">
        <f t="shared" si="37"/>
        <v>69.098044844681795</v>
      </c>
      <c r="AF302" s="145">
        <f t="shared" si="38"/>
        <v>3.2184016138372128E-5</v>
      </c>
      <c r="AH302" s="181"/>
      <c r="AI302" s="181"/>
      <c r="AJ302" s="182"/>
    </row>
    <row r="303" spans="9:36" x14ac:dyDescent="0.25">
      <c r="I303" s="126"/>
      <c r="J303" s="127"/>
      <c r="K303" s="127"/>
      <c r="M303" s="34"/>
      <c r="R303" s="61">
        <v>820.83044844681797</v>
      </c>
      <c r="S303" s="58">
        <v>2.8475983456029408E-7</v>
      </c>
      <c r="U303" s="172"/>
      <c r="V303" s="172"/>
      <c r="W303" s="173"/>
      <c r="X303" s="173"/>
      <c r="Y303" s="185"/>
      <c r="AA303" s="143"/>
      <c r="AB303" s="144"/>
      <c r="AC303" s="144"/>
      <c r="AD303" s="144"/>
      <c r="AE303" s="145">
        <f t="shared" si="37"/>
        <v>69.098044844681795</v>
      </c>
      <c r="AF303" s="145">
        <f t="shared" si="38"/>
        <v>2.847598345602941E-5</v>
      </c>
      <c r="AH303" s="181"/>
      <c r="AI303" s="181"/>
      <c r="AJ303" s="182"/>
    </row>
    <row r="304" spans="9:36" x14ac:dyDescent="0.25">
      <c r="I304" s="126"/>
      <c r="J304" s="127"/>
      <c r="K304" s="127"/>
      <c r="M304" s="35"/>
      <c r="R304" s="61">
        <v>823.63090808212485</v>
      </c>
      <c r="S304" s="58">
        <v>2.8475983456029408E-7</v>
      </c>
      <c r="U304" s="172"/>
      <c r="V304" s="172"/>
      <c r="W304" s="173"/>
      <c r="X304" s="173"/>
      <c r="Y304" s="185"/>
      <c r="AA304" s="143"/>
      <c r="AB304" s="144"/>
      <c r="AC304" s="144"/>
      <c r="AD304" s="144"/>
      <c r="AE304" s="145">
        <f t="shared" si="37"/>
        <v>69.378090808212477</v>
      </c>
      <c r="AF304" s="145">
        <f t="shared" si="38"/>
        <v>2.847598345602941E-5</v>
      </c>
      <c r="AH304" s="181"/>
      <c r="AI304" s="181"/>
      <c r="AJ304" s="182"/>
    </row>
    <row r="305" spans="9:36" x14ac:dyDescent="0.25">
      <c r="I305" s="126"/>
      <c r="J305" s="127"/>
      <c r="K305" s="127"/>
      <c r="M305" s="33"/>
      <c r="R305" s="61">
        <v>823.63090808212485</v>
      </c>
      <c r="S305" s="58">
        <v>2.4798802501999132E-7</v>
      </c>
      <c r="U305" s="172"/>
      <c r="V305" s="172"/>
      <c r="W305" s="173"/>
      <c r="X305" s="173"/>
      <c r="Y305" s="185"/>
      <c r="AA305" s="143"/>
      <c r="AB305" s="144"/>
      <c r="AC305" s="144"/>
      <c r="AD305" s="144"/>
      <c r="AE305" s="145">
        <f t="shared" si="37"/>
        <v>69.378090808212477</v>
      </c>
      <c r="AF305" s="145">
        <f t="shared" si="38"/>
        <v>2.4798802501999134E-5</v>
      </c>
      <c r="AH305" s="181"/>
      <c r="AI305" s="181"/>
      <c r="AJ305" s="182"/>
    </row>
    <row r="306" spans="9:36" x14ac:dyDescent="0.25">
      <c r="I306" s="126"/>
      <c r="J306" s="127"/>
      <c r="K306" s="127"/>
      <c r="M306" s="34"/>
      <c r="R306" s="61">
        <v>826.47921444012002</v>
      </c>
      <c r="S306" s="58">
        <v>2.4798802501999132E-7</v>
      </c>
      <c r="U306" s="172"/>
      <c r="V306" s="172"/>
      <c r="W306" s="173"/>
      <c r="X306" s="173"/>
      <c r="Y306" s="185"/>
      <c r="AA306" s="143"/>
      <c r="AB306" s="144"/>
      <c r="AC306" s="144"/>
      <c r="AD306" s="144"/>
      <c r="AE306" s="145">
        <f t="shared" si="37"/>
        <v>69.662921444011999</v>
      </c>
      <c r="AF306" s="145">
        <f t="shared" si="38"/>
        <v>2.4798802501999134E-5</v>
      </c>
      <c r="AH306" s="181"/>
      <c r="AI306" s="181"/>
      <c r="AJ306" s="182"/>
    </row>
    <row r="307" spans="9:36" x14ac:dyDescent="0.25">
      <c r="I307" s="126"/>
      <c r="J307" s="127"/>
      <c r="K307" s="127"/>
      <c r="M307" s="34"/>
      <c r="R307" s="61">
        <v>826.47921444012002</v>
      </c>
      <c r="S307" s="58">
        <v>2.1122340767373856E-7</v>
      </c>
      <c r="U307" s="172"/>
      <c r="V307" s="172"/>
      <c r="W307" s="173"/>
      <c r="X307" s="173"/>
      <c r="Y307" s="185"/>
      <c r="AA307" s="143"/>
      <c r="AB307" s="144"/>
      <c r="AC307" s="144"/>
      <c r="AD307" s="144"/>
      <c r="AE307" s="145">
        <f t="shared" si="37"/>
        <v>69.662921444011999</v>
      </c>
      <c r="AF307" s="145">
        <f t="shared" si="38"/>
        <v>2.1122340767373858E-5</v>
      </c>
      <c r="AH307" s="181"/>
      <c r="AI307" s="181"/>
      <c r="AJ307" s="182"/>
    </row>
    <row r="308" spans="9:36" x14ac:dyDescent="0.25">
      <c r="I308" s="126"/>
      <c r="J308" s="127"/>
      <c r="K308" s="127"/>
      <c r="M308" s="33"/>
      <c r="R308" s="61">
        <v>829.42835519408038</v>
      </c>
      <c r="S308" s="58">
        <v>2.1122340767373856E-7</v>
      </c>
      <c r="U308" s="172"/>
      <c r="V308" s="172"/>
      <c r="W308" s="173"/>
      <c r="X308" s="173"/>
      <c r="Y308" s="185"/>
      <c r="AA308" s="143"/>
      <c r="AB308" s="144"/>
      <c r="AC308" s="144"/>
      <c r="AD308" s="144"/>
      <c r="AE308" s="145">
        <f t="shared" si="37"/>
        <v>69.957835519408036</v>
      </c>
      <c r="AF308" s="145">
        <f t="shared" si="38"/>
        <v>2.1122340767373858E-5</v>
      </c>
      <c r="AH308" s="181"/>
      <c r="AI308" s="181"/>
      <c r="AJ308" s="182"/>
    </row>
    <row r="309" spans="9:36" x14ac:dyDescent="0.25">
      <c r="I309" s="126"/>
      <c r="J309" s="127"/>
      <c r="K309" s="127"/>
      <c r="M309" s="34"/>
      <c r="R309" s="61">
        <v>829.42835519408038</v>
      </c>
      <c r="S309" s="58">
        <v>1.74489958581454E-7</v>
      </c>
      <c r="U309" s="172"/>
      <c r="V309" s="172"/>
      <c r="W309" s="173"/>
      <c r="X309" s="173"/>
      <c r="Y309" s="185"/>
      <c r="AA309" s="143"/>
      <c r="AB309" s="144"/>
      <c r="AC309" s="144"/>
      <c r="AD309" s="144"/>
      <c r="AE309" s="145">
        <f t="shared" si="37"/>
        <v>69.957835519408036</v>
      </c>
      <c r="AF309" s="145">
        <f t="shared" si="38"/>
        <v>1.7448995858145401E-5</v>
      </c>
      <c r="AH309" s="181"/>
      <c r="AI309" s="181"/>
      <c r="AJ309" s="182"/>
    </row>
    <row r="310" spans="9:36" x14ac:dyDescent="0.25">
      <c r="I310" s="126"/>
      <c r="J310" s="127"/>
      <c r="K310" s="127"/>
      <c r="M310" s="34"/>
      <c r="R310" s="61">
        <v>832.54307892559405</v>
      </c>
      <c r="S310" s="58">
        <v>1.74489958581454E-7</v>
      </c>
      <c r="U310" s="172"/>
      <c r="V310" s="172"/>
      <c r="W310" s="173"/>
      <c r="X310" s="173"/>
      <c r="Y310" s="185"/>
      <c r="AA310" s="143"/>
      <c r="AB310" s="144"/>
      <c r="AC310" s="144"/>
      <c r="AD310" s="144"/>
      <c r="AE310" s="145">
        <f t="shared" si="37"/>
        <v>70.269307892559397</v>
      </c>
      <c r="AF310" s="145">
        <f t="shared" si="38"/>
        <v>1.7448995858145401E-5</v>
      </c>
      <c r="AH310" s="181"/>
      <c r="AI310" s="181"/>
      <c r="AJ310" s="182"/>
    </row>
    <row r="311" spans="9:36" x14ac:dyDescent="0.25">
      <c r="I311" s="126"/>
      <c r="J311" s="127"/>
      <c r="K311" s="127"/>
      <c r="M311" s="34"/>
      <c r="R311" s="61">
        <v>832.54307892559405</v>
      </c>
      <c r="S311" s="58">
        <v>1.3784648804327984E-7</v>
      </c>
      <c r="U311" s="172"/>
      <c r="V311" s="172"/>
      <c r="W311" s="173"/>
      <c r="X311" s="173"/>
      <c r="Y311" s="185"/>
      <c r="AA311" s="143"/>
      <c r="AB311" s="144"/>
      <c r="AC311" s="144"/>
      <c r="AD311" s="144"/>
      <c r="AE311" s="145">
        <f t="shared" si="37"/>
        <v>70.269307892559397</v>
      </c>
      <c r="AF311" s="145">
        <f t="shared" si="38"/>
        <v>1.3784648804327984E-5</v>
      </c>
      <c r="AH311" s="181"/>
      <c r="AI311" s="181"/>
      <c r="AJ311" s="182"/>
    </row>
    <row r="312" spans="9:36" x14ac:dyDescent="0.25">
      <c r="I312" s="126"/>
      <c r="J312" s="127"/>
      <c r="K312" s="127"/>
      <c r="M312" s="33"/>
      <c r="R312" s="61">
        <v>835.91034645931211</v>
      </c>
      <c r="S312" s="58">
        <v>1.3784648804327984E-7</v>
      </c>
      <c r="U312" s="172"/>
      <c r="V312" s="172"/>
      <c r="W312" s="173"/>
      <c r="X312" s="173"/>
      <c r="Y312" s="185"/>
      <c r="AA312" s="143"/>
      <c r="AB312" s="144"/>
      <c r="AC312" s="144"/>
      <c r="AD312" s="144"/>
      <c r="AE312" s="145">
        <f t="shared" si="37"/>
        <v>70.606034645931203</v>
      </c>
      <c r="AF312" s="145">
        <f t="shared" si="38"/>
        <v>1.3784648804327984E-5</v>
      </c>
      <c r="AH312" s="181"/>
      <c r="AI312" s="181"/>
      <c r="AJ312" s="182"/>
    </row>
    <row r="313" spans="9:36" x14ac:dyDescent="0.25">
      <c r="I313" s="126"/>
      <c r="J313" s="127"/>
      <c r="K313" s="127"/>
      <c r="M313" s="34"/>
      <c r="R313" s="61">
        <v>835.91034645931211</v>
      </c>
      <c r="S313" s="58">
        <v>1.0141525327054418E-7</v>
      </c>
      <c r="U313" s="172"/>
      <c r="V313" s="172"/>
      <c r="W313" s="173"/>
      <c r="X313" s="173"/>
      <c r="Y313" s="185"/>
      <c r="AA313" s="143"/>
      <c r="AB313" s="144"/>
      <c r="AC313" s="144"/>
      <c r="AD313" s="144"/>
      <c r="AE313" s="145">
        <f t="shared" si="37"/>
        <v>70.606034645931203</v>
      </c>
      <c r="AF313" s="145">
        <f t="shared" si="38"/>
        <v>1.0141525327054418E-5</v>
      </c>
      <c r="AH313" s="181"/>
      <c r="AI313" s="181"/>
      <c r="AJ313" s="182"/>
    </row>
    <row r="314" spans="9:36" x14ac:dyDescent="0.25">
      <c r="I314" s="126"/>
      <c r="J314" s="127"/>
      <c r="K314" s="127"/>
      <c r="M314" s="34"/>
      <c r="R314" s="61">
        <v>839.65865587342307</v>
      </c>
      <c r="S314" s="58">
        <v>1.0141525327054418E-7</v>
      </c>
      <c r="U314" s="172"/>
      <c r="V314" s="172"/>
      <c r="W314" s="173"/>
      <c r="X314" s="173"/>
      <c r="Y314" s="185"/>
      <c r="AA314" s="143"/>
      <c r="AB314" s="144"/>
      <c r="AC314" s="144"/>
      <c r="AD314" s="144"/>
      <c r="AE314" s="145">
        <f t="shared" si="37"/>
        <v>70.980865587342308</v>
      </c>
      <c r="AF314" s="145">
        <f t="shared" si="38"/>
        <v>1.0141525327054418E-5</v>
      </c>
      <c r="AH314" s="181"/>
      <c r="AI314" s="181"/>
      <c r="AJ314" s="182"/>
    </row>
    <row r="315" spans="9:36" x14ac:dyDescent="0.25">
      <c r="I315" s="126"/>
      <c r="J315" s="127"/>
      <c r="K315" s="127"/>
      <c r="M315" s="33"/>
      <c r="R315" s="61">
        <v>839.65865587342307</v>
      </c>
      <c r="S315" s="58">
        <v>6.5434824421082048E-8</v>
      </c>
      <c r="U315" s="172"/>
      <c r="V315" s="172"/>
      <c r="W315" s="173"/>
      <c r="X315" s="173"/>
      <c r="Y315" s="185"/>
      <c r="AA315" s="143"/>
      <c r="AB315" s="144"/>
      <c r="AC315" s="144"/>
      <c r="AD315" s="144"/>
      <c r="AE315" s="145">
        <f t="shared" si="37"/>
        <v>70.980865587342308</v>
      </c>
      <c r="AF315" s="145">
        <f t="shared" si="38"/>
        <v>6.5434824421082048E-6</v>
      </c>
      <c r="AH315" s="181"/>
      <c r="AI315" s="181"/>
      <c r="AJ315" s="182"/>
    </row>
    <row r="316" spans="9:36" x14ac:dyDescent="0.25">
      <c r="I316" s="126"/>
      <c r="J316" s="127"/>
      <c r="K316" s="127"/>
      <c r="M316" s="34"/>
      <c r="R316" s="61">
        <v>843.99946110175767</v>
      </c>
      <c r="S316" s="58">
        <v>6.5434824421082048E-8</v>
      </c>
      <c r="U316" s="172"/>
      <c r="V316" s="172"/>
      <c r="W316" s="173"/>
      <c r="X316" s="173"/>
      <c r="Y316" s="185"/>
      <c r="AA316" s="143"/>
      <c r="AB316" s="144"/>
      <c r="AC316" s="144"/>
      <c r="AD316" s="144"/>
      <c r="AE316" s="145">
        <f t="shared" si="37"/>
        <v>71.414946110175762</v>
      </c>
      <c r="AF316" s="145">
        <f t="shared" si="38"/>
        <v>6.5434824421082048E-6</v>
      </c>
      <c r="AH316" s="181"/>
      <c r="AI316" s="181"/>
      <c r="AJ316" s="182"/>
    </row>
    <row r="317" spans="9:36" x14ac:dyDescent="0.25">
      <c r="I317" s="126"/>
      <c r="J317" s="127"/>
      <c r="K317" s="127"/>
      <c r="M317" s="34"/>
      <c r="R317" s="61">
        <v>843.99946110175767</v>
      </c>
      <c r="S317" s="58">
        <v>3.036708201937162E-8</v>
      </c>
      <c r="U317" s="172"/>
      <c r="V317" s="172"/>
      <c r="W317" s="173"/>
      <c r="X317" s="173"/>
      <c r="Y317" s="185"/>
      <c r="AA317" s="143"/>
      <c r="AB317" s="144"/>
      <c r="AC317" s="144"/>
      <c r="AD317" s="144"/>
      <c r="AE317" s="145">
        <f t="shared" si="37"/>
        <v>71.414946110175762</v>
      </c>
      <c r="AF317" s="145">
        <f t="shared" si="38"/>
        <v>3.036708201937162E-6</v>
      </c>
      <c r="AH317" s="181"/>
      <c r="AI317" s="181"/>
      <c r="AJ317" s="182"/>
    </row>
    <row r="318" spans="9:36" x14ac:dyDescent="0.25">
      <c r="I318" s="126"/>
      <c r="J318" s="127"/>
      <c r="K318" s="127"/>
      <c r="M318" s="33"/>
      <c r="R318" s="61">
        <v>849.3335459522026</v>
      </c>
      <c r="S318" s="58">
        <v>3.036708201937162E-8</v>
      </c>
      <c r="U318" s="172"/>
      <c r="V318" s="172"/>
      <c r="W318" s="173"/>
      <c r="X318" s="173"/>
      <c r="Y318" s="185"/>
      <c r="AA318" s="143"/>
      <c r="AB318" s="144"/>
      <c r="AC318" s="144"/>
      <c r="AD318" s="144"/>
      <c r="AE318" s="145">
        <f t="shared" si="37"/>
        <v>71.948354595220252</v>
      </c>
      <c r="AF318" s="145">
        <f t="shared" si="38"/>
        <v>3.036708201937162E-6</v>
      </c>
      <c r="AH318" s="181"/>
      <c r="AI318" s="181"/>
      <c r="AJ318" s="182"/>
    </row>
    <row r="319" spans="9:36" x14ac:dyDescent="0.25">
      <c r="I319" s="126"/>
      <c r="J319" s="127"/>
      <c r="K319" s="127"/>
      <c r="M319" s="34"/>
      <c r="R319" s="61">
        <v>849.3335459522026</v>
      </c>
      <c r="S319" s="58">
        <v>-2.8614547224303185E-9</v>
      </c>
      <c r="U319" s="172"/>
      <c r="V319" s="172"/>
      <c r="W319" s="173"/>
      <c r="X319" s="173"/>
      <c r="Y319" s="185"/>
      <c r="AA319" s="143"/>
      <c r="AB319" s="144"/>
      <c r="AC319" s="144"/>
      <c r="AD319" s="144"/>
      <c r="AE319" s="145">
        <f t="shared" si="37"/>
        <v>71.948354595220252</v>
      </c>
      <c r="AF319" s="145">
        <f t="shared" si="38"/>
        <v>-2.8614547224303185E-7</v>
      </c>
      <c r="AH319" s="181"/>
      <c r="AI319" s="181"/>
      <c r="AJ319" s="182"/>
    </row>
    <row r="320" spans="9:36" x14ac:dyDescent="0.25">
      <c r="I320" s="126"/>
      <c r="J320" s="127"/>
      <c r="K320" s="127"/>
      <c r="M320" s="34"/>
      <c r="R320" s="61">
        <v>856.61389484898075</v>
      </c>
      <c r="S320" s="58">
        <v>-2.8614547224303185E-9</v>
      </c>
      <c r="U320" s="172"/>
      <c r="V320" s="172"/>
      <c r="W320" s="173"/>
      <c r="X320" s="173"/>
      <c r="Y320" s="185"/>
      <c r="AA320" s="143"/>
      <c r="AB320" s="144"/>
      <c r="AC320" s="144"/>
      <c r="AD320" s="144"/>
      <c r="AE320" s="145">
        <f t="shared" si="37"/>
        <v>72.676389484898067</v>
      </c>
      <c r="AF320" s="145">
        <f t="shared" si="38"/>
        <v>-2.8614547224303185E-7</v>
      </c>
      <c r="AH320" s="181"/>
      <c r="AI320" s="181"/>
      <c r="AJ320" s="182"/>
    </row>
    <row r="321" spans="9:36" x14ac:dyDescent="0.25">
      <c r="I321" s="126"/>
      <c r="J321" s="127"/>
      <c r="K321" s="127"/>
      <c r="M321" s="33"/>
      <c r="R321" s="61">
        <v>856.61389484898075</v>
      </c>
      <c r="S321" s="58">
        <v>-3.2226899220653081E-8</v>
      </c>
      <c r="U321" s="172"/>
      <c r="V321" s="172"/>
      <c r="W321" s="173"/>
      <c r="X321" s="173"/>
      <c r="Y321" s="185"/>
      <c r="AA321" s="143"/>
      <c r="AB321" s="144"/>
      <c r="AC321" s="144"/>
      <c r="AD321" s="144"/>
      <c r="AE321" s="145">
        <f t="shared" si="37"/>
        <v>72.676389484898067</v>
      </c>
      <c r="AF321" s="145">
        <f t="shared" si="38"/>
        <v>-3.2226899220653081E-6</v>
      </c>
      <c r="AH321" s="181"/>
      <c r="AI321" s="181"/>
      <c r="AJ321" s="182"/>
    </row>
    <row r="322" spans="9:36" x14ac:dyDescent="0.25">
      <c r="I322" s="126"/>
      <c r="J322" s="127"/>
      <c r="K322" s="127"/>
      <c r="M322" s="34"/>
      <c r="R322" s="61">
        <v>869.69677847403034</v>
      </c>
      <c r="S322" s="58">
        <v>-3.2226899220653081E-8</v>
      </c>
      <c r="U322" s="172"/>
      <c r="V322" s="172"/>
      <c r="W322" s="173"/>
      <c r="X322" s="173"/>
      <c r="Y322" s="185"/>
      <c r="AA322" s="143"/>
      <c r="AB322" s="144"/>
      <c r="AC322" s="144"/>
      <c r="AD322" s="144"/>
      <c r="AE322" s="145">
        <f t="shared" si="37"/>
        <v>73.984677847403034</v>
      </c>
      <c r="AF322" s="145">
        <f t="shared" si="38"/>
        <v>-3.2226899220653081E-6</v>
      </c>
      <c r="AH322" s="181"/>
      <c r="AI322" s="181"/>
      <c r="AJ322" s="182"/>
    </row>
    <row r="323" spans="9:36" x14ac:dyDescent="0.25">
      <c r="I323" s="126"/>
      <c r="J323" s="127"/>
      <c r="K323" s="127"/>
      <c r="M323" s="34"/>
      <c r="R323" s="61">
        <v>869.69677847403034</v>
      </c>
      <c r="S323" s="58">
        <v>-5.2525825245006295E-8</v>
      </c>
      <c r="U323" s="172"/>
      <c r="V323" s="172"/>
      <c r="W323" s="173"/>
      <c r="X323" s="173"/>
      <c r="Y323" s="185"/>
      <c r="AA323" s="143"/>
      <c r="AB323" s="144"/>
      <c r="AC323" s="144"/>
      <c r="AD323" s="144"/>
      <c r="AE323" s="145">
        <f t="shared" ref="AE323:AE386" si="40">(R323-129.85)/10</f>
        <v>73.984677847403034</v>
      </c>
      <c r="AF323" s="145">
        <f t="shared" ref="AF323:AF386" si="41">S323*100</f>
        <v>-5.2525825245006295E-6</v>
      </c>
      <c r="AH323" s="181"/>
      <c r="AI323" s="181"/>
      <c r="AJ323" s="182"/>
    </row>
    <row r="324" spans="9:36" x14ac:dyDescent="0.25">
      <c r="I324" s="126"/>
      <c r="J324" s="127"/>
      <c r="K324" s="127"/>
      <c r="M324" s="33"/>
      <c r="R324" s="61">
        <v>887.26614924390401</v>
      </c>
      <c r="S324" s="58">
        <v>-5.2525825245006295E-8</v>
      </c>
      <c r="U324" s="172"/>
      <c r="V324" s="172"/>
      <c r="W324" s="173"/>
      <c r="X324" s="173"/>
      <c r="Y324" s="185"/>
      <c r="AA324" s="143"/>
      <c r="AB324" s="144"/>
      <c r="AC324" s="144"/>
      <c r="AD324" s="144"/>
      <c r="AE324" s="145">
        <f t="shared" si="40"/>
        <v>75.741614924390404</v>
      </c>
      <c r="AF324" s="145">
        <f t="shared" si="41"/>
        <v>-5.2525825245006295E-6</v>
      </c>
      <c r="AH324" s="181"/>
      <c r="AI324" s="181"/>
      <c r="AJ324" s="182"/>
    </row>
    <row r="325" spans="9:36" x14ac:dyDescent="0.25">
      <c r="I325" s="126"/>
      <c r="J325" s="127"/>
      <c r="K325" s="127"/>
      <c r="M325" s="34"/>
      <c r="R325" s="61">
        <v>887.26614924390401</v>
      </c>
      <c r="S325" s="58">
        <v>-5.5330598385236466E-8</v>
      </c>
      <c r="U325" s="172"/>
      <c r="V325" s="172"/>
      <c r="W325" s="173"/>
      <c r="X325" s="173"/>
      <c r="Y325" s="185"/>
      <c r="AA325" s="143"/>
      <c r="AB325" s="144"/>
      <c r="AC325" s="144"/>
      <c r="AD325" s="144"/>
      <c r="AE325" s="145">
        <f t="shared" si="40"/>
        <v>75.741614924390404</v>
      </c>
      <c r="AF325" s="145">
        <f t="shared" si="41"/>
        <v>-5.5330598385236466E-6</v>
      </c>
      <c r="AH325" s="181"/>
      <c r="AI325" s="181"/>
      <c r="AJ325" s="182"/>
    </row>
    <row r="326" spans="9:36" x14ac:dyDescent="0.25">
      <c r="I326" s="126"/>
      <c r="J326" s="127"/>
      <c r="K326" s="127"/>
      <c r="M326" s="34"/>
      <c r="R326" s="61">
        <v>987.9839936843872</v>
      </c>
      <c r="S326" s="58">
        <v>-5.5330598385236466E-8</v>
      </c>
      <c r="U326" s="172"/>
      <c r="V326" s="172"/>
      <c r="W326" s="173"/>
      <c r="X326" s="173"/>
      <c r="Y326" s="185"/>
      <c r="AA326" s="143"/>
      <c r="AB326" s="144"/>
      <c r="AC326" s="144"/>
      <c r="AD326" s="144"/>
      <c r="AE326" s="145">
        <f t="shared" si="40"/>
        <v>85.813399368438724</v>
      </c>
      <c r="AF326" s="145">
        <f t="shared" si="41"/>
        <v>-5.5330598385236466E-6</v>
      </c>
      <c r="AH326" s="181"/>
      <c r="AI326" s="181"/>
      <c r="AJ326" s="182"/>
    </row>
    <row r="327" spans="9:36" x14ac:dyDescent="0.25">
      <c r="I327" s="126"/>
      <c r="J327" s="127"/>
      <c r="K327" s="127"/>
      <c r="M327" s="33"/>
      <c r="R327" s="61">
        <v>987.9839936843872</v>
      </c>
      <c r="S327" s="58">
        <v>-5.2526440831834752E-8</v>
      </c>
      <c r="U327" s="172"/>
      <c r="V327" s="172"/>
      <c r="W327" s="173"/>
      <c r="X327" s="173"/>
      <c r="Y327" s="185"/>
      <c r="AA327" s="143"/>
      <c r="AB327" s="144"/>
      <c r="AC327" s="144"/>
      <c r="AD327" s="144"/>
      <c r="AE327" s="145">
        <f t="shared" si="40"/>
        <v>85.813399368438724</v>
      </c>
      <c r="AF327" s="145">
        <f t="shared" si="41"/>
        <v>-5.2526440831834752E-6</v>
      </c>
      <c r="AH327" s="181"/>
      <c r="AI327" s="181"/>
      <c r="AJ327" s="182"/>
    </row>
    <row r="328" spans="9:36" x14ac:dyDescent="0.25">
      <c r="I328" s="126"/>
      <c r="J328" s="127"/>
      <c r="K328" s="127"/>
      <c r="M328" s="34"/>
      <c r="R328" s="61">
        <v>1005.5533644542609</v>
      </c>
      <c r="S328" s="58">
        <v>-5.2526440831834752E-8</v>
      </c>
      <c r="U328" s="172"/>
      <c r="V328" s="172"/>
      <c r="W328" s="173"/>
      <c r="X328" s="173"/>
      <c r="Y328" s="185"/>
      <c r="AA328" s="143"/>
      <c r="AB328" s="144"/>
      <c r="AC328" s="144"/>
      <c r="AD328" s="144"/>
      <c r="AE328" s="145">
        <f t="shared" si="40"/>
        <v>87.570336445426079</v>
      </c>
      <c r="AF328" s="145">
        <f t="shared" si="41"/>
        <v>-5.2526440831834752E-6</v>
      </c>
      <c r="AH328" s="181"/>
      <c r="AI328" s="181"/>
      <c r="AJ328" s="182"/>
    </row>
    <row r="329" spans="9:36" x14ac:dyDescent="0.25">
      <c r="I329" s="126"/>
      <c r="J329" s="127"/>
      <c r="K329" s="127"/>
      <c r="M329" s="34"/>
      <c r="R329" s="61">
        <v>1005.5533644542609</v>
      </c>
      <c r="S329" s="58">
        <v>-3.2228958948142102E-8</v>
      </c>
      <c r="U329" s="172"/>
      <c r="V329" s="172"/>
      <c r="W329" s="173"/>
      <c r="X329" s="173"/>
      <c r="Y329" s="185"/>
      <c r="AA329" s="143"/>
      <c r="AB329" s="144"/>
      <c r="AC329" s="144"/>
      <c r="AD329" s="144"/>
      <c r="AE329" s="145">
        <f t="shared" si="40"/>
        <v>87.570336445426079</v>
      </c>
      <c r="AF329" s="145">
        <f t="shared" si="41"/>
        <v>-3.2228958948142102E-6</v>
      </c>
      <c r="AH329" s="181"/>
      <c r="AI329" s="181"/>
      <c r="AJ329" s="182"/>
    </row>
    <row r="330" spans="9:36" x14ac:dyDescent="0.25">
      <c r="I330" s="49"/>
      <c r="J330" s="49"/>
      <c r="K330" s="49"/>
      <c r="M330" s="36"/>
      <c r="R330" s="61">
        <v>1018.6362480793105</v>
      </c>
      <c r="S330" s="58">
        <v>-3.2228958948142102E-8</v>
      </c>
      <c r="U330" s="172"/>
      <c r="V330" s="172"/>
      <c r="W330" s="173"/>
      <c r="X330" s="173"/>
      <c r="Y330" s="185"/>
      <c r="AA330" s="143"/>
      <c r="AB330" s="144"/>
      <c r="AC330" s="144"/>
      <c r="AD330" s="144"/>
      <c r="AE330" s="145">
        <f t="shared" si="40"/>
        <v>88.878624807931047</v>
      </c>
      <c r="AF330" s="145">
        <f t="shared" si="41"/>
        <v>-3.2228958948142102E-6</v>
      </c>
      <c r="AH330" s="181"/>
      <c r="AI330" s="181"/>
      <c r="AJ330" s="182"/>
    </row>
    <row r="331" spans="9:36" x14ac:dyDescent="0.25">
      <c r="I331" s="49"/>
      <c r="J331" s="49"/>
      <c r="K331" s="49"/>
      <c r="M331" s="34"/>
      <c r="R331" s="61">
        <v>1018.6362480793105</v>
      </c>
      <c r="S331" s="58">
        <v>-2.8660335278043691E-9</v>
      </c>
      <c r="U331" s="172"/>
      <c r="V331" s="172"/>
      <c r="W331" s="173"/>
      <c r="X331" s="173"/>
      <c r="Y331" s="185"/>
      <c r="AA331" s="143"/>
      <c r="AB331" s="144"/>
      <c r="AC331" s="144"/>
      <c r="AD331" s="144"/>
      <c r="AE331" s="145">
        <f t="shared" si="40"/>
        <v>88.878624807931047</v>
      </c>
      <c r="AF331" s="145">
        <f t="shared" si="41"/>
        <v>-2.8660335278043691E-7</v>
      </c>
      <c r="AH331" s="181"/>
      <c r="AI331" s="181"/>
      <c r="AJ331" s="182"/>
    </row>
    <row r="332" spans="9:36" x14ac:dyDescent="0.25">
      <c r="I332" s="49"/>
      <c r="J332" s="49"/>
      <c r="K332" s="49"/>
      <c r="M332" s="34"/>
      <c r="R332" s="61">
        <v>1025.9165969760886</v>
      </c>
      <c r="S332" s="58">
        <v>-2.8660335278043691E-9</v>
      </c>
      <c r="U332" s="172"/>
      <c r="V332" s="172"/>
      <c r="W332" s="173"/>
      <c r="X332" s="173"/>
      <c r="Y332" s="185"/>
      <c r="AA332" s="143"/>
      <c r="AB332" s="144"/>
      <c r="AC332" s="144"/>
      <c r="AD332" s="144"/>
      <c r="AE332" s="145">
        <f t="shared" si="40"/>
        <v>89.606659697608862</v>
      </c>
      <c r="AF332" s="145">
        <f t="shared" si="41"/>
        <v>-2.8660335278043691E-7</v>
      </c>
      <c r="AH332" s="181"/>
      <c r="AI332" s="181"/>
      <c r="AJ332" s="182"/>
    </row>
    <row r="333" spans="9:36" x14ac:dyDescent="0.25">
      <c r="I333" s="49"/>
      <c r="J333" s="49"/>
      <c r="K333" s="49"/>
      <c r="M333" s="33"/>
      <c r="R333" s="61">
        <v>1025.9165969760886</v>
      </c>
      <c r="S333" s="58">
        <v>3.035948245842179E-8</v>
      </c>
      <c r="U333" s="172"/>
      <c r="V333" s="172"/>
      <c r="W333" s="173"/>
      <c r="X333" s="173"/>
      <c r="Y333" s="185"/>
      <c r="AA333" s="143"/>
      <c r="AB333" s="144"/>
      <c r="AC333" s="144"/>
      <c r="AD333" s="144"/>
      <c r="AE333" s="145">
        <f t="shared" si="40"/>
        <v>89.606659697608862</v>
      </c>
      <c r="AF333" s="145">
        <f t="shared" si="41"/>
        <v>3.035948245842179E-6</v>
      </c>
      <c r="AH333" s="181"/>
      <c r="AI333" s="181"/>
      <c r="AJ333" s="182"/>
    </row>
    <row r="334" spans="9:36" x14ac:dyDescent="0.25">
      <c r="I334" s="49"/>
      <c r="J334" s="49"/>
      <c r="K334" s="49"/>
      <c r="M334" s="34"/>
      <c r="R334" s="61">
        <v>1031.2506818265335</v>
      </c>
      <c r="S334" s="58">
        <v>3.035948245842179E-8</v>
      </c>
      <c r="U334" s="172"/>
      <c r="V334" s="172"/>
      <c r="W334" s="173"/>
      <c r="X334" s="173"/>
      <c r="Y334" s="185"/>
      <c r="AA334" s="143"/>
      <c r="AB334" s="144"/>
      <c r="AC334" s="144"/>
      <c r="AD334" s="144"/>
      <c r="AE334" s="145">
        <f t="shared" si="40"/>
        <v>90.140068182653351</v>
      </c>
      <c r="AF334" s="145">
        <f t="shared" si="41"/>
        <v>3.035948245842179E-6</v>
      </c>
      <c r="AH334" s="181"/>
      <c r="AI334" s="181"/>
      <c r="AJ334" s="182"/>
    </row>
    <row r="335" spans="9:36" x14ac:dyDescent="0.25">
      <c r="I335" s="49"/>
      <c r="J335" s="49"/>
      <c r="K335" s="49"/>
      <c r="M335" s="34"/>
      <c r="R335" s="61">
        <v>1031.2506818265335</v>
      </c>
      <c r="S335" s="58">
        <v>6.5423539982212404E-8</v>
      </c>
      <c r="U335" s="172"/>
      <c r="V335" s="173"/>
      <c r="W335" s="173"/>
      <c r="X335" s="173"/>
      <c r="Y335" s="185"/>
      <c r="AA335" s="78"/>
      <c r="AC335" s="82"/>
      <c r="AE335" s="145">
        <f t="shared" si="40"/>
        <v>90.140068182653351</v>
      </c>
      <c r="AF335" s="145">
        <f t="shared" si="41"/>
        <v>6.5423539982212404E-6</v>
      </c>
      <c r="AH335" s="181"/>
      <c r="AI335" s="181"/>
      <c r="AJ335" s="182"/>
    </row>
    <row r="336" spans="9:36" x14ac:dyDescent="0.25">
      <c r="I336" s="49"/>
      <c r="J336" s="49"/>
      <c r="K336" s="49"/>
      <c r="M336" s="33"/>
      <c r="R336" s="61">
        <v>1035.5914870548681</v>
      </c>
      <c r="S336" s="58">
        <v>6.5423539982212404E-8</v>
      </c>
      <c r="V336" s="173"/>
      <c r="W336" s="173"/>
      <c r="X336" s="173"/>
      <c r="Y336" s="185"/>
      <c r="AA336" s="78"/>
      <c r="AC336" s="79"/>
      <c r="AE336" s="145">
        <f t="shared" si="40"/>
        <v>90.574148705486806</v>
      </c>
      <c r="AF336" s="145">
        <f t="shared" si="41"/>
        <v>6.5423539982212404E-6</v>
      </c>
      <c r="AH336" s="181"/>
      <c r="AI336" s="181"/>
      <c r="AJ336" s="182"/>
    </row>
    <row r="337" spans="9:35" x14ac:dyDescent="0.25">
      <c r="I337" s="49"/>
      <c r="J337" s="49"/>
      <c r="K337" s="49"/>
      <c r="M337" s="34"/>
      <c r="R337" s="61">
        <v>1035.5914870548681</v>
      </c>
      <c r="S337" s="58">
        <v>1.0139949588032046E-7</v>
      </c>
      <c r="V337" s="173"/>
      <c r="W337" s="173"/>
      <c r="X337" s="173"/>
      <c r="Y337" s="185"/>
      <c r="AA337" s="78"/>
      <c r="AC337" s="82"/>
      <c r="AE337" s="145">
        <f t="shared" si="40"/>
        <v>90.574148705486806</v>
      </c>
      <c r="AF337" s="145">
        <f t="shared" si="41"/>
        <v>1.0139949588032046E-5</v>
      </c>
      <c r="AH337" s="181"/>
      <c r="AI337" s="181"/>
    </row>
    <row r="338" spans="9:35" x14ac:dyDescent="0.25">
      <c r="I338" s="49"/>
      <c r="J338" s="49"/>
      <c r="K338" s="49"/>
      <c r="M338" s="34"/>
      <c r="R338" s="61">
        <v>1039.3397964689791</v>
      </c>
      <c r="S338" s="58">
        <v>1.0139949588032046E-7</v>
      </c>
      <c r="V338" s="173"/>
      <c r="W338" s="173"/>
      <c r="X338" s="173"/>
      <c r="Y338" s="185"/>
      <c r="AA338" s="78"/>
      <c r="AC338" s="82"/>
      <c r="AE338" s="145">
        <f t="shared" si="40"/>
        <v>90.948979646897911</v>
      </c>
      <c r="AF338" s="145">
        <f t="shared" si="41"/>
        <v>1.0139949588032046E-5</v>
      </c>
    </row>
    <row r="339" spans="9:35" x14ac:dyDescent="0.25">
      <c r="I339" s="49"/>
      <c r="J339" s="49"/>
      <c r="K339" s="49"/>
      <c r="M339" s="33"/>
      <c r="R339" s="61">
        <v>1039.3397964689791</v>
      </c>
      <c r="S339" s="58">
        <v>1.3782532704055663E-7</v>
      </c>
      <c r="V339" s="173"/>
      <c r="W339" s="173"/>
      <c r="X339" s="173"/>
      <c r="Y339" s="185"/>
      <c r="AA339" s="78"/>
      <c r="AC339" s="79"/>
      <c r="AE339" s="145">
        <f t="shared" si="40"/>
        <v>90.948979646897911</v>
      </c>
      <c r="AF339" s="145">
        <f t="shared" si="41"/>
        <v>1.3782532704055663E-5</v>
      </c>
    </row>
    <row r="340" spans="9:35" x14ac:dyDescent="0.25">
      <c r="I340" s="49"/>
      <c r="J340" s="49"/>
      <c r="K340" s="49"/>
      <c r="M340" s="34"/>
      <c r="R340" s="61">
        <v>1042.7070640026971</v>
      </c>
      <c r="S340" s="58">
        <v>1.3782532704055663E-7</v>
      </c>
      <c r="V340" s="173"/>
      <c r="W340" s="173"/>
      <c r="X340" s="173"/>
      <c r="Y340" s="185"/>
      <c r="AA340" s="78"/>
      <c r="AC340" s="82"/>
      <c r="AE340" s="145">
        <f t="shared" si="40"/>
        <v>91.285706400269703</v>
      </c>
      <c r="AF340" s="145">
        <f t="shared" si="41"/>
        <v>1.3782532704055663E-5</v>
      </c>
    </row>
    <row r="341" spans="9:35" x14ac:dyDescent="0.25">
      <c r="I341" s="49"/>
      <c r="J341" s="49"/>
      <c r="K341" s="49"/>
      <c r="M341" s="34"/>
      <c r="R341" s="61">
        <v>1042.7070640026971</v>
      </c>
      <c r="S341" s="58">
        <v>1.7446228624365133E-7</v>
      </c>
      <c r="V341" s="173"/>
      <c r="W341" s="173"/>
      <c r="X341" s="173"/>
      <c r="Y341" s="185"/>
      <c r="AA341" s="78"/>
      <c r="AC341" s="82"/>
      <c r="AE341" s="145">
        <f t="shared" si="40"/>
        <v>91.285706400269703</v>
      </c>
      <c r="AF341" s="145">
        <f t="shared" si="41"/>
        <v>1.7446228624365132E-5</v>
      </c>
    </row>
    <row r="342" spans="9:35" x14ac:dyDescent="0.25">
      <c r="I342" s="49"/>
      <c r="J342" s="49"/>
      <c r="K342" s="49"/>
      <c r="M342" s="33"/>
      <c r="R342" s="61">
        <v>1045.8217877342108</v>
      </c>
      <c r="S342" s="58">
        <v>1.7446228624365133E-7</v>
      </c>
      <c r="V342" s="173"/>
      <c r="W342" s="173"/>
      <c r="X342" s="173"/>
      <c r="Y342" s="185"/>
      <c r="AA342" s="78"/>
      <c r="AC342" s="79"/>
      <c r="AE342" s="145">
        <f t="shared" si="40"/>
        <v>91.597178773421078</v>
      </c>
      <c r="AF342" s="145">
        <f t="shared" si="41"/>
        <v>1.7446228624365132E-5</v>
      </c>
    </row>
    <row r="343" spans="9:35" x14ac:dyDescent="0.25">
      <c r="I343" s="49"/>
      <c r="J343" s="49"/>
      <c r="K343" s="49"/>
      <c r="M343" s="34"/>
      <c r="R343" s="61">
        <v>1045.8217877342108</v>
      </c>
      <c r="S343" s="58">
        <v>2.1118788980725119E-7</v>
      </c>
      <c r="V343" s="173"/>
      <c r="W343" s="173"/>
      <c r="X343" s="173"/>
      <c r="Y343" s="185"/>
      <c r="AA343" s="78"/>
      <c r="AC343" s="82"/>
      <c r="AE343" s="145">
        <f t="shared" si="40"/>
        <v>91.597178773421078</v>
      </c>
      <c r="AF343" s="145">
        <f t="shared" si="41"/>
        <v>2.111878898072512E-5</v>
      </c>
    </row>
    <row r="344" spans="9:35" x14ac:dyDescent="0.25">
      <c r="I344" s="49"/>
      <c r="J344" s="49"/>
      <c r="K344" s="49"/>
      <c r="M344" s="34"/>
      <c r="R344" s="61">
        <v>1048.7709284881712</v>
      </c>
      <c r="S344" s="58">
        <v>2.1118788980725119E-7</v>
      </c>
      <c r="V344" s="173"/>
      <c r="W344" s="173"/>
      <c r="X344" s="173"/>
      <c r="Y344" s="185"/>
      <c r="AA344" s="78"/>
      <c r="AC344" s="82"/>
      <c r="AE344" s="145">
        <f t="shared" si="40"/>
        <v>91.892092848817114</v>
      </c>
      <c r="AF344" s="145">
        <f t="shared" si="41"/>
        <v>2.111878898072512E-5</v>
      </c>
    </row>
    <row r="345" spans="9:35" x14ac:dyDescent="0.25">
      <c r="I345" s="49"/>
      <c r="J345" s="49"/>
      <c r="K345" s="49"/>
      <c r="M345" s="33"/>
      <c r="R345" s="61">
        <v>1048.7709284881712</v>
      </c>
      <c r="S345" s="58">
        <v>2.479430316851655E-7</v>
      </c>
      <c r="V345" s="173"/>
      <c r="W345" s="173"/>
      <c r="X345" s="173"/>
      <c r="Y345" s="185"/>
      <c r="AA345" s="78"/>
      <c r="AC345" s="79"/>
      <c r="AE345" s="145">
        <f t="shared" si="40"/>
        <v>91.892092848817114</v>
      </c>
      <c r="AF345" s="145">
        <f t="shared" si="41"/>
        <v>2.479430316851655E-5</v>
      </c>
    </row>
    <row r="346" spans="9:35" x14ac:dyDescent="0.25">
      <c r="I346" s="49"/>
      <c r="J346" s="49"/>
      <c r="K346" s="49"/>
      <c r="M346" s="34"/>
      <c r="R346" s="61">
        <v>1051.6192348461664</v>
      </c>
      <c r="S346" s="58">
        <v>2.479430316851655E-7</v>
      </c>
      <c r="V346" s="173"/>
      <c r="W346" s="173"/>
      <c r="X346" s="173"/>
      <c r="Y346" s="185"/>
      <c r="AA346" s="78"/>
      <c r="AC346" s="82"/>
      <c r="AE346" s="145">
        <f t="shared" si="40"/>
        <v>92.176923484616637</v>
      </c>
      <c r="AF346" s="145">
        <f t="shared" si="41"/>
        <v>2.479430316851655E-5</v>
      </c>
    </row>
    <row r="347" spans="9:35" x14ac:dyDescent="0.25">
      <c r="I347" s="49"/>
      <c r="J347" s="49"/>
      <c r="K347" s="49"/>
      <c r="M347" s="34"/>
      <c r="R347" s="61">
        <v>1051.6192348461664</v>
      </c>
      <c r="S347" s="58">
        <v>2.8470334167812309E-7</v>
      </c>
      <c r="V347" s="173"/>
      <c r="W347" s="173"/>
      <c r="X347" s="173"/>
      <c r="Y347" s="185"/>
      <c r="AA347" s="78"/>
      <c r="AC347" s="82"/>
      <c r="AE347" s="145">
        <f t="shared" si="40"/>
        <v>92.176923484616637</v>
      </c>
      <c r="AF347" s="145">
        <f t="shared" si="41"/>
        <v>2.8470334167812308E-5</v>
      </c>
    </row>
    <row r="348" spans="9:35" x14ac:dyDescent="0.25">
      <c r="I348" s="49"/>
      <c r="J348" s="49"/>
      <c r="K348" s="49"/>
      <c r="M348" s="33"/>
      <c r="R348" s="61">
        <v>1054.4196944814732</v>
      </c>
      <c r="S348" s="58">
        <v>2.8470334167812309E-7</v>
      </c>
      <c r="V348" s="173"/>
      <c r="W348" s="173"/>
      <c r="X348" s="173"/>
      <c r="Y348" s="185"/>
      <c r="AA348" s="78"/>
      <c r="AC348" s="79"/>
      <c r="AE348" s="145">
        <f t="shared" si="40"/>
        <v>92.456969448147319</v>
      </c>
      <c r="AF348" s="145">
        <f t="shared" si="41"/>
        <v>2.8470334167812308E-5</v>
      </c>
    </row>
    <row r="349" spans="9:35" x14ac:dyDescent="0.25">
      <c r="I349" s="49"/>
      <c r="J349" s="49"/>
      <c r="K349" s="49"/>
      <c r="M349" s="34"/>
      <c r="R349" s="61">
        <v>1054.4196944814732</v>
      </c>
      <c r="S349" s="58">
        <v>3.2176950389284351E-7</v>
      </c>
      <c r="V349" s="173"/>
      <c r="W349" s="173"/>
      <c r="X349" s="173"/>
      <c r="Y349" s="185"/>
      <c r="AA349" s="78"/>
      <c r="AC349" s="82"/>
      <c r="AE349" s="145">
        <f t="shared" si="40"/>
        <v>92.456969448147319</v>
      </c>
      <c r="AF349" s="145">
        <f t="shared" si="41"/>
        <v>3.2176950389284352E-5</v>
      </c>
    </row>
    <row r="350" spans="9:35" x14ac:dyDescent="0.25">
      <c r="I350" s="49"/>
      <c r="J350" s="49"/>
      <c r="K350" s="49"/>
      <c r="M350" s="34"/>
      <c r="R350" s="61">
        <v>1057.2552340135626</v>
      </c>
      <c r="S350" s="58">
        <v>3.2176950389284351E-7</v>
      </c>
      <c r="V350" s="173"/>
      <c r="W350" s="173"/>
      <c r="X350" s="173"/>
      <c r="Y350" s="185"/>
      <c r="AA350" s="78"/>
      <c r="AC350" s="82"/>
      <c r="AE350" s="145">
        <f t="shared" si="40"/>
        <v>92.740523401356256</v>
      </c>
      <c r="AF350" s="145">
        <f t="shared" si="41"/>
        <v>3.2176950389284352E-5</v>
      </c>
    </row>
    <row r="351" spans="9:35" x14ac:dyDescent="0.25">
      <c r="I351" s="49"/>
      <c r="J351" s="49"/>
      <c r="K351" s="49"/>
      <c r="M351" s="33"/>
      <c r="R351" s="61">
        <v>1057.2552340135626</v>
      </c>
      <c r="S351" s="58">
        <v>3.7703209784252167E-7</v>
      </c>
      <c r="V351" s="173"/>
      <c r="W351" s="173"/>
      <c r="X351" s="173"/>
      <c r="Y351" s="185"/>
      <c r="AA351" s="78"/>
      <c r="AC351" s="79"/>
      <c r="AE351" s="145">
        <f t="shared" si="40"/>
        <v>92.740523401356256</v>
      </c>
      <c r="AF351" s="145">
        <f t="shared" si="41"/>
        <v>3.7703209784252166E-5</v>
      </c>
    </row>
    <row r="352" spans="9:35" x14ac:dyDescent="0.25">
      <c r="I352" s="49"/>
      <c r="J352" s="49"/>
      <c r="K352" s="49"/>
      <c r="M352" s="34"/>
      <c r="R352" s="61">
        <v>1062.9263130777415</v>
      </c>
      <c r="S352" s="58">
        <v>3.7703209784252167E-7</v>
      </c>
      <c r="V352" s="173"/>
      <c r="W352" s="173"/>
      <c r="X352" s="173"/>
      <c r="Y352" s="185"/>
      <c r="AA352" s="78"/>
      <c r="AC352" s="82"/>
      <c r="AE352" s="145">
        <f t="shared" si="40"/>
        <v>93.307631307774145</v>
      </c>
      <c r="AF352" s="145">
        <f t="shared" si="41"/>
        <v>3.7703209784252166E-5</v>
      </c>
    </row>
    <row r="353" spans="9:32" x14ac:dyDescent="0.25">
      <c r="I353" s="49"/>
      <c r="J353" s="49"/>
      <c r="K353" s="49"/>
      <c r="M353" s="34"/>
      <c r="R353" s="61">
        <v>1062.9263130777415</v>
      </c>
      <c r="S353" s="58">
        <v>4.4609707846548213E-7</v>
      </c>
      <c r="V353" s="173"/>
      <c r="W353" s="173"/>
      <c r="X353" s="173"/>
      <c r="Y353" s="185"/>
      <c r="AA353" s="78"/>
      <c r="AC353" s="82"/>
      <c r="AE353" s="145">
        <f t="shared" si="40"/>
        <v>93.307631307774145</v>
      </c>
      <c r="AF353" s="145">
        <f t="shared" si="41"/>
        <v>4.4609707846548214E-5</v>
      </c>
    </row>
    <row r="354" spans="9:32" x14ac:dyDescent="0.25">
      <c r="I354" s="49"/>
      <c r="J354" s="49"/>
      <c r="K354" s="49"/>
      <c r="M354" s="34"/>
      <c r="R354" s="61">
        <v>1068.5973921419204</v>
      </c>
      <c r="S354" s="58">
        <v>4.4609707846548213E-7</v>
      </c>
      <c r="V354" s="173"/>
      <c r="W354" s="173"/>
      <c r="X354" s="173"/>
      <c r="Y354" s="185"/>
      <c r="AA354" s="78"/>
      <c r="AC354" s="82"/>
      <c r="AE354" s="145">
        <f t="shared" si="40"/>
        <v>93.874739214192033</v>
      </c>
      <c r="AF354" s="145">
        <f t="shared" si="41"/>
        <v>4.4609707846548214E-5</v>
      </c>
    </row>
    <row r="355" spans="9:32" x14ac:dyDescent="0.25">
      <c r="I355" s="49"/>
      <c r="J355" s="49"/>
      <c r="K355" s="49"/>
      <c r="M355" s="33"/>
      <c r="R355" s="61">
        <v>1068.5973921419204</v>
      </c>
      <c r="S355" s="58">
        <v>5.063438847738839E-7</v>
      </c>
      <c r="V355" s="173"/>
      <c r="W355" s="173"/>
      <c r="X355" s="173"/>
      <c r="Y355" s="185"/>
      <c r="AA355" s="78"/>
      <c r="AC355" s="79"/>
      <c r="AE355" s="145">
        <f t="shared" si="40"/>
        <v>93.874739214192033</v>
      </c>
      <c r="AF355" s="145">
        <f t="shared" si="41"/>
        <v>5.0634388477388391E-5</v>
      </c>
    </row>
    <row r="356" spans="9:32" x14ac:dyDescent="0.25">
      <c r="I356" s="49"/>
      <c r="J356" s="49"/>
      <c r="K356" s="49"/>
      <c r="M356" s="34"/>
      <c r="R356" s="61">
        <v>1074.2684712060993</v>
      </c>
      <c r="S356" s="58">
        <v>5.063438847738839E-7</v>
      </c>
      <c r="V356" s="173"/>
      <c r="W356" s="173"/>
      <c r="X356" s="173"/>
      <c r="Y356" s="185"/>
      <c r="AA356" s="78"/>
      <c r="AC356" s="82"/>
      <c r="AE356" s="145">
        <f t="shared" si="40"/>
        <v>94.441847120609935</v>
      </c>
      <c r="AF356" s="145">
        <f t="shared" si="41"/>
        <v>5.0634388477388391E-5</v>
      </c>
    </row>
    <row r="357" spans="9:32" x14ac:dyDescent="0.25">
      <c r="I357" s="49"/>
      <c r="J357" s="49"/>
      <c r="K357" s="49"/>
      <c r="M357" s="34"/>
      <c r="R357" s="61">
        <v>1074.2684712060993</v>
      </c>
      <c r="S357" s="58">
        <v>5.5542035307515685E-7</v>
      </c>
      <c r="V357" s="173"/>
      <c r="W357" s="173"/>
      <c r="X357" s="173"/>
      <c r="Y357" s="185"/>
      <c r="AA357" s="78"/>
      <c r="AC357" s="82"/>
      <c r="AE357" s="145">
        <f t="shared" si="40"/>
        <v>94.441847120609935</v>
      </c>
      <c r="AF357" s="145">
        <f t="shared" si="41"/>
        <v>5.5542035307515684E-5</v>
      </c>
    </row>
    <row r="358" spans="9:32" x14ac:dyDescent="0.25">
      <c r="I358" s="49"/>
      <c r="J358" s="49"/>
      <c r="K358" s="49"/>
      <c r="M358" s="33"/>
      <c r="R358" s="61">
        <v>1079.9395502702782</v>
      </c>
      <c r="S358" s="58">
        <v>5.5542035307515685E-7</v>
      </c>
      <c r="V358" s="173"/>
      <c r="W358" s="173"/>
      <c r="X358" s="173"/>
      <c r="Y358" s="185"/>
      <c r="AA358" s="78"/>
      <c r="AC358" s="79"/>
      <c r="AE358" s="145">
        <f t="shared" si="40"/>
        <v>95.008955027027824</v>
      </c>
      <c r="AF358" s="145">
        <f t="shared" si="41"/>
        <v>5.5542035307515684E-5</v>
      </c>
    </row>
    <row r="359" spans="9:32" x14ac:dyDescent="0.25">
      <c r="I359" s="49"/>
      <c r="J359" s="49"/>
      <c r="K359" s="49"/>
      <c r="M359" s="37"/>
      <c r="R359" s="61">
        <v>1079.9395502702782</v>
      </c>
      <c r="S359" s="58">
        <v>5.9273536740881296E-7</v>
      </c>
      <c r="V359" s="173"/>
      <c r="W359" s="173"/>
      <c r="X359" s="173"/>
      <c r="Y359" s="185"/>
      <c r="AA359" s="78"/>
      <c r="AC359" s="84"/>
      <c r="AE359" s="145">
        <f t="shared" si="40"/>
        <v>95.008955027027824</v>
      </c>
      <c r="AF359" s="145">
        <f t="shared" si="41"/>
        <v>5.9273536740881294E-5</v>
      </c>
    </row>
    <row r="360" spans="9:32" x14ac:dyDescent="0.25">
      <c r="I360" s="49"/>
      <c r="J360" s="49"/>
      <c r="K360" s="49"/>
      <c r="M360" s="34"/>
      <c r="R360" s="61">
        <v>1085.6106293344571</v>
      </c>
      <c r="S360" s="58">
        <v>5.9273536740881296E-7</v>
      </c>
      <c r="V360" s="173"/>
      <c r="W360" s="173"/>
      <c r="X360" s="173"/>
      <c r="Y360" s="185"/>
      <c r="AA360" s="78"/>
      <c r="AC360" s="82"/>
      <c r="AE360" s="145">
        <f t="shared" si="40"/>
        <v>95.576062933445712</v>
      </c>
      <c r="AF360" s="145">
        <f t="shared" si="41"/>
        <v>5.9273536740881294E-5</v>
      </c>
    </row>
    <row r="361" spans="9:32" x14ac:dyDescent="0.25">
      <c r="I361" s="49"/>
      <c r="J361" s="49"/>
      <c r="K361" s="49"/>
      <c r="M361" s="37"/>
      <c r="R361" s="61">
        <v>1085.6106293344571</v>
      </c>
      <c r="S361" s="58">
        <v>6.1919010120587953E-7</v>
      </c>
      <c r="V361" s="173"/>
      <c r="W361" s="173"/>
      <c r="X361" s="173"/>
      <c r="Y361" s="185"/>
      <c r="AA361" s="78"/>
      <c r="AC361" s="84"/>
      <c r="AE361" s="145">
        <f t="shared" si="40"/>
        <v>95.576062933445712</v>
      </c>
      <c r="AF361" s="145">
        <f t="shared" si="41"/>
        <v>6.1919010120587949E-5</v>
      </c>
    </row>
    <row r="362" spans="9:32" x14ac:dyDescent="0.25">
      <c r="I362" s="49"/>
      <c r="J362" s="49"/>
      <c r="K362" s="49"/>
      <c r="M362" s="34"/>
      <c r="R362" s="61">
        <v>1091.2817083986361</v>
      </c>
      <c r="S362" s="58">
        <v>6.1919010120587953E-7</v>
      </c>
      <c r="V362" s="173"/>
      <c r="W362" s="173"/>
      <c r="X362" s="173"/>
      <c r="Y362" s="185"/>
      <c r="AA362" s="78"/>
      <c r="AC362" s="82"/>
      <c r="AE362" s="145">
        <f t="shared" si="40"/>
        <v>96.1431708398636</v>
      </c>
      <c r="AF362" s="145">
        <f t="shared" si="41"/>
        <v>6.1919010120587949E-5</v>
      </c>
    </row>
    <row r="363" spans="9:32" x14ac:dyDescent="0.25">
      <c r="I363" s="49"/>
      <c r="J363" s="49"/>
      <c r="K363" s="49"/>
      <c r="M363" s="37"/>
      <c r="R363" s="61">
        <v>1091.2817083986361</v>
      </c>
      <c r="S363" s="58">
        <v>6.3662922489906861E-7</v>
      </c>
      <c r="V363" s="173"/>
      <c r="W363" s="173"/>
      <c r="X363" s="173"/>
      <c r="Y363" s="185"/>
      <c r="AA363" s="78"/>
      <c r="AC363" s="84"/>
      <c r="AE363" s="145">
        <f t="shared" si="40"/>
        <v>96.1431708398636</v>
      </c>
      <c r="AF363" s="145">
        <f t="shared" si="41"/>
        <v>6.3662922489906865E-5</v>
      </c>
    </row>
    <row r="364" spans="9:32" x14ac:dyDescent="0.25">
      <c r="I364" s="49"/>
      <c r="J364" s="49"/>
      <c r="K364" s="49"/>
      <c r="M364" s="33"/>
      <c r="R364" s="61">
        <v>1096.952787462815</v>
      </c>
      <c r="S364" s="58">
        <v>6.3662922489906861E-7</v>
      </c>
      <c r="V364" s="173"/>
      <c r="W364" s="173"/>
      <c r="X364" s="173"/>
      <c r="Y364" s="185"/>
      <c r="AA364" s="78"/>
      <c r="AC364" s="79"/>
      <c r="AE364" s="145">
        <f t="shared" si="40"/>
        <v>96.710278746281489</v>
      </c>
      <c r="AF364" s="145">
        <f t="shared" si="41"/>
        <v>6.3662922489906865E-5</v>
      </c>
    </row>
    <row r="365" spans="9:32" x14ac:dyDescent="0.25">
      <c r="I365" s="49"/>
      <c r="J365" s="49"/>
      <c r="K365" s="49"/>
      <c r="M365" s="37"/>
      <c r="R365" s="61">
        <v>1096.952787462815</v>
      </c>
      <c r="S365" s="58">
        <v>6.4723156598972789E-7</v>
      </c>
      <c r="V365" s="173"/>
      <c r="W365" s="173"/>
      <c r="X365" s="173"/>
      <c r="Y365" s="185"/>
      <c r="AA365" s="78"/>
      <c r="AC365" s="84"/>
      <c r="AE365" s="145">
        <f t="shared" si="40"/>
        <v>96.710278746281489</v>
      </c>
      <c r="AF365" s="145">
        <f t="shared" si="41"/>
        <v>6.4723156598972786E-5</v>
      </c>
    </row>
    <row r="366" spans="9:32" x14ac:dyDescent="0.25">
      <c r="I366" s="49"/>
      <c r="J366" s="49"/>
      <c r="K366" s="49"/>
      <c r="M366" s="34"/>
      <c r="R366" s="61">
        <v>1102.6238665269939</v>
      </c>
      <c r="S366" s="58">
        <v>6.4723156598972789E-7</v>
      </c>
      <c r="V366" s="173"/>
      <c r="W366" s="173"/>
      <c r="X366" s="173"/>
      <c r="Y366" s="185"/>
      <c r="AA366" s="78"/>
      <c r="AC366" s="82"/>
      <c r="AE366" s="145">
        <f t="shared" si="40"/>
        <v>97.277386652699391</v>
      </c>
      <c r="AF366" s="145">
        <f t="shared" si="41"/>
        <v>6.4723156598972786E-5</v>
      </c>
    </row>
    <row r="367" spans="9:32" x14ac:dyDescent="0.25">
      <c r="I367" s="49"/>
      <c r="J367" s="49"/>
      <c r="K367" s="49"/>
      <c r="M367" s="34"/>
      <c r="R367" s="61">
        <v>1102.6238665269939</v>
      </c>
      <c r="S367" s="58">
        <v>6.5301348299247647E-7</v>
      </c>
      <c r="V367" s="173"/>
      <c r="W367" s="173"/>
      <c r="X367" s="173"/>
      <c r="Y367" s="185"/>
      <c r="AA367" s="78"/>
      <c r="AC367" s="82"/>
      <c r="AE367" s="145">
        <f t="shared" si="40"/>
        <v>97.277386652699391</v>
      </c>
      <c r="AF367" s="145">
        <f t="shared" si="41"/>
        <v>6.5301348299247642E-5</v>
      </c>
    </row>
    <row r="368" spans="9:32" x14ac:dyDescent="0.25">
      <c r="I368" s="49"/>
      <c r="J368" s="49"/>
      <c r="K368" s="49"/>
      <c r="M368" s="37"/>
      <c r="R368" s="61">
        <v>1108.2949455911728</v>
      </c>
      <c r="S368" s="58">
        <v>6.5301348299247647E-7</v>
      </c>
      <c r="V368" s="173"/>
      <c r="W368" s="173"/>
      <c r="X368" s="173"/>
      <c r="Y368" s="185"/>
      <c r="AA368" s="78"/>
      <c r="AC368" s="84"/>
      <c r="AE368" s="145">
        <f t="shared" si="40"/>
        <v>97.84449455911728</v>
      </c>
      <c r="AF368" s="145">
        <f t="shared" si="41"/>
        <v>6.5301348299247642E-5</v>
      </c>
    </row>
    <row r="369" spans="9:32" x14ac:dyDescent="0.25">
      <c r="I369" s="49"/>
      <c r="J369" s="49"/>
      <c r="K369" s="49"/>
      <c r="M369" s="33"/>
      <c r="R369" s="61">
        <v>1108.2949455911728</v>
      </c>
      <c r="S369" s="58">
        <v>6.5551971431864729E-7</v>
      </c>
      <c r="V369" s="173"/>
      <c r="W369" s="173"/>
      <c r="X369" s="173"/>
      <c r="Y369" s="185"/>
      <c r="AA369" s="78"/>
      <c r="AC369" s="79"/>
      <c r="AE369" s="145">
        <f t="shared" si="40"/>
        <v>97.84449455911728</v>
      </c>
      <c r="AF369" s="145">
        <f t="shared" si="41"/>
        <v>6.5551971431864728E-5</v>
      </c>
    </row>
    <row r="370" spans="9:32" x14ac:dyDescent="0.25">
      <c r="I370" s="49"/>
      <c r="J370" s="49"/>
      <c r="K370" s="49"/>
      <c r="M370" s="37"/>
      <c r="R370" s="61">
        <v>1113.9660246553517</v>
      </c>
      <c r="S370" s="58">
        <v>6.5551971431864729E-7</v>
      </c>
      <c r="V370" s="173"/>
      <c r="W370" s="173"/>
      <c r="X370" s="173"/>
      <c r="Y370" s="185"/>
      <c r="AA370" s="78"/>
      <c r="AC370" s="84"/>
      <c r="AE370" s="145">
        <f t="shared" si="40"/>
        <v>98.411602465535168</v>
      </c>
      <c r="AF370" s="145">
        <f t="shared" si="41"/>
        <v>6.5551971431864728E-5</v>
      </c>
    </row>
    <row r="371" spans="9:32" x14ac:dyDescent="0.25">
      <c r="I371" s="49"/>
      <c r="J371" s="49"/>
      <c r="K371" s="49"/>
      <c r="M371" s="34"/>
      <c r="R371" s="61">
        <v>1113.9660246553517</v>
      </c>
      <c r="S371" s="58">
        <v>6.5568337916863821E-7</v>
      </c>
      <c r="V371" s="173"/>
      <c r="W371" s="173"/>
      <c r="X371" s="173"/>
      <c r="Y371" s="185"/>
      <c r="AA371" s="78"/>
      <c r="AC371" s="82"/>
      <c r="AE371" s="145">
        <f t="shared" si="40"/>
        <v>98.411602465535168</v>
      </c>
      <c r="AF371" s="145">
        <f t="shared" si="41"/>
        <v>6.5568337916863822E-5</v>
      </c>
    </row>
    <row r="372" spans="9:32" x14ac:dyDescent="0.25">
      <c r="I372" s="49"/>
      <c r="J372" s="49"/>
      <c r="K372" s="49"/>
      <c r="M372" s="37"/>
      <c r="R372" s="61">
        <v>1119.6371037195306</v>
      </c>
      <c r="S372" s="58">
        <v>6.5568337916863821E-7</v>
      </c>
      <c r="V372" s="173"/>
      <c r="W372" s="173"/>
      <c r="X372" s="173"/>
      <c r="Y372" s="185"/>
      <c r="AA372" s="78"/>
      <c r="AC372" s="84"/>
      <c r="AE372" s="145">
        <f t="shared" si="40"/>
        <v>98.978710371953056</v>
      </c>
      <c r="AF372" s="145">
        <f t="shared" si="41"/>
        <v>6.5568337916863822E-5</v>
      </c>
    </row>
    <row r="373" spans="9:32" x14ac:dyDescent="0.25">
      <c r="I373" s="49"/>
      <c r="J373" s="49"/>
      <c r="K373" s="49"/>
      <c r="M373" s="37"/>
      <c r="R373" s="61">
        <v>1119.6371037195306</v>
      </c>
      <c r="S373" s="58">
        <v>6.5378732073894662E-7</v>
      </c>
      <c r="V373" s="173"/>
      <c r="W373" s="173"/>
      <c r="X373" s="173"/>
      <c r="Y373" s="185"/>
      <c r="AA373" s="78"/>
      <c r="AC373" s="84"/>
      <c r="AE373" s="145">
        <f t="shared" si="40"/>
        <v>98.978710371953056</v>
      </c>
      <c r="AF373" s="145">
        <f t="shared" si="41"/>
        <v>6.5378732073894665E-5</v>
      </c>
    </row>
    <row r="374" spans="9:32" x14ac:dyDescent="0.25">
      <c r="I374" s="49"/>
      <c r="J374" s="49"/>
      <c r="K374" s="49"/>
      <c r="M374" s="34"/>
      <c r="R374" s="61">
        <v>1125.3081827837095</v>
      </c>
      <c r="S374" s="58">
        <v>6.5378732073894662E-7</v>
      </c>
      <c r="V374" s="173"/>
      <c r="W374" s="173"/>
      <c r="X374" s="173"/>
      <c r="Y374" s="185"/>
      <c r="AA374" s="78"/>
      <c r="AC374" s="82"/>
      <c r="AE374" s="145">
        <f t="shared" si="40"/>
        <v>99.545818278370945</v>
      </c>
      <c r="AF374" s="145">
        <f t="shared" si="41"/>
        <v>6.5378732073894665E-5</v>
      </c>
    </row>
    <row r="375" spans="9:32" x14ac:dyDescent="0.25">
      <c r="I375" s="49"/>
      <c r="J375" s="49"/>
      <c r="K375" s="49"/>
      <c r="M375" s="37"/>
      <c r="R375" s="61">
        <v>1125.3081827837095</v>
      </c>
      <c r="S375" s="58">
        <v>6.4946129479620131E-7</v>
      </c>
      <c r="V375" s="173"/>
      <c r="W375" s="173"/>
      <c r="X375" s="173"/>
      <c r="Y375" s="185"/>
      <c r="AA375" s="78"/>
      <c r="AC375" s="84"/>
      <c r="AE375" s="145">
        <f t="shared" si="40"/>
        <v>99.545818278370945</v>
      </c>
      <c r="AF375" s="145">
        <f t="shared" si="41"/>
        <v>6.4946129479620125E-5</v>
      </c>
    </row>
    <row r="376" spans="9:32" x14ac:dyDescent="0.25">
      <c r="I376" s="49"/>
      <c r="J376" s="49"/>
      <c r="K376" s="49"/>
      <c r="M376" s="33"/>
      <c r="R376" s="61">
        <v>1130.9792618478884</v>
      </c>
      <c r="S376" s="58">
        <v>6.4946129479620131E-7</v>
      </c>
      <c r="V376" s="173"/>
      <c r="W376" s="173"/>
      <c r="X376" s="173"/>
      <c r="Y376" s="185"/>
      <c r="AA376" s="78"/>
      <c r="AC376" s="79"/>
      <c r="AE376" s="145">
        <f t="shared" si="40"/>
        <v>100.11292618478885</v>
      </c>
      <c r="AF376" s="145">
        <f t="shared" si="41"/>
        <v>6.4946129479620125E-5</v>
      </c>
    </row>
    <row r="377" spans="9:32" x14ac:dyDescent="0.25">
      <c r="I377" s="49"/>
      <c r="J377" s="49"/>
      <c r="K377" s="49"/>
      <c r="M377" s="37"/>
      <c r="R377" s="61">
        <v>1130.9792618478884</v>
      </c>
      <c r="S377" s="58">
        <v>6.4168938449198465E-7</v>
      </c>
      <c r="V377" s="173"/>
      <c r="W377" s="173"/>
      <c r="X377" s="173"/>
      <c r="Y377" s="185"/>
      <c r="AA377" s="78"/>
      <c r="AC377" s="84"/>
      <c r="AE377" s="145">
        <f t="shared" si="40"/>
        <v>100.11292618478885</v>
      </c>
      <c r="AF377" s="145">
        <f t="shared" si="41"/>
        <v>6.4168938449198464E-5</v>
      </c>
    </row>
    <row r="378" spans="9:32" x14ac:dyDescent="0.25">
      <c r="I378" s="49"/>
      <c r="J378" s="49"/>
      <c r="K378" s="49"/>
      <c r="M378" s="34"/>
      <c r="R378" s="61">
        <v>1136.6503409120673</v>
      </c>
      <c r="S378" s="58">
        <v>6.4168938449198465E-7</v>
      </c>
      <c r="V378" s="173"/>
      <c r="W378" s="173"/>
      <c r="X378" s="173"/>
      <c r="Y378" s="185"/>
      <c r="AA378" s="78"/>
      <c r="AC378" s="82"/>
      <c r="AE378" s="145">
        <f t="shared" si="40"/>
        <v>100.68003409120674</v>
      </c>
      <c r="AF378" s="145">
        <f t="shared" si="41"/>
        <v>6.4168938449198464E-5</v>
      </c>
    </row>
    <row r="379" spans="9:32" x14ac:dyDescent="0.25">
      <c r="I379" s="49"/>
      <c r="J379" s="49"/>
      <c r="K379" s="49"/>
      <c r="M379" s="34"/>
      <c r="R379" s="61">
        <v>1136.6503409120673</v>
      </c>
      <c r="S379" s="58">
        <v>6.2885498629617058E-7</v>
      </c>
      <c r="V379" s="173"/>
      <c r="W379" s="173"/>
      <c r="X379" s="173"/>
      <c r="Y379" s="185"/>
      <c r="AA379" s="78"/>
      <c r="AC379" s="82"/>
      <c r="AE379" s="145">
        <f t="shared" si="40"/>
        <v>100.68003409120674</v>
      </c>
      <c r="AF379" s="145">
        <f t="shared" si="41"/>
        <v>6.2885498629617053E-5</v>
      </c>
    </row>
    <row r="380" spans="9:32" x14ac:dyDescent="0.25">
      <c r="I380" s="49"/>
      <c r="J380" s="49"/>
      <c r="K380" s="49"/>
      <c r="M380" s="37"/>
      <c r="R380" s="61">
        <v>1142.3214199762463</v>
      </c>
      <c r="S380" s="58">
        <v>6.2885498629617058E-7</v>
      </c>
      <c r="V380" s="173"/>
      <c r="W380" s="173"/>
      <c r="X380" s="173"/>
      <c r="Y380" s="185"/>
      <c r="AA380" s="78"/>
      <c r="AC380" s="84"/>
      <c r="AE380" s="145">
        <f t="shared" si="40"/>
        <v>101.24714199762462</v>
      </c>
      <c r="AF380" s="145">
        <f t="shared" si="41"/>
        <v>6.2885498629617053E-5</v>
      </c>
    </row>
    <row r="381" spans="9:32" x14ac:dyDescent="0.25">
      <c r="I381" s="49"/>
      <c r="J381" s="49"/>
      <c r="K381" s="49"/>
      <c r="M381" s="33"/>
      <c r="R381" s="61">
        <v>1142.3214199762463</v>
      </c>
      <c r="S381" s="58">
        <v>6.0888983467400336E-7</v>
      </c>
      <c r="V381" s="173"/>
      <c r="W381" s="173"/>
      <c r="X381" s="173"/>
      <c r="Y381" s="185"/>
      <c r="AA381" s="78"/>
      <c r="AC381" s="79"/>
      <c r="AE381" s="145">
        <f t="shared" si="40"/>
        <v>101.24714199762462</v>
      </c>
      <c r="AF381" s="145">
        <f t="shared" si="41"/>
        <v>6.0888983467400335E-5</v>
      </c>
    </row>
    <row r="382" spans="9:32" x14ac:dyDescent="0.25">
      <c r="I382" s="49"/>
      <c r="J382" s="49"/>
      <c r="K382" s="49"/>
      <c r="M382" s="34"/>
      <c r="R382" s="61">
        <v>1147.9924990404252</v>
      </c>
      <c r="S382" s="58">
        <v>6.0888983467400336E-7</v>
      </c>
      <c r="V382" s="173"/>
      <c r="W382" s="173"/>
      <c r="X382" s="173"/>
      <c r="Y382" s="185"/>
      <c r="AA382" s="78"/>
      <c r="AC382" s="82"/>
      <c r="AE382" s="145">
        <f t="shared" si="40"/>
        <v>101.81424990404251</v>
      </c>
      <c r="AF382" s="145">
        <f t="shared" si="41"/>
        <v>6.0888983467400335E-5</v>
      </c>
    </row>
    <row r="383" spans="9:32" x14ac:dyDescent="0.25">
      <c r="I383" s="49"/>
      <c r="J383" s="49"/>
      <c r="K383" s="49"/>
      <c r="M383" s="37"/>
      <c r="R383" s="61">
        <v>1147.9924990404252</v>
      </c>
      <c r="S383" s="58">
        <v>5.7959420364799457E-7</v>
      </c>
      <c r="V383" s="173"/>
      <c r="W383" s="173"/>
      <c r="X383" s="173"/>
      <c r="Y383" s="185"/>
      <c r="AA383" s="78"/>
      <c r="AC383" s="84"/>
      <c r="AE383" s="145">
        <f t="shared" si="40"/>
        <v>101.81424990404251</v>
      </c>
      <c r="AF383" s="145">
        <f t="shared" si="41"/>
        <v>5.7959420364799459E-5</v>
      </c>
    </row>
    <row r="384" spans="9:32" x14ac:dyDescent="0.25">
      <c r="I384" s="49"/>
      <c r="J384" s="49"/>
      <c r="K384" s="49"/>
      <c r="M384" s="34"/>
      <c r="R384" s="61">
        <v>1153.6635781046041</v>
      </c>
      <c r="S384" s="58">
        <v>5.7959420364799457E-7</v>
      </c>
      <c r="V384" s="173"/>
      <c r="W384" s="173"/>
      <c r="X384" s="173"/>
      <c r="Y384" s="185"/>
      <c r="AA384" s="78"/>
      <c r="AC384" s="82"/>
      <c r="AE384" s="145">
        <f t="shared" si="40"/>
        <v>102.3813578104604</v>
      </c>
      <c r="AF384" s="145">
        <f t="shared" si="41"/>
        <v>5.7959420364799459E-5</v>
      </c>
    </row>
    <row r="385" spans="9:33" x14ac:dyDescent="0.25">
      <c r="I385" s="49"/>
      <c r="J385" s="49"/>
      <c r="K385" s="49"/>
      <c r="M385" s="37"/>
      <c r="R385" s="61">
        <v>1153.6635781046041</v>
      </c>
      <c r="S385" s="58">
        <v>5.3914350763061964E-7</v>
      </c>
      <c r="V385" s="173"/>
      <c r="W385" s="173"/>
      <c r="X385" s="173"/>
      <c r="Y385" s="185"/>
      <c r="AA385" s="78"/>
      <c r="AC385" s="84"/>
      <c r="AE385" s="145">
        <f t="shared" si="40"/>
        <v>102.3813578104604</v>
      </c>
      <c r="AF385" s="145">
        <f t="shared" si="41"/>
        <v>5.3914350763061967E-5</v>
      </c>
    </row>
    <row r="386" spans="9:33" x14ac:dyDescent="0.25">
      <c r="I386" s="49"/>
      <c r="J386" s="49"/>
      <c r="K386" s="49"/>
      <c r="M386" s="37"/>
      <c r="R386" s="61">
        <v>1159.334657168783</v>
      </c>
      <c r="S386" s="58">
        <v>5.3914350763061964E-7</v>
      </c>
      <c r="V386" s="173"/>
      <c r="W386" s="173"/>
      <c r="X386" s="173"/>
      <c r="Y386" s="185"/>
      <c r="AA386" s="78"/>
      <c r="AC386" s="84"/>
      <c r="AE386" s="145">
        <f t="shared" si="40"/>
        <v>102.9484657168783</v>
      </c>
      <c r="AF386" s="145">
        <f t="shared" si="41"/>
        <v>5.3914350763061967E-5</v>
      </c>
    </row>
    <row r="387" spans="9:33" x14ac:dyDescent="0.25">
      <c r="I387" s="49"/>
      <c r="J387" s="49"/>
      <c r="K387" s="49"/>
      <c r="M387" s="33"/>
      <c r="R387" s="61">
        <v>1159.334657168783</v>
      </c>
      <c r="S387" s="58">
        <v>4.8670103655294044E-7</v>
      </c>
      <c r="V387" s="173"/>
      <c r="W387" s="173"/>
      <c r="X387" s="173"/>
      <c r="Y387" s="185"/>
      <c r="AA387" s="78"/>
      <c r="AC387" s="79"/>
      <c r="AE387" s="145">
        <f t="shared" ref="AE387:AE450" si="42">(R387-129.85)/10</f>
        <v>102.9484657168783</v>
      </c>
      <c r="AF387" s="145">
        <f t="shared" ref="AF387:AF450" si="43">S387*100</f>
        <v>4.8670103655294044E-5</v>
      </c>
    </row>
    <row r="388" spans="9:33" x14ac:dyDescent="0.25">
      <c r="I388" s="49"/>
      <c r="J388" s="49"/>
      <c r="K388" s="49"/>
      <c r="M388" s="34"/>
      <c r="R388" s="61">
        <v>1165.0057362329619</v>
      </c>
      <c r="S388" s="58">
        <v>4.8670103655294044E-7</v>
      </c>
      <c r="V388" s="173"/>
      <c r="W388" s="173"/>
      <c r="X388" s="173"/>
      <c r="Y388" s="185"/>
      <c r="AA388" s="78"/>
      <c r="AC388" s="82"/>
      <c r="AE388" s="145">
        <f t="shared" si="42"/>
        <v>103.51557362329621</v>
      </c>
      <c r="AF388" s="145">
        <f t="shared" si="43"/>
        <v>4.8670103655294044E-5</v>
      </c>
    </row>
    <row r="389" spans="9:33" x14ac:dyDescent="0.25">
      <c r="I389" s="49"/>
      <c r="J389" s="49"/>
      <c r="K389" s="49"/>
      <c r="M389" s="37"/>
      <c r="R389" s="61">
        <v>1165.0057362329619</v>
      </c>
      <c r="S389" s="58">
        <v>4.2295732071526193E-7</v>
      </c>
      <c r="V389" s="173"/>
      <c r="W389" s="173"/>
      <c r="X389" s="173"/>
      <c r="Y389" s="185"/>
      <c r="AA389" s="78"/>
      <c r="AC389" s="84"/>
      <c r="AE389" s="145">
        <f t="shared" si="42"/>
        <v>103.51557362329621</v>
      </c>
      <c r="AF389" s="145">
        <f t="shared" si="43"/>
        <v>4.2295732071526189E-5</v>
      </c>
    </row>
    <row r="390" spans="9:33" x14ac:dyDescent="0.25">
      <c r="I390" s="49"/>
      <c r="J390" s="49"/>
      <c r="K390" s="49"/>
      <c r="M390" s="37"/>
      <c r="R390" s="61">
        <v>1170.6768152971408</v>
      </c>
      <c r="S390" s="58">
        <v>4.2295732071526193E-7</v>
      </c>
      <c r="V390" s="173"/>
      <c r="W390" s="173"/>
      <c r="X390" s="173"/>
      <c r="Y390" s="185"/>
      <c r="AA390" s="78"/>
      <c r="AC390" s="84"/>
      <c r="AE390" s="145">
        <f t="shared" si="42"/>
        <v>104.08268152971409</v>
      </c>
      <c r="AF390" s="145">
        <f t="shared" si="43"/>
        <v>4.2295732071526189E-5</v>
      </c>
    </row>
    <row r="391" spans="9:33" x14ac:dyDescent="0.25">
      <c r="I391" s="49"/>
      <c r="J391" s="49"/>
      <c r="K391" s="49"/>
      <c r="M391" s="34"/>
      <c r="R391" s="61">
        <v>1170.6768152971408</v>
      </c>
      <c r="S391" s="58">
        <v>3.5037307225945615E-7</v>
      </c>
      <c r="V391" s="173"/>
      <c r="W391" s="173"/>
      <c r="X391" s="173"/>
      <c r="Y391" s="185"/>
      <c r="AA391" s="78"/>
      <c r="AC391" s="82"/>
      <c r="AE391" s="145">
        <f t="shared" si="42"/>
        <v>104.08268152971409</v>
      </c>
      <c r="AF391" s="145">
        <f t="shared" si="43"/>
        <v>3.5037307225945615E-5</v>
      </c>
    </row>
    <row r="392" spans="9:33" x14ac:dyDescent="0.25">
      <c r="I392" s="49"/>
      <c r="J392" s="49"/>
      <c r="K392" s="49"/>
      <c r="M392" s="37"/>
      <c r="R392" s="61">
        <v>1176.3478943613197</v>
      </c>
      <c r="S392" s="58">
        <v>3.5037307225945615E-7</v>
      </c>
      <c r="V392" s="173"/>
      <c r="W392" s="173"/>
      <c r="X392" s="173"/>
      <c r="Y392" s="185"/>
      <c r="AA392" s="78"/>
      <c r="AC392" s="84"/>
      <c r="AE392" s="145">
        <f t="shared" si="42"/>
        <v>104.64978943613198</v>
      </c>
      <c r="AF392" s="145">
        <f t="shared" si="43"/>
        <v>3.5037307225945615E-5</v>
      </c>
    </row>
    <row r="393" spans="9:33" x14ac:dyDescent="0.25">
      <c r="I393" s="49"/>
      <c r="J393" s="49"/>
      <c r="K393" s="49"/>
      <c r="M393" s="37"/>
      <c r="R393" s="61">
        <v>1176.3478943613197</v>
      </c>
      <c r="S393" s="58">
        <v>2.9250588143274215E-7</v>
      </c>
      <c r="V393" s="173"/>
      <c r="W393" s="173"/>
      <c r="X393" s="173"/>
      <c r="Y393" s="185"/>
      <c r="AA393" s="78"/>
      <c r="AC393" s="84"/>
      <c r="AE393" s="145">
        <f t="shared" si="42"/>
        <v>104.64978943613198</v>
      </c>
      <c r="AF393" s="145">
        <f t="shared" si="43"/>
        <v>2.9250588143274215E-5</v>
      </c>
    </row>
    <row r="394" spans="9:33" x14ac:dyDescent="0.25">
      <c r="I394" s="49"/>
      <c r="J394" s="49"/>
      <c r="K394" s="49"/>
      <c r="M394" s="34"/>
      <c r="R394" s="61">
        <v>1179.1834338934091</v>
      </c>
      <c r="S394" s="58">
        <v>2.9250588143274215E-7</v>
      </c>
      <c r="V394" s="173"/>
      <c r="W394" s="173"/>
      <c r="X394" s="173"/>
      <c r="Y394" s="185"/>
      <c r="AA394" s="78"/>
      <c r="AC394" s="82"/>
      <c r="AE394" s="145">
        <f t="shared" si="42"/>
        <v>104.93334338934092</v>
      </c>
      <c r="AF394" s="145">
        <f t="shared" si="43"/>
        <v>2.9250588143274215E-5</v>
      </c>
    </row>
    <row r="395" spans="9:33" x14ac:dyDescent="0.25">
      <c r="I395" s="49"/>
      <c r="J395" s="49"/>
      <c r="K395" s="49"/>
      <c r="M395" s="33"/>
      <c r="R395" s="61">
        <v>1179.1834338934091</v>
      </c>
      <c r="S395" s="58">
        <v>2.6760988033527156E-7</v>
      </c>
      <c r="V395" s="173"/>
      <c r="W395" s="173"/>
      <c r="X395" s="173"/>
      <c r="Y395" s="185"/>
      <c r="AA395" s="78"/>
      <c r="AC395" s="79"/>
      <c r="AE395" s="145">
        <f t="shared" si="42"/>
        <v>104.93334338934092</v>
      </c>
      <c r="AF395" s="145">
        <f t="shared" si="43"/>
        <v>2.6760988033527157E-5</v>
      </c>
    </row>
    <row r="396" spans="9:33" x14ac:dyDescent="0.25">
      <c r="I396" s="49"/>
      <c r="J396" s="49"/>
      <c r="K396" s="49"/>
      <c r="M396" s="37"/>
      <c r="R396" s="61">
        <v>1181.7722741309253</v>
      </c>
      <c r="S396" s="58">
        <v>2.6760988033527156E-7</v>
      </c>
      <c r="V396" s="173"/>
      <c r="W396" s="173"/>
      <c r="X396" s="173"/>
      <c r="Y396" s="185"/>
      <c r="AA396" s="78"/>
      <c r="AC396" s="84"/>
      <c r="AE396" s="145">
        <f t="shared" si="42"/>
        <v>105.19222741309254</v>
      </c>
      <c r="AF396" s="145">
        <f t="shared" si="43"/>
        <v>2.6760988033527157E-5</v>
      </c>
    </row>
    <row r="397" spans="9:33" x14ac:dyDescent="0.25">
      <c r="I397" s="49"/>
      <c r="J397" s="49"/>
      <c r="K397" s="49"/>
      <c r="M397" s="37"/>
      <c r="R397" s="61">
        <v>1181.7722741309253</v>
      </c>
      <c r="S397" s="58">
        <v>2.1436428400730317E-7</v>
      </c>
      <c r="V397" s="173"/>
      <c r="W397" s="173"/>
      <c r="X397" s="173"/>
      <c r="Y397" s="185"/>
      <c r="AA397" s="78"/>
      <c r="AC397" s="84"/>
      <c r="AE397" s="145">
        <f t="shared" si="42"/>
        <v>105.19222741309254</v>
      </c>
      <c r="AF397" s="145">
        <f t="shared" si="43"/>
        <v>2.1436428400730319E-5</v>
      </c>
    </row>
    <row r="398" spans="9:33" x14ac:dyDescent="0.25">
      <c r="I398" s="49"/>
      <c r="J398" s="49"/>
      <c r="K398" s="49"/>
      <c r="M398" s="34"/>
      <c r="R398" s="61">
        <v>1186.9499546059578</v>
      </c>
      <c r="S398" s="58">
        <v>2.1436428400730317E-7</v>
      </c>
      <c r="V398" s="173"/>
      <c r="W398" s="173"/>
      <c r="X398" s="173"/>
      <c r="Y398" s="185"/>
      <c r="AA398" s="78"/>
      <c r="AC398" s="82"/>
      <c r="AE398" s="145">
        <f t="shared" si="42"/>
        <v>105.70999546059579</v>
      </c>
      <c r="AF398" s="145">
        <f t="shared" si="43"/>
        <v>2.1436428400730319E-5</v>
      </c>
      <c r="AG398" s="81"/>
    </row>
    <row r="399" spans="9:33" x14ac:dyDescent="0.25">
      <c r="I399" s="49"/>
      <c r="J399" s="49"/>
      <c r="K399" s="49"/>
      <c r="M399" s="37"/>
      <c r="R399" s="61">
        <v>1186.9499546059578</v>
      </c>
      <c r="S399" s="58">
        <v>1.4643769901800585E-7</v>
      </c>
      <c r="V399" s="173"/>
      <c r="W399" s="173"/>
      <c r="X399" s="173"/>
      <c r="Y399" s="185"/>
      <c r="AA399" s="78"/>
      <c r="AC399" s="84"/>
      <c r="AE399" s="145">
        <f t="shared" si="42"/>
        <v>105.70999546059579</v>
      </c>
      <c r="AF399" s="145">
        <f t="shared" si="43"/>
        <v>1.4643769901800585E-5</v>
      </c>
      <c r="AG399" s="81"/>
    </row>
    <row r="400" spans="9:33" x14ac:dyDescent="0.25">
      <c r="I400" s="49"/>
      <c r="J400" s="49"/>
      <c r="K400" s="49"/>
      <c r="M400" s="37"/>
      <c r="R400" s="61">
        <v>1192.1276350809903</v>
      </c>
      <c r="S400" s="58">
        <v>1.4643769901800585E-7</v>
      </c>
      <c r="V400" s="173"/>
      <c r="W400" s="173"/>
      <c r="X400" s="173"/>
      <c r="Y400" s="185"/>
      <c r="AA400" s="78"/>
      <c r="AC400" s="84"/>
      <c r="AE400" s="145">
        <f t="shared" si="42"/>
        <v>106.22776350809904</v>
      </c>
      <c r="AF400" s="145">
        <f t="shared" si="43"/>
        <v>1.4643769901800585E-5</v>
      </c>
      <c r="AG400" s="81"/>
    </row>
    <row r="401" spans="9:33" x14ac:dyDescent="0.25">
      <c r="I401" s="49"/>
      <c r="J401" s="49"/>
      <c r="K401" s="49"/>
      <c r="M401" s="34"/>
      <c r="R401" s="61">
        <v>1192.1276350809903</v>
      </c>
      <c r="S401" s="58">
        <v>8.4795927139762303E-8</v>
      </c>
      <c r="V401" s="173"/>
      <c r="W401" s="173"/>
      <c r="X401" s="173"/>
      <c r="Y401" s="185"/>
      <c r="AA401" s="78"/>
      <c r="AC401" s="82"/>
      <c r="AE401" s="145">
        <f t="shared" si="42"/>
        <v>106.22776350809904</v>
      </c>
      <c r="AF401" s="145">
        <f t="shared" si="43"/>
        <v>8.4795927139762303E-6</v>
      </c>
      <c r="AG401" s="81"/>
    </row>
    <row r="402" spans="9:33" x14ac:dyDescent="0.25">
      <c r="I402" s="49"/>
      <c r="J402" s="49"/>
      <c r="K402" s="49"/>
      <c r="M402" s="33"/>
      <c r="R402" s="61">
        <v>1197.3053155560228</v>
      </c>
      <c r="S402" s="58">
        <v>8.4795927139762303E-8</v>
      </c>
      <c r="V402" s="173"/>
      <c r="W402" s="173"/>
      <c r="X402" s="173"/>
      <c r="Y402" s="185"/>
      <c r="AA402" s="78"/>
      <c r="AC402" s="79"/>
      <c r="AE402" s="145">
        <f t="shared" si="42"/>
        <v>106.7455315556023</v>
      </c>
      <c r="AF402" s="145">
        <f t="shared" si="43"/>
        <v>8.4795927139762303E-6</v>
      </c>
      <c r="AG402" s="81"/>
    </row>
    <row r="403" spans="9:33" x14ac:dyDescent="0.25">
      <c r="I403" s="49"/>
      <c r="J403" s="49"/>
      <c r="K403" s="49"/>
      <c r="M403" s="37"/>
      <c r="R403" s="61">
        <v>1197.3053155560228</v>
      </c>
      <c r="S403" s="58">
        <v>3.1465765109653332E-8</v>
      </c>
      <c r="V403" s="173"/>
      <c r="W403" s="173"/>
      <c r="X403" s="173"/>
      <c r="Y403" s="185"/>
      <c r="AA403" s="78"/>
      <c r="AC403" s="84"/>
      <c r="AE403" s="145">
        <f t="shared" si="42"/>
        <v>106.7455315556023</v>
      </c>
      <c r="AF403" s="145">
        <f t="shared" si="43"/>
        <v>3.1465765109653332E-6</v>
      </c>
      <c r="AG403" s="81"/>
    </row>
    <row r="404" spans="9:33" x14ac:dyDescent="0.25">
      <c r="I404" s="49"/>
      <c r="J404" s="49"/>
      <c r="K404" s="49"/>
      <c r="M404" s="37"/>
      <c r="R404" s="61">
        <v>1202.4829960310553</v>
      </c>
      <c r="S404" s="58">
        <v>3.1465765109653332E-8</v>
      </c>
      <c r="V404" s="173"/>
      <c r="W404" s="173"/>
      <c r="X404" s="173"/>
      <c r="Y404" s="185"/>
      <c r="AA404" s="78"/>
      <c r="AC404" s="84"/>
      <c r="AE404" s="145">
        <f t="shared" si="42"/>
        <v>107.26329960310554</v>
      </c>
      <c r="AF404" s="145">
        <f t="shared" si="43"/>
        <v>3.1465765109653332E-6</v>
      </c>
      <c r="AG404" s="81"/>
    </row>
    <row r="405" spans="9:33" x14ac:dyDescent="0.25">
      <c r="I405" s="49"/>
      <c r="J405" s="49"/>
      <c r="K405" s="49"/>
      <c r="M405" s="34"/>
      <c r="R405" s="61">
        <v>1202.4829960310553</v>
      </c>
      <c r="S405" s="58">
        <v>-1.2758566532125529E-8</v>
      </c>
      <c r="V405" s="173"/>
      <c r="W405" s="173"/>
      <c r="X405" s="173"/>
      <c r="Y405" s="185"/>
      <c r="AA405" s="78"/>
      <c r="AC405" s="82"/>
      <c r="AE405" s="145">
        <f t="shared" si="42"/>
        <v>107.26329960310554</v>
      </c>
      <c r="AF405" s="145">
        <f t="shared" si="43"/>
        <v>-1.2758566532125529E-6</v>
      </c>
      <c r="AG405" s="81"/>
    </row>
    <row r="406" spans="9:33" x14ac:dyDescent="0.25">
      <c r="I406" s="49"/>
      <c r="J406" s="49"/>
      <c r="K406" s="49"/>
      <c r="M406" s="37"/>
      <c r="R406" s="61">
        <v>1207.6606765060878</v>
      </c>
      <c r="S406" s="58">
        <v>-1.2758566532125529E-8</v>
      </c>
      <c r="V406" s="173"/>
      <c r="W406" s="173"/>
      <c r="X406" s="173"/>
      <c r="Y406" s="185"/>
      <c r="AA406" s="78"/>
      <c r="AC406" s="84"/>
      <c r="AE406" s="145">
        <f t="shared" si="42"/>
        <v>107.78106765060879</v>
      </c>
      <c r="AF406" s="145">
        <f t="shared" si="43"/>
        <v>-1.2758566532125529E-6</v>
      </c>
      <c r="AG406" s="81"/>
    </row>
    <row r="407" spans="9:33" x14ac:dyDescent="0.25">
      <c r="I407" s="49"/>
      <c r="J407" s="49"/>
      <c r="K407" s="49"/>
      <c r="M407" s="34"/>
      <c r="R407" s="61">
        <v>1207.6606765060878</v>
      </c>
      <c r="S407" s="58">
        <v>-4.8220027253041494E-8</v>
      </c>
      <c r="V407" s="173"/>
      <c r="W407" s="173"/>
      <c r="X407" s="173"/>
      <c r="Y407" s="185"/>
      <c r="AA407" s="78"/>
      <c r="AC407" s="82"/>
      <c r="AE407" s="145">
        <f t="shared" si="42"/>
        <v>107.78106765060879</v>
      </c>
      <c r="AF407" s="145">
        <f t="shared" si="43"/>
        <v>-4.8220027253041494E-6</v>
      </c>
      <c r="AG407" s="81"/>
    </row>
    <row r="408" spans="9:33" x14ac:dyDescent="0.25">
      <c r="I408" s="49"/>
      <c r="J408" s="49"/>
      <c r="K408" s="49"/>
      <c r="M408" s="37"/>
      <c r="R408" s="61">
        <v>1212.8383569811203</v>
      </c>
      <c r="S408" s="58">
        <v>-4.8220027253041494E-8</v>
      </c>
      <c r="V408" s="173"/>
      <c r="W408" s="173"/>
      <c r="X408" s="173"/>
      <c r="Y408" s="185"/>
      <c r="AA408" s="78"/>
      <c r="AC408" s="84"/>
      <c r="AE408" s="145">
        <f t="shared" si="42"/>
        <v>108.29883569811204</v>
      </c>
      <c r="AF408" s="145">
        <f t="shared" si="43"/>
        <v>-4.8220027253041494E-6</v>
      </c>
      <c r="AG408" s="81"/>
    </row>
    <row r="409" spans="9:33" x14ac:dyDescent="0.25">
      <c r="I409" s="49"/>
      <c r="J409" s="49"/>
      <c r="K409" s="49"/>
      <c r="M409" s="33"/>
      <c r="R409" s="61">
        <v>1212.8383569811203</v>
      </c>
      <c r="S409" s="58">
        <v>-7.6099510329533214E-8</v>
      </c>
      <c r="V409" s="173"/>
      <c r="W409" s="173"/>
      <c r="X409" s="173"/>
      <c r="Y409" s="185"/>
      <c r="AA409" s="78"/>
      <c r="AC409" s="79"/>
      <c r="AE409" s="145">
        <f t="shared" si="42"/>
        <v>108.29883569811204</v>
      </c>
      <c r="AF409" s="145">
        <f t="shared" si="43"/>
        <v>-7.6099510329533214E-6</v>
      </c>
      <c r="AG409" s="81"/>
    </row>
    <row r="410" spans="9:33" x14ac:dyDescent="0.25">
      <c r="I410" s="49"/>
      <c r="J410" s="49"/>
      <c r="K410" s="49"/>
      <c r="M410" s="37"/>
      <c r="R410" s="61">
        <v>1218.0160374561528</v>
      </c>
      <c r="S410" s="58">
        <v>-7.6099510329533214E-8</v>
      </c>
      <c r="V410" s="173"/>
      <c r="W410" s="173"/>
      <c r="X410" s="173"/>
      <c r="Y410" s="185"/>
      <c r="AA410" s="78"/>
      <c r="AC410" s="84"/>
      <c r="AE410" s="145">
        <f t="shared" si="42"/>
        <v>108.8166037456153</v>
      </c>
      <c r="AF410" s="145">
        <f t="shared" si="43"/>
        <v>-7.6099510329533214E-6</v>
      </c>
      <c r="AG410" s="81"/>
    </row>
    <row r="411" spans="9:33" x14ac:dyDescent="0.25">
      <c r="I411" s="49"/>
      <c r="J411" s="49"/>
      <c r="K411" s="49"/>
      <c r="M411" s="34"/>
      <c r="R411" s="61">
        <v>1218.0160374561528</v>
      </c>
      <c r="S411" s="58">
        <v>-9.8028874086045501E-8</v>
      </c>
      <c r="V411" s="173"/>
      <c r="W411" s="173"/>
      <c r="X411" s="173"/>
      <c r="Y411" s="185"/>
      <c r="AA411" s="78"/>
      <c r="AC411" s="82"/>
      <c r="AE411" s="145">
        <f t="shared" si="42"/>
        <v>108.8166037456153</v>
      </c>
      <c r="AF411" s="145">
        <f t="shared" si="43"/>
        <v>-9.8028874086045501E-6</v>
      </c>
      <c r="AG411" s="81"/>
    </row>
    <row r="412" spans="9:33" x14ac:dyDescent="0.25">
      <c r="I412" s="49"/>
      <c r="J412" s="49"/>
      <c r="K412" s="49"/>
      <c r="M412" s="37"/>
      <c r="R412" s="61">
        <v>1223.1937179311853</v>
      </c>
      <c r="S412" s="58">
        <v>-9.8028874086045501E-8</v>
      </c>
      <c r="V412" s="173"/>
      <c r="W412" s="173"/>
      <c r="X412" s="173"/>
      <c r="Y412" s="185"/>
      <c r="AA412" s="78"/>
      <c r="AC412" s="84"/>
      <c r="AE412" s="145">
        <f t="shared" si="42"/>
        <v>109.33437179311855</v>
      </c>
      <c r="AF412" s="145">
        <f t="shared" si="43"/>
        <v>-9.8028874086045501E-6</v>
      </c>
      <c r="AG412" s="81"/>
    </row>
    <row r="413" spans="9:33" x14ac:dyDescent="0.25">
      <c r="I413" s="49"/>
      <c r="J413" s="49"/>
      <c r="K413" s="49"/>
      <c r="M413" s="37"/>
      <c r="R413" s="61">
        <v>1223.1937179311853</v>
      </c>
      <c r="S413" s="58">
        <v>-1.1572888665822462E-7</v>
      </c>
      <c r="V413" s="173"/>
      <c r="W413" s="173"/>
      <c r="X413" s="173"/>
      <c r="Y413" s="185"/>
      <c r="AA413" s="78"/>
      <c r="AC413" s="84"/>
      <c r="AE413" s="145">
        <f t="shared" si="42"/>
        <v>109.33437179311855</v>
      </c>
      <c r="AF413" s="145">
        <f t="shared" si="43"/>
        <v>-1.1572888665822462E-5</v>
      </c>
      <c r="AG413" s="81"/>
    </row>
    <row r="414" spans="9:33" x14ac:dyDescent="0.25">
      <c r="I414" s="49"/>
      <c r="J414" s="49"/>
      <c r="K414" s="49"/>
      <c r="M414" s="34"/>
      <c r="R414" s="61">
        <v>1228.3713984062178</v>
      </c>
      <c r="S414" s="58">
        <v>-1.1572888665822462E-7</v>
      </c>
      <c r="V414" s="173"/>
      <c r="W414" s="173"/>
      <c r="X414" s="173"/>
      <c r="Y414" s="185"/>
      <c r="AA414" s="78"/>
      <c r="AC414" s="82"/>
      <c r="AE414" s="145">
        <f t="shared" si="42"/>
        <v>109.85213984062179</v>
      </c>
      <c r="AF414" s="145">
        <f t="shared" si="43"/>
        <v>-1.1572888665822462E-5</v>
      </c>
      <c r="AG414" s="81"/>
    </row>
    <row r="415" spans="9:33" x14ac:dyDescent="0.25">
      <c r="I415" s="49"/>
      <c r="J415" s="49"/>
      <c r="K415" s="49"/>
      <c r="M415" s="37"/>
      <c r="R415" s="61">
        <v>1228.3713984062178</v>
      </c>
      <c r="S415" s="58">
        <v>-1.3074624606240019E-7</v>
      </c>
      <c r="V415" s="173"/>
      <c r="W415" s="173"/>
      <c r="X415" s="173"/>
      <c r="Y415" s="185"/>
      <c r="AA415" s="78"/>
      <c r="AC415" s="84"/>
      <c r="AE415" s="145">
        <f t="shared" si="42"/>
        <v>109.85213984062179</v>
      </c>
      <c r="AF415" s="145">
        <f t="shared" si="43"/>
        <v>-1.3074624606240019E-5</v>
      </c>
      <c r="AG415" s="81"/>
    </row>
    <row r="416" spans="9:33" x14ac:dyDescent="0.25">
      <c r="I416" s="49"/>
      <c r="J416" s="49"/>
      <c r="K416" s="49"/>
      <c r="M416" s="33"/>
      <c r="R416" s="61">
        <v>1233.5490788812504</v>
      </c>
      <c r="S416" s="58">
        <v>-1.3074624606240019E-7</v>
      </c>
      <c r="V416" s="173"/>
      <c r="W416" s="173"/>
      <c r="X416" s="173"/>
      <c r="Y416" s="185"/>
      <c r="AA416" s="78"/>
      <c r="AC416" s="79"/>
      <c r="AE416" s="145">
        <f t="shared" si="42"/>
        <v>110.36990788812504</v>
      </c>
      <c r="AF416" s="145">
        <f t="shared" si="43"/>
        <v>-1.3074624606240019E-5</v>
      </c>
      <c r="AG416" s="81"/>
    </row>
    <row r="417" spans="9:33" x14ac:dyDescent="0.25">
      <c r="I417" s="49"/>
      <c r="J417" s="49"/>
      <c r="K417" s="49"/>
      <c r="M417" s="34"/>
      <c r="R417" s="61">
        <v>1233.5490788812504</v>
      </c>
      <c r="S417" s="58">
        <v>-1.4431379693645899E-7</v>
      </c>
      <c r="T417" s="81"/>
      <c r="V417" s="173"/>
      <c r="W417" s="173"/>
      <c r="X417" s="173"/>
      <c r="Y417" s="185"/>
      <c r="AA417" s="78"/>
      <c r="AC417" s="82"/>
      <c r="AE417" s="145">
        <f t="shared" si="42"/>
        <v>110.36990788812504</v>
      </c>
      <c r="AF417" s="145">
        <f t="shared" si="43"/>
        <v>-1.4431379693645899E-5</v>
      </c>
      <c r="AG417" s="81"/>
    </row>
    <row r="418" spans="9:33" x14ac:dyDescent="0.25">
      <c r="I418" s="49"/>
      <c r="J418" s="49"/>
      <c r="K418" s="49"/>
      <c r="M418" s="37"/>
      <c r="R418" s="61">
        <v>1238.7267593562829</v>
      </c>
      <c r="S418" s="58">
        <v>-1.4431379693645899E-7</v>
      </c>
      <c r="T418" s="81"/>
      <c r="V418" s="173"/>
      <c r="W418" s="173"/>
      <c r="X418" s="173"/>
      <c r="Y418" s="185"/>
      <c r="AA418" s="78"/>
      <c r="AC418" s="84"/>
      <c r="AE418" s="145">
        <f t="shared" si="42"/>
        <v>110.88767593562829</v>
      </c>
      <c r="AF418" s="145">
        <f t="shared" si="43"/>
        <v>-1.4431379693645899E-5</v>
      </c>
      <c r="AG418" s="81"/>
    </row>
    <row r="419" spans="9:33" x14ac:dyDescent="0.25">
      <c r="I419" s="49"/>
      <c r="J419" s="49"/>
      <c r="K419" s="49"/>
      <c r="M419" s="37"/>
      <c r="R419" s="61">
        <v>1238.7267593562829</v>
      </c>
      <c r="S419" s="58">
        <v>-1.573175722767324E-7</v>
      </c>
      <c r="T419" s="81"/>
      <c r="V419" s="173"/>
      <c r="W419" s="173"/>
      <c r="X419" s="173"/>
      <c r="Y419" s="185"/>
      <c r="AA419" s="78"/>
      <c r="AC419" s="84"/>
      <c r="AE419" s="145">
        <f t="shared" si="42"/>
        <v>110.88767593562829</v>
      </c>
      <c r="AF419" s="145">
        <f t="shared" si="43"/>
        <v>-1.573175722767324E-5</v>
      </c>
      <c r="AG419" s="81"/>
    </row>
    <row r="420" spans="9:33" x14ac:dyDescent="0.25">
      <c r="I420" s="49"/>
      <c r="J420" s="49"/>
      <c r="K420" s="49"/>
      <c r="M420" s="34"/>
      <c r="R420" s="61">
        <v>1243.9044398313154</v>
      </c>
      <c r="S420" s="58">
        <v>-1.573175722767324E-7</v>
      </c>
      <c r="T420" s="81"/>
      <c r="V420" s="173"/>
      <c r="W420" s="173"/>
      <c r="X420" s="173"/>
      <c r="Y420" s="185"/>
      <c r="AA420" s="78"/>
      <c r="AC420" s="82"/>
      <c r="AE420" s="145">
        <f t="shared" si="42"/>
        <v>111.40544398313155</v>
      </c>
      <c r="AF420" s="145">
        <f t="shared" si="43"/>
        <v>-1.573175722767324E-5</v>
      </c>
      <c r="AG420" s="81"/>
    </row>
    <row r="421" spans="9:33" x14ac:dyDescent="0.25">
      <c r="I421" s="49"/>
      <c r="J421" s="49"/>
      <c r="K421" s="49"/>
      <c r="M421" s="37"/>
      <c r="R421" s="61">
        <v>1243.9044398313154</v>
      </c>
      <c r="S421" s="58">
        <v>-1.7033374964705547E-7</v>
      </c>
      <c r="T421" s="81"/>
      <c r="V421" s="173"/>
      <c r="W421" s="173"/>
      <c r="X421" s="173"/>
      <c r="Y421" s="185"/>
      <c r="AA421" s="78"/>
      <c r="AC421" s="84"/>
      <c r="AE421" s="145">
        <f t="shared" si="42"/>
        <v>111.40544398313155</v>
      </c>
      <c r="AF421" s="145">
        <f t="shared" si="43"/>
        <v>-1.7033374964705547E-5</v>
      </c>
      <c r="AG421" s="81"/>
    </row>
    <row r="422" spans="9:33" x14ac:dyDescent="0.25">
      <c r="I422" s="49"/>
      <c r="J422" s="49"/>
      <c r="K422" s="49"/>
      <c r="M422" s="33"/>
      <c r="R422" s="61">
        <v>1249.0821203063479</v>
      </c>
      <c r="S422" s="58">
        <v>-1.7033374964705547E-7</v>
      </c>
      <c r="T422" s="81"/>
      <c r="V422" s="173"/>
      <c r="W422" s="173"/>
      <c r="X422" s="173"/>
      <c r="Y422" s="185"/>
      <c r="AA422" s="78"/>
      <c r="AC422" s="79"/>
      <c r="AE422" s="145">
        <f t="shared" si="42"/>
        <v>111.9232120306348</v>
      </c>
      <c r="AF422" s="145">
        <f t="shared" si="43"/>
        <v>-1.7033374964705547E-5</v>
      </c>
      <c r="AG422" s="81"/>
    </row>
    <row r="423" spans="9:33" x14ac:dyDescent="0.25">
      <c r="I423" s="49"/>
      <c r="J423" s="49"/>
      <c r="K423" s="49"/>
      <c r="M423" s="37"/>
      <c r="R423" s="61">
        <v>1249.0821203063479</v>
      </c>
      <c r="S423" s="58">
        <v>-1.8369709834449877E-7</v>
      </c>
      <c r="T423" s="81"/>
      <c r="V423" s="173"/>
      <c r="W423" s="173"/>
      <c r="X423" s="173"/>
      <c r="Y423" s="185"/>
      <c r="AA423" s="78"/>
      <c r="AC423" s="84"/>
      <c r="AE423" s="145">
        <f t="shared" si="42"/>
        <v>111.9232120306348</v>
      </c>
      <c r="AF423" s="145">
        <f t="shared" si="43"/>
        <v>-1.8369709834449879E-5</v>
      </c>
      <c r="AG423" s="81"/>
    </row>
    <row r="424" spans="9:33" x14ac:dyDescent="0.25">
      <c r="I424" s="49"/>
      <c r="J424" s="49"/>
      <c r="K424" s="49"/>
      <c r="M424" s="34"/>
      <c r="R424" s="61">
        <v>1254.2598007813804</v>
      </c>
      <c r="S424" s="58">
        <v>-1.8369709834449877E-7</v>
      </c>
      <c r="T424" s="81"/>
      <c r="V424" s="173"/>
      <c r="W424" s="173"/>
      <c r="X424" s="173"/>
      <c r="Y424" s="185"/>
      <c r="AA424" s="78"/>
      <c r="AC424" s="82"/>
      <c r="AE424" s="145">
        <f t="shared" si="42"/>
        <v>112.44098007813804</v>
      </c>
      <c r="AF424" s="145">
        <f t="shared" si="43"/>
        <v>-1.8369709834449879E-5</v>
      </c>
      <c r="AG424" s="81"/>
    </row>
    <row r="425" spans="9:33" x14ac:dyDescent="0.25">
      <c r="I425" s="49"/>
      <c r="J425" s="49"/>
      <c r="K425" s="49"/>
      <c r="M425" s="37"/>
      <c r="R425" s="61">
        <v>1254.2598007813804</v>
      </c>
      <c r="S425" s="58">
        <v>-1.9757248549617671E-7</v>
      </c>
      <c r="T425" s="81"/>
      <c r="V425" s="173"/>
      <c r="W425" s="173"/>
      <c r="X425" s="173"/>
      <c r="Y425" s="185"/>
      <c r="AA425" s="78"/>
      <c r="AC425" s="84"/>
      <c r="AE425" s="145">
        <f t="shared" si="42"/>
        <v>112.44098007813804</v>
      </c>
      <c r="AF425" s="145">
        <f t="shared" si="43"/>
        <v>-1.9757248549617669E-5</v>
      </c>
      <c r="AG425" s="81"/>
    </row>
    <row r="426" spans="9:33" x14ac:dyDescent="0.25">
      <c r="I426" s="49"/>
      <c r="J426" s="49"/>
      <c r="K426" s="49"/>
      <c r="M426" s="37"/>
      <c r="R426" s="61">
        <v>1259.4374812564129</v>
      </c>
      <c r="S426" s="58">
        <v>-1.9757248549617671E-7</v>
      </c>
      <c r="T426" s="81"/>
      <c r="V426" s="173"/>
      <c r="W426" s="173"/>
      <c r="X426" s="173"/>
      <c r="Y426" s="185"/>
      <c r="AA426" s="78"/>
      <c r="AC426" s="84"/>
      <c r="AE426" s="145">
        <f t="shared" si="42"/>
        <v>112.95874812564129</v>
      </c>
      <c r="AF426" s="145">
        <f t="shared" si="43"/>
        <v>-1.9757248549617669E-5</v>
      </c>
      <c r="AG426" s="81"/>
    </row>
    <row r="427" spans="9:33" x14ac:dyDescent="0.25">
      <c r="I427" s="49"/>
      <c r="J427" s="49"/>
      <c r="K427" s="49"/>
      <c r="M427" s="34"/>
      <c r="R427" s="61">
        <v>1259.4374812564129</v>
      </c>
      <c r="S427" s="58">
        <v>-2.1201414622895397E-7</v>
      </c>
      <c r="T427" s="81"/>
      <c r="V427" s="173"/>
      <c r="W427" s="173"/>
      <c r="X427" s="173"/>
      <c r="Y427" s="185"/>
      <c r="AA427" s="78"/>
      <c r="AC427" s="82"/>
      <c r="AE427" s="145">
        <f t="shared" si="42"/>
        <v>112.95874812564129</v>
      </c>
      <c r="AF427" s="145">
        <f t="shared" si="43"/>
        <v>-2.1201414622895397E-5</v>
      </c>
      <c r="AG427" s="81"/>
    </row>
    <row r="428" spans="9:33" x14ac:dyDescent="0.25">
      <c r="I428" s="49"/>
      <c r="J428" s="49"/>
      <c r="K428" s="49"/>
      <c r="M428" s="37"/>
      <c r="R428" s="61">
        <v>1264.6151617314454</v>
      </c>
      <c r="S428" s="58">
        <v>-2.1201414622895397E-7</v>
      </c>
      <c r="T428" s="81"/>
      <c r="V428" s="173"/>
      <c r="W428" s="173"/>
      <c r="X428" s="173"/>
      <c r="Y428" s="185"/>
      <c r="AA428" s="78"/>
      <c r="AC428" s="84"/>
      <c r="AE428" s="145">
        <f t="shared" si="42"/>
        <v>113.47651617314455</v>
      </c>
      <c r="AF428" s="145">
        <f t="shared" si="43"/>
        <v>-2.1201414622895397E-5</v>
      </c>
      <c r="AG428" s="81"/>
    </row>
    <row r="429" spans="9:33" x14ac:dyDescent="0.25">
      <c r="I429" s="49"/>
      <c r="J429" s="49"/>
      <c r="K429" s="49"/>
      <c r="M429" s="33"/>
      <c r="R429" s="61">
        <v>1264.6151617314454</v>
      </c>
      <c r="S429" s="58">
        <v>-2.2700813876405229E-7</v>
      </c>
      <c r="T429" s="81"/>
      <c r="V429" s="173"/>
      <c r="W429" s="173"/>
      <c r="X429" s="173"/>
      <c r="Y429" s="185"/>
      <c r="AA429" s="78"/>
      <c r="AC429" s="79"/>
      <c r="AE429" s="145">
        <f t="shared" si="42"/>
        <v>113.47651617314455</v>
      </c>
      <c r="AF429" s="145">
        <f t="shared" si="43"/>
        <v>-2.2700813876405231E-5</v>
      </c>
      <c r="AG429" s="81"/>
    </row>
    <row r="430" spans="9:33" x14ac:dyDescent="0.25">
      <c r="I430" s="49"/>
      <c r="J430" s="49"/>
      <c r="K430" s="49"/>
      <c r="M430" s="34"/>
      <c r="R430" s="61">
        <v>1269.7928422064779</v>
      </c>
      <c r="S430" s="58">
        <v>-2.2700813876405229E-7</v>
      </c>
      <c r="T430" s="81"/>
      <c r="V430" s="173"/>
      <c r="W430" s="173"/>
      <c r="X430" s="173"/>
      <c r="Y430" s="185"/>
      <c r="AA430" s="78"/>
      <c r="AC430" s="82"/>
      <c r="AE430" s="145">
        <f t="shared" si="42"/>
        <v>113.9942842206478</v>
      </c>
      <c r="AF430" s="145">
        <f t="shared" si="43"/>
        <v>-2.2700813876405231E-5</v>
      </c>
      <c r="AG430" s="81"/>
    </row>
    <row r="431" spans="9:33" x14ac:dyDescent="0.25">
      <c r="I431" s="49"/>
      <c r="J431" s="49"/>
      <c r="K431" s="49"/>
      <c r="M431" s="37"/>
      <c r="R431" s="61">
        <v>1269.7928422064779</v>
      </c>
      <c r="S431" s="58">
        <v>-2.4249970380461236E-7</v>
      </c>
      <c r="T431" s="81"/>
      <c r="V431" s="173"/>
      <c r="W431" s="173"/>
      <c r="X431" s="173"/>
      <c r="Y431" s="185"/>
      <c r="AA431" s="78"/>
      <c r="AC431" s="84"/>
      <c r="AE431" s="145">
        <f t="shared" si="42"/>
        <v>113.9942842206478</v>
      </c>
      <c r="AF431" s="145">
        <f t="shared" si="43"/>
        <v>-2.4249970380461238E-5</v>
      </c>
      <c r="AG431" s="81"/>
    </row>
    <row r="432" spans="9:33" x14ac:dyDescent="0.25">
      <c r="I432" s="49"/>
      <c r="J432" s="49"/>
      <c r="K432" s="49"/>
      <c r="M432" s="34"/>
      <c r="R432" s="61">
        <v>1274.9705226815104</v>
      </c>
      <c r="S432" s="58">
        <v>-2.4249970380461236E-7</v>
      </c>
      <c r="T432" s="81"/>
      <c r="V432" s="173"/>
      <c r="W432" s="173"/>
      <c r="X432" s="173"/>
      <c r="Y432" s="185"/>
      <c r="AA432" s="78"/>
      <c r="AC432" s="82"/>
      <c r="AE432" s="145">
        <f t="shared" si="42"/>
        <v>114.51205226815105</v>
      </c>
      <c r="AF432" s="145">
        <f t="shared" si="43"/>
        <v>-2.4249970380461238E-5</v>
      </c>
      <c r="AG432" s="81"/>
    </row>
    <row r="433" spans="9:33" x14ac:dyDescent="0.25">
      <c r="I433" s="49"/>
      <c r="J433" s="49"/>
      <c r="K433" s="49"/>
      <c r="M433" s="37"/>
      <c r="R433" s="61">
        <v>1274.9705226815104</v>
      </c>
      <c r="S433" s="58">
        <v>-2.5840963848041587E-7</v>
      </c>
      <c r="T433" s="81"/>
      <c r="V433" s="173"/>
      <c r="W433" s="173"/>
      <c r="X433" s="173"/>
      <c r="Y433" s="185"/>
      <c r="AA433" s="78"/>
      <c r="AC433" s="84"/>
      <c r="AE433" s="145">
        <f t="shared" si="42"/>
        <v>114.51205226815105</v>
      </c>
      <c r="AF433" s="145">
        <f t="shared" si="43"/>
        <v>-2.5840963848041585E-5</v>
      </c>
      <c r="AG433" s="81"/>
    </row>
    <row r="434" spans="9:33" x14ac:dyDescent="0.25">
      <c r="I434" s="49"/>
      <c r="J434" s="49"/>
      <c r="K434" s="49"/>
      <c r="M434" s="37"/>
      <c r="R434" s="61">
        <v>1280.1482031565429</v>
      </c>
      <c r="S434" s="58">
        <v>-2.5840963848041587E-7</v>
      </c>
      <c r="T434" s="81"/>
      <c r="V434" s="173"/>
      <c r="W434" s="173"/>
      <c r="X434" s="173"/>
      <c r="Y434" s="185"/>
      <c r="AA434" s="78"/>
      <c r="AC434" s="84"/>
      <c r="AE434" s="145">
        <f t="shared" si="42"/>
        <v>115.02982031565429</v>
      </c>
      <c r="AF434" s="145">
        <f t="shared" si="43"/>
        <v>-2.5840963848041585E-5</v>
      </c>
      <c r="AG434" s="81"/>
    </row>
    <row r="435" spans="9:33" x14ac:dyDescent="0.25">
      <c r="I435" s="49"/>
      <c r="J435" s="49"/>
      <c r="K435" s="49"/>
      <c r="M435" s="33"/>
      <c r="R435" s="61">
        <v>1280.1482031565429</v>
      </c>
      <c r="S435" s="58">
        <v>-2.7464377669166748E-7</v>
      </c>
      <c r="T435" s="81"/>
      <c r="V435" s="173"/>
      <c r="W435" s="173"/>
      <c r="X435" s="173"/>
      <c r="Y435" s="185"/>
      <c r="AA435" s="78"/>
      <c r="AC435" s="79"/>
      <c r="AE435" s="145">
        <f t="shared" si="42"/>
        <v>115.02982031565429</v>
      </c>
      <c r="AF435" s="145">
        <f t="shared" si="43"/>
        <v>-2.7464377669166746E-5</v>
      </c>
      <c r="AG435" s="81"/>
    </row>
    <row r="436" spans="9:33" x14ac:dyDescent="0.25">
      <c r="I436" s="49"/>
      <c r="J436" s="49"/>
      <c r="K436" s="49"/>
      <c r="M436" s="34"/>
      <c r="R436" s="61">
        <v>1285.3258836315754</v>
      </c>
      <c r="S436" s="58">
        <v>-2.7464377669166748E-7</v>
      </c>
      <c r="T436" s="81"/>
      <c r="V436" s="173"/>
      <c r="W436" s="173"/>
      <c r="X436" s="173"/>
      <c r="Y436" s="185"/>
      <c r="AA436" s="78"/>
      <c r="AC436" s="82"/>
      <c r="AE436" s="145">
        <f t="shared" si="42"/>
        <v>115.54758836315754</v>
      </c>
      <c r="AF436" s="145">
        <f t="shared" si="43"/>
        <v>-2.7464377669166746E-5</v>
      </c>
      <c r="AG436" s="81"/>
    </row>
    <row r="437" spans="9:33" x14ac:dyDescent="0.25">
      <c r="I437" s="49"/>
      <c r="J437" s="49"/>
      <c r="K437" s="49"/>
      <c r="M437" s="37"/>
      <c r="R437" s="61">
        <v>1285.3258836315754</v>
      </c>
      <c r="S437" s="58">
        <v>-2.9109864739310748E-7</v>
      </c>
      <c r="T437" s="81"/>
      <c r="V437" s="173"/>
      <c r="W437" s="173"/>
      <c r="X437" s="173"/>
      <c r="Y437" s="185"/>
      <c r="AA437" s="78"/>
      <c r="AC437" s="84"/>
      <c r="AE437" s="145">
        <f t="shared" si="42"/>
        <v>115.54758836315754</v>
      </c>
      <c r="AF437" s="145">
        <f t="shared" si="43"/>
        <v>-2.9109864739310748E-5</v>
      </c>
      <c r="AG437" s="81"/>
    </row>
    <row r="438" spans="9:33" x14ac:dyDescent="0.25">
      <c r="I438" s="49"/>
      <c r="J438" s="49"/>
      <c r="K438" s="49"/>
      <c r="M438" s="37"/>
      <c r="R438" s="61">
        <v>1290.5035641066079</v>
      </c>
      <c r="S438" s="58">
        <v>-2.9109864739310748E-7</v>
      </c>
      <c r="T438" s="81"/>
      <c r="V438" s="173"/>
      <c r="W438" s="173"/>
      <c r="X438" s="173"/>
      <c r="Y438" s="185"/>
      <c r="AA438" s="78"/>
      <c r="AC438" s="84"/>
      <c r="AE438" s="145">
        <f t="shared" si="42"/>
        <v>116.0653564106608</v>
      </c>
      <c r="AF438" s="145">
        <f t="shared" si="43"/>
        <v>-2.9109864739310748E-5</v>
      </c>
      <c r="AG438" s="81"/>
    </row>
    <row r="439" spans="9:33" x14ac:dyDescent="0.25">
      <c r="I439" s="49"/>
      <c r="J439" s="49"/>
      <c r="K439" s="49"/>
      <c r="M439" s="34"/>
      <c r="R439" s="61">
        <v>1290.5035641066079</v>
      </c>
      <c r="S439" s="58">
        <v>-3.0351920460428424E-7</v>
      </c>
      <c r="T439" s="81"/>
      <c r="V439" s="173"/>
      <c r="W439" s="173"/>
      <c r="X439" s="173"/>
      <c r="Y439" s="185"/>
      <c r="AA439" s="78"/>
      <c r="AC439" s="82"/>
      <c r="AE439" s="145">
        <f t="shared" si="42"/>
        <v>116.0653564106608</v>
      </c>
      <c r="AF439" s="145">
        <f t="shared" si="43"/>
        <v>-3.0351920460428426E-5</v>
      </c>
      <c r="AG439" s="81"/>
    </row>
    <row r="440" spans="9:33" x14ac:dyDescent="0.25">
      <c r="I440" s="49"/>
      <c r="J440" s="49"/>
      <c r="K440" s="49"/>
      <c r="M440" s="37"/>
      <c r="R440" s="61">
        <v>1293.0924043441241</v>
      </c>
      <c r="S440" s="58">
        <v>-3.0351920460428424E-7</v>
      </c>
      <c r="T440" s="81"/>
      <c r="V440" s="173"/>
      <c r="W440" s="173"/>
      <c r="X440" s="173"/>
      <c r="Y440" s="185"/>
      <c r="AA440" s="78"/>
      <c r="AC440" s="84"/>
      <c r="AE440" s="145">
        <f t="shared" si="42"/>
        <v>116.32424043441242</v>
      </c>
      <c r="AF440" s="145">
        <f t="shared" si="43"/>
        <v>-3.0351920460428426E-5</v>
      </c>
      <c r="AG440" s="81"/>
    </row>
    <row r="441" spans="9:33" x14ac:dyDescent="0.25">
      <c r="I441" s="49"/>
      <c r="J441" s="49"/>
      <c r="K441" s="49"/>
      <c r="M441" s="37"/>
      <c r="R441" s="61">
        <v>1293.0924043441241</v>
      </c>
      <c r="S441" s="58">
        <v>-3.2060756790141709E-7</v>
      </c>
      <c r="T441" s="81"/>
      <c r="V441" s="173"/>
      <c r="W441" s="173"/>
      <c r="X441" s="173"/>
      <c r="Y441" s="185"/>
      <c r="AA441" s="78"/>
      <c r="AC441" s="84"/>
      <c r="AE441" s="145">
        <f t="shared" si="42"/>
        <v>116.32424043441242</v>
      </c>
      <c r="AF441" s="145">
        <f t="shared" si="43"/>
        <v>-3.2060756790141711E-5</v>
      </c>
      <c r="AG441" s="81"/>
    </row>
    <row r="442" spans="9:33" x14ac:dyDescent="0.25">
      <c r="I442" s="49"/>
      <c r="J442" s="49"/>
      <c r="K442" s="49"/>
      <c r="M442" s="34"/>
      <c r="R442" s="61">
        <v>1301.2125959865127</v>
      </c>
      <c r="S442" s="58">
        <v>-3.2060756790141709E-7</v>
      </c>
      <c r="T442" s="81"/>
      <c r="V442" s="173"/>
      <c r="W442" s="173"/>
      <c r="X442" s="173"/>
      <c r="Y442" s="185"/>
      <c r="AA442" s="78"/>
      <c r="AC442" s="82"/>
      <c r="AE442" s="145">
        <f t="shared" si="42"/>
        <v>117.13625959865128</v>
      </c>
      <c r="AF442" s="145">
        <f t="shared" si="43"/>
        <v>-3.2060756790141711E-5</v>
      </c>
      <c r="AG442" s="81"/>
    </row>
    <row r="443" spans="9:33" x14ac:dyDescent="0.25">
      <c r="I443" s="49"/>
      <c r="J443" s="49"/>
      <c r="K443" s="49"/>
      <c r="M443" s="33"/>
      <c r="R443" s="61">
        <v>1301.2125959865127</v>
      </c>
      <c r="S443" s="58">
        <v>-3.4649154512501372E-7</v>
      </c>
      <c r="T443" s="81"/>
      <c r="V443" s="173"/>
      <c r="W443" s="173"/>
      <c r="X443" s="173"/>
      <c r="Y443" s="185"/>
      <c r="AA443" s="78"/>
      <c r="AC443" s="79"/>
      <c r="AE443" s="145">
        <f t="shared" si="42"/>
        <v>117.13625959865128</v>
      </c>
      <c r="AF443" s="145">
        <f t="shared" si="43"/>
        <v>-3.4649154512501372E-5</v>
      </c>
      <c r="AG443" s="81"/>
    </row>
    <row r="444" spans="9:33" x14ac:dyDescent="0.25">
      <c r="I444" s="49"/>
      <c r="J444" s="49"/>
      <c r="K444" s="49"/>
      <c r="M444" s="37"/>
      <c r="R444" s="61">
        <v>1309.4715236252325</v>
      </c>
      <c r="S444" s="58">
        <v>-3.4649154512501372E-7</v>
      </c>
      <c r="T444" s="81"/>
      <c r="V444" s="173"/>
      <c r="W444" s="173"/>
      <c r="X444" s="173"/>
      <c r="Y444" s="185"/>
      <c r="AA444" s="78"/>
      <c r="AC444" s="84"/>
      <c r="AE444" s="145">
        <f t="shared" si="42"/>
        <v>117.96215236252326</v>
      </c>
      <c r="AF444" s="145">
        <f t="shared" si="43"/>
        <v>-3.4649154512501372E-5</v>
      </c>
      <c r="AG444" s="81"/>
    </row>
    <row r="445" spans="9:33" x14ac:dyDescent="0.25">
      <c r="I445" s="49"/>
      <c r="J445" s="49"/>
      <c r="K445" s="49"/>
      <c r="M445" s="37"/>
      <c r="R445" s="61">
        <v>1309.4715236252325</v>
      </c>
      <c r="S445" s="58">
        <v>-3.7237045970444608E-7</v>
      </c>
      <c r="T445" s="81"/>
      <c r="V445" s="173"/>
      <c r="W445" s="173"/>
      <c r="X445" s="173"/>
      <c r="Y445" s="185"/>
      <c r="AA445" s="78"/>
      <c r="AC445" s="84"/>
      <c r="AE445" s="145">
        <f t="shared" si="42"/>
        <v>117.96215236252326</v>
      </c>
      <c r="AF445" s="145">
        <f t="shared" si="43"/>
        <v>-3.723704597044461E-5</v>
      </c>
      <c r="AG445" s="81"/>
    </row>
    <row r="446" spans="9:33" x14ac:dyDescent="0.25">
      <c r="I446" s="49"/>
      <c r="J446" s="49"/>
      <c r="K446" s="49"/>
      <c r="M446" s="34"/>
      <c r="R446" s="61">
        <v>1318.022829918177</v>
      </c>
      <c r="S446" s="58">
        <v>-3.7237045970444608E-7</v>
      </c>
      <c r="T446" s="81"/>
      <c r="V446" s="173"/>
      <c r="W446" s="173"/>
      <c r="X446" s="173"/>
      <c r="Y446" s="185"/>
      <c r="AA446" s="78"/>
      <c r="AC446" s="82"/>
      <c r="AE446" s="145">
        <f t="shared" si="42"/>
        <v>118.81728299181771</v>
      </c>
      <c r="AF446" s="145">
        <f t="shared" si="43"/>
        <v>-3.723704597044461E-5</v>
      </c>
      <c r="AG446" s="81"/>
    </row>
    <row r="447" spans="9:33" x14ac:dyDescent="0.25">
      <c r="I447" s="49"/>
      <c r="J447" s="49"/>
      <c r="K447" s="49"/>
      <c r="M447" s="37"/>
      <c r="R447" s="61">
        <v>1318.022829918177</v>
      </c>
      <c r="S447" s="58">
        <v>-3.9822743469521208E-7</v>
      </c>
      <c r="T447" s="81"/>
      <c r="V447" s="173"/>
      <c r="W447" s="173"/>
      <c r="X447" s="173"/>
      <c r="Y447" s="185"/>
      <c r="AA447" s="78"/>
      <c r="AC447" s="84"/>
      <c r="AE447" s="145">
        <f t="shared" si="42"/>
        <v>118.81728299181771</v>
      </c>
      <c r="AF447" s="145">
        <f t="shared" si="43"/>
        <v>-3.982274346952121E-5</v>
      </c>
      <c r="AG447" s="81"/>
    </row>
    <row r="448" spans="9:33" x14ac:dyDescent="0.25">
      <c r="I448" s="49"/>
      <c r="J448" s="49"/>
      <c r="K448" s="49"/>
      <c r="M448" s="37"/>
      <c r="R448" s="61">
        <v>1327.054259364299</v>
      </c>
      <c r="S448" s="58">
        <v>-3.9822743469521208E-7</v>
      </c>
      <c r="T448" s="81"/>
      <c r="V448" s="173"/>
      <c r="W448" s="173"/>
      <c r="X448" s="173"/>
      <c r="Y448" s="185"/>
      <c r="AA448" s="78"/>
      <c r="AC448" s="84"/>
      <c r="AE448" s="145">
        <f t="shared" si="42"/>
        <v>119.7204259364299</v>
      </c>
      <c r="AF448" s="145">
        <f t="shared" si="43"/>
        <v>-3.982274346952121E-5</v>
      </c>
      <c r="AG448" s="81"/>
    </row>
    <row r="449" spans="9:33" x14ac:dyDescent="0.25">
      <c r="I449" s="49"/>
      <c r="J449" s="49"/>
      <c r="K449" s="49"/>
      <c r="M449" s="34"/>
      <c r="R449" s="61">
        <v>1327.054259364299</v>
      </c>
      <c r="S449" s="58">
        <v>-4.2402107304646292E-7</v>
      </c>
      <c r="T449" s="81"/>
      <c r="V449" s="173"/>
      <c r="W449" s="173"/>
      <c r="X449" s="173"/>
      <c r="Y449" s="185"/>
      <c r="AA449" s="78"/>
      <c r="AC449" s="82"/>
      <c r="AE449" s="145">
        <f t="shared" si="42"/>
        <v>119.7204259364299</v>
      </c>
      <c r="AF449" s="145">
        <f t="shared" si="43"/>
        <v>-4.2402107304646293E-5</v>
      </c>
      <c r="AG449" s="81"/>
    </row>
    <row r="450" spans="9:33" x14ac:dyDescent="0.25">
      <c r="I450" s="49"/>
      <c r="J450" s="49"/>
      <c r="K450" s="49"/>
      <c r="M450" s="33"/>
      <c r="R450" s="61">
        <v>1336.8179629150511</v>
      </c>
      <c r="S450" s="58">
        <v>-4.2402107304646292E-7</v>
      </c>
      <c r="T450" s="81"/>
      <c r="V450" s="173"/>
      <c r="W450" s="173"/>
      <c r="X450" s="173"/>
      <c r="Y450" s="185"/>
      <c r="AA450" s="78"/>
      <c r="AC450" s="79"/>
      <c r="AE450" s="145">
        <f t="shared" si="42"/>
        <v>120.69679629150512</v>
      </c>
      <c r="AF450" s="145">
        <f t="shared" si="43"/>
        <v>-4.2402107304646293E-5</v>
      </c>
      <c r="AG450" s="81"/>
    </row>
    <row r="451" spans="9:33" x14ac:dyDescent="0.25">
      <c r="I451" s="49"/>
      <c r="J451" s="49"/>
      <c r="K451" s="49"/>
      <c r="M451" s="37"/>
      <c r="R451" s="61">
        <v>1336.8179629150511</v>
      </c>
      <c r="S451" s="58">
        <v>-4.4966531690809394E-7</v>
      </c>
      <c r="T451" s="81"/>
      <c r="V451" s="173"/>
      <c r="W451" s="173"/>
      <c r="X451" s="173"/>
      <c r="Y451" s="185"/>
      <c r="AA451" s="78"/>
      <c r="AC451" s="84"/>
      <c r="AE451" s="145">
        <f t="shared" ref="AE451:AE464" si="44">(R451-129.85)/10</f>
        <v>120.69679629150512</v>
      </c>
      <c r="AF451" s="145">
        <f t="shared" ref="AF451:AF464" si="45">S451*100</f>
        <v>-4.4966531690809398E-5</v>
      </c>
      <c r="AG451" s="81"/>
    </row>
    <row r="452" spans="9:33" x14ac:dyDescent="0.25">
      <c r="I452" s="49"/>
      <c r="J452" s="49"/>
      <c r="K452" s="49"/>
      <c r="M452" s="37"/>
      <c r="R452" s="61">
        <v>1347.6865326290419</v>
      </c>
      <c r="S452" s="58">
        <v>-4.4966531690809394E-7</v>
      </c>
      <c r="T452" s="81"/>
      <c r="V452" s="173"/>
      <c r="W452" s="173"/>
      <c r="X452" s="173"/>
      <c r="Y452" s="185"/>
      <c r="AA452" s="78"/>
      <c r="AC452" s="84"/>
      <c r="AE452" s="145">
        <f t="shared" si="44"/>
        <v>121.78365326290421</v>
      </c>
      <c r="AF452" s="145">
        <f t="shared" si="45"/>
        <v>-4.4966531690809398E-5</v>
      </c>
      <c r="AG452" s="81"/>
    </row>
    <row r="453" spans="9:33" x14ac:dyDescent="0.25">
      <c r="I453" s="49"/>
      <c r="J453" s="49"/>
      <c r="K453" s="49"/>
      <c r="M453" s="34"/>
      <c r="R453" s="61">
        <v>1347.6865326290419</v>
      </c>
      <c r="S453" s="58">
        <v>-4.7499223479648255E-7</v>
      </c>
      <c r="T453" s="81"/>
      <c r="V453" s="173"/>
      <c r="W453" s="173"/>
      <c r="X453" s="173"/>
      <c r="Y453" s="185"/>
      <c r="AA453" s="78"/>
      <c r="AC453" s="82"/>
      <c r="AE453" s="145">
        <f t="shared" si="44"/>
        <v>121.78365326290421</v>
      </c>
      <c r="AF453" s="145">
        <f t="shared" si="45"/>
        <v>-4.7499223479648253E-5</v>
      </c>
      <c r="AG453" s="81"/>
    </row>
    <row r="454" spans="9:33" x14ac:dyDescent="0.25">
      <c r="I454" s="49"/>
      <c r="J454" s="49"/>
      <c r="K454" s="49"/>
      <c r="M454" s="37"/>
      <c r="R454" s="61">
        <v>1360.2730987383932</v>
      </c>
      <c r="S454" s="58">
        <v>-4.7499223479648255E-7</v>
      </c>
      <c r="T454" s="81"/>
      <c r="V454" s="173"/>
      <c r="W454" s="173"/>
      <c r="X454" s="173"/>
      <c r="Y454" s="185"/>
      <c r="AA454" s="78"/>
      <c r="AC454" s="84"/>
      <c r="AE454" s="145">
        <f t="shared" si="44"/>
        <v>123.04230987383933</v>
      </c>
      <c r="AF454" s="145">
        <f t="shared" si="45"/>
        <v>-4.7499223479648253E-5</v>
      </c>
      <c r="AG454" s="81"/>
    </row>
    <row r="455" spans="9:33" x14ac:dyDescent="0.25">
      <c r="I455" s="49"/>
      <c r="J455" s="49"/>
      <c r="K455" s="49"/>
      <c r="M455" s="37"/>
      <c r="R455" s="61">
        <v>1360.2730987383932</v>
      </c>
      <c r="S455" s="58">
        <v>-4.9967670523609915E-7</v>
      </c>
      <c r="T455" s="81"/>
      <c r="V455" s="173"/>
      <c r="W455" s="173"/>
      <c r="X455" s="173"/>
      <c r="Y455" s="185"/>
      <c r="AA455" s="78"/>
      <c r="AC455" s="84"/>
      <c r="AE455" s="145">
        <f t="shared" si="44"/>
        <v>123.04230987383933</v>
      </c>
      <c r="AF455" s="145">
        <f t="shared" si="45"/>
        <v>-4.9967670523609914E-5</v>
      </c>
      <c r="AG455" s="81"/>
    </row>
    <row r="456" spans="9:33" x14ac:dyDescent="0.25">
      <c r="I456" s="49"/>
      <c r="J456" s="49"/>
      <c r="K456" s="49"/>
      <c r="M456" s="34"/>
      <c r="R456" s="61">
        <v>1375.7397709504455</v>
      </c>
      <c r="S456" s="58">
        <v>-4.9967670523609915E-7</v>
      </c>
      <c r="T456" s="81"/>
      <c r="V456" s="173"/>
      <c r="W456" s="173"/>
      <c r="X456" s="173"/>
      <c r="Y456" s="185"/>
      <c r="AA456" s="78"/>
      <c r="AC456" s="82"/>
      <c r="AE456" s="145">
        <f t="shared" si="44"/>
        <v>124.58897709504456</v>
      </c>
      <c r="AF456" s="145">
        <f t="shared" si="45"/>
        <v>-4.9967670523609914E-5</v>
      </c>
      <c r="AG456" s="81"/>
    </row>
    <row r="457" spans="9:33" x14ac:dyDescent="0.25">
      <c r="I457" s="49"/>
      <c r="J457" s="49"/>
      <c r="K457" s="49"/>
      <c r="M457" s="37"/>
      <c r="R457" s="61">
        <v>1375.7397709504455</v>
      </c>
      <c r="S457" s="58">
        <v>-5.2306654378177286E-7</v>
      </c>
      <c r="T457" s="81"/>
      <c r="V457" s="173"/>
      <c r="W457" s="173"/>
      <c r="X457" s="173"/>
      <c r="Y457" s="185"/>
      <c r="AA457" s="78"/>
      <c r="AC457" s="84"/>
      <c r="AE457" s="145">
        <f t="shared" si="44"/>
        <v>124.58897709504456</v>
      </c>
      <c r="AF457" s="145">
        <f t="shared" si="45"/>
        <v>-5.2306654378177286E-5</v>
      </c>
      <c r="AG457" s="81"/>
    </row>
    <row r="458" spans="9:33" x14ac:dyDescent="0.25">
      <c r="I458" s="49"/>
      <c r="J458" s="49"/>
      <c r="K458" s="49"/>
      <c r="M458" s="33"/>
      <c r="R458" s="61">
        <v>1396.8498157159408</v>
      </c>
      <c r="S458" s="58">
        <v>-5.2306654378177286E-7</v>
      </c>
      <c r="T458" s="81"/>
      <c r="V458" s="173"/>
      <c r="W458" s="173"/>
      <c r="X458" s="173"/>
      <c r="Y458" s="185"/>
      <c r="AA458" s="78"/>
      <c r="AC458" s="79"/>
      <c r="AE458" s="145">
        <f t="shared" si="44"/>
        <v>126.69998157159409</v>
      </c>
      <c r="AF458" s="145">
        <f t="shared" si="45"/>
        <v>-5.2306654378177286E-5</v>
      </c>
      <c r="AG458" s="81"/>
    </row>
    <row r="459" spans="9:33" x14ac:dyDescent="0.25">
      <c r="I459" s="49"/>
      <c r="J459" s="49"/>
      <c r="K459" s="49"/>
      <c r="M459" s="37"/>
      <c r="R459" s="61">
        <v>1396.8498157159408</v>
      </c>
      <c r="S459" s="58">
        <v>-5.4373712012868035E-7</v>
      </c>
      <c r="T459" s="81"/>
      <c r="V459" s="173"/>
      <c r="W459" s="173"/>
      <c r="X459" s="173"/>
      <c r="Y459" s="185"/>
      <c r="AA459" s="78"/>
      <c r="AC459" s="84"/>
      <c r="AE459" s="145">
        <f t="shared" si="44"/>
        <v>126.69998157159409</v>
      </c>
      <c r="AF459" s="145">
        <f t="shared" si="45"/>
        <v>-5.4373712012868033E-5</v>
      </c>
      <c r="AG459" s="81"/>
    </row>
    <row r="460" spans="9:33" x14ac:dyDescent="0.25">
      <c r="I460" s="49"/>
      <c r="J460" s="49"/>
      <c r="K460" s="49"/>
      <c r="M460" s="34"/>
      <c r="R460" s="61">
        <v>1434.784846427008</v>
      </c>
      <c r="S460" s="58">
        <v>-5.4373712012868035E-7</v>
      </c>
      <c r="T460" s="81"/>
      <c r="V460" s="173"/>
      <c r="W460" s="173"/>
      <c r="X460" s="173"/>
      <c r="Y460" s="185"/>
      <c r="AA460" s="78"/>
      <c r="AC460" s="82"/>
      <c r="AE460" s="145">
        <f t="shared" si="44"/>
        <v>130.49348464270082</v>
      </c>
      <c r="AF460" s="145">
        <f t="shared" si="45"/>
        <v>-5.4373712012868033E-5</v>
      </c>
      <c r="AG460" s="81"/>
    </row>
    <row r="461" spans="9:33" x14ac:dyDescent="0.25">
      <c r="I461" s="49"/>
      <c r="J461" s="49"/>
      <c r="K461" s="49"/>
      <c r="M461" s="37"/>
      <c r="R461" s="61">
        <v>1434.784846427008</v>
      </c>
      <c r="S461" s="58">
        <v>-5.5802570002786065E-7</v>
      </c>
      <c r="T461" s="81"/>
      <c r="V461" s="173"/>
      <c r="W461" s="173"/>
      <c r="X461" s="173"/>
      <c r="Y461" s="185"/>
      <c r="AA461" s="78"/>
      <c r="AC461" s="84"/>
      <c r="AE461" s="145">
        <f t="shared" si="44"/>
        <v>130.49348464270082</v>
      </c>
      <c r="AF461" s="145">
        <f t="shared" si="45"/>
        <v>-5.5802570002786065E-5</v>
      </c>
      <c r="AG461" s="81"/>
    </row>
    <row r="462" spans="9:33" x14ac:dyDescent="0.25">
      <c r="I462" s="49"/>
      <c r="J462" s="49"/>
      <c r="K462" s="49"/>
      <c r="M462" s="37"/>
      <c r="R462" s="61">
        <v>1485.7288614340021</v>
      </c>
      <c r="S462" s="58">
        <v>-5.5802570002786065E-7</v>
      </c>
      <c r="T462" s="81"/>
      <c r="V462" s="173"/>
      <c r="W462" s="173"/>
      <c r="X462" s="173"/>
      <c r="Y462" s="185"/>
      <c r="AA462" s="78"/>
      <c r="AC462" s="84"/>
      <c r="AE462" s="145">
        <f t="shared" si="44"/>
        <v>135.58788614340023</v>
      </c>
      <c r="AF462" s="145">
        <f t="shared" si="45"/>
        <v>-5.5802570002786065E-5</v>
      </c>
      <c r="AG462" s="81"/>
    </row>
    <row r="463" spans="9:33" x14ac:dyDescent="0.25">
      <c r="I463" s="49"/>
      <c r="J463" s="49"/>
      <c r="K463" s="49"/>
      <c r="M463" s="34"/>
      <c r="R463" s="61">
        <v>1485.7288614340021</v>
      </c>
      <c r="S463" s="58">
        <v>-5.6000000000000014E-7</v>
      </c>
      <c r="T463" s="81"/>
      <c r="V463" s="173"/>
      <c r="W463" s="173"/>
      <c r="X463" s="173"/>
      <c r="Y463" s="185"/>
      <c r="AA463" s="78"/>
      <c r="AC463" s="82"/>
      <c r="AE463" s="145">
        <f t="shared" si="44"/>
        <v>135.58788614340023</v>
      </c>
      <c r="AF463" s="145">
        <f t="shared" si="45"/>
        <v>-5.6000000000000013E-5</v>
      </c>
      <c r="AG463" s="81"/>
    </row>
    <row r="464" spans="9:33" x14ac:dyDescent="0.25">
      <c r="I464" s="49"/>
      <c r="J464" s="49"/>
      <c r="K464" s="49"/>
      <c r="M464" s="37"/>
      <c r="R464" s="61">
        <v>1685.7288614340021</v>
      </c>
      <c r="S464" s="58">
        <v>-5.6000000000000014E-7</v>
      </c>
      <c r="T464" s="81"/>
      <c r="V464" s="173"/>
      <c r="W464" s="173"/>
      <c r="X464" s="173"/>
      <c r="Y464" s="185"/>
      <c r="AA464" s="78"/>
      <c r="AC464" s="84"/>
      <c r="AE464" s="145">
        <f t="shared" si="44"/>
        <v>155.58788614340023</v>
      </c>
      <c r="AF464" s="145">
        <f t="shared" si="45"/>
        <v>-5.6000000000000013E-5</v>
      </c>
      <c r="AG464" s="81"/>
    </row>
    <row r="465" spans="9:33" x14ac:dyDescent="0.25">
      <c r="I465" s="49"/>
      <c r="J465" s="49"/>
      <c r="K465" s="49"/>
      <c r="M465" s="33"/>
      <c r="T465" s="81"/>
      <c r="V465" s="173"/>
      <c r="W465" s="173"/>
      <c r="X465" s="173"/>
      <c r="Y465" s="185"/>
      <c r="AA465" s="78"/>
      <c r="AC465" s="79"/>
      <c r="AG465" s="81"/>
    </row>
    <row r="466" spans="9:33" x14ac:dyDescent="0.25">
      <c r="I466" s="49"/>
      <c r="J466" s="49"/>
      <c r="K466" s="49"/>
      <c r="M466" s="37"/>
      <c r="T466" s="81"/>
      <c r="V466" s="173"/>
      <c r="W466" s="173"/>
      <c r="X466" s="173"/>
      <c r="Y466" s="185"/>
      <c r="AA466" s="78"/>
      <c r="AC466" s="84"/>
      <c r="AG466" s="81"/>
    </row>
    <row r="467" spans="9:33" x14ac:dyDescent="0.25">
      <c r="I467" s="49"/>
      <c r="J467" s="49"/>
      <c r="K467" s="49"/>
      <c r="M467" s="34"/>
      <c r="T467" s="81"/>
      <c r="V467" s="173"/>
      <c r="W467" s="173"/>
      <c r="X467" s="173"/>
      <c r="Y467" s="185"/>
      <c r="AA467" s="78"/>
      <c r="AC467" s="82"/>
      <c r="AG467" s="81"/>
    </row>
    <row r="468" spans="9:33" x14ac:dyDescent="0.25">
      <c r="I468" s="49"/>
      <c r="J468" s="49"/>
      <c r="K468" s="49"/>
      <c r="M468" s="37"/>
      <c r="T468" s="81"/>
      <c r="V468" s="173"/>
      <c r="W468" s="173"/>
      <c r="X468" s="173"/>
      <c r="Y468" s="185"/>
      <c r="AA468" s="78"/>
      <c r="AC468" s="84"/>
      <c r="AG468" s="81"/>
    </row>
    <row r="469" spans="9:33" x14ac:dyDescent="0.25">
      <c r="I469" s="49"/>
      <c r="J469" s="49"/>
      <c r="K469" s="49"/>
      <c r="M469" s="37"/>
      <c r="T469" s="81"/>
      <c r="V469" s="173"/>
      <c r="W469" s="173"/>
      <c r="X469" s="173"/>
      <c r="Y469" s="185"/>
      <c r="AA469" s="78"/>
      <c r="AC469" s="84"/>
      <c r="AG469" s="81"/>
    </row>
    <row r="470" spans="9:33" x14ac:dyDescent="0.25">
      <c r="I470" s="49"/>
      <c r="J470" s="49"/>
      <c r="K470" s="49"/>
      <c r="M470" s="34"/>
      <c r="T470" s="81"/>
      <c r="V470" s="173"/>
      <c r="W470" s="173"/>
      <c r="X470" s="173"/>
      <c r="Y470" s="185"/>
      <c r="AA470" s="78"/>
      <c r="AC470" s="82"/>
      <c r="AG470" s="81"/>
    </row>
    <row r="471" spans="9:33" x14ac:dyDescent="0.25">
      <c r="I471" s="49"/>
      <c r="J471" s="49"/>
      <c r="K471" s="49"/>
      <c r="M471" s="37"/>
      <c r="T471" s="81"/>
      <c r="V471" s="173"/>
      <c r="W471" s="173"/>
      <c r="X471" s="173"/>
      <c r="Y471" s="185"/>
      <c r="AA471" s="78"/>
      <c r="AC471" s="84"/>
      <c r="AG471" s="81"/>
    </row>
    <row r="472" spans="9:33" x14ac:dyDescent="0.25">
      <c r="I472" s="49"/>
      <c r="J472" s="49"/>
      <c r="K472" s="49"/>
      <c r="M472" s="33"/>
      <c r="T472" s="81"/>
      <c r="V472" s="173"/>
      <c r="W472" s="173"/>
      <c r="X472" s="173"/>
      <c r="Y472" s="185"/>
      <c r="AA472" s="78"/>
      <c r="AC472" s="79"/>
      <c r="AG472" s="81"/>
    </row>
    <row r="473" spans="9:33" x14ac:dyDescent="0.25">
      <c r="I473" s="49"/>
      <c r="J473" s="49"/>
      <c r="K473" s="49"/>
      <c r="M473" s="37"/>
      <c r="T473" s="81"/>
      <c r="V473" s="173"/>
      <c r="W473" s="173"/>
      <c r="X473" s="173"/>
      <c r="Y473" s="185"/>
      <c r="AA473" s="78"/>
      <c r="AC473" s="84"/>
      <c r="AG473" s="81"/>
    </row>
    <row r="474" spans="9:33" x14ac:dyDescent="0.25">
      <c r="I474" s="49"/>
      <c r="J474" s="49"/>
      <c r="K474" s="49"/>
      <c r="M474" s="34"/>
      <c r="T474" s="81"/>
      <c r="V474" s="173"/>
      <c r="W474" s="173"/>
      <c r="X474" s="173"/>
      <c r="Y474" s="185"/>
      <c r="AA474" s="78"/>
      <c r="AC474" s="82"/>
      <c r="AG474" s="81"/>
    </row>
    <row r="475" spans="9:33" x14ac:dyDescent="0.25">
      <c r="I475" s="49"/>
      <c r="J475" s="49"/>
      <c r="K475" s="49"/>
      <c r="M475" s="37"/>
      <c r="T475" s="81"/>
      <c r="V475" s="173"/>
      <c r="W475" s="173"/>
      <c r="X475" s="173"/>
      <c r="Y475" s="185"/>
      <c r="AA475" s="78"/>
      <c r="AC475" s="84"/>
      <c r="AG475" s="81"/>
    </row>
    <row r="476" spans="9:33" x14ac:dyDescent="0.25">
      <c r="I476" s="49"/>
      <c r="J476" s="49"/>
      <c r="K476" s="49"/>
      <c r="M476" s="37"/>
      <c r="T476" s="81"/>
      <c r="V476" s="173"/>
      <c r="W476" s="173"/>
      <c r="X476" s="173"/>
      <c r="Y476" s="185"/>
      <c r="AA476" s="78"/>
      <c r="AC476" s="84"/>
      <c r="AG476" s="81"/>
    </row>
    <row r="477" spans="9:33" x14ac:dyDescent="0.25">
      <c r="I477" s="49"/>
      <c r="J477" s="49"/>
      <c r="K477" s="49"/>
      <c r="M477" s="34"/>
      <c r="T477" s="81"/>
      <c r="V477" s="173"/>
      <c r="W477" s="173"/>
      <c r="X477" s="173"/>
      <c r="Y477" s="185"/>
      <c r="AA477" s="78"/>
      <c r="AC477" s="82"/>
      <c r="AG477" s="81"/>
    </row>
    <row r="478" spans="9:33" x14ac:dyDescent="0.25">
      <c r="I478" s="49"/>
      <c r="J478" s="49"/>
      <c r="K478" s="49"/>
      <c r="M478" s="37"/>
      <c r="T478" s="81"/>
      <c r="V478" s="173"/>
      <c r="W478" s="173"/>
      <c r="X478" s="173"/>
      <c r="Y478" s="185"/>
      <c r="AA478" s="78"/>
      <c r="AC478" s="84"/>
      <c r="AG478" s="81"/>
    </row>
    <row r="479" spans="9:33" x14ac:dyDescent="0.25">
      <c r="I479" s="49"/>
      <c r="J479" s="49"/>
      <c r="K479" s="49"/>
      <c r="M479" s="37"/>
      <c r="T479" s="81"/>
      <c r="V479" s="173"/>
      <c r="W479" s="173"/>
      <c r="X479" s="173"/>
      <c r="Y479" s="185"/>
      <c r="AA479" s="78"/>
      <c r="AC479" s="84"/>
      <c r="AG479" s="81"/>
    </row>
    <row r="480" spans="9:33" x14ac:dyDescent="0.25">
      <c r="I480" s="49"/>
      <c r="J480" s="49"/>
      <c r="K480" s="49"/>
      <c r="M480" s="33"/>
      <c r="T480" s="81"/>
      <c r="V480" s="173"/>
      <c r="W480" s="173"/>
      <c r="X480" s="173"/>
      <c r="Y480" s="185"/>
      <c r="AA480" s="78"/>
      <c r="AC480" s="79"/>
      <c r="AG480" s="81"/>
    </row>
    <row r="481" spans="9:33" x14ac:dyDescent="0.25">
      <c r="I481" s="49"/>
      <c r="J481" s="49"/>
      <c r="K481" s="49"/>
      <c r="M481" s="34"/>
      <c r="T481" s="81"/>
      <c r="V481" s="173"/>
      <c r="W481" s="173"/>
      <c r="X481" s="173"/>
      <c r="Y481" s="185"/>
      <c r="AA481" s="78"/>
      <c r="AC481" s="82"/>
      <c r="AG481" s="81"/>
    </row>
    <row r="482" spans="9:33" x14ac:dyDescent="0.25">
      <c r="I482" s="49"/>
      <c r="J482" s="49"/>
      <c r="K482" s="49"/>
      <c r="M482" s="37"/>
      <c r="T482" s="81"/>
      <c r="V482" s="173"/>
      <c r="W482" s="173"/>
      <c r="X482" s="173"/>
      <c r="Y482" s="185"/>
      <c r="AA482" s="78"/>
      <c r="AC482" s="84"/>
      <c r="AG482" s="81"/>
    </row>
    <row r="483" spans="9:33" x14ac:dyDescent="0.25">
      <c r="I483" s="49"/>
      <c r="J483" s="49"/>
      <c r="K483" s="49"/>
      <c r="M483" s="37"/>
      <c r="T483" s="81"/>
      <c r="V483" s="173"/>
      <c r="W483" s="173"/>
      <c r="X483" s="173"/>
      <c r="Y483" s="185"/>
      <c r="AA483" s="78"/>
      <c r="AC483" s="84"/>
      <c r="AG483" s="81"/>
    </row>
    <row r="484" spans="9:33" x14ac:dyDescent="0.25">
      <c r="I484" s="49"/>
      <c r="J484" s="49"/>
      <c r="K484" s="49"/>
      <c r="M484" s="34"/>
      <c r="T484" s="81"/>
      <c r="V484" s="173"/>
      <c r="W484" s="173"/>
      <c r="X484" s="173"/>
      <c r="Y484" s="185"/>
      <c r="AA484" s="78"/>
      <c r="AC484" s="82"/>
      <c r="AG484" s="81"/>
    </row>
    <row r="485" spans="9:33" x14ac:dyDescent="0.25">
      <c r="I485" s="49"/>
      <c r="J485" s="49"/>
      <c r="K485" s="49"/>
      <c r="M485" s="37"/>
      <c r="T485" s="81"/>
      <c r="V485" s="173"/>
      <c r="W485" s="173"/>
      <c r="X485" s="173"/>
      <c r="Y485" s="185"/>
      <c r="AA485" s="78"/>
      <c r="AC485" s="84"/>
      <c r="AG485" s="81"/>
    </row>
    <row r="486" spans="9:33" x14ac:dyDescent="0.25">
      <c r="I486" s="49"/>
      <c r="J486" s="49"/>
      <c r="K486" s="49"/>
      <c r="M486" s="37"/>
      <c r="T486" s="81"/>
      <c r="V486" s="173"/>
      <c r="W486" s="173"/>
      <c r="X486" s="173"/>
      <c r="Y486" s="185"/>
      <c r="AA486" s="78"/>
      <c r="AC486" s="84"/>
      <c r="AG486" s="81"/>
    </row>
    <row r="487" spans="9:33" x14ac:dyDescent="0.25">
      <c r="I487" s="49"/>
      <c r="J487" s="49"/>
      <c r="K487" s="49"/>
      <c r="M487" s="33"/>
      <c r="T487" s="81"/>
      <c r="V487" s="173"/>
      <c r="W487" s="173"/>
      <c r="X487" s="173"/>
      <c r="Y487" s="185"/>
      <c r="AA487" s="78"/>
      <c r="AC487" s="79"/>
      <c r="AG487" s="81"/>
    </row>
    <row r="488" spans="9:33" x14ac:dyDescent="0.25">
      <c r="I488" s="49"/>
      <c r="J488" s="49"/>
      <c r="K488" s="49"/>
      <c r="M488" s="34"/>
      <c r="T488" s="81"/>
      <c r="V488" s="173"/>
      <c r="W488" s="173"/>
      <c r="X488" s="173"/>
      <c r="Y488" s="185"/>
      <c r="AA488" s="78"/>
      <c r="AC488" s="82"/>
      <c r="AG488" s="81"/>
    </row>
    <row r="489" spans="9:33" x14ac:dyDescent="0.25">
      <c r="I489" s="49"/>
      <c r="J489" s="49"/>
      <c r="K489" s="49"/>
      <c r="M489" s="37"/>
      <c r="T489" s="81"/>
      <c r="V489" s="173"/>
      <c r="W489" s="173"/>
      <c r="X489" s="173"/>
      <c r="Y489" s="185"/>
      <c r="AA489" s="78"/>
      <c r="AC489" s="84"/>
      <c r="AG489" s="81"/>
    </row>
    <row r="490" spans="9:33" x14ac:dyDescent="0.25">
      <c r="I490" s="49"/>
      <c r="J490" s="49"/>
      <c r="K490" s="49"/>
      <c r="M490" s="37"/>
      <c r="T490" s="81"/>
      <c r="V490" s="173"/>
      <c r="W490" s="173"/>
      <c r="X490" s="173"/>
      <c r="Y490" s="185"/>
      <c r="AA490" s="78"/>
      <c r="AC490" s="84"/>
      <c r="AG490" s="81"/>
    </row>
    <row r="491" spans="9:33" x14ac:dyDescent="0.25">
      <c r="I491" s="49"/>
      <c r="J491" s="49"/>
      <c r="K491" s="49"/>
      <c r="M491" s="34"/>
      <c r="T491" s="81"/>
      <c r="V491" s="173"/>
      <c r="W491" s="173"/>
      <c r="X491" s="173"/>
      <c r="Y491" s="185"/>
      <c r="AA491" s="78"/>
      <c r="AC491" s="82"/>
      <c r="AG491" s="81"/>
    </row>
    <row r="492" spans="9:33" x14ac:dyDescent="0.25">
      <c r="I492" s="49"/>
      <c r="J492" s="49"/>
      <c r="K492" s="49"/>
      <c r="M492" s="37"/>
      <c r="T492" s="81"/>
      <c r="V492" s="173"/>
      <c r="W492" s="173"/>
      <c r="X492" s="173"/>
      <c r="Y492" s="185"/>
      <c r="AA492" s="78"/>
      <c r="AC492" s="84"/>
      <c r="AG492" s="81"/>
    </row>
    <row r="493" spans="9:33" x14ac:dyDescent="0.25">
      <c r="I493" s="49"/>
      <c r="J493" s="49"/>
      <c r="K493" s="49"/>
      <c r="M493" s="37"/>
      <c r="T493" s="81"/>
      <c r="V493" s="173"/>
      <c r="W493" s="173"/>
      <c r="X493" s="173"/>
      <c r="Y493" s="185"/>
      <c r="AA493" s="78"/>
      <c r="AC493" s="84"/>
      <c r="AG493" s="81"/>
    </row>
    <row r="494" spans="9:33" x14ac:dyDescent="0.25">
      <c r="I494" s="49"/>
      <c r="J494" s="49"/>
      <c r="K494" s="49"/>
      <c r="M494" s="34"/>
      <c r="T494" s="81"/>
      <c r="V494" s="173"/>
      <c r="W494" s="173"/>
      <c r="X494" s="173"/>
      <c r="Y494" s="185"/>
      <c r="AA494" s="78"/>
      <c r="AC494" s="82"/>
      <c r="AG494" s="81"/>
    </row>
    <row r="495" spans="9:33" x14ac:dyDescent="0.25">
      <c r="I495" s="49"/>
      <c r="J495" s="49"/>
      <c r="K495" s="49"/>
      <c r="M495" s="33"/>
      <c r="T495" s="81"/>
      <c r="V495" s="173"/>
      <c r="W495" s="173"/>
      <c r="X495" s="173"/>
      <c r="Y495" s="185"/>
      <c r="AA495" s="78"/>
      <c r="AC495" s="79"/>
      <c r="AG495" s="81"/>
    </row>
    <row r="496" spans="9:33" x14ac:dyDescent="0.25">
      <c r="I496" s="49"/>
      <c r="J496" s="49"/>
      <c r="K496" s="49"/>
      <c r="M496" s="37"/>
      <c r="T496" s="81"/>
      <c r="V496" s="173"/>
      <c r="W496" s="173"/>
      <c r="X496" s="173"/>
      <c r="Y496" s="185"/>
      <c r="AA496" s="78"/>
      <c r="AC496" s="84"/>
      <c r="AG496" s="81"/>
    </row>
    <row r="497" spans="9:33" x14ac:dyDescent="0.25">
      <c r="I497" s="49"/>
      <c r="J497" s="49"/>
      <c r="K497" s="49"/>
      <c r="M497" s="37"/>
      <c r="T497" s="81"/>
      <c r="V497" s="173"/>
      <c r="W497" s="173"/>
      <c r="X497" s="173"/>
      <c r="Y497" s="185"/>
      <c r="AA497" s="78"/>
      <c r="AC497" s="84"/>
      <c r="AG497" s="81"/>
    </row>
    <row r="498" spans="9:33" x14ac:dyDescent="0.25">
      <c r="I498" s="49"/>
      <c r="J498" s="49"/>
      <c r="K498" s="49"/>
      <c r="M498" s="34"/>
      <c r="T498" s="81"/>
      <c r="V498" s="173"/>
      <c r="W498" s="173"/>
      <c r="X498" s="173"/>
      <c r="Y498" s="185"/>
      <c r="AA498" s="78"/>
      <c r="AC498" s="82"/>
      <c r="AG498" s="81"/>
    </row>
    <row r="499" spans="9:33" x14ac:dyDescent="0.25">
      <c r="I499" s="49"/>
      <c r="J499" s="49"/>
      <c r="K499" s="49"/>
      <c r="M499" s="37"/>
      <c r="T499" s="81"/>
      <c r="V499" s="173"/>
      <c r="W499" s="173"/>
      <c r="X499" s="173"/>
      <c r="Y499" s="185"/>
      <c r="AA499" s="78"/>
      <c r="AC499" s="84"/>
      <c r="AG499" s="81"/>
    </row>
    <row r="500" spans="9:33" x14ac:dyDescent="0.25">
      <c r="I500" s="49"/>
      <c r="J500" s="49"/>
      <c r="K500" s="49"/>
      <c r="M500" s="37"/>
      <c r="T500" s="81"/>
      <c r="V500" s="173"/>
      <c r="W500" s="173"/>
      <c r="X500" s="173"/>
      <c r="Y500" s="185"/>
      <c r="AA500" s="78"/>
      <c r="AC500" s="84"/>
      <c r="AG500" s="81"/>
    </row>
    <row r="501" spans="9:33" x14ac:dyDescent="0.25">
      <c r="I501" s="49"/>
      <c r="J501" s="49"/>
      <c r="K501" s="49"/>
      <c r="M501" s="34"/>
      <c r="T501" s="81"/>
      <c r="V501" s="173"/>
      <c r="W501" s="173"/>
      <c r="X501" s="173"/>
      <c r="Y501" s="185"/>
      <c r="AA501" s="78"/>
      <c r="AC501" s="82"/>
      <c r="AG501" s="81"/>
    </row>
    <row r="502" spans="9:33" x14ac:dyDescent="0.25">
      <c r="I502" s="49"/>
      <c r="J502" s="49"/>
      <c r="K502" s="49"/>
      <c r="M502" s="33"/>
      <c r="T502" s="81"/>
      <c r="V502" s="173"/>
      <c r="W502" s="173"/>
      <c r="X502" s="173"/>
      <c r="Y502" s="185"/>
      <c r="AA502" s="78"/>
      <c r="AC502" s="79"/>
      <c r="AG502" s="81"/>
    </row>
    <row r="503" spans="9:33" x14ac:dyDescent="0.25">
      <c r="I503" s="49"/>
      <c r="J503" s="49"/>
      <c r="K503" s="49"/>
      <c r="M503" s="37"/>
      <c r="T503" s="81"/>
      <c r="V503" s="173"/>
      <c r="W503" s="173"/>
      <c r="X503" s="173"/>
      <c r="Y503" s="185"/>
      <c r="AA503" s="78"/>
      <c r="AC503" s="84"/>
      <c r="AG503" s="81"/>
    </row>
    <row r="504" spans="9:33" x14ac:dyDescent="0.25">
      <c r="I504" s="49"/>
      <c r="J504" s="49"/>
      <c r="K504" s="49"/>
      <c r="M504" s="37"/>
      <c r="T504" s="81"/>
      <c r="V504" s="173"/>
      <c r="W504" s="173"/>
      <c r="X504" s="173"/>
      <c r="Y504" s="185"/>
      <c r="AA504" s="78"/>
      <c r="AC504" s="84"/>
      <c r="AG504" s="81"/>
    </row>
    <row r="505" spans="9:33" x14ac:dyDescent="0.25">
      <c r="I505" s="49"/>
      <c r="J505" s="49"/>
      <c r="K505" s="49"/>
      <c r="M505" s="34"/>
      <c r="T505" s="81"/>
      <c r="V505" s="173"/>
      <c r="W505" s="173"/>
      <c r="X505" s="173"/>
      <c r="Y505" s="185"/>
      <c r="AA505" s="78"/>
      <c r="AC505" s="82"/>
      <c r="AG505" s="81"/>
    </row>
    <row r="506" spans="9:33" x14ac:dyDescent="0.25">
      <c r="I506" s="49"/>
      <c r="J506" s="49"/>
      <c r="K506" s="49"/>
      <c r="M506" s="37"/>
      <c r="T506" s="81"/>
      <c r="V506" s="173"/>
      <c r="W506" s="173"/>
      <c r="X506" s="173"/>
      <c r="Y506" s="185"/>
      <c r="AA506" s="78"/>
      <c r="AC506" s="84"/>
      <c r="AG506" s="81"/>
    </row>
    <row r="507" spans="9:33" x14ac:dyDescent="0.25">
      <c r="I507" s="49"/>
      <c r="J507" s="49"/>
      <c r="K507" s="49"/>
      <c r="M507" s="37"/>
      <c r="T507" s="81"/>
      <c r="V507" s="173"/>
      <c r="W507" s="173"/>
      <c r="X507" s="173"/>
      <c r="Y507" s="185"/>
      <c r="AA507" s="78"/>
      <c r="AC507" s="84"/>
      <c r="AG507" s="81"/>
    </row>
    <row r="508" spans="9:33" x14ac:dyDescent="0.25">
      <c r="I508" s="49"/>
      <c r="J508" s="49"/>
      <c r="K508" s="49"/>
      <c r="M508" s="34"/>
      <c r="T508" s="81"/>
      <c r="V508" s="173"/>
      <c r="W508" s="173"/>
      <c r="X508" s="173"/>
      <c r="Y508" s="185"/>
      <c r="AA508" s="78"/>
      <c r="AC508" s="82"/>
      <c r="AG508" s="81"/>
    </row>
    <row r="509" spans="9:33" x14ac:dyDescent="0.25">
      <c r="I509" s="49"/>
      <c r="J509" s="49"/>
      <c r="K509" s="49"/>
      <c r="M509" s="37"/>
      <c r="T509" s="81"/>
      <c r="V509" s="173"/>
      <c r="W509" s="173"/>
      <c r="X509" s="173"/>
      <c r="Y509" s="185"/>
      <c r="AA509" s="78"/>
      <c r="AC509" s="84"/>
      <c r="AG509" s="81"/>
    </row>
    <row r="510" spans="9:33" x14ac:dyDescent="0.25">
      <c r="I510" s="49"/>
      <c r="J510" s="49"/>
      <c r="K510" s="49"/>
      <c r="M510" s="33"/>
      <c r="T510" s="81"/>
      <c r="V510" s="173"/>
      <c r="W510" s="173"/>
      <c r="X510" s="173"/>
      <c r="Y510" s="185"/>
      <c r="AA510" s="78"/>
      <c r="AC510" s="79"/>
      <c r="AG510" s="81"/>
    </row>
    <row r="511" spans="9:33" x14ac:dyDescent="0.25">
      <c r="I511" s="49"/>
      <c r="J511" s="49"/>
      <c r="K511" s="49"/>
      <c r="M511" s="37"/>
      <c r="T511" s="81"/>
      <c r="V511" s="173"/>
      <c r="W511" s="173"/>
      <c r="X511" s="173"/>
      <c r="Y511" s="185"/>
      <c r="AA511" s="78"/>
      <c r="AC511" s="84"/>
      <c r="AG511" s="81"/>
    </row>
    <row r="512" spans="9:33" x14ac:dyDescent="0.25">
      <c r="I512" s="49"/>
      <c r="J512" s="49"/>
      <c r="K512" s="49"/>
      <c r="M512" s="34"/>
      <c r="T512" s="81"/>
      <c r="V512" s="173"/>
      <c r="W512" s="173"/>
      <c r="X512" s="173"/>
      <c r="Y512" s="185"/>
      <c r="AA512" s="78"/>
      <c r="AC512" s="82"/>
      <c r="AG512" s="81"/>
    </row>
    <row r="513" spans="9:33" x14ac:dyDescent="0.25">
      <c r="I513" s="49"/>
      <c r="J513" s="49"/>
      <c r="K513" s="49"/>
      <c r="M513" s="37"/>
      <c r="T513" s="81"/>
      <c r="V513" s="173"/>
      <c r="W513" s="173"/>
      <c r="X513" s="173"/>
      <c r="Y513" s="185"/>
      <c r="AA513" s="78"/>
      <c r="AC513" s="84"/>
      <c r="AG513" s="81"/>
    </row>
    <row r="514" spans="9:33" x14ac:dyDescent="0.25">
      <c r="I514" s="49"/>
      <c r="J514" s="49"/>
      <c r="K514" s="49"/>
      <c r="M514" s="37"/>
      <c r="T514" s="81"/>
      <c r="V514" s="173"/>
      <c r="W514" s="173"/>
      <c r="X514" s="173"/>
      <c r="Y514" s="185"/>
      <c r="AA514" s="78"/>
      <c r="AC514" s="84"/>
      <c r="AG514" s="81"/>
    </row>
    <row r="515" spans="9:33" x14ac:dyDescent="0.25">
      <c r="I515" s="49"/>
      <c r="J515" s="49"/>
      <c r="K515" s="49"/>
      <c r="M515" s="34"/>
      <c r="T515" s="81"/>
      <c r="V515" s="173"/>
      <c r="W515" s="173"/>
      <c r="X515" s="173"/>
      <c r="Y515" s="185"/>
      <c r="AA515" s="78"/>
      <c r="AC515" s="82"/>
      <c r="AG515" s="81"/>
    </row>
    <row r="516" spans="9:33" x14ac:dyDescent="0.25">
      <c r="I516" s="49"/>
      <c r="J516" s="49"/>
      <c r="K516" s="49"/>
      <c r="M516" s="37"/>
      <c r="T516" s="81"/>
      <c r="V516" s="173"/>
      <c r="W516" s="173"/>
      <c r="X516" s="173"/>
      <c r="Y516" s="185"/>
      <c r="AA516" s="78"/>
      <c r="AC516" s="84"/>
      <c r="AG516" s="81"/>
    </row>
    <row r="517" spans="9:33" x14ac:dyDescent="0.25">
      <c r="I517" s="49"/>
      <c r="J517" s="49"/>
      <c r="K517" s="49"/>
      <c r="M517" s="33"/>
      <c r="T517" s="81"/>
      <c r="V517" s="173"/>
      <c r="W517" s="173"/>
      <c r="X517" s="173"/>
      <c r="Y517" s="185"/>
      <c r="AA517" s="78"/>
      <c r="AC517" s="79"/>
      <c r="AG517" s="81"/>
    </row>
    <row r="518" spans="9:33" x14ac:dyDescent="0.25">
      <c r="I518" s="49"/>
      <c r="J518" s="49"/>
      <c r="K518" s="49"/>
      <c r="M518" s="37"/>
      <c r="T518" s="81"/>
      <c r="V518" s="173"/>
      <c r="W518" s="173"/>
      <c r="X518" s="173"/>
      <c r="Y518" s="185"/>
      <c r="AA518" s="78"/>
      <c r="AC518" s="84"/>
      <c r="AG518" s="81"/>
    </row>
    <row r="519" spans="9:33" x14ac:dyDescent="0.25">
      <c r="I519" s="49"/>
      <c r="J519" s="49"/>
      <c r="K519" s="49"/>
      <c r="M519" s="34"/>
      <c r="T519" s="81"/>
      <c r="V519" s="173"/>
      <c r="W519" s="173"/>
      <c r="X519" s="173"/>
      <c r="Y519" s="185"/>
      <c r="AA519" s="78"/>
      <c r="AC519" s="82"/>
      <c r="AG519" s="81"/>
    </row>
    <row r="520" spans="9:33" x14ac:dyDescent="0.25">
      <c r="I520" s="49"/>
      <c r="J520" s="49"/>
      <c r="K520" s="49"/>
      <c r="M520" s="37"/>
      <c r="T520" s="81"/>
      <c r="V520" s="173"/>
      <c r="W520" s="173"/>
      <c r="X520" s="173"/>
      <c r="Y520" s="185"/>
      <c r="AA520" s="78"/>
      <c r="AC520" s="84"/>
      <c r="AG520" s="81"/>
    </row>
    <row r="521" spans="9:33" x14ac:dyDescent="0.25">
      <c r="I521" s="49"/>
      <c r="J521" s="49"/>
      <c r="K521" s="49"/>
      <c r="M521" s="37"/>
      <c r="T521" s="81"/>
      <c r="V521" s="173"/>
      <c r="W521" s="173"/>
      <c r="X521" s="173"/>
      <c r="Y521" s="185"/>
      <c r="AA521" s="78"/>
      <c r="AC521" s="84"/>
      <c r="AG521" s="81"/>
    </row>
    <row r="522" spans="9:33" x14ac:dyDescent="0.25">
      <c r="I522" s="49"/>
      <c r="J522" s="49"/>
      <c r="K522" s="49"/>
      <c r="M522" s="34"/>
      <c r="T522" s="81"/>
      <c r="V522" s="173"/>
      <c r="W522" s="173"/>
      <c r="X522" s="173"/>
      <c r="Y522" s="185"/>
      <c r="AA522" s="78"/>
      <c r="AC522" s="82"/>
      <c r="AG522" s="81"/>
    </row>
    <row r="523" spans="9:33" x14ac:dyDescent="0.25">
      <c r="I523" s="49"/>
      <c r="J523" s="49"/>
      <c r="K523" s="49"/>
      <c r="M523" s="37"/>
      <c r="T523" s="81"/>
      <c r="V523" s="173"/>
      <c r="W523" s="173"/>
      <c r="X523" s="173"/>
      <c r="Y523" s="185"/>
      <c r="AA523" s="78"/>
      <c r="AC523" s="84"/>
      <c r="AG523" s="81"/>
    </row>
    <row r="524" spans="9:33" x14ac:dyDescent="0.25">
      <c r="I524" s="49"/>
      <c r="J524" s="49"/>
      <c r="K524" s="49"/>
      <c r="M524" s="33"/>
      <c r="T524" s="81"/>
      <c r="V524" s="173"/>
      <c r="W524" s="173"/>
      <c r="X524" s="173"/>
      <c r="Y524" s="185"/>
      <c r="AA524" s="78"/>
      <c r="AC524" s="79"/>
      <c r="AG524" s="81"/>
    </row>
    <row r="525" spans="9:33" x14ac:dyDescent="0.25">
      <c r="I525" s="49"/>
      <c r="J525" s="49"/>
      <c r="K525" s="49"/>
      <c r="M525" s="37"/>
      <c r="T525" s="81"/>
      <c r="V525" s="173"/>
      <c r="W525" s="173"/>
      <c r="X525" s="173"/>
      <c r="Y525" s="185"/>
      <c r="AA525" s="78"/>
      <c r="AC525" s="84"/>
      <c r="AG525" s="81"/>
    </row>
    <row r="526" spans="9:33" x14ac:dyDescent="0.25">
      <c r="I526" s="49"/>
      <c r="J526" s="49"/>
      <c r="K526" s="49"/>
      <c r="M526" s="34"/>
      <c r="T526" s="81"/>
      <c r="V526" s="173"/>
      <c r="W526" s="173"/>
      <c r="X526" s="173"/>
      <c r="Y526" s="185"/>
      <c r="AA526" s="78"/>
      <c r="AC526" s="82"/>
      <c r="AG526" s="81"/>
    </row>
    <row r="527" spans="9:33" x14ac:dyDescent="0.25">
      <c r="I527" s="49"/>
      <c r="J527" s="49"/>
      <c r="K527" s="49"/>
      <c r="M527" s="37"/>
      <c r="T527" s="81"/>
      <c r="V527" s="173"/>
      <c r="W527" s="173"/>
      <c r="X527" s="173"/>
      <c r="Y527" s="185"/>
      <c r="AA527" s="78"/>
      <c r="AC527" s="84"/>
      <c r="AG527" s="81"/>
    </row>
    <row r="528" spans="9:33" x14ac:dyDescent="0.25">
      <c r="I528" s="49"/>
      <c r="J528" s="49"/>
      <c r="K528" s="49"/>
      <c r="M528" s="37"/>
      <c r="T528" s="81"/>
      <c r="V528" s="173"/>
      <c r="W528" s="173"/>
      <c r="X528" s="173"/>
      <c r="Y528" s="185"/>
      <c r="AA528" s="78"/>
      <c r="AC528" s="84"/>
      <c r="AG528" s="81"/>
    </row>
    <row r="529" spans="9:33" x14ac:dyDescent="0.25">
      <c r="I529" s="49"/>
      <c r="J529" s="49"/>
      <c r="K529" s="49"/>
      <c r="M529" s="34"/>
      <c r="T529" s="81"/>
      <c r="V529" s="173"/>
      <c r="W529" s="173"/>
      <c r="X529" s="173"/>
      <c r="Y529" s="185"/>
      <c r="AA529" s="78"/>
      <c r="AC529" s="82"/>
      <c r="AG529" s="81"/>
    </row>
    <row r="530" spans="9:33" x14ac:dyDescent="0.25">
      <c r="I530" s="49"/>
      <c r="J530" s="49"/>
      <c r="K530" s="49"/>
      <c r="M530" s="37"/>
      <c r="T530" s="81"/>
      <c r="V530" s="173"/>
      <c r="W530" s="173"/>
      <c r="X530" s="173"/>
      <c r="Y530" s="185"/>
      <c r="AA530" s="78"/>
      <c r="AC530" s="84"/>
      <c r="AG530" s="81"/>
    </row>
    <row r="531" spans="9:33" x14ac:dyDescent="0.25">
      <c r="I531" s="49"/>
      <c r="J531" s="49"/>
      <c r="K531" s="49"/>
      <c r="M531" s="37"/>
      <c r="T531" s="81"/>
      <c r="V531" s="173"/>
      <c r="W531" s="173"/>
      <c r="X531" s="173"/>
      <c r="Y531" s="185"/>
      <c r="AA531" s="78"/>
      <c r="AC531" s="84"/>
      <c r="AG531" s="81"/>
    </row>
    <row r="532" spans="9:33" x14ac:dyDescent="0.25">
      <c r="I532" s="49"/>
      <c r="J532" s="49"/>
      <c r="K532" s="49"/>
      <c r="M532" s="33"/>
      <c r="T532" s="81"/>
      <c r="V532" s="173"/>
      <c r="W532" s="173"/>
      <c r="X532" s="173"/>
      <c r="Y532" s="185"/>
      <c r="AA532" s="78"/>
      <c r="AC532" s="79"/>
      <c r="AG532" s="81"/>
    </row>
    <row r="533" spans="9:33" x14ac:dyDescent="0.25">
      <c r="I533" s="49"/>
      <c r="J533" s="49"/>
      <c r="K533" s="49"/>
      <c r="M533" s="34"/>
      <c r="T533" s="81"/>
      <c r="V533" s="173"/>
      <c r="W533" s="173"/>
      <c r="X533" s="173"/>
      <c r="Y533" s="185"/>
      <c r="AA533" s="78"/>
      <c r="AC533" s="82"/>
      <c r="AG533" s="81"/>
    </row>
    <row r="534" spans="9:33" x14ac:dyDescent="0.25">
      <c r="I534" s="49"/>
      <c r="J534" s="49"/>
      <c r="K534" s="49"/>
      <c r="M534" s="37"/>
      <c r="T534" s="81"/>
      <c r="V534" s="173"/>
      <c r="W534" s="173"/>
      <c r="X534" s="173"/>
      <c r="Y534" s="185"/>
      <c r="AA534" s="78"/>
      <c r="AC534" s="84"/>
      <c r="AG534" s="81"/>
    </row>
    <row r="535" spans="9:33" x14ac:dyDescent="0.25">
      <c r="I535" s="49"/>
      <c r="J535" s="49"/>
      <c r="K535" s="49"/>
      <c r="M535" s="37"/>
      <c r="T535" s="81"/>
      <c r="V535" s="173"/>
      <c r="W535" s="173"/>
      <c r="X535" s="173"/>
      <c r="Y535" s="185"/>
      <c r="AA535" s="78"/>
      <c r="AC535" s="84"/>
      <c r="AG535" s="81"/>
    </row>
    <row r="536" spans="9:33" x14ac:dyDescent="0.25">
      <c r="I536" s="49"/>
      <c r="J536" s="49"/>
      <c r="K536" s="49"/>
      <c r="M536" s="34"/>
      <c r="T536" s="81"/>
      <c r="V536" s="173"/>
      <c r="W536" s="173"/>
      <c r="X536" s="173"/>
      <c r="Y536" s="185"/>
      <c r="AA536" s="78"/>
      <c r="AC536" s="82"/>
      <c r="AG536" s="81"/>
    </row>
    <row r="537" spans="9:33" x14ac:dyDescent="0.25">
      <c r="I537" s="49"/>
      <c r="J537" s="49"/>
      <c r="K537" s="49"/>
      <c r="M537" s="37"/>
      <c r="T537" s="81"/>
      <c r="V537" s="173"/>
      <c r="W537" s="173"/>
      <c r="X537" s="173"/>
      <c r="Y537" s="185"/>
      <c r="AA537" s="78"/>
      <c r="AC537" s="84"/>
      <c r="AG537" s="81"/>
    </row>
    <row r="538" spans="9:33" x14ac:dyDescent="0.25">
      <c r="I538" s="49"/>
      <c r="J538" s="49"/>
      <c r="K538" s="49"/>
      <c r="M538" s="37"/>
      <c r="T538" s="81"/>
      <c r="V538" s="173"/>
      <c r="W538" s="173"/>
      <c r="X538" s="173"/>
      <c r="Y538" s="185"/>
      <c r="AA538" s="78"/>
      <c r="AC538" s="84"/>
      <c r="AG538" s="81"/>
    </row>
    <row r="539" spans="9:33" x14ac:dyDescent="0.25">
      <c r="I539" s="49"/>
      <c r="J539" s="49"/>
      <c r="K539" s="49"/>
      <c r="M539" s="33"/>
      <c r="T539" s="81"/>
      <c r="V539" s="173"/>
      <c r="W539" s="173"/>
      <c r="X539" s="173"/>
      <c r="Y539" s="185"/>
      <c r="AA539" s="78"/>
      <c r="AC539" s="79"/>
      <c r="AG539" s="81"/>
    </row>
    <row r="540" spans="9:33" x14ac:dyDescent="0.25">
      <c r="I540" s="49"/>
      <c r="J540" s="49"/>
      <c r="K540" s="49"/>
      <c r="M540" s="34"/>
      <c r="T540" s="81"/>
      <c r="V540" s="173"/>
      <c r="W540" s="173"/>
      <c r="X540" s="173"/>
      <c r="Y540" s="185"/>
      <c r="AA540" s="78"/>
      <c r="AC540" s="82"/>
      <c r="AG540" s="81"/>
    </row>
    <row r="541" spans="9:33" x14ac:dyDescent="0.25">
      <c r="I541" s="49"/>
      <c r="J541" s="49"/>
      <c r="K541" s="49"/>
      <c r="M541" s="37"/>
      <c r="T541" s="81"/>
      <c r="V541" s="173"/>
      <c r="W541" s="173"/>
      <c r="X541" s="173"/>
      <c r="Y541" s="185"/>
      <c r="AA541" s="78"/>
      <c r="AC541" s="84"/>
      <c r="AG541" s="81"/>
    </row>
    <row r="542" spans="9:33" x14ac:dyDescent="0.25">
      <c r="I542" s="49"/>
      <c r="J542" s="49"/>
      <c r="K542" s="49"/>
      <c r="M542" s="37"/>
      <c r="T542" s="81"/>
      <c r="V542" s="173"/>
      <c r="W542" s="173"/>
      <c r="X542" s="173"/>
      <c r="Y542" s="185"/>
      <c r="AA542" s="78"/>
      <c r="AC542" s="84"/>
      <c r="AG542" s="81"/>
    </row>
    <row r="543" spans="9:33" x14ac:dyDescent="0.25">
      <c r="I543" s="49"/>
      <c r="J543" s="49"/>
      <c r="K543" s="49"/>
      <c r="M543" s="34"/>
      <c r="T543" s="81"/>
      <c r="V543" s="173"/>
      <c r="W543" s="173"/>
      <c r="X543" s="173"/>
      <c r="Y543" s="185"/>
      <c r="AA543" s="78"/>
      <c r="AC543" s="82"/>
      <c r="AG543" s="81"/>
    </row>
    <row r="544" spans="9:33" x14ac:dyDescent="0.25">
      <c r="I544" s="49"/>
      <c r="J544" s="49"/>
      <c r="K544" s="49"/>
      <c r="M544" s="37"/>
      <c r="T544" s="81"/>
      <c r="V544" s="173"/>
      <c r="W544" s="173"/>
      <c r="X544" s="173"/>
      <c r="Y544" s="185"/>
      <c r="AA544" s="78"/>
      <c r="AC544" s="84"/>
      <c r="AG544" s="81"/>
    </row>
    <row r="545" spans="9:33" x14ac:dyDescent="0.25">
      <c r="I545" s="49"/>
      <c r="J545" s="49"/>
      <c r="K545" s="49"/>
      <c r="M545" s="37"/>
      <c r="T545" s="81"/>
      <c r="V545" s="173"/>
      <c r="W545" s="173"/>
      <c r="X545" s="173"/>
      <c r="Y545" s="185"/>
      <c r="AA545" s="78"/>
      <c r="AC545" s="84"/>
      <c r="AG545" s="81"/>
    </row>
    <row r="546" spans="9:33" x14ac:dyDescent="0.25">
      <c r="I546" s="49"/>
      <c r="J546" s="49"/>
      <c r="K546" s="49"/>
      <c r="M546" s="34"/>
      <c r="T546" s="81"/>
      <c r="V546" s="173"/>
      <c r="W546" s="173"/>
      <c r="X546" s="173"/>
      <c r="Y546" s="185"/>
      <c r="AA546" s="78"/>
      <c r="AC546" s="82"/>
      <c r="AG546" s="81"/>
    </row>
    <row r="547" spans="9:33" x14ac:dyDescent="0.25">
      <c r="I547" s="49"/>
      <c r="J547" s="49"/>
      <c r="K547" s="49"/>
      <c r="M547" s="33"/>
      <c r="T547" s="81"/>
      <c r="V547" s="173"/>
      <c r="W547" s="173"/>
      <c r="X547" s="173"/>
      <c r="Y547" s="185"/>
      <c r="AA547" s="78"/>
      <c r="AC547" s="79"/>
      <c r="AG547" s="81"/>
    </row>
    <row r="548" spans="9:33" x14ac:dyDescent="0.25">
      <c r="I548" s="49"/>
      <c r="J548" s="49"/>
      <c r="K548" s="49"/>
      <c r="M548" s="37"/>
      <c r="T548" s="81"/>
      <c r="V548" s="173"/>
      <c r="W548" s="173"/>
      <c r="X548" s="173"/>
      <c r="Y548" s="185"/>
      <c r="AA548" s="78"/>
      <c r="AC548" s="84"/>
      <c r="AG548" s="81"/>
    </row>
    <row r="549" spans="9:33" x14ac:dyDescent="0.25">
      <c r="I549" s="49"/>
      <c r="J549" s="49"/>
      <c r="K549" s="49"/>
      <c r="M549" s="37"/>
      <c r="T549" s="81"/>
      <c r="V549" s="173"/>
      <c r="W549" s="173"/>
      <c r="X549" s="173"/>
      <c r="Y549" s="185"/>
      <c r="AA549" s="78"/>
      <c r="AC549" s="84"/>
      <c r="AG549" s="81"/>
    </row>
    <row r="550" spans="9:33" x14ac:dyDescent="0.25">
      <c r="I550" s="49"/>
      <c r="J550" s="49"/>
      <c r="K550" s="49"/>
      <c r="M550" s="34"/>
      <c r="T550" s="81"/>
      <c r="V550" s="173"/>
      <c r="W550" s="173"/>
      <c r="X550" s="173"/>
      <c r="Y550" s="185"/>
      <c r="AA550" s="78"/>
      <c r="AC550" s="82"/>
      <c r="AG550" s="81"/>
    </row>
    <row r="551" spans="9:33" x14ac:dyDescent="0.25">
      <c r="I551" s="49"/>
      <c r="J551" s="49"/>
      <c r="K551" s="49"/>
      <c r="M551" s="37"/>
      <c r="T551" s="81"/>
      <c r="V551" s="173"/>
      <c r="W551" s="173"/>
      <c r="X551" s="173"/>
      <c r="Y551" s="185"/>
      <c r="AA551" s="78"/>
      <c r="AC551" s="84"/>
      <c r="AG551" s="81"/>
    </row>
    <row r="552" spans="9:33" x14ac:dyDescent="0.25">
      <c r="I552" s="49"/>
      <c r="J552" s="49"/>
      <c r="K552" s="49"/>
      <c r="M552" s="37"/>
      <c r="T552" s="81"/>
      <c r="V552" s="173"/>
      <c r="W552" s="173"/>
      <c r="X552" s="173"/>
      <c r="Y552" s="185"/>
      <c r="AA552" s="78"/>
      <c r="AC552" s="84"/>
      <c r="AG552" s="81"/>
    </row>
    <row r="553" spans="9:33" x14ac:dyDescent="0.25">
      <c r="I553" s="49"/>
      <c r="J553" s="49"/>
      <c r="K553" s="49"/>
      <c r="M553" s="34"/>
      <c r="T553" s="81"/>
      <c r="V553" s="173"/>
      <c r="W553" s="173"/>
      <c r="X553" s="173"/>
      <c r="Y553" s="185"/>
      <c r="AA553" s="78"/>
      <c r="AC553" s="82"/>
      <c r="AG553" s="81"/>
    </row>
    <row r="554" spans="9:33" x14ac:dyDescent="0.25">
      <c r="I554" s="49"/>
      <c r="J554" s="49"/>
      <c r="K554" s="49"/>
      <c r="M554" s="33"/>
      <c r="T554" s="81"/>
      <c r="V554" s="173"/>
      <c r="W554" s="173"/>
      <c r="X554" s="173"/>
      <c r="Y554" s="185"/>
      <c r="AA554" s="78"/>
      <c r="AC554" s="79"/>
      <c r="AG554" s="81"/>
    </row>
    <row r="555" spans="9:33" x14ac:dyDescent="0.25">
      <c r="I555" s="49"/>
      <c r="J555" s="49"/>
      <c r="K555" s="49"/>
      <c r="M555" s="37"/>
      <c r="T555" s="81"/>
      <c r="V555" s="173"/>
      <c r="W555" s="173"/>
      <c r="X555" s="173"/>
      <c r="Y555" s="185"/>
      <c r="AA555" s="78"/>
      <c r="AC555" s="84"/>
    </row>
    <row r="556" spans="9:33" x14ac:dyDescent="0.25">
      <c r="I556" s="49"/>
      <c r="J556" s="49"/>
      <c r="K556" s="49"/>
      <c r="M556" s="37"/>
      <c r="T556" s="81"/>
      <c r="V556" s="173"/>
      <c r="W556" s="173"/>
      <c r="X556" s="173"/>
      <c r="Y556" s="185"/>
      <c r="AA556" s="78"/>
      <c r="AC556" s="84"/>
    </row>
    <row r="557" spans="9:33" x14ac:dyDescent="0.25">
      <c r="I557" s="49"/>
      <c r="J557" s="49"/>
      <c r="K557" s="49"/>
      <c r="M557" s="34"/>
      <c r="T557" s="81"/>
      <c r="V557" s="173"/>
      <c r="W557" s="173"/>
      <c r="X557" s="173"/>
      <c r="Y557" s="185"/>
      <c r="AA557" s="78"/>
      <c r="AC557" s="82"/>
    </row>
    <row r="558" spans="9:33" x14ac:dyDescent="0.25">
      <c r="I558" s="49"/>
      <c r="J558" s="49"/>
      <c r="K558" s="49"/>
      <c r="M558" s="37"/>
      <c r="T558" s="81"/>
      <c r="V558" s="173"/>
      <c r="W558" s="173"/>
      <c r="X558" s="173"/>
      <c r="Y558" s="185"/>
      <c r="AA558" s="78"/>
      <c r="AC558" s="84"/>
    </row>
    <row r="559" spans="9:33" x14ac:dyDescent="0.25">
      <c r="I559" s="49"/>
      <c r="J559" s="49"/>
      <c r="K559" s="49"/>
      <c r="M559" s="37"/>
      <c r="T559" s="81"/>
      <c r="V559" s="173"/>
      <c r="W559" s="173"/>
      <c r="X559" s="173"/>
      <c r="Y559" s="185"/>
      <c r="AA559" s="78"/>
      <c r="AC559" s="84"/>
    </row>
    <row r="560" spans="9:33" x14ac:dyDescent="0.25">
      <c r="I560" s="49"/>
      <c r="J560" s="49"/>
      <c r="K560" s="49"/>
      <c r="M560" s="34"/>
      <c r="T560" s="81"/>
      <c r="V560" s="173"/>
      <c r="W560" s="173"/>
      <c r="X560" s="173"/>
      <c r="Y560" s="185"/>
      <c r="AA560" s="78"/>
      <c r="AC560" s="82"/>
    </row>
    <row r="561" spans="9:29" x14ac:dyDescent="0.25">
      <c r="I561" s="49"/>
      <c r="J561" s="49"/>
      <c r="K561" s="49"/>
      <c r="M561" s="37"/>
      <c r="T561" s="81"/>
      <c r="V561" s="173"/>
      <c r="W561" s="173"/>
      <c r="X561" s="173"/>
      <c r="Y561" s="185"/>
      <c r="AA561" s="78"/>
      <c r="AC561" s="84"/>
    </row>
    <row r="562" spans="9:29" x14ac:dyDescent="0.25">
      <c r="I562" s="49"/>
      <c r="J562" s="49"/>
      <c r="K562" s="49"/>
      <c r="M562" s="33"/>
      <c r="T562" s="81"/>
      <c r="V562" s="173"/>
      <c r="W562" s="173"/>
      <c r="X562" s="173"/>
      <c r="Y562" s="185"/>
      <c r="AA562" s="78"/>
      <c r="AC562" s="79"/>
    </row>
    <row r="563" spans="9:29" x14ac:dyDescent="0.25">
      <c r="I563" s="49"/>
      <c r="J563" s="49"/>
      <c r="K563" s="49"/>
      <c r="M563" s="37"/>
      <c r="T563" s="81"/>
      <c r="V563" s="173"/>
      <c r="W563" s="173"/>
      <c r="X563" s="173"/>
      <c r="Y563" s="185"/>
      <c r="AA563" s="78"/>
      <c r="AC563" s="84"/>
    </row>
    <row r="564" spans="9:29" x14ac:dyDescent="0.25">
      <c r="I564" s="49"/>
      <c r="J564" s="49"/>
      <c r="K564" s="49"/>
      <c r="M564" s="34"/>
      <c r="T564" s="81"/>
      <c r="V564" s="173"/>
      <c r="W564" s="173"/>
      <c r="X564" s="173"/>
      <c r="Y564" s="185"/>
      <c r="AA564" s="78"/>
      <c r="AC564" s="82"/>
    </row>
    <row r="565" spans="9:29" x14ac:dyDescent="0.25">
      <c r="I565" s="49"/>
      <c r="J565" s="49"/>
      <c r="K565" s="49"/>
      <c r="M565" s="37"/>
      <c r="T565" s="81"/>
      <c r="V565" s="173"/>
      <c r="W565" s="173"/>
      <c r="X565" s="173"/>
      <c r="Y565" s="185"/>
      <c r="AA565" s="78"/>
      <c r="AC565" s="84"/>
    </row>
    <row r="566" spans="9:29" x14ac:dyDescent="0.25">
      <c r="I566" s="49"/>
      <c r="J566" s="49"/>
      <c r="K566" s="49"/>
      <c r="M566" s="37"/>
      <c r="T566" s="81"/>
      <c r="V566" s="173"/>
      <c r="W566" s="173"/>
      <c r="X566" s="173"/>
      <c r="Y566" s="185"/>
      <c r="AA566" s="78"/>
      <c r="AC566" s="84"/>
    </row>
    <row r="567" spans="9:29" x14ac:dyDescent="0.25">
      <c r="I567" s="49"/>
      <c r="J567" s="49"/>
      <c r="K567" s="49"/>
      <c r="M567" s="34"/>
      <c r="T567" s="81"/>
      <c r="V567" s="173"/>
      <c r="W567" s="173"/>
      <c r="X567" s="173"/>
      <c r="Y567" s="185"/>
      <c r="AA567" s="78"/>
      <c r="AC567" s="82"/>
    </row>
    <row r="568" spans="9:29" x14ac:dyDescent="0.25">
      <c r="I568" s="49"/>
      <c r="J568" s="49"/>
      <c r="K568" s="49"/>
      <c r="M568" s="37"/>
      <c r="T568" s="81"/>
      <c r="V568" s="173"/>
      <c r="W568" s="173"/>
      <c r="X568" s="173"/>
      <c r="Y568" s="185"/>
      <c r="AA568" s="78"/>
      <c r="AC568" s="84"/>
    </row>
    <row r="569" spans="9:29" x14ac:dyDescent="0.25">
      <c r="I569" s="49"/>
      <c r="J569" s="49"/>
      <c r="K569" s="49"/>
      <c r="M569" s="33"/>
      <c r="T569" s="81"/>
      <c r="V569" s="173"/>
      <c r="W569" s="173"/>
      <c r="X569" s="173"/>
      <c r="Y569" s="185"/>
      <c r="AA569" s="78"/>
      <c r="AC569" s="79"/>
    </row>
    <row r="570" spans="9:29" x14ac:dyDescent="0.25">
      <c r="I570" s="49"/>
      <c r="J570" s="49"/>
      <c r="K570" s="49"/>
      <c r="M570" s="37"/>
      <c r="T570" s="81"/>
      <c r="V570" s="173"/>
      <c r="W570" s="173"/>
      <c r="X570" s="173"/>
      <c r="Y570" s="185"/>
      <c r="AA570" s="78"/>
      <c r="AC570" s="84"/>
    </row>
    <row r="571" spans="9:29" x14ac:dyDescent="0.25">
      <c r="I571" s="49"/>
      <c r="J571" s="49"/>
      <c r="K571" s="49"/>
      <c r="M571" s="34"/>
      <c r="T571" s="81"/>
      <c r="V571" s="173"/>
      <c r="W571" s="173"/>
      <c r="X571" s="173"/>
      <c r="Y571" s="185"/>
      <c r="AA571" s="78"/>
      <c r="AC571" s="82"/>
    </row>
    <row r="572" spans="9:29" x14ac:dyDescent="0.25">
      <c r="I572" s="49"/>
      <c r="J572" s="49"/>
      <c r="K572" s="49"/>
      <c r="M572" s="37"/>
      <c r="T572" s="81"/>
      <c r="V572" s="173"/>
      <c r="W572" s="173"/>
      <c r="X572" s="173"/>
      <c r="Y572" s="185"/>
      <c r="AA572" s="78"/>
      <c r="AC572" s="84"/>
    </row>
    <row r="573" spans="9:29" x14ac:dyDescent="0.25">
      <c r="I573" s="49"/>
      <c r="J573" s="49"/>
      <c r="K573" s="49"/>
      <c r="M573" s="37"/>
      <c r="T573" s="81"/>
      <c r="V573" s="173"/>
      <c r="W573" s="173"/>
      <c r="X573" s="173"/>
      <c r="Y573" s="185"/>
      <c r="AA573" s="78"/>
      <c r="AC573" s="84"/>
    </row>
    <row r="574" spans="9:29" x14ac:dyDescent="0.25">
      <c r="I574" s="49"/>
      <c r="J574" s="49"/>
      <c r="K574" s="49"/>
      <c r="M574" s="34"/>
      <c r="V574" s="173"/>
      <c r="W574" s="173"/>
      <c r="X574" s="173"/>
      <c r="Y574" s="185"/>
      <c r="AA574" s="78"/>
      <c r="AC574" s="82"/>
    </row>
    <row r="575" spans="9:29" x14ac:dyDescent="0.25">
      <c r="I575" s="49"/>
      <c r="J575" s="49"/>
      <c r="K575" s="49"/>
      <c r="M575" s="33"/>
      <c r="V575" s="173"/>
      <c r="W575" s="173"/>
      <c r="X575" s="173"/>
      <c r="Y575" s="185"/>
      <c r="AA575" s="78"/>
      <c r="AC575" s="79"/>
    </row>
    <row r="576" spans="9:29" x14ac:dyDescent="0.25">
      <c r="I576" s="49"/>
      <c r="J576" s="49"/>
      <c r="K576" s="49"/>
      <c r="M576" s="37"/>
      <c r="V576" s="173"/>
      <c r="W576" s="173"/>
      <c r="X576" s="173"/>
      <c r="Y576" s="185"/>
      <c r="AA576" s="78"/>
      <c r="AC576" s="84"/>
    </row>
    <row r="577" spans="9:29" x14ac:dyDescent="0.25">
      <c r="I577" s="49"/>
      <c r="J577" s="49"/>
      <c r="K577" s="49"/>
      <c r="M577" s="34"/>
      <c r="V577" s="173"/>
      <c r="W577" s="173"/>
      <c r="X577" s="173"/>
      <c r="Y577" s="185"/>
      <c r="AA577" s="78"/>
      <c r="AC577" s="82"/>
    </row>
    <row r="578" spans="9:29" x14ac:dyDescent="0.25">
      <c r="I578" s="49"/>
      <c r="J578" s="49"/>
      <c r="K578" s="49"/>
      <c r="M578" s="37"/>
      <c r="V578" s="173"/>
      <c r="W578" s="173"/>
      <c r="X578" s="173"/>
      <c r="Y578" s="185"/>
      <c r="AA578" s="78"/>
      <c r="AC578" s="84"/>
    </row>
    <row r="579" spans="9:29" x14ac:dyDescent="0.25">
      <c r="I579" s="49"/>
      <c r="J579" s="49"/>
      <c r="K579" s="49"/>
      <c r="M579" s="37"/>
      <c r="V579" s="173"/>
      <c r="W579" s="173"/>
      <c r="X579" s="173"/>
      <c r="Y579" s="185"/>
      <c r="AA579" s="78"/>
      <c r="AC579" s="84"/>
    </row>
    <row r="580" spans="9:29" x14ac:dyDescent="0.25">
      <c r="I580" s="49"/>
      <c r="J580" s="49"/>
      <c r="K580" s="49"/>
      <c r="M580" s="34"/>
      <c r="V580" s="173"/>
      <c r="W580" s="173"/>
      <c r="X580" s="173"/>
      <c r="Y580" s="185"/>
      <c r="AA580" s="78"/>
      <c r="AC580" s="82"/>
    </row>
    <row r="581" spans="9:29" x14ac:dyDescent="0.25">
      <c r="I581" s="49"/>
      <c r="J581" s="49"/>
      <c r="K581" s="49"/>
      <c r="M581" s="37"/>
      <c r="V581" s="173"/>
      <c r="W581" s="173"/>
      <c r="X581" s="173"/>
      <c r="Y581" s="185"/>
      <c r="AA581" s="78"/>
      <c r="AC581" s="84"/>
    </row>
    <row r="582" spans="9:29" x14ac:dyDescent="0.25">
      <c r="I582" s="49"/>
      <c r="J582" s="49"/>
      <c r="K582" s="49"/>
      <c r="M582" s="33"/>
      <c r="V582" s="173"/>
      <c r="W582" s="173"/>
      <c r="X582" s="173"/>
      <c r="Y582" s="185"/>
      <c r="AA582" s="78"/>
      <c r="AC582" s="79"/>
    </row>
    <row r="583" spans="9:29" x14ac:dyDescent="0.25">
      <c r="I583" s="49"/>
      <c r="J583" s="49"/>
      <c r="K583" s="49"/>
      <c r="M583" s="34"/>
      <c r="V583" s="173"/>
      <c r="W583" s="173"/>
      <c r="X583" s="173"/>
      <c r="Y583" s="185"/>
      <c r="AA583" s="78"/>
      <c r="AC583" s="82"/>
    </row>
    <row r="584" spans="9:29" x14ac:dyDescent="0.25">
      <c r="I584" s="49"/>
      <c r="J584" s="49"/>
      <c r="K584" s="49"/>
      <c r="M584" s="37"/>
      <c r="V584" s="173"/>
      <c r="W584" s="173"/>
      <c r="X584" s="173"/>
      <c r="Y584" s="185"/>
      <c r="AA584" s="78"/>
      <c r="AC584" s="84"/>
    </row>
    <row r="585" spans="9:29" x14ac:dyDescent="0.25">
      <c r="I585" s="49"/>
      <c r="J585" s="49"/>
      <c r="K585" s="49"/>
      <c r="M585" s="37"/>
      <c r="V585" s="173"/>
      <c r="W585" s="173"/>
      <c r="X585" s="173"/>
      <c r="Y585" s="185"/>
      <c r="AA585" s="78"/>
      <c r="AC585" s="84"/>
    </row>
    <row r="586" spans="9:29" x14ac:dyDescent="0.25">
      <c r="I586" s="49"/>
      <c r="J586" s="49"/>
      <c r="K586" s="49"/>
      <c r="M586" s="34"/>
      <c r="V586" s="173"/>
      <c r="W586" s="173"/>
      <c r="X586" s="173"/>
      <c r="Y586" s="185"/>
      <c r="AA586" s="78"/>
      <c r="AC586" s="82"/>
    </row>
    <row r="587" spans="9:29" x14ac:dyDescent="0.25">
      <c r="I587" s="49"/>
      <c r="J587" s="49"/>
      <c r="K587" s="49"/>
      <c r="M587" s="37"/>
      <c r="V587" s="173"/>
      <c r="W587" s="173"/>
      <c r="X587" s="173"/>
      <c r="Y587" s="185"/>
      <c r="AA587" s="78"/>
      <c r="AC587" s="84"/>
    </row>
    <row r="588" spans="9:29" x14ac:dyDescent="0.25">
      <c r="I588" s="49"/>
      <c r="J588" s="49"/>
      <c r="K588" s="49"/>
      <c r="M588" s="37"/>
      <c r="V588" s="173"/>
      <c r="W588" s="173"/>
      <c r="X588" s="173"/>
      <c r="Y588" s="185"/>
      <c r="AA588" s="78"/>
      <c r="AC588" s="84"/>
    </row>
    <row r="589" spans="9:29" x14ac:dyDescent="0.25">
      <c r="I589" s="49"/>
      <c r="J589" s="49"/>
      <c r="K589" s="49"/>
      <c r="M589" s="33"/>
      <c r="V589" s="173"/>
      <c r="W589" s="173"/>
      <c r="X589" s="173"/>
      <c r="Y589" s="185"/>
      <c r="AA589" s="78"/>
      <c r="AC589" s="79"/>
    </row>
    <row r="590" spans="9:29" x14ac:dyDescent="0.25">
      <c r="I590" s="49"/>
      <c r="J590" s="49"/>
      <c r="K590" s="49"/>
      <c r="M590" s="34"/>
      <c r="V590" s="173"/>
      <c r="W590" s="173"/>
      <c r="X590" s="173"/>
      <c r="Y590" s="185"/>
      <c r="AA590" s="78"/>
      <c r="AC590" s="82"/>
    </row>
    <row r="591" spans="9:29" x14ac:dyDescent="0.25">
      <c r="I591" s="49"/>
      <c r="J591" s="49"/>
      <c r="K591" s="49"/>
      <c r="M591" s="37"/>
      <c r="V591" s="173"/>
      <c r="W591" s="173"/>
      <c r="X591" s="173"/>
      <c r="Y591" s="185"/>
      <c r="AA591" s="78"/>
      <c r="AC591" s="84"/>
    </row>
    <row r="592" spans="9:29" x14ac:dyDescent="0.25">
      <c r="I592" s="49"/>
      <c r="J592" s="49"/>
      <c r="K592" s="49"/>
      <c r="L592" s="71"/>
      <c r="M592" s="37"/>
      <c r="V592" s="173"/>
      <c r="W592" s="173"/>
      <c r="X592" s="173"/>
      <c r="Y592" s="185"/>
      <c r="AA592" s="78"/>
      <c r="AC592" s="84"/>
    </row>
    <row r="593" spans="9:34" x14ac:dyDescent="0.25">
      <c r="I593" s="49"/>
      <c r="J593" s="49"/>
      <c r="K593" s="49"/>
      <c r="M593" s="34"/>
      <c r="V593" s="173"/>
      <c r="W593" s="173"/>
      <c r="X593" s="173"/>
      <c r="Y593" s="185"/>
      <c r="AA593" s="78"/>
      <c r="AC593" s="82"/>
    </row>
    <row r="594" spans="9:34" x14ac:dyDescent="0.25">
      <c r="I594" s="49"/>
      <c r="J594" s="49"/>
      <c r="K594" s="49"/>
      <c r="M594" s="37"/>
      <c r="U594" s="175"/>
      <c r="V594" s="173"/>
      <c r="W594" s="173"/>
      <c r="X594" s="173"/>
      <c r="Y594" s="185"/>
      <c r="AA594" s="78"/>
      <c r="AC594" s="84"/>
    </row>
    <row r="595" spans="9:34" x14ac:dyDescent="0.25">
      <c r="I595" s="49"/>
      <c r="J595" s="49"/>
      <c r="K595" s="49"/>
      <c r="M595" s="34"/>
      <c r="V595" s="173"/>
      <c r="W595" s="173"/>
      <c r="X595" s="173"/>
      <c r="Y595" s="185"/>
      <c r="AA595" s="78"/>
      <c r="AC595" s="82"/>
    </row>
    <row r="596" spans="9:34" x14ac:dyDescent="0.25">
      <c r="I596" s="49"/>
      <c r="J596" s="49"/>
      <c r="K596" s="49"/>
      <c r="M596" s="38"/>
      <c r="V596" s="173"/>
      <c r="W596" s="173"/>
      <c r="X596" s="173"/>
      <c r="Y596" s="185"/>
      <c r="AA596" s="78"/>
      <c r="AB596" s="85"/>
      <c r="AC596" s="85"/>
    </row>
    <row r="597" spans="9:34" x14ac:dyDescent="0.25">
      <c r="I597" s="49"/>
      <c r="J597" s="49"/>
      <c r="K597" s="49"/>
      <c r="M597" s="37"/>
      <c r="V597" s="173"/>
      <c r="W597" s="173"/>
      <c r="X597" s="173"/>
      <c r="Y597" s="185"/>
      <c r="AA597" s="78"/>
      <c r="AC597" s="84"/>
    </row>
    <row r="598" spans="9:34" x14ac:dyDescent="0.25">
      <c r="I598" s="49"/>
      <c r="J598" s="49"/>
      <c r="K598" s="49"/>
      <c r="M598" s="34"/>
      <c r="V598" s="173"/>
      <c r="W598" s="173"/>
      <c r="X598" s="173"/>
      <c r="Y598" s="185"/>
      <c r="AA598" s="78"/>
      <c r="AC598" s="82"/>
    </row>
    <row r="599" spans="9:34" x14ac:dyDescent="0.25">
      <c r="I599" s="49"/>
      <c r="J599" s="49"/>
      <c r="K599" s="49"/>
      <c r="M599" s="37"/>
      <c r="V599" s="173"/>
      <c r="W599" s="173"/>
      <c r="X599" s="173"/>
      <c r="Y599" s="185"/>
      <c r="AA599" s="78"/>
      <c r="AC599" s="84"/>
    </row>
    <row r="600" spans="9:34" x14ac:dyDescent="0.25">
      <c r="I600" s="49"/>
      <c r="J600" s="49"/>
      <c r="K600" s="49"/>
      <c r="M600" s="37"/>
      <c r="V600" s="173"/>
      <c r="W600" s="173"/>
      <c r="X600" s="173"/>
      <c r="Y600" s="185"/>
      <c r="AA600" s="78"/>
      <c r="AC600" s="84"/>
    </row>
    <row r="601" spans="9:34" x14ac:dyDescent="0.25">
      <c r="I601" s="49"/>
      <c r="J601" s="49"/>
      <c r="K601" s="49"/>
      <c r="M601" s="34"/>
      <c r="V601" s="173"/>
      <c r="W601" s="173"/>
      <c r="X601" s="173"/>
      <c r="Y601" s="185"/>
      <c r="AA601" s="78"/>
      <c r="AC601" s="82"/>
    </row>
    <row r="602" spans="9:34" x14ac:dyDescent="0.25">
      <c r="I602" s="49"/>
      <c r="J602" s="49"/>
      <c r="K602" s="49"/>
      <c r="M602" s="33"/>
      <c r="V602" s="173"/>
      <c r="W602" s="173"/>
      <c r="X602" s="173"/>
      <c r="Y602" s="185"/>
      <c r="AA602" s="78"/>
      <c r="AC602" s="79"/>
    </row>
    <row r="603" spans="9:34" x14ac:dyDescent="0.25">
      <c r="I603" s="49"/>
      <c r="J603" s="49"/>
      <c r="K603" s="49"/>
      <c r="M603" s="37"/>
      <c r="V603" s="173"/>
      <c r="W603" s="173"/>
      <c r="X603" s="173"/>
      <c r="Y603" s="185"/>
      <c r="AA603" s="78"/>
      <c r="AC603" s="84"/>
    </row>
    <row r="604" spans="9:34" x14ac:dyDescent="0.25">
      <c r="I604" s="49"/>
      <c r="J604" s="49"/>
      <c r="K604" s="49"/>
      <c r="M604" s="37"/>
      <c r="V604" s="173"/>
      <c r="W604" s="173"/>
      <c r="X604" s="173"/>
      <c r="Y604" s="185"/>
      <c r="AA604" s="78"/>
      <c r="AC604" s="84"/>
      <c r="AH604" s="85"/>
    </row>
    <row r="605" spans="9:34" x14ac:dyDescent="0.25">
      <c r="I605" s="49"/>
      <c r="J605" s="49"/>
      <c r="K605" s="49"/>
      <c r="M605" s="34"/>
      <c r="V605" s="173"/>
      <c r="W605" s="173"/>
      <c r="X605" s="173"/>
      <c r="Y605" s="185"/>
      <c r="AA605" s="78"/>
      <c r="AC605" s="82"/>
    </row>
    <row r="606" spans="9:34" x14ac:dyDescent="0.25">
      <c r="I606" s="49"/>
      <c r="J606" s="49"/>
      <c r="K606" s="49"/>
      <c r="M606" s="37"/>
      <c r="V606" s="173"/>
      <c r="W606" s="173"/>
      <c r="X606" s="173"/>
      <c r="Y606" s="185"/>
      <c r="AA606" s="78"/>
      <c r="AC606" s="84"/>
    </row>
    <row r="607" spans="9:34" x14ac:dyDescent="0.25">
      <c r="I607" s="49"/>
      <c r="J607" s="49"/>
      <c r="K607" s="49"/>
      <c r="M607" s="37"/>
      <c r="V607" s="173"/>
      <c r="W607" s="173"/>
      <c r="X607" s="173"/>
      <c r="Y607" s="185"/>
      <c r="AA607" s="78"/>
      <c r="AC607" s="84"/>
    </row>
    <row r="608" spans="9:34" x14ac:dyDescent="0.25">
      <c r="I608" s="49"/>
      <c r="J608" s="49"/>
      <c r="K608" s="49"/>
      <c r="M608" s="34"/>
      <c r="V608" s="173"/>
      <c r="W608" s="173"/>
      <c r="X608" s="173"/>
      <c r="Y608" s="185"/>
      <c r="AA608" s="78"/>
      <c r="AC608" s="82"/>
    </row>
    <row r="609" spans="9:29" x14ac:dyDescent="0.25">
      <c r="I609" s="49"/>
      <c r="J609" s="49"/>
      <c r="K609" s="49"/>
      <c r="M609" s="37"/>
      <c r="V609" s="173"/>
      <c r="W609" s="173"/>
      <c r="X609" s="173"/>
      <c r="Y609" s="185"/>
      <c r="AA609" s="78"/>
      <c r="AC609" s="84"/>
    </row>
    <row r="610" spans="9:29" x14ac:dyDescent="0.25">
      <c r="I610" s="49"/>
      <c r="J610" s="49"/>
      <c r="K610" s="49"/>
      <c r="M610" s="33"/>
      <c r="V610" s="173"/>
      <c r="W610" s="173"/>
      <c r="X610" s="173"/>
      <c r="Y610" s="185"/>
      <c r="AA610" s="78"/>
      <c r="AC610" s="79"/>
    </row>
    <row r="611" spans="9:29" x14ac:dyDescent="0.25">
      <c r="I611" s="49"/>
      <c r="J611" s="49"/>
      <c r="K611" s="49"/>
      <c r="M611" s="37"/>
      <c r="V611" s="173"/>
      <c r="W611" s="173"/>
      <c r="X611" s="173"/>
      <c r="Y611" s="185"/>
      <c r="AA611" s="78"/>
      <c r="AC611" s="84"/>
    </row>
    <row r="612" spans="9:29" x14ac:dyDescent="0.25">
      <c r="I612" s="49"/>
      <c r="J612" s="49"/>
      <c r="K612" s="49"/>
      <c r="M612" s="34"/>
      <c r="V612" s="173"/>
      <c r="W612" s="173"/>
      <c r="X612" s="173"/>
      <c r="Y612" s="185"/>
      <c r="AA612" s="78"/>
      <c r="AC612" s="82"/>
    </row>
    <row r="613" spans="9:29" x14ac:dyDescent="0.25">
      <c r="I613" s="49"/>
      <c r="J613" s="49"/>
      <c r="K613" s="49"/>
      <c r="M613" s="37"/>
      <c r="V613" s="173"/>
      <c r="W613" s="173"/>
      <c r="X613" s="173"/>
      <c r="Y613" s="185"/>
      <c r="AA613" s="78"/>
      <c r="AC613" s="84"/>
    </row>
    <row r="614" spans="9:29" x14ac:dyDescent="0.25">
      <c r="I614" s="49"/>
      <c r="J614" s="49"/>
      <c r="K614" s="49"/>
      <c r="M614" s="37"/>
      <c r="V614" s="173"/>
      <c r="W614" s="173"/>
      <c r="X614" s="173"/>
      <c r="Y614" s="185"/>
      <c r="AA614" s="78"/>
      <c r="AC614" s="84"/>
    </row>
    <row r="615" spans="9:29" x14ac:dyDescent="0.25">
      <c r="I615" s="49"/>
      <c r="J615" s="49"/>
      <c r="K615" s="49"/>
      <c r="M615" s="34"/>
      <c r="V615" s="173"/>
      <c r="W615" s="173"/>
      <c r="X615" s="173"/>
      <c r="Y615" s="185"/>
      <c r="AA615" s="78"/>
      <c r="AC615" s="82"/>
    </row>
    <row r="616" spans="9:29" x14ac:dyDescent="0.25">
      <c r="I616" s="49"/>
      <c r="J616" s="49"/>
      <c r="K616" s="49"/>
      <c r="M616" s="37"/>
      <c r="V616" s="173"/>
      <c r="W616" s="173"/>
      <c r="X616" s="173"/>
      <c r="Y616" s="185"/>
      <c r="AA616" s="78"/>
      <c r="AC616" s="84"/>
    </row>
    <row r="617" spans="9:29" x14ac:dyDescent="0.25">
      <c r="I617" s="49"/>
      <c r="J617" s="49"/>
      <c r="K617" s="49"/>
      <c r="M617" s="33"/>
      <c r="V617" s="173"/>
      <c r="W617" s="173"/>
      <c r="X617" s="173"/>
      <c r="Y617" s="185"/>
      <c r="AA617" s="78"/>
      <c r="AC617" s="79"/>
    </row>
    <row r="618" spans="9:29" x14ac:dyDescent="0.25">
      <c r="I618" s="49"/>
      <c r="J618" s="49"/>
      <c r="K618" s="49"/>
      <c r="M618" s="37"/>
      <c r="V618" s="173"/>
      <c r="W618" s="173"/>
      <c r="X618" s="173"/>
      <c r="Y618" s="185"/>
      <c r="AA618" s="78"/>
      <c r="AC618" s="84"/>
    </row>
    <row r="619" spans="9:29" x14ac:dyDescent="0.25">
      <c r="I619" s="49"/>
      <c r="J619" s="49"/>
      <c r="K619" s="49"/>
      <c r="M619" s="34"/>
      <c r="V619" s="173"/>
      <c r="W619" s="173"/>
      <c r="X619" s="173"/>
      <c r="Y619" s="185"/>
      <c r="AA619" s="78"/>
      <c r="AC619" s="82"/>
    </row>
    <row r="620" spans="9:29" x14ac:dyDescent="0.25">
      <c r="I620" s="49"/>
      <c r="J620" s="49"/>
      <c r="K620" s="49"/>
      <c r="M620" s="37"/>
      <c r="V620" s="173"/>
      <c r="W620" s="173"/>
      <c r="X620" s="173"/>
      <c r="Y620" s="185"/>
      <c r="AA620" s="78"/>
      <c r="AC620" s="84"/>
    </row>
    <row r="621" spans="9:29" x14ac:dyDescent="0.25">
      <c r="I621" s="49"/>
      <c r="J621" s="49"/>
      <c r="K621" s="49"/>
      <c r="M621" s="37"/>
      <c r="V621" s="173"/>
      <c r="W621" s="173"/>
      <c r="X621" s="173"/>
      <c r="Y621" s="185"/>
      <c r="AA621" s="78"/>
      <c r="AC621" s="84"/>
    </row>
    <row r="622" spans="9:29" x14ac:dyDescent="0.25">
      <c r="I622" s="49"/>
      <c r="J622" s="49"/>
      <c r="K622" s="49"/>
      <c r="M622" s="34"/>
      <c r="V622" s="173"/>
      <c r="W622" s="173"/>
      <c r="X622" s="173"/>
      <c r="Y622" s="185"/>
      <c r="AA622" s="78"/>
      <c r="AC622" s="82"/>
    </row>
    <row r="623" spans="9:29" x14ac:dyDescent="0.25">
      <c r="I623" s="49"/>
      <c r="J623" s="49"/>
      <c r="K623" s="49"/>
      <c r="M623" s="37"/>
      <c r="V623" s="173"/>
      <c r="W623" s="173"/>
      <c r="X623" s="173"/>
      <c r="Y623" s="185"/>
      <c r="AA623" s="78"/>
      <c r="AC623" s="84"/>
    </row>
    <row r="624" spans="9:29" x14ac:dyDescent="0.25">
      <c r="I624" s="49"/>
      <c r="J624" s="49"/>
      <c r="K624" s="49"/>
      <c r="M624" s="33"/>
      <c r="V624" s="173"/>
      <c r="W624" s="173"/>
      <c r="X624" s="173"/>
      <c r="Y624" s="185"/>
      <c r="AA624" s="78"/>
      <c r="AC624" s="79"/>
    </row>
    <row r="625" spans="9:29" x14ac:dyDescent="0.25">
      <c r="I625" s="49"/>
      <c r="J625" s="49"/>
      <c r="K625" s="49"/>
      <c r="M625" s="37"/>
      <c r="V625" s="173"/>
      <c r="W625" s="173"/>
      <c r="X625" s="173"/>
      <c r="Y625" s="185"/>
      <c r="AA625" s="78"/>
      <c r="AC625" s="84"/>
    </row>
    <row r="626" spans="9:29" x14ac:dyDescent="0.25">
      <c r="I626" s="49"/>
      <c r="J626" s="49"/>
      <c r="K626" s="49"/>
      <c r="M626" s="34"/>
      <c r="V626" s="173"/>
      <c r="W626" s="173"/>
      <c r="X626" s="173"/>
      <c r="Y626" s="185"/>
      <c r="AA626" s="78"/>
      <c r="AC626" s="82"/>
    </row>
    <row r="627" spans="9:29" x14ac:dyDescent="0.25">
      <c r="I627" s="49"/>
      <c r="J627" s="49"/>
      <c r="K627" s="49"/>
      <c r="M627" s="37"/>
      <c r="V627" s="173"/>
      <c r="W627" s="173"/>
      <c r="X627" s="173"/>
      <c r="Y627" s="185"/>
      <c r="AA627" s="78"/>
      <c r="AC627" s="84"/>
    </row>
    <row r="628" spans="9:29" x14ac:dyDescent="0.25">
      <c r="I628" s="49"/>
      <c r="J628" s="49"/>
      <c r="K628" s="49"/>
      <c r="M628" s="37"/>
      <c r="V628" s="173"/>
      <c r="W628" s="173"/>
      <c r="X628" s="173"/>
      <c r="Y628" s="185"/>
      <c r="AA628" s="78"/>
      <c r="AC628" s="84"/>
    </row>
    <row r="629" spans="9:29" x14ac:dyDescent="0.25">
      <c r="I629" s="49"/>
      <c r="J629" s="49"/>
      <c r="K629" s="49"/>
      <c r="M629" s="34"/>
      <c r="V629" s="173"/>
      <c r="W629" s="173"/>
      <c r="X629" s="173"/>
      <c r="Y629" s="185"/>
      <c r="AA629" s="78"/>
      <c r="AC629" s="82"/>
    </row>
    <row r="630" spans="9:29" x14ac:dyDescent="0.25">
      <c r="I630" s="49"/>
      <c r="J630" s="49"/>
      <c r="K630" s="49"/>
      <c r="M630" s="37"/>
      <c r="V630" s="173"/>
      <c r="W630" s="173"/>
      <c r="X630" s="173"/>
      <c r="Y630" s="185"/>
      <c r="AA630" s="78"/>
      <c r="AC630" s="84"/>
    </row>
    <row r="631" spans="9:29" x14ac:dyDescent="0.25">
      <c r="I631" s="49"/>
      <c r="J631" s="49"/>
      <c r="K631" s="49"/>
      <c r="M631" s="33"/>
      <c r="V631" s="173"/>
      <c r="W631" s="173"/>
      <c r="X631" s="173"/>
      <c r="Y631" s="185"/>
      <c r="AA631" s="78"/>
      <c r="AC631" s="79"/>
    </row>
    <row r="632" spans="9:29" x14ac:dyDescent="0.25">
      <c r="I632" s="49"/>
      <c r="J632" s="49"/>
      <c r="K632" s="49"/>
      <c r="M632" s="34"/>
      <c r="V632" s="173"/>
      <c r="W632" s="173"/>
      <c r="X632" s="173"/>
      <c r="Y632" s="185"/>
      <c r="AA632" s="78"/>
      <c r="AC632" s="82"/>
    </row>
    <row r="633" spans="9:29" x14ac:dyDescent="0.25">
      <c r="I633" s="49"/>
      <c r="J633" s="49"/>
      <c r="K633" s="49"/>
      <c r="M633" s="37"/>
      <c r="V633" s="173"/>
      <c r="W633" s="173"/>
      <c r="X633" s="173"/>
      <c r="Y633" s="185"/>
      <c r="AA633" s="78"/>
      <c r="AC633" s="84"/>
    </row>
    <row r="634" spans="9:29" x14ac:dyDescent="0.25">
      <c r="I634" s="49"/>
      <c r="J634" s="49"/>
      <c r="K634" s="49"/>
      <c r="M634" s="37"/>
      <c r="V634" s="173"/>
      <c r="W634" s="173"/>
      <c r="X634" s="173"/>
      <c r="Y634" s="185"/>
      <c r="AA634" s="78"/>
      <c r="AC634" s="84"/>
    </row>
    <row r="635" spans="9:29" x14ac:dyDescent="0.25">
      <c r="I635" s="49"/>
      <c r="J635" s="49"/>
      <c r="K635" s="49"/>
      <c r="M635" s="34"/>
      <c r="V635" s="173"/>
      <c r="W635" s="173"/>
      <c r="X635" s="173"/>
      <c r="Y635" s="185"/>
      <c r="AA635" s="78"/>
      <c r="AC635" s="82"/>
    </row>
    <row r="636" spans="9:29" x14ac:dyDescent="0.25">
      <c r="I636" s="49"/>
      <c r="J636" s="49"/>
      <c r="K636" s="49"/>
      <c r="M636" s="37"/>
      <c r="V636" s="173"/>
      <c r="W636" s="173"/>
      <c r="X636" s="173"/>
      <c r="Y636" s="185"/>
      <c r="AA636" s="78"/>
      <c r="AC636" s="84"/>
    </row>
    <row r="637" spans="9:29" x14ac:dyDescent="0.25">
      <c r="I637" s="49"/>
      <c r="J637" s="49"/>
      <c r="K637" s="49"/>
      <c r="M637" s="37"/>
      <c r="V637" s="173"/>
      <c r="W637" s="173"/>
      <c r="X637" s="173"/>
      <c r="Y637" s="185"/>
      <c r="AA637" s="78"/>
      <c r="AC637" s="84"/>
    </row>
    <row r="638" spans="9:29" x14ac:dyDescent="0.25">
      <c r="I638" s="49"/>
      <c r="J638" s="49"/>
      <c r="K638" s="49"/>
      <c r="M638" s="36"/>
      <c r="V638" s="173"/>
      <c r="W638" s="173"/>
      <c r="X638" s="173"/>
      <c r="Y638" s="185"/>
      <c r="AA638" s="78"/>
      <c r="AC638" s="83"/>
    </row>
    <row r="639" spans="9:29" x14ac:dyDescent="0.25">
      <c r="I639" s="49"/>
      <c r="J639" s="49"/>
      <c r="K639" s="49"/>
      <c r="M639" s="34"/>
      <c r="V639" s="173"/>
      <c r="W639" s="173"/>
      <c r="X639" s="173"/>
      <c r="Y639" s="185"/>
      <c r="AA639" s="78"/>
      <c r="AC639" s="82"/>
    </row>
    <row r="640" spans="9:29" x14ac:dyDescent="0.25">
      <c r="I640" s="49"/>
      <c r="J640" s="49"/>
      <c r="K640" s="49"/>
      <c r="M640" s="37"/>
      <c r="V640" s="173"/>
      <c r="W640" s="173"/>
      <c r="X640" s="173"/>
      <c r="Y640" s="185"/>
      <c r="AA640" s="78"/>
      <c r="AC640" s="84"/>
    </row>
    <row r="641" spans="9:29" x14ac:dyDescent="0.25">
      <c r="I641" s="49"/>
      <c r="J641" s="49"/>
      <c r="K641" s="49"/>
      <c r="M641" s="37"/>
      <c r="V641" s="173"/>
      <c r="W641" s="173"/>
      <c r="X641" s="173"/>
      <c r="Y641" s="185"/>
      <c r="AA641" s="78"/>
      <c r="AC641" s="84"/>
    </row>
    <row r="642" spans="9:29" x14ac:dyDescent="0.25">
      <c r="I642" s="49"/>
      <c r="J642" s="49"/>
      <c r="K642" s="49"/>
      <c r="M642" s="34"/>
      <c r="V642" s="173"/>
      <c r="W642" s="173"/>
      <c r="X642" s="173"/>
      <c r="Y642" s="185"/>
      <c r="AA642" s="78"/>
      <c r="AC642" s="82"/>
    </row>
    <row r="643" spans="9:29" x14ac:dyDescent="0.25">
      <c r="I643" s="49"/>
      <c r="J643" s="49"/>
      <c r="K643" s="49"/>
      <c r="M643" s="37"/>
      <c r="V643" s="173"/>
      <c r="W643" s="173"/>
      <c r="X643" s="173"/>
      <c r="Y643" s="185"/>
      <c r="AA643" s="78"/>
      <c r="AC643" s="84"/>
    </row>
    <row r="644" spans="9:29" x14ac:dyDescent="0.25">
      <c r="I644" s="49"/>
      <c r="J644" s="49"/>
      <c r="K644" s="49"/>
      <c r="M644" s="37"/>
      <c r="V644" s="173"/>
      <c r="W644" s="173"/>
      <c r="X644" s="173"/>
      <c r="Y644" s="185"/>
      <c r="AA644" s="78"/>
      <c r="AC644" s="84"/>
    </row>
    <row r="645" spans="9:29" x14ac:dyDescent="0.25">
      <c r="I645" s="49"/>
      <c r="J645" s="49"/>
      <c r="K645" s="49"/>
      <c r="M645" s="34"/>
      <c r="V645" s="173"/>
      <c r="W645" s="173"/>
      <c r="X645" s="173"/>
      <c r="Y645" s="185"/>
      <c r="AA645" s="78"/>
      <c r="AC645" s="82"/>
    </row>
    <row r="646" spans="9:29" x14ac:dyDescent="0.25">
      <c r="I646" s="49"/>
      <c r="J646" s="49"/>
      <c r="K646" s="49"/>
      <c r="M646" s="37"/>
      <c r="V646" s="173"/>
      <c r="W646" s="173"/>
      <c r="X646" s="173"/>
      <c r="Y646" s="185"/>
      <c r="AA646" s="78"/>
      <c r="AC646" s="84"/>
    </row>
    <row r="647" spans="9:29" x14ac:dyDescent="0.25">
      <c r="I647" s="49"/>
      <c r="J647" s="49"/>
      <c r="K647" s="49"/>
      <c r="M647" s="37"/>
      <c r="V647" s="173"/>
      <c r="W647" s="173"/>
      <c r="X647" s="173"/>
      <c r="Y647" s="185"/>
      <c r="AA647" s="78"/>
      <c r="AC647" s="84"/>
    </row>
    <row r="648" spans="9:29" x14ac:dyDescent="0.25">
      <c r="I648" s="49"/>
      <c r="J648" s="49"/>
      <c r="K648" s="49"/>
      <c r="M648" s="34"/>
      <c r="V648" s="173"/>
      <c r="W648" s="173"/>
      <c r="X648" s="173"/>
      <c r="Y648" s="185"/>
      <c r="AA648" s="78"/>
      <c r="AC648" s="82"/>
    </row>
    <row r="649" spans="9:29" x14ac:dyDescent="0.25">
      <c r="I649" s="49"/>
      <c r="J649" s="49"/>
      <c r="K649" s="49"/>
      <c r="M649" s="37"/>
      <c r="V649" s="173"/>
      <c r="W649" s="173"/>
      <c r="X649" s="173"/>
      <c r="Y649" s="185"/>
      <c r="AA649" s="78"/>
      <c r="AC649" s="84"/>
    </row>
    <row r="650" spans="9:29" x14ac:dyDescent="0.25">
      <c r="I650" s="49"/>
      <c r="J650" s="49"/>
      <c r="K650" s="49"/>
      <c r="M650" s="37"/>
      <c r="V650" s="173"/>
      <c r="W650" s="173"/>
      <c r="X650" s="173"/>
      <c r="Y650" s="185"/>
      <c r="AA650" s="78"/>
      <c r="AC650" s="84"/>
    </row>
    <row r="651" spans="9:29" x14ac:dyDescent="0.25">
      <c r="I651" s="49"/>
      <c r="J651" s="49"/>
      <c r="K651" s="49"/>
      <c r="M651" s="34"/>
      <c r="V651" s="173"/>
      <c r="W651" s="173"/>
      <c r="X651" s="173"/>
      <c r="Y651" s="185"/>
      <c r="AA651" s="78"/>
      <c r="AC651" s="82"/>
    </row>
    <row r="652" spans="9:29" x14ac:dyDescent="0.25">
      <c r="I652" s="49"/>
      <c r="J652" s="49"/>
      <c r="K652" s="49"/>
      <c r="M652" s="37"/>
      <c r="V652" s="173"/>
      <c r="W652" s="173"/>
      <c r="X652" s="173"/>
      <c r="Y652" s="185"/>
      <c r="AA652" s="78"/>
      <c r="AC652" s="84"/>
    </row>
    <row r="653" spans="9:29" x14ac:dyDescent="0.25">
      <c r="I653" s="49"/>
      <c r="J653" s="49"/>
      <c r="K653" s="49"/>
      <c r="M653" s="37"/>
      <c r="V653" s="173"/>
      <c r="W653" s="173"/>
      <c r="X653" s="173"/>
      <c r="Y653" s="185"/>
      <c r="AA653" s="78"/>
      <c r="AC653" s="84"/>
    </row>
    <row r="654" spans="9:29" x14ac:dyDescent="0.25">
      <c r="I654" s="49"/>
      <c r="J654" s="49"/>
      <c r="K654" s="49"/>
      <c r="M654" s="34"/>
      <c r="V654" s="173"/>
      <c r="W654" s="173"/>
      <c r="X654" s="173"/>
      <c r="Y654" s="185"/>
      <c r="AA654" s="78"/>
      <c r="AC654" s="82"/>
    </row>
    <row r="655" spans="9:29" x14ac:dyDescent="0.25">
      <c r="I655" s="49"/>
      <c r="J655" s="49"/>
      <c r="K655" s="49"/>
      <c r="M655" s="37"/>
      <c r="V655" s="173"/>
      <c r="W655" s="173"/>
      <c r="X655" s="173"/>
      <c r="Y655" s="185"/>
      <c r="AA655" s="78"/>
      <c r="AC655" s="84"/>
    </row>
    <row r="656" spans="9:29" x14ac:dyDescent="0.25">
      <c r="I656" s="49"/>
      <c r="J656" s="49"/>
      <c r="K656" s="49"/>
      <c r="M656" s="37"/>
      <c r="V656" s="173"/>
      <c r="W656" s="173"/>
      <c r="X656" s="173"/>
      <c r="Y656" s="185"/>
      <c r="AA656" s="78"/>
      <c r="AC656" s="84"/>
    </row>
    <row r="657" spans="9:29" x14ac:dyDescent="0.25">
      <c r="I657" s="49"/>
      <c r="J657" s="49"/>
      <c r="K657" s="49"/>
      <c r="M657" s="34"/>
      <c r="V657" s="173"/>
      <c r="W657" s="173"/>
      <c r="X657" s="173"/>
      <c r="Y657" s="185"/>
      <c r="AA657" s="78"/>
      <c r="AC657" s="82"/>
    </row>
    <row r="658" spans="9:29" x14ac:dyDescent="0.25">
      <c r="I658" s="49"/>
      <c r="J658" s="49"/>
      <c r="K658" s="49"/>
      <c r="M658" s="37"/>
      <c r="V658" s="173"/>
      <c r="W658" s="173"/>
      <c r="X658" s="173"/>
      <c r="Y658" s="185"/>
      <c r="AA658" s="78"/>
      <c r="AC658" s="84"/>
    </row>
    <row r="659" spans="9:29" x14ac:dyDescent="0.25">
      <c r="I659" s="49"/>
      <c r="J659" s="49"/>
      <c r="K659" s="49"/>
      <c r="M659" s="37"/>
      <c r="V659" s="173"/>
      <c r="W659" s="173"/>
      <c r="X659" s="173"/>
      <c r="Y659" s="185"/>
      <c r="AA659" s="78"/>
      <c r="AC659" s="84"/>
    </row>
    <row r="660" spans="9:29" x14ac:dyDescent="0.25">
      <c r="I660" s="49"/>
      <c r="J660" s="49"/>
      <c r="K660" s="49"/>
      <c r="M660" s="34"/>
      <c r="V660" s="173"/>
      <c r="W660" s="173"/>
      <c r="X660" s="173"/>
      <c r="Y660" s="185"/>
      <c r="AA660" s="78"/>
      <c r="AC660" s="82"/>
    </row>
    <row r="661" spans="9:29" x14ac:dyDescent="0.25">
      <c r="I661" s="49"/>
      <c r="J661" s="49"/>
      <c r="K661" s="49"/>
      <c r="M661" s="37"/>
      <c r="V661" s="173"/>
      <c r="W661" s="173"/>
      <c r="X661" s="173"/>
      <c r="Y661" s="185"/>
      <c r="AA661" s="78"/>
      <c r="AC661" s="84"/>
    </row>
    <row r="662" spans="9:29" x14ac:dyDescent="0.25">
      <c r="I662" s="49"/>
      <c r="J662" s="49"/>
      <c r="K662" s="49"/>
      <c r="M662" s="37"/>
      <c r="V662" s="173"/>
      <c r="W662" s="173"/>
      <c r="X662" s="173"/>
      <c r="Y662" s="185"/>
      <c r="AA662" s="78"/>
      <c r="AC662" s="84"/>
    </row>
    <row r="663" spans="9:29" x14ac:dyDescent="0.25">
      <c r="I663" s="49"/>
      <c r="J663" s="49"/>
      <c r="K663" s="49"/>
      <c r="M663" s="34"/>
      <c r="V663" s="173"/>
      <c r="W663" s="173"/>
      <c r="X663" s="173"/>
      <c r="Y663" s="185"/>
      <c r="AA663" s="78"/>
      <c r="AC663" s="82"/>
    </row>
    <row r="664" spans="9:29" x14ac:dyDescent="0.25">
      <c r="I664" s="49"/>
      <c r="J664" s="49"/>
      <c r="K664" s="49"/>
      <c r="M664" s="37"/>
      <c r="V664" s="173"/>
      <c r="W664" s="173"/>
      <c r="X664" s="173"/>
      <c r="Y664" s="185"/>
      <c r="AA664" s="78"/>
      <c r="AC664" s="84"/>
    </row>
    <row r="665" spans="9:29" x14ac:dyDescent="0.25">
      <c r="I665" s="49"/>
      <c r="J665" s="49"/>
      <c r="K665" s="49"/>
      <c r="M665" s="33"/>
      <c r="V665" s="173"/>
      <c r="W665" s="173"/>
      <c r="X665" s="173"/>
      <c r="Y665" s="185"/>
      <c r="AA665" s="78"/>
      <c r="AC665" s="79"/>
    </row>
    <row r="666" spans="9:29" x14ac:dyDescent="0.25">
      <c r="I666" s="49"/>
      <c r="J666" s="49"/>
      <c r="K666" s="49"/>
      <c r="M666" s="37"/>
      <c r="V666" s="173"/>
      <c r="W666" s="173"/>
      <c r="X666" s="173"/>
      <c r="Y666" s="185"/>
      <c r="AA666" s="78"/>
      <c r="AC666" s="84"/>
    </row>
    <row r="667" spans="9:29" x14ac:dyDescent="0.25">
      <c r="I667" s="49"/>
      <c r="J667" s="49"/>
      <c r="K667" s="49"/>
      <c r="M667" s="34"/>
      <c r="V667" s="173"/>
      <c r="W667" s="173"/>
      <c r="X667" s="173"/>
      <c r="Y667" s="185"/>
      <c r="AA667" s="78"/>
      <c r="AC667" s="82"/>
    </row>
    <row r="668" spans="9:29" x14ac:dyDescent="0.25">
      <c r="I668" s="49"/>
      <c r="J668" s="49"/>
      <c r="K668" s="49"/>
      <c r="M668" s="37"/>
      <c r="V668" s="173"/>
      <c r="W668" s="173"/>
      <c r="X668" s="173"/>
      <c r="Y668" s="185"/>
      <c r="AA668" s="78"/>
      <c r="AC668" s="84"/>
    </row>
    <row r="669" spans="9:29" x14ac:dyDescent="0.25">
      <c r="I669" s="49"/>
      <c r="J669" s="49"/>
      <c r="K669" s="49"/>
      <c r="M669" s="37"/>
      <c r="V669" s="173"/>
      <c r="W669" s="173"/>
      <c r="X669" s="173"/>
      <c r="Y669" s="185"/>
      <c r="AA669" s="78"/>
      <c r="AC669" s="84"/>
    </row>
    <row r="670" spans="9:29" x14ac:dyDescent="0.25">
      <c r="I670" s="49"/>
      <c r="J670" s="49"/>
      <c r="K670" s="49"/>
      <c r="M670" s="34"/>
      <c r="V670" s="173"/>
      <c r="W670" s="173"/>
      <c r="X670" s="173"/>
      <c r="Y670" s="185"/>
      <c r="AA670" s="78"/>
      <c r="AC670" s="82"/>
    </row>
    <row r="671" spans="9:29" x14ac:dyDescent="0.25">
      <c r="I671" s="49"/>
      <c r="J671" s="49"/>
      <c r="K671" s="49"/>
      <c r="M671" s="37"/>
      <c r="V671" s="173"/>
      <c r="W671" s="173"/>
      <c r="X671" s="173"/>
      <c r="Y671" s="185"/>
      <c r="AA671" s="78"/>
      <c r="AC671" s="84"/>
    </row>
    <row r="672" spans="9:29" x14ac:dyDescent="0.25">
      <c r="I672" s="49"/>
      <c r="J672" s="49"/>
      <c r="K672" s="49"/>
      <c r="M672" s="37"/>
      <c r="V672" s="173"/>
      <c r="W672" s="173"/>
      <c r="X672" s="173"/>
      <c r="Y672" s="185"/>
      <c r="AA672" s="78"/>
      <c r="AC672" s="84"/>
    </row>
    <row r="673" spans="9:29" x14ac:dyDescent="0.25">
      <c r="I673" s="49"/>
      <c r="J673" s="49"/>
      <c r="K673" s="49"/>
      <c r="M673" s="34"/>
      <c r="V673" s="173"/>
      <c r="W673" s="173"/>
      <c r="X673" s="173"/>
      <c r="Y673" s="185"/>
      <c r="AA673" s="78"/>
      <c r="AC673" s="82"/>
    </row>
    <row r="674" spans="9:29" x14ac:dyDescent="0.25">
      <c r="I674" s="49"/>
      <c r="J674" s="49"/>
      <c r="K674" s="49"/>
      <c r="M674" s="37"/>
      <c r="V674" s="173"/>
      <c r="W674" s="173"/>
      <c r="X674" s="173"/>
      <c r="Y674" s="185"/>
      <c r="AA674" s="78"/>
      <c r="AC674" s="84"/>
    </row>
    <row r="675" spans="9:29" x14ac:dyDescent="0.25">
      <c r="I675" s="49"/>
      <c r="J675" s="49"/>
      <c r="K675" s="49"/>
      <c r="M675" s="37"/>
      <c r="V675" s="173"/>
      <c r="W675" s="173"/>
      <c r="X675" s="173"/>
      <c r="Y675" s="185"/>
      <c r="AA675" s="78"/>
      <c r="AC675" s="84"/>
    </row>
    <row r="676" spans="9:29" x14ac:dyDescent="0.25">
      <c r="I676" s="49"/>
      <c r="J676" s="49"/>
      <c r="K676" s="49"/>
      <c r="M676" s="34"/>
      <c r="V676" s="173"/>
      <c r="W676" s="173"/>
      <c r="X676" s="173"/>
      <c r="Y676" s="185"/>
      <c r="AA676" s="78"/>
      <c r="AC676" s="82"/>
    </row>
    <row r="677" spans="9:29" x14ac:dyDescent="0.25">
      <c r="I677" s="49"/>
      <c r="J677" s="49"/>
      <c r="K677" s="49"/>
      <c r="M677" s="37"/>
      <c r="V677" s="173"/>
      <c r="W677" s="173"/>
      <c r="X677" s="173"/>
      <c r="Y677" s="185"/>
      <c r="AA677" s="78"/>
      <c r="AC677" s="84"/>
    </row>
    <row r="678" spans="9:29" x14ac:dyDescent="0.25">
      <c r="I678" s="49"/>
      <c r="J678" s="49"/>
      <c r="K678" s="49"/>
      <c r="M678" s="37"/>
      <c r="V678" s="173"/>
      <c r="W678" s="173"/>
      <c r="X678" s="173"/>
      <c r="Y678" s="185"/>
      <c r="AA678" s="78"/>
      <c r="AC678" s="84"/>
    </row>
    <row r="679" spans="9:29" x14ac:dyDescent="0.25">
      <c r="I679" s="49"/>
      <c r="J679" s="49"/>
      <c r="K679" s="49"/>
      <c r="M679" s="34"/>
      <c r="V679" s="173"/>
      <c r="W679" s="173"/>
      <c r="X679" s="173"/>
      <c r="Y679" s="185"/>
      <c r="AA679" s="78"/>
      <c r="AC679" s="82"/>
    </row>
    <row r="680" spans="9:29" x14ac:dyDescent="0.25">
      <c r="I680" s="49"/>
      <c r="J680" s="49"/>
      <c r="K680" s="49"/>
      <c r="M680" s="37"/>
      <c r="V680" s="173"/>
      <c r="W680" s="173"/>
      <c r="X680" s="173"/>
      <c r="Y680" s="185"/>
      <c r="AA680" s="78"/>
      <c r="AC680" s="84"/>
    </row>
    <row r="681" spans="9:29" x14ac:dyDescent="0.25">
      <c r="I681" s="49"/>
      <c r="J681" s="49"/>
      <c r="K681" s="49"/>
      <c r="M681" s="37"/>
      <c r="V681" s="173"/>
      <c r="W681" s="173"/>
      <c r="X681" s="173"/>
      <c r="Y681" s="185"/>
      <c r="AA681" s="78"/>
      <c r="AC681" s="84"/>
    </row>
    <row r="682" spans="9:29" x14ac:dyDescent="0.25">
      <c r="I682" s="49"/>
      <c r="J682" s="49"/>
      <c r="K682" s="49"/>
      <c r="M682" s="34"/>
      <c r="V682" s="173"/>
      <c r="W682" s="173"/>
      <c r="X682" s="173"/>
      <c r="Y682" s="185"/>
      <c r="AA682" s="78"/>
      <c r="AC682" s="82"/>
    </row>
    <row r="683" spans="9:29" x14ac:dyDescent="0.25">
      <c r="I683" s="49"/>
      <c r="J683" s="49"/>
      <c r="K683" s="49"/>
      <c r="M683" s="37"/>
      <c r="V683" s="173"/>
      <c r="W683" s="173"/>
      <c r="X683" s="173"/>
      <c r="Y683" s="185"/>
      <c r="AA683" s="78"/>
      <c r="AC683" s="84"/>
    </row>
    <row r="684" spans="9:29" x14ac:dyDescent="0.25">
      <c r="I684" s="49"/>
      <c r="J684" s="49"/>
      <c r="K684" s="49"/>
      <c r="M684" s="37"/>
      <c r="V684" s="173"/>
      <c r="W684" s="173"/>
      <c r="X684" s="173"/>
      <c r="Y684" s="185"/>
      <c r="AA684" s="78"/>
      <c r="AC684" s="84"/>
    </row>
    <row r="685" spans="9:29" x14ac:dyDescent="0.25">
      <c r="I685" s="49"/>
      <c r="J685" s="49"/>
      <c r="K685" s="49"/>
      <c r="M685" s="34"/>
      <c r="V685" s="173"/>
      <c r="W685" s="173"/>
      <c r="X685" s="173"/>
      <c r="Y685" s="185"/>
      <c r="AA685" s="78"/>
      <c r="AC685" s="82"/>
    </row>
    <row r="686" spans="9:29" x14ac:dyDescent="0.25">
      <c r="I686" s="49"/>
      <c r="J686" s="49"/>
      <c r="K686" s="49"/>
      <c r="M686" s="37"/>
      <c r="V686" s="173"/>
      <c r="W686" s="173"/>
      <c r="X686" s="173"/>
      <c r="Y686" s="185"/>
      <c r="AA686" s="78"/>
      <c r="AC686" s="84"/>
    </row>
    <row r="687" spans="9:29" x14ac:dyDescent="0.25">
      <c r="I687" s="49"/>
      <c r="J687" s="49"/>
      <c r="K687" s="49"/>
      <c r="M687" s="37"/>
      <c r="V687" s="173"/>
      <c r="W687" s="173"/>
      <c r="X687" s="173"/>
      <c r="Y687" s="185"/>
      <c r="AA687" s="78"/>
      <c r="AC687" s="84"/>
    </row>
    <row r="688" spans="9:29" x14ac:dyDescent="0.25">
      <c r="I688" s="49"/>
      <c r="J688" s="49"/>
      <c r="K688" s="49"/>
      <c r="M688" s="34"/>
      <c r="V688" s="173"/>
      <c r="W688" s="173"/>
      <c r="X688" s="173"/>
      <c r="Y688" s="185"/>
      <c r="AA688" s="78"/>
      <c r="AC688" s="82"/>
    </row>
    <row r="689" spans="9:29" x14ac:dyDescent="0.25">
      <c r="I689" s="49"/>
      <c r="J689" s="49"/>
      <c r="K689" s="49"/>
      <c r="M689" s="37"/>
      <c r="V689" s="173"/>
      <c r="W689" s="173"/>
      <c r="X689" s="173"/>
      <c r="Y689" s="185"/>
      <c r="AA689" s="78"/>
      <c r="AC689" s="84"/>
    </row>
    <row r="690" spans="9:29" x14ac:dyDescent="0.25">
      <c r="I690" s="49"/>
      <c r="J690" s="49"/>
      <c r="K690" s="49"/>
      <c r="M690" s="37"/>
      <c r="V690" s="173"/>
      <c r="W690" s="173"/>
      <c r="X690" s="173"/>
      <c r="Y690" s="185"/>
      <c r="AA690" s="78"/>
      <c r="AC690" s="84"/>
    </row>
    <row r="691" spans="9:29" x14ac:dyDescent="0.25">
      <c r="I691" s="49"/>
      <c r="J691" s="49"/>
      <c r="K691" s="49"/>
      <c r="M691" s="34"/>
      <c r="V691" s="173"/>
      <c r="W691" s="173"/>
      <c r="X691" s="173"/>
      <c r="Y691" s="185"/>
      <c r="AA691" s="78"/>
      <c r="AC691" s="82"/>
    </row>
    <row r="692" spans="9:29" x14ac:dyDescent="0.25">
      <c r="I692" s="49"/>
      <c r="J692" s="49"/>
      <c r="K692" s="49"/>
      <c r="M692" s="37"/>
      <c r="V692" s="173"/>
      <c r="W692" s="173"/>
      <c r="X692" s="173"/>
      <c r="Y692" s="185"/>
      <c r="AA692" s="78"/>
      <c r="AC692" s="84"/>
    </row>
    <row r="693" spans="9:29" x14ac:dyDescent="0.25">
      <c r="I693" s="49"/>
      <c r="J693" s="49"/>
      <c r="K693" s="49"/>
      <c r="M693" s="37"/>
      <c r="V693" s="173"/>
      <c r="W693" s="173"/>
      <c r="X693" s="173"/>
      <c r="Y693" s="185"/>
      <c r="AA693" s="78"/>
      <c r="AC693" s="84"/>
    </row>
    <row r="694" spans="9:29" x14ac:dyDescent="0.25">
      <c r="I694" s="49"/>
      <c r="J694" s="49"/>
      <c r="K694" s="49"/>
      <c r="M694" s="34"/>
      <c r="V694" s="173"/>
      <c r="W694" s="173"/>
      <c r="X694" s="173"/>
      <c r="Y694" s="185"/>
      <c r="AA694" s="78"/>
      <c r="AC694" s="82"/>
    </row>
    <row r="695" spans="9:29" x14ac:dyDescent="0.25">
      <c r="I695" s="49"/>
      <c r="J695" s="49"/>
      <c r="K695" s="49"/>
      <c r="M695" s="37"/>
      <c r="V695" s="173"/>
      <c r="W695" s="173"/>
      <c r="X695" s="173"/>
      <c r="Y695" s="185"/>
      <c r="AA695" s="78"/>
      <c r="AC695" s="84"/>
    </row>
    <row r="696" spans="9:29" x14ac:dyDescent="0.25">
      <c r="I696" s="49"/>
      <c r="J696" s="49"/>
      <c r="K696" s="49"/>
      <c r="M696" s="37"/>
      <c r="V696" s="173"/>
      <c r="W696" s="173"/>
      <c r="X696" s="173"/>
      <c r="Y696" s="185"/>
      <c r="AA696" s="78"/>
      <c r="AC696" s="84"/>
    </row>
    <row r="697" spans="9:29" x14ac:dyDescent="0.25">
      <c r="I697" s="49"/>
      <c r="J697" s="49"/>
      <c r="K697" s="49"/>
      <c r="M697" s="34"/>
      <c r="V697" s="173"/>
      <c r="W697" s="173"/>
      <c r="X697" s="173"/>
      <c r="Y697" s="185"/>
      <c r="AA697" s="78"/>
      <c r="AC697" s="82"/>
    </row>
    <row r="698" spans="9:29" x14ac:dyDescent="0.25">
      <c r="I698" s="49"/>
      <c r="J698" s="49"/>
      <c r="K698" s="49"/>
      <c r="M698" s="37"/>
      <c r="V698" s="173"/>
      <c r="W698" s="173"/>
      <c r="X698" s="173"/>
      <c r="Y698" s="185"/>
      <c r="AA698" s="78"/>
      <c r="AC698" s="84"/>
    </row>
    <row r="699" spans="9:29" x14ac:dyDescent="0.25">
      <c r="I699" s="49"/>
      <c r="J699" s="49"/>
      <c r="K699" s="49"/>
      <c r="M699" s="37"/>
      <c r="V699" s="173"/>
      <c r="W699" s="173"/>
      <c r="X699" s="173"/>
      <c r="Y699" s="185"/>
      <c r="AA699" s="78"/>
      <c r="AC699" s="84"/>
    </row>
    <row r="700" spans="9:29" x14ac:dyDescent="0.25">
      <c r="I700" s="49"/>
      <c r="J700" s="49"/>
      <c r="K700" s="49"/>
      <c r="M700" s="34"/>
      <c r="V700" s="173"/>
      <c r="W700" s="173"/>
      <c r="X700" s="173"/>
      <c r="Y700" s="185"/>
      <c r="AA700" s="78"/>
      <c r="AC700" s="82"/>
    </row>
    <row r="701" spans="9:29" x14ac:dyDescent="0.25">
      <c r="I701" s="49"/>
      <c r="J701" s="49"/>
      <c r="K701" s="49"/>
      <c r="M701" s="37"/>
      <c r="V701" s="173"/>
      <c r="W701" s="173"/>
      <c r="X701" s="173"/>
      <c r="Y701" s="185"/>
      <c r="AA701" s="78"/>
      <c r="AC701" s="84"/>
    </row>
    <row r="702" spans="9:29" x14ac:dyDescent="0.25">
      <c r="I702" s="49"/>
      <c r="J702" s="49"/>
      <c r="K702" s="49"/>
      <c r="M702" s="37"/>
      <c r="V702" s="173"/>
      <c r="W702" s="173"/>
      <c r="X702" s="173"/>
      <c r="Y702" s="185"/>
      <c r="AA702" s="78"/>
      <c r="AC702" s="84"/>
    </row>
    <row r="703" spans="9:29" x14ac:dyDescent="0.25">
      <c r="I703" s="49"/>
      <c r="J703" s="49"/>
      <c r="K703" s="49"/>
      <c r="M703" s="34"/>
      <c r="V703" s="173"/>
      <c r="W703" s="173"/>
      <c r="X703" s="173"/>
      <c r="Y703" s="185"/>
      <c r="AA703" s="78"/>
      <c r="AC703" s="82"/>
    </row>
    <row r="704" spans="9:29" x14ac:dyDescent="0.25">
      <c r="I704" s="49"/>
      <c r="J704" s="49"/>
      <c r="K704" s="49"/>
      <c r="M704" s="37"/>
      <c r="V704" s="173"/>
      <c r="W704" s="173"/>
      <c r="X704" s="173"/>
      <c r="Y704" s="185"/>
      <c r="AA704" s="78"/>
      <c r="AC704" s="84"/>
    </row>
    <row r="705" spans="9:29" x14ac:dyDescent="0.25">
      <c r="I705" s="49"/>
      <c r="J705" s="49"/>
      <c r="K705" s="49"/>
      <c r="M705" s="37"/>
      <c r="V705" s="173"/>
      <c r="W705" s="173"/>
      <c r="X705" s="173"/>
      <c r="Y705" s="185"/>
      <c r="AA705" s="78"/>
      <c r="AC705" s="84"/>
    </row>
    <row r="706" spans="9:29" x14ac:dyDescent="0.25">
      <c r="I706" s="49"/>
      <c r="J706" s="49"/>
      <c r="K706" s="49"/>
      <c r="M706" s="34"/>
      <c r="V706" s="173"/>
      <c r="W706" s="173"/>
      <c r="X706" s="173"/>
      <c r="Y706" s="185"/>
      <c r="AA706" s="78"/>
      <c r="AC706" s="82"/>
    </row>
    <row r="707" spans="9:29" x14ac:dyDescent="0.25">
      <c r="I707" s="49"/>
      <c r="J707" s="49"/>
      <c r="K707" s="49"/>
      <c r="M707" s="37"/>
      <c r="V707" s="173"/>
      <c r="W707" s="173"/>
      <c r="X707" s="173"/>
      <c r="Y707" s="185"/>
      <c r="AA707" s="78"/>
      <c r="AC707" s="84"/>
    </row>
    <row r="708" spans="9:29" x14ac:dyDescent="0.25">
      <c r="I708" s="49"/>
      <c r="J708" s="49"/>
      <c r="K708" s="49"/>
      <c r="M708" s="37"/>
      <c r="V708" s="173"/>
      <c r="W708" s="173"/>
      <c r="X708" s="173"/>
      <c r="Y708" s="185"/>
      <c r="AA708" s="78"/>
      <c r="AC708" s="84"/>
    </row>
    <row r="709" spans="9:29" x14ac:dyDescent="0.25">
      <c r="I709" s="49"/>
      <c r="J709" s="49"/>
      <c r="K709" s="49"/>
      <c r="M709" s="34"/>
      <c r="V709" s="173"/>
      <c r="W709" s="173"/>
      <c r="X709" s="173"/>
      <c r="Y709" s="185"/>
      <c r="AA709" s="78"/>
      <c r="AC709" s="82"/>
    </row>
    <row r="710" spans="9:29" x14ac:dyDescent="0.25">
      <c r="I710" s="49"/>
      <c r="J710" s="49"/>
      <c r="K710" s="49"/>
      <c r="M710" s="37"/>
      <c r="V710" s="173"/>
      <c r="W710" s="173"/>
      <c r="X710" s="173"/>
      <c r="Y710" s="185"/>
      <c r="AA710" s="78"/>
      <c r="AC710" s="84"/>
    </row>
    <row r="711" spans="9:29" x14ac:dyDescent="0.25">
      <c r="I711" s="49"/>
      <c r="J711" s="49"/>
      <c r="K711" s="49"/>
      <c r="M711" s="37"/>
      <c r="V711" s="173"/>
      <c r="W711" s="173"/>
      <c r="X711" s="173"/>
      <c r="Y711" s="185"/>
      <c r="AA711" s="78"/>
      <c r="AC711" s="84"/>
    </row>
    <row r="712" spans="9:29" x14ac:dyDescent="0.25">
      <c r="I712" s="49"/>
      <c r="J712" s="49"/>
      <c r="K712" s="49"/>
      <c r="M712" s="34"/>
      <c r="V712" s="173"/>
      <c r="W712" s="173"/>
      <c r="X712" s="173"/>
      <c r="Y712" s="185"/>
      <c r="AA712" s="78"/>
      <c r="AC712" s="82"/>
    </row>
    <row r="713" spans="9:29" x14ac:dyDescent="0.25">
      <c r="I713" s="49"/>
      <c r="J713" s="49"/>
      <c r="K713" s="49"/>
      <c r="M713" s="37"/>
      <c r="V713" s="173"/>
      <c r="W713" s="173"/>
      <c r="X713" s="173"/>
      <c r="Y713" s="185"/>
      <c r="AA713" s="78"/>
      <c r="AC713" s="84"/>
    </row>
    <row r="714" spans="9:29" x14ac:dyDescent="0.25">
      <c r="I714" s="49"/>
      <c r="J714" s="49"/>
      <c r="K714" s="49"/>
      <c r="M714" s="37"/>
      <c r="V714" s="173"/>
      <c r="W714" s="173"/>
      <c r="X714" s="173"/>
      <c r="Y714" s="185"/>
      <c r="AA714" s="78"/>
      <c r="AC714" s="84"/>
    </row>
    <row r="715" spans="9:29" x14ac:dyDescent="0.25">
      <c r="I715" s="49"/>
      <c r="J715" s="49"/>
      <c r="K715" s="49"/>
      <c r="M715" s="34"/>
      <c r="V715" s="173"/>
      <c r="W715" s="173"/>
      <c r="X715" s="173"/>
      <c r="Y715" s="185"/>
      <c r="AA715" s="78"/>
      <c r="AC715" s="82"/>
    </row>
    <row r="716" spans="9:29" x14ac:dyDescent="0.25">
      <c r="I716" s="49"/>
      <c r="J716" s="49"/>
      <c r="K716" s="49"/>
      <c r="M716" s="37"/>
      <c r="V716" s="173"/>
      <c r="W716" s="173"/>
      <c r="X716" s="173"/>
      <c r="Y716" s="185"/>
      <c r="AA716" s="78"/>
      <c r="AC716" s="84"/>
    </row>
    <row r="717" spans="9:29" x14ac:dyDescent="0.25">
      <c r="I717" s="49"/>
      <c r="J717" s="49"/>
      <c r="K717" s="49"/>
      <c r="M717" s="34"/>
      <c r="V717" s="173"/>
      <c r="W717" s="173"/>
      <c r="X717" s="173"/>
      <c r="Y717" s="185"/>
      <c r="AA717" s="78"/>
      <c r="AC717" s="82"/>
    </row>
    <row r="718" spans="9:29" x14ac:dyDescent="0.25">
      <c r="I718" s="49"/>
      <c r="J718" s="49"/>
      <c r="K718" s="49"/>
      <c r="M718" s="37"/>
      <c r="V718" s="173"/>
      <c r="W718" s="173"/>
      <c r="X718" s="173"/>
      <c r="Y718" s="185"/>
      <c r="AA718" s="78"/>
      <c r="AC718" s="84"/>
    </row>
    <row r="719" spans="9:29" x14ac:dyDescent="0.25">
      <c r="I719" s="49"/>
      <c r="J719" s="49"/>
      <c r="K719" s="49"/>
      <c r="M719" s="34"/>
      <c r="V719" s="173"/>
      <c r="W719" s="173"/>
      <c r="X719" s="173"/>
      <c r="Y719" s="185"/>
      <c r="AA719" s="78"/>
      <c r="AC719" s="82"/>
    </row>
    <row r="720" spans="9:29" x14ac:dyDescent="0.25">
      <c r="I720" s="49"/>
      <c r="J720" s="49"/>
      <c r="K720" s="49"/>
      <c r="M720" s="37"/>
      <c r="V720" s="173"/>
      <c r="W720" s="173"/>
      <c r="X720" s="173"/>
      <c r="Y720" s="185"/>
      <c r="AA720" s="78"/>
      <c r="AC720" s="84"/>
    </row>
    <row r="721" spans="9:29" x14ac:dyDescent="0.25">
      <c r="I721" s="49"/>
      <c r="J721" s="49"/>
      <c r="K721" s="49"/>
      <c r="M721" s="34"/>
      <c r="V721" s="173"/>
      <c r="W721" s="173"/>
      <c r="X721" s="173"/>
      <c r="Y721" s="185"/>
      <c r="AA721" s="78"/>
      <c r="AC721" s="82"/>
    </row>
    <row r="722" spans="9:29" x14ac:dyDescent="0.25">
      <c r="I722" s="49"/>
      <c r="J722" s="49"/>
      <c r="K722" s="49"/>
      <c r="M722" s="37"/>
      <c r="V722" s="173"/>
      <c r="W722" s="173"/>
      <c r="X722" s="173"/>
      <c r="Y722" s="185"/>
      <c r="AA722" s="78"/>
      <c r="AC722" s="84"/>
    </row>
    <row r="723" spans="9:29" x14ac:dyDescent="0.25">
      <c r="I723" s="49"/>
      <c r="J723" s="49"/>
      <c r="K723" s="49"/>
      <c r="M723" s="34"/>
      <c r="V723" s="173"/>
      <c r="W723" s="173"/>
      <c r="X723" s="173"/>
      <c r="Y723" s="185"/>
      <c r="AA723" s="78"/>
      <c r="AC723" s="82"/>
    </row>
    <row r="724" spans="9:29" x14ac:dyDescent="0.25">
      <c r="I724" s="49"/>
      <c r="J724" s="49"/>
      <c r="K724" s="49"/>
      <c r="M724" s="37"/>
      <c r="V724" s="173"/>
      <c r="W724" s="173"/>
      <c r="X724" s="173"/>
      <c r="Y724" s="185"/>
      <c r="AA724" s="78"/>
      <c r="AC724" s="84"/>
    </row>
    <row r="725" spans="9:29" x14ac:dyDescent="0.25">
      <c r="I725" s="49"/>
      <c r="J725" s="49"/>
      <c r="K725" s="49"/>
      <c r="M725" s="37"/>
      <c r="V725" s="173"/>
      <c r="W725" s="173"/>
      <c r="X725" s="173"/>
      <c r="Y725" s="185"/>
      <c r="AA725" s="78"/>
      <c r="AC725" s="84"/>
    </row>
    <row r="726" spans="9:29" x14ac:dyDescent="0.25">
      <c r="I726" s="49"/>
      <c r="J726" s="49"/>
      <c r="K726" s="49"/>
      <c r="M726" s="37"/>
      <c r="V726" s="173"/>
      <c r="W726" s="173"/>
      <c r="X726" s="173"/>
      <c r="Y726" s="185"/>
      <c r="AA726" s="78"/>
      <c r="AC726" s="84"/>
    </row>
    <row r="727" spans="9:29" x14ac:dyDescent="0.25">
      <c r="I727" s="49"/>
      <c r="J727" s="49"/>
      <c r="K727" s="49"/>
      <c r="M727" s="34"/>
      <c r="V727" s="173"/>
      <c r="W727" s="173"/>
      <c r="X727" s="173"/>
      <c r="Y727" s="185"/>
      <c r="AA727" s="78"/>
      <c r="AC727" s="82"/>
    </row>
    <row r="728" spans="9:29" x14ac:dyDescent="0.25">
      <c r="I728" s="49"/>
      <c r="J728" s="49"/>
      <c r="K728" s="49"/>
      <c r="M728" s="37"/>
      <c r="V728" s="173"/>
      <c r="W728" s="173"/>
      <c r="X728" s="173"/>
      <c r="Y728" s="185"/>
      <c r="AA728" s="78"/>
      <c r="AC728" s="84"/>
    </row>
    <row r="729" spans="9:29" x14ac:dyDescent="0.25">
      <c r="I729" s="49"/>
      <c r="J729" s="49"/>
      <c r="K729" s="49"/>
      <c r="M729" s="37"/>
      <c r="V729" s="173"/>
      <c r="W729" s="173"/>
      <c r="X729" s="173"/>
      <c r="Y729" s="185"/>
      <c r="AA729" s="78"/>
      <c r="AC729" s="84"/>
    </row>
    <row r="730" spans="9:29" x14ac:dyDescent="0.25">
      <c r="I730" s="49"/>
      <c r="J730" s="49"/>
      <c r="K730" s="49"/>
      <c r="M730" s="34"/>
      <c r="V730" s="173"/>
      <c r="W730" s="173"/>
      <c r="X730" s="173"/>
      <c r="Y730" s="185"/>
      <c r="AA730" s="78"/>
      <c r="AC730" s="82"/>
    </row>
    <row r="731" spans="9:29" x14ac:dyDescent="0.25">
      <c r="I731" s="49"/>
      <c r="J731" s="49"/>
      <c r="K731" s="49"/>
      <c r="M731" s="37"/>
      <c r="V731" s="173"/>
      <c r="W731" s="173"/>
      <c r="X731" s="173"/>
      <c r="Y731" s="185"/>
      <c r="AA731" s="78"/>
      <c r="AC731" s="84"/>
    </row>
    <row r="732" spans="9:29" x14ac:dyDescent="0.25">
      <c r="I732" s="49"/>
      <c r="J732" s="49"/>
      <c r="K732" s="49"/>
      <c r="M732" s="37"/>
      <c r="V732" s="173"/>
      <c r="W732" s="173"/>
      <c r="X732" s="173"/>
      <c r="Y732" s="185"/>
      <c r="AA732" s="78"/>
      <c r="AC732" s="84"/>
    </row>
    <row r="733" spans="9:29" x14ac:dyDescent="0.25">
      <c r="I733" s="49"/>
      <c r="J733" s="49"/>
      <c r="K733" s="49"/>
      <c r="M733" s="37"/>
      <c r="V733" s="173"/>
      <c r="W733" s="173"/>
      <c r="X733" s="173"/>
      <c r="Y733" s="185"/>
      <c r="AA733" s="78"/>
      <c r="AC733" s="84"/>
    </row>
    <row r="734" spans="9:29" x14ac:dyDescent="0.25">
      <c r="I734" s="49"/>
      <c r="J734" s="49"/>
      <c r="K734" s="49"/>
      <c r="M734" s="34"/>
      <c r="V734" s="173"/>
      <c r="W734" s="173"/>
      <c r="X734" s="173"/>
      <c r="Y734" s="185"/>
      <c r="AA734" s="78"/>
      <c r="AC734" s="82"/>
    </row>
    <row r="735" spans="9:29" x14ac:dyDescent="0.25">
      <c r="I735" s="49"/>
      <c r="J735" s="49"/>
      <c r="K735" s="49"/>
      <c r="M735" s="37"/>
      <c r="V735" s="173"/>
      <c r="W735" s="173"/>
      <c r="X735" s="173"/>
      <c r="Y735" s="185"/>
      <c r="AA735" s="78"/>
      <c r="AC735" s="84"/>
    </row>
    <row r="736" spans="9:29" x14ac:dyDescent="0.25">
      <c r="I736" s="49"/>
      <c r="J736" s="49"/>
      <c r="K736" s="49"/>
      <c r="M736" s="37"/>
      <c r="V736" s="173"/>
      <c r="W736" s="173"/>
      <c r="X736" s="173"/>
      <c r="Y736" s="185"/>
      <c r="AA736" s="78"/>
      <c r="AC736" s="84"/>
    </row>
    <row r="737" spans="9:29" x14ac:dyDescent="0.25">
      <c r="I737" s="49"/>
      <c r="J737" s="49"/>
      <c r="K737" s="49"/>
      <c r="M737" s="34"/>
      <c r="V737" s="173"/>
      <c r="W737" s="173"/>
      <c r="X737" s="173"/>
      <c r="Y737" s="185"/>
      <c r="AA737" s="78"/>
      <c r="AC737" s="82"/>
    </row>
    <row r="738" spans="9:29" x14ac:dyDescent="0.25">
      <c r="I738" s="49"/>
      <c r="J738" s="49"/>
      <c r="K738" s="49"/>
      <c r="M738" s="37"/>
      <c r="V738" s="173"/>
      <c r="W738" s="173"/>
      <c r="X738" s="173"/>
      <c r="Y738" s="185"/>
      <c r="AA738" s="78"/>
      <c r="AC738" s="84"/>
    </row>
    <row r="739" spans="9:29" x14ac:dyDescent="0.25">
      <c r="I739" s="49"/>
      <c r="J739" s="49"/>
      <c r="K739" s="49"/>
      <c r="M739" s="37"/>
      <c r="V739" s="173"/>
      <c r="W739" s="173"/>
      <c r="X739" s="173"/>
      <c r="Y739" s="185"/>
      <c r="AA739" s="78"/>
      <c r="AC739" s="84"/>
    </row>
    <row r="740" spans="9:29" x14ac:dyDescent="0.25">
      <c r="I740" s="49"/>
      <c r="J740" s="49"/>
      <c r="K740" s="49"/>
      <c r="M740" s="37"/>
      <c r="V740" s="173"/>
      <c r="W740" s="173"/>
      <c r="X740" s="173"/>
      <c r="Y740" s="185"/>
      <c r="AA740" s="78"/>
      <c r="AC740" s="84"/>
    </row>
    <row r="741" spans="9:29" x14ac:dyDescent="0.25">
      <c r="I741" s="49"/>
      <c r="J741" s="49"/>
      <c r="K741" s="49"/>
      <c r="M741" s="37"/>
      <c r="V741" s="173"/>
      <c r="W741" s="173"/>
      <c r="X741" s="173"/>
      <c r="Y741" s="185"/>
      <c r="AA741" s="78"/>
      <c r="AC741" s="84"/>
    </row>
    <row r="742" spans="9:29" x14ac:dyDescent="0.25">
      <c r="I742" s="49"/>
      <c r="J742" s="49"/>
      <c r="K742" s="49"/>
      <c r="M742" s="34"/>
      <c r="V742" s="173"/>
      <c r="W742" s="173"/>
      <c r="X742" s="173"/>
      <c r="Y742" s="185"/>
      <c r="AA742" s="78"/>
      <c r="AC742" s="82"/>
    </row>
    <row r="743" spans="9:29" x14ac:dyDescent="0.25">
      <c r="I743" s="49"/>
      <c r="J743" s="49"/>
      <c r="K743" s="49"/>
      <c r="M743" s="37"/>
      <c r="V743" s="173"/>
      <c r="W743" s="173"/>
      <c r="X743" s="173"/>
      <c r="Y743" s="185"/>
      <c r="AA743" s="78"/>
      <c r="AC743" s="84"/>
    </row>
    <row r="744" spans="9:29" x14ac:dyDescent="0.25">
      <c r="I744" s="49"/>
      <c r="J744" s="49"/>
      <c r="K744" s="49"/>
      <c r="M744" s="37"/>
      <c r="V744" s="173"/>
      <c r="W744" s="173"/>
      <c r="X744" s="173"/>
      <c r="Y744" s="185"/>
      <c r="AA744" s="78"/>
      <c r="AC744" s="84"/>
    </row>
    <row r="745" spans="9:29" x14ac:dyDescent="0.25">
      <c r="I745" s="49"/>
      <c r="J745" s="49"/>
      <c r="K745" s="49"/>
      <c r="M745" s="37"/>
      <c r="V745" s="173"/>
      <c r="W745" s="173"/>
      <c r="X745" s="173"/>
      <c r="Y745" s="185"/>
      <c r="AA745" s="78"/>
      <c r="AC745" s="84"/>
    </row>
    <row r="746" spans="9:29" x14ac:dyDescent="0.25">
      <c r="I746" s="49"/>
      <c r="J746" s="49"/>
      <c r="K746" s="49"/>
      <c r="M746" s="37"/>
      <c r="V746" s="173"/>
      <c r="W746" s="173"/>
      <c r="X746" s="173"/>
      <c r="Y746" s="185"/>
      <c r="AA746" s="78"/>
      <c r="AC746" s="84"/>
    </row>
    <row r="747" spans="9:29" x14ac:dyDescent="0.25">
      <c r="I747" s="49"/>
      <c r="J747" s="49"/>
      <c r="K747" s="49"/>
      <c r="M747" s="34"/>
      <c r="V747" s="173"/>
      <c r="W747" s="173"/>
      <c r="X747" s="173"/>
      <c r="Y747" s="185"/>
      <c r="AA747" s="78"/>
      <c r="AC747" s="82"/>
    </row>
    <row r="748" spans="9:29" x14ac:dyDescent="0.25">
      <c r="I748" s="49"/>
      <c r="J748" s="49"/>
      <c r="K748" s="49"/>
      <c r="M748" s="37"/>
      <c r="V748" s="173"/>
      <c r="W748" s="173"/>
      <c r="X748" s="173"/>
      <c r="Y748" s="185"/>
      <c r="AA748" s="78"/>
      <c r="AC748" s="84"/>
    </row>
    <row r="749" spans="9:29" x14ac:dyDescent="0.25">
      <c r="I749" s="49"/>
      <c r="J749" s="49"/>
      <c r="K749" s="49"/>
      <c r="M749" s="34"/>
      <c r="V749" s="173"/>
      <c r="W749" s="173"/>
      <c r="X749" s="173"/>
      <c r="Y749" s="185"/>
      <c r="AA749" s="78"/>
      <c r="AC749" s="82"/>
    </row>
    <row r="750" spans="9:29" x14ac:dyDescent="0.25">
      <c r="I750" s="49"/>
      <c r="J750" s="49"/>
      <c r="K750" s="49"/>
      <c r="M750" s="37"/>
      <c r="V750" s="173"/>
      <c r="W750" s="173"/>
      <c r="X750" s="173"/>
      <c r="Y750" s="185"/>
      <c r="AA750" s="78"/>
      <c r="AC750" s="84"/>
    </row>
    <row r="751" spans="9:29" x14ac:dyDescent="0.25">
      <c r="I751" s="49"/>
      <c r="J751" s="49"/>
      <c r="K751" s="49"/>
      <c r="M751" s="37"/>
      <c r="V751" s="173"/>
      <c r="W751" s="173"/>
      <c r="X751" s="173"/>
      <c r="Y751" s="185"/>
      <c r="AA751" s="78"/>
      <c r="AC751" s="84"/>
    </row>
    <row r="752" spans="9:29" x14ac:dyDescent="0.25">
      <c r="I752" s="49"/>
      <c r="J752" s="49"/>
      <c r="K752" s="49"/>
      <c r="M752" s="34"/>
      <c r="V752" s="173"/>
      <c r="W752" s="173"/>
      <c r="X752" s="173"/>
      <c r="Y752" s="185"/>
      <c r="AA752" s="78"/>
      <c r="AC752" s="82"/>
    </row>
    <row r="753" spans="9:29" x14ac:dyDescent="0.25">
      <c r="I753" s="49"/>
      <c r="J753" s="49"/>
      <c r="K753" s="49"/>
      <c r="M753" s="37"/>
      <c r="V753" s="173"/>
      <c r="W753" s="173"/>
      <c r="X753" s="173"/>
      <c r="Y753" s="185"/>
      <c r="AA753" s="78"/>
      <c r="AC753" s="84"/>
    </row>
    <row r="754" spans="9:29" x14ac:dyDescent="0.25">
      <c r="I754" s="49"/>
      <c r="J754" s="49"/>
      <c r="K754" s="49"/>
      <c r="M754" s="37"/>
      <c r="V754" s="173"/>
      <c r="W754" s="173"/>
      <c r="X754" s="173"/>
      <c r="Y754" s="185"/>
      <c r="AA754" s="78"/>
      <c r="AC754" s="84"/>
    </row>
    <row r="755" spans="9:29" x14ac:dyDescent="0.25">
      <c r="I755" s="49"/>
      <c r="J755" s="49"/>
      <c r="K755" s="49"/>
      <c r="M755" s="34"/>
      <c r="V755" s="173"/>
      <c r="W755" s="173"/>
      <c r="X755" s="173"/>
      <c r="Y755" s="185"/>
      <c r="AA755" s="78"/>
      <c r="AC755" s="82"/>
    </row>
    <row r="756" spans="9:29" x14ac:dyDescent="0.25">
      <c r="I756" s="49"/>
      <c r="J756" s="49"/>
      <c r="K756" s="49"/>
      <c r="M756" s="37"/>
      <c r="V756" s="173"/>
      <c r="W756" s="173"/>
      <c r="X756" s="173"/>
      <c r="Y756" s="185"/>
      <c r="AA756" s="78"/>
      <c r="AC756" s="84"/>
    </row>
    <row r="757" spans="9:29" x14ac:dyDescent="0.25">
      <c r="I757" s="49"/>
      <c r="J757" s="49"/>
      <c r="K757" s="49"/>
      <c r="M757" s="37"/>
      <c r="V757" s="173"/>
      <c r="W757" s="173"/>
      <c r="X757" s="173"/>
      <c r="Y757" s="185"/>
      <c r="AA757" s="78"/>
      <c r="AC757" s="84"/>
    </row>
    <row r="758" spans="9:29" x14ac:dyDescent="0.25">
      <c r="I758" s="49"/>
      <c r="J758" s="49"/>
      <c r="K758" s="49"/>
      <c r="M758" s="37"/>
      <c r="V758" s="173"/>
      <c r="W758" s="173"/>
      <c r="X758" s="173"/>
      <c r="Y758" s="185"/>
      <c r="AA758" s="78"/>
      <c r="AC758" s="84"/>
    </row>
    <row r="759" spans="9:29" x14ac:dyDescent="0.25">
      <c r="I759" s="49"/>
      <c r="J759" s="49"/>
      <c r="K759" s="49"/>
      <c r="M759" s="37"/>
      <c r="V759" s="173"/>
      <c r="W759" s="173"/>
      <c r="X759" s="173"/>
      <c r="Y759" s="185"/>
      <c r="AA759" s="78"/>
      <c r="AC759" s="84"/>
    </row>
    <row r="760" spans="9:29" x14ac:dyDescent="0.25">
      <c r="I760" s="49"/>
      <c r="J760" s="49"/>
      <c r="K760" s="49"/>
      <c r="M760" s="37"/>
      <c r="V760" s="173"/>
      <c r="W760" s="173"/>
      <c r="X760" s="173"/>
      <c r="Y760" s="185"/>
      <c r="AA760" s="78"/>
      <c r="AC760" s="84"/>
    </row>
    <row r="761" spans="9:29" x14ac:dyDescent="0.25">
      <c r="I761" s="49"/>
      <c r="J761" s="49"/>
      <c r="K761" s="49"/>
      <c r="M761" s="37"/>
      <c r="V761" s="173"/>
      <c r="W761" s="173"/>
      <c r="X761" s="173"/>
      <c r="Y761" s="185"/>
      <c r="AA761" s="78"/>
      <c r="AC761" s="84"/>
    </row>
    <row r="762" spans="9:29" x14ac:dyDescent="0.25">
      <c r="I762" s="49"/>
      <c r="J762" s="49"/>
      <c r="K762" s="49"/>
      <c r="M762" s="37"/>
      <c r="V762" s="173"/>
      <c r="W762" s="173"/>
      <c r="X762" s="173"/>
      <c r="Y762" s="185"/>
      <c r="AA762" s="78"/>
      <c r="AC762" s="84"/>
    </row>
    <row r="763" spans="9:29" x14ac:dyDescent="0.25">
      <c r="I763" s="49"/>
      <c r="J763" s="49"/>
      <c r="K763" s="49"/>
      <c r="M763" s="37"/>
      <c r="V763" s="173"/>
      <c r="W763" s="173"/>
      <c r="X763" s="173"/>
      <c r="Y763" s="185"/>
      <c r="AA763" s="78"/>
      <c r="AC763" s="84"/>
    </row>
    <row r="764" spans="9:29" x14ac:dyDescent="0.25">
      <c r="I764" s="49"/>
      <c r="J764" s="49"/>
      <c r="K764" s="49"/>
      <c r="M764" s="37"/>
      <c r="V764" s="173"/>
      <c r="W764" s="173"/>
      <c r="X764" s="173"/>
      <c r="Y764" s="185"/>
      <c r="AA764" s="78"/>
      <c r="AC764" s="84"/>
    </row>
    <row r="765" spans="9:29" x14ac:dyDescent="0.25">
      <c r="I765" s="49"/>
      <c r="J765" s="49"/>
      <c r="K765" s="49"/>
      <c r="M765" s="37"/>
      <c r="V765" s="173"/>
      <c r="W765" s="173"/>
      <c r="X765" s="173"/>
      <c r="Y765" s="185"/>
      <c r="AA765" s="78"/>
      <c r="AC765" s="84"/>
    </row>
    <row r="766" spans="9:29" x14ac:dyDescent="0.25">
      <c r="I766" s="49"/>
      <c r="J766" s="49"/>
      <c r="K766" s="49"/>
      <c r="M766" s="37"/>
      <c r="V766" s="173"/>
      <c r="W766" s="173"/>
      <c r="X766" s="173"/>
      <c r="Y766" s="185"/>
      <c r="AA766" s="78"/>
      <c r="AC766" s="84"/>
    </row>
    <row r="767" spans="9:29" x14ac:dyDescent="0.25">
      <c r="I767" s="49"/>
      <c r="J767" s="49"/>
      <c r="K767" s="49"/>
      <c r="V767" s="173"/>
      <c r="W767" s="173"/>
      <c r="X767" s="173"/>
      <c r="Y767" s="185"/>
      <c r="AA767" s="78"/>
    </row>
    <row r="768" spans="9:29" x14ac:dyDescent="0.25">
      <c r="I768" s="49"/>
      <c r="J768" s="49"/>
      <c r="K768" s="49"/>
      <c r="V768" s="173"/>
      <c r="W768" s="173"/>
      <c r="X768" s="173"/>
      <c r="Y768" s="185"/>
      <c r="AA768" s="78"/>
    </row>
    <row r="769" spans="9:27" x14ac:dyDescent="0.25">
      <c r="I769" s="49"/>
      <c r="J769" s="49"/>
      <c r="K769" s="49"/>
      <c r="V769" s="173"/>
      <c r="W769" s="173"/>
      <c r="X769" s="173"/>
      <c r="Y769" s="185"/>
      <c r="AA769" s="78"/>
    </row>
    <row r="770" spans="9:27" x14ac:dyDescent="0.25">
      <c r="I770" s="49"/>
      <c r="J770" s="49"/>
      <c r="K770" s="49"/>
      <c r="V770" s="173"/>
      <c r="W770" s="173"/>
      <c r="X770" s="173"/>
      <c r="Y770" s="185"/>
      <c r="AA770" s="78"/>
    </row>
    <row r="771" spans="9:27" x14ac:dyDescent="0.25">
      <c r="I771" s="49"/>
      <c r="J771" s="49"/>
      <c r="K771" s="49"/>
      <c r="V771" s="173"/>
      <c r="W771" s="173"/>
      <c r="X771" s="173"/>
      <c r="Y771" s="185"/>
      <c r="AA771" s="78"/>
    </row>
    <row r="772" spans="9:27" x14ac:dyDescent="0.25">
      <c r="I772" s="49"/>
      <c r="J772" s="49"/>
      <c r="K772" s="49"/>
      <c r="V772" s="173"/>
      <c r="W772" s="173"/>
      <c r="X772" s="173"/>
      <c r="Y772" s="185"/>
      <c r="AA772" s="78"/>
    </row>
    <row r="773" spans="9:27" x14ac:dyDescent="0.25">
      <c r="I773" s="49"/>
      <c r="J773" s="49"/>
      <c r="K773" s="49"/>
      <c r="V773" s="173"/>
      <c r="W773" s="173"/>
      <c r="X773" s="173"/>
      <c r="Y773" s="185"/>
      <c r="AA773" s="78"/>
    </row>
    <row r="774" spans="9:27" x14ac:dyDescent="0.25">
      <c r="I774" s="49"/>
      <c r="J774" s="49"/>
      <c r="K774" s="49"/>
      <c r="V774" s="173"/>
      <c r="W774" s="173"/>
      <c r="X774" s="173"/>
      <c r="Y774" s="185"/>
      <c r="AA774" s="78"/>
    </row>
    <row r="775" spans="9:27" x14ac:dyDescent="0.25">
      <c r="I775" s="49"/>
      <c r="J775" s="49"/>
      <c r="K775" s="49"/>
      <c r="V775" s="173"/>
      <c r="W775" s="173"/>
      <c r="X775" s="173"/>
      <c r="Y775" s="185"/>
      <c r="AA775" s="78"/>
    </row>
    <row r="776" spans="9:27" x14ac:dyDescent="0.25">
      <c r="I776" s="49"/>
      <c r="J776" s="49"/>
      <c r="K776" s="49"/>
      <c r="V776" s="173"/>
      <c r="W776" s="173"/>
      <c r="X776" s="173"/>
      <c r="Y776" s="185"/>
      <c r="AA776" s="78"/>
    </row>
    <row r="777" spans="9:27" x14ac:dyDescent="0.25">
      <c r="I777" s="49"/>
      <c r="J777" s="49"/>
      <c r="K777" s="49"/>
      <c r="V777" s="173"/>
      <c r="W777" s="173"/>
      <c r="X777" s="173"/>
      <c r="Y777" s="185"/>
      <c r="AA777" s="78"/>
    </row>
    <row r="778" spans="9:27" x14ac:dyDescent="0.25">
      <c r="I778" s="49"/>
      <c r="J778" s="49"/>
      <c r="K778" s="49"/>
      <c r="V778" s="173"/>
      <c r="W778" s="173"/>
      <c r="X778" s="173"/>
      <c r="Y778" s="185"/>
      <c r="AA778" s="78"/>
    </row>
    <row r="779" spans="9:27" x14ac:dyDescent="0.25">
      <c r="I779" s="49"/>
      <c r="J779" s="49"/>
      <c r="K779" s="49"/>
      <c r="V779" s="173"/>
      <c r="W779" s="173"/>
      <c r="X779" s="173"/>
      <c r="Y779" s="185"/>
      <c r="AA779" s="78"/>
    </row>
    <row r="780" spans="9:27" x14ac:dyDescent="0.25">
      <c r="I780" s="49"/>
      <c r="J780" s="49"/>
      <c r="K780" s="49"/>
      <c r="V780" s="173"/>
      <c r="W780" s="173"/>
      <c r="X780" s="173"/>
      <c r="Y780" s="185"/>
      <c r="AA780" s="78"/>
    </row>
    <row r="781" spans="9:27" x14ac:dyDescent="0.25">
      <c r="I781" s="49"/>
      <c r="J781" s="49"/>
      <c r="K781" s="49"/>
      <c r="V781" s="173"/>
      <c r="W781" s="173"/>
      <c r="X781" s="173"/>
      <c r="Y781" s="185"/>
      <c r="AA781" s="78"/>
    </row>
    <row r="782" spans="9:27" x14ac:dyDescent="0.25">
      <c r="I782" s="49"/>
      <c r="J782" s="49"/>
      <c r="K782" s="49"/>
      <c r="V782" s="173"/>
      <c r="W782" s="173"/>
      <c r="X782" s="173"/>
      <c r="Y782" s="185"/>
      <c r="AA782" s="78"/>
    </row>
    <row r="783" spans="9:27" x14ac:dyDescent="0.25">
      <c r="I783" s="49"/>
      <c r="J783" s="49"/>
      <c r="K783" s="49"/>
      <c r="V783" s="173"/>
      <c r="W783" s="173"/>
      <c r="X783" s="173"/>
      <c r="Y783" s="185"/>
      <c r="AA783" s="78"/>
    </row>
    <row r="784" spans="9:27" x14ac:dyDescent="0.25">
      <c r="I784" s="49"/>
      <c r="J784" s="49"/>
      <c r="K784" s="49"/>
      <c r="V784" s="173"/>
      <c r="W784" s="173"/>
      <c r="X784" s="173"/>
      <c r="Y784" s="185"/>
      <c r="AA784" s="78"/>
    </row>
    <row r="785" spans="9:27" x14ac:dyDescent="0.25">
      <c r="I785" s="49"/>
      <c r="J785" s="49"/>
      <c r="K785" s="49"/>
      <c r="V785" s="173"/>
      <c r="W785" s="173"/>
      <c r="X785" s="173"/>
      <c r="Y785" s="185"/>
      <c r="AA785" s="78"/>
    </row>
    <row r="786" spans="9:27" x14ac:dyDescent="0.25">
      <c r="I786" s="49"/>
      <c r="J786" s="49"/>
      <c r="K786" s="49"/>
      <c r="V786" s="173"/>
      <c r="W786" s="173"/>
      <c r="X786" s="173"/>
      <c r="Y786" s="185"/>
      <c r="AA786" s="78"/>
    </row>
    <row r="787" spans="9:27" x14ac:dyDescent="0.25">
      <c r="I787" s="49"/>
      <c r="J787" s="49"/>
      <c r="K787" s="49"/>
      <c r="V787" s="173"/>
      <c r="W787" s="173"/>
      <c r="X787" s="173"/>
      <c r="Y787" s="185"/>
      <c r="AA787" s="78"/>
    </row>
    <row r="788" spans="9:27" x14ac:dyDescent="0.25">
      <c r="I788" s="49"/>
      <c r="J788" s="49"/>
      <c r="K788" s="49"/>
      <c r="V788" s="173"/>
      <c r="W788" s="173"/>
      <c r="X788" s="173"/>
      <c r="Y788" s="185"/>
      <c r="AA788" s="78"/>
    </row>
    <row r="789" spans="9:27" x14ac:dyDescent="0.25">
      <c r="I789" s="49"/>
      <c r="J789" s="49"/>
      <c r="K789" s="49"/>
      <c r="V789" s="173"/>
      <c r="W789" s="173"/>
      <c r="X789" s="173"/>
      <c r="Y789" s="185"/>
      <c r="AA789" s="78"/>
    </row>
    <row r="790" spans="9:27" x14ac:dyDescent="0.25">
      <c r="I790" s="49"/>
      <c r="J790" s="49"/>
      <c r="K790" s="49"/>
      <c r="V790" s="173"/>
      <c r="W790" s="173"/>
      <c r="X790" s="173"/>
      <c r="Y790" s="185"/>
      <c r="AA790" s="78"/>
    </row>
    <row r="791" spans="9:27" x14ac:dyDescent="0.25">
      <c r="I791" s="49"/>
      <c r="J791" s="49"/>
      <c r="K791" s="49"/>
      <c r="V791" s="173"/>
      <c r="W791" s="173"/>
      <c r="X791" s="173"/>
      <c r="Y791" s="185"/>
      <c r="AA791" s="78"/>
    </row>
    <row r="792" spans="9:27" x14ac:dyDescent="0.25">
      <c r="I792" s="49"/>
      <c r="J792" s="49"/>
      <c r="K792" s="49"/>
      <c r="V792" s="173"/>
      <c r="W792" s="173"/>
      <c r="X792" s="173"/>
      <c r="Y792" s="185"/>
      <c r="AA792" s="78"/>
    </row>
    <row r="793" spans="9:27" x14ac:dyDescent="0.25">
      <c r="I793" s="49"/>
      <c r="J793" s="49"/>
      <c r="K793" s="49"/>
      <c r="V793" s="173"/>
      <c r="W793" s="173"/>
      <c r="X793" s="173"/>
      <c r="Y793" s="185"/>
      <c r="AA793" s="78"/>
    </row>
    <row r="794" spans="9:27" x14ac:dyDescent="0.25">
      <c r="I794" s="49"/>
      <c r="J794" s="49"/>
      <c r="K794" s="49"/>
      <c r="V794" s="173"/>
      <c r="W794" s="173"/>
      <c r="X794" s="173"/>
      <c r="Y794" s="185"/>
      <c r="AA794" s="78"/>
    </row>
    <row r="795" spans="9:27" x14ac:dyDescent="0.25">
      <c r="I795" s="49"/>
      <c r="J795" s="49"/>
      <c r="K795" s="49"/>
      <c r="V795" s="173"/>
      <c r="W795" s="173"/>
      <c r="X795" s="173"/>
      <c r="Y795" s="185"/>
      <c r="AA795" s="78"/>
    </row>
    <row r="796" spans="9:27" x14ac:dyDescent="0.25">
      <c r="I796" s="49"/>
      <c r="J796" s="49"/>
      <c r="K796" s="49"/>
      <c r="V796" s="173"/>
      <c r="W796" s="173"/>
      <c r="X796" s="173"/>
      <c r="Y796" s="185"/>
      <c r="AA796" s="78"/>
    </row>
    <row r="797" spans="9:27" x14ac:dyDescent="0.25">
      <c r="I797" s="49"/>
      <c r="J797" s="49"/>
      <c r="K797" s="49"/>
      <c r="V797" s="173"/>
      <c r="W797" s="173"/>
      <c r="X797" s="173"/>
      <c r="Y797" s="185"/>
      <c r="AA797" s="78"/>
    </row>
    <row r="798" spans="9:27" x14ac:dyDescent="0.25">
      <c r="I798" s="49"/>
      <c r="J798" s="49"/>
      <c r="K798" s="49"/>
      <c r="V798" s="173"/>
      <c r="W798" s="173"/>
      <c r="X798" s="173"/>
      <c r="Y798" s="185"/>
      <c r="AA798" s="78"/>
    </row>
    <row r="799" spans="9:27" x14ac:dyDescent="0.25">
      <c r="I799" s="49"/>
      <c r="J799" s="49"/>
      <c r="K799" s="49"/>
      <c r="V799" s="173"/>
      <c r="W799" s="173"/>
      <c r="X799" s="173"/>
      <c r="Y799" s="185"/>
      <c r="AA799" s="78"/>
    </row>
    <row r="800" spans="9:27" x14ac:dyDescent="0.25">
      <c r="I800" s="49"/>
      <c r="J800" s="49"/>
      <c r="K800" s="49"/>
      <c r="V800" s="173"/>
      <c r="W800" s="173"/>
      <c r="X800" s="173"/>
      <c r="Y800" s="185"/>
      <c r="AA800" s="78"/>
    </row>
    <row r="801" spans="9:27" x14ac:dyDescent="0.25">
      <c r="I801" s="49"/>
      <c r="J801" s="49"/>
      <c r="K801" s="49"/>
      <c r="V801" s="173"/>
      <c r="W801" s="173"/>
      <c r="X801" s="173"/>
      <c r="Y801" s="185"/>
      <c r="AA801" s="78"/>
    </row>
    <row r="802" spans="9:27" x14ac:dyDescent="0.25">
      <c r="I802" s="49"/>
      <c r="J802" s="49"/>
      <c r="K802" s="49"/>
      <c r="V802" s="173"/>
      <c r="W802" s="173"/>
      <c r="X802" s="173"/>
      <c r="Y802" s="185"/>
      <c r="AA802" s="78"/>
    </row>
    <row r="803" spans="9:27" x14ac:dyDescent="0.25">
      <c r="I803" s="49"/>
      <c r="J803" s="49"/>
      <c r="K803" s="49"/>
      <c r="V803" s="173"/>
      <c r="W803" s="173"/>
      <c r="X803" s="173"/>
      <c r="Y803" s="185"/>
      <c r="AA803" s="78"/>
    </row>
    <row r="804" spans="9:27" x14ac:dyDescent="0.25">
      <c r="I804" s="49"/>
      <c r="J804" s="49"/>
      <c r="K804" s="49"/>
      <c r="V804" s="173"/>
      <c r="W804" s="173"/>
      <c r="X804" s="173"/>
      <c r="Y804" s="185"/>
      <c r="AA804" s="78"/>
    </row>
    <row r="805" spans="9:27" x14ac:dyDescent="0.25">
      <c r="I805" s="49"/>
      <c r="J805" s="49"/>
      <c r="K805" s="49"/>
      <c r="V805" s="173"/>
      <c r="W805" s="173"/>
      <c r="X805" s="173"/>
      <c r="Y805" s="185"/>
      <c r="AA805" s="78"/>
    </row>
    <row r="806" spans="9:27" x14ac:dyDescent="0.25">
      <c r="I806" s="49"/>
      <c r="J806" s="49"/>
      <c r="K806" s="49"/>
      <c r="V806" s="173"/>
      <c r="W806" s="173"/>
      <c r="X806" s="173"/>
      <c r="Y806" s="185"/>
      <c r="AA806" s="78"/>
    </row>
    <row r="807" spans="9:27" x14ac:dyDescent="0.25">
      <c r="I807" s="49"/>
      <c r="J807" s="49"/>
      <c r="K807" s="49"/>
      <c r="V807" s="173"/>
      <c r="W807" s="173"/>
      <c r="X807" s="173"/>
      <c r="Y807" s="185"/>
      <c r="AA807" s="78"/>
    </row>
    <row r="808" spans="9:27" x14ac:dyDescent="0.25">
      <c r="I808" s="49"/>
      <c r="J808" s="49"/>
      <c r="K808" s="49"/>
      <c r="V808" s="173"/>
      <c r="W808" s="173"/>
      <c r="X808" s="173"/>
      <c r="Y808" s="185"/>
      <c r="AA808" s="78"/>
    </row>
    <row r="809" spans="9:27" x14ac:dyDescent="0.25">
      <c r="I809" s="49"/>
      <c r="J809" s="49"/>
      <c r="K809" s="49"/>
      <c r="V809" s="173"/>
      <c r="W809" s="173"/>
      <c r="X809" s="173"/>
      <c r="Y809" s="185"/>
      <c r="AA809" s="78"/>
    </row>
    <row r="810" spans="9:27" x14ac:dyDescent="0.25">
      <c r="I810" s="49"/>
      <c r="J810" s="49"/>
      <c r="K810" s="49"/>
      <c r="V810" s="173"/>
      <c r="W810" s="173"/>
      <c r="X810" s="173"/>
      <c r="Y810" s="185"/>
      <c r="AA810" s="78"/>
    </row>
    <row r="811" spans="9:27" x14ac:dyDescent="0.25">
      <c r="I811" s="49"/>
      <c r="J811" s="49"/>
      <c r="K811" s="49"/>
      <c r="V811" s="173"/>
      <c r="W811" s="173"/>
      <c r="X811" s="173"/>
      <c r="Y811" s="185"/>
      <c r="AA811" s="78"/>
    </row>
    <row r="812" spans="9:27" x14ac:dyDescent="0.25">
      <c r="I812" s="49"/>
      <c r="J812" s="49"/>
      <c r="K812" s="49"/>
      <c r="V812" s="173"/>
      <c r="W812" s="173"/>
      <c r="X812" s="173"/>
      <c r="Y812" s="185"/>
      <c r="AA812" s="78"/>
    </row>
    <row r="813" spans="9:27" x14ac:dyDescent="0.25">
      <c r="I813" s="49"/>
      <c r="J813" s="49"/>
      <c r="K813" s="49"/>
      <c r="V813" s="173"/>
      <c r="W813" s="173"/>
      <c r="X813" s="173"/>
      <c r="Y813" s="185"/>
      <c r="AA813" s="78"/>
    </row>
    <row r="814" spans="9:27" x14ac:dyDescent="0.25">
      <c r="I814" s="49"/>
      <c r="J814" s="49"/>
      <c r="K814" s="49"/>
      <c r="V814" s="173"/>
      <c r="W814" s="173"/>
      <c r="X814" s="173"/>
      <c r="Y814" s="185"/>
      <c r="AA814" s="78"/>
    </row>
    <row r="815" spans="9:27" x14ac:dyDescent="0.25">
      <c r="I815" s="49"/>
      <c r="J815" s="49"/>
      <c r="K815" s="49"/>
      <c r="V815" s="173"/>
      <c r="W815" s="173"/>
      <c r="X815" s="173"/>
      <c r="Y815" s="185"/>
      <c r="AA815" s="78"/>
    </row>
    <row r="816" spans="9:27" x14ac:dyDescent="0.25">
      <c r="I816" s="49"/>
      <c r="J816" s="49"/>
      <c r="K816" s="49"/>
      <c r="V816" s="173"/>
      <c r="W816" s="173"/>
      <c r="X816" s="173"/>
      <c r="Y816" s="185"/>
      <c r="AA816" s="78"/>
    </row>
    <row r="817" spans="9:27" x14ac:dyDescent="0.25">
      <c r="I817" s="49"/>
      <c r="J817" s="49"/>
      <c r="K817" s="49"/>
      <c r="V817" s="173"/>
      <c r="W817" s="173"/>
      <c r="X817" s="173"/>
      <c r="Y817" s="185"/>
      <c r="AA817" s="78"/>
    </row>
    <row r="818" spans="9:27" x14ac:dyDescent="0.25">
      <c r="I818" s="49"/>
      <c r="J818" s="49"/>
      <c r="K818" s="49"/>
      <c r="V818" s="173"/>
      <c r="W818" s="173"/>
      <c r="X818" s="173"/>
      <c r="Y818" s="185"/>
      <c r="AA818" s="78"/>
    </row>
    <row r="819" spans="9:27" x14ac:dyDescent="0.25">
      <c r="I819" s="49"/>
      <c r="J819" s="49"/>
      <c r="K819" s="49"/>
      <c r="V819" s="173"/>
      <c r="W819" s="173"/>
      <c r="X819" s="173"/>
      <c r="Y819" s="185"/>
      <c r="AA819" s="78"/>
    </row>
    <row r="820" spans="9:27" x14ac:dyDescent="0.25">
      <c r="I820" s="49"/>
      <c r="J820" s="49"/>
      <c r="K820" s="49"/>
      <c r="V820" s="173"/>
      <c r="W820" s="173"/>
      <c r="X820" s="173"/>
      <c r="Y820" s="185"/>
      <c r="AA820" s="78"/>
    </row>
    <row r="821" spans="9:27" x14ac:dyDescent="0.25">
      <c r="I821" s="49"/>
      <c r="J821" s="49"/>
      <c r="K821" s="49"/>
      <c r="V821" s="173"/>
      <c r="W821" s="173"/>
      <c r="X821" s="173"/>
      <c r="Y821" s="185"/>
      <c r="AA821" s="78"/>
    </row>
    <row r="822" spans="9:27" x14ac:dyDescent="0.25">
      <c r="I822" s="49"/>
      <c r="J822" s="49"/>
      <c r="K822" s="49"/>
      <c r="V822" s="173"/>
      <c r="W822" s="173"/>
      <c r="X822" s="173"/>
      <c r="Y822" s="185"/>
      <c r="AA822" s="78"/>
    </row>
    <row r="823" spans="9:27" x14ac:dyDescent="0.25">
      <c r="I823" s="49"/>
      <c r="J823" s="49"/>
      <c r="K823" s="49"/>
      <c r="V823" s="173"/>
      <c r="W823" s="173"/>
      <c r="X823" s="173"/>
      <c r="Y823" s="185"/>
      <c r="AA823" s="78"/>
    </row>
    <row r="824" spans="9:27" x14ac:dyDescent="0.25">
      <c r="I824" s="49"/>
      <c r="J824" s="49"/>
      <c r="K824" s="49"/>
      <c r="V824" s="173"/>
      <c r="W824" s="173"/>
      <c r="X824" s="173"/>
      <c r="Y824" s="185"/>
      <c r="AA824" s="78"/>
    </row>
    <row r="825" spans="9:27" x14ac:dyDescent="0.25">
      <c r="I825" s="49"/>
      <c r="J825" s="49"/>
      <c r="K825" s="49"/>
      <c r="V825" s="173"/>
      <c r="W825" s="173"/>
      <c r="X825" s="173"/>
      <c r="Y825" s="185"/>
      <c r="AA825" s="78"/>
    </row>
    <row r="826" spans="9:27" x14ac:dyDescent="0.25">
      <c r="I826" s="49"/>
      <c r="J826" s="49"/>
      <c r="K826" s="49"/>
      <c r="V826" s="173"/>
      <c r="W826" s="173"/>
      <c r="X826" s="173"/>
      <c r="Y826" s="185"/>
      <c r="AA826" s="78"/>
    </row>
    <row r="827" spans="9:27" x14ac:dyDescent="0.25">
      <c r="I827" s="49"/>
      <c r="J827" s="49"/>
      <c r="K827" s="49"/>
      <c r="V827" s="173"/>
      <c r="W827" s="173"/>
      <c r="X827" s="173"/>
      <c r="Y827" s="185"/>
      <c r="AA827" s="78"/>
    </row>
    <row r="828" spans="9:27" x14ac:dyDescent="0.25">
      <c r="I828" s="49"/>
      <c r="J828" s="49"/>
      <c r="K828" s="49"/>
      <c r="V828" s="173"/>
      <c r="W828" s="173"/>
      <c r="X828" s="173"/>
      <c r="Y828" s="185"/>
      <c r="AA828" s="78"/>
    </row>
    <row r="829" spans="9:27" x14ac:dyDescent="0.25">
      <c r="I829" s="49"/>
      <c r="J829" s="49"/>
      <c r="K829" s="49"/>
      <c r="V829" s="173"/>
      <c r="W829" s="173"/>
      <c r="X829" s="173"/>
      <c r="Y829" s="185"/>
      <c r="AA829" s="78"/>
    </row>
    <row r="830" spans="9:27" x14ac:dyDescent="0.25">
      <c r="I830" s="49"/>
      <c r="J830" s="49"/>
      <c r="K830" s="49"/>
      <c r="V830" s="173"/>
      <c r="W830" s="173"/>
      <c r="X830" s="173"/>
      <c r="Y830" s="185"/>
      <c r="AA830" s="78"/>
    </row>
    <row r="831" spans="9:27" x14ac:dyDescent="0.25">
      <c r="I831" s="49"/>
      <c r="J831" s="49"/>
      <c r="K831" s="49"/>
      <c r="V831" s="173"/>
      <c r="W831" s="173"/>
      <c r="X831" s="173"/>
      <c r="Y831" s="185"/>
      <c r="AA831" s="78"/>
    </row>
    <row r="832" spans="9:27" x14ac:dyDescent="0.25">
      <c r="I832" s="49"/>
      <c r="J832" s="49"/>
      <c r="K832" s="49"/>
      <c r="V832" s="173"/>
      <c r="W832" s="173"/>
      <c r="X832" s="173"/>
      <c r="Y832" s="185"/>
      <c r="AA832" s="78"/>
    </row>
    <row r="833" spans="9:27" x14ac:dyDescent="0.25">
      <c r="I833" s="49"/>
      <c r="J833" s="49"/>
      <c r="K833" s="49"/>
      <c r="V833" s="173"/>
      <c r="W833" s="173"/>
      <c r="X833" s="173"/>
      <c r="Y833" s="185"/>
      <c r="AA833" s="78"/>
    </row>
    <row r="834" spans="9:27" x14ac:dyDescent="0.25">
      <c r="I834" s="49"/>
      <c r="J834" s="49"/>
      <c r="K834" s="49"/>
      <c r="V834" s="173"/>
      <c r="W834" s="173"/>
      <c r="X834" s="173"/>
      <c r="Y834" s="185"/>
      <c r="AA834" s="78"/>
    </row>
    <row r="835" spans="9:27" x14ac:dyDescent="0.25">
      <c r="I835" s="49"/>
      <c r="J835" s="49"/>
      <c r="K835" s="49"/>
      <c r="V835" s="173"/>
      <c r="W835" s="173"/>
      <c r="X835" s="173"/>
      <c r="Y835" s="185"/>
      <c r="AA835" s="78"/>
    </row>
    <row r="836" spans="9:27" x14ac:dyDescent="0.25">
      <c r="I836" s="49"/>
      <c r="J836" s="49"/>
      <c r="K836" s="49"/>
      <c r="V836" s="173"/>
      <c r="W836" s="173"/>
      <c r="X836" s="173"/>
      <c r="Y836" s="185"/>
      <c r="AA836" s="78"/>
    </row>
    <row r="837" spans="9:27" x14ac:dyDescent="0.25">
      <c r="I837" s="49"/>
      <c r="J837" s="49"/>
      <c r="K837" s="49"/>
      <c r="V837" s="173"/>
      <c r="W837" s="173"/>
      <c r="X837" s="173"/>
      <c r="Y837" s="185"/>
      <c r="AA837" s="78"/>
    </row>
    <row r="838" spans="9:27" x14ac:dyDescent="0.25">
      <c r="I838" s="49"/>
      <c r="J838" s="49"/>
      <c r="K838" s="49"/>
      <c r="V838" s="173"/>
      <c r="W838" s="173"/>
      <c r="X838" s="173"/>
      <c r="Y838" s="185"/>
      <c r="AA838" s="78"/>
    </row>
    <row r="839" spans="9:27" x14ac:dyDescent="0.25">
      <c r="I839" s="49"/>
      <c r="J839" s="49"/>
      <c r="K839" s="49"/>
      <c r="V839" s="173"/>
      <c r="W839" s="173"/>
      <c r="X839" s="173"/>
      <c r="Y839" s="185"/>
      <c r="AA839" s="78"/>
    </row>
    <row r="840" spans="9:27" x14ac:dyDescent="0.25">
      <c r="I840" s="49"/>
      <c r="J840" s="49"/>
      <c r="K840" s="49"/>
      <c r="V840" s="173"/>
      <c r="W840" s="173"/>
      <c r="X840" s="173"/>
      <c r="Y840" s="185"/>
      <c r="AA840" s="78"/>
    </row>
    <row r="841" spans="9:27" x14ac:dyDescent="0.25">
      <c r="I841" s="49"/>
      <c r="J841" s="49"/>
      <c r="K841" s="49"/>
      <c r="V841" s="173"/>
      <c r="W841" s="173"/>
      <c r="X841" s="173"/>
      <c r="Y841" s="185"/>
      <c r="AA841" s="78"/>
    </row>
    <row r="842" spans="9:27" x14ac:dyDescent="0.25">
      <c r="I842" s="49"/>
      <c r="J842" s="49"/>
      <c r="K842" s="49"/>
      <c r="V842" s="173"/>
      <c r="W842" s="173"/>
      <c r="X842" s="173"/>
      <c r="Y842" s="185"/>
      <c r="AA842" s="78"/>
    </row>
    <row r="843" spans="9:27" x14ac:dyDescent="0.25">
      <c r="I843" s="49"/>
      <c r="J843" s="49"/>
      <c r="K843" s="49"/>
      <c r="V843" s="173"/>
      <c r="W843" s="173"/>
      <c r="X843" s="173"/>
      <c r="Y843" s="185"/>
      <c r="AA843" s="78"/>
    </row>
    <row r="844" spans="9:27" x14ac:dyDescent="0.25">
      <c r="I844" s="49"/>
      <c r="J844" s="49"/>
      <c r="K844" s="49"/>
      <c r="V844" s="173"/>
      <c r="W844" s="173"/>
      <c r="X844" s="173"/>
      <c r="Y844" s="185"/>
      <c r="AA844" s="78"/>
    </row>
    <row r="845" spans="9:27" x14ac:dyDescent="0.25">
      <c r="I845" s="49"/>
      <c r="J845" s="49"/>
      <c r="K845" s="49"/>
      <c r="V845" s="173"/>
      <c r="W845" s="173"/>
      <c r="X845" s="173"/>
      <c r="Y845" s="185"/>
      <c r="AA845" s="78"/>
    </row>
    <row r="846" spans="9:27" x14ac:dyDescent="0.25">
      <c r="I846" s="49"/>
      <c r="J846" s="49"/>
      <c r="K846" s="49"/>
      <c r="V846" s="173"/>
      <c r="W846" s="173"/>
      <c r="X846" s="173"/>
      <c r="Y846" s="185"/>
      <c r="AA846" s="78"/>
    </row>
    <row r="847" spans="9:27" x14ac:dyDescent="0.25">
      <c r="I847" s="49"/>
      <c r="J847" s="49"/>
      <c r="K847" s="49"/>
      <c r="V847" s="173"/>
      <c r="W847" s="173"/>
      <c r="X847" s="173"/>
      <c r="Y847" s="185"/>
      <c r="AA847" s="78"/>
    </row>
    <row r="848" spans="9:27" x14ac:dyDescent="0.25">
      <c r="I848" s="49"/>
      <c r="J848" s="49"/>
      <c r="K848" s="49"/>
      <c r="V848" s="173"/>
      <c r="W848" s="173"/>
      <c r="X848" s="173"/>
      <c r="Y848" s="185"/>
      <c r="AA848" s="78"/>
    </row>
    <row r="849" spans="9:27" x14ac:dyDescent="0.25">
      <c r="I849" s="49"/>
      <c r="J849" s="49"/>
      <c r="K849" s="49"/>
      <c r="V849" s="173"/>
      <c r="W849" s="173"/>
      <c r="X849" s="173"/>
      <c r="Y849" s="185"/>
      <c r="AA849" s="78"/>
    </row>
    <row r="850" spans="9:27" x14ac:dyDescent="0.25">
      <c r="I850" s="49"/>
      <c r="J850" s="49"/>
      <c r="K850" s="49"/>
      <c r="V850" s="173"/>
      <c r="W850" s="173"/>
      <c r="X850" s="173"/>
      <c r="Y850" s="185"/>
      <c r="AA850" s="78"/>
    </row>
    <row r="851" spans="9:27" x14ac:dyDescent="0.25">
      <c r="I851" s="49"/>
      <c r="J851" s="49"/>
      <c r="K851" s="49"/>
      <c r="V851" s="173"/>
      <c r="W851" s="173"/>
      <c r="X851" s="173"/>
      <c r="Y851" s="185"/>
      <c r="AA851" s="78"/>
    </row>
    <row r="852" spans="9:27" x14ac:dyDescent="0.25">
      <c r="I852" s="49"/>
      <c r="J852" s="49"/>
      <c r="K852" s="49"/>
      <c r="V852" s="173"/>
      <c r="W852" s="173"/>
      <c r="X852" s="173"/>
      <c r="Y852" s="185"/>
      <c r="AA852" s="78"/>
    </row>
    <row r="853" spans="9:27" x14ac:dyDescent="0.25">
      <c r="I853" s="49"/>
      <c r="J853" s="49"/>
      <c r="K853" s="49"/>
      <c r="V853" s="173"/>
      <c r="W853" s="173"/>
      <c r="X853" s="173"/>
      <c r="Y853" s="185"/>
      <c r="AA853" s="78"/>
    </row>
    <row r="854" spans="9:27" x14ac:dyDescent="0.25">
      <c r="I854" s="49"/>
      <c r="J854" s="49"/>
      <c r="K854" s="49"/>
      <c r="V854" s="173"/>
      <c r="W854" s="173"/>
      <c r="X854" s="173"/>
      <c r="Y854" s="185"/>
      <c r="AA854" s="78"/>
    </row>
    <row r="855" spans="9:27" x14ac:dyDescent="0.25">
      <c r="I855" s="49"/>
      <c r="J855" s="49"/>
      <c r="K855" s="49"/>
      <c r="V855" s="173"/>
      <c r="W855" s="173"/>
      <c r="X855" s="173"/>
      <c r="Y855" s="185"/>
      <c r="AA855" s="78"/>
    </row>
    <row r="856" spans="9:27" x14ac:dyDescent="0.25">
      <c r="I856" s="49"/>
      <c r="J856" s="49"/>
      <c r="K856" s="49"/>
      <c r="V856" s="173"/>
      <c r="W856" s="173"/>
      <c r="X856" s="173"/>
      <c r="Y856" s="185"/>
      <c r="AA856" s="78"/>
    </row>
    <row r="857" spans="9:27" x14ac:dyDescent="0.25">
      <c r="I857" s="49"/>
      <c r="J857" s="49"/>
      <c r="K857" s="49"/>
      <c r="V857" s="173"/>
      <c r="W857" s="173"/>
      <c r="X857" s="173"/>
      <c r="Y857" s="185"/>
      <c r="AA857" s="78"/>
    </row>
    <row r="858" spans="9:27" x14ac:dyDescent="0.25">
      <c r="I858" s="49"/>
      <c r="J858" s="49"/>
      <c r="K858" s="49"/>
      <c r="V858" s="173"/>
      <c r="W858" s="173"/>
      <c r="X858" s="173"/>
      <c r="Y858" s="185"/>
      <c r="AA858" s="78"/>
    </row>
    <row r="859" spans="9:27" x14ac:dyDescent="0.25">
      <c r="I859" s="49"/>
      <c r="J859" s="49"/>
      <c r="K859" s="49"/>
      <c r="V859" s="173"/>
      <c r="W859" s="173"/>
      <c r="X859" s="173"/>
      <c r="Y859" s="185"/>
      <c r="AA859" s="78"/>
    </row>
    <row r="860" spans="9:27" x14ac:dyDescent="0.25">
      <c r="I860" s="49"/>
      <c r="J860" s="49"/>
      <c r="K860" s="49"/>
      <c r="V860" s="173"/>
      <c r="W860" s="173"/>
      <c r="X860" s="173"/>
      <c r="Y860" s="185"/>
      <c r="AA860" s="78"/>
    </row>
    <row r="861" spans="9:27" x14ac:dyDescent="0.25">
      <c r="I861" s="49"/>
      <c r="J861" s="49"/>
      <c r="K861" s="49"/>
      <c r="V861" s="173"/>
      <c r="W861" s="173"/>
      <c r="X861" s="173"/>
      <c r="Y861" s="185"/>
      <c r="AA861" s="78"/>
    </row>
    <row r="862" spans="9:27" x14ac:dyDescent="0.25">
      <c r="I862" s="49"/>
      <c r="J862" s="49"/>
      <c r="K862" s="49"/>
      <c r="V862" s="173"/>
      <c r="W862" s="173"/>
      <c r="X862" s="173"/>
      <c r="Y862" s="185"/>
      <c r="AA862" s="78"/>
    </row>
    <row r="863" spans="9:27" x14ac:dyDescent="0.25">
      <c r="I863" s="49"/>
      <c r="J863" s="49"/>
      <c r="K863" s="49"/>
      <c r="V863" s="173"/>
      <c r="W863" s="173"/>
      <c r="X863" s="173"/>
      <c r="Y863" s="185"/>
      <c r="AA863" s="78"/>
    </row>
    <row r="864" spans="9:27" x14ac:dyDescent="0.25">
      <c r="I864" s="49"/>
      <c r="J864" s="49"/>
      <c r="K864" s="49"/>
      <c r="V864" s="173"/>
      <c r="W864" s="173"/>
      <c r="X864" s="173"/>
      <c r="Y864" s="185"/>
      <c r="AA864" s="78"/>
    </row>
    <row r="865" spans="9:27" x14ac:dyDescent="0.25">
      <c r="I865" s="49"/>
      <c r="J865" s="49"/>
      <c r="K865" s="49"/>
      <c r="V865" s="173"/>
      <c r="W865" s="173"/>
      <c r="X865" s="173"/>
      <c r="Y865" s="185"/>
      <c r="AA865" s="78"/>
    </row>
    <row r="866" spans="9:27" x14ac:dyDescent="0.25">
      <c r="I866" s="49"/>
      <c r="J866" s="49"/>
      <c r="K866" s="49"/>
      <c r="V866" s="173"/>
      <c r="W866" s="173"/>
      <c r="X866" s="173"/>
      <c r="Y866" s="185"/>
      <c r="AA866" s="78"/>
    </row>
    <row r="867" spans="9:27" x14ac:dyDescent="0.25">
      <c r="I867" s="49"/>
      <c r="J867" s="49"/>
      <c r="K867" s="49"/>
      <c r="V867" s="173"/>
      <c r="W867" s="173"/>
      <c r="X867" s="173"/>
      <c r="Y867" s="185"/>
      <c r="AA867" s="78"/>
    </row>
    <row r="868" spans="9:27" x14ac:dyDescent="0.25">
      <c r="I868" s="49"/>
      <c r="J868" s="49"/>
      <c r="K868" s="49"/>
      <c r="V868" s="173"/>
      <c r="W868" s="173"/>
      <c r="X868" s="173"/>
      <c r="Y868" s="185"/>
      <c r="AA868" s="78"/>
    </row>
    <row r="869" spans="9:27" x14ac:dyDescent="0.25">
      <c r="I869" s="49"/>
      <c r="J869" s="49"/>
      <c r="K869" s="49"/>
      <c r="V869" s="173"/>
      <c r="W869" s="173"/>
      <c r="X869" s="173"/>
      <c r="Y869" s="185"/>
      <c r="AA869" s="78"/>
    </row>
    <row r="870" spans="9:27" x14ac:dyDescent="0.25">
      <c r="I870" s="49"/>
      <c r="J870" s="49"/>
      <c r="K870" s="49"/>
      <c r="V870" s="173"/>
      <c r="W870" s="173"/>
      <c r="X870" s="173"/>
      <c r="Y870" s="185"/>
      <c r="AA870" s="78"/>
    </row>
    <row r="871" spans="9:27" x14ac:dyDescent="0.25">
      <c r="I871" s="49"/>
      <c r="J871" s="49"/>
      <c r="K871" s="49"/>
      <c r="V871" s="173"/>
      <c r="W871" s="173"/>
      <c r="X871" s="173"/>
      <c r="Y871" s="185"/>
      <c r="AA871" s="78"/>
    </row>
    <row r="872" spans="9:27" x14ac:dyDescent="0.25">
      <c r="I872" s="49"/>
      <c r="J872" s="49"/>
      <c r="K872" s="49"/>
      <c r="V872" s="173"/>
      <c r="W872" s="173"/>
      <c r="X872" s="173"/>
      <c r="Y872" s="185"/>
      <c r="AA872" s="78"/>
    </row>
    <row r="873" spans="9:27" x14ac:dyDescent="0.25">
      <c r="I873" s="49"/>
      <c r="J873" s="49"/>
      <c r="K873" s="49"/>
      <c r="V873" s="173"/>
      <c r="W873" s="173"/>
      <c r="X873" s="173"/>
      <c r="Y873" s="185"/>
      <c r="AA873" s="78"/>
    </row>
    <row r="874" spans="9:27" x14ac:dyDescent="0.25">
      <c r="I874" s="49"/>
      <c r="J874" s="49"/>
      <c r="K874" s="49"/>
      <c r="V874" s="173"/>
      <c r="W874" s="173"/>
      <c r="X874" s="173"/>
      <c r="Y874" s="185"/>
      <c r="AA874" s="78"/>
    </row>
    <row r="875" spans="9:27" x14ac:dyDescent="0.25">
      <c r="I875" s="49"/>
      <c r="J875" s="49"/>
      <c r="K875" s="49"/>
      <c r="V875" s="173"/>
      <c r="W875" s="173"/>
      <c r="X875" s="173"/>
      <c r="Y875" s="185"/>
      <c r="AA875" s="78"/>
    </row>
    <row r="876" spans="9:27" x14ac:dyDescent="0.25">
      <c r="I876" s="49"/>
      <c r="J876" s="49"/>
      <c r="K876" s="49"/>
      <c r="V876" s="173"/>
      <c r="W876" s="173"/>
      <c r="X876" s="173"/>
      <c r="Y876" s="185"/>
      <c r="AA876" s="78"/>
    </row>
    <row r="877" spans="9:27" x14ac:dyDescent="0.25">
      <c r="I877" s="49"/>
      <c r="J877" s="49"/>
      <c r="K877" s="49"/>
      <c r="V877" s="173"/>
      <c r="W877" s="173"/>
      <c r="X877" s="173"/>
      <c r="Y877" s="185"/>
      <c r="AA877" s="78"/>
    </row>
    <row r="878" spans="9:27" x14ac:dyDescent="0.25">
      <c r="I878" s="49"/>
      <c r="J878" s="49"/>
      <c r="K878" s="49"/>
      <c r="V878" s="173"/>
      <c r="W878" s="173"/>
      <c r="X878" s="173"/>
      <c r="Y878" s="185"/>
      <c r="AA878" s="78"/>
    </row>
    <row r="879" spans="9:27" x14ac:dyDescent="0.25">
      <c r="I879" s="49"/>
      <c r="J879" s="49"/>
      <c r="K879" s="49"/>
      <c r="V879" s="173"/>
      <c r="W879" s="173"/>
      <c r="X879" s="173"/>
      <c r="Y879" s="185"/>
      <c r="AA879" s="78"/>
    </row>
    <row r="880" spans="9:27" x14ac:dyDescent="0.25">
      <c r="I880" s="49"/>
      <c r="J880" s="49"/>
      <c r="K880" s="49"/>
      <c r="V880" s="173"/>
      <c r="W880" s="173"/>
      <c r="X880" s="173"/>
      <c r="Y880" s="185"/>
      <c r="AA880" s="78"/>
    </row>
    <row r="881" spans="9:27" x14ac:dyDescent="0.25">
      <c r="I881" s="49"/>
      <c r="J881" s="49"/>
      <c r="K881" s="49"/>
      <c r="V881" s="173"/>
      <c r="W881" s="173"/>
      <c r="X881" s="173"/>
      <c r="Y881" s="185"/>
      <c r="AA881" s="78"/>
    </row>
    <row r="882" spans="9:27" x14ac:dyDescent="0.25">
      <c r="I882" s="49"/>
      <c r="J882" s="49"/>
      <c r="K882" s="49"/>
      <c r="V882" s="173"/>
      <c r="W882" s="173"/>
      <c r="X882" s="173"/>
      <c r="Y882" s="185"/>
      <c r="AA882" s="78"/>
    </row>
    <row r="883" spans="9:27" x14ac:dyDescent="0.25">
      <c r="I883" s="49"/>
      <c r="J883" s="49"/>
      <c r="K883" s="49"/>
      <c r="V883" s="173"/>
      <c r="W883" s="173"/>
      <c r="X883" s="173"/>
      <c r="Y883" s="185"/>
      <c r="AA883" s="78"/>
    </row>
    <row r="884" spans="9:27" x14ac:dyDescent="0.25">
      <c r="I884" s="49"/>
      <c r="J884" s="49"/>
      <c r="K884" s="49"/>
      <c r="V884" s="173"/>
      <c r="W884" s="173"/>
      <c r="X884" s="173"/>
      <c r="Y884" s="185"/>
      <c r="AA884" s="78"/>
    </row>
    <row r="885" spans="9:27" x14ac:dyDescent="0.25">
      <c r="I885" s="49"/>
      <c r="J885" s="49"/>
      <c r="K885" s="49"/>
      <c r="V885" s="173"/>
      <c r="W885" s="173"/>
      <c r="X885" s="173"/>
      <c r="Y885" s="185"/>
      <c r="AA885" s="78"/>
    </row>
    <row r="886" spans="9:27" x14ac:dyDescent="0.25">
      <c r="I886" s="49"/>
      <c r="J886" s="49"/>
      <c r="K886" s="49"/>
      <c r="V886" s="173"/>
      <c r="W886" s="173"/>
      <c r="X886" s="173"/>
      <c r="Y886" s="185"/>
      <c r="AA886" s="78"/>
    </row>
    <row r="887" spans="9:27" x14ac:dyDescent="0.25">
      <c r="I887" s="49"/>
      <c r="J887" s="49"/>
      <c r="K887" s="49"/>
      <c r="V887" s="173"/>
      <c r="W887" s="173"/>
      <c r="X887" s="173"/>
      <c r="Y887" s="185"/>
      <c r="AA887" s="78"/>
    </row>
    <row r="888" spans="9:27" x14ac:dyDescent="0.25">
      <c r="I888" s="49"/>
      <c r="J888" s="49"/>
      <c r="K888" s="49"/>
      <c r="V888" s="173"/>
      <c r="W888" s="173"/>
      <c r="X888" s="173"/>
      <c r="Y888" s="185"/>
      <c r="AA888" s="78"/>
    </row>
    <row r="889" spans="9:27" x14ac:dyDescent="0.25">
      <c r="I889" s="49"/>
      <c r="J889" s="49"/>
      <c r="K889" s="49"/>
      <c r="V889" s="173"/>
      <c r="W889" s="173"/>
      <c r="X889" s="173"/>
      <c r="Y889" s="185"/>
      <c r="AA889" s="78"/>
    </row>
    <row r="890" spans="9:27" x14ac:dyDescent="0.25">
      <c r="I890" s="49"/>
      <c r="J890" s="49"/>
      <c r="K890" s="49"/>
      <c r="V890" s="173"/>
      <c r="W890" s="173"/>
      <c r="X890" s="173"/>
      <c r="Y890" s="185"/>
      <c r="AA890" s="78"/>
    </row>
    <row r="891" spans="9:27" x14ac:dyDescent="0.25">
      <c r="I891" s="49"/>
      <c r="J891" s="49"/>
      <c r="K891" s="49"/>
      <c r="V891" s="173"/>
      <c r="W891" s="173"/>
      <c r="X891" s="173"/>
      <c r="Y891" s="185"/>
      <c r="AA891" s="78"/>
    </row>
    <row r="892" spans="9:27" x14ac:dyDescent="0.25">
      <c r="I892" s="49"/>
      <c r="J892" s="49"/>
      <c r="K892" s="49"/>
      <c r="V892" s="173"/>
      <c r="W892" s="173"/>
      <c r="X892" s="173"/>
      <c r="Y892" s="185"/>
      <c r="AA892" s="78"/>
    </row>
    <row r="893" spans="9:27" x14ac:dyDescent="0.25">
      <c r="I893" s="49"/>
      <c r="J893" s="49"/>
      <c r="K893" s="49"/>
      <c r="V893" s="173"/>
      <c r="W893" s="173"/>
      <c r="X893" s="173"/>
      <c r="Y893" s="185"/>
      <c r="AA893" s="78"/>
    </row>
    <row r="894" spans="9:27" x14ac:dyDescent="0.25">
      <c r="I894" s="49"/>
      <c r="J894" s="49"/>
      <c r="K894" s="49"/>
      <c r="V894" s="173"/>
      <c r="W894" s="173"/>
      <c r="X894" s="173"/>
      <c r="Y894" s="185"/>
      <c r="AA894" s="78"/>
    </row>
    <row r="895" spans="9:27" x14ac:dyDescent="0.25">
      <c r="I895" s="49"/>
      <c r="J895" s="49"/>
      <c r="K895" s="49"/>
      <c r="V895" s="173"/>
      <c r="W895" s="173"/>
      <c r="X895" s="173"/>
      <c r="Y895" s="185"/>
      <c r="AA895" s="78"/>
    </row>
    <row r="896" spans="9:27" x14ac:dyDescent="0.25">
      <c r="I896" s="49"/>
      <c r="J896" s="49"/>
      <c r="K896" s="49"/>
      <c r="V896" s="173"/>
      <c r="W896" s="173"/>
      <c r="X896" s="173"/>
      <c r="Y896" s="185"/>
      <c r="AA896" s="78"/>
    </row>
    <row r="897" spans="9:27" x14ac:dyDescent="0.25">
      <c r="I897" s="49"/>
      <c r="J897" s="49"/>
      <c r="K897" s="49"/>
      <c r="V897" s="173"/>
      <c r="W897" s="173"/>
      <c r="X897" s="173"/>
      <c r="Y897" s="185"/>
      <c r="AA897" s="78"/>
    </row>
    <row r="898" spans="9:27" x14ac:dyDescent="0.25">
      <c r="I898" s="49"/>
      <c r="J898" s="49"/>
      <c r="K898" s="49"/>
      <c r="V898" s="173"/>
      <c r="W898" s="173"/>
      <c r="X898" s="173"/>
      <c r="Y898" s="185"/>
      <c r="AA898" s="78"/>
    </row>
    <row r="899" spans="9:27" x14ac:dyDescent="0.25">
      <c r="I899" s="49"/>
      <c r="J899" s="49"/>
      <c r="K899" s="49"/>
      <c r="V899" s="173"/>
      <c r="W899" s="173"/>
      <c r="X899" s="173"/>
      <c r="Y899" s="185"/>
      <c r="AA899" s="78"/>
    </row>
    <row r="900" spans="9:27" x14ac:dyDescent="0.25">
      <c r="I900" s="49"/>
      <c r="J900" s="49"/>
      <c r="K900" s="49"/>
      <c r="V900" s="173"/>
      <c r="W900" s="173"/>
      <c r="X900" s="173"/>
      <c r="Y900" s="185"/>
      <c r="AA900" s="78"/>
    </row>
    <row r="901" spans="9:27" x14ac:dyDescent="0.25">
      <c r="I901" s="49"/>
      <c r="J901" s="49"/>
      <c r="K901" s="49"/>
      <c r="V901" s="173"/>
      <c r="W901" s="173"/>
      <c r="X901" s="173"/>
      <c r="Y901" s="185"/>
      <c r="AA901" s="78"/>
    </row>
    <row r="902" spans="9:27" x14ac:dyDescent="0.25">
      <c r="I902" s="49"/>
      <c r="J902" s="49"/>
      <c r="K902" s="49"/>
      <c r="V902" s="173"/>
      <c r="W902" s="173"/>
      <c r="X902" s="173"/>
      <c r="Y902" s="185"/>
      <c r="AA902" s="78"/>
    </row>
    <row r="903" spans="9:27" x14ac:dyDescent="0.25">
      <c r="I903" s="49"/>
      <c r="J903" s="49"/>
      <c r="K903" s="49"/>
      <c r="V903" s="173"/>
      <c r="W903" s="173"/>
      <c r="X903" s="173"/>
      <c r="Y903" s="185"/>
      <c r="AA903" s="78"/>
    </row>
    <row r="904" spans="9:27" x14ac:dyDescent="0.25">
      <c r="I904" s="49"/>
      <c r="J904" s="49"/>
      <c r="K904" s="49"/>
      <c r="V904" s="173"/>
      <c r="W904" s="173"/>
      <c r="X904" s="173"/>
      <c r="Y904" s="185"/>
      <c r="AA904" s="78"/>
    </row>
    <row r="905" spans="9:27" x14ac:dyDescent="0.25">
      <c r="I905" s="49"/>
      <c r="J905" s="49"/>
      <c r="K905" s="49"/>
      <c r="V905" s="173"/>
      <c r="W905" s="173"/>
      <c r="X905" s="173"/>
      <c r="Y905" s="185"/>
      <c r="AA905" s="78"/>
    </row>
    <row r="906" spans="9:27" x14ac:dyDescent="0.25">
      <c r="I906" s="49"/>
      <c r="J906" s="49"/>
      <c r="K906" s="49"/>
      <c r="V906" s="173"/>
      <c r="W906" s="173"/>
      <c r="X906" s="173"/>
      <c r="Y906" s="185"/>
      <c r="AA906" s="78"/>
    </row>
    <row r="907" spans="9:27" x14ac:dyDescent="0.25">
      <c r="I907" s="49"/>
      <c r="J907" s="49"/>
      <c r="K907" s="49"/>
      <c r="V907" s="173"/>
      <c r="W907" s="173"/>
      <c r="X907" s="173"/>
      <c r="Y907" s="185"/>
      <c r="AA907" s="78"/>
    </row>
    <row r="908" spans="9:27" x14ac:dyDescent="0.25">
      <c r="I908" s="49"/>
      <c r="J908" s="49"/>
      <c r="K908" s="49"/>
      <c r="V908" s="173"/>
      <c r="W908" s="173"/>
      <c r="X908" s="173"/>
      <c r="Y908" s="185"/>
      <c r="AA908" s="78"/>
    </row>
    <row r="909" spans="9:27" x14ac:dyDescent="0.25">
      <c r="I909" s="49"/>
      <c r="J909" s="49"/>
      <c r="K909" s="49"/>
      <c r="V909" s="173"/>
      <c r="W909" s="173"/>
      <c r="X909" s="173"/>
      <c r="Y909" s="185"/>
      <c r="AA909" s="78"/>
    </row>
    <row r="910" spans="9:27" x14ac:dyDescent="0.25">
      <c r="I910" s="49"/>
      <c r="J910" s="49"/>
      <c r="K910" s="49"/>
      <c r="V910" s="173"/>
      <c r="W910" s="173"/>
      <c r="X910" s="173"/>
      <c r="Y910" s="185"/>
      <c r="AA910" s="78"/>
    </row>
    <row r="911" spans="9:27" x14ac:dyDescent="0.25">
      <c r="I911" s="49"/>
      <c r="J911" s="49"/>
      <c r="K911" s="49"/>
      <c r="V911" s="173"/>
      <c r="W911" s="173"/>
      <c r="X911" s="173"/>
      <c r="Y911" s="185"/>
      <c r="AA911" s="78"/>
    </row>
    <row r="912" spans="9:27" x14ac:dyDescent="0.25">
      <c r="I912" s="49"/>
      <c r="J912" s="49"/>
      <c r="K912" s="49"/>
      <c r="V912" s="173"/>
      <c r="W912" s="173"/>
      <c r="X912" s="173"/>
      <c r="Y912" s="185"/>
      <c r="AA912" s="78"/>
    </row>
    <row r="913" spans="9:27" x14ac:dyDescent="0.25">
      <c r="I913" s="49"/>
      <c r="J913" s="49"/>
      <c r="K913" s="49"/>
      <c r="V913" s="173"/>
      <c r="W913" s="173"/>
      <c r="X913" s="173"/>
      <c r="Y913" s="185"/>
      <c r="AA913" s="78"/>
    </row>
    <row r="914" spans="9:27" x14ac:dyDescent="0.25">
      <c r="I914" s="49"/>
      <c r="J914" s="49"/>
      <c r="K914" s="49"/>
      <c r="V914" s="173"/>
      <c r="W914" s="173"/>
      <c r="X914" s="173"/>
      <c r="Y914" s="185"/>
      <c r="AA914" s="78"/>
    </row>
    <row r="915" spans="9:27" x14ac:dyDescent="0.25">
      <c r="I915" s="49"/>
      <c r="J915" s="49"/>
      <c r="K915" s="49"/>
      <c r="V915" s="173"/>
      <c r="W915" s="173"/>
      <c r="X915" s="173"/>
      <c r="Y915" s="185"/>
      <c r="AA915" s="78"/>
    </row>
    <row r="916" spans="9:27" x14ac:dyDescent="0.25">
      <c r="I916" s="49"/>
      <c r="J916" s="49"/>
      <c r="K916" s="49"/>
      <c r="V916" s="173"/>
      <c r="W916" s="173"/>
      <c r="X916" s="173"/>
      <c r="Y916" s="185"/>
      <c r="AA916" s="78"/>
    </row>
    <row r="917" spans="9:27" x14ac:dyDescent="0.25">
      <c r="I917" s="49"/>
      <c r="J917" s="49"/>
      <c r="K917" s="49"/>
      <c r="V917" s="173"/>
      <c r="W917" s="173"/>
      <c r="X917" s="173"/>
      <c r="Y917" s="185"/>
      <c r="AA917" s="78"/>
    </row>
    <row r="918" spans="9:27" x14ac:dyDescent="0.25">
      <c r="I918" s="49"/>
      <c r="J918" s="49"/>
      <c r="K918" s="49"/>
      <c r="V918" s="173"/>
      <c r="W918" s="173"/>
      <c r="X918" s="173"/>
      <c r="Y918" s="185"/>
      <c r="AA918" s="78"/>
    </row>
    <row r="919" spans="9:27" x14ac:dyDescent="0.25">
      <c r="I919" s="49"/>
      <c r="J919" s="49"/>
      <c r="K919" s="49"/>
      <c r="V919" s="173"/>
      <c r="W919" s="173"/>
      <c r="X919" s="173"/>
      <c r="Y919" s="185"/>
      <c r="AA919" s="78"/>
    </row>
    <row r="920" spans="9:27" x14ac:dyDescent="0.25">
      <c r="I920" s="49"/>
      <c r="J920" s="49"/>
      <c r="K920" s="49"/>
      <c r="V920" s="173"/>
      <c r="W920" s="173"/>
      <c r="X920" s="173"/>
      <c r="Y920" s="185"/>
      <c r="AA920" s="78"/>
    </row>
    <row r="921" spans="9:27" x14ac:dyDescent="0.25">
      <c r="I921" s="49"/>
      <c r="J921" s="49"/>
      <c r="K921" s="49"/>
      <c r="V921" s="173"/>
      <c r="W921" s="173"/>
      <c r="X921" s="173"/>
      <c r="Y921" s="185"/>
      <c r="AA921" s="78"/>
    </row>
    <row r="922" spans="9:27" x14ac:dyDescent="0.25">
      <c r="I922" s="49"/>
      <c r="J922" s="49"/>
      <c r="K922" s="49"/>
      <c r="V922" s="173"/>
      <c r="W922" s="173"/>
      <c r="X922" s="173"/>
      <c r="Y922" s="185"/>
      <c r="AA922" s="78"/>
    </row>
    <row r="923" spans="9:27" x14ac:dyDescent="0.25">
      <c r="I923" s="49"/>
      <c r="J923" s="49"/>
      <c r="K923" s="49"/>
      <c r="V923" s="173"/>
      <c r="W923" s="173"/>
      <c r="X923" s="173"/>
      <c r="Y923" s="185"/>
      <c r="AA923" s="78"/>
    </row>
    <row r="924" spans="9:27" x14ac:dyDescent="0.25">
      <c r="I924" s="49"/>
      <c r="J924" s="49"/>
      <c r="K924" s="49"/>
      <c r="V924" s="173"/>
      <c r="W924" s="173"/>
      <c r="X924" s="173"/>
      <c r="Y924" s="185"/>
      <c r="AA924" s="78"/>
    </row>
    <row r="925" spans="9:27" x14ac:dyDescent="0.25">
      <c r="I925" s="49"/>
      <c r="J925" s="49"/>
      <c r="K925" s="49"/>
      <c r="V925" s="173"/>
      <c r="W925" s="173"/>
      <c r="X925" s="173"/>
      <c r="Y925" s="185"/>
      <c r="AA925" s="78"/>
    </row>
    <row r="926" spans="9:27" x14ac:dyDescent="0.25">
      <c r="I926" s="49"/>
      <c r="J926" s="49"/>
      <c r="K926" s="49"/>
      <c r="V926" s="173"/>
      <c r="W926" s="173"/>
      <c r="X926" s="173"/>
      <c r="Y926" s="185"/>
      <c r="AA926" s="78"/>
    </row>
    <row r="927" spans="9:27" x14ac:dyDescent="0.25">
      <c r="I927" s="49"/>
      <c r="J927" s="49"/>
      <c r="K927" s="49"/>
      <c r="V927" s="173"/>
      <c r="W927" s="173"/>
      <c r="X927" s="173"/>
      <c r="Y927" s="185"/>
      <c r="AA927" s="78"/>
    </row>
    <row r="928" spans="9:27" x14ac:dyDescent="0.25">
      <c r="I928" s="49"/>
      <c r="J928" s="49"/>
      <c r="K928" s="49"/>
      <c r="V928" s="173"/>
      <c r="W928" s="173"/>
      <c r="X928" s="173"/>
      <c r="Y928" s="185"/>
      <c r="AA928" s="78"/>
    </row>
    <row r="929" spans="9:27" x14ac:dyDescent="0.25">
      <c r="I929" s="49"/>
      <c r="J929" s="49"/>
      <c r="K929" s="49"/>
      <c r="V929" s="173"/>
      <c r="W929" s="173"/>
      <c r="X929" s="173"/>
      <c r="Y929" s="185"/>
      <c r="AA929" s="78"/>
    </row>
    <row r="930" spans="9:27" x14ac:dyDescent="0.25">
      <c r="I930" s="49"/>
      <c r="J930" s="49"/>
      <c r="K930" s="49"/>
      <c r="V930" s="173"/>
      <c r="W930" s="173"/>
      <c r="X930" s="173"/>
      <c r="Y930" s="185"/>
      <c r="AA930" s="78"/>
    </row>
    <row r="931" spans="9:27" x14ac:dyDescent="0.25">
      <c r="I931" s="49"/>
      <c r="J931" s="49"/>
      <c r="K931" s="49"/>
      <c r="V931" s="173"/>
      <c r="W931" s="173"/>
      <c r="X931" s="173"/>
      <c r="Y931" s="185"/>
      <c r="AA931" s="78"/>
    </row>
    <row r="932" spans="9:27" x14ac:dyDescent="0.25">
      <c r="I932" s="49"/>
      <c r="J932" s="49"/>
      <c r="K932" s="49"/>
      <c r="V932" s="173"/>
      <c r="W932" s="173"/>
      <c r="X932" s="173"/>
      <c r="Y932" s="185"/>
      <c r="AA932" s="78"/>
    </row>
    <row r="933" spans="9:27" x14ac:dyDescent="0.25">
      <c r="I933" s="49"/>
      <c r="J933" s="49"/>
      <c r="K933" s="49"/>
      <c r="V933" s="173"/>
      <c r="W933" s="173"/>
      <c r="X933" s="173"/>
      <c r="Y933" s="185"/>
      <c r="AA933" s="78"/>
    </row>
    <row r="934" spans="9:27" x14ac:dyDescent="0.25">
      <c r="I934" s="49"/>
      <c r="J934" s="49"/>
      <c r="K934" s="49"/>
      <c r="V934" s="173"/>
      <c r="W934" s="173"/>
      <c r="X934" s="173"/>
      <c r="Y934" s="185"/>
      <c r="AA934" s="78"/>
    </row>
    <row r="935" spans="9:27" x14ac:dyDescent="0.25">
      <c r="I935" s="49"/>
      <c r="J935" s="49"/>
      <c r="K935" s="49"/>
      <c r="V935" s="173"/>
      <c r="W935" s="173"/>
      <c r="X935" s="173"/>
      <c r="Y935" s="185"/>
      <c r="AA935" s="78"/>
    </row>
    <row r="936" spans="9:27" x14ac:dyDescent="0.25">
      <c r="I936" s="49"/>
      <c r="J936" s="49"/>
      <c r="K936" s="49"/>
      <c r="V936" s="173"/>
      <c r="W936" s="173"/>
      <c r="X936" s="173"/>
      <c r="Y936" s="185"/>
      <c r="AA936" s="78"/>
    </row>
    <row r="937" spans="9:27" x14ac:dyDescent="0.25">
      <c r="I937" s="49"/>
      <c r="J937" s="49"/>
      <c r="K937" s="49"/>
      <c r="V937" s="173"/>
      <c r="W937" s="173"/>
      <c r="X937" s="173"/>
      <c r="Y937" s="185"/>
      <c r="AA937" s="78"/>
    </row>
    <row r="938" spans="9:27" x14ac:dyDescent="0.25">
      <c r="I938" s="49"/>
      <c r="J938" s="49"/>
      <c r="K938" s="49"/>
      <c r="V938" s="173"/>
      <c r="W938" s="173"/>
      <c r="X938" s="173"/>
      <c r="Y938" s="185"/>
      <c r="AA938" s="78"/>
    </row>
    <row r="939" spans="9:27" x14ac:dyDescent="0.25">
      <c r="I939" s="49"/>
      <c r="J939" s="49"/>
      <c r="K939" s="49"/>
      <c r="V939" s="173"/>
      <c r="W939" s="173"/>
      <c r="X939" s="173"/>
      <c r="Y939" s="185"/>
      <c r="AA939" s="78"/>
    </row>
    <row r="940" spans="9:27" x14ac:dyDescent="0.25">
      <c r="I940" s="49"/>
      <c r="J940" s="49"/>
      <c r="K940" s="49"/>
      <c r="V940" s="173"/>
      <c r="W940" s="173"/>
      <c r="X940" s="173"/>
      <c r="Y940" s="185"/>
      <c r="AA940" s="78"/>
    </row>
    <row r="941" spans="9:27" x14ac:dyDescent="0.25">
      <c r="I941" s="49"/>
      <c r="J941" s="49"/>
      <c r="K941" s="49"/>
      <c r="V941" s="173"/>
      <c r="W941" s="173"/>
      <c r="X941" s="173"/>
      <c r="Y941" s="185"/>
      <c r="AA941" s="78"/>
    </row>
    <row r="942" spans="9:27" x14ac:dyDescent="0.25">
      <c r="I942" s="49"/>
      <c r="J942" s="49"/>
      <c r="K942" s="49"/>
      <c r="V942" s="173"/>
      <c r="W942" s="173"/>
      <c r="X942" s="173"/>
      <c r="Y942" s="185"/>
      <c r="AA942" s="78"/>
    </row>
    <row r="943" spans="9:27" x14ac:dyDescent="0.25">
      <c r="I943" s="49"/>
      <c r="J943" s="49"/>
      <c r="K943" s="49"/>
      <c r="V943" s="173"/>
      <c r="W943" s="173"/>
      <c r="X943" s="173"/>
      <c r="Y943" s="185"/>
      <c r="AA943" s="78"/>
    </row>
    <row r="944" spans="9:27" x14ac:dyDescent="0.25">
      <c r="I944" s="49"/>
      <c r="J944" s="49"/>
      <c r="K944" s="49"/>
      <c r="V944" s="173"/>
      <c r="W944" s="173"/>
      <c r="X944" s="173"/>
      <c r="Y944" s="185"/>
      <c r="AA944" s="78"/>
    </row>
    <row r="945" spans="9:27" x14ac:dyDescent="0.25">
      <c r="I945" s="49"/>
      <c r="J945" s="49"/>
      <c r="K945" s="49"/>
      <c r="V945" s="173"/>
      <c r="W945" s="173"/>
      <c r="X945" s="173"/>
      <c r="Y945" s="185"/>
      <c r="AA945" s="78"/>
    </row>
    <row r="946" spans="9:27" x14ac:dyDescent="0.25">
      <c r="I946" s="49"/>
      <c r="J946" s="49"/>
      <c r="K946" s="49"/>
      <c r="V946" s="173"/>
      <c r="W946" s="173"/>
      <c r="X946" s="173"/>
      <c r="Y946" s="185"/>
      <c r="AA946" s="78"/>
    </row>
    <row r="947" spans="9:27" x14ac:dyDescent="0.25">
      <c r="I947" s="49"/>
      <c r="J947" s="49"/>
      <c r="K947" s="49"/>
      <c r="V947" s="173"/>
      <c r="W947" s="173"/>
      <c r="X947" s="173"/>
      <c r="Y947" s="185"/>
      <c r="AA947" s="78"/>
    </row>
    <row r="948" spans="9:27" x14ac:dyDescent="0.25">
      <c r="I948" s="49"/>
      <c r="J948" s="49"/>
      <c r="K948" s="49"/>
      <c r="V948" s="173"/>
      <c r="W948" s="173"/>
      <c r="X948" s="173"/>
      <c r="Y948" s="185"/>
      <c r="AA948" s="78"/>
    </row>
    <row r="949" spans="9:27" x14ac:dyDescent="0.25">
      <c r="I949" s="49"/>
      <c r="J949" s="49"/>
      <c r="K949" s="49"/>
      <c r="V949" s="173"/>
      <c r="W949" s="173"/>
      <c r="X949" s="173"/>
      <c r="Y949" s="185"/>
      <c r="AA949" s="78"/>
    </row>
    <row r="950" spans="9:27" x14ac:dyDescent="0.25">
      <c r="I950" s="49"/>
      <c r="J950" s="49"/>
      <c r="K950" s="49"/>
      <c r="V950" s="173"/>
      <c r="W950" s="173"/>
      <c r="X950" s="173"/>
      <c r="Y950" s="185"/>
      <c r="AA950" s="78"/>
    </row>
    <row r="951" spans="9:27" x14ac:dyDescent="0.25">
      <c r="I951" s="49"/>
      <c r="J951" s="49"/>
      <c r="K951" s="49"/>
      <c r="V951" s="173"/>
      <c r="W951" s="173"/>
      <c r="X951" s="173"/>
      <c r="Y951" s="185"/>
      <c r="AA951" s="78"/>
    </row>
    <row r="952" spans="9:27" x14ac:dyDescent="0.25">
      <c r="I952" s="49"/>
      <c r="J952" s="49"/>
      <c r="K952" s="49"/>
      <c r="V952" s="173"/>
      <c r="W952" s="173"/>
      <c r="X952" s="173"/>
      <c r="Y952" s="185"/>
      <c r="AA952" s="78"/>
    </row>
    <row r="953" spans="9:27" x14ac:dyDescent="0.25">
      <c r="I953" s="49"/>
      <c r="J953" s="49"/>
      <c r="K953" s="49"/>
      <c r="V953" s="173"/>
      <c r="W953" s="173"/>
      <c r="X953" s="173"/>
      <c r="Y953" s="185"/>
      <c r="AA953" s="78"/>
    </row>
    <row r="954" spans="9:27" x14ac:dyDescent="0.25">
      <c r="I954" s="49"/>
      <c r="J954" s="49"/>
      <c r="K954" s="49"/>
      <c r="V954" s="173"/>
      <c r="W954" s="173"/>
      <c r="X954" s="173"/>
      <c r="Y954" s="185"/>
      <c r="AA954" s="78"/>
    </row>
    <row r="955" spans="9:27" x14ac:dyDescent="0.25">
      <c r="I955" s="49"/>
      <c r="J955" s="49"/>
      <c r="K955" s="49"/>
      <c r="V955" s="173"/>
      <c r="W955" s="173"/>
      <c r="X955" s="173"/>
      <c r="Y955" s="185"/>
      <c r="AA955" s="78"/>
    </row>
    <row r="956" spans="9:27" x14ac:dyDescent="0.25">
      <c r="I956" s="49"/>
      <c r="J956" s="49"/>
      <c r="K956" s="49"/>
      <c r="V956" s="173"/>
      <c r="W956" s="173"/>
      <c r="X956" s="173"/>
      <c r="Y956" s="185"/>
      <c r="AA956" s="78"/>
    </row>
    <row r="957" spans="9:27" x14ac:dyDescent="0.25">
      <c r="I957" s="49"/>
      <c r="J957" s="49"/>
      <c r="K957" s="49"/>
      <c r="V957" s="173"/>
      <c r="W957" s="173"/>
      <c r="X957" s="173"/>
      <c r="Y957" s="185"/>
      <c r="AA957" s="78"/>
    </row>
    <row r="958" spans="9:27" x14ac:dyDescent="0.25">
      <c r="I958" s="49"/>
      <c r="J958" s="49"/>
      <c r="K958" s="49"/>
      <c r="V958" s="173"/>
      <c r="W958" s="173"/>
      <c r="X958" s="173"/>
      <c r="Y958" s="185"/>
      <c r="AA958" s="78"/>
    </row>
    <row r="959" spans="9:27" x14ac:dyDescent="0.25">
      <c r="I959" s="49"/>
      <c r="J959" s="49"/>
      <c r="K959" s="49"/>
      <c r="V959" s="173"/>
      <c r="W959" s="173"/>
      <c r="X959" s="173"/>
      <c r="Y959" s="185"/>
      <c r="AA959" s="78"/>
    </row>
    <row r="960" spans="9:27" x14ac:dyDescent="0.25">
      <c r="I960" s="49"/>
      <c r="J960" s="49"/>
      <c r="K960" s="49"/>
      <c r="V960" s="173"/>
      <c r="W960" s="173"/>
      <c r="X960" s="173"/>
      <c r="Y960" s="185"/>
      <c r="AA960" s="78"/>
    </row>
    <row r="961" spans="9:27" x14ac:dyDescent="0.25">
      <c r="I961" s="49"/>
      <c r="J961" s="49"/>
      <c r="K961" s="49"/>
      <c r="V961" s="173"/>
      <c r="W961" s="173"/>
      <c r="X961" s="173"/>
      <c r="Y961" s="185"/>
      <c r="AA961" s="78"/>
    </row>
    <row r="962" spans="9:27" x14ac:dyDescent="0.25">
      <c r="I962" s="49"/>
      <c r="J962" s="49"/>
      <c r="K962" s="49"/>
      <c r="V962" s="173"/>
      <c r="W962" s="173"/>
      <c r="X962" s="173"/>
      <c r="Y962" s="185"/>
      <c r="AA962" s="78"/>
    </row>
    <row r="963" spans="9:27" x14ac:dyDescent="0.25">
      <c r="I963" s="49"/>
      <c r="J963" s="49"/>
      <c r="K963" s="49"/>
      <c r="V963" s="173"/>
      <c r="W963" s="173"/>
      <c r="X963" s="173"/>
      <c r="Y963" s="185"/>
      <c r="AA963" s="78"/>
    </row>
    <row r="964" spans="9:27" x14ac:dyDescent="0.25">
      <c r="I964" s="49"/>
      <c r="J964" s="49"/>
      <c r="K964" s="49"/>
      <c r="V964" s="173"/>
      <c r="W964" s="173"/>
      <c r="X964" s="173"/>
      <c r="Y964" s="185"/>
      <c r="AA964" s="78"/>
    </row>
    <row r="965" spans="9:27" x14ac:dyDescent="0.25">
      <c r="I965" s="49"/>
      <c r="J965" s="49"/>
      <c r="K965" s="49"/>
      <c r="V965" s="173"/>
      <c r="W965" s="173"/>
      <c r="X965" s="173"/>
      <c r="Y965" s="185"/>
      <c r="AA965" s="78"/>
    </row>
    <row r="966" spans="9:27" x14ac:dyDescent="0.25">
      <c r="I966" s="49"/>
      <c r="J966" s="49"/>
      <c r="K966" s="49"/>
      <c r="V966" s="173"/>
      <c r="W966" s="173"/>
      <c r="X966" s="173"/>
      <c r="Y966" s="185"/>
      <c r="AA966" s="78"/>
    </row>
    <row r="967" spans="9:27" x14ac:dyDescent="0.25">
      <c r="I967" s="49"/>
      <c r="J967" s="49"/>
      <c r="K967" s="49"/>
      <c r="V967" s="173"/>
      <c r="W967" s="173"/>
      <c r="X967" s="173"/>
      <c r="Y967" s="185"/>
      <c r="AA967" s="78"/>
    </row>
    <row r="968" spans="9:27" x14ac:dyDescent="0.25">
      <c r="I968" s="49"/>
      <c r="J968" s="49"/>
      <c r="K968" s="49"/>
      <c r="V968" s="173"/>
      <c r="W968" s="173"/>
      <c r="X968" s="173"/>
      <c r="Y968" s="185"/>
      <c r="AA968" s="78"/>
    </row>
    <row r="969" spans="9:27" x14ac:dyDescent="0.25">
      <c r="I969" s="49"/>
      <c r="J969" s="49"/>
      <c r="K969" s="49"/>
      <c r="V969" s="173"/>
      <c r="W969" s="173"/>
      <c r="X969" s="173"/>
      <c r="Y969" s="185"/>
      <c r="AA969" s="78"/>
    </row>
    <row r="970" spans="9:27" x14ac:dyDescent="0.25">
      <c r="I970" s="49"/>
      <c r="J970" s="49"/>
      <c r="K970" s="49"/>
      <c r="V970" s="173"/>
      <c r="W970" s="173"/>
      <c r="X970" s="173"/>
      <c r="Y970" s="185"/>
      <c r="AA970" s="78"/>
    </row>
    <row r="971" spans="9:27" x14ac:dyDescent="0.25">
      <c r="I971" s="49"/>
      <c r="J971" s="49"/>
      <c r="K971" s="49"/>
      <c r="V971" s="173"/>
      <c r="W971" s="173"/>
      <c r="X971" s="173"/>
      <c r="Y971" s="185"/>
      <c r="AA971" s="78"/>
    </row>
    <row r="972" spans="9:27" x14ac:dyDescent="0.25">
      <c r="I972" s="49"/>
      <c r="J972" s="49"/>
      <c r="K972" s="49"/>
      <c r="V972" s="173"/>
      <c r="W972" s="173"/>
      <c r="X972" s="173"/>
      <c r="Y972" s="185"/>
      <c r="AA972" s="78"/>
    </row>
    <row r="973" spans="9:27" x14ac:dyDescent="0.25">
      <c r="I973" s="49"/>
      <c r="J973" s="49"/>
      <c r="K973" s="49"/>
      <c r="V973" s="173"/>
      <c r="W973" s="173"/>
      <c r="X973" s="173"/>
      <c r="Y973" s="185"/>
      <c r="AA973" s="78"/>
    </row>
    <row r="974" spans="9:27" x14ac:dyDescent="0.25">
      <c r="I974" s="49"/>
      <c r="J974" s="49"/>
      <c r="K974" s="49"/>
      <c r="V974" s="173"/>
      <c r="W974" s="173"/>
      <c r="X974" s="173"/>
      <c r="Y974" s="185"/>
      <c r="AA974" s="78"/>
    </row>
    <row r="975" spans="9:27" x14ac:dyDescent="0.25">
      <c r="I975" s="49"/>
      <c r="J975" s="49"/>
      <c r="K975" s="49"/>
      <c r="V975" s="173"/>
      <c r="W975" s="173"/>
      <c r="X975" s="173"/>
      <c r="Y975" s="185"/>
      <c r="AA975" s="78"/>
    </row>
    <row r="976" spans="9:27" x14ac:dyDescent="0.25">
      <c r="I976" s="49"/>
      <c r="J976" s="49"/>
      <c r="K976" s="49"/>
      <c r="V976" s="173"/>
      <c r="W976" s="173"/>
      <c r="X976" s="173"/>
      <c r="Y976" s="185"/>
      <c r="AA976" s="78"/>
    </row>
    <row r="977" spans="9:27" x14ac:dyDescent="0.25">
      <c r="I977" s="49"/>
      <c r="J977" s="49"/>
      <c r="K977" s="49"/>
      <c r="V977" s="173"/>
      <c r="W977" s="173"/>
      <c r="X977" s="173"/>
      <c r="Y977" s="185"/>
      <c r="AA977" s="78"/>
    </row>
    <row r="978" spans="9:27" x14ac:dyDescent="0.25">
      <c r="I978" s="49"/>
      <c r="J978" s="49"/>
      <c r="K978" s="49"/>
      <c r="V978" s="173"/>
      <c r="W978" s="173"/>
      <c r="X978" s="173"/>
      <c r="Y978" s="185"/>
      <c r="AA978" s="78"/>
    </row>
    <row r="979" spans="9:27" x14ac:dyDescent="0.25">
      <c r="I979" s="49"/>
      <c r="J979" s="49"/>
      <c r="K979" s="49"/>
      <c r="V979" s="173"/>
      <c r="W979" s="173"/>
      <c r="X979" s="173"/>
      <c r="Y979" s="185"/>
      <c r="AA979" s="78"/>
    </row>
    <row r="980" spans="9:27" x14ac:dyDescent="0.25">
      <c r="I980" s="49"/>
      <c r="J980" s="49"/>
      <c r="K980" s="49"/>
      <c r="V980" s="173"/>
      <c r="W980" s="173"/>
      <c r="X980" s="173"/>
      <c r="Y980" s="185"/>
      <c r="AA980" s="78"/>
    </row>
    <row r="981" spans="9:27" x14ac:dyDescent="0.25">
      <c r="I981" s="49"/>
      <c r="J981" s="49"/>
      <c r="K981" s="49"/>
      <c r="V981" s="173"/>
      <c r="W981" s="173"/>
      <c r="X981" s="173"/>
      <c r="Y981" s="185"/>
      <c r="AA981" s="78"/>
    </row>
    <row r="982" spans="9:27" x14ac:dyDescent="0.25">
      <c r="I982" s="49"/>
      <c r="J982" s="49"/>
      <c r="K982" s="49"/>
      <c r="V982" s="173"/>
      <c r="W982" s="173"/>
      <c r="X982" s="173"/>
      <c r="Y982" s="185"/>
      <c r="AA982" s="78"/>
    </row>
    <row r="983" spans="9:27" x14ac:dyDescent="0.25">
      <c r="I983" s="49"/>
      <c r="J983" s="49"/>
      <c r="K983" s="49"/>
      <c r="V983" s="173"/>
      <c r="W983" s="173"/>
      <c r="X983" s="173"/>
      <c r="Y983" s="185"/>
      <c r="AA983" s="78"/>
    </row>
    <row r="984" spans="9:27" x14ac:dyDescent="0.25">
      <c r="I984" s="49"/>
      <c r="J984" s="49"/>
      <c r="K984" s="49"/>
      <c r="V984" s="173"/>
      <c r="W984" s="173"/>
      <c r="X984" s="173"/>
      <c r="Y984" s="185"/>
      <c r="AA984" s="78"/>
    </row>
    <row r="985" spans="9:27" x14ac:dyDescent="0.25">
      <c r="I985" s="49"/>
      <c r="J985" s="49"/>
      <c r="K985" s="49"/>
      <c r="V985" s="173"/>
      <c r="W985" s="173"/>
      <c r="X985" s="173"/>
      <c r="Y985" s="185"/>
      <c r="AA985" s="78"/>
    </row>
    <row r="986" spans="9:27" x14ac:dyDescent="0.25">
      <c r="I986" s="49"/>
      <c r="J986" s="49"/>
      <c r="K986" s="49"/>
      <c r="V986" s="173"/>
      <c r="W986" s="173"/>
      <c r="X986" s="173"/>
      <c r="Y986" s="185"/>
      <c r="AA986" s="78"/>
    </row>
    <row r="987" spans="9:27" x14ac:dyDescent="0.25">
      <c r="I987" s="49"/>
      <c r="J987" s="49"/>
      <c r="K987" s="49"/>
      <c r="V987" s="173"/>
      <c r="W987" s="173"/>
      <c r="X987" s="173"/>
      <c r="Y987" s="185"/>
      <c r="AA987" s="78"/>
    </row>
    <row r="988" spans="9:27" x14ac:dyDescent="0.25">
      <c r="I988" s="49"/>
      <c r="J988" s="49"/>
      <c r="K988" s="49"/>
      <c r="V988" s="173"/>
      <c r="W988" s="173"/>
      <c r="X988" s="173"/>
      <c r="Y988" s="185"/>
      <c r="AA988" s="78"/>
    </row>
    <row r="989" spans="9:27" x14ac:dyDescent="0.25">
      <c r="I989" s="49"/>
      <c r="J989" s="49"/>
      <c r="K989" s="49"/>
      <c r="V989" s="173"/>
      <c r="W989" s="173"/>
      <c r="X989" s="173"/>
      <c r="Y989" s="185"/>
      <c r="AA989" s="78"/>
    </row>
    <row r="990" spans="9:27" x14ac:dyDescent="0.25">
      <c r="I990" s="49"/>
      <c r="J990" s="49"/>
      <c r="K990" s="49"/>
      <c r="V990" s="173"/>
      <c r="W990" s="173"/>
      <c r="X990" s="173"/>
      <c r="Y990" s="185"/>
      <c r="AA990" s="78"/>
    </row>
    <row r="991" spans="9:27" x14ac:dyDescent="0.25">
      <c r="I991" s="49"/>
      <c r="J991" s="49"/>
      <c r="K991" s="49"/>
      <c r="V991" s="173"/>
      <c r="W991" s="173"/>
      <c r="X991" s="173"/>
      <c r="Y991" s="185"/>
      <c r="AA991" s="78"/>
    </row>
    <row r="992" spans="9:27" x14ac:dyDescent="0.25">
      <c r="I992" s="49"/>
      <c r="J992" s="49"/>
      <c r="K992" s="49"/>
      <c r="V992" s="173"/>
      <c r="W992" s="173"/>
      <c r="X992" s="173"/>
      <c r="Y992" s="185"/>
      <c r="AA992" s="78"/>
    </row>
    <row r="993" spans="9:27" x14ac:dyDescent="0.25">
      <c r="I993" s="49"/>
      <c r="J993" s="49"/>
      <c r="K993" s="49"/>
      <c r="V993" s="173"/>
      <c r="W993" s="173"/>
      <c r="X993" s="173"/>
      <c r="Y993" s="185"/>
      <c r="AA993" s="78"/>
    </row>
    <row r="994" spans="9:27" x14ac:dyDescent="0.25">
      <c r="I994" s="49"/>
      <c r="J994" s="49"/>
      <c r="K994" s="49"/>
      <c r="V994" s="173"/>
      <c r="W994" s="173"/>
      <c r="X994" s="173"/>
      <c r="Y994" s="185"/>
      <c r="AA994" s="78"/>
    </row>
    <row r="995" spans="9:27" x14ac:dyDescent="0.25">
      <c r="I995" s="49"/>
      <c r="J995" s="49"/>
      <c r="K995" s="49"/>
      <c r="V995" s="173"/>
      <c r="W995" s="173"/>
      <c r="X995" s="173"/>
      <c r="Y995" s="185"/>
      <c r="AA995" s="78"/>
    </row>
    <row r="996" spans="9:27" x14ac:dyDescent="0.25">
      <c r="I996" s="49"/>
      <c r="J996" s="49"/>
      <c r="K996" s="49"/>
      <c r="V996" s="173"/>
      <c r="W996" s="173"/>
      <c r="X996" s="173"/>
      <c r="Y996" s="185"/>
      <c r="AA996" s="78"/>
    </row>
    <row r="997" spans="9:27" x14ac:dyDescent="0.25">
      <c r="I997" s="49"/>
      <c r="J997" s="49"/>
      <c r="K997" s="49"/>
      <c r="V997" s="173"/>
      <c r="W997" s="173"/>
      <c r="X997" s="173"/>
      <c r="Y997" s="185"/>
      <c r="AA997" s="78"/>
    </row>
    <row r="998" spans="9:27" x14ac:dyDescent="0.25">
      <c r="I998" s="49"/>
      <c r="J998" s="49"/>
      <c r="K998" s="49"/>
      <c r="V998" s="173"/>
      <c r="W998" s="173"/>
      <c r="X998" s="173"/>
      <c r="Y998" s="185"/>
      <c r="AA998" s="78"/>
    </row>
    <row r="999" spans="9:27" x14ac:dyDescent="0.25">
      <c r="I999" s="49"/>
      <c r="J999" s="49"/>
      <c r="K999" s="49"/>
      <c r="V999" s="173"/>
      <c r="W999" s="173"/>
      <c r="X999" s="173"/>
      <c r="Y999" s="185"/>
      <c r="AA999" s="78"/>
    </row>
    <row r="1000" spans="9:27" x14ac:dyDescent="0.25">
      <c r="I1000" s="49"/>
      <c r="J1000" s="49"/>
      <c r="K1000" s="49"/>
      <c r="V1000" s="173"/>
      <c r="W1000" s="173"/>
      <c r="X1000" s="173"/>
      <c r="Y1000" s="185"/>
      <c r="AA1000" s="78"/>
    </row>
    <row r="1001" spans="9:27" x14ac:dyDescent="0.25">
      <c r="I1001" s="49"/>
      <c r="J1001" s="49"/>
      <c r="K1001" s="49"/>
      <c r="V1001" s="173"/>
      <c r="W1001" s="173"/>
      <c r="X1001" s="173"/>
      <c r="Y1001" s="185"/>
      <c r="AA1001" s="78"/>
    </row>
    <row r="1002" spans="9:27" x14ac:dyDescent="0.25">
      <c r="I1002" s="49"/>
      <c r="J1002" s="49"/>
      <c r="K1002" s="49"/>
      <c r="V1002" s="173"/>
      <c r="W1002" s="173"/>
      <c r="X1002" s="173"/>
      <c r="Y1002" s="185"/>
      <c r="AA1002" s="78"/>
    </row>
    <row r="1003" spans="9:27" x14ac:dyDescent="0.25">
      <c r="I1003" s="49"/>
      <c r="J1003" s="49"/>
      <c r="K1003" s="49"/>
      <c r="V1003" s="173"/>
      <c r="W1003" s="173"/>
      <c r="X1003" s="173"/>
      <c r="Y1003" s="185"/>
      <c r="AA1003" s="78"/>
    </row>
    <row r="1004" spans="9:27" x14ac:dyDescent="0.25">
      <c r="I1004" s="49"/>
      <c r="J1004" s="49"/>
      <c r="K1004" s="49"/>
      <c r="V1004" s="173"/>
      <c r="W1004" s="173"/>
      <c r="X1004" s="173"/>
      <c r="Y1004" s="185"/>
      <c r="AA1004" s="78"/>
    </row>
    <row r="1005" spans="9:27" x14ac:dyDescent="0.25">
      <c r="I1005" s="49"/>
      <c r="J1005" s="49"/>
      <c r="K1005" s="49"/>
      <c r="V1005" s="173"/>
      <c r="W1005" s="173"/>
      <c r="X1005" s="173"/>
      <c r="Y1005" s="185"/>
      <c r="AA1005" s="78"/>
    </row>
    <row r="1006" spans="9:27" x14ac:dyDescent="0.25">
      <c r="I1006" s="49"/>
      <c r="J1006" s="49"/>
      <c r="K1006" s="49"/>
      <c r="V1006" s="173"/>
      <c r="W1006" s="173"/>
      <c r="X1006" s="173"/>
      <c r="Y1006" s="185"/>
      <c r="AA1006" s="78"/>
    </row>
    <row r="1007" spans="9:27" x14ac:dyDescent="0.25">
      <c r="I1007" s="49"/>
      <c r="J1007" s="49"/>
      <c r="K1007" s="49"/>
      <c r="V1007" s="173"/>
      <c r="W1007" s="173"/>
      <c r="X1007" s="173"/>
      <c r="Y1007" s="185"/>
      <c r="AA1007" s="78"/>
    </row>
    <row r="1008" spans="9:27" x14ac:dyDescent="0.25">
      <c r="I1008" s="49"/>
      <c r="J1008" s="49"/>
      <c r="K1008" s="49"/>
      <c r="V1008" s="173"/>
      <c r="W1008" s="173"/>
      <c r="X1008" s="173"/>
      <c r="Y1008" s="185"/>
      <c r="AA1008" s="78"/>
    </row>
    <row r="1009" spans="9:27" x14ac:dyDescent="0.25">
      <c r="I1009" s="49"/>
      <c r="J1009" s="49"/>
      <c r="K1009" s="49"/>
      <c r="V1009" s="173"/>
      <c r="W1009" s="173"/>
      <c r="X1009" s="173"/>
      <c r="Y1009" s="185"/>
      <c r="AA1009" s="78"/>
    </row>
    <row r="1010" spans="9:27" x14ac:dyDescent="0.25">
      <c r="I1010" s="49"/>
      <c r="J1010" s="49"/>
      <c r="K1010" s="49"/>
      <c r="V1010" s="173"/>
      <c r="W1010" s="173"/>
      <c r="X1010" s="173"/>
      <c r="Y1010" s="185"/>
      <c r="AA1010" s="78"/>
    </row>
    <row r="1011" spans="9:27" x14ac:dyDescent="0.25">
      <c r="I1011" s="49"/>
      <c r="J1011" s="49"/>
      <c r="K1011" s="49"/>
      <c r="V1011" s="173"/>
      <c r="W1011" s="173"/>
      <c r="X1011" s="173"/>
      <c r="Y1011" s="185"/>
      <c r="AA1011" s="78"/>
    </row>
    <row r="1012" spans="9:27" x14ac:dyDescent="0.25">
      <c r="I1012" s="49"/>
      <c r="J1012" s="49"/>
      <c r="K1012" s="49"/>
      <c r="V1012" s="173"/>
      <c r="W1012" s="173"/>
      <c r="X1012" s="173"/>
      <c r="Y1012" s="185"/>
      <c r="AA1012" s="78"/>
    </row>
    <row r="1013" spans="9:27" x14ac:dyDescent="0.25">
      <c r="I1013" s="49"/>
      <c r="J1013" s="49"/>
      <c r="K1013" s="49"/>
      <c r="V1013" s="173"/>
      <c r="W1013" s="173"/>
      <c r="X1013" s="173"/>
      <c r="Y1013" s="185"/>
      <c r="AA1013" s="78"/>
    </row>
    <row r="1014" spans="9:27" x14ac:dyDescent="0.25">
      <c r="I1014" s="49"/>
      <c r="J1014" s="49"/>
      <c r="K1014" s="49"/>
      <c r="V1014" s="173"/>
      <c r="W1014" s="173"/>
      <c r="X1014" s="173"/>
      <c r="Y1014" s="185"/>
      <c r="AA1014" s="78"/>
    </row>
    <row r="1015" spans="9:27" x14ac:dyDescent="0.25">
      <c r="I1015" s="49"/>
      <c r="J1015" s="49"/>
      <c r="K1015" s="49"/>
      <c r="V1015" s="173"/>
      <c r="W1015" s="173"/>
      <c r="X1015" s="173"/>
      <c r="Y1015" s="185"/>
      <c r="AA1015" s="78"/>
    </row>
    <row r="1016" spans="9:27" x14ac:dyDescent="0.25">
      <c r="I1016" s="49"/>
      <c r="J1016" s="49"/>
      <c r="K1016" s="49"/>
      <c r="V1016" s="173"/>
      <c r="W1016" s="173"/>
      <c r="X1016" s="173"/>
      <c r="Y1016" s="185"/>
      <c r="AA1016" s="78"/>
    </row>
    <row r="1017" spans="9:27" x14ac:dyDescent="0.25">
      <c r="I1017" s="49"/>
      <c r="J1017" s="49"/>
      <c r="K1017" s="49"/>
      <c r="V1017" s="173"/>
      <c r="W1017" s="173"/>
      <c r="X1017" s="173"/>
      <c r="Y1017" s="185"/>
      <c r="AA1017" s="78"/>
    </row>
    <row r="1018" spans="9:27" x14ac:dyDescent="0.25">
      <c r="I1018" s="49"/>
      <c r="J1018" s="49"/>
      <c r="K1018" s="49"/>
      <c r="V1018" s="173"/>
      <c r="W1018" s="173"/>
      <c r="X1018" s="173"/>
      <c r="Y1018" s="185"/>
      <c r="AA1018" s="78"/>
    </row>
    <row r="1019" spans="9:27" x14ac:dyDescent="0.25">
      <c r="I1019" s="49"/>
      <c r="J1019" s="49"/>
      <c r="K1019" s="49"/>
      <c r="V1019" s="173"/>
      <c r="W1019" s="173"/>
      <c r="X1019" s="173"/>
      <c r="Y1019" s="185"/>
      <c r="AA1019" s="78"/>
    </row>
    <row r="1020" spans="9:27" x14ac:dyDescent="0.25">
      <c r="I1020" s="49"/>
      <c r="J1020" s="49"/>
      <c r="K1020" s="49"/>
      <c r="V1020" s="173"/>
      <c r="W1020" s="173"/>
      <c r="X1020" s="173"/>
      <c r="Y1020" s="185"/>
      <c r="AA1020" s="78"/>
    </row>
    <row r="1021" spans="9:27" x14ac:dyDescent="0.25">
      <c r="I1021" s="49"/>
      <c r="J1021" s="49"/>
      <c r="K1021" s="49"/>
      <c r="V1021" s="173"/>
      <c r="W1021" s="173"/>
      <c r="X1021" s="173"/>
      <c r="Y1021" s="185"/>
      <c r="AA1021" s="78"/>
    </row>
    <row r="1022" spans="9:27" x14ac:dyDescent="0.25">
      <c r="I1022" s="49"/>
      <c r="J1022" s="49"/>
      <c r="K1022" s="49"/>
      <c r="V1022" s="173"/>
      <c r="W1022" s="173"/>
      <c r="X1022" s="173"/>
      <c r="Y1022" s="185"/>
      <c r="AA1022" s="78"/>
    </row>
    <row r="1023" spans="9:27" x14ac:dyDescent="0.25">
      <c r="I1023" s="49"/>
      <c r="J1023" s="49"/>
      <c r="K1023" s="49"/>
      <c r="V1023" s="173"/>
      <c r="W1023" s="173"/>
      <c r="X1023" s="173"/>
      <c r="Y1023" s="185"/>
      <c r="AA1023" s="78"/>
    </row>
    <row r="1024" spans="9:27" x14ac:dyDescent="0.25">
      <c r="I1024" s="49"/>
      <c r="J1024" s="49"/>
      <c r="K1024" s="49"/>
      <c r="V1024" s="173"/>
      <c r="W1024" s="173"/>
      <c r="X1024" s="173"/>
      <c r="Y1024" s="185"/>
      <c r="AA1024" s="78"/>
    </row>
    <row r="1025" spans="9:27" x14ac:dyDescent="0.25">
      <c r="I1025" s="49"/>
      <c r="J1025" s="49"/>
      <c r="K1025" s="49"/>
      <c r="V1025" s="173"/>
      <c r="W1025" s="173"/>
      <c r="X1025" s="173"/>
      <c r="Y1025" s="185"/>
      <c r="AA1025" s="78"/>
    </row>
    <row r="1026" spans="9:27" x14ac:dyDescent="0.25">
      <c r="I1026" s="49"/>
      <c r="J1026" s="49"/>
      <c r="K1026" s="49"/>
      <c r="V1026" s="173"/>
      <c r="W1026" s="173"/>
      <c r="X1026" s="173"/>
      <c r="Y1026" s="185"/>
      <c r="AA1026" s="78"/>
    </row>
    <row r="1027" spans="9:27" x14ac:dyDescent="0.25">
      <c r="I1027" s="49"/>
      <c r="J1027" s="49"/>
      <c r="K1027" s="49"/>
      <c r="V1027" s="173"/>
      <c r="W1027" s="173"/>
      <c r="X1027" s="173"/>
      <c r="Y1027" s="185"/>
      <c r="AA1027" s="78"/>
    </row>
    <row r="1028" spans="9:27" x14ac:dyDescent="0.25">
      <c r="I1028" s="49"/>
      <c r="J1028" s="49"/>
      <c r="K1028" s="49"/>
      <c r="V1028" s="173"/>
      <c r="W1028" s="173"/>
      <c r="X1028" s="173"/>
      <c r="Y1028" s="185"/>
      <c r="AA1028" s="78"/>
    </row>
    <row r="1029" spans="9:27" x14ac:dyDescent="0.25">
      <c r="I1029" s="49"/>
      <c r="J1029" s="49"/>
      <c r="K1029" s="49"/>
      <c r="V1029" s="173"/>
      <c r="W1029" s="173"/>
      <c r="X1029" s="173"/>
      <c r="Y1029" s="185"/>
      <c r="AA1029" s="78"/>
    </row>
    <row r="1030" spans="9:27" x14ac:dyDescent="0.25">
      <c r="I1030" s="49"/>
      <c r="J1030" s="49"/>
      <c r="K1030" s="49"/>
      <c r="V1030" s="173"/>
      <c r="W1030" s="173"/>
      <c r="X1030" s="173"/>
      <c r="Y1030" s="185"/>
      <c r="AA1030" s="78"/>
    </row>
    <row r="1031" spans="9:27" x14ac:dyDescent="0.25">
      <c r="I1031" s="49"/>
      <c r="J1031" s="49"/>
      <c r="K1031" s="49"/>
      <c r="V1031" s="173"/>
      <c r="W1031" s="173"/>
      <c r="X1031" s="173"/>
      <c r="Y1031" s="185"/>
      <c r="AA1031" s="78"/>
    </row>
    <row r="1032" spans="9:27" x14ac:dyDescent="0.25">
      <c r="I1032" s="49"/>
      <c r="J1032" s="49"/>
      <c r="K1032" s="49"/>
      <c r="V1032" s="173"/>
      <c r="W1032" s="173"/>
      <c r="X1032" s="173"/>
      <c r="Y1032" s="185"/>
      <c r="AA1032" s="78"/>
    </row>
    <row r="1033" spans="9:27" x14ac:dyDescent="0.25">
      <c r="I1033" s="49"/>
      <c r="J1033" s="49"/>
      <c r="K1033" s="49"/>
      <c r="V1033" s="173"/>
      <c r="W1033" s="173"/>
      <c r="X1033" s="173"/>
      <c r="Y1033" s="185"/>
      <c r="AA1033" s="78"/>
    </row>
    <row r="1034" spans="9:27" x14ac:dyDescent="0.25">
      <c r="I1034" s="49"/>
      <c r="J1034" s="49"/>
      <c r="K1034" s="49"/>
      <c r="V1034" s="173"/>
      <c r="W1034" s="173"/>
      <c r="X1034" s="173"/>
      <c r="Y1034" s="185"/>
      <c r="AA1034" s="78"/>
    </row>
    <row r="1035" spans="9:27" x14ac:dyDescent="0.25">
      <c r="I1035" s="49"/>
      <c r="J1035" s="49"/>
      <c r="K1035" s="49"/>
      <c r="V1035" s="173"/>
      <c r="W1035" s="173"/>
      <c r="X1035" s="173"/>
      <c r="Y1035" s="185"/>
      <c r="AA1035" s="78"/>
    </row>
    <row r="1036" spans="9:27" x14ac:dyDescent="0.25">
      <c r="I1036" s="49"/>
      <c r="J1036" s="49"/>
      <c r="K1036" s="49"/>
      <c r="V1036" s="173"/>
      <c r="W1036" s="173"/>
      <c r="X1036" s="173"/>
      <c r="Y1036" s="185"/>
      <c r="AA1036" s="78"/>
    </row>
    <row r="1037" spans="9:27" x14ac:dyDescent="0.25">
      <c r="I1037" s="49"/>
      <c r="J1037" s="49"/>
      <c r="K1037" s="49"/>
      <c r="V1037" s="173"/>
      <c r="W1037" s="173"/>
      <c r="X1037" s="173"/>
      <c r="Y1037" s="185"/>
      <c r="AA1037" s="78"/>
    </row>
    <row r="1038" spans="9:27" x14ac:dyDescent="0.25">
      <c r="I1038" s="49"/>
      <c r="J1038" s="49"/>
      <c r="K1038" s="49"/>
      <c r="V1038" s="173"/>
      <c r="W1038" s="173"/>
      <c r="X1038" s="173"/>
      <c r="Y1038" s="185"/>
      <c r="AA1038" s="78"/>
    </row>
    <row r="1039" spans="9:27" x14ac:dyDescent="0.25">
      <c r="I1039" s="49"/>
      <c r="J1039" s="49"/>
      <c r="K1039" s="49"/>
      <c r="V1039" s="173"/>
      <c r="W1039" s="173"/>
      <c r="X1039" s="173"/>
      <c r="Y1039" s="185"/>
      <c r="AA1039" s="78"/>
    </row>
    <row r="1040" spans="9:27" x14ac:dyDescent="0.25">
      <c r="I1040" s="49"/>
      <c r="J1040" s="49"/>
      <c r="K1040" s="49"/>
      <c r="V1040" s="173"/>
      <c r="W1040" s="173"/>
      <c r="X1040" s="173"/>
      <c r="Y1040" s="185"/>
      <c r="AA1040" s="78"/>
    </row>
    <row r="1041" spans="9:27" x14ac:dyDescent="0.25">
      <c r="I1041" s="49"/>
      <c r="J1041" s="49"/>
      <c r="K1041" s="49"/>
      <c r="V1041" s="173"/>
      <c r="W1041" s="173"/>
      <c r="X1041" s="173"/>
      <c r="Y1041" s="185"/>
      <c r="AA1041" s="78"/>
    </row>
    <row r="1042" spans="9:27" x14ac:dyDescent="0.25">
      <c r="I1042" s="49"/>
      <c r="J1042" s="49"/>
      <c r="K1042" s="49"/>
      <c r="V1042" s="173"/>
      <c r="W1042" s="173"/>
      <c r="X1042" s="173"/>
      <c r="Y1042" s="185"/>
      <c r="AA1042" s="78"/>
    </row>
    <row r="1043" spans="9:27" x14ac:dyDescent="0.25">
      <c r="I1043" s="49"/>
      <c r="J1043" s="49"/>
      <c r="K1043" s="49"/>
      <c r="V1043" s="173"/>
      <c r="W1043" s="173"/>
      <c r="X1043" s="173"/>
      <c r="Y1043" s="185"/>
      <c r="AA1043" s="78"/>
    </row>
    <row r="1044" spans="9:27" x14ac:dyDescent="0.25">
      <c r="I1044" s="49"/>
      <c r="J1044" s="49"/>
      <c r="K1044" s="49"/>
      <c r="V1044" s="173"/>
      <c r="W1044" s="173"/>
      <c r="X1044" s="173"/>
      <c r="Y1044" s="185"/>
      <c r="AA1044" s="78"/>
    </row>
    <row r="1045" spans="9:27" x14ac:dyDescent="0.25">
      <c r="I1045" s="49"/>
      <c r="J1045" s="49"/>
      <c r="K1045" s="49"/>
      <c r="V1045" s="173"/>
      <c r="W1045" s="173"/>
      <c r="X1045" s="173"/>
      <c r="Y1045" s="185"/>
      <c r="AA1045" s="78"/>
    </row>
    <row r="1046" spans="9:27" x14ac:dyDescent="0.25">
      <c r="I1046" s="49"/>
      <c r="J1046" s="49"/>
      <c r="K1046" s="49"/>
      <c r="V1046" s="173"/>
      <c r="W1046" s="173"/>
      <c r="X1046" s="173"/>
      <c r="Y1046" s="185"/>
      <c r="AA1046" s="78"/>
    </row>
    <row r="1047" spans="9:27" x14ac:dyDescent="0.25">
      <c r="I1047" s="49"/>
      <c r="J1047" s="49"/>
      <c r="K1047" s="49"/>
      <c r="V1047" s="173"/>
      <c r="W1047" s="173"/>
      <c r="X1047" s="173"/>
      <c r="Y1047" s="185"/>
      <c r="AA1047" s="78"/>
    </row>
    <row r="1048" spans="9:27" x14ac:dyDescent="0.25">
      <c r="I1048" s="49"/>
      <c r="J1048" s="49"/>
      <c r="K1048" s="49"/>
      <c r="V1048" s="173"/>
      <c r="W1048" s="173"/>
      <c r="X1048" s="173"/>
      <c r="Y1048" s="185"/>
      <c r="AA1048" s="78"/>
    </row>
    <row r="1049" spans="9:27" x14ac:dyDescent="0.25">
      <c r="I1049" s="49"/>
      <c r="J1049" s="49"/>
      <c r="K1049" s="49"/>
      <c r="V1049" s="173"/>
      <c r="W1049" s="173"/>
      <c r="X1049" s="173"/>
      <c r="Y1049" s="185"/>
      <c r="AA1049" s="78"/>
    </row>
    <row r="1050" spans="9:27" x14ac:dyDescent="0.25">
      <c r="I1050" s="49"/>
      <c r="J1050" s="49"/>
      <c r="K1050" s="49"/>
      <c r="V1050" s="173"/>
      <c r="W1050" s="173"/>
      <c r="X1050" s="173"/>
      <c r="Y1050" s="185"/>
      <c r="AA1050" s="78"/>
    </row>
    <row r="1051" spans="9:27" x14ac:dyDescent="0.25">
      <c r="I1051" s="49"/>
      <c r="J1051" s="49"/>
      <c r="K1051" s="49"/>
      <c r="V1051" s="173"/>
      <c r="W1051" s="173"/>
      <c r="X1051" s="173"/>
      <c r="Y1051" s="185"/>
      <c r="AA1051" s="78"/>
    </row>
    <row r="1052" spans="9:27" x14ac:dyDescent="0.25">
      <c r="I1052" s="49"/>
      <c r="J1052" s="49"/>
      <c r="K1052" s="49"/>
      <c r="V1052" s="173"/>
      <c r="W1052" s="173"/>
      <c r="X1052" s="173"/>
      <c r="Y1052" s="185"/>
      <c r="AA1052" s="78"/>
    </row>
    <row r="1053" spans="9:27" x14ac:dyDescent="0.25">
      <c r="I1053" s="49"/>
      <c r="J1053" s="49"/>
      <c r="K1053" s="49"/>
      <c r="V1053" s="173"/>
      <c r="W1053" s="173"/>
      <c r="X1053" s="173"/>
      <c r="Y1053" s="185"/>
      <c r="AA1053" s="78"/>
    </row>
    <row r="1054" spans="9:27" x14ac:dyDescent="0.25">
      <c r="I1054" s="49"/>
      <c r="J1054" s="49"/>
      <c r="K1054" s="49"/>
      <c r="V1054" s="173"/>
      <c r="W1054" s="173"/>
      <c r="X1054" s="173"/>
      <c r="Y1054" s="185"/>
      <c r="AA1054" s="78"/>
    </row>
    <row r="1055" spans="9:27" x14ac:dyDescent="0.25">
      <c r="I1055" s="49"/>
      <c r="J1055" s="49"/>
      <c r="K1055" s="49"/>
      <c r="V1055" s="173"/>
      <c r="W1055" s="173"/>
      <c r="X1055" s="173"/>
      <c r="Y1055" s="185"/>
      <c r="AA1055" s="78"/>
    </row>
    <row r="1056" spans="9:27" x14ac:dyDescent="0.25">
      <c r="I1056" s="49"/>
      <c r="J1056" s="49"/>
      <c r="K1056" s="49"/>
      <c r="V1056" s="173"/>
      <c r="W1056" s="173"/>
      <c r="X1056" s="173"/>
      <c r="Y1056" s="185"/>
      <c r="AA1056" s="78"/>
    </row>
    <row r="1057" spans="9:27" x14ac:dyDescent="0.25">
      <c r="I1057" s="49"/>
      <c r="J1057" s="49"/>
      <c r="K1057" s="49"/>
      <c r="V1057" s="173"/>
      <c r="W1057" s="173"/>
      <c r="X1057" s="173"/>
      <c r="Y1057" s="185"/>
      <c r="AA1057" s="78"/>
    </row>
    <row r="1058" spans="9:27" x14ac:dyDescent="0.25">
      <c r="I1058" s="49"/>
      <c r="J1058" s="49"/>
      <c r="K1058" s="49"/>
      <c r="V1058" s="173"/>
      <c r="W1058" s="173"/>
      <c r="X1058" s="173"/>
      <c r="Y1058" s="185"/>
      <c r="AA1058" s="78"/>
    </row>
    <row r="1059" spans="9:27" x14ac:dyDescent="0.25">
      <c r="I1059" s="49"/>
      <c r="J1059" s="49"/>
      <c r="K1059" s="49"/>
      <c r="V1059" s="173"/>
      <c r="W1059" s="173"/>
      <c r="X1059" s="173"/>
      <c r="Y1059" s="185"/>
      <c r="AA1059" s="78"/>
    </row>
    <row r="1060" spans="9:27" x14ac:dyDescent="0.25">
      <c r="I1060" s="49"/>
      <c r="J1060" s="49"/>
      <c r="K1060" s="49"/>
      <c r="V1060" s="173"/>
      <c r="W1060" s="173"/>
      <c r="X1060" s="173"/>
      <c r="Y1060" s="185"/>
      <c r="AA1060" s="78"/>
    </row>
    <row r="1061" spans="9:27" x14ac:dyDescent="0.25">
      <c r="I1061" s="49"/>
      <c r="J1061" s="49"/>
      <c r="K1061" s="49"/>
      <c r="V1061" s="173"/>
      <c r="W1061" s="173"/>
      <c r="X1061" s="173"/>
      <c r="Y1061" s="185"/>
      <c r="AA1061" s="78"/>
    </row>
    <row r="1062" spans="9:27" x14ac:dyDescent="0.25">
      <c r="I1062" s="49"/>
      <c r="J1062" s="49"/>
      <c r="K1062" s="49"/>
      <c r="V1062" s="173"/>
      <c r="W1062" s="173"/>
      <c r="X1062" s="173"/>
      <c r="Y1062" s="185"/>
      <c r="AA1062" s="78"/>
    </row>
    <row r="1063" spans="9:27" x14ac:dyDescent="0.25">
      <c r="I1063" s="49"/>
      <c r="J1063" s="49"/>
      <c r="K1063" s="49"/>
      <c r="V1063" s="173"/>
      <c r="W1063" s="173"/>
      <c r="X1063" s="173"/>
      <c r="Y1063" s="185"/>
      <c r="AA1063" s="78"/>
    </row>
    <row r="1064" spans="9:27" x14ac:dyDescent="0.25">
      <c r="I1064" s="49"/>
      <c r="J1064" s="49"/>
      <c r="K1064" s="49"/>
      <c r="V1064" s="173"/>
      <c r="W1064" s="173"/>
      <c r="X1064" s="173"/>
      <c r="Y1064" s="185"/>
      <c r="AA1064" s="78"/>
    </row>
    <row r="1065" spans="9:27" x14ac:dyDescent="0.25">
      <c r="I1065" s="49"/>
      <c r="J1065" s="49"/>
      <c r="K1065" s="49"/>
      <c r="V1065" s="173"/>
      <c r="W1065" s="173"/>
      <c r="X1065" s="173"/>
      <c r="Y1065" s="185"/>
      <c r="AA1065" s="78"/>
    </row>
    <row r="1066" spans="9:27" x14ac:dyDescent="0.25">
      <c r="I1066" s="49"/>
      <c r="J1066" s="49"/>
      <c r="K1066" s="49"/>
      <c r="V1066" s="173"/>
      <c r="W1066" s="173"/>
      <c r="X1066" s="173"/>
      <c r="Y1066" s="185"/>
      <c r="AA1066" s="78"/>
    </row>
    <row r="1067" spans="9:27" x14ac:dyDescent="0.25">
      <c r="I1067" s="49"/>
      <c r="J1067" s="49"/>
      <c r="K1067" s="49"/>
      <c r="V1067" s="173"/>
      <c r="W1067" s="173"/>
      <c r="X1067" s="173"/>
      <c r="Y1067" s="185"/>
      <c r="AA1067" s="78"/>
    </row>
    <row r="1068" spans="9:27" x14ac:dyDescent="0.25">
      <c r="I1068" s="49"/>
      <c r="J1068" s="49"/>
      <c r="K1068" s="49"/>
      <c r="V1068" s="173"/>
      <c r="W1068" s="173"/>
      <c r="X1068" s="173"/>
      <c r="Y1068" s="185"/>
      <c r="AA1068" s="78"/>
    </row>
    <row r="1069" spans="9:27" x14ac:dyDescent="0.25">
      <c r="I1069" s="49"/>
      <c r="J1069" s="49"/>
      <c r="K1069" s="49"/>
      <c r="V1069" s="173"/>
      <c r="W1069" s="173"/>
      <c r="X1069" s="173"/>
      <c r="Y1069" s="185"/>
      <c r="AA1069" s="78"/>
    </row>
    <row r="1070" spans="9:27" x14ac:dyDescent="0.25">
      <c r="I1070" s="49"/>
      <c r="J1070" s="49"/>
      <c r="K1070" s="49"/>
      <c r="V1070" s="173"/>
      <c r="W1070" s="173"/>
      <c r="X1070" s="173"/>
      <c r="Y1070" s="185"/>
      <c r="AA1070" s="78"/>
    </row>
    <row r="1071" spans="9:27" x14ac:dyDescent="0.25">
      <c r="I1071" s="49"/>
      <c r="J1071" s="49"/>
      <c r="K1071" s="49"/>
      <c r="V1071" s="173"/>
      <c r="W1071" s="173"/>
      <c r="X1071" s="173"/>
      <c r="Y1071" s="185"/>
      <c r="AA1071" s="78"/>
    </row>
    <row r="1072" spans="9:27" x14ac:dyDescent="0.25">
      <c r="I1072" s="49"/>
      <c r="J1072" s="49"/>
      <c r="K1072" s="49"/>
      <c r="V1072" s="173"/>
      <c r="W1072" s="173"/>
      <c r="X1072" s="173"/>
      <c r="Y1072" s="185"/>
      <c r="AA1072" s="78"/>
    </row>
    <row r="1073" spans="9:27" x14ac:dyDescent="0.25">
      <c r="I1073" s="49"/>
      <c r="J1073" s="49"/>
      <c r="K1073" s="49"/>
      <c r="V1073" s="173"/>
      <c r="W1073" s="173"/>
      <c r="X1073" s="173"/>
      <c r="Y1073" s="185"/>
      <c r="AA1073" s="78"/>
    </row>
    <row r="1074" spans="9:27" x14ac:dyDescent="0.25">
      <c r="I1074" s="49"/>
      <c r="J1074" s="49"/>
      <c r="K1074" s="49"/>
      <c r="V1074" s="173"/>
      <c r="W1074" s="173"/>
      <c r="X1074" s="173"/>
      <c r="Y1074" s="185"/>
      <c r="AA1074" s="78"/>
    </row>
    <row r="1075" spans="9:27" x14ac:dyDescent="0.25">
      <c r="I1075" s="49"/>
      <c r="J1075" s="49"/>
      <c r="K1075" s="49"/>
      <c r="V1075" s="173"/>
      <c r="W1075" s="173"/>
      <c r="X1075" s="173"/>
      <c r="Y1075" s="185"/>
      <c r="AA1075" s="78"/>
    </row>
    <row r="1076" spans="9:27" x14ac:dyDescent="0.25">
      <c r="I1076" s="49"/>
      <c r="J1076" s="49"/>
      <c r="K1076" s="49"/>
      <c r="V1076" s="173"/>
      <c r="W1076" s="173"/>
      <c r="X1076" s="173"/>
      <c r="Y1076" s="185"/>
      <c r="AA1076" s="78"/>
    </row>
    <row r="1077" spans="9:27" x14ac:dyDescent="0.25">
      <c r="I1077" s="49"/>
      <c r="J1077" s="49"/>
      <c r="K1077" s="49"/>
      <c r="V1077" s="173"/>
      <c r="W1077" s="173"/>
      <c r="X1077" s="173"/>
      <c r="Y1077" s="185"/>
      <c r="AA1077" s="78"/>
    </row>
    <row r="1078" spans="9:27" x14ac:dyDescent="0.25">
      <c r="I1078" s="49"/>
      <c r="J1078" s="49"/>
      <c r="K1078" s="49"/>
      <c r="V1078" s="173"/>
      <c r="W1078" s="173"/>
      <c r="X1078" s="173"/>
      <c r="Y1078" s="185"/>
      <c r="AA1078" s="78"/>
    </row>
    <row r="1079" spans="9:27" x14ac:dyDescent="0.25">
      <c r="I1079" s="49"/>
      <c r="J1079" s="49"/>
      <c r="K1079" s="49"/>
      <c r="V1079" s="173"/>
      <c r="W1079" s="173"/>
      <c r="X1079" s="173"/>
      <c r="Y1079" s="185"/>
      <c r="AA1079" s="78"/>
    </row>
    <row r="1080" spans="9:27" x14ac:dyDescent="0.25">
      <c r="I1080" s="49"/>
      <c r="J1080" s="49"/>
      <c r="K1080" s="49"/>
      <c r="V1080" s="173"/>
      <c r="W1080" s="173"/>
      <c r="X1080" s="173"/>
      <c r="Y1080" s="185"/>
      <c r="AA1080" s="78"/>
    </row>
    <row r="1081" spans="9:27" x14ac:dyDescent="0.25">
      <c r="I1081" s="49"/>
      <c r="J1081" s="49"/>
      <c r="K1081" s="49"/>
      <c r="V1081" s="173"/>
      <c r="W1081" s="173"/>
      <c r="X1081" s="173"/>
      <c r="Y1081" s="185"/>
      <c r="AA1081" s="78"/>
    </row>
    <row r="1082" spans="9:27" x14ac:dyDescent="0.25">
      <c r="I1082" s="49"/>
      <c r="J1082" s="49"/>
      <c r="K1082" s="49"/>
      <c r="V1082" s="173"/>
      <c r="W1082" s="173"/>
      <c r="X1082" s="173"/>
      <c r="Y1082" s="185"/>
      <c r="AA1082" s="78"/>
    </row>
    <row r="1083" spans="9:27" x14ac:dyDescent="0.25">
      <c r="I1083" s="49"/>
      <c r="J1083" s="49"/>
      <c r="K1083" s="49"/>
      <c r="V1083" s="173"/>
      <c r="W1083" s="173"/>
      <c r="X1083" s="173"/>
      <c r="Y1083" s="185"/>
      <c r="AA1083" s="78"/>
    </row>
    <row r="1084" spans="9:27" x14ac:dyDescent="0.25">
      <c r="I1084" s="49"/>
      <c r="J1084" s="49"/>
      <c r="K1084" s="49"/>
      <c r="V1084" s="173"/>
      <c r="W1084" s="173"/>
      <c r="X1084" s="173"/>
      <c r="Y1084" s="185"/>
      <c r="AA1084" s="78"/>
    </row>
    <row r="1085" spans="9:27" x14ac:dyDescent="0.25">
      <c r="I1085" s="49"/>
      <c r="J1085" s="49"/>
      <c r="K1085" s="49"/>
      <c r="V1085" s="173"/>
      <c r="W1085" s="173"/>
      <c r="X1085" s="173"/>
      <c r="Y1085" s="185"/>
      <c r="AA1085" s="78"/>
    </row>
    <row r="1086" spans="9:27" x14ac:dyDescent="0.25">
      <c r="I1086" s="49"/>
      <c r="J1086" s="49"/>
      <c r="K1086" s="49"/>
      <c r="V1086" s="173"/>
      <c r="W1086" s="173"/>
      <c r="X1086" s="173"/>
      <c r="Y1086" s="185"/>
      <c r="AA1086" s="78"/>
    </row>
    <row r="1087" spans="9:27" x14ac:dyDescent="0.25">
      <c r="I1087" s="49"/>
      <c r="J1087" s="49"/>
      <c r="K1087" s="49"/>
      <c r="V1087" s="173"/>
      <c r="W1087" s="173"/>
      <c r="X1087" s="173"/>
      <c r="Y1087" s="185"/>
      <c r="AA1087" s="78"/>
    </row>
    <row r="1088" spans="9:27" x14ac:dyDescent="0.25">
      <c r="I1088" s="49"/>
      <c r="J1088" s="49"/>
      <c r="K1088" s="49"/>
      <c r="V1088" s="173"/>
      <c r="W1088" s="173"/>
      <c r="X1088" s="173"/>
      <c r="Y1088" s="185"/>
      <c r="AA1088" s="78"/>
    </row>
    <row r="1089" spans="9:27" x14ac:dyDescent="0.25">
      <c r="I1089" s="49"/>
      <c r="J1089" s="49"/>
      <c r="K1089" s="49"/>
      <c r="V1089" s="173"/>
      <c r="W1089" s="173"/>
      <c r="X1089" s="173"/>
      <c r="Y1089" s="185"/>
      <c r="AA1089" s="78"/>
    </row>
    <row r="1090" spans="9:27" x14ac:dyDescent="0.25">
      <c r="I1090" s="49"/>
      <c r="J1090" s="49"/>
      <c r="K1090" s="49"/>
      <c r="V1090" s="173"/>
      <c r="W1090" s="173"/>
      <c r="X1090" s="173"/>
      <c r="Y1090" s="185"/>
      <c r="AA1090" s="78"/>
    </row>
    <row r="1091" spans="9:27" x14ac:dyDescent="0.25">
      <c r="I1091" s="49"/>
      <c r="J1091" s="49"/>
      <c r="K1091" s="49"/>
      <c r="V1091" s="173"/>
      <c r="W1091" s="173"/>
      <c r="X1091" s="173"/>
      <c r="Y1091" s="185"/>
      <c r="AA1091" s="78"/>
    </row>
    <row r="1092" spans="9:27" x14ac:dyDescent="0.25">
      <c r="I1092" s="49"/>
      <c r="J1092" s="49"/>
      <c r="K1092" s="49"/>
      <c r="V1092" s="173"/>
      <c r="W1092" s="173"/>
      <c r="X1092" s="173"/>
      <c r="Y1092" s="185"/>
      <c r="AA1092" s="78"/>
    </row>
    <row r="1093" spans="9:27" x14ac:dyDescent="0.25">
      <c r="I1093" s="49"/>
      <c r="J1093" s="49"/>
      <c r="K1093" s="49"/>
      <c r="V1093" s="173"/>
      <c r="W1093" s="173"/>
      <c r="X1093" s="173"/>
      <c r="Y1093" s="185"/>
      <c r="AA1093" s="78"/>
    </row>
    <row r="1094" spans="9:27" x14ac:dyDescent="0.25">
      <c r="I1094" s="49"/>
      <c r="J1094" s="49"/>
      <c r="K1094" s="49"/>
      <c r="V1094" s="173"/>
      <c r="W1094" s="173"/>
      <c r="X1094" s="173"/>
      <c r="Y1094" s="185"/>
      <c r="AA1094" s="78"/>
    </row>
    <row r="1095" spans="9:27" x14ac:dyDescent="0.25">
      <c r="I1095" s="49"/>
      <c r="J1095" s="49"/>
      <c r="K1095" s="49"/>
      <c r="V1095" s="173"/>
      <c r="W1095" s="173"/>
      <c r="X1095" s="173"/>
      <c r="Y1095" s="185"/>
      <c r="AA1095" s="78"/>
    </row>
    <row r="1096" spans="9:27" x14ac:dyDescent="0.25">
      <c r="I1096" s="49"/>
      <c r="J1096" s="49"/>
      <c r="K1096" s="49"/>
      <c r="V1096" s="173"/>
      <c r="W1096" s="173"/>
      <c r="X1096" s="173"/>
      <c r="Y1096" s="185"/>
      <c r="AA1096" s="78"/>
    </row>
    <row r="1097" spans="9:27" x14ac:dyDescent="0.25">
      <c r="I1097" s="49"/>
      <c r="J1097" s="49"/>
      <c r="K1097" s="49"/>
      <c r="V1097" s="173"/>
      <c r="W1097" s="173"/>
      <c r="X1097" s="173"/>
      <c r="Y1097" s="185"/>
      <c r="AA1097" s="78"/>
    </row>
    <row r="1098" spans="9:27" x14ac:dyDescent="0.25">
      <c r="I1098" s="49"/>
      <c r="J1098" s="49"/>
      <c r="K1098" s="49"/>
      <c r="V1098" s="173"/>
      <c r="W1098" s="173"/>
      <c r="X1098" s="173"/>
      <c r="Y1098" s="185"/>
      <c r="AA1098" s="78"/>
    </row>
    <row r="1099" spans="9:27" x14ac:dyDescent="0.25">
      <c r="I1099" s="49"/>
      <c r="J1099" s="49"/>
      <c r="K1099" s="49"/>
      <c r="V1099" s="173"/>
      <c r="W1099" s="173"/>
      <c r="X1099" s="173"/>
      <c r="Y1099" s="185"/>
      <c r="AA1099" s="78"/>
    </row>
    <row r="1100" spans="9:27" x14ac:dyDescent="0.25">
      <c r="I1100" s="49"/>
      <c r="J1100" s="49"/>
      <c r="K1100" s="49"/>
      <c r="V1100" s="173"/>
      <c r="W1100" s="173"/>
      <c r="X1100" s="173"/>
      <c r="Y1100" s="185"/>
      <c r="AA1100" s="78"/>
    </row>
    <row r="1101" spans="9:27" x14ac:dyDescent="0.25">
      <c r="I1101" s="49"/>
      <c r="J1101" s="49"/>
      <c r="K1101" s="49"/>
      <c r="V1101" s="173"/>
      <c r="W1101" s="173"/>
      <c r="X1101" s="173"/>
      <c r="Y1101" s="185"/>
      <c r="AA1101" s="78"/>
    </row>
    <row r="1102" spans="9:27" x14ac:dyDescent="0.25">
      <c r="I1102" s="49"/>
      <c r="J1102" s="49"/>
      <c r="K1102" s="49"/>
      <c r="V1102" s="173"/>
      <c r="W1102" s="173"/>
      <c r="X1102" s="173"/>
      <c r="Y1102" s="185"/>
      <c r="AA1102" s="78"/>
    </row>
    <row r="1103" spans="9:27" x14ac:dyDescent="0.25">
      <c r="I1103" s="49"/>
      <c r="J1103" s="49"/>
      <c r="K1103" s="49"/>
      <c r="V1103" s="173"/>
      <c r="W1103" s="173"/>
      <c r="X1103" s="173"/>
      <c r="Y1103" s="185"/>
      <c r="AA1103" s="78"/>
    </row>
    <row r="1104" spans="9:27" x14ac:dyDescent="0.25">
      <c r="I1104" s="49"/>
      <c r="J1104" s="49"/>
      <c r="K1104" s="49"/>
      <c r="V1104" s="173"/>
      <c r="W1104" s="173"/>
      <c r="X1104" s="173"/>
      <c r="Y1104" s="185"/>
      <c r="AA1104" s="78"/>
    </row>
    <row r="1105" spans="9:27" x14ac:dyDescent="0.25">
      <c r="I1105" s="49"/>
      <c r="J1105" s="49"/>
      <c r="K1105" s="49"/>
      <c r="V1105" s="173"/>
      <c r="W1105" s="173"/>
      <c r="X1105" s="173"/>
      <c r="Y1105" s="185"/>
      <c r="AA1105" s="78"/>
    </row>
    <row r="1106" spans="9:27" x14ac:dyDescent="0.25">
      <c r="I1106" s="49"/>
      <c r="J1106" s="49"/>
      <c r="K1106" s="49"/>
      <c r="V1106" s="173"/>
      <c r="W1106" s="173"/>
      <c r="X1106" s="173"/>
      <c r="Y1106" s="185"/>
      <c r="AA1106" s="78"/>
    </row>
    <row r="1107" spans="9:27" x14ac:dyDescent="0.25">
      <c r="I1107" s="49"/>
      <c r="J1107" s="49"/>
      <c r="K1107" s="49"/>
      <c r="V1107" s="173"/>
      <c r="W1107" s="173"/>
      <c r="X1107" s="173"/>
      <c r="Y1107" s="185"/>
      <c r="AA1107" s="78"/>
    </row>
    <row r="1108" spans="9:27" x14ac:dyDescent="0.25">
      <c r="I1108" s="49"/>
      <c r="J1108" s="49"/>
      <c r="K1108" s="49"/>
      <c r="V1108" s="173"/>
      <c r="W1108" s="173"/>
      <c r="X1108" s="173"/>
      <c r="Y1108" s="185"/>
      <c r="AA1108" s="78"/>
    </row>
    <row r="1109" spans="9:27" x14ac:dyDescent="0.25">
      <c r="I1109" s="49"/>
      <c r="J1109" s="49"/>
      <c r="K1109" s="49"/>
      <c r="V1109" s="173"/>
      <c r="W1109" s="173"/>
      <c r="X1109" s="173"/>
      <c r="Y1109" s="185"/>
      <c r="AA1109" s="78"/>
    </row>
    <row r="1110" spans="9:27" x14ac:dyDescent="0.25">
      <c r="I1110" s="49"/>
      <c r="J1110" s="49"/>
      <c r="K1110" s="49"/>
      <c r="V1110" s="173"/>
      <c r="W1110" s="173"/>
      <c r="X1110" s="173"/>
      <c r="Y1110" s="185"/>
      <c r="AA1110" s="78"/>
    </row>
    <row r="1111" spans="9:27" x14ac:dyDescent="0.25">
      <c r="I1111" s="49"/>
      <c r="J1111" s="49"/>
      <c r="K1111" s="49"/>
      <c r="V1111" s="173"/>
      <c r="W1111" s="173"/>
      <c r="X1111" s="173"/>
      <c r="Y1111" s="185"/>
      <c r="AA1111" s="78"/>
    </row>
    <row r="1112" spans="9:27" x14ac:dyDescent="0.25">
      <c r="I1112" s="49"/>
      <c r="J1112" s="49"/>
      <c r="K1112" s="49"/>
      <c r="V1112" s="173"/>
      <c r="W1112" s="173"/>
      <c r="X1112" s="173"/>
      <c r="Y1112" s="185"/>
      <c r="AA1112" s="78"/>
    </row>
    <row r="1113" spans="9:27" x14ac:dyDescent="0.25">
      <c r="I1113" s="49"/>
      <c r="J1113" s="49"/>
      <c r="K1113" s="49"/>
      <c r="V1113" s="173"/>
      <c r="W1113" s="173"/>
      <c r="X1113" s="173"/>
      <c r="Y1113" s="185"/>
      <c r="AA1113" s="78"/>
    </row>
    <row r="1114" spans="9:27" x14ac:dyDescent="0.25">
      <c r="I1114" s="49"/>
      <c r="J1114" s="49"/>
      <c r="K1114" s="49"/>
      <c r="V1114" s="173"/>
      <c r="W1114" s="173"/>
      <c r="X1114" s="173"/>
      <c r="Y1114" s="185"/>
      <c r="AA1114" s="78"/>
    </row>
    <row r="1115" spans="9:27" x14ac:dyDescent="0.25">
      <c r="I1115" s="49"/>
      <c r="J1115" s="49"/>
      <c r="K1115" s="49"/>
      <c r="V1115" s="173"/>
      <c r="W1115" s="173"/>
      <c r="X1115" s="173"/>
      <c r="Y1115" s="185"/>
      <c r="AA1115" s="78"/>
    </row>
    <row r="1116" spans="9:27" x14ac:dyDescent="0.25">
      <c r="I1116" s="49"/>
      <c r="J1116" s="49"/>
      <c r="K1116" s="49"/>
      <c r="V1116" s="173"/>
      <c r="W1116" s="173"/>
      <c r="X1116" s="173"/>
      <c r="Y1116" s="185"/>
      <c r="AA1116" s="78"/>
    </row>
    <row r="1117" spans="9:27" x14ac:dyDescent="0.25">
      <c r="I1117" s="49"/>
      <c r="J1117" s="49"/>
      <c r="K1117" s="49"/>
      <c r="V1117" s="173"/>
      <c r="W1117" s="173"/>
      <c r="X1117" s="173"/>
      <c r="Y1117" s="185"/>
      <c r="AA1117" s="78"/>
    </row>
    <row r="1118" spans="9:27" x14ac:dyDescent="0.25">
      <c r="I1118" s="49"/>
      <c r="J1118" s="49"/>
      <c r="K1118" s="49"/>
      <c r="V1118" s="173"/>
      <c r="W1118" s="173"/>
      <c r="X1118" s="173"/>
      <c r="Y1118" s="185"/>
      <c r="AA1118" s="78"/>
    </row>
    <row r="1119" spans="9:27" x14ac:dyDescent="0.25">
      <c r="I1119" s="49"/>
      <c r="J1119" s="49"/>
      <c r="K1119" s="49"/>
      <c r="V1119" s="173"/>
      <c r="W1119" s="173"/>
      <c r="X1119" s="173"/>
      <c r="Y1119" s="185"/>
      <c r="AA1119" s="78"/>
    </row>
    <row r="1120" spans="9:27" x14ac:dyDescent="0.25">
      <c r="I1120" s="49"/>
      <c r="J1120" s="49"/>
      <c r="K1120" s="49"/>
      <c r="V1120" s="173"/>
      <c r="W1120" s="173"/>
      <c r="X1120" s="173"/>
      <c r="Y1120" s="185"/>
      <c r="AA1120" s="78"/>
    </row>
    <row r="1121" spans="9:27" x14ac:dyDescent="0.25">
      <c r="I1121" s="49"/>
      <c r="J1121" s="49"/>
      <c r="K1121" s="49"/>
      <c r="V1121" s="173"/>
      <c r="W1121" s="173"/>
      <c r="X1121" s="173"/>
      <c r="Y1121" s="185"/>
      <c r="AA1121" s="78"/>
    </row>
    <row r="1122" spans="9:27" x14ac:dyDescent="0.25">
      <c r="I1122" s="49"/>
      <c r="J1122" s="49"/>
      <c r="K1122" s="49"/>
      <c r="V1122" s="173"/>
      <c r="W1122" s="173"/>
      <c r="X1122" s="173"/>
      <c r="Y1122" s="185"/>
      <c r="AA1122" s="78"/>
    </row>
    <row r="1123" spans="9:27" x14ac:dyDescent="0.25">
      <c r="I1123" s="49"/>
      <c r="J1123" s="49"/>
      <c r="K1123" s="49"/>
      <c r="V1123" s="173"/>
      <c r="W1123" s="173"/>
      <c r="X1123" s="173"/>
      <c r="Y1123" s="185"/>
      <c r="AA1123" s="78"/>
    </row>
    <row r="1124" spans="9:27" x14ac:dyDescent="0.25">
      <c r="I1124" s="49"/>
      <c r="J1124" s="49"/>
      <c r="K1124" s="49"/>
      <c r="V1124" s="173"/>
      <c r="W1124" s="173"/>
      <c r="X1124" s="173"/>
      <c r="Y1124" s="185"/>
      <c r="AA1124" s="78"/>
    </row>
    <row r="1125" spans="9:27" x14ac:dyDescent="0.25">
      <c r="I1125" s="49"/>
      <c r="J1125" s="49"/>
      <c r="K1125" s="49"/>
      <c r="V1125" s="173"/>
      <c r="W1125" s="173"/>
      <c r="X1125" s="173"/>
      <c r="Y1125" s="185"/>
      <c r="AA1125" s="78"/>
    </row>
    <row r="1126" spans="9:27" x14ac:dyDescent="0.25">
      <c r="I1126" s="49"/>
      <c r="J1126" s="49"/>
      <c r="K1126" s="49"/>
      <c r="V1126" s="173"/>
      <c r="W1126" s="173"/>
      <c r="X1126" s="173"/>
      <c r="Y1126" s="185"/>
      <c r="AA1126" s="78"/>
    </row>
    <row r="1127" spans="9:27" x14ac:dyDescent="0.25">
      <c r="I1127" s="49"/>
      <c r="J1127" s="49"/>
      <c r="K1127" s="49"/>
      <c r="V1127" s="173"/>
      <c r="W1127" s="173"/>
      <c r="X1127" s="173"/>
      <c r="Y1127" s="185"/>
      <c r="AA1127" s="78"/>
    </row>
    <row r="1128" spans="9:27" x14ac:dyDescent="0.25">
      <c r="I1128" s="49"/>
      <c r="J1128" s="49"/>
      <c r="K1128" s="49"/>
      <c r="V1128" s="173"/>
      <c r="W1128" s="173"/>
      <c r="X1128" s="173"/>
      <c r="Y1128" s="185"/>
      <c r="AA1128" s="78"/>
    </row>
    <row r="1129" spans="9:27" x14ac:dyDescent="0.25">
      <c r="I1129" s="49"/>
      <c r="J1129" s="49"/>
      <c r="K1129" s="49"/>
      <c r="V1129" s="173"/>
      <c r="W1129" s="173"/>
      <c r="X1129" s="173"/>
      <c r="Y1129" s="185"/>
      <c r="AA1129" s="78"/>
    </row>
    <row r="1130" spans="9:27" x14ac:dyDescent="0.25">
      <c r="I1130" s="49"/>
      <c r="J1130" s="49"/>
      <c r="K1130" s="49"/>
      <c r="V1130" s="173"/>
      <c r="W1130" s="173"/>
      <c r="X1130" s="173"/>
      <c r="Y1130" s="185"/>
      <c r="AA1130" s="78"/>
    </row>
    <row r="1131" spans="9:27" x14ac:dyDescent="0.25">
      <c r="I1131" s="49"/>
      <c r="J1131" s="49"/>
      <c r="K1131" s="49"/>
      <c r="V1131" s="173"/>
      <c r="W1131" s="173"/>
      <c r="X1131" s="173"/>
      <c r="Y1131" s="185"/>
      <c r="AA1131" s="78"/>
    </row>
    <row r="1132" spans="9:27" x14ac:dyDescent="0.25">
      <c r="I1132" s="49"/>
      <c r="J1132" s="49"/>
      <c r="K1132" s="49"/>
      <c r="V1132" s="173"/>
      <c r="W1132" s="173"/>
      <c r="X1132" s="173"/>
      <c r="Y1132" s="185"/>
      <c r="AA1132" s="78"/>
    </row>
    <row r="1133" spans="9:27" x14ac:dyDescent="0.25">
      <c r="I1133" s="49"/>
      <c r="J1133" s="49"/>
      <c r="K1133" s="49"/>
      <c r="V1133" s="173"/>
      <c r="W1133" s="173"/>
      <c r="X1133" s="173"/>
      <c r="Y1133" s="185"/>
      <c r="AA1133" s="78"/>
    </row>
    <row r="1134" spans="9:27" x14ac:dyDescent="0.25">
      <c r="I1134" s="49"/>
      <c r="J1134" s="49"/>
      <c r="K1134" s="49"/>
      <c r="V1134" s="173"/>
      <c r="W1134" s="173"/>
      <c r="X1134" s="173"/>
      <c r="Y1134" s="185"/>
      <c r="AA1134" s="78"/>
    </row>
    <row r="1135" spans="9:27" x14ac:dyDescent="0.25">
      <c r="I1135" s="49"/>
      <c r="J1135" s="49"/>
      <c r="K1135" s="49"/>
      <c r="V1135" s="173"/>
      <c r="W1135" s="173"/>
      <c r="X1135" s="173"/>
      <c r="Y1135" s="185"/>
      <c r="AA1135" s="78"/>
    </row>
    <row r="1136" spans="9:27" x14ac:dyDescent="0.25">
      <c r="I1136" s="49"/>
      <c r="J1136" s="49"/>
      <c r="K1136" s="49"/>
      <c r="V1136" s="173"/>
      <c r="W1136" s="173"/>
      <c r="X1136" s="173"/>
      <c r="Y1136" s="185"/>
      <c r="AA1136" s="78"/>
    </row>
    <row r="1137" spans="9:27" x14ac:dyDescent="0.25">
      <c r="I1137" s="49"/>
      <c r="J1137" s="49"/>
      <c r="K1137" s="49"/>
      <c r="V1137" s="173"/>
      <c r="W1137" s="173"/>
      <c r="X1137" s="173"/>
      <c r="Y1137" s="185"/>
      <c r="AA1137" s="78"/>
    </row>
    <row r="1138" spans="9:27" x14ac:dyDescent="0.25">
      <c r="I1138" s="49"/>
      <c r="J1138" s="49"/>
      <c r="K1138" s="49"/>
      <c r="V1138" s="173"/>
      <c r="W1138" s="173"/>
      <c r="X1138" s="173"/>
      <c r="Y1138" s="185"/>
      <c r="AA1138" s="78"/>
    </row>
    <row r="1139" spans="9:27" x14ac:dyDescent="0.25">
      <c r="I1139" s="49"/>
      <c r="J1139" s="49"/>
      <c r="K1139" s="49"/>
      <c r="V1139" s="173"/>
      <c r="W1139" s="173"/>
      <c r="X1139" s="173"/>
      <c r="Y1139" s="185"/>
      <c r="AA1139" s="78"/>
    </row>
    <row r="1140" spans="9:27" x14ac:dyDescent="0.25">
      <c r="I1140" s="49"/>
      <c r="J1140" s="49"/>
      <c r="K1140" s="49"/>
      <c r="V1140" s="173"/>
      <c r="W1140" s="173"/>
      <c r="X1140" s="173"/>
      <c r="Y1140" s="185"/>
      <c r="AA1140" s="78"/>
    </row>
    <row r="1141" spans="9:27" x14ac:dyDescent="0.25">
      <c r="I1141" s="49"/>
      <c r="J1141" s="49"/>
      <c r="K1141" s="49"/>
      <c r="V1141" s="173"/>
      <c r="W1141" s="173"/>
      <c r="X1141" s="173"/>
      <c r="Y1141" s="185"/>
      <c r="AA1141" s="78"/>
    </row>
    <row r="1142" spans="9:27" x14ac:dyDescent="0.25">
      <c r="I1142" s="49"/>
      <c r="J1142" s="49"/>
      <c r="K1142" s="49"/>
      <c r="V1142" s="173"/>
      <c r="W1142" s="173"/>
      <c r="X1142" s="173"/>
      <c r="Y1142" s="185"/>
      <c r="AA1142" s="78"/>
    </row>
    <row r="1143" spans="9:27" x14ac:dyDescent="0.25">
      <c r="I1143" s="49"/>
      <c r="J1143" s="49"/>
      <c r="K1143" s="49"/>
      <c r="V1143" s="173"/>
      <c r="W1143" s="173"/>
      <c r="X1143" s="173"/>
      <c r="Y1143" s="185"/>
      <c r="AA1143" s="78"/>
    </row>
    <row r="1144" spans="9:27" x14ac:dyDescent="0.25">
      <c r="I1144" s="49"/>
      <c r="J1144" s="49"/>
      <c r="K1144" s="49"/>
      <c r="V1144" s="173"/>
      <c r="W1144" s="173"/>
      <c r="X1144" s="173"/>
      <c r="Y1144" s="185"/>
      <c r="AA1144" s="78"/>
    </row>
    <row r="1145" spans="9:27" x14ac:dyDescent="0.25">
      <c r="I1145" s="49"/>
      <c r="J1145" s="49"/>
      <c r="K1145" s="49"/>
      <c r="V1145" s="173"/>
      <c r="W1145" s="173"/>
      <c r="X1145" s="173"/>
      <c r="Y1145" s="185"/>
      <c r="AA1145" s="78"/>
    </row>
    <row r="1146" spans="9:27" x14ac:dyDescent="0.25">
      <c r="I1146" s="49"/>
      <c r="J1146" s="49"/>
      <c r="K1146" s="49"/>
      <c r="V1146" s="173"/>
      <c r="W1146" s="173"/>
      <c r="X1146" s="173"/>
      <c r="Y1146" s="185"/>
      <c r="AA1146" s="78"/>
    </row>
    <row r="1147" spans="9:27" x14ac:dyDescent="0.25">
      <c r="I1147" s="49"/>
      <c r="J1147" s="49"/>
      <c r="K1147" s="49"/>
      <c r="V1147" s="173"/>
      <c r="W1147" s="173"/>
      <c r="X1147" s="173"/>
      <c r="Y1147" s="185"/>
      <c r="AA1147" s="78"/>
    </row>
    <row r="1148" spans="9:27" x14ac:dyDescent="0.25">
      <c r="I1148" s="49"/>
      <c r="J1148" s="49"/>
      <c r="K1148" s="49"/>
      <c r="V1148" s="173"/>
      <c r="W1148" s="173"/>
      <c r="X1148" s="173"/>
      <c r="Y1148" s="185"/>
      <c r="AA1148" s="78"/>
    </row>
    <row r="1149" spans="9:27" x14ac:dyDescent="0.25">
      <c r="I1149" s="49"/>
      <c r="J1149" s="49"/>
      <c r="K1149" s="49"/>
      <c r="V1149" s="173"/>
      <c r="W1149" s="173"/>
      <c r="X1149" s="173"/>
      <c r="Y1149" s="185"/>
      <c r="AA1149" s="78"/>
    </row>
    <row r="1150" spans="9:27" x14ac:dyDescent="0.25">
      <c r="I1150" s="49"/>
      <c r="J1150" s="49"/>
      <c r="K1150" s="49"/>
      <c r="V1150" s="173"/>
      <c r="W1150" s="173"/>
      <c r="X1150" s="173"/>
      <c r="Y1150" s="185"/>
      <c r="AA1150" s="78"/>
    </row>
    <row r="1151" spans="9:27" x14ac:dyDescent="0.25">
      <c r="I1151" s="49"/>
      <c r="J1151" s="49"/>
      <c r="K1151" s="49"/>
      <c r="V1151" s="173"/>
      <c r="W1151" s="173"/>
      <c r="X1151" s="173"/>
      <c r="Y1151" s="185"/>
      <c r="AA1151" s="78"/>
    </row>
    <row r="1152" spans="9:27" x14ac:dyDescent="0.25">
      <c r="I1152" s="49"/>
      <c r="J1152" s="49"/>
      <c r="K1152" s="49"/>
      <c r="V1152" s="173"/>
      <c r="W1152" s="173"/>
      <c r="X1152" s="173"/>
      <c r="Y1152" s="185"/>
      <c r="AA1152" s="78"/>
    </row>
    <row r="1153" spans="9:27" x14ac:dyDescent="0.25">
      <c r="I1153" s="49"/>
      <c r="J1153" s="49"/>
      <c r="K1153" s="49"/>
      <c r="V1153" s="173"/>
      <c r="W1153" s="173"/>
      <c r="X1153" s="173"/>
      <c r="Y1153" s="185"/>
      <c r="AA1153" s="78"/>
    </row>
    <row r="1154" spans="9:27" x14ac:dyDescent="0.25">
      <c r="I1154" s="49"/>
      <c r="J1154" s="49"/>
      <c r="K1154" s="49"/>
      <c r="V1154" s="173"/>
      <c r="W1154" s="173"/>
      <c r="X1154" s="173"/>
      <c r="Y1154" s="185"/>
      <c r="AA1154" s="78"/>
    </row>
    <row r="1155" spans="9:27" x14ac:dyDescent="0.25">
      <c r="I1155" s="49"/>
      <c r="J1155" s="49"/>
      <c r="K1155" s="49"/>
      <c r="V1155" s="173"/>
      <c r="W1155" s="173"/>
      <c r="X1155" s="173"/>
      <c r="Y1155" s="185"/>
      <c r="AA1155" s="78"/>
    </row>
    <row r="1156" spans="9:27" x14ac:dyDescent="0.25">
      <c r="I1156" s="49"/>
      <c r="J1156" s="49"/>
      <c r="K1156" s="49"/>
      <c r="V1156" s="173"/>
      <c r="W1156" s="173"/>
      <c r="X1156" s="173"/>
      <c r="Y1156" s="185"/>
      <c r="AA1156" s="78"/>
    </row>
    <row r="1157" spans="9:27" x14ac:dyDescent="0.25">
      <c r="I1157" s="49"/>
      <c r="J1157" s="49"/>
      <c r="K1157" s="49"/>
      <c r="V1157" s="173"/>
      <c r="W1157" s="173"/>
      <c r="X1157" s="173"/>
      <c r="Y1157" s="185"/>
      <c r="AA1157" s="78"/>
    </row>
    <row r="1158" spans="9:27" x14ac:dyDescent="0.25">
      <c r="I1158" s="49"/>
      <c r="J1158" s="49"/>
      <c r="K1158" s="49"/>
      <c r="V1158" s="173"/>
      <c r="W1158" s="173"/>
      <c r="X1158" s="173"/>
      <c r="Y1158" s="185"/>
      <c r="AA1158" s="78"/>
    </row>
    <row r="1159" spans="9:27" x14ac:dyDescent="0.25">
      <c r="I1159" s="49"/>
      <c r="J1159" s="49"/>
      <c r="K1159" s="49"/>
      <c r="V1159" s="173"/>
      <c r="W1159" s="173"/>
      <c r="X1159" s="173"/>
      <c r="Y1159" s="185"/>
      <c r="AA1159" s="78"/>
    </row>
    <row r="1160" spans="9:27" x14ac:dyDescent="0.25">
      <c r="I1160" s="49"/>
      <c r="J1160" s="49"/>
      <c r="K1160" s="49"/>
      <c r="V1160" s="173"/>
      <c r="W1160" s="173"/>
      <c r="X1160" s="173"/>
      <c r="Y1160" s="185"/>
      <c r="AA1160" s="78"/>
    </row>
    <row r="1161" spans="9:27" x14ac:dyDescent="0.25">
      <c r="I1161" s="49"/>
      <c r="J1161" s="49"/>
      <c r="K1161" s="49"/>
      <c r="V1161" s="173"/>
      <c r="W1161" s="173"/>
      <c r="X1161" s="173"/>
      <c r="Y1161" s="185"/>
      <c r="AA1161" s="78"/>
    </row>
    <row r="1162" spans="9:27" x14ac:dyDescent="0.25">
      <c r="I1162" s="49"/>
      <c r="J1162" s="49"/>
      <c r="K1162" s="49"/>
      <c r="V1162" s="173"/>
      <c r="W1162" s="173"/>
      <c r="X1162" s="173"/>
      <c r="Y1162" s="185"/>
      <c r="AA1162" s="78"/>
    </row>
    <row r="1163" spans="9:27" x14ac:dyDescent="0.25">
      <c r="I1163" s="49"/>
      <c r="J1163" s="49"/>
      <c r="K1163" s="49"/>
      <c r="V1163" s="173"/>
      <c r="W1163" s="173"/>
      <c r="X1163" s="173"/>
      <c r="Y1163" s="185"/>
      <c r="AA1163" s="78"/>
    </row>
    <row r="1164" spans="9:27" x14ac:dyDescent="0.25">
      <c r="I1164" s="49"/>
      <c r="J1164" s="49"/>
      <c r="K1164" s="49"/>
      <c r="V1164" s="173"/>
      <c r="W1164" s="173"/>
      <c r="X1164" s="173"/>
      <c r="Y1164" s="185"/>
      <c r="AA1164" s="78"/>
    </row>
    <row r="1165" spans="9:27" x14ac:dyDescent="0.25">
      <c r="I1165" s="49"/>
      <c r="J1165" s="49"/>
      <c r="K1165" s="49"/>
      <c r="V1165" s="173"/>
      <c r="W1165" s="173"/>
      <c r="X1165" s="173"/>
      <c r="Y1165" s="185"/>
      <c r="AA1165" s="78"/>
    </row>
    <row r="1166" spans="9:27" x14ac:dyDescent="0.25">
      <c r="I1166" s="49"/>
      <c r="J1166" s="49"/>
      <c r="K1166" s="49"/>
      <c r="V1166" s="173"/>
      <c r="W1166" s="173"/>
      <c r="X1166" s="173"/>
      <c r="Y1166" s="185"/>
      <c r="AA1166" s="78"/>
    </row>
    <row r="1167" spans="9:27" x14ac:dyDescent="0.25">
      <c r="I1167" s="49"/>
      <c r="J1167" s="49"/>
      <c r="K1167" s="49"/>
      <c r="V1167" s="173"/>
      <c r="W1167" s="173"/>
      <c r="X1167" s="173"/>
      <c r="Y1167" s="185"/>
      <c r="AA1167" s="78"/>
    </row>
    <row r="1168" spans="9:27" x14ac:dyDescent="0.25">
      <c r="I1168" s="49"/>
      <c r="J1168" s="49"/>
      <c r="K1168" s="49"/>
      <c r="V1168" s="173"/>
      <c r="W1168" s="173"/>
      <c r="X1168" s="173"/>
      <c r="Y1168" s="185"/>
      <c r="AA1168" s="78"/>
    </row>
    <row r="1169" spans="9:27" x14ac:dyDescent="0.25">
      <c r="I1169" s="49"/>
      <c r="J1169" s="49"/>
      <c r="K1169" s="49"/>
      <c r="V1169" s="173"/>
      <c r="W1169" s="173"/>
      <c r="X1169" s="173"/>
      <c r="Y1169" s="185"/>
      <c r="AA1169" s="78"/>
    </row>
    <row r="1170" spans="9:27" x14ac:dyDescent="0.25">
      <c r="I1170" s="49"/>
      <c r="J1170" s="49"/>
      <c r="K1170" s="49"/>
      <c r="V1170" s="173"/>
      <c r="W1170" s="173"/>
      <c r="X1170" s="173"/>
      <c r="Y1170" s="185"/>
      <c r="AA1170" s="78"/>
    </row>
    <row r="1171" spans="9:27" x14ac:dyDescent="0.25">
      <c r="I1171" s="49"/>
      <c r="J1171" s="49"/>
      <c r="K1171" s="49"/>
      <c r="V1171" s="173"/>
      <c r="W1171" s="173"/>
      <c r="X1171" s="173"/>
      <c r="Y1171" s="185"/>
      <c r="AA1171" s="78"/>
    </row>
    <row r="1172" spans="9:27" x14ac:dyDescent="0.25">
      <c r="I1172" s="49"/>
      <c r="J1172" s="49"/>
      <c r="K1172" s="49"/>
      <c r="V1172" s="173"/>
      <c r="W1172" s="173"/>
      <c r="X1172" s="173"/>
      <c r="Y1172" s="185"/>
      <c r="AA1172" s="78"/>
    </row>
    <row r="1173" spans="9:27" x14ac:dyDescent="0.25">
      <c r="I1173" s="49"/>
      <c r="J1173" s="49"/>
      <c r="K1173" s="49"/>
      <c r="V1173" s="173"/>
      <c r="W1173" s="173"/>
      <c r="X1173" s="173"/>
      <c r="Y1173" s="185"/>
      <c r="AA1173" s="78"/>
    </row>
    <row r="1174" spans="9:27" x14ac:dyDescent="0.25">
      <c r="I1174" s="49"/>
      <c r="J1174" s="49"/>
      <c r="K1174" s="49"/>
      <c r="V1174" s="173"/>
      <c r="W1174" s="173"/>
      <c r="X1174" s="173"/>
      <c r="Y1174" s="185"/>
      <c r="AA1174" s="78"/>
    </row>
    <row r="1175" spans="9:27" x14ac:dyDescent="0.25">
      <c r="I1175" s="49"/>
      <c r="J1175" s="49"/>
      <c r="K1175" s="49"/>
      <c r="V1175" s="173"/>
      <c r="W1175" s="173"/>
      <c r="X1175" s="173"/>
      <c r="Y1175" s="185"/>
      <c r="AA1175" s="78"/>
    </row>
    <row r="1176" spans="9:27" x14ac:dyDescent="0.25">
      <c r="I1176" s="49"/>
      <c r="J1176" s="49"/>
      <c r="K1176" s="49"/>
      <c r="V1176" s="173"/>
      <c r="W1176" s="173"/>
      <c r="X1176" s="173"/>
      <c r="Y1176" s="185"/>
      <c r="AA1176" s="78"/>
    </row>
    <row r="1177" spans="9:27" x14ac:dyDescent="0.25">
      <c r="I1177" s="49"/>
      <c r="J1177" s="49"/>
      <c r="K1177" s="49"/>
      <c r="V1177" s="173"/>
      <c r="W1177" s="173"/>
      <c r="X1177" s="173"/>
      <c r="Y1177" s="185"/>
      <c r="AA1177" s="78"/>
    </row>
    <row r="1178" spans="9:27" x14ac:dyDescent="0.25">
      <c r="I1178" s="49"/>
      <c r="J1178" s="49"/>
      <c r="K1178" s="49"/>
      <c r="V1178" s="173"/>
      <c r="W1178" s="173"/>
      <c r="X1178" s="173"/>
      <c r="Y1178" s="185"/>
      <c r="AA1178" s="78"/>
    </row>
    <row r="1179" spans="9:27" x14ac:dyDescent="0.25">
      <c r="I1179" s="49"/>
      <c r="J1179" s="49"/>
      <c r="K1179" s="49"/>
      <c r="V1179" s="173"/>
      <c r="W1179" s="173"/>
      <c r="X1179" s="173"/>
      <c r="Y1179" s="185"/>
      <c r="AA1179" s="78"/>
    </row>
    <row r="1180" spans="9:27" x14ac:dyDescent="0.25">
      <c r="I1180" s="49"/>
      <c r="J1180" s="49"/>
      <c r="K1180" s="49"/>
      <c r="V1180" s="173"/>
      <c r="W1180" s="173"/>
      <c r="X1180" s="173"/>
      <c r="Y1180" s="185"/>
      <c r="AA1180" s="78"/>
    </row>
    <row r="1181" spans="9:27" x14ac:dyDescent="0.25">
      <c r="I1181" s="49"/>
      <c r="J1181" s="49"/>
      <c r="K1181" s="49"/>
      <c r="V1181" s="173"/>
      <c r="W1181" s="173"/>
      <c r="X1181" s="173"/>
      <c r="Y1181" s="185"/>
      <c r="AA1181" s="78"/>
    </row>
    <row r="1182" spans="9:27" x14ac:dyDescent="0.25">
      <c r="I1182" s="49"/>
      <c r="J1182" s="49"/>
      <c r="K1182" s="49"/>
      <c r="V1182" s="173"/>
      <c r="W1182" s="173"/>
      <c r="X1182" s="173"/>
      <c r="Y1182" s="185"/>
      <c r="AA1182" s="78"/>
    </row>
    <row r="1183" spans="9:27" x14ac:dyDescent="0.25">
      <c r="I1183" s="49"/>
      <c r="J1183" s="49"/>
      <c r="K1183" s="49"/>
      <c r="V1183" s="173"/>
      <c r="W1183" s="173"/>
      <c r="X1183" s="173"/>
      <c r="Y1183" s="185"/>
      <c r="AA1183" s="78"/>
    </row>
    <row r="1184" spans="9:27" x14ac:dyDescent="0.25">
      <c r="I1184" s="49"/>
      <c r="J1184" s="49"/>
      <c r="K1184" s="49"/>
      <c r="V1184" s="173"/>
      <c r="W1184" s="173"/>
      <c r="X1184" s="173"/>
      <c r="Y1184" s="185"/>
      <c r="AA1184" s="78"/>
    </row>
    <row r="1185" spans="9:27" x14ac:dyDescent="0.25">
      <c r="I1185" s="49"/>
      <c r="J1185" s="49"/>
      <c r="K1185" s="49"/>
      <c r="V1185" s="173"/>
      <c r="W1185" s="173"/>
      <c r="X1185" s="173"/>
      <c r="Y1185" s="185"/>
      <c r="AA1185" s="78"/>
    </row>
    <row r="1186" spans="9:27" x14ac:dyDescent="0.25">
      <c r="I1186" s="49"/>
      <c r="J1186" s="49"/>
      <c r="K1186" s="49"/>
      <c r="V1186" s="173"/>
      <c r="W1186" s="173"/>
      <c r="X1186" s="173"/>
      <c r="Y1186" s="185"/>
      <c r="AA1186" s="78"/>
    </row>
    <row r="1187" spans="9:27" x14ac:dyDescent="0.25">
      <c r="I1187" s="49"/>
      <c r="J1187" s="49"/>
      <c r="K1187" s="49"/>
      <c r="V1187" s="173"/>
      <c r="W1187" s="173"/>
      <c r="X1187" s="173"/>
      <c r="Y1187" s="185"/>
      <c r="AA1187" s="78"/>
    </row>
    <row r="1188" spans="9:27" x14ac:dyDescent="0.25">
      <c r="I1188" s="49"/>
      <c r="J1188" s="49"/>
      <c r="K1188" s="49"/>
      <c r="V1188" s="173"/>
      <c r="W1188" s="173"/>
      <c r="X1188" s="173"/>
      <c r="Y1188" s="185"/>
      <c r="AA1188" s="78"/>
    </row>
    <row r="1189" spans="9:27" x14ac:dyDescent="0.25">
      <c r="I1189" s="49"/>
      <c r="J1189" s="49"/>
      <c r="K1189" s="49"/>
      <c r="V1189" s="173"/>
      <c r="W1189" s="173"/>
      <c r="X1189" s="173"/>
      <c r="Y1189" s="185"/>
      <c r="AA1189" s="78"/>
    </row>
    <row r="1190" spans="9:27" x14ac:dyDescent="0.25">
      <c r="I1190" s="49"/>
      <c r="J1190" s="49"/>
      <c r="K1190" s="49"/>
      <c r="V1190" s="173"/>
      <c r="W1190" s="173"/>
      <c r="X1190" s="173"/>
      <c r="Y1190" s="185"/>
      <c r="AA1190" s="78"/>
    </row>
    <row r="1191" spans="9:27" x14ac:dyDescent="0.25">
      <c r="I1191" s="49"/>
      <c r="J1191" s="49"/>
      <c r="K1191" s="49"/>
      <c r="V1191" s="173"/>
      <c r="W1191" s="173"/>
      <c r="X1191" s="173"/>
      <c r="Y1191" s="185"/>
      <c r="AA1191" s="78"/>
    </row>
    <row r="1192" spans="9:27" x14ac:dyDescent="0.25">
      <c r="I1192" s="49"/>
      <c r="J1192" s="49"/>
      <c r="K1192" s="49"/>
      <c r="V1192" s="173"/>
      <c r="W1192" s="173"/>
      <c r="X1192" s="173"/>
      <c r="Y1192" s="185"/>
      <c r="AA1192" s="78"/>
    </row>
    <row r="1193" spans="9:27" x14ac:dyDescent="0.25">
      <c r="I1193" s="49"/>
      <c r="J1193" s="49"/>
      <c r="K1193" s="49"/>
      <c r="V1193" s="173"/>
      <c r="W1193" s="173"/>
      <c r="X1193" s="173"/>
      <c r="Y1193" s="185"/>
      <c r="AA1193" s="78"/>
    </row>
    <row r="1194" spans="9:27" x14ac:dyDescent="0.25">
      <c r="I1194" s="49"/>
      <c r="J1194" s="49"/>
      <c r="K1194" s="49"/>
      <c r="V1194" s="173"/>
      <c r="W1194" s="173"/>
      <c r="X1194" s="173"/>
      <c r="Y1194" s="185"/>
      <c r="AA1194" s="78"/>
    </row>
    <row r="1195" spans="9:27" x14ac:dyDescent="0.25">
      <c r="I1195" s="49"/>
      <c r="J1195" s="49"/>
      <c r="K1195" s="49"/>
      <c r="V1195" s="173"/>
      <c r="W1195" s="173"/>
      <c r="X1195" s="173"/>
      <c r="Y1195" s="185"/>
      <c r="AA1195" s="78"/>
    </row>
    <row r="1196" spans="9:27" x14ac:dyDescent="0.25">
      <c r="I1196" s="49"/>
      <c r="J1196" s="49"/>
      <c r="K1196" s="49"/>
      <c r="V1196" s="173"/>
      <c r="W1196" s="173"/>
      <c r="X1196" s="173"/>
      <c r="Y1196" s="185"/>
      <c r="AA1196" s="78"/>
    </row>
    <row r="1197" spans="9:27" x14ac:dyDescent="0.25">
      <c r="I1197" s="49"/>
      <c r="J1197" s="49"/>
      <c r="K1197" s="49"/>
      <c r="V1197" s="173"/>
      <c r="W1197" s="173"/>
      <c r="X1197" s="173"/>
      <c r="Y1197" s="185"/>
      <c r="AA1197" s="78"/>
    </row>
    <row r="1198" spans="9:27" x14ac:dyDescent="0.25">
      <c r="I1198" s="49"/>
      <c r="J1198" s="49"/>
      <c r="K1198" s="49"/>
      <c r="V1198" s="173"/>
      <c r="W1198" s="173"/>
      <c r="X1198" s="173"/>
      <c r="Y1198" s="185"/>
      <c r="AA1198" s="78"/>
    </row>
    <row r="1199" spans="9:27" x14ac:dyDescent="0.25">
      <c r="I1199" s="49"/>
      <c r="J1199" s="49"/>
      <c r="K1199" s="49"/>
      <c r="V1199" s="173"/>
      <c r="W1199" s="173"/>
      <c r="X1199" s="173"/>
      <c r="Y1199" s="185"/>
      <c r="AA1199" s="78"/>
    </row>
    <row r="1200" spans="9:27" x14ac:dyDescent="0.25">
      <c r="I1200" s="49"/>
      <c r="J1200" s="49"/>
      <c r="K1200" s="49"/>
      <c r="V1200" s="173"/>
      <c r="W1200" s="173"/>
      <c r="X1200" s="173"/>
      <c r="Y1200" s="185"/>
      <c r="AA1200" s="78"/>
    </row>
    <row r="1201" spans="9:27" x14ac:dyDescent="0.25">
      <c r="I1201" s="49"/>
      <c r="J1201" s="49"/>
      <c r="K1201" s="49"/>
      <c r="V1201" s="173"/>
      <c r="W1201" s="173"/>
      <c r="X1201" s="173"/>
      <c r="Y1201" s="185"/>
      <c r="AA1201" s="78"/>
    </row>
    <row r="1202" spans="9:27" x14ac:dyDescent="0.25">
      <c r="I1202" s="49"/>
      <c r="J1202" s="49"/>
      <c r="K1202" s="49"/>
      <c r="V1202" s="173"/>
      <c r="W1202" s="173"/>
      <c r="X1202" s="173"/>
      <c r="Y1202" s="185"/>
      <c r="AA1202" s="78"/>
    </row>
    <row r="1203" spans="9:27" x14ac:dyDescent="0.25">
      <c r="I1203" s="49"/>
      <c r="J1203" s="49"/>
      <c r="K1203" s="49"/>
      <c r="V1203" s="173"/>
      <c r="W1203" s="173"/>
      <c r="X1203" s="173"/>
      <c r="Y1203" s="185"/>
      <c r="AA1203" s="78"/>
    </row>
    <row r="1204" spans="9:27" x14ac:dyDescent="0.25">
      <c r="I1204" s="49"/>
      <c r="J1204" s="49"/>
      <c r="K1204" s="49"/>
      <c r="V1204" s="173"/>
      <c r="W1204" s="173"/>
      <c r="X1204" s="173"/>
      <c r="Y1204" s="185"/>
      <c r="AA1204" s="78"/>
    </row>
    <row r="1205" spans="9:27" x14ac:dyDescent="0.25">
      <c r="I1205" s="49"/>
      <c r="J1205" s="49"/>
      <c r="K1205" s="49"/>
      <c r="V1205" s="173"/>
      <c r="W1205" s="173"/>
      <c r="X1205" s="173"/>
      <c r="Y1205" s="185"/>
      <c r="AA1205" s="78"/>
    </row>
    <row r="1206" spans="9:27" x14ac:dyDescent="0.25">
      <c r="I1206" s="49"/>
      <c r="J1206" s="49"/>
      <c r="K1206" s="49"/>
      <c r="V1206" s="173"/>
      <c r="W1206" s="173"/>
      <c r="X1206" s="173"/>
      <c r="Y1206" s="185"/>
      <c r="AA1206" s="78"/>
    </row>
    <row r="1207" spans="9:27" x14ac:dyDescent="0.25">
      <c r="I1207" s="49"/>
      <c r="J1207" s="49"/>
      <c r="K1207" s="49"/>
      <c r="V1207" s="173"/>
      <c r="W1207" s="173"/>
      <c r="X1207" s="173"/>
      <c r="Y1207" s="185"/>
      <c r="AA1207" s="78"/>
    </row>
    <row r="1208" spans="9:27" x14ac:dyDescent="0.25">
      <c r="I1208" s="49"/>
      <c r="J1208" s="49"/>
      <c r="K1208" s="49"/>
      <c r="V1208" s="173"/>
      <c r="W1208" s="173"/>
      <c r="X1208" s="173"/>
      <c r="Y1208" s="185"/>
      <c r="AA1208" s="78"/>
    </row>
    <row r="1209" spans="9:27" x14ac:dyDescent="0.25">
      <c r="I1209" s="49"/>
      <c r="J1209" s="49"/>
      <c r="K1209" s="49"/>
      <c r="V1209" s="173"/>
      <c r="W1209" s="173"/>
      <c r="X1209" s="173"/>
      <c r="Y1209" s="185"/>
      <c r="AA1209" s="78"/>
    </row>
    <row r="1210" spans="9:27" x14ac:dyDescent="0.25">
      <c r="I1210" s="50"/>
      <c r="J1210" s="50"/>
      <c r="K1210" s="50"/>
      <c r="V1210" s="173"/>
      <c r="W1210" s="173"/>
      <c r="X1210" s="173"/>
      <c r="Y1210" s="185"/>
      <c r="AA1210" s="78"/>
    </row>
    <row r="1211" spans="9:27" x14ac:dyDescent="0.25">
      <c r="I1211" s="50"/>
      <c r="J1211" s="50"/>
      <c r="K1211" s="50"/>
      <c r="V1211" s="173"/>
      <c r="W1211" s="173"/>
      <c r="X1211" s="173"/>
      <c r="Y1211" s="185"/>
      <c r="AA1211" s="78"/>
    </row>
    <row r="1212" spans="9:27" x14ac:dyDescent="0.25">
      <c r="I1212" s="50"/>
      <c r="J1212" s="50"/>
      <c r="K1212" s="50"/>
      <c r="V1212" s="173"/>
      <c r="W1212" s="173"/>
      <c r="X1212" s="173"/>
      <c r="Y1212" s="185"/>
      <c r="AA1212" s="78"/>
    </row>
    <row r="1213" spans="9:27" x14ac:dyDescent="0.25">
      <c r="I1213" s="50"/>
      <c r="J1213" s="50"/>
      <c r="K1213" s="50"/>
      <c r="V1213" s="172"/>
      <c r="W1213" s="172"/>
      <c r="X1213" s="172"/>
      <c r="AA1213" s="78"/>
    </row>
    <row r="1214" spans="9:27" x14ac:dyDescent="0.25">
      <c r="I1214" s="50"/>
      <c r="J1214" s="50"/>
      <c r="K1214" s="50"/>
      <c r="V1214" s="172"/>
      <c r="W1214" s="172"/>
      <c r="X1214" s="172"/>
      <c r="AA1214" s="80"/>
    </row>
    <row r="1215" spans="9:27" x14ac:dyDescent="0.25">
      <c r="I1215" s="50"/>
      <c r="J1215" s="50"/>
      <c r="K1215" s="50"/>
      <c r="V1215" s="172"/>
      <c r="W1215" s="172"/>
      <c r="X1215" s="172"/>
      <c r="AA1215" s="80"/>
    </row>
    <row r="1216" spans="9:27" x14ac:dyDescent="0.25">
      <c r="I1216" s="50"/>
      <c r="J1216" s="50"/>
      <c r="K1216" s="50"/>
      <c r="V1216" s="172"/>
      <c r="W1216" s="172"/>
      <c r="X1216" s="172"/>
      <c r="AA1216" s="80"/>
    </row>
    <row r="1217" spans="9:27" x14ac:dyDescent="0.25">
      <c r="I1217" s="50"/>
      <c r="J1217" s="50"/>
      <c r="K1217" s="50"/>
      <c r="V1217" s="172"/>
      <c r="W1217" s="172"/>
      <c r="X1217" s="172"/>
      <c r="AA1217" s="80"/>
    </row>
    <row r="1218" spans="9:27" x14ac:dyDescent="0.25">
      <c r="I1218" s="50"/>
      <c r="J1218" s="50"/>
      <c r="K1218" s="50"/>
      <c r="V1218" s="172"/>
      <c r="W1218" s="172"/>
      <c r="X1218" s="172"/>
      <c r="AA1218" s="80"/>
    </row>
    <row r="1219" spans="9:27" x14ac:dyDescent="0.25">
      <c r="I1219" s="50"/>
      <c r="J1219" s="50"/>
      <c r="K1219" s="50"/>
      <c r="V1219" s="172"/>
      <c r="W1219" s="172"/>
      <c r="X1219" s="172"/>
      <c r="AA1219" s="80"/>
    </row>
    <row r="1220" spans="9:27" x14ac:dyDescent="0.25">
      <c r="I1220" s="50"/>
      <c r="J1220" s="50"/>
      <c r="K1220" s="50"/>
      <c r="V1220" s="172"/>
      <c r="W1220" s="172"/>
      <c r="X1220" s="172"/>
      <c r="AA1220" s="80"/>
    </row>
    <row r="1221" spans="9:27" x14ac:dyDescent="0.25">
      <c r="I1221" s="50"/>
      <c r="J1221" s="50"/>
      <c r="K1221" s="50"/>
      <c r="V1221" s="172"/>
      <c r="W1221" s="172"/>
      <c r="X1221" s="172"/>
      <c r="AA1221" s="80"/>
    </row>
    <row r="1222" spans="9:27" x14ac:dyDescent="0.25">
      <c r="I1222" s="50"/>
      <c r="J1222" s="50"/>
      <c r="K1222" s="50"/>
      <c r="V1222" s="172"/>
      <c r="W1222" s="172"/>
      <c r="X1222" s="172"/>
      <c r="AA1222" s="80"/>
    </row>
    <row r="1223" spans="9:27" x14ac:dyDescent="0.25">
      <c r="I1223" s="50"/>
      <c r="J1223" s="50"/>
      <c r="K1223" s="50"/>
      <c r="V1223" s="172"/>
      <c r="W1223" s="172"/>
      <c r="X1223" s="172"/>
      <c r="AA1223" s="80"/>
    </row>
    <row r="1224" spans="9:27" x14ac:dyDescent="0.25">
      <c r="I1224" s="50"/>
      <c r="J1224" s="50"/>
      <c r="K1224" s="50"/>
      <c r="V1224" s="172"/>
      <c r="W1224" s="172"/>
      <c r="X1224" s="172"/>
      <c r="AA1224" s="80"/>
    </row>
    <row r="1225" spans="9:27" x14ac:dyDescent="0.25">
      <c r="I1225" s="50"/>
      <c r="J1225" s="50"/>
      <c r="K1225" s="50"/>
      <c r="V1225" s="172"/>
      <c r="W1225" s="172"/>
      <c r="X1225" s="172"/>
      <c r="AA1225" s="80"/>
    </row>
    <row r="1226" spans="9:27" x14ac:dyDescent="0.25">
      <c r="I1226" s="50"/>
      <c r="J1226" s="50"/>
      <c r="K1226" s="50"/>
      <c r="V1226" s="172"/>
      <c r="W1226" s="172"/>
      <c r="X1226" s="172"/>
      <c r="AA1226" s="80"/>
    </row>
    <row r="1227" spans="9:27" x14ac:dyDescent="0.25">
      <c r="I1227" s="50"/>
      <c r="J1227" s="50"/>
      <c r="K1227" s="50"/>
      <c r="V1227" s="172"/>
      <c r="W1227" s="172"/>
      <c r="X1227" s="172"/>
      <c r="AA1227" s="80"/>
    </row>
    <row r="1228" spans="9:27" x14ac:dyDescent="0.25">
      <c r="I1228" s="50"/>
      <c r="J1228" s="50"/>
      <c r="K1228" s="50"/>
      <c r="V1228" s="172"/>
      <c r="W1228" s="172"/>
      <c r="X1228" s="172"/>
      <c r="AA1228" s="80"/>
    </row>
    <row r="1229" spans="9:27" x14ac:dyDescent="0.25">
      <c r="I1229" s="50"/>
      <c r="J1229" s="50"/>
      <c r="K1229" s="50"/>
      <c r="V1229" s="172"/>
      <c r="W1229" s="172"/>
      <c r="X1229" s="172"/>
      <c r="AA1229" s="80"/>
    </row>
    <row r="1230" spans="9:27" x14ac:dyDescent="0.25">
      <c r="I1230" s="50"/>
      <c r="J1230" s="50"/>
      <c r="K1230" s="50"/>
      <c r="V1230" s="172"/>
      <c r="W1230" s="172"/>
      <c r="X1230" s="172"/>
      <c r="AA1230" s="80"/>
    </row>
    <row r="1231" spans="9:27" x14ac:dyDescent="0.25">
      <c r="I1231" s="50"/>
      <c r="J1231" s="50"/>
      <c r="K1231" s="50"/>
      <c r="V1231" s="172"/>
      <c r="W1231" s="172"/>
      <c r="X1231" s="172"/>
      <c r="AA1231" s="80"/>
    </row>
    <row r="1232" spans="9:27" x14ac:dyDescent="0.25">
      <c r="I1232" s="50"/>
      <c r="J1232" s="50"/>
      <c r="K1232" s="50"/>
      <c r="V1232" s="172"/>
      <c r="W1232" s="172"/>
      <c r="X1232" s="172"/>
      <c r="AA1232" s="80"/>
    </row>
    <row r="1233" spans="9:27" x14ac:dyDescent="0.25">
      <c r="I1233" s="50"/>
      <c r="J1233" s="50"/>
      <c r="K1233" s="50"/>
      <c r="V1233" s="172"/>
      <c r="W1233" s="172"/>
      <c r="X1233" s="172"/>
      <c r="AA1233" s="80"/>
    </row>
    <row r="1234" spans="9:27" x14ac:dyDescent="0.25">
      <c r="I1234" s="50"/>
      <c r="J1234" s="50"/>
      <c r="K1234" s="50"/>
      <c r="V1234" s="172"/>
      <c r="W1234" s="172"/>
      <c r="X1234" s="172"/>
      <c r="AA1234" s="80"/>
    </row>
    <row r="1235" spans="9:27" x14ac:dyDescent="0.25">
      <c r="I1235" s="50"/>
      <c r="J1235" s="50"/>
      <c r="K1235" s="50"/>
      <c r="V1235" s="172"/>
      <c r="W1235" s="172"/>
      <c r="X1235" s="172"/>
      <c r="AA1235" s="80"/>
    </row>
    <row r="1236" spans="9:27" x14ac:dyDescent="0.25">
      <c r="I1236" s="50"/>
      <c r="J1236" s="50"/>
      <c r="K1236" s="50"/>
      <c r="V1236" s="172"/>
      <c r="W1236" s="172"/>
      <c r="X1236" s="172"/>
      <c r="AA1236" s="80"/>
    </row>
    <row r="1237" spans="9:27" x14ac:dyDescent="0.25">
      <c r="I1237" s="50"/>
      <c r="J1237" s="50"/>
      <c r="K1237" s="50"/>
      <c r="V1237" s="172"/>
      <c r="W1237" s="172"/>
      <c r="X1237" s="172"/>
      <c r="AA1237" s="80"/>
    </row>
    <row r="1238" spans="9:27" x14ac:dyDescent="0.25">
      <c r="I1238" s="50"/>
      <c r="J1238" s="50"/>
      <c r="K1238" s="50"/>
      <c r="V1238" s="172"/>
      <c r="W1238" s="172"/>
      <c r="X1238" s="172"/>
      <c r="AA1238" s="80"/>
    </row>
    <row r="1239" spans="9:27" x14ac:dyDescent="0.25">
      <c r="I1239" s="50"/>
      <c r="J1239" s="50"/>
      <c r="K1239" s="50"/>
      <c r="V1239" s="172"/>
      <c r="W1239" s="172"/>
      <c r="X1239" s="172"/>
      <c r="AA1239" s="80"/>
    </row>
    <row r="1240" spans="9:27" x14ac:dyDescent="0.25">
      <c r="I1240" s="50"/>
      <c r="J1240" s="50"/>
      <c r="K1240" s="50"/>
      <c r="V1240" s="172"/>
      <c r="W1240" s="172"/>
      <c r="X1240" s="172"/>
      <c r="AA1240" s="80"/>
    </row>
    <row r="1241" spans="9:27" x14ac:dyDescent="0.25">
      <c r="I1241" s="50"/>
      <c r="J1241" s="50"/>
      <c r="K1241" s="50"/>
      <c r="V1241" s="172"/>
      <c r="W1241" s="172"/>
      <c r="X1241" s="172"/>
      <c r="AA1241" s="80"/>
    </row>
    <row r="1242" spans="9:27" x14ac:dyDescent="0.25">
      <c r="I1242" s="50"/>
      <c r="J1242" s="50"/>
      <c r="K1242" s="50"/>
      <c r="V1242" s="172"/>
      <c r="W1242" s="172"/>
      <c r="X1242" s="172"/>
      <c r="AA1242" s="80"/>
    </row>
    <row r="1243" spans="9:27" x14ac:dyDescent="0.25">
      <c r="I1243" s="50"/>
      <c r="J1243" s="50"/>
      <c r="K1243" s="50"/>
      <c r="V1243" s="172"/>
      <c r="W1243" s="172"/>
      <c r="X1243" s="172"/>
      <c r="AA1243" s="80"/>
    </row>
    <row r="1244" spans="9:27" x14ac:dyDescent="0.25">
      <c r="I1244" s="50"/>
      <c r="J1244" s="50"/>
      <c r="K1244" s="50"/>
      <c r="V1244" s="172"/>
      <c r="W1244" s="172"/>
      <c r="X1244" s="172"/>
      <c r="AA1244" s="80"/>
    </row>
    <row r="1245" spans="9:27" x14ac:dyDescent="0.25">
      <c r="I1245" s="50"/>
      <c r="J1245" s="50"/>
      <c r="K1245" s="50"/>
      <c r="V1245" s="172"/>
      <c r="W1245" s="172"/>
      <c r="X1245" s="172"/>
      <c r="AA1245" s="80"/>
    </row>
    <row r="1246" spans="9:27" x14ac:dyDescent="0.25">
      <c r="I1246" s="50"/>
      <c r="J1246" s="50"/>
      <c r="K1246" s="50"/>
      <c r="V1246" s="172"/>
      <c r="W1246" s="172"/>
      <c r="X1246" s="172"/>
      <c r="AA1246" s="80"/>
    </row>
    <row r="1247" spans="9:27" x14ac:dyDescent="0.25">
      <c r="I1247" s="50"/>
      <c r="J1247" s="50"/>
      <c r="K1247" s="50"/>
      <c r="V1247" s="172"/>
      <c r="W1247" s="172"/>
      <c r="X1247" s="172"/>
      <c r="AA1247" s="80"/>
    </row>
    <row r="1248" spans="9:27" x14ac:dyDescent="0.25">
      <c r="I1248" s="50"/>
      <c r="J1248" s="50"/>
      <c r="K1248" s="50"/>
      <c r="V1248" s="172"/>
      <c r="W1248" s="172"/>
      <c r="X1248" s="172"/>
      <c r="AA1248" s="80"/>
    </row>
    <row r="1249" spans="9:27" x14ac:dyDescent="0.25">
      <c r="I1249" s="50"/>
      <c r="J1249" s="50"/>
      <c r="K1249" s="50"/>
      <c r="V1249" s="172"/>
      <c r="W1249" s="172"/>
      <c r="X1249" s="172"/>
      <c r="AA1249" s="80"/>
    </row>
    <row r="1250" spans="9:27" x14ac:dyDescent="0.25">
      <c r="I1250" s="50"/>
      <c r="J1250" s="50"/>
      <c r="K1250" s="50"/>
      <c r="V1250" s="172"/>
      <c r="W1250" s="172"/>
      <c r="X1250" s="172"/>
      <c r="AA1250" s="80"/>
    </row>
    <row r="1251" spans="9:27" x14ac:dyDescent="0.25">
      <c r="I1251" s="50"/>
      <c r="J1251" s="50"/>
      <c r="K1251" s="50"/>
      <c r="V1251" s="172"/>
      <c r="W1251" s="172"/>
      <c r="X1251" s="172"/>
      <c r="AA1251" s="80"/>
    </row>
    <row r="1252" spans="9:27" x14ac:dyDescent="0.25">
      <c r="I1252" s="50"/>
      <c r="J1252" s="50"/>
      <c r="K1252" s="50"/>
      <c r="V1252" s="172"/>
      <c r="W1252" s="172"/>
      <c r="X1252" s="172"/>
      <c r="AA1252" s="80"/>
    </row>
    <row r="1253" spans="9:27" x14ac:dyDescent="0.25">
      <c r="I1253" s="50"/>
      <c r="J1253" s="50"/>
      <c r="K1253" s="50"/>
      <c r="V1253" s="172"/>
      <c r="W1253" s="172"/>
      <c r="X1253" s="172"/>
      <c r="AA1253" s="80"/>
    </row>
    <row r="1254" spans="9:27" x14ac:dyDescent="0.25">
      <c r="I1254" s="50"/>
      <c r="J1254" s="50"/>
      <c r="K1254" s="50"/>
      <c r="V1254" s="172"/>
      <c r="W1254" s="172"/>
      <c r="X1254" s="172"/>
      <c r="AA1254" s="80"/>
    </row>
    <row r="1255" spans="9:27" x14ac:dyDescent="0.25">
      <c r="I1255" s="50"/>
      <c r="J1255" s="50"/>
      <c r="K1255" s="50"/>
      <c r="V1255" s="172"/>
      <c r="W1255" s="172"/>
      <c r="X1255" s="172"/>
      <c r="AA1255" s="80"/>
    </row>
    <row r="1256" spans="9:27" x14ac:dyDescent="0.25">
      <c r="I1256" s="50"/>
      <c r="J1256" s="50"/>
      <c r="K1256" s="50"/>
      <c r="V1256" s="172"/>
      <c r="W1256" s="172"/>
      <c r="X1256" s="172"/>
      <c r="AA1256" s="80"/>
    </row>
    <row r="1257" spans="9:27" x14ac:dyDescent="0.25">
      <c r="I1257" s="50"/>
      <c r="J1257" s="50"/>
      <c r="K1257" s="50"/>
      <c r="V1257" s="172"/>
      <c r="W1257" s="172"/>
      <c r="X1257" s="172"/>
      <c r="AA1257" s="80"/>
    </row>
    <row r="1258" spans="9:27" x14ac:dyDescent="0.25">
      <c r="I1258" s="50"/>
      <c r="J1258" s="50"/>
      <c r="K1258" s="50"/>
      <c r="V1258" s="172"/>
      <c r="W1258" s="172"/>
      <c r="X1258" s="172"/>
      <c r="AA1258" s="80"/>
    </row>
    <row r="1259" spans="9:27" x14ac:dyDescent="0.25">
      <c r="I1259" s="50"/>
      <c r="J1259" s="50"/>
      <c r="K1259" s="50"/>
      <c r="V1259" s="172"/>
      <c r="W1259" s="172"/>
      <c r="X1259" s="172"/>
      <c r="AA1259" s="80"/>
    </row>
    <row r="1260" spans="9:27" x14ac:dyDescent="0.25">
      <c r="I1260" s="50"/>
      <c r="J1260" s="50"/>
      <c r="K1260" s="50"/>
      <c r="V1260" s="172"/>
      <c r="W1260" s="172"/>
      <c r="X1260" s="172"/>
      <c r="AA1260" s="80"/>
    </row>
    <row r="1261" spans="9:27" x14ac:dyDescent="0.25">
      <c r="I1261" s="50"/>
      <c r="J1261" s="50"/>
      <c r="K1261" s="50"/>
      <c r="V1261" s="172"/>
      <c r="W1261" s="172"/>
      <c r="X1261" s="172"/>
      <c r="AA1261" s="80"/>
    </row>
    <row r="1262" spans="9:27" x14ac:dyDescent="0.25">
      <c r="I1262" s="50"/>
      <c r="J1262" s="50"/>
      <c r="K1262" s="50"/>
      <c r="V1262" s="172"/>
      <c r="W1262" s="172"/>
      <c r="X1262" s="172"/>
      <c r="AA1262" s="80"/>
    </row>
    <row r="1263" spans="9:27" x14ac:dyDescent="0.25">
      <c r="I1263" s="50"/>
      <c r="J1263" s="50"/>
      <c r="K1263" s="50"/>
      <c r="V1263" s="172"/>
      <c r="W1263" s="172"/>
      <c r="X1263" s="172"/>
      <c r="AA1263" s="80"/>
    </row>
    <row r="1264" spans="9:27" x14ac:dyDescent="0.25">
      <c r="I1264" s="50"/>
      <c r="J1264" s="50"/>
      <c r="K1264" s="50"/>
      <c r="V1264" s="172"/>
      <c r="W1264" s="172"/>
      <c r="X1264" s="172"/>
      <c r="AA1264" s="80"/>
    </row>
    <row r="1265" spans="9:27" x14ac:dyDescent="0.25">
      <c r="I1265" s="50"/>
      <c r="J1265" s="50"/>
      <c r="K1265" s="50"/>
      <c r="V1265" s="172"/>
      <c r="W1265" s="172"/>
      <c r="X1265" s="172"/>
      <c r="AA1265" s="80"/>
    </row>
    <row r="1266" spans="9:27" x14ac:dyDescent="0.25">
      <c r="I1266" s="50"/>
      <c r="J1266" s="50"/>
      <c r="K1266" s="50"/>
      <c r="V1266" s="172"/>
      <c r="W1266" s="172"/>
      <c r="X1266" s="172"/>
      <c r="AA1266" s="80"/>
    </row>
    <row r="1267" spans="9:27" x14ac:dyDescent="0.25">
      <c r="I1267" s="50"/>
      <c r="J1267" s="50"/>
      <c r="K1267" s="50"/>
      <c r="V1267" s="172"/>
      <c r="W1267" s="172"/>
      <c r="X1267" s="172"/>
      <c r="AA1267" s="80"/>
    </row>
    <row r="1268" spans="9:27" x14ac:dyDescent="0.25">
      <c r="I1268" s="50"/>
      <c r="J1268" s="50"/>
      <c r="K1268" s="50"/>
      <c r="V1268" s="172"/>
      <c r="W1268" s="172"/>
      <c r="X1268" s="172"/>
      <c r="AA1268" s="80"/>
    </row>
    <row r="1269" spans="9:27" x14ac:dyDescent="0.25">
      <c r="I1269" s="50"/>
      <c r="J1269" s="50"/>
      <c r="K1269" s="50"/>
      <c r="V1269" s="172"/>
      <c r="W1269" s="172"/>
      <c r="X1269" s="172"/>
      <c r="AA1269" s="80"/>
    </row>
    <row r="1270" spans="9:27" x14ac:dyDescent="0.25">
      <c r="I1270" s="50"/>
      <c r="J1270" s="50"/>
      <c r="K1270" s="50"/>
      <c r="V1270" s="172"/>
      <c r="W1270" s="172"/>
      <c r="X1270" s="172"/>
      <c r="AA1270" s="80"/>
    </row>
    <row r="1271" spans="9:27" x14ac:dyDescent="0.25">
      <c r="I1271" s="50"/>
      <c r="J1271" s="50"/>
      <c r="K1271" s="50"/>
      <c r="V1271" s="172"/>
      <c r="W1271" s="172"/>
      <c r="X1271" s="172"/>
      <c r="AA1271" s="80"/>
    </row>
    <row r="1272" spans="9:27" x14ac:dyDescent="0.25">
      <c r="I1272" s="50"/>
      <c r="J1272" s="50"/>
      <c r="K1272" s="50"/>
      <c r="V1272" s="172"/>
      <c r="W1272" s="172"/>
      <c r="X1272" s="172"/>
      <c r="AA1272" s="80"/>
    </row>
    <row r="1273" spans="9:27" x14ac:dyDescent="0.25">
      <c r="I1273" s="50"/>
      <c r="J1273" s="50"/>
      <c r="K1273" s="50"/>
      <c r="V1273" s="172"/>
      <c r="W1273" s="172"/>
      <c r="X1273" s="172"/>
      <c r="AA1273" s="80"/>
    </row>
    <row r="1274" spans="9:27" x14ac:dyDescent="0.25">
      <c r="I1274" s="50"/>
      <c r="J1274" s="50"/>
      <c r="K1274" s="50"/>
      <c r="V1274" s="172"/>
      <c r="W1274" s="172"/>
      <c r="X1274" s="172"/>
      <c r="AA1274" s="80"/>
    </row>
    <row r="1275" spans="9:27" x14ac:dyDescent="0.25">
      <c r="I1275" s="50"/>
      <c r="J1275" s="50"/>
      <c r="K1275" s="50"/>
      <c r="V1275" s="172"/>
      <c r="W1275" s="172"/>
      <c r="X1275" s="172"/>
      <c r="AA1275" s="80"/>
    </row>
    <row r="1276" spans="9:27" x14ac:dyDescent="0.25">
      <c r="I1276" s="50"/>
      <c r="J1276" s="50"/>
      <c r="K1276" s="50"/>
      <c r="V1276" s="172"/>
      <c r="W1276" s="172"/>
      <c r="X1276" s="172"/>
      <c r="AA1276" s="80"/>
    </row>
    <row r="1277" spans="9:27" x14ac:dyDescent="0.25">
      <c r="I1277" s="50"/>
      <c r="J1277" s="50"/>
      <c r="K1277" s="50"/>
      <c r="V1277" s="172"/>
      <c r="W1277" s="172"/>
      <c r="X1277" s="172"/>
      <c r="AA1277" s="80"/>
    </row>
    <row r="1278" spans="9:27" x14ac:dyDescent="0.25">
      <c r="I1278" s="50"/>
      <c r="J1278" s="50"/>
      <c r="K1278" s="50"/>
      <c r="V1278" s="172"/>
      <c r="W1278" s="172"/>
      <c r="X1278" s="172"/>
      <c r="AA1278" s="80"/>
    </row>
    <row r="1279" spans="9:27" x14ac:dyDescent="0.25">
      <c r="I1279" s="50"/>
      <c r="J1279" s="50"/>
      <c r="K1279" s="50"/>
      <c r="V1279" s="172"/>
      <c r="W1279" s="172"/>
      <c r="X1279" s="172"/>
      <c r="AA1279" s="80"/>
    </row>
    <row r="1280" spans="9:27" x14ac:dyDescent="0.25">
      <c r="I1280" s="50"/>
      <c r="J1280" s="50"/>
      <c r="K1280" s="50"/>
      <c r="V1280" s="172"/>
      <c r="W1280" s="172"/>
      <c r="X1280" s="172"/>
      <c r="AA1280" s="80"/>
    </row>
    <row r="1281" spans="9:27" x14ac:dyDescent="0.25">
      <c r="I1281" s="50"/>
      <c r="J1281" s="50"/>
      <c r="K1281" s="50"/>
      <c r="V1281" s="172"/>
      <c r="W1281" s="172"/>
      <c r="X1281" s="172"/>
      <c r="AA1281" s="80"/>
    </row>
    <row r="1282" spans="9:27" x14ac:dyDescent="0.25">
      <c r="I1282" s="50"/>
      <c r="J1282" s="50"/>
      <c r="K1282" s="50"/>
      <c r="V1282" s="172"/>
      <c r="W1282" s="172"/>
      <c r="X1282" s="172"/>
      <c r="AA1282" s="80"/>
    </row>
    <row r="1283" spans="9:27" x14ac:dyDescent="0.25">
      <c r="I1283" s="50"/>
      <c r="J1283" s="50"/>
      <c r="K1283" s="50"/>
      <c r="V1283" s="172"/>
      <c r="W1283" s="172"/>
      <c r="X1283" s="172"/>
      <c r="AA1283" s="80"/>
    </row>
    <row r="1284" spans="9:27" x14ac:dyDescent="0.25">
      <c r="I1284" s="50"/>
      <c r="J1284" s="50"/>
      <c r="K1284" s="50"/>
      <c r="V1284" s="172"/>
      <c r="W1284" s="172"/>
      <c r="X1284" s="172"/>
      <c r="AA1284" s="80"/>
    </row>
    <row r="1285" spans="9:27" x14ac:dyDescent="0.25">
      <c r="I1285" s="50"/>
      <c r="J1285" s="50"/>
      <c r="K1285" s="50"/>
      <c r="V1285" s="172"/>
      <c r="W1285" s="172"/>
      <c r="X1285" s="172"/>
      <c r="AA1285" s="80"/>
    </row>
    <row r="1286" spans="9:27" x14ac:dyDescent="0.25">
      <c r="I1286" s="50"/>
      <c r="J1286" s="50"/>
      <c r="K1286" s="50"/>
      <c r="V1286" s="172"/>
      <c r="W1286" s="172"/>
      <c r="X1286" s="172"/>
      <c r="AA1286" s="80"/>
    </row>
    <row r="1287" spans="9:27" x14ac:dyDescent="0.25">
      <c r="I1287" s="50"/>
      <c r="J1287" s="50"/>
      <c r="K1287" s="50"/>
      <c r="V1287" s="172"/>
      <c r="W1287" s="172"/>
      <c r="X1287" s="172"/>
      <c r="AA1287" s="80"/>
    </row>
    <row r="1288" spans="9:27" x14ac:dyDescent="0.25">
      <c r="I1288" s="50"/>
      <c r="J1288" s="50"/>
      <c r="K1288" s="50"/>
      <c r="V1288" s="172"/>
      <c r="W1288" s="172"/>
      <c r="X1288" s="172"/>
      <c r="AA1288" s="80"/>
    </row>
    <row r="1289" spans="9:27" x14ac:dyDescent="0.25">
      <c r="I1289" s="50"/>
      <c r="J1289" s="50"/>
      <c r="K1289" s="50"/>
      <c r="V1289" s="172"/>
      <c r="W1289" s="172"/>
      <c r="X1289" s="172"/>
      <c r="AA1289" s="80"/>
    </row>
    <row r="1290" spans="9:27" x14ac:dyDescent="0.25">
      <c r="I1290" s="50"/>
      <c r="J1290" s="50"/>
      <c r="K1290" s="50"/>
      <c r="V1290" s="172"/>
      <c r="W1290" s="172"/>
      <c r="X1290" s="172"/>
      <c r="AA1290" s="80"/>
    </row>
    <row r="1291" spans="9:27" x14ac:dyDescent="0.25">
      <c r="I1291" s="50"/>
      <c r="J1291" s="50"/>
      <c r="K1291" s="50"/>
      <c r="V1291" s="172"/>
      <c r="W1291" s="172"/>
      <c r="X1291" s="172"/>
      <c r="AA1291" s="80"/>
    </row>
    <row r="1292" spans="9:27" x14ac:dyDescent="0.25">
      <c r="I1292" s="50"/>
      <c r="J1292" s="50"/>
      <c r="K1292" s="50"/>
      <c r="V1292" s="172"/>
      <c r="W1292" s="172"/>
      <c r="X1292" s="172"/>
      <c r="AA1292" s="80"/>
    </row>
    <row r="1293" spans="9:27" x14ac:dyDescent="0.25">
      <c r="I1293" s="50"/>
      <c r="J1293" s="50"/>
      <c r="K1293" s="50"/>
      <c r="V1293" s="172"/>
      <c r="W1293" s="172"/>
      <c r="X1293" s="172"/>
      <c r="AA1293" s="80"/>
    </row>
    <row r="1294" spans="9:27" x14ac:dyDescent="0.25">
      <c r="I1294" s="50"/>
      <c r="J1294" s="50"/>
      <c r="K1294" s="50"/>
      <c r="V1294" s="172"/>
      <c r="W1294" s="172"/>
      <c r="X1294" s="172"/>
      <c r="AA1294" s="80"/>
    </row>
    <row r="1295" spans="9:27" x14ac:dyDescent="0.25">
      <c r="I1295" s="50"/>
      <c r="J1295" s="50"/>
      <c r="K1295" s="50"/>
      <c r="V1295" s="172"/>
      <c r="W1295" s="172"/>
      <c r="X1295" s="172"/>
      <c r="AA1295" s="80"/>
    </row>
    <row r="1296" spans="9:27" x14ac:dyDescent="0.25">
      <c r="I1296" s="50"/>
      <c r="J1296" s="50"/>
      <c r="K1296" s="50"/>
      <c r="V1296" s="172"/>
      <c r="W1296" s="172"/>
      <c r="X1296" s="172"/>
      <c r="AA1296" s="80"/>
    </row>
    <row r="1297" spans="9:27" x14ac:dyDescent="0.25">
      <c r="I1297" s="50"/>
      <c r="J1297" s="50"/>
      <c r="K1297" s="50"/>
      <c r="V1297" s="172"/>
      <c r="W1297" s="172"/>
      <c r="X1297" s="172"/>
      <c r="AA1297" s="80"/>
    </row>
    <row r="1298" spans="9:27" x14ac:dyDescent="0.25">
      <c r="I1298" s="50"/>
      <c r="J1298" s="50"/>
      <c r="K1298" s="50"/>
      <c r="V1298" s="172"/>
      <c r="W1298" s="172"/>
      <c r="X1298" s="172"/>
      <c r="AA1298" s="80"/>
    </row>
    <row r="1299" spans="9:27" x14ac:dyDescent="0.25">
      <c r="I1299" s="50"/>
      <c r="J1299" s="50"/>
      <c r="K1299" s="50"/>
      <c r="V1299" s="172"/>
      <c r="W1299" s="172"/>
      <c r="X1299" s="172"/>
      <c r="AA1299" s="80"/>
    </row>
    <row r="1300" spans="9:27" x14ac:dyDescent="0.25">
      <c r="I1300" s="50"/>
      <c r="J1300" s="50"/>
      <c r="K1300" s="50"/>
      <c r="V1300" s="172"/>
      <c r="W1300" s="172"/>
      <c r="X1300" s="172"/>
      <c r="AA1300" s="80"/>
    </row>
    <row r="1301" spans="9:27" x14ac:dyDescent="0.25">
      <c r="I1301" s="50"/>
      <c r="J1301" s="50"/>
      <c r="K1301" s="50"/>
      <c r="V1301" s="172"/>
      <c r="W1301" s="172"/>
      <c r="X1301" s="172"/>
      <c r="AA1301" s="80"/>
    </row>
    <row r="1302" spans="9:27" x14ac:dyDescent="0.25">
      <c r="I1302" s="50"/>
      <c r="J1302" s="50"/>
      <c r="K1302" s="50"/>
      <c r="V1302" s="172"/>
      <c r="W1302" s="172"/>
      <c r="X1302" s="172"/>
      <c r="AA1302" s="80"/>
    </row>
    <row r="1303" spans="9:27" x14ac:dyDescent="0.25">
      <c r="I1303" s="50"/>
      <c r="J1303" s="50"/>
      <c r="K1303" s="50"/>
      <c r="V1303" s="172"/>
      <c r="W1303" s="172"/>
      <c r="X1303" s="172"/>
      <c r="AA1303" s="80"/>
    </row>
    <row r="1304" spans="9:27" x14ac:dyDescent="0.25">
      <c r="I1304" s="50"/>
      <c r="J1304" s="50"/>
      <c r="K1304" s="50"/>
      <c r="V1304" s="172"/>
      <c r="W1304" s="172"/>
      <c r="X1304" s="172"/>
      <c r="AA1304" s="80"/>
    </row>
    <row r="1305" spans="9:27" x14ac:dyDescent="0.25">
      <c r="I1305" s="50"/>
      <c r="J1305" s="50"/>
      <c r="K1305" s="50"/>
      <c r="V1305" s="172"/>
      <c r="W1305" s="172"/>
      <c r="X1305" s="172"/>
      <c r="AA1305" s="80"/>
    </row>
    <row r="1306" spans="9:27" x14ac:dyDescent="0.25">
      <c r="I1306" s="50"/>
      <c r="J1306" s="50"/>
      <c r="K1306" s="50"/>
      <c r="V1306" s="172"/>
      <c r="W1306" s="172"/>
      <c r="X1306" s="172"/>
      <c r="AA1306" s="80"/>
    </row>
    <row r="1307" spans="9:27" x14ac:dyDescent="0.25">
      <c r="I1307" s="50"/>
      <c r="J1307" s="50"/>
      <c r="K1307" s="50"/>
      <c r="V1307" s="172"/>
      <c r="W1307" s="172"/>
      <c r="X1307" s="172"/>
      <c r="AA1307" s="80"/>
    </row>
    <row r="1308" spans="9:27" x14ac:dyDescent="0.25">
      <c r="I1308" s="50"/>
      <c r="J1308" s="50"/>
      <c r="K1308" s="50"/>
      <c r="V1308" s="172"/>
      <c r="W1308" s="172"/>
      <c r="X1308" s="172"/>
      <c r="AA1308" s="80"/>
    </row>
    <row r="1309" spans="9:27" x14ac:dyDescent="0.25">
      <c r="I1309" s="50"/>
      <c r="J1309" s="50"/>
      <c r="K1309" s="50"/>
      <c r="V1309" s="172"/>
      <c r="W1309" s="172"/>
      <c r="X1309" s="172"/>
      <c r="AA1309" s="80"/>
    </row>
    <row r="1310" spans="9:27" x14ac:dyDescent="0.25">
      <c r="I1310" s="50"/>
      <c r="J1310" s="50"/>
      <c r="K1310" s="50"/>
      <c r="V1310" s="172"/>
      <c r="W1310" s="172"/>
      <c r="X1310" s="172"/>
      <c r="AA1310" s="80"/>
    </row>
    <row r="1311" spans="9:27" x14ac:dyDescent="0.25">
      <c r="I1311" s="50"/>
      <c r="J1311" s="50"/>
      <c r="K1311" s="50"/>
      <c r="V1311" s="172"/>
      <c r="W1311" s="172"/>
      <c r="X1311" s="172"/>
      <c r="AA1311" s="80"/>
    </row>
    <row r="1312" spans="9:27" x14ac:dyDescent="0.25">
      <c r="I1312" s="50"/>
      <c r="J1312" s="50"/>
      <c r="K1312" s="50"/>
      <c r="V1312" s="172"/>
      <c r="W1312" s="172"/>
      <c r="X1312" s="172"/>
      <c r="AA1312" s="80"/>
    </row>
    <row r="1313" spans="9:27" x14ac:dyDescent="0.25">
      <c r="I1313" s="50"/>
      <c r="J1313" s="50"/>
      <c r="K1313" s="50"/>
      <c r="V1313" s="172"/>
      <c r="W1313" s="172"/>
      <c r="X1313" s="172"/>
      <c r="AA1313" s="80"/>
    </row>
    <row r="1314" spans="9:27" x14ac:dyDescent="0.25">
      <c r="I1314" s="50"/>
      <c r="J1314" s="50"/>
      <c r="K1314" s="50"/>
      <c r="V1314" s="172"/>
      <c r="W1314" s="172"/>
      <c r="X1314" s="172"/>
      <c r="AA1314" s="80"/>
    </row>
    <row r="1315" spans="9:27" x14ac:dyDescent="0.25">
      <c r="I1315" s="50"/>
      <c r="J1315" s="50"/>
      <c r="K1315" s="50"/>
      <c r="V1315" s="172"/>
      <c r="W1315" s="172"/>
      <c r="X1315" s="172"/>
      <c r="AA1315" s="80"/>
    </row>
    <row r="1316" spans="9:27" x14ac:dyDescent="0.25">
      <c r="I1316" s="50"/>
      <c r="J1316" s="50"/>
      <c r="K1316" s="50"/>
      <c r="V1316" s="172"/>
      <c r="W1316" s="172"/>
      <c r="X1316" s="172"/>
      <c r="AA1316" s="80"/>
    </row>
    <row r="1317" spans="9:27" x14ac:dyDescent="0.25">
      <c r="I1317" s="50"/>
      <c r="J1317" s="50"/>
      <c r="K1317" s="50"/>
      <c r="V1317" s="172"/>
      <c r="W1317" s="172"/>
      <c r="X1317" s="172"/>
      <c r="AA1317" s="80"/>
    </row>
    <row r="1318" spans="9:27" x14ac:dyDescent="0.25">
      <c r="I1318" s="50"/>
      <c r="J1318" s="50"/>
      <c r="K1318" s="50"/>
      <c r="V1318" s="172"/>
      <c r="W1318" s="172"/>
      <c r="X1318" s="172"/>
      <c r="AA1318" s="80"/>
    </row>
    <row r="1319" spans="9:27" x14ac:dyDescent="0.25">
      <c r="I1319" s="50"/>
      <c r="J1319" s="50"/>
      <c r="K1319" s="50"/>
      <c r="V1319" s="172"/>
      <c r="W1319" s="172"/>
      <c r="X1319" s="172"/>
      <c r="AA1319" s="80"/>
    </row>
    <row r="1320" spans="9:27" x14ac:dyDescent="0.25">
      <c r="I1320" s="50"/>
      <c r="J1320" s="50"/>
      <c r="K1320" s="50"/>
      <c r="V1320" s="172"/>
      <c r="W1320" s="172"/>
      <c r="X1320" s="172"/>
      <c r="AA1320" s="80"/>
    </row>
    <row r="1321" spans="9:27" x14ac:dyDescent="0.25">
      <c r="I1321" s="50"/>
      <c r="J1321" s="50"/>
      <c r="K1321" s="50"/>
      <c r="V1321" s="172"/>
      <c r="W1321" s="172"/>
      <c r="X1321" s="172"/>
      <c r="AA1321" s="80"/>
    </row>
    <row r="1322" spans="9:27" x14ac:dyDescent="0.25">
      <c r="I1322" s="50"/>
      <c r="J1322" s="50"/>
      <c r="K1322" s="50"/>
      <c r="V1322" s="172"/>
      <c r="W1322" s="172"/>
      <c r="X1322" s="172"/>
      <c r="AA1322" s="80"/>
    </row>
    <row r="1323" spans="9:27" x14ac:dyDescent="0.25">
      <c r="I1323" s="50"/>
      <c r="J1323" s="50"/>
      <c r="K1323" s="50"/>
      <c r="V1323" s="172"/>
      <c r="W1323" s="172"/>
      <c r="X1323" s="172"/>
      <c r="AA1323" s="80"/>
    </row>
    <row r="1324" spans="9:27" x14ac:dyDescent="0.25">
      <c r="I1324" s="50"/>
      <c r="J1324" s="50"/>
      <c r="K1324" s="50"/>
      <c r="V1324" s="172"/>
      <c r="W1324" s="172"/>
      <c r="X1324" s="172"/>
      <c r="AA1324" s="80"/>
    </row>
    <row r="1325" spans="9:27" x14ac:dyDescent="0.25">
      <c r="I1325" s="50"/>
      <c r="J1325" s="50"/>
      <c r="K1325" s="50"/>
      <c r="V1325" s="172"/>
      <c r="W1325" s="172"/>
      <c r="X1325" s="172"/>
      <c r="AA1325" s="80"/>
    </row>
    <row r="1326" spans="9:27" x14ac:dyDescent="0.25">
      <c r="I1326" s="50"/>
      <c r="J1326" s="50"/>
      <c r="K1326" s="50"/>
      <c r="V1326" s="172"/>
      <c r="W1326" s="172"/>
      <c r="X1326" s="172"/>
      <c r="AA1326" s="80"/>
    </row>
    <row r="1327" spans="9:27" x14ac:dyDescent="0.25">
      <c r="I1327" s="50"/>
      <c r="J1327" s="50"/>
      <c r="K1327" s="50"/>
      <c r="V1327" s="172"/>
      <c r="W1327" s="172"/>
      <c r="X1327" s="172"/>
      <c r="AA1327" s="80"/>
    </row>
    <row r="1328" spans="9:27" x14ac:dyDescent="0.25">
      <c r="I1328" s="50"/>
      <c r="J1328" s="50"/>
      <c r="K1328" s="50"/>
      <c r="V1328" s="172"/>
      <c r="W1328" s="172"/>
      <c r="X1328" s="172"/>
      <c r="AA1328" s="80"/>
    </row>
    <row r="1329" spans="9:27" x14ac:dyDescent="0.25">
      <c r="I1329" s="50"/>
      <c r="J1329" s="50"/>
      <c r="K1329" s="50"/>
      <c r="V1329" s="172"/>
      <c r="W1329" s="172"/>
      <c r="X1329" s="172"/>
      <c r="AA1329" s="80"/>
    </row>
    <row r="1330" spans="9:27" x14ac:dyDescent="0.25">
      <c r="I1330" s="50"/>
      <c r="J1330" s="50"/>
      <c r="K1330" s="50"/>
      <c r="V1330" s="172"/>
      <c r="W1330" s="172"/>
      <c r="X1330" s="172"/>
      <c r="AA1330" s="80"/>
    </row>
    <row r="1331" spans="9:27" x14ac:dyDescent="0.25">
      <c r="I1331" s="50"/>
      <c r="J1331" s="50"/>
      <c r="K1331" s="50"/>
      <c r="V1331" s="172"/>
      <c r="W1331" s="172"/>
      <c r="X1331" s="172"/>
      <c r="AA1331" s="80"/>
    </row>
    <row r="1332" spans="9:27" x14ac:dyDescent="0.25">
      <c r="I1332" s="50"/>
      <c r="J1332" s="50"/>
      <c r="K1332" s="50"/>
      <c r="V1332" s="172"/>
      <c r="W1332" s="172"/>
      <c r="X1332" s="172"/>
      <c r="AA1332" s="80"/>
    </row>
    <row r="1333" spans="9:27" x14ac:dyDescent="0.25">
      <c r="I1333" s="50"/>
      <c r="J1333" s="50"/>
      <c r="K1333" s="50"/>
      <c r="V1333" s="172"/>
      <c r="W1333" s="172"/>
      <c r="X1333" s="172"/>
      <c r="AA1333" s="80"/>
    </row>
    <row r="1334" spans="9:27" x14ac:dyDescent="0.25">
      <c r="I1334" s="50"/>
      <c r="J1334" s="50"/>
      <c r="K1334" s="50"/>
      <c r="V1334" s="172"/>
      <c r="W1334" s="172"/>
      <c r="X1334" s="172"/>
      <c r="AA1334" s="80"/>
    </row>
    <row r="1335" spans="9:27" x14ac:dyDescent="0.25">
      <c r="I1335" s="50"/>
      <c r="J1335" s="50"/>
      <c r="K1335" s="50"/>
      <c r="V1335" s="172"/>
      <c r="W1335" s="172"/>
      <c r="X1335" s="172"/>
      <c r="AA1335" s="80"/>
    </row>
    <row r="1336" spans="9:27" x14ac:dyDescent="0.25">
      <c r="I1336" s="50"/>
      <c r="J1336" s="50"/>
      <c r="K1336" s="50"/>
      <c r="V1336" s="172"/>
      <c r="W1336" s="172"/>
      <c r="X1336" s="172"/>
      <c r="AA1336" s="80"/>
    </row>
    <row r="1337" spans="9:27" x14ac:dyDescent="0.25">
      <c r="I1337" s="50"/>
      <c r="J1337" s="50"/>
      <c r="K1337" s="50"/>
      <c r="V1337" s="172"/>
      <c r="W1337" s="172"/>
      <c r="X1337" s="172"/>
      <c r="AA1337" s="80"/>
    </row>
    <row r="1338" spans="9:27" x14ac:dyDescent="0.25">
      <c r="I1338" s="50"/>
      <c r="J1338" s="50"/>
      <c r="K1338" s="50"/>
      <c r="V1338" s="172"/>
      <c r="W1338" s="172"/>
      <c r="X1338" s="172"/>
      <c r="AA1338" s="80"/>
    </row>
    <row r="1339" spans="9:27" x14ac:dyDescent="0.25">
      <c r="I1339" s="50"/>
      <c r="J1339" s="50"/>
      <c r="K1339" s="50"/>
      <c r="V1339" s="172"/>
      <c r="W1339" s="172"/>
      <c r="X1339" s="172"/>
      <c r="AA1339" s="80"/>
    </row>
    <row r="1340" spans="9:27" x14ac:dyDescent="0.25">
      <c r="I1340" s="50"/>
      <c r="J1340" s="50"/>
      <c r="K1340" s="50"/>
      <c r="V1340" s="172"/>
      <c r="W1340" s="172"/>
      <c r="X1340" s="172"/>
      <c r="AA1340" s="80"/>
    </row>
    <row r="1341" spans="9:27" x14ac:dyDescent="0.25">
      <c r="I1341" s="50"/>
      <c r="J1341" s="50"/>
      <c r="K1341" s="50"/>
      <c r="V1341" s="172"/>
      <c r="W1341" s="172"/>
      <c r="X1341" s="172"/>
      <c r="AA1341" s="80"/>
    </row>
    <row r="1342" spans="9:27" x14ac:dyDescent="0.25">
      <c r="I1342" s="50"/>
      <c r="J1342" s="50"/>
      <c r="K1342" s="50"/>
      <c r="V1342" s="172"/>
      <c r="W1342" s="172"/>
      <c r="X1342" s="172"/>
      <c r="AA1342" s="80"/>
    </row>
    <row r="1343" spans="9:27" x14ac:dyDescent="0.25">
      <c r="I1343" s="50"/>
      <c r="J1343" s="50"/>
      <c r="K1343" s="50"/>
      <c r="V1343" s="172"/>
      <c r="W1343" s="172"/>
      <c r="X1343" s="172"/>
      <c r="AA1343" s="80"/>
    </row>
    <row r="1344" spans="9:27" x14ac:dyDescent="0.25">
      <c r="I1344" s="50"/>
      <c r="J1344" s="50"/>
      <c r="K1344" s="50"/>
      <c r="V1344" s="172"/>
      <c r="W1344" s="172"/>
      <c r="X1344" s="172"/>
      <c r="AA1344" s="80"/>
    </row>
    <row r="1345" spans="9:27" x14ac:dyDescent="0.25">
      <c r="I1345" s="50"/>
      <c r="J1345" s="50"/>
      <c r="K1345" s="50"/>
      <c r="V1345" s="172"/>
      <c r="W1345" s="172"/>
      <c r="X1345" s="172"/>
      <c r="AA1345" s="80"/>
    </row>
    <row r="1346" spans="9:27" x14ac:dyDescent="0.25">
      <c r="I1346" s="50"/>
      <c r="J1346" s="50"/>
      <c r="K1346" s="50"/>
      <c r="V1346" s="172"/>
      <c r="W1346" s="172"/>
      <c r="X1346" s="172"/>
      <c r="AA1346" s="80"/>
    </row>
    <row r="1347" spans="9:27" x14ac:dyDescent="0.25">
      <c r="I1347" s="50"/>
      <c r="J1347" s="50"/>
      <c r="K1347" s="50"/>
      <c r="V1347" s="172"/>
      <c r="W1347" s="172"/>
      <c r="X1347" s="172"/>
      <c r="AA1347" s="80"/>
    </row>
    <row r="1348" spans="9:27" x14ac:dyDescent="0.25">
      <c r="I1348" s="50"/>
      <c r="J1348" s="50"/>
      <c r="K1348" s="50"/>
      <c r="V1348" s="172"/>
      <c r="W1348" s="172"/>
      <c r="X1348" s="172"/>
      <c r="AA1348" s="80"/>
    </row>
    <row r="1349" spans="9:27" x14ac:dyDescent="0.25">
      <c r="I1349" s="50"/>
      <c r="J1349" s="50"/>
      <c r="K1349" s="50"/>
      <c r="V1349" s="172"/>
      <c r="W1349" s="172"/>
      <c r="X1349" s="172"/>
      <c r="AA1349" s="80"/>
    </row>
    <row r="1350" spans="9:27" x14ac:dyDescent="0.25">
      <c r="I1350" s="50"/>
      <c r="J1350" s="50"/>
      <c r="K1350" s="50"/>
      <c r="V1350" s="172"/>
      <c r="W1350" s="172"/>
      <c r="X1350" s="172"/>
      <c r="AA1350" s="80"/>
    </row>
    <row r="1351" spans="9:27" x14ac:dyDescent="0.25">
      <c r="I1351" s="50"/>
      <c r="J1351" s="50"/>
      <c r="K1351" s="50"/>
      <c r="V1351" s="172"/>
      <c r="W1351" s="172"/>
      <c r="X1351" s="172"/>
      <c r="AA1351" s="80"/>
    </row>
    <row r="1352" spans="9:27" x14ac:dyDescent="0.25">
      <c r="I1352" s="50"/>
      <c r="J1352" s="50"/>
      <c r="K1352" s="50"/>
      <c r="V1352" s="172"/>
      <c r="W1352" s="172"/>
      <c r="X1352" s="172"/>
      <c r="AA1352" s="80"/>
    </row>
    <row r="1353" spans="9:27" x14ac:dyDescent="0.25">
      <c r="I1353" s="50"/>
      <c r="J1353" s="50"/>
      <c r="K1353" s="50"/>
      <c r="V1353" s="172"/>
      <c r="W1353" s="172"/>
      <c r="X1353" s="172"/>
      <c r="AA1353" s="80"/>
    </row>
    <row r="1354" spans="9:27" x14ac:dyDescent="0.25">
      <c r="I1354" s="50"/>
      <c r="J1354" s="50"/>
      <c r="K1354" s="50"/>
      <c r="V1354" s="172"/>
      <c r="W1354" s="172"/>
      <c r="X1354" s="172"/>
      <c r="AA1354" s="80"/>
    </row>
    <row r="1355" spans="9:27" x14ac:dyDescent="0.25">
      <c r="I1355" s="50"/>
      <c r="J1355" s="50"/>
      <c r="K1355" s="50"/>
      <c r="V1355" s="172"/>
      <c r="W1355" s="172"/>
      <c r="X1355" s="172"/>
      <c r="AA1355" s="80"/>
    </row>
    <row r="1356" spans="9:27" x14ac:dyDescent="0.25">
      <c r="I1356" s="50"/>
      <c r="J1356" s="50"/>
      <c r="K1356" s="50"/>
      <c r="V1356" s="172"/>
      <c r="W1356" s="172"/>
      <c r="X1356" s="172"/>
      <c r="AA1356" s="80"/>
    </row>
    <row r="1357" spans="9:27" x14ac:dyDescent="0.25">
      <c r="I1357" s="50"/>
      <c r="J1357" s="50"/>
      <c r="K1357" s="50"/>
      <c r="V1357" s="172"/>
      <c r="W1357" s="172"/>
      <c r="X1357" s="172"/>
      <c r="AA1357" s="80"/>
    </row>
    <row r="1358" spans="9:27" x14ac:dyDescent="0.25">
      <c r="I1358" s="50"/>
      <c r="J1358" s="50"/>
      <c r="K1358" s="50"/>
      <c r="V1358" s="172"/>
      <c r="W1358" s="172"/>
      <c r="X1358" s="172"/>
      <c r="AA1358" s="80"/>
    </row>
    <row r="1359" spans="9:27" x14ac:dyDescent="0.25">
      <c r="I1359" s="50"/>
      <c r="J1359" s="50"/>
      <c r="K1359" s="50"/>
      <c r="V1359" s="172"/>
      <c r="W1359" s="172"/>
      <c r="X1359" s="172"/>
      <c r="AA1359" s="80"/>
    </row>
    <row r="1360" spans="9:27" x14ac:dyDescent="0.25">
      <c r="I1360" s="50"/>
      <c r="J1360" s="50"/>
      <c r="K1360" s="50"/>
      <c r="V1360" s="172"/>
      <c r="W1360" s="172"/>
      <c r="X1360" s="172"/>
      <c r="AA1360" s="80"/>
    </row>
    <row r="1361" spans="9:27" x14ac:dyDescent="0.25">
      <c r="I1361" s="50"/>
      <c r="J1361" s="50"/>
      <c r="K1361" s="50"/>
      <c r="V1361" s="172"/>
      <c r="W1361" s="172"/>
      <c r="X1361" s="172"/>
      <c r="AA1361" s="80"/>
    </row>
    <row r="1362" spans="9:27" x14ac:dyDescent="0.25">
      <c r="I1362" s="50"/>
      <c r="J1362" s="50"/>
      <c r="K1362" s="50"/>
      <c r="V1362" s="172"/>
      <c r="W1362" s="172"/>
      <c r="X1362" s="172"/>
      <c r="AA1362" s="80"/>
    </row>
    <row r="1363" spans="9:27" x14ac:dyDescent="0.25">
      <c r="I1363" s="50"/>
      <c r="J1363" s="50"/>
      <c r="K1363" s="50"/>
      <c r="V1363" s="172"/>
      <c r="W1363" s="172"/>
      <c r="X1363" s="172"/>
      <c r="AA1363" s="80"/>
    </row>
    <row r="1364" spans="9:27" x14ac:dyDescent="0.25">
      <c r="I1364" s="50"/>
      <c r="J1364" s="50"/>
      <c r="K1364" s="50"/>
      <c r="V1364" s="172"/>
      <c r="W1364" s="172"/>
      <c r="X1364" s="172"/>
      <c r="AA1364" s="80"/>
    </row>
    <row r="1365" spans="9:27" x14ac:dyDescent="0.25">
      <c r="I1365" s="50"/>
      <c r="J1365" s="50"/>
      <c r="K1365" s="50"/>
      <c r="V1365" s="172"/>
      <c r="W1365" s="172"/>
      <c r="X1365" s="172"/>
      <c r="AA1365" s="80"/>
    </row>
    <row r="1366" spans="9:27" x14ac:dyDescent="0.25">
      <c r="I1366" s="50"/>
      <c r="J1366" s="50"/>
      <c r="K1366" s="50"/>
      <c r="V1366" s="172"/>
      <c r="W1366" s="172"/>
      <c r="X1366" s="172"/>
      <c r="AA1366" s="80"/>
    </row>
    <row r="1367" spans="9:27" x14ac:dyDescent="0.25">
      <c r="I1367" s="50"/>
      <c r="J1367" s="50"/>
      <c r="K1367" s="50"/>
      <c r="V1367" s="172"/>
      <c r="W1367" s="172"/>
      <c r="X1367" s="172"/>
      <c r="AA1367" s="80"/>
    </row>
    <row r="1368" spans="9:27" x14ac:dyDescent="0.25">
      <c r="I1368" s="50"/>
      <c r="J1368" s="50"/>
      <c r="K1368" s="50"/>
      <c r="V1368" s="172"/>
      <c r="W1368" s="172"/>
      <c r="X1368" s="172"/>
      <c r="AA1368" s="80"/>
    </row>
    <row r="1369" spans="9:27" x14ac:dyDescent="0.25">
      <c r="I1369" s="50"/>
      <c r="J1369" s="50"/>
      <c r="K1369" s="50"/>
      <c r="V1369" s="172"/>
      <c r="W1369" s="172"/>
      <c r="X1369" s="172"/>
      <c r="AA1369" s="80"/>
    </row>
    <row r="1370" spans="9:27" x14ac:dyDescent="0.25">
      <c r="I1370" s="50"/>
      <c r="J1370" s="50"/>
      <c r="K1370" s="50"/>
      <c r="V1370" s="172"/>
      <c r="W1370" s="172"/>
      <c r="X1370" s="172"/>
      <c r="AA1370" s="80"/>
    </row>
    <row r="1371" spans="9:27" x14ac:dyDescent="0.25">
      <c r="I1371" s="50"/>
      <c r="J1371" s="50"/>
      <c r="K1371" s="50"/>
      <c r="V1371" s="172"/>
      <c r="W1371" s="172"/>
      <c r="X1371" s="172"/>
      <c r="AA1371" s="80"/>
    </row>
    <row r="1372" spans="9:27" x14ac:dyDescent="0.25">
      <c r="I1372" s="50"/>
      <c r="J1372" s="50"/>
      <c r="K1372" s="50"/>
      <c r="V1372" s="172"/>
      <c r="W1372" s="172"/>
      <c r="X1372" s="172"/>
      <c r="AA1372" s="80"/>
    </row>
    <row r="1373" spans="9:27" x14ac:dyDescent="0.25">
      <c r="I1373" s="50"/>
      <c r="J1373" s="50"/>
      <c r="K1373" s="50"/>
      <c r="V1373" s="172"/>
      <c r="W1373" s="172"/>
      <c r="X1373" s="172"/>
      <c r="AA1373" s="80"/>
    </row>
    <row r="1374" spans="9:27" x14ac:dyDescent="0.25">
      <c r="I1374" s="50"/>
      <c r="J1374" s="50"/>
      <c r="K1374" s="50"/>
      <c r="V1374" s="172"/>
      <c r="W1374" s="172"/>
      <c r="X1374" s="172"/>
      <c r="AA1374" s="80"/>
    </row>
    <row r="1375" spans="9:27" x14ac:dyDescent="0.25">
      <c r="I1375" s="50"/>
      <c r="J1375" s="50"/>
      <c r="K1375" s="50"/>
      <c r="V1375" s="172"/>
      <c r="W1375" s="172"/>
      <c r="X1375" s="172"/>
      <c r="AA1375" s="80"/>
    </row>
    <row r="1376" spans="9:27" x14ac:dyDescent="0.25">
      <c r="I1376" s="50"/>
      <c r="J1376" s="50"/>
      <c r="K1376" s="50"/>
      <c r="V1376" s="172"/>
      <c r="W1376" s="172"/>
      <c r="X1376" s="172"/>
      <c r="AA1376" s="80"/>
    </row>
    <row r="1377" spans="9:27" x14ac:dyDescent="0.25">
      <c r="I1377" s="50"/>
      <c r="J1377" s="50"/>
      <c r="K1377" s="50"/>
      <c r="V1377" s="172"/>
      <c r="W1377" s="172"/>
      <c r="X1377" s="172"/>
      <c r="AA1377" s="80"/>
    </row>
    <row r="1378" spans="9:27" x14ac:dyDescent="0.25">
      <c r="I1378" s="50"/>
      <c r="J1378" s="50"/>
      <c r="K1378" s="50"/>
      <c r="V1378" s="172"/>
      <c r="W1378" s="172"/>
      <c r="X1378" s="172"/>
      <c r="AA1378" s="80"/>
    </row>
    <row r="1379" spans="9:27" x14ac:dyDescent="0.25">
      <c r="I1379" s="50"/>
      <c r="J1379" s="50"/>
      <c r="K1379" s="50"/>
      <c r="V1379" s="172"/>
      <c r="W1379" s="172"/>
      <c r="X1379" s="172"/>
      <c r="AA1379" s="80"/>
    </row>
    <row r="1380" spans="9:27" x14ac:dyDescent="0.25">
      <c r="I1380" s="50"/>
      <c r="J1380" s="50"/>
      <c r="K1380" s="50"/>
      <c r="V1380" s="172"/>
      <c r="W1380" s="172"/>
      <c r="X1380" s="172"/>
      <c r="AA1380" s="80"/>
    </row>
    <row r="1381" spans="9:27" x14ac:dyDescent="0.25">
      <c r="I1381" s="50"/>
      <c r="J1381" s="50"/>
      <c r="K1381" s="50"/>
      <c r="V1381" s="172"/>
      <c r="W1381" s="172"/>
      <c r="X1381" s="172"/>
      <c r="AA1381" s="80"/>
    </row>
    <row r="1382" spans="9:27" x14ac:dyDescent="0.25">
      <c r="I1382" s="50"/>
      <c r="J1382" s="50"/>
      <c r="K1382" s="50"/>
      <c r="V1382" s="172"/>
      <c r="W1382" s="172"/>
      <c r="X1382" s="172"/>
      <c r="AA1382" s="80"/>
    </row>
    <row r="1383" spans="9:27" x14ac:dyDescent="0.25">
      <c r="I1383" s="50"/>
      <c r="J1383" s="50"/>
      <c r="K1383" s="50"/>
      <c r="V1383" s="172"/>
      <c r="W1383" s="172"/>
      <c r="X1383" s="172"/>
      <c r="AA1383" s="80"/>
    </row>
    <row r="1384" spans="9:27" x14ac:dyDescent="0.25">
      <c r="I1384" s="50"/>
      <c r="J1384" s="50"/>
      <c r="K1384" s="50"/>
      <c r="V1384" s="172"/>
      <c r="W1384" s="172"/>
      <c r="X1384" s="172"/>
      <c r="AA1384" s="80"/>
    </row>
    <row r="1385" spans="9:27" x14ac:dyDescent="0.25">
      <c r="I1385" s="50"/>
      <c r="J1385" s="50"/>
      <c r="K1385" s="50"/>
      <c r="V1385" s="172"/>
      <c r="W1385" s="172"/>
      <c r="X1385" s="172"/>
      <c r="AA1385" s="80"/>
    </row>
    <row r="1386" spans="9:27" x14ac:dyDescent="0.25">
      <c r="I1386" s="50"/>
      <c r="J1386" s="50"/>
      <c r="K1386" s="50"/>
      <c r="V1386" s="172"/>
      <c r="W1386" s="172"/>
      <c r="X1386" s="172"/>
      <c r="AA1386" s="80"/>
    </row>
    <row r="1387" spans="9:27" x14ac:dyDescent="0.25">
      <c r="I1387" s="50"/>
      <c r="J1387" s="50"/>
      <c r="K1387" s="50"/>
      <c r="V1387" s="172"/>
      <c r="W1387" s="172"/>
      <c r="X1387" s="172"/>
      <c r="AA1387" s="80"/>
    </row>
    <row r="1388" spans="9:27" x14ac:dyDescent="0.25">
      <c r="I1388" s="50"/>
      <c r="J1388" s="50"/>
      <c r="K1388" s="50"/>
      <c r="V1388" s="172"/>
      <c r="W1388" s="172"/>
      <c r="X1388" s="172"/>
      <c r="AA1388" s="80"/>
    </row>
    <row r="1389" spans="9:27" x14ac:dyDescent="0.25">
      <c r="I1389" s="50"/>
      <c r="J1389" s="50"/>
      <c r="K1389" s="50"/>
      <c r="V1389" s="172"/>
      <c r="W1389" s="172"/>
      <c r="X1389" s="172"/>
      <c r="AA1389" s="80"/>
    </row>
    <row r="1390" spans="9:27" x14ac:dyDescent="0.25">
      <c r="I1390" s="50"/>
      <c r="J1390" s="50"/>
      <c r="K1390" s="50"/>
      <c r="V1390" s="172"/>
      <c r="W1390" s="172"/>
      <c r="X1390" s="172"/>
      <c r="AA1390" s="80"/>
    </row>
    <row r="1391" spans="9:27" x14ac:dyDescent="0.25">
      <c r="I1391" s="50"/>
      <c r="J1391" s="50"/>
      <c r="K1391" s="50"/>
      <c r="V1391" s="172"/>
      <c r="W1391" s="172"/>
      <c r="X1391" s="172"/>
      <c r="AA1391" s="80"/>
    </row>
    <row r="1392" spans="9:27" x14ac:dyDescent="0.25">
      <c r="I1392" s="50"/>
      <c r="J1392" s="50"/>
      <c r="K1392" s="50"/>
      <c r="V1392" s="172"/>
      <c r="W1392" s="172"/>
      <c r="X1392" s="172"/>
      <c r="AA1392" s="80"/>
    </row>
    <row r="1393" spans="9:27" x14ac:dyDescent="0.25">
      <c r="I1393" s="50"/>
      <c r="J1393" s="50"/>
      <c r="K1393" s="50"/>
      <c r="V1393" s="172"/>
      <c r="W1393" s="172"/>
      <c r="X1393" s="172"/>
      <c r="AA1393" s="80"/>
    </row>
    <row r="1394" spans="9:27" x14ac:dyDescent="0.25">
      <c r="I1394" s="50"/>
      <c r="J1394" s="50"/>
      <c r="K1394" s="50"/>
      <c r="V1394" s="172"/>
      <c r="W1394" s="172"/>
      <c r="X1394" s="172"/>
      <c r="AA1394" s="80"/>
    </row>
    <row r="1395" spans="9:27" x14ac:dyDescent="0.25">
      <c r="I1395" s="50"/>
      <c r="J1395" s="50"/>
      <c r="K1395" s="50"/>
      <c r="V1395" s="172"/>
      <c r="W1395" s="172"/>
      <c r="X1395" s="172"/>
      <c r="AA1395" s="80"/>
    </row>
    <row r="1396" spans="9:27" x14ac:dyDescent="0.25">
      <c r="I1396" s="50"/>
      <c r="J1396" s="50"/>
      <c r="K1396" s="50"/>
      <c r="V1396" s="172"/>
      <c r="W1396" s="172"/>
      <c r="X1396" s="172"/>
      <c r="AA1396" s="80"/>
    </row>
    <row r="1397" spans="9:27" x14ac:dyDescent="0.25">
      <c r="I1397" s="50"/>
      <c r="J1397" s="50"/>
      <c r="K1397" s="50"/>
      <c r="V1397" s="172"/>
      <c r="W1397" s="172"/>
      <c r="X1397" s="172"/>
      <c r="AA1397" s="80"/>
    </row>
    <row r="1398" spans="9:27" x14ac:dyDescent="0.25">
      <c r="I1398" s="50"/>
      <c r="J1398" s="50"/>
      <c r="K1398" s="50"/>
      <c r="V1398" s="172"/>
      <c r="W1398" s="172"/>
      <c r="X1398" s="172"/>
      <c r="AA1398" s="80"/>
    </row>
    <row r="1399" spans="9:27" x14ac:dyDescent="0.25">
      <c r="I1399" s="50"/>
      <c r="J1399" s="50"/>
      <c r="K1399" s="50"/>
      <c r="V1399" s="172"/>
      <c r="W1399" s="172"/>
      <c r="X1399" s="172"/>
      <c r="AA1399" s="80"/>
    </row>
    <row r="1400" spans="9:27" x14ac:dyDescent="0.25">
      <c r="I1400" s="50"/>
      <c r="J1400" s="50"/>
      <c r="K1400" s="50"/>
      <c r="V1400" s="172"/>
      <c r="W1400" s="172"/>
      <c r="X1400" s="172"/>
      <c r="AA1400" s="80"/>
    </row>
    <row r="1401" spans="9:27" x14ac:dyDescent="0.25">
      <c r="I1401" s="50"/>
      <c r="J1401" s="50"/>
      <c r="K1401" s="50"/>
      <c r="V1401" s="172"/>
      <c r="W1401" s="172"/>
      <c r="X1401" s="172"/>
      <c r="AA1401" s="80"/>
    </row>
    <row r="1402" spans="9:27" x14ac:dyDescent="0.25">
      <c r="I1402" s="50"/>
      <c r="J1402" s="50"/>
      <c r="K1402" s="50"/>
      <c r="V1402" s="172"/>
      <c r="W1402" s="172"/>
      <c r="X1402" s="172"/>
      <c r="AA1402" s="80"/>
    </row>
    <row r="1403" spans="9:27" x14ac:dyDescent="0.25">
      <c r="I1403" s="50"/>
      <c r="J1403" s="50"/>
      <c r="K1403" s="50"/>
      <c r="V1403" s="172"/>
      <c r="W1403" s="172"/>
      <c r="X1403" s="172"/>
      <c r="AA1403" s="80"/>
    </row>
    <row r="1404" spans="9:27" x14ac:dyDescent="0.25">
      <c r="I1404" s="50"/>
      <c r="J1404" s="50"/>
      <c r="K1404" s="50"/>
      <c r="V1404" s="172"/>
      <c r="W1404" s="172"/>
      <c r="X1404" s="172"/>
      <c r="AA1404" s="80"/>
    </row>
    <row r="1405" spans="9:27" x14ac:dyDescent="0.25">
      <c r="I1405" s="50"/>
      <c r="J1405" s="50"/>
      <c r="K1405" s="50"/>
      <c r="V1405" s="172"/>
      <c r="W1405" s="172"/>
      <c r="X1405" s="172"/>
      <c r="AA1405" s="80"/>
    </row>
    <row r="1406" spans="9:27" x14ac:dyDescent="0.25">
      <c r="I1406" s="50"/>
      <c r="J1406" s="50"/>
      <c r="K1406" s="50"/>
      <c r="V1406" s="172"/>
      <c r="W1406" s="172"/>
      <c r="X1406" s="172"/>
      <c r="AA1406" s="80"/>
    </row>
    <row r="1407" spans="9:27" x14ac:dyDescent="0.25">
      <c r="I1407" s="50"/>
      <c r="J1407" s="50"/>
      <c r="K1407" s="50"/>
      <c r="V1407" s="172"/>
      <c r="W1407" s="172"/>
      <c r="X1407" s="172"/>
      <c r="AA1407" s="80"/>
    </row>
    <row r="1408" spans="9:27" x14ac:dyDescent="0.25">
      <c r="I1408" s="50"/>
      <c r="J1408" s="50"/>
      <c r="K1408" s="50"/>
      <c r="V1408" s="172"/>
      <c r="W1408" s="172"/>
      <c r="X1408" s="172"/>
      <c r="AA1408" s="80"/>
    </row>
    <row r="1409" spans="9:27" x14ac:dyDescent="0.25">
      <c r="I1409" s="50"/>
      <c r="J1409" s="50"/>
      <c r="K1409" s="50"/>
      <c r="V1409" s="172"/>
      <c r="W1409" s="172"/>
      <c r="X1409" s="172"/>
      <c r="AA1409" s="80"/>
    </row>
    <row r="1410" spans="9:27" x14ac:dyDescent="0.25">
      <c r="I1410" s="50"/>
      <c r="J1410" s="50"/>
      <c r="K1410" s="50"/>
      <c r="V1410" s="172"/>
      <c r="W1410" s="172"/>
      <c r="X1410" s="172"/>
      <c r="AA1410" s="80"/>
    </row>
    <row r="1411" spans="9:27" x14ac:dyDescent="0.25">
      <c r="I1411" s="50"/>
      <c r="J1411" s="50"/>
      <c r="K1411" s="50"/>
      <c r="V1411" s="172"/>
      <c r="W1411" s="172"/>
      <c r="X1411" s="172"/>
      <c r="AA1411" s="80"/>
    </row>
    <row r="1412" spans="9:27" x14ac:dyDescent="0.25">
      <c r="I1412" s="50"/>
      <c r="J1412" s="50"/>
      <c r="K1412" s="50"/>
      <c r="V1412" s="172"/>
      <c r="W1412" s="172"/>
      <c r="X1412" s="172"/>
      <c r="AA1412" s="80"/>
    </row>
    <row r="1413" spans="9:27" x14ac:dyDescent="0.25">
      <c r="I1413" s="50"/>
      <c r="J1413" s="50"/>
      <c r="K1413" s="50"/>
      <c r="V1413" s="172"/>
      <c r="W1413" s="172"/>
      <c r="X1413" s="172"/>
      <c r="AA1413" s="80"/>
    </row>
    <row r="1414" spans="9:27" x14ac:dyDescent="0.25">
      <c r="I1414" s="50"/>
      <c r="J1414" s="50"/>
      <c r="K1414" s="50"/>
      <c r="V1414" s="172"/>
      <c r="W1414" s="172"/>
      <c r="X1414" s="172"/>
      <c r="AA1414" s="80"/>
    </row>
    <row r="1415" spans="9:27" x14ac:dyDescent="0.25">
      <c r="I1415" s="50"/>
      <c r="J1415" s="50"/>
      <c r="K1415" s="50"/>
      <c r="V1415" s="172"/>
      <c r="W1415" s="172"/>
      <c r="X1415" s="172"/>
      <c r="AA1415" s="80"/>
    </row>
    <row r="1416" spans="9:27" x14ac:dyDescent="0.25">
      <c r="I1416" s="50"/>
      <c r="J1416" s="50"/>
      <c r="K1416" s="50"/>
      <c r="V1416" s="172"/>
      <c r="W1416" s="172"/>
      <c r="X1416" s="172"/>
      <c r="AA1416" s="80"/>
    </row>
    <row r="1417" spans="9:27" x14ac:dyDescent="0.25">
      <c r="I1417" s="50"/>
      <c r="J1417" s="50"/>
      <c r="K1417" s="50"/>
      <c r="V1417" s="172"/>
      <c r="W1417" s="172"/>
      <c r="X1417" s="172"/>
      <c r="AA1417" s="80"/>
    </row>
    <row r="1418" spans="9:27" x14ac:dyDescent="0.25">
      <c r="I1418" s="50"/>
      <c r="J1418" s="50"/>
      <c r="K1418" s="50"/>
      <c r="V1418" s="172"/>
      <c r="W1418" s="172"/>
      <c r="X1418" s="172"/>
      <c r="AA1418" s="80"/>
    </row>
    <row r="1419" spans="9:27" x14ac:dyDescent="0.25">
      <c r="I1419" s="50"/>
      <c r="J1419" s="50"/>
      <c r="K1419" s="50"/>
      <c r="V1419" s="172"/>
      <c r="W1419" s="172"/>
      <c r="X1419" s="172"/>
      <c r="AA1419" s="80"/>
    </row>
    <row r="1420" spans="9:27" x14ac:dyDescent="0.25">
      <c r="I1420" s="50"/>
      <c r="J1420" s="50"/>
      <c r="K1420" s="50"/>
      <c r="V1420" s="172"/>
      <c r="W1420" s="172"/>
      <c r="X1420" s="172"/>
      <c r="AA1420" s="80"/>
    </row>
    <row r="1421" spans="9:27" x14ac:dyDescent="0.25">
      <c r="I1421" s="50"/>
      <c r="J1421" s="50"/>
      <c r="K1421" s="50"/>
      <c r="V1421" s="172"/>
      <c r="W1421" s="172"/>
      <c r="X1421" s="172"/>
      <c r="AA1421" s="80"/>
    </row>
    <row r="1422" spans="9:27" x14ac:dyDescent="0.25">
      <c r="I1422" s="50"/>
      <c r="J1422" s="50"/>
      <c r="K1422" s="50"/>
      <c r="V1422" s="172"/>
      <c r="W1422" s="172"/>
      <c r="X1422" s="172"/>
      <c r="AA1422" s="80"/>
    </row>
    <row r="1423" spans="9:27" x14ac:dyDescent="0.25">
      <c r="I1423" s="50"/>
      <c r="J1423" s="50"/>
      <c r="K1423" s="50"/>
      <c r="V1423" s="172"/>
      <c r="W1423" s="172"/>
      <c r="X1423" s="172"/>
      <c r="AA1423" s="80"/>
    </row>
    <row r="1424" spans="9:27" x14ac:dyDescent="0.25">
      <c r="I1424" s="50"/>
      <c r="J1424" s="50"/>
      <c r="K1424" s="50"/>
      <c r="V1424" s="172"/>
      <c r="W1424" s="172"/>
      <c r="X1424" s="172"/>
      <c r="AA1424" s="80"/>
    </row>
    <row r="1425" spans="9:27" x14ac:dyDescent="0.25">
      <c r="I1425" s="50"/>
      <c r="J1425" s="50"/>
      <c r="K1425" s="50"/>
      <c r="V1425" s="172"/>
      <c r="W1425" s="172"/>
      <c r="X1425" s="172"/>
      <c r="AA1425" s="80"/>
    </row>
    <row r="1426" spans="9:27" x14ac:dyDescent="0.25">
      <c r="I1426" s="50"/>
      <c r="J1426" s="50"/>
      <c r="K1426" s="50"/>
      <c r="V1426" s="172"/>
      <c r="W1426" s="172"/>
      <c r="X1426" s="172"/>
      <c r="AA1426" s="80"/>
    </row>
    <row r="1427" spans="9:27" x14ac:dyDescent="0.25">
      <c r="I1427" s="50"/>
      <c r="J1427" s="50"/>
      <c r="K1427" s="50"/>
      <c r="V1427" s="172"/>
      <c r="W1427" s="172"/>
      <c r="X1427" s="172"/>
      <c r="AA1427" s="80"/>
    </row>
    <row r="1428" spans="9:27" x14ac:dyDescent="0.25">
      <c r="I1428" s="50"/>
      <c r="J1428" s="50"/>
      <c r="K1428" s="50"/>
      <c r="V1428" s="172"/>
      <c r="W1428" s="172"/>
      <c r="X1428" s="172"/>
      <c r="AA1428" s="80"/>
    </row>
    <row r="1429" spans="9:27" x14ac:dyDescent="0.25">
      <c r="I1429" s="50"/>
      <c r="J1429" s="50"/>
      <c r="K1429" s="50"/>
      <c r="V1429" s="172"/>
      <c r="W1429" s="172"/>
      <c r="X1429" s="172"/>
      <c r="AA1429" s="80"/>
    </row>
    <row r="1430" spans="9:27" x14ac:dyDescent="0.25">
      <c r="I1430" s="50"/>
      <c r="J1430" s="50"/>
      <c r="K1430" s="50"/>
      <c r="V1430" s="172"/>
      <c r="W1430" s="172"/>
      <c r="X1430" s="172"/>
      <c r="AA1430" s="80"/>
    </row>
    <row r="1431" spans="9:27" x14ac:dyDescent="0.25">
      <c r="I1431" s="50"/>
      <c r="J1431" s="50"/>
      <c r="K1431" s="50"/>
      <c r="V1431" s="172"/>
      <c r="W1431" s="172"/>
      <c r="X1431" s="172"/>
      <c r="AA1431" s="80"/>
    </row>
    <row r="1432" spans="9:27" x14ac:dyDescent="0.25">
      <c r="I1432" s="50"/>
      <c r="J1432" s="50"/>
      <c r="K1432" s="50"/>
      <c r="V1432" s="172"/>
      <c r="W1432" s="172"/>
      <c r="X1432" s="172"/>
      <c r="AA1432" s="80"/>
    </row>
    <row r="1433" spans="9:27" x14ac:dyDescent="0.25">
      <c r="I1433" s="50"/>
      <c r="J1433" s="50"/>
      <c r="K1433" s="50"/>
      <c r="V1433" s="172"/>
      <c r="W1433" s="172"/>
      <c r="X1433" s="172"/>
      <c r="AA1433" s="80"/>
    </row>
    <row r="1434" spans="9:27" x14ac:dyDescent="0.25">
      <c r="I1434" s="50"/>
      <c r="J1434" s="50"/>
      <c r="K1434" s="50"/>
      <c r="V1434" s="172"/>
      <c r="W1434" s="172"/>
      <c r="X1434" s="172"/>
      <c r="AA1434" s="80"/>
    </row>
    <row r="1435" spans="9:27" x14ac:dyDescent="0.25">
      <c r="I1435" s="50"/>
      <c r="J1435" s="50"/>
      <c r="K1435" s="50"/>
      <c r="V1435" s="172"/>
      <c r="W1435" s="172"/>
      <c r="X1435" s="172"/>
      <c r="AA1435" s="80"/>
    </row>
    <row r="1436" spans="9:27" x14ac:dyDescent="0.25">
      <c r="I1436" s="50"/>
      <c r="J1436" s="50"/>
      <c r="K1436" s="50"/>
      <c r="V1436" s="172"/>
      <c r="W1436" s="172"/>
      <c r="X1436" s="172"/>
      <c r="AA1436" s="80"/>
    </row>
    <row r="1437" spans="9:27" x14ac:dyDescent="0.25">
      <c r="I1437" s="50"/>
      <c r="J1437" s="50"/>
      <c r="K1437" s="50"/>
      <c r="V1437" s="172"/>
      <c r="W1437" s="172"/>
      <c r="X1437" s="172"/>
      <c r="AA1437" s="80"/>
    </row>
    <row r="1438" spans="9:27" x14ac:dyDescent="0.25">
      <c r="I1438" s="50"/>
      <c r="J1438" s="50"/>
      <c r="K1438" s="50"/>
      <c r="V1438" s="172"/>
      <c r="W1438" s="172"/>
      <c r="X1438" s="172"/>
      <c r="AA1438" s="80"/>
    </row>
    <row r="1439" spans="9:27" x14ac:dyDescent="0.25">
      <c r="I1439" s="50"/>
      <c r="J1439" s="50"/>
      <c r="K1439" s="50"/>
      <c r="V1439" s="172"/>
      <c r="W1439" s="172"/>
      <c r="X1439" s="172"/>
      <c r="AA1439" s="80"/>
    </row>
    <row r="1440" spans="9:27" x14ac:dyDescent="0.25">
      <c r="I1440" s="50"/>
      <c r="J1440" s="50"/>
      <c r="K1440" s="50"/>
      <c r="V1440" s="172"/>
      <c r="W1440" s="172"/>
      <c r="X1440" s="172"/>
      <c r="AA1440" s="80"/>
    </row>
    <row r="1441" spans="9:27" x14ac:dyDescent="0.25">
      <c r="I1441" s="50"/>
      <c r="J1441" s="50"/>
      <c r="K1441" s="50"/>
      <c r="V1441" s="172"/>
      <c r="W1441" s="172"/>
      <c r="X1441" s="172"/>
      <c r="AA1441" s="80"/>
    </row>
    <row r="1442" spans="9:27" x14ac:dyDescent="0.25">
      <c r="I1442" s="50"/>
      <c r="J1442" s="50"/>
      <c r="K1442" s="50"/>
      <c r="V1442" s="172"/>
      <c r="W1442" s="172"/>
      <c r="X1442" s="172"/>
      <c r="AA1442" s="80"/>
    </row>
    <row r="1443" spans="9:27" x14ac:dyDescent="0.25">
      <c r="I1443" s="50"/>
      <c r="J1443" s="50"/>
      <c r="K1443" s="50"/>
      <c r="V1443" s="172"/>
      <c r="W1443" s="172"/>
      <c r="X1443" s="172"/>
      <c r="AA1443" s="80"/>
    </row>
    <row r="1444" spans="9:27" x14ac:dyDescent="0.25">
      <c r="I1444" s="50"/>
      <c r="J1444" s="50"/>
      <c r="K1444" s="50"/>
      <c r="V1444" s="172"/>
      <c r="W1444" s="172"/>
      <c r="X1444" s="172"/>
      <c r="AA1444" s="80"/>
    </row>
    <row r="1445" spans="9:27" x14ac:dyDescent="0.25">
      <c r="I1445" s="50"/>
      <c r="J1445" s="50"/>
      <c r="K1445" s="50"/>
      <c r="V1445" s="172"/>
      <c r="W1445" s="172"/>
      <c r="X1445" s="172"/>
      <c r="AA1445" s="80"/>
    </row>
    <row r="1446" spans="9:27" x14ac:dyDescent="0.25">
      <c r="I1446" s="50"/>
      <c r="J1446" s="50"/>
      <c r="K1446" s="50"/>
      <c r="V1446" s="172"/>
      <c r="W1446" s="172"/>
      <c r="X1446" s="172"/>
      <c r="AA1446" s="80"/>
    </row>
    <row r="1447" spans="9:27" x14ac:dyDescent="0.25">
      <c r="I1447" s="50"/>
      <c r="J1447" s="50"/>
      <c r="K1447" s="50"/>
      <c r="V1447" s="172"/>
      <c r="W1447" s="172"/>
      <c r="X1447" s="172"/>
      <c r="AA1447" s="80"/>
    </row>
    <row r="1448" spans="9:27" x14ac:dyDescent="0.25">
      <c r="I1448" s="50"/>
      <c r="J1448" s="50"/>
      <c r="K1448" s="50"/>
      <c r="V1448" s="172"/>
      <c r="W1448" s="172"/>
      <c r="X1448" s="172"/>
      <c r="AA1448" s="80"/>
    </row>
    <row r="1449" spans="9:27" x14ac:dyDescent="0.25">
      <c r="I1449" s="50"/>
      <c r="J1449" s="50"/>
      <c r="K1449" s="50"/>
      <c r="V1449" s="172"/>
      <c r="W1449" s="172"/>
      <c r="X1449" s="172"/>
      <c r="AA1449" s="80"/>
    </row>
    <row r="1450" spans="9:27" x14ac:dyDescent="0.25">
      <c r="I1450" s="50"/>
      <c r="J1450" s="50"/>
      <c r="K1450" s="50"/>
      <c r="V1450" s="172"/>
      <c r="W1450" s="172"/>
      <c r="X1450" s="172"/>
      <c r="AA1450" s="80"/>
    </row>
    <row r="1451" spans="9:27" x14ac:dyDescent="0.25">
      <c r="I1451" s="50"/>
      <c r="J1451" s="50"/>
      <c r="K1451" s="50"/>
      <c r="V1451" s="172"/>
      <c r="W1451" s="172"/>
      <c r="X1451" s="172"/>
      <c r="AA1451" s="80"/>
    </row>
    <row r="1452" spans="9:27" x14ac:dyDescent="0.25">
      <c r="I1452" s="50"/>
      <c r="J1452" s="50"/>
      <c r="K1452" s="50"/>
      <c r="V1452" s="172"/>
      <c r="W1452" s="172"/>
      <c r="X1452" s="172"/>
      <c r="AA1452" s="80"/>
    </row>
    <row r="1453" spans="9:27" x14ac:dyDescent="0.25">
      <c r="I1453" s="50"/>
      <c r="J1453" s="50"/>
      <c r="K1453" s="50"/>
      <c r="V1453" s="172"/>
      <c r="W1453" s="172"/>
      <c r="X1453" s="172"/>
      <c r="AA1453" s="80"/>
    </row>
    <row r="1454" spans="9:27" x14ac:dyDescent="0.25">
      <c r="I1454" s="50"/>
      <c r="J1454" s="50"/>
      <c r="K1454" s="50"/>
      <c r="V1454" s="172"/>
      <c r="W1454" s="172"/>
      <c r="X1454" s="172"/>
      <c r="AA1454" s="80"/>
    </row>
    <row r="1455" spans="9:27" x14ac:dyDescent="0.25">
      <c r="I1455" s="50"/>
      <c r="J1455" s="50"/>
      <c r="K1455" s="50"/>
      <c r="V1455" s="172"/>
      <c r="W1455" s="172"/>
      <c r="X1455" s="172"/>
      <c r="AA1455" s="80"/>
    </row>
    <row r="1456" spans="9:27" x14ac:dyDescent="0.25">
      <c r="I1456" s="50"/>
      <c r="J1456" s="50"/>
      <c r="K1456" s="50"/>
      <c r="V1456" s="172"/>
      <c r="W1456" s="172"/>
      <c r="X1456" s="172"/>
      <c r="AA1456" s="80"/>
    </row>
    <row r="1457" spans="9:27" x14ac:dyDescent="0.25">
      <c r="I1457" s="50"/>
      <c r="J1457" s="50"/>
      <c r="K1457" s="50"/>
      <c r="V1457" s="172"/>
      <c r="W1457" s="172"/>
      <c r="X1457" s="172"/>
      <c r="AA1457" s="80"/>
    </row>
    <row r="1458" spans="9:27" x14ac:dyDescent="0.25">
      <c r="I1458" s="50"/>
      <c r="J1458" s="50"/>
      <c r="K1458" s="50"/>
      <c r="V1458" s="172"/>
      <c r="W1458" s="172"/>
      <c r="X1458" s="172"/>
      <c r="AA1458" s="80"/>
    </row>
    <row r="1459" spans="9:27" x14ac:dyDescent="0.25">
      <c r="I1459" s="50"/>
      <c r="J1459" s="50"/>
      <c r="K1459" s="50"/>
      <c r="V1459" s="172"/>
      <c r="W1459" s="172"/>
      <c r="X1459" s="172"/>
      <c r="AA1459" s="80"/>
    </row>
    <row r="1460" spans="9:27" x14ac:dyDescent="0.25">
      <c r="I1460" s="50"/>
      <c r="J1460" s="50"/>
      <c r="K1460" s="50"/>
      <c r="V1460" s="172"/>
      <c r="W1460" s="172"/>
      <c r="X1460" s="172"/>
      <c r="AA1460" s="80"/>
    </row>
    <row r="1461" spans="9:27" x14ac:dyDescent="0.25">
      <c r="I1461" s="50"/>
      <c r="J1461" s="50"/>
      <c r="K1461" s="50"/>
      <c r="V1461" s="172"/>
      <c r="W1461" s="172"/>
      <c r="X1461" s="172"/>
      <c r="AA1461" s="80"/>
    </row>
    <row r="1462" spans="9:27" x14ac:dyDescent="0.25">
      <c r="I1462" s="50"/>
      <c r="J1462" s="50"/>
      <c r="K1462" s="50"/>
      <c r="V1462" s="172"/>
      <c r="W1462" s="172"/>
      <c r="X1462" s="172"/>
      <c r="AA1462" s="80"/>
    </row>
    <row r="1463" spans="9:27" x14ac:dyDescent="0.25">
      <c r="I1463" s="50"/>
      <c r="J1463" s="50"/>
      <c r="K1463" s="50"/>
      <c r="V1463" s="172"/>
      <c r="W1463" s="172"/>
      <c r="X1463" s="172"/>
      <c r="AA1463" s="80"/>
    </row>
    <row r="1464" spans="9:27" x14ac:dyDescent="0.25">
      <c r="I1464" s="50"/>
      <c r="J1464" s="50"/>
      <c r="K1464" s="50"/>
      <c r="V1464" s="172"/>
      <c r="W1464" s="172"/>
      <c r="X1464" s="172"/>
      <c r="AA1464" s="80"/>
    </row>
    <row r="1465" spans="9:27" x14ac:dyDescent="0.25">
      <c r="I1465" s="50"/>
      <c r="J1465" s="50"/>
      <c r="K1465" s="50"/>
      <c r="V1465" s="172"/>
      <c r="W1465" s="172"/>
      <c r="X1465" s="172"/>
      <c r="AA1465" s="80"/>
    </row>
    <row r="1466" spans="9:27" x14ac:dyDescent="0.25">
      <c r="I1466" s="50"/>
      <c r="J1466" s="50"/>
      <c r="K1466" s="50"/>
      <c r="V1466" s="172"/>
      <c r="W1466" s="172"/>
      <c r="X1466" s="172"/>
      <c r="AA1466" s="80"/>
    </row>
    <row r="1467" spans="9:27" x14ac:dyDescent="0.25">
      <c r="I1467" s="50"/>
      <c r="J1467" s="50"/>
      <c r="K1467" s="50"/>
      <c r="V1467" s="172"/>
      <c r="W1467" s="172"/>
      <c r="X1467" s="172"/>
      <c r="AA1467" s="80"/>
    </row>
    <row r="1468" spans="9:27" x14ac:dyDescent="0.25">
      <c r="I1468" s="50"/>
      <c r="J1468" s="50"/>
      <c r="K1468" s="50"/>
      <c r="V1468" s="172"/>
      <c r="W1468" s="172"/>
      <c r="X1468" s="172"/>
      <c r="AA1468" s="80"/>
    </row>
    <row r="1469" spans="9:27" x14ac:dyDescent="0.25">
      <c r="I1469" s="50"/>
      <c r="J1469" s="50"/>
      <c r="K1469" s="50"/>
      <c r="V1469" s="172"/>
      <c r="W1469" s="172"/>
      <c r="X1469" s="172"/>
      <c r="AA1469" s="80"/>
    </row>
    <row r="1470" spans="9:27" x14ac:dyDescent="0.25">
      <c r="I1470" s="50"/>
      <c r="J1470" s="50"/>
      <c r="K1470" s="50"/>
      <c r="V1470" s="172"/>
      <c r="W1470" s="172"/>
      <c r="X1470" s="172"/>
      <c r="AA1470" s="80"/>
    </row>
    <row r="1471" spans="9:27" x14ac:dyDescent="0.25">
      <c r="I1471" s="50"/>
      <c r="J1471" s="50"/>
      <c r="K1471" s="50"/>
      <c r="V1471" s="172"/>
      <c r="W1471" s="172"/>
      <c r="X1471" s="172"/>
      <c r="AA1471" s="80"/>
    </row>
    <row r="1472" spans="9:27" x14ac:dyDescent="0.25">
      <c r="I1472" s="50"/>
      <c r="J1472" s="50"/>
      <c r="K1472" s="50"/>
      <c r="V1472" s="172"/>
      <c r="W1472" s="172"/>
      <c r="X1472" s="172"/>
      <c r="AA1472" s="80"/>
    </row>
    <row r="1473" spans="9:27" x14ac:dyDescent="0.25">
      <c r="I1473" s="50"/>
      <c r="J1473" s="50"/>
      <c r="K1473" s="50"/>
      <c r="V1473" s="172"/>
      <c r="W1473" s="172"/>
      <c r="X1473" s="172"/>
      <c r="AA1473" s="80"/>
    </row>
    <row r="1474" spans="9:27" x14ac:dyDescent="0.25">
      <c r="I1474" s="50"/>
      <c r="J1474" s="50"/>
      <c r="K1474" s="50"/>
      <c r="V1474" s="172"/>
      <c r="W1474" s="172"/>
      <c r="X1474" s="172"/>
      <c r="AA1474" s="80"/>
    </row>
    <row r="1475" spans="9:27" x14ac:dyDescent="0.25">
      <c r="I1475" s="50"/>
      <c r="J1475" s="50"/>
      <c r="K1475" s="50"/>
      <c r="V1475" s="172"/>
      <c r="W1475" s="172"/>
      <c r="X1475" s="172"/>
      <c r="AA1475" s="80"/>
    </row>
    <row r="1476" spans="9:27" x14ac:dyDescent="0.25">
      <c r="I1476" s="50"/>
      <c r="J1476" s="50"/>
      <c r="K1476" s="50"/>
      <c r="V1476" s="172"/>
      <c r="W1476" s="172"/>
      <c r="X1476" s="172"/>
      <c r="AA1476" s="80"/>
    </row>
    <row r="1477" spans="9:27" x14ac:dyDescent="0.25">
      <c r="I1477" s="50"/>
      <c r="J1477" s="50"/>
      <c r="K1477" s="50"/>
      <c r="V1477" s="172"/>
      <c r="W1477" s="172"/>
      <c r="X1477" s="172"/>
      <c r="AA1477" s="80"/>
    </row>
    <row r="1478" spans="9:27" x14ac:dyDescent="0.25">
      <c r="I1478" s="50"/>
      <c r="J1478" s="50"/>
      <c r="K1478" s="50"/>
      <c r="V1478" s="172"/>
      <c r="W1478" s="172"/>
      <c r="X1478" s="172"/>
      <c r="AA1478" s="80"/>
    </row>
    <row r="1479" spans="9:27" x14ac:dyDescent="0.25">
      <c r="I1479" s="50"/>
      <c r="J1479" s="50"/>
      <c r="K1479" s="50"/>
      <c r="V1479" s="172"/>
      <c r="W1479" s="172"/>
      <c r="X1479" s="172"/>
      <c r="AA1479" s="80"/>
    </row>
    <row r="1480" spans="9:27" x14ac:dyDescent="0.25">
      <c r="I1480" s="50"/>
      <c r="J1480" s="50"/>
      <c r="K1480" s="50"/>
      <c r="V1480" s="172"/>
      <c r="W1480" s="172"/>
      <c r="X1480" s="172"/>
      <c r="AA1480" s="80"/>
    </row>
    <row r="1481" spans="9:27" x14ac:dyDescent="0.25">
      <c r="I1481" s="50"/>
      <c r="J1481" s="50"/>
      <c r="K1481" s="50"/>
      <c r="V1481" s="172"/>
      <c r="W1481" s="172"/>
      <c r="X1481" s="172"/>
      <c r="AA1481" s="80"/>
    </row>
    <row r="1482" spans="9:27" x14ac:dyDescent="0.25">
      <c r="I1482" s="50"/>
      <c r="J1482" s="50"/>
      <c r="K1482" s="50"/>
      <c r="V1482" s="172"/>
      <c r="W1482" s="172"/>
      <c r="X1482" s="172"/>
      <c r="AA1482" s="80"/>
    </row>
    <row r="1483" spans="9:27" x14ac:dyDescent="0.25">
      <c r="I1483" s="50"/>
      <c r="J1483" s="50"/>
      <c r="K1483" s="50"/>
      <c r="V1483" s="172"/>
      <c r="W1483" s="172"/>
      <c r="X1483" s="172"/>
      <c r="AA1483" s="80"/>
    </row>
    <row r="1484" spans="9:27" x14ac:dyDescent="0.25">
      <c r="I1484" s="50"/>
      <c r="J1484" s="50"/>
      <c r="K1484" s="50"/>
      <c r="V1484" s="172"/>
      <c r="W1484" s="172"/>
      <c r="X1484" s="172"/>
      <c r="AA1484" s="80"/>
    </row>
    <row r="1485" spans="9:27" x14ac:dyDescent="0.25">
      <c r="I1485" s="50"/>
      <c r="J1485" s="50"/>
      <c r="K1485" s="50"/>
      <c r="V1485" s="172"/>
      <c r="W1485" s="172"/>
      <c r="X1485" s="172"/>
      <c r="AA1485" s="80"/>
    </row>
    <row r="1486" spans="9:27" x14ac:dyDescent="0.25">
      <c r="I1486" s="50"/>
      <c r="J1486" s="50"/>
      <c r="K1486" s="50"/>
      <c r="V1486" s="172"/>
      <c r="W1486" s="172"/>
      <c r="X1486" s="172"/>
      <c r="AA1486" s="80"/>
    </row>
    <row r="1487" spans="9:27" x14ac:dyDescent="0.25">
      <c r="I1487" s="50"/>
      <c r="J1487" s="50"/>
      <c r="K1487" s="50"/>
      <c r="V1487" s="172"/>
      <c r="W1487" s="172"/>
      <c r="X1487" s="172"/>
      <c r="AA1487" s="80"/>
    </row>
    <row r="1488" spans="9:27" x14ac:dyDescent="0.25">
      <c r="I1488" s="50"/>
      <c r="J1488" s="50"/>
      <c r="K1488" s="50"/>
      <c r="V1488" s="172"/>
      <c r="W1488" s="172"/>
      <c r="X1488" s="172"/>
      <c r="AA1488" s="80"/>
    </row>
    <row r="1489" spans="9:27" x14ac:dyDescent="0.25">
      <c r="I1489" s="50"/>
      <c r="J1489" s="50"/>
      <c r="K1489" s="50"/>
      <c r="V1489" s="172"/>
      <c r="W1489" s="172"/>
      <c r="X1489" s="172"/>
      <c r="AA1489" s="80"/>
    </row>
    <row r="1490" spans="9:27" x14ac:dyDescent="0.25">
      <c r="I1490" s="50"/>
      <c r="J1490" s="50"/>
      <c r="K1490" s="50"/>
      <c r="V1490" s="172"/>
      <c r="W1490" s="172"/>
      <c r="X1490" s="172"/>
      <c r="AA1490" s="80"/>
    </row>
    <row r="1491" spans="9:27" x14ac:dyDescent="0.25">
      <c r="I1491" s="50"/>
      <c r="J1491" s="50"/>
      <c r="K1491" s="50"/>
      <c r="V1491" s="172"/>
      <c r="W1491" s="172"/>
      <c r="X1491" s="172"/>
      <c r="AA1491" s="80"/>
    </row>
    <row r="1492" spans="9:27" x14ac:dyDescent="0.25">
      <c r="I1492" s="50"/>
      <c r="J1492" s="50"/>
      <c r="K1492" s="50"/>
      <c r="V1492" s="172"/>
      <c r="W1492" s="172"/>
      <c r="X1492" s="172"/>
      <c r="AA1492" s="80"/>
    </row>
    <row r="1493" spans="9:27" x14ac:dyDescent="0.25">
      <c r="I1493" s="50"/>
      <c r="J1493" s="50"/>
      <c r="K1493" s="50"/>
      <c r="V1493" s="172"/>
      <c r="W1493" s="172"/>
      <c r="X1493" s="172"/>
      <c r="AA1493" s="80"/>
    </row>
    <row r="1494" spans="9:27" x14ac:dyDescent="0.25">
      <c r="I1494" s="50"/>
      <c r="J1494" s="50"/>
      <c r="K1494" s="50"/>
      <c r="V1494" s="172"/>
      <c r="W1494" s="172"/>
      <c r="X1494" s="172"/>
      <c r="AA1494" s="80"/>
    </row>
    <row r="1495" spans="9:27" x14ac:dyDescent="0.25">
      <c r="I1495" s="50"/>
      <c r="J1495" s="50"/>
      <c r="K1495" s="50"/>
      <c r="V1495" s="172"/>
      <c r="W1495" s="172"/>
      <c r="X1495" s="172"/>
      <c r="AA1495" s="80"/>
    </row>
    <row r="1496" spans="9:27" x14ac:dyDescent="0.25">
      <c r="I1496" s="50"/>
      <c r="J1496" s="50"/>
      <c r="K1496" s="50"/>
      <c r="V1496" s="172"/>
      <c r="W1496" s="172"/>
      <c r="X1496" s="172"/>
      <c r="AA1496" s="80"/>
    </row>
    <row r="1497" spans="9:27" x14ac:dyDescent="0.25">
      <c r="I1497" s="50"/>
      <c r="J1497" s="50"/>
      <c r="K1497" s="50"/>
      <c r="V1497" s="172"/>
      <c r="W1497" s="172"/>
      <c r="X1497" s="172"/>
      <c r="AA1497" s="80"/>
    </row>
    <row r="1498" spans="9:27" x14ac:dyDescent="0.25">
      <c r="I1498" s="50"/>
      <c r="J1498" s="50"/>
      <c r="K1498" s="50"/>
      <c r="V1498" s="172"/>
      <c r="W1498" s="172"/>
      <c r="X1498" s="172"/>
      <c r="AA1498" s="80"/>
    </row>
    <row r="1499" spans="9:27" x14ac:dyDescent="0.25">
      <c r="I1499" s="50"/>
      <c r="J1499" s="50"/>
      <c r="K1499" s="50"/>
      <c r="V1499" s="172"/>
      <c r="W1499" s="172"/>
      <c r="X1499" s="172"/>
      <c r="AA1499" s="80"/>
    </row>
    <row r="1500" spans="9:27" x14ac:dyDescent="0.25">
      <c r="I1500" s="50"/>
      <c r="J1500" s="50"/>
      <c r="K1500" s="50"/>
      <c r="V1500" s="172"/>
      <c r="W1500" s="172"/>
      <c r="X1500" s="172"/>
      <c r="AA1500" s="80"/>
    </row>
    <row r="1501" spans="9:27" x14ac:dyDescent="0.25">
      <c r="I1501" s="50"/>
      <c r="J1501" s="50"/>
      <c r="K1501" s="50"/>
      <c r="V1501" s="172"/>
      <c r="W1501" s="172"/>
      <c r="X1501" s="172"/>
      <c r="AA1501" s="80"/>
    </row>
    <row r="1502" spans="9:27" x14ac:dyDescent="0.25">
      <c r="I1502" s="50"/>
      <c r="J1502" s="50"/>
      <c r="K1502" s="50"/>
      <c r="V1502" s="172"/>
      <c r="W1502" s="172"/>
      <c r="X1502" s="172"/>
      <c r="AA1502" s="80"/>
    </row>
    <row r="1503" spans="9:27" x14ac:dyDescent="0.25">
      <c r="I1503" s="50"/>
      <c r="J1503" s="50"/>
      <c r="K1503" s="50"/>
      <c r="V1503" s="172"/>
      <c r="W1503" s="172"/>
      <c r="X1503" s="172"/>
      <c r="AA1503" s="80"/>
    </row>
    <row r="1504" spans="9:27" x14ac:dyDescent="0.25">
      <c r="I1504" s="50"/>
      <c r="J1504" s="50"/>
      <c r="K1504" s="50"/>
      <c r="V1504" s="172"/>
      <c r="W1504" s="172"/>
      <c r="X1504" s="172"/>
      <c r="AA1504" s="80"/>
    </row>
    <row r="1505" spans="9:27" x14ac:dyDescent="0.25">
      <c r="I1505" s="50"/>
      <c r="J1505" s="50"/>
      <c r="K1505" s="50"/>
      <c r="V1505" s="172"/>
      <c r="W1505" s="172"/>
      <c r="X1505" s="172"/>
      <c r="AA1505" s="80"/>
    </row>
    <row r="1506" spans="9:27" x14ac:dyDescent="0.25">
      <c r="I1506" s="50"/>
      <c r="J1506" s="50"/>
      <c r="K1506" s="50"/>
      <c r="V1506" s="172"/>
      <c r="W1506" s="172"/>
      <c r="X1506" s="172"/>
      <c r="AA1506" s="80"/>
    </row>
    <row r="1507" spans="9:27" x14ac:dyDescent="0.25">
      <c r="I1507" s="50"/>
      <c r="J1507" s="50"/>
      <c r="K1507" s="50"/>
      <c r="V1507" s="172"/>
      <c r="W1507" s="172"/>
      <c r="X1507" s="172"/>
      <c r="AA1507" s="80"/>
    </row>
    <row r="1508" spans="9:27" x14ac:dyDescent="0.25">
      <c r="I1508" s="50"/>
      <c r="J1508" s="50"/>
      <c r="K1508" s="50"/>
      <c r="V1508" s="172"/>
      <c r="W1508" s="172"/>
      <c r="X1508" s="172"/>
      <c r="AA1508" s="80"/>
    </row>
    <row r="1509" spans="9:27" x14ac:dyDescent="0.25">
      <c r="I1509" s="50"/>
      <c r="J1509" s="50"/>
      <c r="K1509" s="50"/>
      <c r="V1509" s="172"/>
      <c r="W1509" s="172"/>
      <c r="X1509" s="172"/>
      <c r="AA1509" s="80"/>
    </row>
    <row r="1510" spans="9:27" x14ac:dyDescent="0.25">
      <c r="I1510" s="50"/>
      <c r="J1510" s="50"/>
      <c r="K1510" s="50"/>
      <c r="V1510" s="172"/>
      <c r="W1510" s="172"/>
      <c r="X1510" s="172"/>
      <c r="AA1510" s="80"/>
    </row>
    <row r="1511" spans="9:27" x14ac:dyDescent="0.25">
      <c r="I1511" s="50"/>
      <c r="J1511" s="50"/>
      <c r="K1511" s="50"/>
      <c r="V1511" s="172"/>
      <c r="W1511" s="172"/>
      <c r="X1511" s="172"/>
      <c r="AA1511" s="80"/>
    </row>
    <row r="1512" spans="9:27" x14ac:dyDescent="0.25">
      <c r="I1512" s="50"/>
      <c r="J1512" s="50"/>
      <c r="K1512" s="50"/>
      <c r="V1512" s="172"/>
      <c r="W1512" s="172"/>
      <c r="X1512" s="172"/>
      <c r="AA1512" s="80"/>
    </row>
    <row r="1513" spans="9:27" x14ac:dyDescent="0.25">
      <c r="I1513" s="50"/>
      <c r="J1513" s="50"/>
      <c r="K1513" s="50"/>
      <c r="V1513" s="172"/>
      <c r="W1513" s="172"/>
      <c r="X1513" s="172"/>
      <c r="AA1513" s="80"/>
    </row>
    <row r="1514" spans="9:27" x14ac:dyDescent="0.25">
      <c r="I1514" s="50"/>
      <c r="J1514" s="50"/>
      <c r="K1514" s="50"/>
      <c r="V1514" s="172"/>
      <c r="W1514" s="172"/>
      <c r="X1514" s="172"/>
      <c r="AA1514" s="80"/>
    </row>
    <row r="1515" spans="9:27" x14ac:dyDescent="0.25">
      <c r="I1515" s="50"/>
      <c r="J1515" s="50"/>
      <c r="K1515" s="50"/>
      <c r="V1515" s="172"/>
      <c r="W1515" s="172"/>
      <c r="X1515" s="172"/>
      <c r="AA1515" s="80"/>
    </row>
    <row r="1516" spans="9:27" x14ac:dyDescent="0.25">
      <c r="I1516" s="50"/>
      <c r="J1516" s="50"/>
      <c r="K1516" s="50"/>
      <c r="V1516" s="172"/>
      <c r="W1516" s="172"/>
      <c r="X1516" s="172"/>
      <c r="AA1516" s="80"/>
    </row>
    <row r="1517" spans="9:27" x14ac:dyDescent="0.25">
      <c r="I1517" s="50"/>
      <c r="J1517" s="50"/>
      <c r="K1517" s="50"/>
      <c r="V1517" s="172"/>
      <c r="W1517" s="172"/>
      <c r="X1517" s="172"/>
      <c r="AA1517" s="80"/>
    </row>
    <row r="1518" spans="9:27" x14ac:dyDescent="0.25">
      <c r="I1518" s="50"/>
      <c r="J1518" s="50"/>
      <c r="K1518" s="50"/>
      <c r="V1518" s="172"/>
      <c r="W1518" s="172"/>
      <c r="X1518" s="172"/>
      <c r="AA1518" s="80"/>
    </row>
    <row r="1519" spans="9:27" x14ac:dyDescent="0.25">
      <c r="I1519" s="50"/>
      <c r="J1519" s="50"/>
      <c r="K1519" s="50"/>
      <c r="V1519" s="172"/>
      <c r="W1519" s="172"/>
      <c r="X1519" s="172"/>
      <c r="AA1519" s="80"/>
    </row>
    <row r="1520" spans="9:27" x14ac:dyDescent="0.25">
      <c r="I1520" s="50"/>
      <c r="J1520" s="50"/>
      <c r="K1520" s="50"/>
      <c r="V1520" s="172"/>
      <c r="W1520" s="172"/>
      <c r="X1520" s="172"/>
      <c r="AA1520" s="80"/>
    </row>
    <row r="1521" spans="9:27" x14ac:dyDescent="0.25">
      <c r="I1521" s="50"/>
      <c r="J1521" s="50"/>
      <c r="K1521" s="50"/>
      <c r="V1521" s="172"/>
      <c r="W1521" s="172"/>
      <c r="X1521" s="172"/>
      <c r="AA1521" s="80"/>
    </row>
    <row r="1522" spans="9:27" x14ac:dyDescent="0.25">
      <c r="I1522" s="50"/>
      <c r="J1522" s="50"/>
      <c r="K1522" s="50"/>
      <c r="V1522" s="172"/>
      <c r="W1522" s="172"/>
      <c r="X1522" s="172"/>
      <c r="AA1522" s="80"/>
    </row>
    <row r="1523" spans="9:27" x14ac:dyDescent="0.25">
      <c r="I1523" s="50"/>
      <c r="J1523" s="50"/>
      <c r="K1523" s="50"/>
      <c r="V1523" s="172"/>
      <c r="W1523" s="172"/>
      <c r="X1523" s="172"/>
      <c r="AA1523" s="80"/>
    </row>
    <row r="1524" spans="9:27" x14ac:dyDescent="0.25">
      <c r="I1524" s="50"/>
      <c r="J1524" s="50"/>
      <c r="K1524" s="50"/>
      <c r="V1524" s="172"/>
      <c r="W1524" s="172"/>
      <c r="X1524" s="172"/>
      <c r="AA1524" s="80"/>
    </row>
    <row r="1525" spans="9:27" x14ac:dyDescent="0.25">
      <c r="I1525" s="50"/>
      <c r="J1525" s="50"/>
      <c r="K1525" s="50"/>
      <c r="V1525" s="172"/>
      <c r="W1525" s="172"/>
      <c r="X1525" s="172"/>
      <c r="AA1525" s="80"/>
    </row>
    <row r="1526" spans="9:27" x14ac:dyDescent="0.25">
      <c r="I1526" s="50"/>
      <c r="J1526" s="50"/>
      <c r="K1526" s="50"/>
      <c r="V1526" s="172"/>
      <c r="W1526" s="172"/>
      <c r="X1526" s="172"/>
      <c r="AA1526" s="80"/>
    </row>
    <row r="1527" spans="9:27" x14ac:dyDescent="0.25">
      <c r="I1527" s="50"/>
      <c r="J1527" s="50"/>
      <c r="K1527" s="50"/>
      <c r="V1527" s="172"/>
      <c r="W1527" s="172"/>
      <c r="X1527" s="172"/>
      <c r="AA1527" s="80"/>
    </row>
    <row r="1528" spans="9:27" x14ac:dyDescent="0.25">
      <c r="I1528" s="50"/>
      <c r="J1528" s="50"/>
      <c r="K1528" s="50"/>
      <c r="V1528" s="172"/>
      <c r="W1528" s="172"/>
      <c r="X1528" s="172"/>
      <c r="AA1528" s="80"/>
    </row>
    <row r="1529" spans="9:27" x14ac:dyDescent="0.25">
      <c r="I1529" s="50"/>
      <c r="J1529" s="50"/>
      <c r="K1529" s="50"/>
      <c r="V1529" s="172"/>
      <c r="W1529" s="172"/>
      <c r="X1529" s="172"/>
      <c r="AA1529" s="80"/>
    </row>
    <row r="1530" spans="9:27" x14ac:dyDescent="0.25">
      <c r="I1530" s="50"/>
      <c r="J1530" s="50"/>
      <c r="K1530" s="50"/>
      <c r="V1530" s="172"/>
      <c r="W1530" s="172"/>
      <c r="X1530" s="172"/>
      <c r="AA1530" s="80"/>
    </row>
    <row r="1531" spans="9:27" x14ac:dyDescent="0.25">
      <c r="I1531" s="50"/>
      <c r="J1531" s="50"/>
      <c r="K1531" s="50"/>
      <c r="V1531" s="172"/>
      <c r="W1531" s="172"/>
      <c r="X1531" s="172"/>
      <c r="AA1531" s="80"/>
    </row>
    <row r="1532" spans="9:27" x14ac:dyDescent="0.25">
      <c r="I1532" s="50"/>
      <c r="J1532" s="50"/>
      <c r="K1532" s="50"/>
      <c r="V1532" s="172"/>
      <c r="W1532" s="172"/>
      <c r="X1532" s="172"/>
      <c r="AA1532" s="80"/>
    </row>
    <row r="1533" spans="9:27" x14ac:dyDescent="0.25">
      <c r="I1533" s="50"/>
      <c r="J1533" s="50"/>
      <c r="K1533" s="50"/>
      <c r="V1533" s="172"/>
      <c r="W1533" s="172"/>
      <c r="X1533" s="172"/>
      <c r="AA1533" s="80"/>
    </row>
    <row r="1534" spans="9:27" x14ac:dyDescent="0.25">
      <c r="I1534" s="50"/>
      <c r="J1534" s="50"/>
      <c r="K1534" s="50"/>
      <c r="V1534" s="172"/>
      <c r="W1534" s="172"/>
      <c r="X1534" s="172"/>
      <c r="AA1534" s="80"/>
    </row>
    <row r="1535" spans="9:27" x14ac:dyDescent="0.25">
      <c r="I1535" s="50"/>
      <c r="J1535" s="50"/>
      <c r="K1535" s="50"/>
      <c r="V1535" s="172"/>
      <c r="W1535" s="172"/>
      <c r="X1535" s="172"/>
      <c r="AA1535" s="80"/>
    </row>
    <row r="1536" spans="9:27" x14ac:dyDescent="0.25">
      <c r="I1536" s="50"/>
      <c r="J1536" s="50"/>
      <c r="K1536" s="50"/>
      <c r="V1536" s="172"/>
      <c r="W1536" s="172"/>
      <c r="X1536" s="172"/>
      <c r="AA1536" s="80"/>
    </row>
    <row r="1537" spans="9:27" x14ac:dyDescent="0.25">
      <c r="I1537" s="50"/>
      <c r="J1537" s="50"/>
      <c r="K1537" s="50"/>
      <c r="V1537" s="172"/>
      <c r="W1537" s="172"/>
      <c r="X1537" s="172"/>
      <c r="AA1537" s="80"/>
    </row>
    <row r="1538" spans="9:27" x14ac:dyDescent="0.25">
      <c r="I1538" s="50"/>
      <c r="J1538" s="50"/>
      <c r="K1538" s="50"/>
      <c r="V1538" s="172"/>
      <c r="W1538" s="172"/>
      <c r="X1538" s="172"/>
      <c r="AA1538" s="80"/>
    </row>
    <row r="1539" spans="9:27" x14ac:dyDescent="0.25">
      <c r="I1539" s="50"/>
      <c r="J1539" s="50"/>
      <c r="K1539" s="50"/>
      <c r="V1539" s="172"/>
      <c r="W1539" s="172"/>
      <c r="X1539" s="172"/>
      <c r="AA1539" s="80"/>
    </row>
    <row r="1540" spans="9:27" x14ac:dyDescent="0.25">
      <c r="I1540" s="50"/>
      <c r="J1540" s="50"/>
      <c r="K1540" s="50"/>
      <c r="V1540" s="172"/>
      <c r="W1540" s="172"/>
      <c r="X1540" s="172"/>
      <c r="AA1540" s="80"/>
    </row>
    <row r="1541" spans="9:27" x14ac:dyDescent="0.25">
      <c r="I1541" s="50"/>
      <c r="J1541" s="50"/>
      <c r="K1541" s="50"/>
      <c r="V1541" s="172"/>
      <c r="W1541" s="172"/>
      <c r="X1541" s="172"/>
      <c r="AA1541" s="80"/>
    </row>
    <row r="1542" spans="9:27" x14ac:dyDescent="0.25">
      <c r="I1542" s="50"/>
      <c r="J1542" s="50"/>
      <c r="K1542" s="50"/>
      <c r="V1542" s="172"/>
      <c r="W1542" s="172"/>
      <c r="X1542" s="172"/>
      <c r="AA1542" s="80"/>
    </row>
    <row r="1543" spans="9:27" x14ac:dyDescent="0.25">
      <c r="I1543" s="50"/>
      <c r="J1543" s="50"/>
      <c r="K1543" s="50"/>
      <c r="V1543" s="172"/>
      <c r="W1543" s="172"/>
      <c r="X1543" s="172"/>
      <c r="AA1543" s="80"/>
    </row>
    <row r="1544" spans="9:27" x14ac:dyDescent="0.25">
      <c r="I1544" s="50"/>
      <c r="J1544" s="50"/>
      <c r="K1544" s="50"/>
      <c r="V1544" s="172"/>
      <c r="W1544" s="172"/>
      <c r="X1544" s="172"/>
      <c r="AA1544" s="80"/>
    </row>
    <row r="1545" spans="9:27" x14ac:dyDescent="0.25">
      <c r="I1545" s="50"/>
      <c r="J1545" s="50"/>
      <c r="K1545" s="50"/>
      <c r="V1545" s="172"/>
      <c r="W1545" s="172"/>
      <c r="X1545" s="172"/>
      <c r="AA1545" s="80"/>
    </row>
    <row r="1546" spans="9:27" x14ac:dyDescent="0.25">
      <c r="I1546" s="50"/>
      <c r="J1546" s="50"/>
      <c r="K1546" s="50"/>
      <c r="V1546" s="172"/>
      <c r="W1546" s="172"/>
      <c r="X1546" s="172"/>
      <c r="AA1546" s="80"/>
    </row>
    <row r="1547" spans="9:27" x14ac:dyDescent="0.25">
      <c r="I1547" s="50"/>
      <c r="J1547" s="50"/>
      <c r="K1547" s="50"/>
      <c r="V1547" s="172"/>
      <c r="W1547" s="172"/>
      <c r="X1547" s="172"/>
      <c r="AA1547" s="80"/>
    </row>
    <row r="1548" spans="9:27" x14ac:dyDescent="0.25">
      <c r="I1548" s="50"/>
      <c r="J1548" s="50"/>
      <c r="K1548" s="50"/>
      <c r="V1548" s="172"/>
      <c r="W1548" s="172"/>
      <c r="X1548" s="172"/>
      <c r="AA1548" s="80"/>
    </row>
    <row r="1549" spans="9:27" x14ac:dyDescent="0.25">
      <c r="I1549" s="50"/>
      <c r="J1549" s="50"/>
      <c r="K1549" s="50"/>
      <c r="V1549" s="172"/>
      <c r="W1549" s="172"/>
      <c r="X1549" s="172"/>
      <c r="AA1549" s="80"/>
    </row>
    <row r="1550" spans="9:27" x14ac:dyDescent="0.25">
      <c r="I1550" s="50"/>
      <c r="J1550" s="50"/>
      <c r="K1550" s="50"/>
      <c r="V1550" s="172"/>
      <c r="W1550" s="172"/>
      <c r="X1550" s="172"/>
      <c r="AA1550" s="80"/>
    </row>
    <row r="1551" spans="9:27" x14ac:dyDescent="0.25">
      <c r="I1551" s="50"/>
      <c r="J1551" s="50"/>
      <c r="K1551" s="50"/>
      <c r="V1551" s="172"/>
      <c r="W1551" s="172"/>
      <c r="X1551" s="172"/>
      <c r="AA1551" s="80"/>
    </row>
    <row r="1552" spans="9:27" x14ac:dyDescent="0.25">
      <c r="I1552" s="50"/>
      <c r="J1552" s="50"/>
      <c r="K1552" s="50"/>
      <c r="V1552" s="172"/>
      <c r="W1552" s="172"/>
      <c r="X1552" s="172"/>
      <c r="AA1552" s="80"/>
    </row>
    <row r="1553" spans="9:27" x14ac:dyDescent="0.25">
      <c r="I1553" s="50"/>
      <c r="J1553" s="50"/>
      <c r="K1553" s="50"/>
      <c r="V1553" s="172"/>
      <c r="W1553" s="172"/>
      <c r="X1553" s="172"/>
      <c r="AA1553" s="80"/>
    </row>
    <row r="1554" spans="9:27" x14ac:dyDescent="0.25">
      <c r="V1554" s="172"/>
      <c r="W1554" s="172"/>
      <c r="X1554" s="172"/>
      <c r="AA1554" s="80"/>
    </row>
    <row r="1555" spans="9:27" x14ac:dyDescent="0.25">
      <c r="V1555" s="172"/>
      <c r="W1555" s="172"/>
      <c r="X1555" s="172"/>
      <c r="AA1555" s="80"/>
    </row>
    <row r="1556" spans="9:27" x14ac:dyDescent="0.25">
      <c r="V1556" s="172"/>
      <c r="W1556" s="172"/>
      <c r="X1556" s="172"/>
      <c r="AA1556" s="80"/>
    </row>
    <row r="1557" spans="9:27" x14ac:dyDescent="0.25">
      <c r="AA1557" s="80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</protectedRanges>
  <dataConsolidate link="1"/>
  <mergeCells count="8"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D09-082F-4A63-B161-63F7FBA662B9}">
  <sheetPr codeName="Sheet6"/>
  <dimension ref="A1:D29"/>
  <sheetViews>
    <sheetView tabSelected="1" workbookViewId="0">
      <selection activeCell="A7" sqref="A7"/>
    </sheetView>
  </sheetViews>
  <sheetFormatPr defaultRowHeight="15.75" x14ac:dyDescent="0.25"/>
  <cols>
    <col min="1" max="1" width="33" bestFit="1" customWidth="1"/>
  </cols>
  <sheetData>
    <row r="1" spans="1:4" x14ac:dyDescent="0.25">
      <c r="A1" s="147"/>
      <c r="B1" s="98" t="s">
        <v>535</v>
      </c>
      <c r="C1" s="98" t="s">
        <v>603</v>
      </c>
      <c r="D1" s="148" t="s">
        <v>604</v>
      </c>
    </row>
    <row r="2" spans="1:4" x14ac:dyDescent="0.25">
      <c r="A2" s="148" t="s">
        <v>696</v>
      </c>
      <c r="B2" s="149">
        <f>Reflectivity!H14</f>
        <v>2.8020705740343073</v>
      </c>
      <c r="C2" s="149">
        <f>swellRatioRich!D4</f>
        <v>6.2238855948859799E-2</v>
      </c>
      <c r="D2" s="150"/>
    </row>
    <row r="3" spans="1:4" x14ac:dyDescent="0.25">
      <c r="A3" s="148" t="s">
        <v>647</v>
      </c>
      <c r="B3" s="149">
        <f>Reflectivity!H18</f>
        <v>3.6108080603044077</v>
      </c>
      <c r="C3" s="149">
        <f>swellRatioPoor!D4</f>
        <v>0.15501246495741242</v>
      </c>
      <c r="D3" s="150"/>
    </row>
    <row r="4" spans="1:4" x14ac:dyDescent="0.25">
      <c r="A4" s="148" t="s">
        <v>634</v>
      </c>
      <c r="B4" s="149">
        <f>Reflectivity!H22</f>
        <v>3.0211394271977348</v>
      </c>
      <c r="C4" s="149">
        <f>SQRT((B2-B3)^2*C11^2+B11^2*(C2^2+C3^2))</f>
        <v>0.11993141830065891</v>
      </c>
      <c r="D4" s="150"/>
    </row>
    <row r="5" spans="1:4" x14ac:dyDescent="0.25">
      <c r="A5" s="148" t="s">
        <v>637</v>
      </c>
      <c r="B5" s="149">
        <f>B15/B14</f>
        <v>3.0211394271977352</v>
      </c>
      <c r="C5" s="149">
        <f>B5*SQRT((C15/B14)^2+(C14*B15/B14^2)^2)</f>
        <v>0.66978460846658294</v>
      </c>
      <c r="D5" s="150"/>
    </row>
    <row r="6" spans="1:4" ht="18.75" x14ac:dyDescent="0.25">
      <c r="A6" s="98" t="s">
        <v>695</v>
      </c>
      <c r="B6" s="149">
        <f>Reflectivity!H16</f>
        <v>0.64312105153003318</v>
      </c>
      <c r="C6" s="149">
        <f>C2/B2^2</f>
        <v>7.9269015102011765E-3</v>
      </c>
      <c r="D6" s="150"/>
    </row>
    <row r="7" spans="1:4" ht="18.75" x14ac:dyDescent="0.25">
      <c r="A7" s="98" t="s">
        <v>645</v>
      </c>
      <c r="B7" s="149">
        <f>Reflectivity!H20</f>
        <v>0.72305368125391434</v>
      </c>
      <c r="C7" s="149">
        <f>C3/B3^2</f>
        <v>1.1889341890438998E-2</v>
      </c>
      <c r="D7" s="150"/>
    </row>
    <row r="8" spans="1:4" ht="18.75" x14ac:dyDescent="0.25">
      <c r="A8" s="98" t="s">
        <v>638</v>
      </c>
      <c r="B8" s="149">
        <f>Reflectivity!H24</f>
        <v>0.66899905678052329</v>
      </c>
      <c r="C8" s="149">
        <f>C4/B4^2</f>
        <v>1.3139881007077237E-2</v>
      </c>
      <c r="D8" s="150"/>
    </row>
    <row r="9" spans="1:4" ht="18.75" x14ac:dyDescent="0.25">
      <c r="A9" s="98" t="s">
        <v>648</v>
      </c>
      <c r="B9" s="149">
        <f>1-1/B5</f>
        <v>0.66899905678052329</v>
      </c>
      <c r="C9" s="149">
        <f>C5/B5^2</f>
        <v>7.3382689709876978E-2</v>
      </c>
      <c r="D9" s="150"/>
    </row>
    <row r="11" spans="1:4" ht="17.25" x14ac:dyDescent="0.25">
      <c r="A11" s="98" t="s">
        <v>616</v>
      </c>
      <c r="B11" s="187">
        <v>0.71599999999999997</v>
      </c>
      <c r="C11" s="187">
        <v>1.0999999999999999E-2</v>
      </c>
      <c r="D11" s="150"/>
    </row>
    <row r="12" spans="1:4" ht="18.75" x14ac:dyDescent="0.25">
      <c r="A12" s="98" t="s">
        <v>649</v>
      </c>
      <c r="B12" s="150">
        <f>Reflectivity!$F$33</f>
        <v>44.525552128511919</v>
      </c>
      <c r="C12" s="150">
        <v>3.1</v>
      </c>
      <c r="D12" s="150"/>
    </row>
    <row r="13" spans="1:4" ht="18.75" x14ac:dyDescent="0.25">
      <c r="A13" s="98" t="s">
        <v>650</v>
      </c>
      <c r="B13" s="150">
        <f>Reflectivity!$H$8</f>
        <v>124.76373941193387</v>
      </c>
      <c r="C13" s="150">
        <f>B13*SQRT((C2^2/B2^2)+(C12^2/B12^2))</f>
        <v>9.1177589524121103</v>
      </c>
      <c r="D13" s="150"/>
    </row>
    <row r="14" spans="1:4" ht="18.75" x14ac:dyDescent="0.25">
      <c r="A14" s="98" t="s">
        <v>651</v>
      </c>
      <c r="B14" s="150">
        <f>Reflectivity!$H$40</f>
        <v>382.66461979686312</v>
      </c>
      <c r="C14" s="150">
        <v>16.7</v>
      </c>
      <c r="D14" s="150"/>
    </row>
    <row r="15" spans="1:4" ht="18.75" x14ac:dyDescent="0.25">
      <c r="A15" s="98" t="s">
        <v>643</v>
      </c>
      <c r="B15" s="150">
        <f>Reflectivity!$H$12</f>
        <v>1156.0831702619341</v>
      </c>
      <c r="C15" s="150">
        <f>B15*SQRT((C14^2/B14^2)+(C4^2/B4^2))</f>
        <v>68.203536507017191</v>
      </c>
      <c r="D15" s="150"/>
    </row>
    <row r="16" spans="1:4" ht="18.75" x14ac:dyDescent="0.25">
      <c r="A16" s="98" t="s">
        <v>652</v>
      </c>
      <c r="B16" s="150">
        <f>Reflectivity!H38</f>
        <v>118.61517618833636</v>
      </c>
      <c r="C16" s="150">
        <v>2.1</v>
      </c>
      <c r="D16" s="149"/>
    </row>
    <row r="17" spans="1:4" ht="18.75" x14ac:dyDescent="0.25">
      <c r="A17" s="98" t="s">
        <v>653</v>
      </c>
      <c r="B17" s="150">
        <f>Reflectivity!F8</f>
        <v>233.58924603465499</v>
      </c>
      <c r="C17" s="150">
        <f>SQRT(B16^2*C4^2+B4^2*C16^2+C13^2)</f>
        <v>18.048684144083971</v>
      </c>
      <c r="D17" s="149"/>
    </row>
    <row r="18" spans="1:4" ht="18.75" x14ac:dyDescent="0.25">
      <c r="A18" s="98" t="s">
        <v>654</v>
      </c>
      <c r="B18" s="150">
        <f>Reflectivity!F32</f>
        <v>36.089658308560537</v>
      </c>
      <c r="C18" s="150">
        <v>12</v>
      </c>
      <c r="D18" s="150"/>
    </row>
    <row r="19" spans="1:4" ht="18.75" x14ac:dyDescent="0.25">
      <c r="A19" s="98" t="s">
        <v>655</v>
      </c>
      <c r="B19" s="150">
        <f>Reflectivity!F12</f>
        <v>113.90897045071731</v>
      </c>
      <c r="C19" s="150">
        <f>SQRT(B3^2*C18^2+(B18+B12/2)^2*C3^2+0.25*C13^2+0.25*B3^2*C12^2)</f>
        <v>44.848501425960471</v>
      </c>
      <c r="D19" s="150"/>
    </row>
    <row r="20" spans="1:4" ht="18.75" x14ac:dyDescent="0.25">
      <c r="A20" s="98" t="s">
        <v>656</v>
      </c>
      <c r="B20" s="150">
        <f>Reflectivity!F38</f>
        <v>64.819056983118031</v>
      </c>
      <c r="C20" s="150">
        <v>4.5999999999999996</v>
      </c>
      <c r="D20" s="150"/>
    </row>
    <row r="21" spans="1:4" ht="18.75" x14ac:dyDescent="0.25">
      <c r="A21" s="98" t="s">
        <v>657</v>
      </c>
      <c r="B21" s="150">
        <f>Reflectivity!F6</f>
        <v>200.70448950610529</v>
      </c>
      <c r="C21" s="150">
        <f>SQRT(B6^2*C20^2+(B20+B14/2)^2*C6^2+0.25*C15^2+0.25*B6^2*C14^2)</f>
        <v>34.707965973811554</v>
      </c>
      <c r="D21" s="150"/>
    </row>
    <row r="23" spans="1:4" ht="18.75" x14ac:dyDescent="0.25">
      <c r="A23" s="98" t="s">
        <v>658</v>
      </c>
      <c r="B23" s="189">
        <f>Reflectivity!H32</f>
        <v>9.4545576236162603E-7</v>
      </c>
      <c r="C23" s="189">
        <v>1.03E-8</v>
      </c>
      <c r="D23" s="149"/>
    </row>
    <row r="24" spans="1:4" ht="18.75" x14ac:dyDescent="0.25">
      <c r="A24" s="98" t="s">
        <v>659</v>
      </c>
      <c r="B24" s="189">
        <f>[1]Reflectivity!C13</f>
        <v>-5.6000000000000004E-7</v>
      </c>
      <c r="C24" s="189"/>
      <c r="D24" s="149"/>
    </row>
    <row r="25" spans="1:4" ht="18.75" x14ac:dyDescent="0.25">
      <c r="A25" s="98" t="s">
        <v>639</v>
      </c>
      <c r="B25" s="189">
        <f>Reflectivity!H4</f>
        <v>-5.5330594452061435E-8</v>
      </c>
      <c r="C25" s="189">
        <f>SQRT((B23*(B7-B6)+B24*(B6-B7))^2*C11^2+(B11*(B24-B23))^2*C6^2+(1-B7+B11*(B7-B6))^2*C23^2+(B23-B24)^2*C7^2)</f>
        <v>2.0173679287696196E-8</v>
      </c>
      <c r="D25" s="149"/>
    </row>
    <row r="26" spans="1:4" ht="18.75" x14ac:dyDescent="0.25">
      <c r="A26" s="98" t="s">
        <v>660</v>
      </c>
      <c r="B26" s="189">
        <f>Reflectivity!H34</f>
        <v>2.8630735093003271E-6</v>
      </c>
      <c r="C26" s="189">
        <v>2.6199999999999999E-7</v>
      </c>
      <c r="D26" s="149"/>
    </row>
    <row r="27" spans="1:4" ht="18.75" x14ac:dyDescent="0.25">
      <c r="A27" s="98" t="s">
        <v>640</v>
      </c>
      <c r="B27" s="189">
        <f>Reflectivity!H6</f>
        <v>6.6162287453449993E-7</v>
      </c>
      <c r="C27" s="189">
        <f>SQRT((B24-B26)^2*C6^2+(1-B6)^2*C26^2)</f>
        <v>9.7359904764402185E-8</v>
      </c>
      <c r="D27" s="149"/>
    </row>
    <row r="29" spans="1:4" ht="18.75" x14ac:dyDescent="0.25">
      <c r="A29" s="98" t="s">
        <v>605</v>
      </c>
      <c r="B29" s="150">
        <f>Reflectivity!G7/2.35</f>
        <v>21.719853489183553</v>
      </c>
      <c r="C29" s="150">
        <f>sigMarker!D4/2.35</f>
        <v>8.7759480346313499</v>
      </c>
      <c r="D29" s="1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F9C4-E1D5-4D84-A5E4-FA217140783A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622</v>
      </c>
      <c r="B2" s="167">
        <v>2.68</v>
      </c>
      <c r="C2" s="167">
        <v>2.88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2.68</v>
      </c>
      <c r="B4" s="100">
        <v>11.434297174711592</v>
      </c>
      <c r="C4" s="101">
        <v>2.8020705740343073</v>
      </c>
      <c r="D4" s="101">
        <v>6.2238855948859799E-2</v>
      </c>
    </row>
    <row r="5" spans="1:5" x14ac:dyDescent="0.25">
      <c r="A5" s="101">
        <v>2.72</v>
      </c>
      <c r="B5" s="100">
        <v>9.2711004072838428</v>
      </c>
      <c r="C5" s="100"/>
      <c r="D5" s="100"/>
    </row>
    <row r="6" spans="1:5" x14ac:dyDescent="0.25">
      <c r="A6" s="101">
        <v>2.7600000000000002</v>
      </c>
      <c r="B6" s="100">
        <v>8.0061795347245397</v>
      </c>
      <c r="C6" s="100"/>
      <c r="D6" s="100"/>
    </row>
    <row r="7" spans="1:5" x14ac:dyDescent="0.25">
      <c r="A7" s="101">
        <v>2.8</v>
      </c>
      <c r="B7" s="100">
        <v>7.5866980218950246</v>
      </c>
      <c r="C7" s="100"/>
      <c r="D7" s="100"/>
    </row>
    <row r="8" spans="1:5" x14ac:dyDescent="0.25">
      <c r="A8" s="101">
        <v>2.84</v>
      </c>
      <c r="B8" s="100">
        <v>7.9623578428320743</v>
      </c>
      <c r="C8" s="100"/>
      <c r="D8" s="100"/>
    </row>
    <row r="9" spans="1:5" x14ac:dyDescent="0.25">
      <c r="A9" s="101">
        <v>2.88</v>
      </c>
      <c r="B9" s="100">
        <v>9.1127942526719465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16F8-DED4-48E5-ABBD-51D996F74B91}">
  <sheetPr codeName="Sheet22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623</v>
      </c>
      <c r="B2" s="167">
        <v>3.35</v>
      </c>
      <c r="C2" s="167">
        <v>3.95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3.35</v>
      </c>
      <c r="B4" s="100">
        <v>10.294775807371314</v>
      </c>
      <c r="C4" s="101">
        <v>3.6108080603044077</v>
      </c>
      <c r="D4" s="101">
        <v>0.15501246495741242</v>
      </c>
    </row>
    <row r="5" spans="1:5" x14ac:dyDescent="0.25">
      <c r="A5" s="101">
        <v>3.47</v>
      </c>
      <c r="B5" s="100">
        <v>8.4670643358000461</v>
      </c>
      <c r="C5" s="100"/>
      <c r="D5" s="100"/>
    </row>
    <row r="6" spans="1:5" x14ac:dyDescent="0.25">
      <c r="A6" s="101">
        <v>3.5900000000000003</v>
      </c>
      <c r="B6" s="100">
        <v>7.6192037195401987</v>
      </c>
      <c r="C6" s="100"/>
      <c r="D6" s="100"/>
    </row>
    <row r="7" spans="1:5" x14ac:dyDescent="0.25">
      <c r="A7" s="101">
        <v>3.71</v>
      </c>
      <c r="B7" s="100">
        <v>7.889198363622862</v>
      </c>
      <c r="C7" s="100"/>
      <c r="D7" s="100"/>
    </row>
    <row r="8" spans="1:5" x14ac:dyDescent="0.25">
      <c r="A8" s="101">
        <v>3.83</v>
      </c>
      <c r="B8" s="100">
        <v>9.4298366458627445</v>
      </c>
      <c r="C8" s="100"/>
      <c r="D8" s="100"/>
    </row>
    <row r="9" spans="1:5" x14ac:dyDescent="0.25">
      <c r="A9" s="101">
        <v>3.95</v>
      </c>
      <c r="B9" s="100">
        <v>12.403253762481134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06" t="s">
        <v>531</v>
      </c>
      <c r="C1" s="106" t="s">
        <v>532</v>
      </c>
      <c r="D1" s="96" t="s">
        <v>533</v>
      </c>
      <c r="E1" s="168" t="s">
        <v>534</v>
      </c>
    </row>
    <row r="2" spans="1:5" x14ac:dyDescent="0.25">
      <c r="A2" s="103" t="s">
        <v>546</v>
      </c>
      <c r="B2" s="121">
        <v>26</v>
      </c>
      <c r="C2" s="121">
        <v>76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26</v>
      </c>
      <c r="B4" s="99">
        <v>9.0929994547802888</v>
      </c>
      <c r="C4" s="122">
        <v>51.041655699581355</v>
      </c>
      <c r="D4" s="122">
        <v>20.623477881383671</v>
      </c>
    </row>
    <row r="5" spans="1:5" x14ac:dyDescent="0.25">
      <c r="A5" s="122">
        <v>36</v>
      </c>
      <c r="B5" s="99">
        <v>8.0027074105177274</v>
      </c>
      <c r="C5" s="100"/>
      <c r="D5" s="100"/>
    </row>
    <row r="6" spans="1:5" x14ac:dyDescent="0.25">
      <c r="A6" s="122">
        <v>46</v>
      </c>
      <c r="B6" s="99">
        <v>7.5714227733294006</v>
      </c>
      <c r="C6" s="100"/>
      <c r="D6" s="100"/>
    </row>
    <row r="7" spans="1:5" x14ac:dyDescent="0.25">
      <c r="A7" s="122">
        <v>56</v>
      </c>
      <c r="B7" s="99">
        <v>7.6678443052625438</v>
      </c>
      <c r="C7" s="100"/>
      <c r="D7" s="100"/>
    </row>
    <row r="8" spans="1:5" x14ac:dyDescent="0.25">
      <c r="A8" s="122">
        <v>66</v>
      </c>
      <c r="B8" s="99">
        <v>8.1617621919956722</v>
      </c>
      <c r="C8" s="100"/>
      <c r="D8" s="100"/>
    </row>
    <row r="9" spans="1:5" x14ac:dyDescent="0.25">
      <c r="A9" s="122">
        <v>76</v>
      </c>
      <c r="B9" s="99">
        <v>8.9645709787313841</v>
      </c>
      <c r="C9" s="100"/>
      <c r="D9" s="100"/>
    </row>
    <row r="10" spans="1:5" x14ac:dyDescent="0.25">
      <c r="A10" s="122"/>
      <c r="B10" s="99"/>
      <c r="C10" s="100"/>
      <c r="D10" s="100"/>
    </row>
    <row r="11" spans="1:5" x14ac:dyDescent="0.25">
      <c r="A11" s="122"/>
      <c r="B11" s="99"/>
      <c r="C11" s="100"/>
      <c r="D11" s="100"/>
    </row>
    <row r="12" spans="1:5" x14ac:dyDescent="0.25">
      <c r="A12" s="122"/>
      <c r="B12" s="99"/>
      <c r="C12" s="100"/>
      <c r="D12" s="100"/>
    </row>
    <row r="13" spans="1:5" x14ac:dyDescent="0.25">
      <c r="A13" s="122"/>
      <c r="B13" s="99"/>
      <c r="C13" s="100"/>
      <c r="D13" s="100"/>
    </row>
    <row r="14" spans="1:5" x14ac:dyDescent="0.25">
      <c r="A14" s="122"/>
      <c r="B14" s="99"/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375" bestFit="1" customWidth="1"/>
    <col min="4" max="4" width="8.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633</v>
      </c>
      <c r="B2" s="167">
        <v>0.03</v>
      </c>
      <c r="C2" s="167">
        <v>0.12</v>
      </c>
      <c r="D2" s="97">
        <v>5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0.03</v>
      </c>
      <c r="B4" s="100">
        <v>12.739567648960596</v>
      </c>
      <c r="C4" s="101">
        <v>7.4595161173638777E-2</v>
      </c>
      <c r="D4" s="101">
        <v>1.9775157651361785E-2</v>
      </c>
    </row>
    <row r="5" spans="1:5" x14ac:dyDescent="0.25">
      <c r="A5" s="101">
        <v>4.8000000000000001E-2</v>
      </c>
      <c r="B5" s="100">
        <v>9.5243351496984925</v>
      </c>
      <c r="C5" s="100"/>
      <c r="D5" s="100"/>
    </row>
    <row r="6" spans="1:5" x14ac:dyDescent="0.25">
      <c r="A6" s="101">
        <v>6.6000000000000003E-2</v>
      </c>
      <c r="B6" s="100">
        <v>7.7146825121860099</v>
      </c>
      <c r="C6" s="100"/>
      <c r="D6" s="100"/>
    </row>
    <row r="7" spans="1:5" x14ac:dyDescent="0.25">
      <c r="A7" s="101">
        <v>8.3999999999999991E-2</v>
      </c>
      <c r="B7" s="100">
        <v>7.8979071430496743</v>
      </c>
      <c r="C7" s="100"/>
      <c r="D7" s="100"/>
    </row>
    <row r="8" spans="1:5" x14ac:dyDescent="0.25">
      <c r="A8" s="101">
        <v>0.10199999999999999</v>
      </c>
      <c r="B8" s="100">
        <v>9.6794561732125199</v>
      </c>
      <c r="C8" s="100"/>
      <c r="D8" s="100"/>
    </row>
    <row r="9" spans="1:5" x14ac:dyDescent="0.25">
      <c r="A9" s="101">
        <v>0.12</v>
      </c>
      <c r="B9" s="100">
        <v>12.870731312010099</v>
      </c>
      <c r="C9" s="100"/>
      <c r="D9" s="100"/>
    </row>
    <row r="10" spans="1:5" x14ac:dyDescent="0.25">
      <c r="A10" s="100"/>
      <c r="B10" s="100"/>
      <c r="C10" s="100"/>
      <c r="D10" s="100"/>
    </row>
    <row r="11" spans="1:5" x14ac:dyDescent="0.25">
      <c r="A11" s="100"/>
      <c r="B11" s="100"/>
      <c r="C11" s="100"/>
      <c r="D11" s="100"/>
    </row>
    <row r="12" spans="1:5" x14ac:dyDescent="0.25">
      <c r="A12" s="100"/>
      <c r="B12" s="100"/>
      <c r="C12" s="100"/>
      <c r="D12" s="100"/>
    </row>
    <row r="13" spans="1:5" x14ac:dyDescent="0.25">
      <c r="A13" s="100"/>
      <c r="B13" s="100"/>
      <c r="C13" s="100"/>
      <c r="D13" s="100"/>
    </row>
    <row r="14" spans="1:5" x14ac:dyDescent="0.25">
      <c r="A14" s="100"/>
      <c r="B14" s="100"/>
      <c r="C14" s="100"/>
      <c r="D14" s="100"/>
    </row>
    <row r="15" spans="1:5" x14ac:dyDescent="0.25">
      <c r="A15" s="100"/>
      <c r="B15" s="100"/>
      <c r="C15" s="100"/>
      <c r="D15" s="100"/>
    </row>
    <row r="16" spans="1:5" x14ac:dyDescent="0.25">
      <c r="A16" s="100"/>
      <c r="B16" s="100"/>
      <c r="C16" s="100"/>
      <c r="D16" s="100"/>
    </row>
    <row r="17" spans="1:4" x14ac:dyDescent="0.25">
      <c r="A17" s="100"/>
      <c r="B17" s="100"/>
      <c r="C17" s="100"/>
      <c r="D17" s="100"/>
    </row>
    <row r="18" spans="1:4" x14ac:dyDescent="0.25">
      <c r="A18" s="100"/>
      <c r="B18" s="100"/>
      <c r="C18" s="100"/>
      <c r="D18" s="100"/>
    </row>
    <row r="19" spans="1:4" x14ac:dyDescent="0.25">
      <c r="A19" s="100"/>
      <c r="B19" s="100"/>
      <c r="C19" s="100"/>
      <c r="D19" s="100"/>
    </row>
    <row r="20" spans="1:4" x14ac:dyDescent="0.25">
      <c r="A20" s="100"/>
      <c r="B20" s="100"/>
      <c r="C20" s="100"/>
      <c r="D20" s="100"/>
    </row>
    <row r="21" spans="1:4" x14ac:dyDescent="0.25">
      <c r="A21" s="100"/>
      <c r="B21" s="100"/>
      <c r="C21" s="100"/>
      <c r="D21" s="100"/>
    </row>
    <row r="22" spans="1:4" x14ac:dyDescent="0.25">
      <c r="A22" s="100"/>
      <c r="B22" s="100"/>
      <c r="C22" s="100"/>
      <c r="D22" s="100"/>
    </row>
    <row r="23" spans="1:4" x14ac:dyDescent="0.25">
      <c r="A23" s="100"/>
      <c r="B23" s="100"/>
      <c r="C23" s="100"/>
      <c r="D23" s="100"/>
    </row>
    <row r="24" spans="1:4" x14ac:dyDescent="0.25">
      <c r="A24" s="100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52" t="s">
        <v>531</v>
      </c>
      <c r="C1" s="152" t="s">
        <v>532</v>
      </c>
      <c r="D1" s="96" t="s">
        <v>533</v>
      </c>
      <c r="E1" s="168" t="s">
        <v>534</v>
      </c>
    </row>
    <row r="2" spans="1:5" x14ac:dyDescent="0.25">
      <c r="A2" s="103" t="s">
        <v>606</v>
      </c>
      <c r="B2" s="121">
        <v>8</v>
      </c>
      <c r="C2" s="121">
        <v>20</v>
      </c>
      <c r="D2" s="97">
        <v>10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8</v>
      </c>
      <c r="B4" s="100">
        <v>9.8111516691099947</v>
      </c>
      <c r="C4" s="122">
        <v>14.15148443404682</v>
      </c>
      <c r="D4" s="122">
        <v>4.0102485890312547</v>
      </c>
    </row>
    <row r="5" spans="1:5" x14ac:dyDescent="0.25">
      <c r="A5" s="122">
        <v>9.1999999999999993</v>
      </c>
      <c r="B5" s="100">
        <v>9.2445864534133229</v>
      </c>
      <c r="C5" s="100"/>
      <c r="D5" s="100"/>
    </row>
    <row r="6" spans="1:5" x14ac:dyDescent="0.25">
      <c r="A6" s="122">
        <v>10.4</v>
      </c>
      <c r="B6" s="100">
        <v>8.7046552054950848</v>
      </c>
      <c r="C6" s="100"/>
      <c r="D6" s="100"/>
    </row>
    <row r="7" spans="1:5" x14ac:dyDescent="0.25">
      <c r="A7" s="122">
        <v>11.6</v>
      </c>
      <c r="B7" s="100">
        <v>8.2332095107467058</v>
      </c>
      <c r="C7" s="100"/>
      <c r="D7" s="100"/>
    </row>
    <row r="8" spans="1:5" x14ac:dyDescent="0.25">
      <c r="A8" s="122">
        <v>12.8</v>
      </c>
      <c r="B8" s="100">
        <v>7.8720538928828034</v>
      </c>
      <c r="C8" s="100"/>
      <c r="D8" s="100"/>
    </row>
    <row r="9" spans="1:5" x14ac:dyDescent="0.25">
      <c r="A9" s="122">
        <v>14</v>
      </c>
      <c r="B9" s="100">
        <v>7.6609905314859876</v>
      </c>
      <c r="C9" s="100"/>
      <c r="D9" s="100"/>
    </row>
    <row r="10" spans="1:5" x14ac:dyDescent="0.25">
      <c r="A10" s="122">
        <v>15.2</v>
      </c>
      <c r="B10" s="100">
        <v>7.6364901354171026</v>
      </c>
      <c r="C10" s="100"/>
      <c r="D10" s="100"/>
    </row>
    <row r="11" spans="1:5" x14ac:dyDescent="0.25">
      <c r="A11" s="122">
        <v>16.399999999999999</v>
      </c>
      <c r="B11" s="100">
        <v>7.8309725146369678</v>
      </c>
      <c r="C11" s="100"/>
      <c r="D11" s="100"/>
    </row>
    <row r="12" spans="1:5" x14ac:dyDescent="0.25">
      <c r="A12" s="122">
        <v>17.600000000000001</v>
      </c>
      <c r="B12" s="100">
        <v>8.2725629234552276</v>
      </c>
      <c r="C12" s="100"/>
      <c r="D12" s="100"/>
    </row>
    <row r="13" spans="1:5" x14ac:dyDescent="0.25">
      <c r="A13" s="122">
        <v>18.8</v>
      </c>
      <c r="B13" s="100">
        <v>8.9851530631466741</v>
      </c>
      <c r="C13" s="100"/>
      <c r="D13" s="100"/>
    </row>
    <row r="14" spans="1:5" x14ac:dyDescent="0.25">
      <c r="A14" s="122">
        <v>20</v>
      </c>
      <c r="B14" s="100">
        <v>9.9886144845730733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97A53-8311-4605-B847-F5D0BCCD0CE6}">
  <sheetPr codeName="Sheet17"/>
  <dimension ref="A1:E357"/>
  <sheetViews>
    <sheetView workbookViewId="0">
      <selection activeCell="C14" sqref="C14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636</v>
      </c>
      <c r="B2" s="145">
        <v>3.0000000000000001E-6</v>
      </c>
      <c r="C2" s="145">
        <v>3.9999999999999998E-6</v>
      </c>
      <c r="D2" s="97">
        <v>10</v>
      </c>
      <c r="E2" s="168" t="s">
        <v>632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5">
        <v>3.0000000000000001E-6</v>
      </c>
      <c r="B4" s="100">
        <v>8.2418621814572735</v>
      </c>
      <c r="C4" s="105">
        <v>3.3851055152713629E-6</v>
      </c>
      <c r="D4" s="105">
        <v>3.8440480773072849E-7</v>
      </c>
    </row>
    <row r="5" spans="1:5" x14ac:dyDescent="0.25">
      <c r="A5" s="105">
        <v>3.1E-6</v>
      </c>
      <c r="B5" s="100">
        <v>7.8849035649173631</v>
      </c>
      <c r="C5" s="100"/>
      <c r="D5" s="100"/>
    </row>
    <row r="6" spans="1:5" x14ac:dyDescent="0.25">
      <c r="A6" s="105">
        <v>3.1999999999999999E-6</v>
      </c>
      <c r="B6" s="100">
        <v>7.611062163123278</v>
      </c>
      <c r="C6" s="100"/>
      <c r="D6" s="100"/>
    </row>
    <row r="7" spans="1:5" x14ac:dyDescent="0.25">
      <c r="A7" s="105">
        <v>3.3000000000000002E-6</v>
      </c>
      <c r="B7" s="100">
        <v>7.4323194268573003</v>
      </c>
      <c r="C7" s="100"/>
      <c r="D7" s="100"/>
    </row>
    <row r="8" spans="1:5" x14ac:dyDescent="0.25">
      <c r="A8" s="105">
        <v>3.4000000000000001E-6</v>
      </c>
      <c r="B8" s="100">
        <v>7.36119421765477</v>
      </c>
      <c r="C8" s="100"/>
      <c r="D8" s="100"/>
    </row>
    <row r="9" spans="1:5" x14ac:dyDescent="0.25">
      <c r="A9" s="105">
        <v>3.4999999999999999E-6</v>
      </c>
      <c r="B9" s="100">
        <v>7.4107433981124107</v>
      </c>
      <c r="C9" s="100"/>
      <c r="D9" s="100"/>
    </row>
    <row r="10" spans="1:5" x14ac:dyDescent="0.25">
      <c r="A10" s="105">
        <v>3.5999999999999998E-6</v>
      </c>
      <c r="B10" s="100">
        <v>7.5945624172422628</v>
      </c>
      <c r="C10" s="100"/>
      <c r="D10" s="100"/>
    </row>
    <row r="11" spans="1:5" x14ac:dyDescent="0.25">
      <c r="A11" s="105">
        <v>3.6999999999999997E-6</v>
      </c>
      <c r="B11" s="100">
        <v>7.926785890860204</v>
      </c>
      <c r="C11" s="100"/>
      <c r="D11" s="100"/>
    </row>
    <row r="12" spans="1:5" x14ac:dyDescent="0.25">
      <c r="A12" s="105">
        <v>3.8E-6</v>
      </c>
      <c r="B12" s="100">
        <v>8.4220881769981322</v>
      </c>
      <c r="C12" s="100"/>
      <c r="D12" s="100"/>
    </row>
    <row r="13" spans="1:5" x14ac:dyDescent="0.25">
      <c r="A13" s="105">
        <v>3.8999999999999999E-6</v>
      </c>
      <c r="B13" s="100">
        <v>9.0956839463289985</v>
      </c>
      <c r="C13" s="100"/>
      <c r="D13" s="100"/>
    </row>
    <row r="14" spans="1:5" x14ac:dyDescent="0.25">
      <c r="A14" s="105">
        <v>3.9999999999999998E-6</v>
      </c>
      <c r="B14" s="100">
        <v>9.9633287475948666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topLeftCell="A19" workbookViewId="0">
      <selection activeCell="B43" sqref="B43"/>
    </sheetView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2.1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547</v>
      </c>
      <c r="B1" s="1" t="s">
        <v>548</v>
      </c>
      <c r="C1" s="1" t="s">
        <v>549</v>
      </c>
      <c r="D1" s="91" t="s">
        <v>550</v>
      </c>
      <c r="E1" s="91">
        <v>103062</v>
      </c>
      <c r="F1" s="91"/>
      <c r="G1" s="91"/>
      <c r="H1" s="91"/>
      <c r="I1" s="91"/>
      <c r="J1" s="91"/>
      <c r="K1" s="91"/>
      <c r="L1" s="91"/>
      <c r="M1" s="9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547</v>
      </c>
      <c r="B2" s="1" t="s">
        <v>550</v>
      </c>
      <c r="C2" s="1" t="s">
        <v>551</v>
      </c>
      <c r="D2" s="1" t="s">
        <v>552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547</v>
      </c>
      <c r="B3" s="1" t="s">
        <v>550</v>
      </c>
      <c r="C3" s="1" t="s">
        <v>553</v>
      </c>
      <c r="D3" s="1" t="s">
        <v>554</v>
      </c>
      <c r="E3" s="1" t="s">
        <v>555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547</v>
      </c>
      <c r="B4" s="1" t="s">
        <v>556</v>
      </c>
      <c r="C4" s="1" t="s">
        <v>554</v>
      </c>
      <c r="D4" s="1" t="s">
        <v>557</v>
      </c>
      <c r="E4" s="1" t="s">
        <v>558</v>
      </c>
      <c r="F4" s="1">
        <v>22</v>
      </c>
      <c r="G4" s="136">
        <v>0.47262731481481479</v>
      </c>
      <c r="H4" s="1">
        <v>2017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547</v>
      </c>
      <c r="B5" s="1" t="s">
        <v>559</v>
      </c>
      <c r="C5" s="1" t="s">
        <v>560</v>
      </c>
      <c r="D5" s="1" t="s">
        <v>561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547</v>
      </c>
      <c r="B6" s="1" t="s">
        <v>562</v>
      </c>
      <c r="C6" s="1" t="s">
        <v>563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547</v>
      </c>
      <c r="B7" s="1" t="s">
        <v>564</v>
      </c>
      <c r="C7" s="1" t="s">
        <v>565</v>
      </c>
      <c r="D7" s="1" t="s">
        <v>566</v>
      </c>
      <c r="E7" s="1" t="s">
        <v>567</v>
      </c>
      <c r="F7" s="1" t="s">
        <v>568</v>
      </c>
      <c r="G7" s="1" t="s">
        <v>569</v>
      </c>
      <c r="H7" s="1" t="s">
        <v>570</v>
      </c>
      <c r="I7" s="1" t="s">
        <v>571</v>
      </c>
      <c r="J7" s="1" t="s">
        <v>572</v>
      </c>
      <c r="K7" s="1" t="s">
        <v>573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547</v>
      </c>
      <c r="B8" s="1">
        <v>103062</v>
      </c>
      <c r="C8" s="1">
        <v>103080</v>
      </c>
      <c r="D8" s="1">
        <v>1.21539</v>
      </c>
      <c r="E8" s="1">
        <v>13.393000000000001</v>
      </c>
      <c r="F8" s="1">
        <v>16.606999999999999</v>
      </c>
      <c r="G8" s="1">
        <v>8.0000000000000002E-3</v>
      </c>
      <c r="H8" s="1">
        <v>9.9000000000000008E-3</v>
      </c>
      <c r="I8" s="1">
        <v>1</v>
      </c>
      <c r="J8" s="1">
        <v>0</v>
      </c>
      <c r="K8" s="1">
        <v>0.81879999999999997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547</v>
      </c>
      <c r="B9" s="1">
        <v>103063</v>
      </c>
      <c r="C9" s="1">
        <v>103081</v>
      </c>
      <c r="D9" s="1">
        <v>1.21539</v>
      </c>
      <c r="E9" s="1">
        <v>11.589700000000001</v>
      </c>
      <c r="F9" s="1">
        <v>14.8764</v>
      </c>
      <c r="G9" s="1">
        <v>8.8999999999999999E-3</v>
      </c>
      <c r="H9" s="1">
        <v>1.14E-2</v>
      </c>
      <c r="I9" s="1">
        <v>1</v>
      </c>
      <c r="J9" s="1">
        <v>0</v>
      </c>
      <c r="K9" s="1">
        <v>0.88800000000000001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547</v>
      </c>
      <c r="B10" s="1">
        <v>103064</v>
      </c>
      <c r="C10" s="1">
        <v>103082</v>
      </c>
      <c r="D10" s="1">
        <v>1.21539</v>
      </c>
      <c r="E10" s="1">
        <v>9.4034999999999993</v>
      </c>
      <c r="F10" s="1">
        <v>12.6793</v>
      </c>
      <c r="G10" s="1">
        <v>1.0500000000000001E-2</v>
      </c>
      <c r="H10" s="1">
        <v>1.41E-2</v>
      </c>
      <c r="I10" s="1">
        <v>1</v>
      </c>
      <c r="J10" s="1">
        <v>0</v>
      </c>
      <c r="K10" s="1">
        <v>0.95250000000000001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547</v>
      </c>
      <c r="B11" s="1">
        <v>103065</v>
      </c>
      <c r="C11" s="1">
        <v>103083</v>
      </c>
      <c r="D11" s="1">
        <v>1.21539</v>
      </c>
      <c r="E11" s="1">
        <v>7.1623999999999999</v>
      </c>
      <c r="F11" s="1">
        <v>10.474600000000001</v>
      </c>
      <c r="G11" s="1">
        <v>1.2699999999999999E-2</v>
      </c>
      <c r="H11" s="1">
        <v>1.8599999999999998E-2</v>
      </c>
      <c r="I11" s="1">
        <v>2.3494000000000002</v>
      </c>
      <c r="J11" s="1">
        <v>-3.2250000000000001</v>
      </c>
      <c r="K11" s="1">
        <v>0.96160000000000001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547</v>
      </c>
      <c r="B12" s="1">
        <v>103066</v>
      </c>
      <c r="C12" s="1">
        <v>103084</v>
      </c>
      <c r="D12" s="1">
        <v>1.21539</v>
      </c>
      <c r="E12" s="1">
        <v>4.9265999999999996</v>
      </c>
      <c r="F12" s="1">
        <v>8.2650400000000008</v>
      </c>
      <c r="G12" s="1">
        <v>1.61E-2</v>
      </c>
      <c r="H12" s="1">
        <v>2.7E-2</v>
      </c>
      <c r="I12" s="1">
        <v>8.0787999999999993</v>
      </c>
      <c r="J12" s="1">
        <v>-4.2060000000000004</v>
      </c>
      <c r="K12" s="1">
        <v>0.9849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547</v>
      </c>
      <c r="B13" s="1">
        <v>103067</v>
      </c>
      <c r="C13" s="1">
        <v>103085</v>
      </c>
      <c r="D13" s="1">
        <v>1.21539</v>
      </c>
      <c r="E13" s="1">
        <v>2.6865600000000001</v>
      </c>
      <c r="F13" s="1">
        <v>5.9732599999999998</v>
      </c>
      <c r="G13" s="1">
        <v>2.23E-2</v>
      </c>
      <c r="H13" s="1">
        <v>4.9599999999999998E-2</v>
      </c>
      <c r="I13" s="1">
        <v>16.231999999999999</v>
      </c>
      <c r="J13" s="1">
        <v>1E-4</v>
      </c>
      <c r="K13" s="1">
        <v>0.96950000000000003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547</v>
      </c>
      <c r="B14" s="1">
        <v>103068</v>
      </c>
      <c r="C14" s="1">
        <v>103086</v>
      </c>
      <c r="D14" s="1">
        <v>2.2551700000000001</v>
      </c>
      <c r="E14" s="1">
        <v>2.6343000000000001</v>
      </c>
      <c r="F14" s="1">
        <v>5.80267</v>
      </c>
      <c r="G14" s="1">
        <v>4.2599999999999999E-2</v>
      </c>
      <c r="H14" s="1">
        <v>9.3799999999999994E-2</v>
      </c>
      <c r="I14" s="1">
        <v>39.201999999999998</v>
      </c>
      <c r="J14" s="1">
        <v>1E-4</v>
      </c>
      <c r="K14" s="1">
        <v>0.88300000000000001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547</v>
      </c>
      <c r="B15" s="1">
        <v>103069</v>
      </c>
      <c r="C15" s="1">
        <v>103086</v>
      </c>
      <c r="D15" s="1">
        <v>3.9556499999999999</v>
      </c>
      <c r="E15" s="1">
        <v>2.6343000000000001</v>
      </c>
      <c r="F15" s="1">
        <v>5.80267</v>
      </c>
      <c r="G15" s="1">
        <v>7.4700000000000003E-2</v>
      </c>
      <c r="H15" s="1">
        <v>0.1646</v>
      </c>
      <c r="I15" s="1">
        <v>135.24</v>
      </c>
      <c r="J15" s="1">
        <v>1E-4</v>
      </c>
      <c r="K15" s="1">
        <v>0.86560000000000004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547</v>
      </c>
      <c r="B17" s="1" t="s">
        <v>547</v>
      </c>
      <c r="C17" s="1" t="s">
        <v>574</v>
      </c>
      <c r="D17" s="1" t="s">
        <v>575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547</v>
      </c>
      <c r="B18" s="1" t="s">
        <v>547</v>
      </c>
      <c r="C18" s="1" t="s">
        <v>556</v>
      </c>
      <c r="D18" s="1" t="s">
        <v>576</v>
      </c>
      <c r="E18" s="1" t="s">
        <v>577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547</v>
      </c>
      <c r="B19" s="1" t="s">
        <v>547</v>
      </c>
      <c r="C19" s="1" t="s">
        <v>556</v>
      </c>
      <c r="D19" s="1" t="s">
        <v>578</v>
      </c>
      <c r="E19" s="1" t="s">
        <v>579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547</v>
      </c>
      <c r="B20" s="1" t="s">
        <v>547</v>
      </c>
      <c r="C20" s="1" t="s">
        <v>547</v>
      </c>
      <c r="D20" s="1" t="s">
        <v>574</v>
      </c>
      <c r="E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547</v>
      </c>
      <c r="B21" s="1" t="s">
        <v>547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547</v>
      </c>
      <c r="B22" s="1" t="s">
        <v>547</v>
      </c>
      <c r="C22" s="1" t="s">
        <v>564</v>
      </c>
      <c r="D22" s="1" t="s">
        <v>565</v>
      </c>
      <c r="E22" s="1" t="s">
        <v>580</v>
      </c>
      <c r="F22" s="1" t="s">
        <v>567</v>
      </c>
      <c r="G22" s="1" t="s">
        <v>568</v>
      </c>
      <c r="H22" s="1" t="s">
        <v>569</v>
      </c>
      <c r="I22" s="1" t="s">
        <v>570</v>
      </c>
      <c r="J22" s="1" t="s">
        <v>581</v>
      </c>
      <c r="K22" s="1" t="s">
        <v>582</v>
      </c>
      <c r="L22" s="1" t="s">
        <v>583</v>
      </c>
      <c r="M22" s="1" t="s">
        <v>584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547</v>
      </c>
      <c r="B23" s="1" t="s">
        <v>547</v>
      </c>
      <c r="C23" s="1">
        <v>103062</v>
      </c>
      <c r="D23" s="1">
        <v>103080</v>
      </c>
      <c r="E23" s="1">
        <v>1.2</v>
      </c>
      <c r="F23" s="1">
        <v>13.39</v>
      </c>
      <c r="G23" s="1">
        <v>16.61</v>
      </c>
      <c r="H23" s="1">
        <v>7.9000000000000008E-3</v>
      </c>
      <c r="I23" s="1">
        <v>9.7999999999999997E-3</v>
      </c>
      <c r="J23" s="1">
        <v>1</v>
      </c>
      <c r="K23" s="1">
        <v>5783</v>
      </c>
      <c r="L23" s="1">
        <v>1848.2968189999999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547</v>
      </c>
      <c r="B24" s="1" t="s">
        <v>547</v>
      </c>
      <c r="C24" s="1">
        <v>103063</v>
      </c>
      <c r="D24" s="1">
        <v>103081</v>
      </c>
      <c r="E24" s="1">
        <v>1.2</v>
      </c>
      <c r="F24" s="1">
        <v>11.59</v>
      </c>
      <c r="G24" s="1">
        <v>14.88</v>
      </c>
      <c r="H24" s="1">
        <v>8.8000000000000005E-3</v>
      </c>
      <c r="I24" s="1">
        <v>1.1299999999999999E-2</v>
      </c>
      <c r="J24" s="1">
        <v>1</v>
      </c>
      <c r="K24" s="1">
        <v>6014</v>
      </c>
      <c r="L24" s="1">
        <v>849.16990699999997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547</v>
      </c>
      <c r="B25" s="1" t="s">
        <v>547</v>
      </c>
      <c r="C25" s="1">
        <v>103064</v>
      </c>
      <c r="D25" s="1">
        <v>103082</v>
      </c>
      <c r="E25" s="1">
        <v>1.2</v>
      </c>
      <c r="F25" s="1">
        <v>9.4</v>
      </c>
      <c r="G25" s="1">
        <v>12.68</v>
      </c>
      <c r="H25" s="1">
        <v>1.04E-2</v>
      </c>
      <c r="I25" s="1">
        <v>1.4E-2</v>
      </c>
      <c r="J25" s="1">
        <v>1</v>
      </c>
      <c r="K25" s="1">
        <v>6043</v>
      </c>
      <c r="L25" s="1">
        <v>407.90472999999997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547</v>
      </c>
      <c r="B26" s="1" t="s">
        <v>547</v>
      </c>
      <c r="C26" s="1">
        <v>103065</v>
      </c>
      <c r="D26" s="1">
        <v>103083</v>
      </c>
      <c r="E26" s="1">
        <v>1.2</v>
      </c>
      <c r="F26" s="1">
        <v>7.16</v>
      </c>
      <c r="G26" s="1">
        <v>10.47</v>
      </c>
      <c r="H26" s="1">
        <v>1.26E-2</v>
      </c>
      <c r="I26" s="1">
        <v>1.84E-2</v>
      </c>
      <c r="J26" s="1">
        <v>1</v>
      </c>
      <c r="K26" s="1">
        <v>6055</v>
      </c>
      <c r="L26" s="1">
        <v>270.96279399999997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547</v>
      </c>
      <c r="B27" s="1" t="s">
        <v>547</v>
      </c>
      <c r="C27" s="1">
        <v>103066</v>
      </c>
      <c r="D27" s="1">
        <v>103084</v>
      </c>
      <c r="E27" s="1">
        <v>1.2</v>
      </c>
      <c r="F27" s="1">
        <v>4.93</v>
      </c>
      <c r="G27" s="1">
        <v>8.26</v>
      </c>
      <c r="H27" s="1">
        <v>1.5900000000000001E-2</v>
      </c>
      <c r="I27" s="1">
        <v>2.6700000000000002E-2</v>
      </c>
      <c r="J27" s="1">
        <v>1</v>
      </c>
      <c r="K27" s="1">
        <v>6302</v>
      </c>
      <c r="L27" s="1">
        <v>53.400236999999997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547</v>
      </c>
      <c r="B28" s="1" t="s">
        <v>547</v>
      </c>
      <c r="C28" s="1">
        <v>103067</v>
      </c>
      <c r="D28" s="1">
        <v>103085</v>
      </c>
      <c r="E28" s="1">
        <v>1.2</v>
      </c>
      <c r="F28" s="1">
        <v>2.69</v>
      </c>
      <c r="G28" s="1">
        <v>5.97</v>
      </c>
      <c r="H28" s="1">
        <v>2.1999999999999999E-2</v>
      </c>
      <c r="I28" s="1">
        <v>4.8899999999999999E-2</v>
      </c>
      <c r="J28" s="1">
        <v>1</v>
      </c>
      <c r="K28" s="1">
        <v>18143</v>
      </c>
      <c r="L28" s="1">
        <v>221.90966800000001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547</v>
      </c>
      <c r="B29" s="1" t="s">
        <v>547</v>
      </c>
      <c r="C29" s="1">
        <v>103068</v>
      </c>
      <c r="D29" s="1">
        <v>103086</v>
      </c>
      <c r="E29" s="1">
        <v>2.2400000000000002</v>
      </c>
      <c r="F29" s="1">
        <v>2.63</v>
      </c>
      <c r="G29" s="1">
        <v>5.8</v>
      </c>
      <c r="H29" s="1">
        <v>4.2299999999999997E-2</v>
      </c>
      <c r="I29" s="1">
        <v>9.3399999999999997E-2</v>
      </c>
      <c r="J29" s="1">
        <v>1</v>
      </c>
      <c r="K29" s="1">
        <v>18040</v>
      </c>
      <c r="L29" s="1">
        <v>1071.99856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547</v>
      </c>
      <c r="B30" s="1" t="s">
        <v>547</v>
      </c>
      <c r="C30" s="1">
        <v>103069</v>
      </c>
      <c r="D30" s="1">
        <v>103086</v>
      </c>
      <c r="E30" s="1">
        <v>3.94</v>
      </c>
      <c r="F30" s="1">
        <v>2.63</v>
      </c>
      <c r="G30" s="1">
        <v>5.8</v>
      </c>
      <c r="H30" s="1">
        <v>7.4499999999999997E-2</v>
      </c>
      <c r="I30" s="1">
        <v>0.16420000000000001</v>
      </c>
      <c r="J30" s="1">
        <v>1</v>
      </c>
      <c r="K30" s="1">
        <v>18053</v>
      </c>
      <c r="L30" s="1">
        <v>930.87630999999999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547</v>
      </c>
      <c r="B31" s="1" t="s">
        <v>547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547</v>
      </c>
      <c r="B32" s="1" t="s">
        <v>547</v>
      </c>
      <c r="C32" s="1" t="s">
        <v>585</v>
      </c>
      <c r="D32" s="91" t="s">
        <v>586</v>
      </c>
      <c r="E32" s="91" t="s">
        <v>587</v>
      </c>
      <c r="F32" s="91"/>
      <c r="G32" s="91"/>
      <c r="H32" s="91"/>
      <c r="I32" s="91"/>
      <c r="J32" s="91"/>
      <c r="K32" s="91"/>
      <c r="L32" s="91"/>
      <c r="M32" s="9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547</v>
      </c>
      <c r="B33" s="1" t="s">
        <v>547</v>
      </c>
      <c r="C33" s="1" t="s">
        <v>588</v>
      </c>
      <c r="D33" s="1">
        <v>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547</v>
      </c>
      <c r="B34" s="1" t="s">
        <v>547</v>
      </c>
      <c r="C34" s="1" t="s">
        <v>589</v>
      </c>
      <c r="D34" s="1">
        <v>146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547</v>
      </c>
      <c r="B35" s="1" t="s">
        <v>547</v>
      </c>
      <c r="C35" s="1" t="s">
        <v>590</v>
      </c>
      <c r="D35" s="1">
        <v>4.0000000000000002E-4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547</v>
      </c>
      <c r="B36" s="1" t="s">
        <v>547</v>
      </c>
      <c r="C36" s="1" t="s">
        <v>591</v>
      </c>
      <c r="D36" s="1">
        <v>2.3E-2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547</v>
      </c>
      <c r="B37" s="1" t="s">
        <v>547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547</v>
      </c>
      <c r="B38" s="1" t="s">
        <v>547</v>
      </c>
      <c r="C38" s="1" t="s">
        <v>592</v>
      </c>
      <c r="D38" s="1" t="s">
        <v>0</v>
      </c>
      <c r="E38" s="1" t="s">
        <v>593</v>
      </c>
      <c r="F38" s="1" t="s">
        <v>594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 t="s">
        <v>547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 t="s">
        <v>547</v>
      </c>
      <c r="B40" s="1" t="s">
        <v>595</v>
      </c>
      <c r="C40" s="1" t="s">
        <v>596</v>
      </c>
      <c r="D40" s="1">
        <v>4.0000000000000002E-4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 t="s">
        <v>547</v>
      </c>
      <c r="B41" s="1" t="s">
        <v>597</v>
      </c>
      <c r="C41" s="1" t="s">
        <v>596</v>
      </c>
      <c r="D41" s="1">
        <v>2.3E-2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 t="s">
        <v>547</v>
      </c>
      <c r="B42" s="1" t="s">
        <v>598</v>
      </c>
      <c r="C42" s="1" t="s">
        <v>0</v>
      </c>
      <c r="D42" s="1" t="s">
        <v>593</v>
      </c>
      <c r="E42" s="1" t="s">
        <v>594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8.1014360403499994E-3</v>
      </c>
      <c r="B43" s="1">
        <v>2.7732578033799998E-2</v>
      </c>
      <c r="C43" s="1">
        <v>4.8277848466999999E-3</v>
      </c>
      <c r="D43" s="1">
        <v>5.8633302892800005E-4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8.1824504007600007E-3</v>
      </c>
      <c r="B44" s="1">
        <v>3.4715433233799997E-2</v>
      </c>
      <c r="C44" s="1">
        <v>4.6555420474199997E-3</v>
      </c>
      <c r="D44" s="1">
        <v>5.8819635921700004E-4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8.2642749047700005E-3</v>
      </c>
      <c r="B45" s="1">
        <v>3.14920024741E-2</v>
      </c>
      <c r="C45" s="1">
        <v>4.4868285757099996E-3</v>
      </c>
      <c r="D45" s="1">
        <v>5.9007832281000004E-4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8.3469176538099998E-3</v>
      </c>
      <c r="B46" s="1">
        <v>3.0385714987E-2</v>
      </c>
      <c r="C46" s="1">
        <v>4.16153069223E-3</v>
      </c>
      <c r="D46" s="1">
        <v>5.9197910603799996E-4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8.4303868303500003E-3</v>
      </c>
      <c r="B47" s="1">
        <v>2.8629543878499999E-2</v>
      </c>
      <c r="C47" s="1">
        <v>3.6636024635199999E-3</v>
      </c>
      <c r="D47" s="1">
        <v>5.9389889709799998E-4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8.5146906986500008E-3</v>
      </c>
      <c r="B48" s="1">
        <v>2.88115866007E-2</v>
      </c>
      <c r="C48" s="1">
        <v>3.3856660927499998E-3</v>
      </c>
      <c r="D48" s="1">
        <v>5.9583788606899996E-4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8.5998376056400008E-3</v>
      </c>
      <c r="B49" s="1">
        <v>2.6879912207199999E-2</v>
      </c>
      <c r="C49" s="1">
        <v>3.1779824354799999E-3</v>
      </c>
      <c r="D49" s="1">
        <v>5.9779626492999997E-4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8.6858359817000002E-3</v>
      </c>
      <c r="B50" s="1">
        <v>2.44697716978E-2</v>
      </c>
      <c r="C50" s="1">
        <v>3.0067771264500002E-3</v>
      </c>
      <c r="D50" s="1">
        <v>5.9977422757899999E-4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8.7726943415100001E-3</v>
      </c>
      <c r="B51" s="1">
        <v>3.10272245656E-2</v>
      </c>
      <c r="C51" s="1">
        <v>3.1623073046300001E-3</v>
      </c>
      <c r="D51" s="1">
        <v>6.0177196985499999E-4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8.86042128493E-3</v>
      </c>
      <c r="B52" s="1">
        <v>2.8367441046700002E-2</v>
      </c>
      <c r="C52" s="1">
        <v>2.869664551E-3</v>
      </c>
      <c r="D52" s="1">
        <v>6.0378968955299996E-4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8.9490254977800006E-3</v>
      </c>
      <c r="B53" s="1">
        <v>2.2559437832500001E-2</v>
      </c>
      <c r="C53" s="1">
        <v>2.5552626968999999E-3</v>
      </c>
      <c r="D53" s="1">
        <v>6.0582758644900001E-4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9.0385157527600006E-3</v>
      </c>
      <c r="B54" s="1">
        <v>2.6957875886300001E-2</v>
      </c>
      <c r="C54" s="1">
        <v>2.22445057126E-3</v>
      </c>
      <c r="D54" s="1">
        <v>6.0788586231300004E-4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9.1289009102799995E-3</v>
      </c>
      <c r="B55" s="1">
        <v>3.0329773492999999E-2</v>
      </c>
      <c r="C55" s="1">
        <v>2.3070815160900001E-3</v>
      </c>
      <c r="D55" s="1">
        <v>6.0996472093700004E-4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9.2201899193900001E-3</v>
      </c>
      <c r="B56" s="1">
        <v>2.86502226294E-2</v>
      </c>
      <c r="C56" s="1">
        <v>2.1505824602299998E-3</v>
      </c>
      <c r="D56" s="1">
        <v>6.1206436814599996E-4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9.3123918185800004E-3</v>
      </c>
      <c r="B57" s="1">
        <v>2.7592934343399999E-2</v>
      </c>
      <c r="C57" s="1">
        <v>2.0195940336499999E-3</v>
      </c>
      <c r="D57" s="1">
        <v>6.1418501182700005E-4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9.4055157367700006E-3</v>
      </c>
      <c r="B58" s="1">
        <v>2.81140712667E-2</v>
      </c>
      <c r="C58" s="1">
        <v>1.9671032264699999E-3</v>
      </c>
      <c r="D58" s="1">
        <v>6.1632686194599997E-4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9.4995708941299998E-3</v>
      </c>
      <c r="B59" s="1">
        <v>2.9828953678800001E-2</v>
      </c>
      <c r="C59" s="1">
        <v>1.9242712279999999E-3</v>
      </c>
      <c r="D59" s="1">
        <v>6.1849013056499997E-4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9.5945666030799997E-3</v>
      </c>
      <c r="B60" s="1">
        <v>2.8370093492600001E-2</v>
      </c>
      <c r="C60" s="1">
        <v>1.8107098575E-3</v>
      </c>
      <c r="D60" s="1">
        <v>6.2067503187099998E-4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9.69051226911E-3</v>
      </c>
      <c r="B61" s="1">
        <v>3.05154434887E-2</v>
      </c>
      <c r="C61" s="1">
        <v>1.78823280162E-3</v>
      </c>
      <c r="D61" s="1">
        <v>6.2288178218900003E-4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9.7874173918000001E-3</v>
      </c>
      <c r="B62" s="1">
        <v>3.1308207069500001E-2</v>
      </c>
      <c r="C62" s="1">
        <v>1.7752356005499999E-3</v>
      </c>
      <c r="D62" s="1">
        <v>6.2511060001099999E-4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9.8852915657199995E-3</v>
      </c>
      <c r="B63" s="1">
        <v>3.0243367921900001E-2</v>
      </c>
      <c r="C63" s="1">
        <v>1.67286418479E-3</v>
      </c>
      <c r="D63" s="1">
        <v>6.2736170601099999E-4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9.9841444813699998E-3</v>
      </c>
      <c r="B64" s="1">
        <v>3.3020324506099999E-2</v>
      </c>
      <c r="C64" s="1">
        <v>3.1408623353499998E-3</v>
      </c>
      <c r="D64" s="1">
        <v>6.2963532307199995E-4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1.0083985926200001E-2</v>
      </c>
      <c r="B65" s="1">
        <v>3.20771309671E-2</v>
      </c>
      <c r="C65" s="1">
        <v>3.1176955063699999E-3</v>
      </c>
      <c r="D65" s="1">
        <v>6.3193167630200004E-4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1.01848257854E-2</v>
      </c>
      <c r="B66" s="1">
        <v>3.4518793356599999E-2</v>
      </c>
      <c r="C66" s="1">
        <v>3.08548258474E-3</v>
      </c>
      <c r="D66" s="1">
        <v>6.3425099306499996E-4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1.02866740433E-2</v>
      </c>
      <c r="B67" s="1">
        <v>3.7989145561100002E-2</v>
      </c>
      <c r="C67" s="1">
        <v>3.0205966196700002E-3</v>
      </c>
      <c r="D67" s="1">
        <v>6.3659350299599996E-4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1.03895407837E-2</v>
      </c>
      <c r="B68" s="1">
        <v>3.2195463108700001E-2</v>
      </c>
      <c r="C68" s="1">
        <v>2.66057783949E-3</v>
      </c>
      <c r="D68" s="1">
        <v>6.3895943802600005E-4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1.04934361916E-2</v>
      </c>
      <c r="B69" s="1">
        <v>3.2519172500599998E-2</v>
      </c>
      <c r="C69" s="1">
        <v>2.6331820926000001E-3</v>
      </c>
      <c r="D69" s="1">
        <v>6.4134903240600002E-4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1.05983705535E-2</v>
      </c>
      <c r="B70" s="1">
        <v>3.0838480819000001E-2</v>
      </c>
      <c r="C70" s="1">
        <v>2.1530049548299998E-3</v>
      </c>
      <c r="D70" s="1">
        <v>6.4376252273E-4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1.0704354259E-2</v>
      </c>
      <c r="B71" s="1">
        <v>3.4124437549700001E-2</v>
      </c>
      <c r="C71" s="1">
        <v>2.1764618781900001E-3</v>
      </c>
      <c r="D71" s="1">
        <v>6.46200147958E-4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1.08113978016E-2</v>
      </c>
      <c r="B72" s="1">
        <v>3.1556316402400003E-2</v>
      </c>
      <c r="C72" s="1">
        <v>2.0069808857700001E-3</v>
      </c>
      <c r="D72" s="1">
        <v>6.4866214943700004E-4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1.0919511779600001E-2</v>
      </c>
      <c r="B73" s="1">
        <v>3.1463089048700002E-2</v>
      </c>
      <c r="C73" s="1">
        <v>1.91562524024E-3</v>
      </c>
      <c r="D73" s="1">
        <v>6.5114877093200004E-4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1.1028706897400001E-2</v>
      </c>
      <c r="B74" s="1">
        <v>3.2971058284099998E-2</v>
      </c>
      <c r="C74" s="1">
        <v>1.87106943259E-3</v>
      </c>
      <c r="D74" s="1">
        <v>6.5366025864100003E-4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1.11389939664E-2</v>
      </c>
      <c r="B75" s="1">
        <v>3.1945177470699998E-2</v>
      </c>
      <c r="C75" s="1">
        <v>1.83593315982E-3</v>
      </c>
      <c r="D75" s="1">
        <v>6.5619686122700004E-4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1.12503839061E-2</v>
      </c>
      <c r="B76" s="1">
        <v>3.24503411199E-2</v>
      </c>
      <c r="C76" s="1">
        <v>1.7723080670500001E-3</v>
      </c>
      <c r="D76" s="1">
        <v>6.5875882983899999E-4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1.1362887745099999E-2</v>
      </c>
      <c r="B77" s="1">
        <v>3.1269745202899997E-2</v>
      </c>
      <c r="C77" s="1">
        <v>3.17198470625E-3</v>
      </c>
      <c r="D77" s="1">
        <v>6.6134641813799997E-4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1.14765166226E-2</v>
      </c>
      <c r="B78" s="1">
        <v>2.9868720577300001E-2</v>
      </c>
      <c r="C78" s="1">
        <v>2.9853026794399999E-3</v>
      </c>
      <c r="D78" s="1">
        <v>6.6395988231899997E-4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1.1591281788799999E-2</v>
      </c>
      <c r="B79" s="1">
        <v>3.5133912659699999E-2</v>
      </c>
      <c r="C79" s="1">
        <v>3.0684277817399999E-3</v>
      </c>
      <c r="D79" s="1">
        <v>6.6659948114199997E-4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1.17071946067E-2</v>
      </c>
      <c r="B80" s="1">
        <v>3.17602677911E-2</v>
      </c>
      <c r="C80" s="1">
        <v>2.8436936310799999E-3</v>
      </c>
      <c r="D80" s="1">
        <v>6.69265475954E-4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1.18242665528E-2</v>
      </c>
      <c r="B81" s="1">
        <v>2.6628334819799999E-2</v>
      </c>
      <c r="C81" s="1">
        <v>2.5612114445799999E-3</v>
      </c>
      <c r="D81" s="1">
        <v>6.7195813071299995E-4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1.19425092183E-2</v>
      </c>
      <c r="B82" s="1">
        <v>2.87983001085E-2</v>
      </c>
      <c r="C82" s="1">
        <v>2.5759762746799999E-3</v>
      </c>
      <c r="D82" s="1">
        <v>6.7467771202100004E-4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1.2061934310500001E-2</v>
      </c>
      <c r="B83" s="1">
        <v>2.83250050029E-2</v>
      </c>
      <c r="C83" s="1">
        <v>2.4535779201800001E-3</v>
      </c>
      <c r="D83" s="1">
        <v>6.7742448914099999E-4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1.2182553653599999E-2</v>
      </c>
      <c r="B84" s="1">
        <v>3.2047970087900002E-2</v>
      </c>
      <c r="C84" s="1">
        <v>2.6354003826100001E-3</v>
      </c>
      <c r="D84" s="1">
        <v>6.8019873403200003E-4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1.2304379190100001E-2</v>
      </c>
      <c r="B85" s="1">
        <v>2.6863867535900001E-2</v>
      </c>
      <c r="C85" s="1">
        <v>2.2467040854400001E-3</v>
      </c>
      <c r="D85" s="1">
        <v>6.8300072137200002E-4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1.2427422981999999E-2</v>
      </c>
      <c r="B86" s="1">
        <v>2.51419613013E-2</v>
      </c>
      <c r="C86" s="1">
        <v>2.1824017740299999E-3</v>
      </c>
      <c r="D86" s="1">
        <v>6.8583072858600003E-4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1.25516972118E-2</v>
      </c>
      <c r="B87" s="1">
        <v>2.54989798601E-2</v>
      </c>
      <c r="C87" s="1">
        <v>2.10552537443E-3</v>
      </c>
      <c r="D87" s="1">
        <v>6.8868903587199996E-4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1.26772141839E-2</v>
      </c>
      <c r="B88" s="1">
        <v>2.3865103649100002E-2</v>
      </c>
      <c r="C88" s="1">
        <v>1.9411101914399999E-3</v>
      </c>
      <c r="D88" s="1">
        <v>6.9157592623100004E-4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1.28039863258E-2</v>
      </c>
      <c r="B89" s="1">
        <v>2.2162642280800001E-2</v>
      </c>
      <c r="C89" s="1">
        <v>1.4608870398E-3</v>
      </c>
      <c r="D89" s="1">
        <v>6.9449168549300003E-4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1.2932026189000001E-2</v>
      </c>
      <c r="B90" s="1">
        <v>2.0068446232099999E-2</v>
      </c>
      <c r="C90" s="1">
        <v>1.4057538186199999E-3</v>
      </c>
      <c r="D90" s="1">
        <v>6.9743660234799999E-4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1.3061346450899999E-2</v>
      </c>
      <c r="B91" s="1">
        <v>2.1046263889300001E-2</v>
      </c>
      <c r="C91" s="1">
        <v>1.37813456437E-3</v>
      </c>
      <c r="D91" s="1">
        <v>7.0041096837200004E-4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1.31919599154E-2</v>
      </c>
      <c r="B92" s="1">
        <v>2.0543406202699999E-2</v>
      </c>
      <c r="C92" s="1">
        <v>1.3180921472799999E-3</v>
      </c>
      <c r="D92" s="91">
        <v>7.0341507805499995E-4</v>
      </c>
      <c r="E92" s="91"/>
      <c r="F92" s="91"/>
      <c r="G92" s="91"/>
      <c r="H92" s="91"/>
      <c r="I92" s="91"/>
      <c r="J92" s="91"/>
      <c r="K92" s="91"/>
      <c r="L92" s="91"/>
      <c r="M92" s="9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1.33238795146E-2</v>
      </c>
      <c r="B93" s="1">
        <v>1.9012591710199998E-2</v>
      </c>
      <c r="C93" s="1">
        <v>1.2525456107399999E-3</v>
      </c>
      <c r="D93" s="1">
        <v>7.0644922883600001E-4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1.3457118309700001E-2</v>
      </c>
      <c r="B94" s="1">
        <v>1.80595219137E-2</v>
      </c>
      <c r="C94" s="1">
        <v>1.18180935423E-3</v>
      </c>
      <c r="D94" s="1">
        <v>7.0951372112399997E-4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1.3591689492799999E-2</v>
      </c>
      <c r="B95" s="1">
        <v>1.58851880227E-2</v>
      </c>
      <c r="C95" s="1">
        <v>1.08141111065E-3</v>
      </c>
      <c r="D95" s="1">
        <v>7.1260885833499996E-4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1.37276063878E-2</v>
      </c>
      <c r="B96" s="1">
        <v>1.46519870268E-2</v>
      </c>
      <c r="C96" s="1">
        <v>1.00327826127E-3</v>
      </c>
      <c r="D96" s="1">
        <v>7.1573494691900001E-4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1.3864882451600001E-2</v>
      </c>
      <c r="B97" s="1">
        <v>1.5235927654299999E-2</v>
      </c>
      <c r="C97" s="1">
        <v>9.7893591095200004E-4</v>
      </c>
      <c r="D97" s="1">
        <v>7.1889229638800003E-4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1.40035312762E-2</v>
      </c>
      <c r="B98" s="1">
        <v>1.42744819533E-2</v>
      </c>
      <c r="C98" s="1">
        <v>1.6361149327800001E-3</v>
      </c>
      <c r="D98" s="1">
        <v>7.2208121935199996E-4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1.41435665889E-2</v>
      </c>
      <c r="B99" s="1">
        <v>1.31875397029E-2</v>
      </c>
      <c r="C99" s="1">
        <v>1.5163934180700001E-3</v>
      </c>
      <c r="D99" s="1">
        <v>7.2530203154500005E-4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1.42850022548E-2</v>
      </c>
      <c r="B100" s="1">
        <v>1.1708792480899999E-2</v>
      </c>
      <c r="C100" s="1">
        <v>1.32203247453E-3</v>
      </c>
      <c r="D100" s="1">
        <v>7.2855505186099996E-4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1.44278522774E-2</v>
      </c>
      <c r="B101" s="1">
        <v>1.1713830445699999E-2</v>
      </c>
      <c r="C101" s="1">
        <v>1.27516947238E-3</v>
      </c>
      <c r="D101" s="1">
        <v>7.3184060237899997E-4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1.4572130800099999E-2</v>
      </c>
      <c r="B102" s="1">
        <v>8.6097538976200004E-3</v>
      </c>
      <c r="C102" s="1">
        <v>1.0937351708499999E-3</v>
      </c>
      <c r="D102" s="1">
        <v>7.3515900840299996E-4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1.4717852108099999E-2</v>
      </c>
      <c r="B103" s="1">
        <v>7.30754372234E-3</v>
      </c>
      <c r="C103" s="1">
        <v>1.02890700748E-3</v>
      </c>
      <c r="D103" s="1">
        <v>7.3851059848700003E-4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1.4865030629200001E-2</v>
      </c>
      <c r="B104" s="1">
        <v>6.11964976972E-3</v>
      </c>
      <c r="C104" s="1">
        <v>9.5050009754200004E-4</v>
      </c>
      <c r="D104" s="1">
        <v>7.4189570447199995E-4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1.50136809355E-2</v>
      </c>
      <c r="B105" s="1">
        <v>5.9793644739900001E-3</v>
      </c>
      <c r="C105" s="1">
        <v>8.77196496244E-4</v>
      </c>
      <c r="D105" s="1">
        <v>7.4531466151699999E-4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1.5163817744900001E-2</v>
      </c>
      <c r="B106" s="1">
        <v>4.8376129754299996E-3</v>
      </c>
      <c r="C106" s="1">
        <v>7.8106135297000001E-4</v>
      </c>
      <c r="D106" s="1">
        <v>7.4876780813200002E-4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1.5315455922300001E-2</v>
      </c>
      <c r="B107" s="1">
        <v>4.8977040774399998E-3</v>
      </c>
      <c r="C107" s="1">
        <v>7.6258931613199996E-4</v>
      </c>
      <c r="D107" s="1">
        <v>7.5225548621300005E-4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1.54686104815E-2</v>
      </c>
      <c r="B108" s="1">
        <v>4.9339135926000002E-3</v>
      </c>
      <c r="C108" s="1">
        <v>7.5557658889399996E-4</v>
      </c>
      <c r="D108" s="1">
        <v>7.5577804107499998E-4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1.56232965864E-2</v>
      </c>
      <c r="B109" s="1">
        <v>3.2330601547999999E-3</v>
      </c>
      <c r="C109" s="1">
        <v>6.3956470957599997E-4</v>
      </c>
      <c r="D109" s="1">
        <v>7.5933582148599997E-4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1.5779529552200001E-2</v>
      </c>
      <c r="B110" s="1">
        <v>3.2267542131E-3</v>
      </c>
      <c r="C110" s="1">
        <v>6.06240747522E-4</v>
      </c>
      <c r="D110" s="1">
        <v>7.6292917970100004E-4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1.59373248477E-2</v>
      </c>
      <c r="B111" s="1">
        <v>2.6010189937400001E-3</v>
      </c>
      <c r="C111" s="1">
        <v>5.2574254626999999E-4</v>
      </c>
      <c r="D111" s="1">
        <v>7.6655847149800001E-4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1.6096698096199999E-2</v>
      </c>
      <c r="B112" s="1">
        <v>3.6355216507099998E-3</v>
      </c>
      <c r="C112" s="1">
        <v>5.6579668563199999E-4</v>
      </c>
      <c r="D112" s="1">
        <v>7.7022405621299998E-4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1.6257665077200001E-2</v>
      </c>
      <c r="B113" s="1">
        <v>3.03540348252E-3</v>
      </c>
      <c r="C113" s="1">
        <v>5.1743288178299999E-4</v>
      </c>
      <c r="D113" s="1">
        <v>7.7392629677499995E-4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1.6420241727999999E-2</v>
      </c>
      <c r="B114" s="1">
        <v>3.0448894275799999E-3</v>
      </c>
      <c r="C114" s="1">
        <v>5.1108794688400005E-4</v>
      </c>
      <c r="D114" s="1">
        <v>7.7766555974299997E-4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1.6584444145200002E-2</v>
      </c>
      <c r="B115" s="1">
        <v>3.37521391558E-3</v>
      </c>
      <c r="C115" s="1">
        <v>5.0144883705700004E-4</v>
      </c>
      <c r="D115" s="1">
        <v>7.8144221533999999E-4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1.67502885867E-2</v>
      </c>
      <c r="B116" s="1">
        <v>3.3198948715900001E-3</v>
      </c>
      <c r="C116" s="1">
        <v>4.9204055648800001E-4</v>
      </c>
      <c r="D116" s="1">
        <v>7.8525663749399999E-4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1.6917791472599999E-2</v>
      </c>
      <c r="B117" s="1">
        <v>2.66984776009E-3</v>
      </c>
      <c r="C117" s="1">
        <v>4.71287565348E-4</v>
      </c>
      <c r="D117" s="1">
        <v>7.8910920386899999E-4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1.7086969387300002E-2</v>
      </c>
      <c r="B118" s="1">
        <v>3.0997796689200001E-3</v>
      </c>
      <c r="C118" s="1">
        <v>4.8076939414300001E-4</v>
      </c>
      <c r="D118" s="1">
        <v>7.9300029590700005E-4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1.7257839081199999E-2</v>
      </c>
      <c r="B119" s="1">
        <v>3.82911589649E-3</v>
      </c>
      <c r="C119" s="1">
        <v>4.9754107668800002E-4</v>
      </c>
      <c r="D119" s="1">
        <v>7.9693029886600004E-4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1.7430417472000002E-2</v>
      </c>
      <c r="B120" s="1">
        <v>4.6055229780299998E-3</v>
      </c>
      <c r="C120" s="1">
        <v>5.0408760269799997E-4</v>
      </c>
      <c r="D120" s="1">
        <v>8.0089960185499996E-4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1.7604721646699999E-2</v>
      </c>
      <c r="B121" s="1">
        <v>5.2120086495500003E-3</v>
      </c>
      <c r="C121" s="1">
        <v>5.1365992225299996E-4</v>
      </c>
      <c r="D121" s="1">
        <v>8.0490859787399999E-4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1.77807688631E-2</v>
      </c>
      <c r="B122" s="1">
        <v>5.3089982542699997E-3</v>
      </c>
      <c r="C122" s="1">
        <v>5.0319702397400002E-4</v>
      </c>
      <c r="D122" s="1">
        <v>8.08957683852E-4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1.7958576551799998E-2</v>
      </c>
      <c r="B123" s="1">
        <v>6.5649967558599996E-3</v>
      </c>
      <c r="C123" s="1">
        <v>5.3649071142799999E-4</v>
      </c>
      <c r="D123" s="1">
        <v>8.1304726069100005E-4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1.8138162317300002E-2</v>
      </c>
      <c r="B124" s="1">
        <v>7.0505174716100003E-3</v>
      </c>
      <c r="C124" s="1">
        <v>5.4996109833800003E-4</v>
      </c>
      <c r="D124" s="1">
        <v>8.17177733298E-4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1.8319543940500001E-2</v>
      </c>
      <c r="B125" s="1">
        <v>7.5381297410199999E-3</v>
      </c>
      <c r="C125" s="1">
        <v>5.5628172127000005E-4</v>
      </c>
      <c r="D125" s="1">
        <v>8.2134951063100002E-4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1.8502739379900001E-2</v>
      </c>
      <c r="B126" s="1">
        <v>1.03659719199E-2</v>
      </c>
      <c r="C126" s="1">
        <v>1.7979086362300001E-3</v>
      </c>
      <c r="D126" s="1">
        <v>8.2556300573700004E-4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1.8687766773700001E-2</v>
      </c>
      <c r="B127" s="1">
        <v>1.12338052295E-2</v>
      </c>
      <c r="C127" s="1">
        <v>1.81404479993E-3</v>
      </c>
      <c r="D127" s="1">
        <v>8.2981863579399998E-4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1.8874644441399999E-2</v>
      </c>
      <c r="B128" s="1">
        <v>1.1593426608E-2</v>
      </c>
      <c r="C128" s="1">
        <v>1.7575067859899999E-3</v>
      </c>
      <c r="D128" s="1">
        <v>8.34116822152E-4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1.9063390885799999E-2</v>
      </c>
      <c r="B129" s="1">
        <v>1.2383598202300001E-2</v>
      </c>
      <c r="C129" s="1">
        <v>1.81137457877E-3</v>
      </c>
      <c r="D129" s="1">
        <v>8.3845799037399996E-4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1.9254024794699998E-2</v>
      </c>
      <c r="B130" s="1">
        <v>1.60258698573E-2</v>
      </c>
      <c r="C130" s="1">
        <v>1.8685652188200001E-3</v>
      </c>
      <c r="D130" s="1">
        <v>8.4284257027799996E-4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1.9446565042599999E-2</v>
      </c>
      <c r="B131" s="1">
        <v>1.6488382457399999E-2</v>
      </c>
      <c r="C131" s="1">
        <v>1.8432612925800001E-3</v>
      </c>
      <c r="D131" s="1">
        <v>8.4727099597999998E-4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1.9641030693100001E-2</v>
      </c>
      <c r="B132" s="1">
        <v>1.57445359046E-2</v>
      </c>
      <c r="C132" s="1">
        <v>1.82698262382E-3</v>
      </c>
      <c r="D132" s="1">
        <v>8.5174370594E-4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1.9837441000000001E-2</v>
      </c>
      <c r="B133" s="1">
        <v>1.4357764054200001E-2</v>
      </c>
      <c r="C133" s="1">
        <v>1.67605984963E-3</v>
      </c>
      <c r="D133" s="1">
        <v>8.5626114299999995E-4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2.0035815410000001E-2</v>
      </c>
      <c r="B134" s="1">
        <v>1.6339099817800001E-2</v>
      </c>
      <c r="C134" s="1">
        <v>1.74401934357E-3</v>
      </c>
      <c r="D134" s="1">
        <v>8.6082375442999995E-4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2.0236173564099999E-2</v>
      </c>
      <c r="B135" s="1">
        <v>1.6233193832599999E-2</v>
      </c>
      <c r="C135" s="1">
        <v>1.7154684961900001E-3</v>
      </c>
      <c r="D135" s="1">
        <v>8.6543199197399996E-4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2.0438535299700002E-2</v>
      </c>
      <c r="B136" s="1">
        <v>1.86183730007E-2</v>
      </c>
      <c r="C136" s="1">
        <v>1.7649167175900001E-3</v>
      </c>
      <c r="D136" s="1">
        <v>8.7008631189400005E-4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2.06429206527E-2</v>
      </c>
      <c r="B137" s="1">
        <v>2.1495506143500001E-2</v>
      </c>
      <c r="C137" s="1">
        <v>1.84326131172E-3</v>
      </c>
      <c r="D137" s="1">
        <v>8.7478717501299999E-4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2.0849349859299999E-2</v>
      </c>
      <c r="B138" s="1">
        <v>1.8458826657899999E-2</v>
      </c>
      <c r="C138" s="1">
        <v>1.6688163786500001E-3</v>
      </c>
      <c r="D138" s="1">
        <v>8.7953504676300002E-4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2.1057843357800001E-2</v>
      </c>
      <c r="B139" s="1">
        <v>1.79744700236E-2</v>
      </c>
      <c r="C139" s="1">
        <v>1.6141462840999999E-3</v>
      </c>
      <c r="D139" s="1">
        <v>8.8433039722999999E-4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2.12684217914E-2</v>
      </c>
      <c r="B140" s="1">
        <v>2.1850845887700001E-2</v>
      </c>
      <c r="C140" s="1">
        <v>1.7184346984E-3</v>
      </c>
      <c r="D140" s="1">
        <v>8.8917370120300001E-4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2.1481106009300002E-2</v>
      </c>
      <c r="B141" s="1">
        <v>2.1903053843300001E-2</v>
      </c>
      <c r="C141" s="1">
        <v>1.7496004873999999E-3</v>
      </c>
      <c r="D141" s="1">
        <v>8.9406543821499997E-4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2.1695917069400002E-2</v>
      </c>
      <c r="B142" s="1">
        <v>1.8634170688099999E-2</v>
      </c>
      <c r="C142" s="1">
        <v>1.55662699281E-3</v>
      </c>
      <c r="D142" s="1">
        <v>8.9900609259699999E-4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2.19128762401E-2</v>
      </c>
      <c r="B143" s="1">
        <v>1.86489913429E-2</v>
      </c>
      <c r="C143" s="1">
        <v>1.50449914203E-3</v>
      </c>
      <c r="D143" s="1">
        <v>9.0399615352299999E-4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2.21320050025E-2</v>
      </c>
      <c r="B144" s="1">
        <v>1.88257198545E-2</v>
      </c>
      <c r="C144" s="1">
        <v>1.5087683299899999E-3</v>
      </c>
      <c r="D144" s="1">
        <v>9.0903611505800002E-4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2.2353325052600001E-2</v>
      </c>
      <c r="B145" s="1">
        <v>2.1126413948800001E-2</v>
      </c>
      <c r="C145" s="1">
        <v>1.5775487745E-3</v>
      </c>
      <c r="D145" s="1">
        <v>9.1412647620899999E-4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2.2576858303100002E-2</v>
      </c>
      <c r="B146" s="1">
        <v>1.74234038568E-2</v>
      </c>
      <c r="C146" s="1">
        <v>6.9594528323899997E-4</v>
      </c>
      <c r="D146" s="1">
        <v>9.1926774097100003E-4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2.2802626886099998E-2</v>
      </c>
      <c r="B147" s="1">
        <v>1.8207982009999998E-2</v>
      </c>
      <c r="C147" s="1">
        <v>6.9777664523400001E-4</v>
      </c>
      <c r="D147" s="1">
        <v>9.2446041838000002E-4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2.3030653155000001E-2</v>
      </c>
      <c r="B148" s="1">
        <v>1.8978974570200001E-2</v>
      </c>
      <c r="C148" s="1">
        <v>7.1482239945199995E-4</v>
      </c>
      <c r="D148" s="1">
        <v>9.29705022564E-4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2.32609596865E-2</v>
      </c>
      <c r="B149" s="1">
        <v>1.6949794931599999E-2</v>
      </c>
      <c r="C149" s="1">
        <v>6.6242401729499996E-4</v>
      </c>
      <c r="D149" s="1">
        <v>9.3500207279000004E-4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2.34935692834E-2</v>
      </c>
      <c r="B150" s="1">
        <v>1.69481942392E-2</v>
      </c>
      <c r="C150" s="1">
        <v>6.7274125090899999E-4</v>
      </c>
      <c r="D150" s="1">
        <v>9.4035209351799997E-4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2.37285049762E-2</v>
      </c>
      <c r="B151" s="1">
        <v>1.5925163168300002E-2</v>
      </c>
      <c r="C151" s="1">
        <v>6.1333363537700001E-4</v>
      </c>
      <c r="D151" s="1">
        <v>9.4575561445300004E-4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2.3965790026000001E-2</v>
      </c>
      <c r="B152" s="1">
        <v>1.4684023172599999E-2</v>
      </c>
      <c r="C152" s="1">
        <v>5.8538845534699996E-4</v>
      </c>
      <c r="D152" s="1">
        <v>9.5121317059800004E-4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2.42054479262E-2</v>
      </c>
      <c r="B153" s="1">
        <v>1.3482317886500001E-2</v>
      </c>
      <c r="C153" s="1">
        <v>5.5333657877099996E-4</v>
      </c>
      <c r="D153" s="91">
        <v>9.5672530230299997E-4</v>
      </c>
      <c r="E153" s="91"/>
      <c r="F153" s="91"/>
      <c r="G153" s="91"/>
      <c r="H153" s="91"/>
      <c r="I153" s="91"/>
      <c r="J153" s="91"/>
      <c r="K153" s="91"/>
      <c r="L153" s="91"/>
      <c r="M153" s="9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2.4447502405500001E-2</v>
      </c>
      <c r="B154" s="1">
        <v>1.24740885351E-2</v>
      </c>
      <c r="C154" s="1">
        <v>4.9432900062100005E-4</v>
      </c>
      <c r="D154" s="1">
        <v>9.62292555327E-4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2.4691977429599998E-2</v>
      </c>
      <c r="B155" s="1">
        <v>1.2436155017500001E-2</v>
      </c>
      <c r="C155" s="1">
        <v>5.1234242507700002E-4</v>
      </c>
      <c r="D155" s="1">
        <v>9.6791548087999996E-4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2.4938897203899999E-2</v>
      </c>
      <c r="B156" s="1">
        <v>9.8295842710700004E-3</v>
      </c>
      <c r="C156" s="1">
        <v>4.25846312765E-4</v>
      </c>
      <c r="D156" s="1">
        <v>9.7359463568899996E-4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2.51882861759E-2</v>
      </c>
      <c r="B157" s="1">
        <v>9.1922569578699997E-3</v>
      </c>
      <c r="C157" s="1">
        <v>4.0506607971099999E-4</v>
      </c>
      <c r="D157" s="1">
        <v>9.7933058204499992E-4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2.5440169037600002E-2</v>
      </c>
      <c r="B158" s="1">
        <v>8.1476076167900004E-3</v>
      </c>
      <c r="C158" s="1">
        <v>3.6659186403699998E-4</v>
      </c>
      <c r="D158" s="1">
        <v>9.8512388786599998E-4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2.5694570728E-2</v>
      </c>
      <c r="B159" s="1">
        <v>6.9691047223100003E-3</v>
      </c>
      <c r="C159" s="1">
        <v>3.3699700346799999E-4</v>
      </c>
      <c r="D159" s="1">
        <v>9.9097512674499997E-4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2.5951516435299998E-2</v>
      </c>
      <c r="B160" s="1">
        <v>5.91233756184E-3</v>
      </c>
      <c r="C160" s="1">
        <v>3.0346285547999999E-4</v>
      </c>
      <c r="D160" s="1">
        <v>9.9688487801200009E-4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2.6211031599700001E-2</v>
      </c>
      <c r="B161" s="1">
        <v>5.2154128218500004E-3</v>
      </c>
      <c r="C161" s="1">
        <v>2.8540431841799998E-4</v>
      </c>
      <c r="D161" s="1">
        <v>1.0028537267900001E-3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2.6473141915700001E-2</v>
      </c>
      <c r="B162" s="1">
        <v>4.70436285443E-3</v>
      </c>
      <c r="C162" s="1">
        <v>2.6180635247899999E-4</v>
      </c>
      <c r="D162" s="1">
        <v>1.00888226406E-3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2.6737873334799999E-2</v>
      </c>
      <c r="B163" s="1">
        <v>3.8568119276500001E-3</v>
      </c>
      <c r="C163" s="1">
        <v>2.61053488436E-4</v>
      </c>
      <c r="D163" s="1">
        <v>1.0149710867E-3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2.7005252068200002E-2</v>
      </c>
      <c r="B164" s="1">
        <v>3.12676556486E-3</v>
      </c>
      <c r="C164" s="1">
        <v>2.3776186490300001E-4</v>
      </c>
      <c r="D164" s="1">
        <v>1.02112079757E-3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2.7275304588799999E-2</v>
      </c>
      <c r="B165" s="1">
        <v>2.6521669575699999E-3</v>
      </c>
      <c r="C165" s="1">
        <v>2.1893566553100001E-4</v>
      </c>
      <c r="D165" s="1">
        <v>1.02733200554E-3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2.7548057634700002E-2</v>
      </c>
      <c r="B166" s="1">
        <v>2.4453636448700002E-3</v>
      </c>
      <c r="C166" s="1">
        <v>2.0297978410399999E-4</v>
      </c>
      <c r="D166" s="1">
        <v>1.0336053256E-3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2.78235382111E-2</v>
      </c>
      <c r="B167" s="1">
        <v>1.88089694267E-3</v>
      </c>
      <c r="C167" s="1">
        <v>1.78269930872E-4</v>
      </c>
      <c r="D167" s="1">
        <v>1.0399413788499999E-3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2.81017735932E-2</v>
      </c>
      <c r="B168" s="1">
        <v>1.5240736010699999E-3</v>
      </c>
      <c r="C168" s="1">
        <v>1.6090111270199999E-4</v>
      </c>
      <c r="D168" s="1">
        <v>1.0463407926400001E-3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2.8382791329100002E-2</v>
      </c>
      <c r="B169" s="1">
        <v>1.21769988036E-3</v>
      </c>
      <c r="C169" s="1">
        <v>1.4964752798200001E-4</v>
      </c>
      <c r="D169" s="1">
        <v>1.0528042005699999E-3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2.86666192424E-2</v>
      </c>
      <c r="B170" s="1">
        <v>8.2475420686100003E-4</v>
      </c>
      <c r="C170" s="1">
        <v>1.3519378706E-4</v>
      </c>
      <c r="D170" s="1">
        <v>1.05933224258E-3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2.89532854348E-2</v>
      </c>
      <c r="B171" s="1">
        <v>7.4131178523700002E-4</v>
      </c>
      <c r="C171" s="1">
        <v>1.25541142652E-4</v>
      </c>
      <c r="D171" s="1">
        <v>1.065925565E-3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2.9242818289200001E-2</v>
      </c>
      <c r="B172" s="1">
        <v>7.3791335426200003E-4</v>
      </c>
      <c r="C172" s="1">
        <v>1.19688632436E-4</v>
      </c>
      <c r="D172" s="1">
        <v>1.0725848206499999E-3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2.9535246472099999E-2</v>
      </c>
      <c r="B173" s="1">
        <v>4.1884812990700002E-4</v>
      </c>
      <c r="C173" s="1">
        <v>1.02006567235E-4</v>
      </c>
      <c r="D173" s="1">
        <v>1.0793106688599999E-3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2.9830598936799999E-2</v>
      </c>
      <c r="B174" s="1">
        <v>5.4788953960999999E-4</v>
      </c>
      <c r="C174" s="1">
        <v>1.03303909973E-4</v>
      </c>
      <c r="D174" s="1">
        <v>1.08610377555E-3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3.01289049262E-2</v>
      </c>
      <c r="B175" s="1">
        <v>6.3018878207499998E-4</v>
      </c>
      <c r="C175" s="1">
        <v>1.16015485228E-4</v>
      </c>
      <c r="D175" s="1">
        <v>1.0929648132999999E-3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3.0430193975400002E-2</v>
      </c>
      <c r="B176" s="1">
        <v>6.34749516642E-4</v>
      </c>
      <c r="C176" s="1">
        <v>1.13759364619E-4</v>
      </c>
      <c r="D176" s="1">
        <v>1.09989446143E-3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3.07344959152E-2</v>
      </c>
      <c r="B177" s="1">
        <v>5.2404444164199997E-4</v>
      </c>
      <c r="C177" s="1">
        <v>1.00927848505E-4</v>
      </c>
      <c r="D177" s="1">
        <v>1.1068934060499999E-3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3.1041840874300002E-2</v>
      </c>
      <c r="B178" s="1">
        <v>4.6754069706800001E-4</v>
      </c>
      <c r="C178" s="1">
        <v>9.6738934167000002E-5</v>
      </c>
      <c r="D178" s="1">
        <v>1.1139623401100001E-3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3.1352259283100002E-2</v>
      </c>
      <c r="B179" s="1">
        <v>6.2508628513700001E-4</v>
      </c>
      <c r="C179" s="1">
        <v>1.10049840476E-4</v>
      </c>
      <c r="D179" s="1">
        <v>1.1211019635100001E-3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3.1665781875900002E-2</v>
      </c>
      <c r="B180" s="1">
        <v>6.3035547480799997E-4</v>
      </c>
      <c r="C180" s="1">
        <v>1.0918634814800001E-4</v>
      </c>
      <c r="D180" s="1">
        <v>1.12831298315E-3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>
        <v>3.19824396947E-2</v>
      </c>
      <c r="B181" s="1">
        <v>8.2749297218800001E-4</v>
      </c>
      <c r="C181" s="1">
        <v>1.2079648877499999E-4</v>
      </c>
      <c r="D181" s="1">
        <v>1.1355961129799999E-3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>
        <v>3.2302264091600003E-2</v>
      </c>
      <c r="B182" s="1">
        <v>5.1800695972200001E-4</v>
      </c>
      <c r="C182" s="1">
        <v>1.00150934241E-4</v>
      </c>
      <c r="D182" s="1">
        <v>1.1429520741100001E-3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>
        <v>3.2625286732500001E-2</v>
      </c>
      <c r="B183" s="1">
        <v>6.9417471710800003E-4</v>
      </c>
      <c r="C183" s="1">
        <v>1.22860856905E-4</v>
      </c>
      <c r="D183" s="1">
        <v>1.15038159485E-3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>
        <v>3.29515395999E-2</v>
      </c>
      <c r="B184" s="1">
        <v>6.5823526806900001E-4</v>
      </c>
      <c r="C184" s="1">
        <v>1.17031244597E-4</v>
      </c>
      <c r="D184" s="1">
        <v>1.1578854107999999E-3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>
        <v>3.3281054995899999E-2</v>
      </c>
      <c r="B185" s="1">
        <v>4.0170103079800002E-4</v>
      </c>
      <c r="C185" s="1">
        <v>1.0506255423499999E-4</v>
      </c>
      <c r="D185" s="1">
        <v>1.1654642648999999E-3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>
        <v>3.3613865545800002E-2</v>
      </c>
      <c r="B186" s="1">
        <v>5.4866837425000001E-4</v>
      </c>
      <c r="C186" s="1">
        <v>1.04113850962E-4</v>
      </c>
      <c r="D186" s="1">
        <v>1.1731189075499999E-3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>
        <v>3.3950004201300003E-2</v>
      </c>
      <c r="B187" s="1">
        <v>3.8366628790099998E-4</v>
      </c>
      <c r="C187" s="1">
        <v>9.4529837669000004E-5</v>
      </c>
      <c r="D187" s="1">
        <v>1.18085009663E-3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>
        <v>3.4289504243299997E-2</v>
      </c>
      <c r="B188" s="1">
        <v>5.2035884645500001E-4</v>
      </c>
      <c r="C188" s="1">
        <v>1.05452499114E-4</v>
      </c>
      <c r="D188" s="1">
        <v>1.1886585976000001E-3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>
        <v>3.46323992857E-2</v>
      </c>
      <c r="B189" s="1">
        <v>5.5996925770399996E-4</v>
      </c>
      <c r="C189" s="1">
        <v>1.01538126003E-4</v>
      </c>
      <c r="D189" s="1">
        <v>1.1965451835699999E-3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>
        <v>3.49787232786E-2</v>
      </c>
      <c r="B190" s="1">
        <v>4.4001080922100001E-4</v>
      </c>
      <c r="C190" s="1">
        <v>9.1958932045999993E-5</v>
      </c>
      <c r="D190" s="1">
        <v>1.20451063541E-3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>
        <v>3.5328510511399999E-2</v>
      </c>
      <c r="B191" s="1">
        <v>4.2354998601299999E-4</v>
      </c>
      <c r="C191" s="1">
        <v>9.0539681992900001E-5</v>
      </c>
      <c r="D191" s="1">
        <v>1.2125557417599999E-3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>
        <v>3.5681795616499999E-2</v>
      </c>
      <c r="B192" s="1">
        <v>2.96567697465E-4</v>
      </c>
      <c r="C192" s="1">
        <v>8.0589334597200001E-5</v>
      </c>
      <c r="D192" s="1">
        <v>1.2206812991799999E-3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>
        <v>3.6038613572599999E-2</v>
      </c>
      <c r="B193" s="1">
        <v>1.9042186200700001E-4</v>
      </c>
      <c r="C193" s="1">
        <v>7.0433486950999998E-5</v>
      </c>
      <c r="D193" s="1">
        <v>1.2288881121700001E-3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>
        <v>3.63989997084E-2</v>
      </c>
      <c r="B194" s="1">
        <v>2.05941749996E-4</v>
      </c>
      <c r="C194" s="1">
        <v>7.2062202280799995E-5</v>
      </c>
      <c r="D194" s="1">
        <v>1.2371769932899999E-3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>
        <v>3.6762989705399998E-2</v>
      </c>
      <c r="B195" s="1">
        <v>2.4746459299999999E-4</v>
      </c>
      <c r="C195" s="1">
        <v>7.5657837698699996E-5</v>
      </c>
      <c r="D195" s="1">
        <v>1.24554876323E-3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>
        <v>3.7130619602499998E-2</v>
      </c>
      <c r="B196" s="1">
        <v>2.7773225320400002E-4</v>
      </c>
      <c r="C196" s="1">
        <v>7.6542331481299996E-5</v>
      </c>
      <c r="D196" s="1">
        <v>1.2540042508600001E-3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>
        <v>3.7501925798500001E-2</v>
      </c>
      <c r="B197" s="1">
        <v>2.6780589199800001E-4</v>
      </c>
      <c r="C197" s="1">
        <v>7.7184715390300003E-5</v>
      </c>
      <c r="D197" s="1">
        <v>1.2625442933699999E-3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>
        <v>3.7876945056500001E-2</v>
      </c>
      <c r="B198" s="1">
        <v>2.2911457013699999E-4</v>
      </c>
      <c r="C198" s="1">
        <v>7.1767234999599999E-5</v>
      </c>
      <c r="D198" s="1">
        <v>1.2711697363000001E-3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>
        <v>3.8255714507099997E-2</v>
      </c>
      <c r="B199" s="1">
        <v>1.94806315905E-4</v>
      </c>
      <c r="C199" s="1">
        <v>6.8857398587700004E-5</v>
      </c>
      <c r="D199" s="1">
        <v>1.2798814336599999E-3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>
        <v>3.8638271652100001E-2</v>
      </c>
      <c r="B200" s="1">
        <v>1.8187660658199999E-4</v>
      </c>
      <c r="C200" s="1">
        <v>6.7743990376600003E-5</v>
      </c>
      <c r="D200" s="1">
        <v>1.288680248E-3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>
        <v>3.90246543687E-2</v>
      </c>
      <c r="B201" s="1">
        <v>1.7620628223799999E-4</v>
      </c>
      <c r="C201" s="1">
        <v>6.3915237199899995E-5</v>
      </c>
      <c r="D201" s="1">
        <v>1.2975670504800001E-3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>
        <v>3.9414900912399999E-2</v>
      </c>
      <c r="B202" s="1">
        <v>1.4358886254600001E-4</v>
      </c>
      <c r="C202" s="1">
        <v>5.9186573817699999E-5</v>
      </c>
      <c r="D202" s="1">
        <v>1.30654272098E-3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>
        <v>3.98090499215E-2</v>
      </c>
      <c r="B203" s="1">
        <v>2.1123996738699999E-4</v>
      </c>
      <c r="C203" s="1">
        <v>6.6673359679799999E-5</v>
      </c>
      <c r="D203" s="1">
        <v>1.31560814819E-3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>
        <v>4.0207140420699998E-2</v>
      </c>
      <c r="B204" s="1">
        <v>1.5859629248199999E-4</v>
      </c>
      <c r="C204" s="1">
        <v>6.8964680585199999E-5</v>
      </c>
      <c r="D204" s="1">
        <v>1.32476422968E-3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>
        <v>4.0609211824900002E-2</v>
      </c>
      <c r="B205" s="1">
        <v>1.1904897414600001E-4</v>
      </c>
      <c r="C205" s="1">
        <v>5.8135477036700003E-5</v>
      </c>
      <c r="D205" s="1">
        <v>1.3340118719700001E-3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>
        <v>4.1015303943099997E-2</v>
      </c>
      <c r="B206" s="1">
        <v>1.1009875681699999E-4</v>
      </c>
      <c r="C206" s="1">
        <v>6.5149443560600002E-5</v>
      </c>
      <c r="D206" s="1">
        <v>1.3433519906900001E-3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>
        <v>4.1425456982600001E-2</v>
      </c>
      <c r="B207" s="1">
        <v>1.8800241938399999E-4</v>
      </c>
      <c r="C207" s="1">
        <v>6.6481426861299999E-5</v>
      </c>
      <c r="D207" s="1">
        <v>1.3527855106E-3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>
        <v>4.1839711552400002E-2</v>
      </c>
      <c r="B208" s="1">
        <v>1.51665925384E-4</v>
      </c>
      <c r="C208" s="1">
        <v>5.9821545297900003E-5</v>
      </c>
      <c r="D208" s="1">
        <v>1.36231336571E-3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>
        <v>4.2258108667900002E-2</v>
      </c>
      <c r="B209" s="1">
        <v>1.67096817166E-4</v>
      </c>
      <c r="C209" s="1">
        <v>6.1319459696700004E-5</v>
      </c>
      <c r="D209" s="1">
        <v>1.37193649936E-3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>
        <v>4.2680689754600001E-2</v>
      </c>
      <c r="B210" s="1">
        <v>1.9657825515599999E-4</v>
      </c>
      <c r="C210" s="1">
        <v>6.5337821386199997E-5</v>
      </c>
      <c r="D210" s="1">
        <v>1.3816558643600001E-3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>
        <v>4.3107496652199997E-2</v>
      </c>
      <c r="B211" s="1">
        <v>1.51185534799E-4</v>
      </c>
      <c r="C211" s="1">
        <v>1.9145808695799999E-5</v>
      </c>
      <c r="D211" s="1">
        <v>1.391472423E-3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>
        <v>4.3538571618699999E-2</v>
      </c>
      <c r="B212" s="1">
        <v>2.0728835353699999E-4</v>
      </c>
      <c r="C212" s="1">
        <v>2.1010360652599999E-5</v>
      </c>
      <c r="D212" s="1">
        <v>1.4013871472299999E-3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>
        <v>4.3973957334899998E-2</v>
      </c>
      <c r="B213" s="1">
        <v>2.0278459983699999E-4</v>
      </c>
      <c r="C213" s="1">
        <v>1.99936630176E-5</v>
      </c>
      <c r="D213" s="1">
        <v>1.4114010186999999E-3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>
        <v>4.4413696908199997E-2</v>
      </c>
      <c r="B214" s="1">
        <v>2.8783221578500002E-4</v>
      </c>
      <c r="C214" s="1">
        <v>2.35642248393E-5</v>
      </c>
      <c r="D214" s="1">
        <v>1.4215150288899999E-3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>
        <v>4.4857833877300003E-2</v>
      </c>
      <c r="B215" s="1">
        <v>3.0390907976600001E-4</v>
      </c>
      <c r="C215" s="1">
        <v>2.3485784166799999E-5</v>
      </c>
      <c r="D215" s="1">
        <v>1.43173017918E-3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25">
      <c r="A216">
        <v>4.5306412216100003E-2</v>
      </c>
      <c r="B216" s="1">
        <v>3.0689312277399998E-4</v>
      </c>
      <c r="C216" s="1">
        <v>2.25722863586E-5</v>
      </c>
      <c r="D216" s="1">
        <v>1.4420474809700001E-3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25">
      <c r="A217">
        <v>4.5759476338200003E-2</v>
      </c>
      <c r="B217" s="1">
        <v>3.9161833602400001E-4</v>
      </c>
      <c r="C217" s="1">
        <v>2.56226716595E-5</v>
      </c>
      <c r="D217" s="1">
        <v>1.4524679557800001E-3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25">
      <c r="A218">
        <v>4.6217071101599998E-2</v>
      </c>
      <c r="B218" s="1">
        <v>4.5112470217199997E-4</v>
      </c>
      <c r="C218" s="1">
        <v>2.7619531772000001E-5</v>
      </c>
      <c r="D218" s="1">
        <v>1.46299263534E-3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25">
      <c r="A219">
        <v>4.6679241812599997E-2</v>
      </c>
      <c r="B219" s="1">
        <v>5.2498963159300002E-4</v>
      </c>
      <c r="C219" s="1">
        <v>2.99158799612E-5</v>
      </c>
      <c r="D219" s="1">
        <v>1.47362256169E-3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25">
      <c r="A220">
        <v>4.71460342308E-2</v>
      </c>
      <c r="B220" s="1">
        <v>5.7622439016100004E-4</v>
      </c>
      <c r="C220" s="1">
        <v>3.1367242235300001E-5</v>
      </c>
      <c r="D220" s="1">
        <v>1.48435878731E-3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25">
      <c r="A221">
        <v>4.7617494573100001E-2</v>
      </c>
      <c r="B221" s="1">
        <v>5.6945852591599999E-4</v>
      </c>
      <c r="C221" s="1">
        <v>3.1377476603500001E-5</v>
      </c>
      <c r="D221" s="1">
        <v>1.4952023751800001E-3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25">
      <c r="A222">
        <v>4.8093669518800002E-2</v>
      </c>
      <c r="B222" s="1">
        <v>5.6083592324600003E-4</v>
      </c>
      <c r="C222" s="1">
        <v>2.94878094033E-5</v>
      </c>
      <c r="D222" s="1">
        <v>1.5061543989299999E-3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25">
      <c r="A223">
        <v>4.8574606213999998E-2</v>
      </c>
      <c r="B223" s="1">
        <v>5.3769167181400002E-4</v>
      </c>
      <c r="C223" s="1">
        <v>2.8278053952499999E-5</v>
      </c>
      <c r="D223" s="1">
        <v>1.51721594292E-3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25">
      <c r="A224">
        <v>4.9060352276099999E-2</v>
      </c>
      <c r="B224" s="1">
        <v>6.0508870824E-4</v>
      </c>
      <c r="C224" s="1">
        <v>3.33157057733E-5</v>
      </c>
      <c r="D224" s="1">
        <v>1.5283881023500001E-3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25">
      <c r="A225">
        <v>4.9550955798900002E-2</v>
      </c>
      <c r="B225" s="1">
        <v>6.2501894521700002E-4</v>
      </c>
      <c r="C225" s="1">
        <v>3.3949440115600001E-5</v>
      </c>
      <c r="D225" s="1">
        <v>1.5396719833700001E-3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25">
      <c r="A226">
        <v>5.0046465356900001E-2</v>
      </c>
      <c r="B226" s="1">
        <v>5.0374134786600004E-4</v>
      </c>
      <c r="C226" s="1">
        <v>2.8175812373700001E-5</v>
      </c>
      <c r="D226" s="1">
        <v>1.5510687032100001E-3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25">
      <c r="A227">
        <v>5.0546930010399997E-2</v>
      </c>
      <c r="B227" s="1">
        <v>4.6853548203000002E-4</v>
      </c>
      <c r="C227" s="1">
        <v>2.7835861409000002E-5</v>
      </c>
      <c r="D227" s="1">
        <v>1.56257939024E-3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25">
      <c r="A228">
        <v>5.1052399310499999E-2</v>
      </c>
      <c r="B228" s="1">
        <v>4.2710841245099999E-4</v>
      </c>
      <c r="C228" s="1">
        <v>2.4536093333E-5</v>
      </c>
      <c r="D228" s="1">
        <v>1.5742051841400001E-3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25">
      <c r="A229">
        <v>5.1562923303600003E-2</v>
      </c>
      <c r="B229" s="1">
        <v>3.5617306188300002E-4</v>
      </c>
      <c r="C229" s="1">
        <v>2.2556715228699998E-5</v>
      </c>
      <c r="D229" s="1">
        <v>1.58594723598E-3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25">
      <c r="A230">
        <v>5.2078552536699997E-2</v>
      </c>
      <c r="B230" s="1">
        <v>3.1033413693500001E-4</v>
      </c>
      <c r="C230" s="1">
        <v>2.08398927325E-5</v>
      </c>
      <c r="D230" s="1">
        <v>1.5978067083399999E-3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25">
      <c r="A231">
        <v>5.2599338062100001E-2</v>
      </c>
      <c r="B231" s="1">
        <v>3.07869178149E-4</v>
      </c>
      <c r="C231" s="1">
        <v>2.1075530722300001E-5</v>
      </c>
      <c r="D231" s="1">
        <v>1.6097847754299999E-3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25">
      <c r="A232">
        <v>5.31253314427E-2</v>
      </c>
      <c r="B232" s="1">
        <v>2.1434778754100001E-4</v>
      </c>
      <c r="C232" s="1">
        <v>1.7584937773299999E-5</v>
      </c>
      <c r="D232" s="1">
        <v>1.6218826231800001E-3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25">
      <c r="A233">
        <v>5.3656584757100001E-2</v>
      </c>
      <c r="B233" s="1">
        <v>1.9893614031800001E-4</v>
      </c>
      <c r="C233" s="1">
        <v>1.7371313301400001E-5</v>
      </c>
      <c r="D233" s="1">
        <v>1.6341014494100001E-3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25">
      <c r="A234">
        <v>5.4193150604700001E-2</v>
      </c>
      <c r="B234" s="1">
        <v>1.6417051713499999E-4</v>
      </c>
      <c r="C234" s="1">
        <v>1.59901205729E-5</v>
      </c>
      <c r="D234" s="1">
        <v>1.64644246391E-3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25">
      <c r="A235">
        <v>5.4735082110700002E-2</v>
      </c>
      <c r="B235" s="1">
        <v>1.31520381767E-4</v>
      </c>
      <c r="C235" s="1">
        <v>1.39850185657E-5</v>
      </c>
      <c r="D235" s="1">
        <v>1.65890688855E-3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25">
      <c r="A236">
        <v>5.5282432931799998E-2</v>
      </c>
      <c r="B236" s="1">
        <v>1.12151888618E-4</v>
      </c>
      <c r="C236" s="1">
        <v>1.2811901545E-5</v>
      </c>
      <c r="D236" s="1">
        <v>1.6714959574299999E-3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25">
      <c r="A237">
        <v>5.5835257261100002E-2</v>
      </c>
      <c r="B237" s="1">
        <v>1.1604333277100001E-4</v>
      </c>
      <c r="C237" s="1">
        <v>1.32550309486E-5</v>
      </c>
      <c r="D237" s="1">
        <v>1.6842109170100001E-3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25">
      <c r="A238">
        <v>5.6393609833799999E-2</v>
      </c>
      <c r="B238" s="1">
        <v>9.3163608862300003E-5</v>
      </c>
      <c r="C238" s="1">
        <v>1.15729556505E-5</v>
      </c>
      <c r="D238" s="1">
        <v>1.69705302618E-3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25">
      <c r="A239">
        <v>5.69575459321E-2</v>
      </c>
      <c r="B239" s="1">
        <v>1.05784574513E-4</v>
      </c>
      <c r="C239" s="1">
        <v>1.1898325950400001E-5</v>
      </c>
      <c r="D239" s="1">
        <v>1.7100235564399999E-3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25">
      <c r="A240">
        <v>5.7527121391400003E-2</v>
      </c>
      <c r="B240" s="1">
        <v>1.3133031924299999E-4</v>
      </c>
      <c r="C240" s="1">
        <v>1.32939676855E-5</v>
      </c>
      <c r="D240" s="1">
        <v>1.7231237920000001E-3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25">
      <c r="A241">
        <v>5.81023926053E-2</v>
      </c>
      <c r="B241" s="1">
        <v>1.0767207157800001E-4</v>
      </c>
      <c r="C241" s="1">
        <v>1.18291374762E-5</v>
      </c>
      <c r="D241" s="1">
        <v>1.73635502992E-3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25">
      <c r="A242">
        <v>5.8683416531400003E-2</v>
      </c>
      <c r="B242" s="1">
        <v>1.2125699315E-4</v>
      </c>
      <c r="C242" s="1">
        <v>1.27859764761E-5</v>
      </c>
      <c r="D242" s="1">
        <v>1.74971858022E-3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25">
      <c r="A243">
        <v>5.92702506967E-2</v>
      </c>
      <c r="B243" s="1">
        <v>8.9703575216400002E-5</v>
      </c>
      <c r="C243" s="1">
        <v>1.09261353739E-5</v>
      </c>
      <c r="D243" s="1">
        <v>1.7632157660200001E-3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25">
      <c r="A244">
        <v>5.9862953203699998E-2</v>
      </c>
      <c r="B244" s="1">
        <v>1.01381411825E-4</v>
      </c>
      <c r="C244" s="1">
        <v>1.1895954644099999E-5</v>
      </c>
      <c r="D244" s="1">
        <v>1.7768479236799999E-3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25">
      <c r="A245">
        <v>6.0461582735700001E-2</v>
      </c>
      <c r="B245" s="1">
        <v>9.4223320853999994E-5</v>
      </c>
      <c r="C245" s="1">
        <v>1.2068119377800001E-5</v>
      </c>
      <c r="D245" s="1">
        <v>1.79061640292E-3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25">
      <c r="A246">
        <v>6.1066198563099999E-2</v>
      </c>
      <c r="B246" s="1">
        <v>9.7927974105400007E-5</v>
      </c>
      <c r="C246" s="1">
        <v>1.34235872533E-5</v>
      </c>
      <c r="D246" s="1">
        <v>1.80452256695E-3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25">
      <c r="A247">
        <v>6.1676860548700002E-2</v>
      </c>
      <c r="B247" s="1">
        <v>7.3792972873400005E-5</v>
      </c>
      <c r="C247" s="1">
        <v>1.0727120521500001E-5</v>
      </c>
      <c r="D247" s="1">
        <v>1.8185677926199999E-3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25">
      <c r="A248">
        <v>6.2293629154200003E-2</v>
      </c>
      <c r="B248" s="1">
        <v>5.9274224681999997E-5</v>
      </c>
      <c r="C248" s="1">
        <v>1.00675041324E-5</v>
      </c>
      <c r="D248" s="1">
        <v>1.8327534705499999E-3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25">
      <c r="A249">
        <v>6.2916565445699998E-2</v>
      </c>
      <c r="B249" s="1">
        <v>7.2034170856500004E-5</v>
      </c>
      <c r="C249" s="1">
        <v>9.6638721140500006E-6</v>
      </c>
      <c r="D249" s="1">
        <v>1.8470810052500001E-3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25">
      <c r="A250">
        <v>6.3545731100199995E-2</v>
      </c>
      <c r="B250" s="1">
        <v>5.2157407837599998E-5</v>
      </c>
      <c r="C250" s="1">
        <v>8.5919909009700006E-6</v>
      </c>
      <c r="D250" s="1">
        <v>1.8615518153E-3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25">
      <c r="A251">
        <v>6.4181188411200005E-2</v>
      </c>
      <c r="B251" s="1">
        <v>5.4674776388999998E-5</v>
      </c>
      <c r="C251" s="1">
        <v>8.5991381624E-6</v>
      </c>
      <c r="D251" s="1">
        <v>1.87616733346E-3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25">
      <c r="A252">
        <v>6.4823000295299998E-2</v>
      </c>
      <c r="B252" s="1">
        <v>4.4801933887200001E-5</v>
      </c>
      <c r="C252" s="1">
        <v>8.0399953017300008E-6</v>
      </c>
      <c r="D252" s="1">
        <v>1.8909290067899999E-3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25">
      <c r="A253">
        <v>6.5471230298199998E-2</v>
      </c>
      <c r="B253" s="1">
        <v>3.43773047197E-5</v>
      </c>
      <c r="C253" s="1">
        <v>7.8819409521199994E-6</v>
      </c>
      <c r="D253" s="1">
        <v>1.9058382968600001E-3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25">
      <c r="A254">
        <v>6.61259426012E-2</v>
      </c>
      <c r="B254" s="1">
        <v>2.9450661242999999E-5</v>
      </c>
      <c r="C254" s="1">
        <v>7.2606432965100002E-6</v>
      </c>
      <c r="D254" s="1">
        <v>1.9208966798300001E-3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25">
      <c r="A255">
        <v>6.6787202027199996E-2</v>
      </c>
      <c r="B255" s="1">
        <v>3.8245682098500001E-5</v>
      </c>
      <c r="C255" s="1">
        <v>7.41775648895E-6</v>
      </c>
      <c r="D255" s="1">
        <v>1.93610564663E-3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25">
      <c r="A256">
        <v>6.7455074047499994E-2</v>
      </c>
      <c r="B256" s="1">
        <v>4.5967684686600001E-5</v>
      </c>
      <c r="C256" s="1">
        <v>8.1854124725700006E-6</v>
      </c>
      <c r="D256" s="1">
        <v>1.9514667030900001E-3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25">
      <c r="A257">
        <v>6.8129624787999998E-2</v>
      </c>
      <c r="B257" s="1">
        <v>3.4403767458400001E-5</v>
      </c>
      <c r="C257" s="1">
        <v>7.4375057934200001E-6</v>
      </c>
      <c r="D257" s="1">
        <v>1.9669813701200002E-3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25">
      <c r="A258">
        <v>6.8810921035900002E-2</v>
      </c>
      <c r="B258" s="1">
        <v>4.3893493438000002E-5</v>
      </c>
      <c r="C258" s="1">
        <v>7.3935486610400001E-6</v>
      </c>
      <c r="D258" s="1">
        <v>1.9826511838199998E-3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25">
      <c r="A259">
        <v>6.9499030246199994E-2</v>
      </c>
      <c r="B259" s="1">
        <v>4.0958853530499998E-5</v>
      </c>
      <c r="C259" s="1">
        <v>7.3614374263999998E-6</v>
      </c>
      <c r="D259" s="1">
        <v>1.9984776956599999E-3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25">
      <c r="A260">
        <v>7.0194020548699998E-2</v>
      </c>
      <c r="B260" s="1">
        <v>3.50782585441E-5</v>
      </c>
      <c r="C260" s="1">
        <v>7.1302144893899997E-6</v>
      </c>
      <c r="D260" s="1">
        <v>2.0144624726199998E-3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25">
      <c r="A261">
        <v>7.0895960754200002E-2</v>
      </c>
      <c r="B261" s="1">
        <v>5.00493470424E-5</v>
      </c>
      <c r="C261" s="1">
        <v>8.2457844747199993E-6</v>
      </c>
      <c r="D261" s="1">
        <v>2.0306070973499998E-3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25">
      <c r="A262">
        <v>7.1604920361700006E-2</v>
      </c>
      <c r="B262" s="1">
        <v>5.7827007084799998E-5</v>
      </c>
      <c r="C262" s="1">
        <v>8.0716164651300008E-6</v>
      </c>
      <c r="D262" s="1">
        <v>2.0469131683199999E-3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25">
      <c r="A263">
        <v>7.23209695653E-2</v>
      </c>
      <c r="B263" s="1">
        <v>4.5483113812800003E-5</v>
      </c>
      <c r="C263" s="1">
        <v>8.1774603387800004E-6</v>
      </c>
      <c r="D263" s="1">
        <v>2.0633823E-3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25">
      <c r="A264">
        <v>7.3044179261E-2</v>
      </c>
      <c r="B264" s="1">
        <v>4.9984595910000003E-5</v>
      </c>
      <c r="C264" s="1">
        <v>8.1285361391700005E-6</v>
      </c>
      <c r="D264" s="1">
        <v>2.080016123E-3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25">
      <c r="A265">
        <v>7.3774621053599998E-2</v>
      </c>
      <c r="B265" s="1">
        <v>4.4905932526E-5</v>
      </c>
      <c r="C265" s="1">
        <v>7.6789151558699997E-6</v>
      </c>
      <c r="D265" s="1">
        <v>2.0968162842299998E-3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25">
      <c r="A266">
        <v>7.4512367264100002E-2</v>
      </c>
      <c r="B266" s="1">
        <v>6.1755445539899998E-5</v>
      </c>
      <c r="C266" s="1">
        <v>8.7761347444500002E-6</v>
      </c>
      <c r="D266" s="1">
        <v>2.11378444707E-3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25">
      <c r="A267">
        <v>7.5257490936799995E-2</v>
      </c>
      <c r="B267" s="1">
        <v>5.36368059493E-5</v>
      </c>
      <c r="C267" s="1">
        <v>5.3162323650900002E-6</v>
      </c>
      <c r="D267" s="1">
        <v>2.1309222915499998E-3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25">
      <c r="A268">
        <v>7.6010065846099997E-2</v>
      </c>
      <c r="B268" s="1">
        <v>7.1683620115999997E-5</v>
      </c>
      <c r="C268" s="1">
        <v>6.0403485194100003E-6</v>
      </c>
      <c r="D268" s="1">
        <v>2.1482315144599998E-3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25">
      <c r="A269">
        <v>7.6770166504600001E-2</v>
      </c>
      <c r="B269" s="1">
        <v>5.9908169840100002E-5</v>
      </c>
      <c r="C269" s="1">
        <v>5.67190792612E-6</v>
      </c>
      <c r="D269" s="1">
        <v>2.1657138296100002E-3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25">
      <c r="A270">
        <v>7.7537868169599997E-2</v>
      </c>
      <c r="B270" s="1">
        <v>5.9177658462900002E-5</v>
      </c>
      <c r="C270" s="1">
        <v>5.2925133860199999E-6</v>
      </c>
      <c r="D270" s="1">
        <v>2.1833709679000002E-3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25">
      <c r="A271">
        <v>7.8313246851300006E-2</v>
      </c>
      <c r="B271" s="1">
        <v>4.8912836367100002E-5</v>
      </c>
      <c r="C271" s="1">
        <v>4.87114679007E-6</v>
      </c>
      <c r="D271" s="1">
        <v>2.2012046775799999E-3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25">
      <c r="A272">
        <v>7.90963793198E-2</v>
      </c>
      <c r="B272" s="1">
        <v>4.5710821886599998E-5</v>
      </c>
      <c r="C272" s="1">
        <v>4.6444006461600003E-6</v>
      </c>
      <c r="D272" s="1">
        <v>2.2192167243599999E-3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25">
      <c r="A273">
        <v>7.9887343112999998E-2</v>
      </c>
      <c r="B273" s="1">
        <v>4.9053483113399999E-5</v>
      </c>
      <c r="C273" s="1">
        <v>4.7020512107200001E-6</v>
      </c>
      <c r="D273" s="1">
        <v>2.2374088916000002E-3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25">
      <c r="A274">
        <v>8.0686216544199996E-2</v>
      </c>
      <c r="B274" s="1">
        <v>4.2510743012000001E-5</v>
      </c>
      <c r="C274" s="1">
        <v>4.4337084142499999E-6</v>
      </c>
      <c r="D274" s="1">
        <v>2.2557829805199998E-3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25">
      <c r="A275">
        <v>8.14930787096E-2</v>
      </c>
      <c r="B275" s="1">
        <v>3.3946636886899999E-5</v>
      </c>
      <c r="C275" s="1">
        <v>4.1699010369999999E-6</v>
      </c>
      <c r="D275" s="1">
        <v>2.27434081032E-3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25">
      <c r="A276">
        <v>8.2308009496700002E-2</v>
      </c>
      <c r="B276" s="1">
        <v>4.04823502816E-5</v>
      </c>
      <c r="C276" s="1">
        <v>4.3189250946400003E-6</v>
      </c>
      <c r="D276" s="1">
        <v>2.2930842184199999E-3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25">
      <c r="A277">
        <v>8.31310895917E-2</v>
      </c>
      <c r="B277" s="1">
        <v>3.0832992162300003E-5</v>
      </c>
      <c r="C277" s="1">
        <v>4.13113797495E-6</v>
      </c>
      <c r="D277" s="1">
        <v>2.3120150606099998E-3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25">
      <c r="A278">
        <v>8.3962400487599995E-2</v>
      </c>
      <c r="B278" s="1">
        <v>3.7454711624200001E-5</v>
      </c>
      <c r="C278" s="1">
        <v>4.1770676676400002E-6</v>
      </c>
      <c r="D278" s="1">
        <v>2.3311352112099998E-3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25">
      <c r="A279">
        <v>8.4802024492500003E-2</v>
      </c>
      <c r="B279" s="1">
        <v>3.0653933585600001E-5</v>
      </c>
      <c r="C279" s="1">
        <v>3.8187586812400001E-6</v>
      </c>
      <c r="D279" s="1">
        <v>2.3504465633299998E-3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25">
      <c r="A280">
        <v>8.5650044737399997E-2</v>
      </c>
      <c r="B280" s="1">
        <v>3.5051084044800003E-5</v>
      </c>
      <c r="C280" s="1">
        <v>3.92374214117E-6</v>
      </c>
      <c r="D280" s="1">
        <v>2.3699510289600001E-3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25">
      <c r="A281">
        <v>8.6506545184799999E-2</v>
      </c>
      <c r="B281" s="1">
        <v>3.5292021636400002E-5</v>
      </c>
      <c r="C281" s="1">
        <v>3.9339641248900002E-6</v>
      </c>
      <c r="D281" s="1">
        <v>2.3896505392499998E-3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25">
      <c r="A282">
        <v>8.7371610636599997E-2</v>
      </c>
      <c r="B282" s="1">
        <v>3.7706862421799998E-5</v>
      </c>
      <c r="C282" s="1">
        <v>3.9022428144800002E-6</v>
      </c>
      <c r="D282" s="1">
        <v>2.4095470446400002E-3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25">
      <c r="A283">
        <v>8.8245326742999994E-2</v>
      </c>
      <c r="B283" s="1">
        <v>2.4821254191699998E-5</v>
      </c>
      <c r="C283" s="1">
        <v>3.3537086317500001E-6</v>
      </c>
      <c r="D283" s="1">
        <v>2.4296425150899998E-3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25">
      <c r="A284">
        <v>8.9127780010400004E-2</v>
      </c>
      <c r="B284" s="1">
        <v>2.6851913899700001E-5</v>
      </c>
      <c r="C284" s="1">
        <v>3.4251523863600001E-6</v>
      </c>
      <c r="D284" s="1">
        <v>2.44993894024E-3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25">
      <c r="A285">
        <v>9.00190578105E-2</v>
      </c>
      <c r="B285" s="1">
        <v>2.9015817015999999E-5</v>
      </c>
      <c r="C285" s="1">
        <v>3.4796122096099999E-6</v>
      </c>
      <c r="D285" s="1">
        <v>2.4704383296399999E-3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25">
      <c r="A286">
        <v>9.0919248388599994E-2</v>
      </c>
      <c r="B286" s="1">
        <v>2.5761341790300001E-5</v>
      </c>
      <c r="C286" s="1">
        <v>3.3174168610500002E-6</v>
      </c>
      <c r="D286" s="1">
        <v>2.49114271294E-3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25">
      <c r="A287">
        <v>9.18284408725E-2</v>
      </c>
      <c r="B287" s="1">
        <v>2.2162690333800001E-5</v>
      </c>
      <c r="C287" s="1">
        <v>3.2936208417100002E-6</v>
      </c>
      <c r="D287" s="1">
        <v>2.51205414007E-3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25">
      <c r="A288">
        <v>9.2746725281199996E-2</v>
      </c>
      <c r="B288" s="1">
        <v>1.9078789743899999E-5</v>
      </c>
      <c r="C288" s="1">
        <v>3.5705759302100001E-6</v>
      </c>
      <c r="D288" s="1">
        <v>2.5331746814699998E-3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25">
      <c r="A289">
        <v>9.3674192534E-2</v>
      </c>
      <c r="B289" s="1">
        <v>1.6374340748300001E-5</v>
      </c>
      <c r="C289" s="1">
        <v>3.8442757381399998E-6</v>
      </c>
      <c r="D289" s="1">
        <v>2.5545064282799998E-3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25">
      <c r="A290">
        <v>9.4610934459399998E-2</v>
      </c>
      <c r="B290" s="1">
        <v>2.0133217785299999E-5</v>
      </c>
      <c r="C290" s="1">
        <v>3.6988752909400001E-6</v>
      </c>
      <c r="D290" s="1">
        <v>2.5760514925700002E-3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25">
      <c r="A291">
        <v>9.5557043804E-2</v>
      </c>
      <c r="B291" s="1">
        <v>2.63452017968E-5</v>
      </c>
      <c r="C291" s="1">
        <v>4.0157251022500002E-6</v>
      </c>
      <c r="D291" s="1">
        <v>2.5978120074900001E-3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25">
      <c r="A292">
        <v>9.6512614242E-2</v>
      </c>
      <c r="B292" s="1">
        <v>1.87377079417E-5</v>
      </c>
      <c r="C292" s="1">
        <v>3.52508318927E-6</v>
      </c>
      <c r="D292" s="1">
        <v>2.61979012757E-3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25">
      <c r="A293">
        <v>9.7477740384400005E-2</v>
      </c>
      <c r="B293" s="1">
        <v>2.2974880115100002E-5</v>
      </c>
      <c r="C293" s="1">
        <v>3.69892438749E-6</v>
      </c>
      <c r="D293" s="1">
        <v>2.6419880288399999E-3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25">
      <c r="A294">
        <v>9.8452517788299998E-2</v>
      </c>
      <c r="B294" s="1">
        <v>1.6420099465E-5</v>
      </c>
      <c r="C294" s="1">
        <v>2.9657772505999999E-6</v>
      </c>
      <c r="D294" s="1">
        <v>2.6644079091300002E-3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25">
      <c r="A295">
        <v>9.9437042966199998E-2</v>
      </c>
      <c r="B295" s="1">
        <v>1.59472336064E-5</v>
      </c>
      <c r="C295" s="1">
        <v>3.4396673011299998E-6</v>
      </c>
      <c r="D295" s="1">
        <v>2.68705198822E-3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25">
      <c r="A296">
        <v>0.10043141339599999</v>
      </c>
      <c r="B296" s="1">
        <v>2.2490983593299998E-5</v>
      </c>
      <c r="C296" s="1">
        <v>3.5485421134800002E-6</v>
      </c>
      <c r="D296" s="1">
        <v>2.7099225081E-3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25">
      <c r="A297">
        <v>0.10143572753000001</v>
      </c>
      <c r="B297" s="1">
        <v>1.8186813200899998E-5</v>
      </c>
      <c r="C297" s="1">
        <v>3.3488542783500001E-6</v>
      </c>
      <c r="D297" s="1">
        <v>2.73302173319E-3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25">
      <c r="A298">
        <v>0.10245008480499999</v>
      </c>
      <c r="B298" s="1">
        <v>1.7878736887500001E-5</v>
      </c>
      <c r="C298" s="1">
        <v>3.21041495393E-6</v>
      </c>
      <c r="D298" s="1">
        <v>2.7563519505200001E-3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25">
      <c r="A299">
        <v>0.103474585653</v>
      </c>
      <c r="B299" s="1">
        <v>2.41162053664E-5</v>
      </c>
      <c r="C299" s="1">
        <v>3.55011101668E-6</v>
      </c>
      <c r="D299" s="1">
        <v>2.7799154700199999E-3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25">
      <c r="A300">
        <v>0.10450933151</v>
      </c>
      <c r="B300" s="1">
        <v>2.22886241493E-5</v>
      </c>
      <c r="C300" s="1">
        <v>3.3465849375300001E-6</v>
      </c>
      <c r="D300" s="1">
        <v>2.8037146247199998E-3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25">
      <c r="A301">
        <v>0.10555442482500001</v>
      </c>
      <c r="B301" s="1">
        <v>1.23407047104E-5</v>
      </c>
      <c r="C301" s="1">
        <v>3.1002177036900002E-6</v>
      </c>
      <c r="D301" s="1">
        <v>2.82775177097E-3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25">
      <c r="A302">
        <v>0.10660996907299999</v>
      </c>
      <c r="B302" s="1">
        <v>1.25945699333E-5</v>
      </c>
      <c r="C302" s="1">
        <v>3.45610555307E-6</v>
      </c>
      <c r="D302" s="1">
        <v>2.8520292886799999E-3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25">
      <c r="A303">
        <v>0.107676068764</v>
      </c>
      <c r="B303" s="1">
        <v>1.65094757475E-5</v>
      </c>
      <c r="C303" s="1">
        <v>3.3521213332499999E-6</v>
      </c>
      <c r="D303" s="1">
        <v>2.87654958157E-3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25">
      <c r="A304">
        <v>0.108752829451</v>
      </c>
      <c r="B304" s="1">
        <v>7.0039648511700002E-6</v>
      </c>
      <c r="C304" s="1">
        <v>2.7390113933000001E-6</v>
      </c>
      <c r="D304" s="1">
        <v>2.9013150773800002E-3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25">
      <c r="A305">
        <v>0.109840357746</v>
      </c>
      <c r="B305" s="1">
        <v>1.3014514354999999E-5</v>
      </c>
      <c r="C305" s="1">
        <v>3.0352175588900001E-6</v>
      </c>
      <c r="D305" s="1">
        <v>2.9263282281600002E-3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25">
      <c r="A306">
        <v>0.110938761323</v>
      </c>
      <c r="B306" s="1">
        <v>1.2052185585100001E-5</v>
      </c>
      <c r="C306" s="1">
        <v>2.8976163646199998E-6</v>
      </c>
      <c r="D306" s="1">
        <v>2.9515915104400001E-3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25">
      <c r="A307">
        <v>0.11204814893700001</v>
      </c>
      <c r="B307" s="1">
        <v>1.6957416649699998E-5</v>
      </c>
      <c r="C307" s="1">
        <v>3.0309537401000001E-6</v>
      </c>
      <c r="D307" s="1">
        <v>2.97710742554E-3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25">
      <c r="A308">
        <v>0.11316863042600001</v>
      </c>
      <c r="B308" s="1">
        <v>7.8590176240299994E-6</v>
      </c>
      <c r="C308" s="1">
        <v>2.4622241790800002E-6</v>
      </c>
      <c r="D308" s="1">
        <v>3.0028784998000001E-3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25">
      <c r="A309">
        <v>0.11430031673</v>
      </c>
      <c r="B309" s="1">
        <v>1.6110568974000002E-5</v>
      </c>
      <c r="C309" s="1">
        <v>3.0704433725400001E-6</v>
      </c>
      <c r="D309" s="1">
        <v>3.0289072847900001E-3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25">
      <c r="A310">
        <v>0.115443319898</v>
      </c>
      <c r="B310" s="1">
        <v>1.47619765566E-5</v>
      </c>
      <c r="C310" s="1">
        <v>3.1046372961599999E-6</v>
      </c>
      <c r="D310" s="1">
        <v>3.0551963576400001E-3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25">
      <c r="A311">
        <v>0.116597753096</v>
      </c>
      <c r="B311" s="1">
        <v>1.02786706648E-5</v>
      </c>
      <c r="C311" s="1">
        <v>2.4348862022800002E-6</v>
      </c>
      <c r="D311" s="1">
        <v>3.0817483212199999E-3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25">
      <c r="A312">
        <v>0.117763730627</v>
      </c>
      <c r="B312" s="1">
        <v>8.8160918487500005E-6</v>
      </c>
      <c r="C312" s="1">
        <v>2.62363051303E-6</v>
      </c>
      <c r="D312" s="1">
        <v>3.1085658044299998E-3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25">
      <c r="A313">
        <v>0.11894136793399999</v>
      </c>
      <c r="B313" s="1">
        <v>9.5581739504000003E-6</v>
      </c>
      <c r="C313" s="1">
        <v>2.6320839169599999E-6</v>
      </c>
      <c r="D313" s="1">
        <v>3.1356514624800002E-3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25">
      <c r="A314">
        <v>0.120130781613</v>
      </c>
      <c r="B314" s="1">
        <v>8.3107276420200002E-6</v>
      </c>
      <c r="C314" s="1">
        <v>2.3416663587999999E-6</v>
      </c>
      <c r="D314" s="1">
        <v>3.1630079771000001E-3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25">
      <c r="A315">
        <v>0.12133208942900001</v>
      </c>
      <c r="B315" s="1">
        <v>7.4747592682800003E-6</v>
      </c>
      <c r="C315" s="1">
        <v>2.41551695653E-6</v>
      </c>
      <c r="D315" s="1">
        <v>3.19063805687E-3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25">
      <c r="A316">
        <v>0.122545410323</v>
      </c>
      <c r="B316" s="1">
        <v>9.5497669199500004E-6</v>
      </c>
      <c r="C316" s="1">
        <v>2.5228342757E-6</v>
      </c>
      <c r="D316" s="1">
        <v>3.2185444374399999E-3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25">
      <c r="A317">
        <v>0.123770864427</v>
      </c>
      <c r="B317" s="1">
        <v>7.1387600765999998E-6</v>
      </c>
      <c r="C317" s="1">
        <v>2.4851062494299999E-6</v>
      </c>
      <c r="D317" s="1">
        <v>3.2467298818099999E-3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25">
      <c r="A318">
        <v>0.125008573071</v>
      </c>
      <c r="B318" s="1">
        <v>7.5448961511599999E-6</v>
      </c>
      <c r="C318" s="1">
        <v>2.3082359269300001E-6</v>
      </c>
      <c r="D318" s="1">
        <v>3.2751971806300002E-3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25">
      <c r="A319">
        <v>0.12625865880199999</v>
      </c>
      <c r="B319" s="1">
        <v>1.1920542164799999E-5</v>
      </c>
      <c r="C319" s="1">
        <v>2.6330739718299999E-6</v>
      </c>
      <c r="D319" s="1">
        <v>3.3039491524399999E-3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25">
      <c r="A320">
        <v>0.12752124539000001</v>
      </c>
      <c r="B320" s="1">
        <v>2.6007045566999998E-6</v>
      </c>
      <c r="C320" s="1">
        <v>2.13240025889E-6</v>
      </c>
      <c r="D320" s="1">
        <v>3.3329886439600002E-3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25">
      <c r="A321">
        <v>0.12879645784400001</v>
      </c>
      <c r="B321" s="1">
        <v>3.7173440834500001E-6</v>
      </c>
      <c r="C321" s="1">
        <v>2.1487970038100001E-6</v>
      </c>
      <c r="D321" s="1">
        <v>3.3623185304E-3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25">
      <c r="A322">
        <v>0.130084422422</v>
      </c>
      <c r="B322" s="1">
        <v>4.68539138648E-6</v>
      </c>
      <c r="C322" s="1">
        <v>2.2266903636100002E-6</v>
      </c>
      <c r="D322" s="1">
        <v>3.3919417157099998E-3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25">
      <c r="A323">
        <v>0.131385266646</v>
      </c>
      <c r="B323" s="1">
        <v>6.4654887712300002E-6</v>
      </c>
      <c r="C323" s="1">
        <v>2.36157065901E-6</v>
      </c>
      <c r="D323" s="1">
        <v>3.4218611328599999E-3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25">
      <c r="A324">
        <v>0.13269911931299999</v>
      </c>
      <c r="B324" s="1">
        <v>4.5953867328099996E-6</v>
      </c>
      <c r="C324" s="1">
        <v>2.57096188397E-6</v>
      </c>
      <c r="D324" s="1">
        <v>3.4520797441899998E-3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25">
      <c r="A325">
        <v>0.134026110506</v>
      </c>
      <c r="B325" s="1">
        <v>1.18564067027E-5</v>
      </c>
      <c r="C325" s="1">
        <v>2.59719367101E-6</v>
      </c>
      <c r="D325" s="1">
        <v>3.4826005416300002E-3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25">
      <c r="A326">
        <v>0.13536637161100001</v>
      </c>
      <c r="B326" s="1">
        <v>4.2635119834599998E-6</v>
      </c>
      <c r="C326" s="1">
        <v>2.23235255716E-6</v>
      </c>
      <c r="D326" s="1">
        <v>3.51342654705E-3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25">
      <c r="A327">
        <v>0.136720035327</v>
      </c>
      <c r="B327" s="1">
        <v>8.7788998896199992E-6</v>
      </c>
      <c r="C327" s="1">
        <v>2.5005853076200002E-6</v>
      </c>
      <c r="D327" s="1">
        <v>3.5445608125200001E-3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25">
      <c r="A328">
        <v>0.13808723568</v>
      </c>
      <c r="B328" s="1">
        <v>9.12067183545E-6</v>
      </c>
      <c r="C328" s="1">
        <v>2.3600251464100002E-6</v>
      </c>
      <c r="D328" s="1">
        <v>3.5760064206500001E-3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25">
      <c r="A329">
        <v>0.13946810803699999</v>
      </c>
      <c r="B329" s="1">
        <v>1.03779042159E-5</v>
      </c>
      <c r="C329" s="1">
        <v>2.4141852751200002E-6</v>
      </c>
      <c r="D329" s="1">
        <v>3.6077664848500001E-3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25">
      <c r="A330">
        <v>0.14086278911700001</v>
      </c>
      <c r="B330" s="1">
        <v>1.0257588364300001E-5</v>
      </c>
      <c r="C330" s="1">
        <v>2.5634340323899999E-6</v>
      </c>
      <c r="D330" s="1">
        <v>3.6398441496999999E-3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25">
      <c r="A331">
        <v>0.14227141700900001</v>
      </c>
      <c r="B331" s="1">
        <v>4.8829244087700003E-6</v>
      </c>
      <c r="C331" s="1">
        <v>2.2904723445600001E-6</v>
      </c>
      <c r="D331" s="1">
        <v>3.6722425912E-3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25">
      <c r="A332">
        <v>0.14369413117900001</v>
      </c>
      <c r="B332" s="1">
        <v>2.2393589231799999E-6</v>
      </c>
      <c r="C332" s="1">
        <v>2.2167405621799999E-6</v>
      </c>
      <c r="D332" s="1">
        <v>3.7049650171100002E-3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25">
      <c r="A333">
        <v>0.14513107249099999</v>
      </c>
      <c r="B333" s="1">
        <v>8.5646441313800004E-6</v>
      </c>
      <c r="C333" s="1">
        <v>2.4085266538199998E-6</v>
      </c>
      <c r="D333" s="1">
        <v>3.7380146672799999E-3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25">
      <c r="A334">
        <v>0.146582383215</v>
      </c>
      <c r="B334" s="1">
        <v>4.3117846909099998E-6</v>
      </c>
      <c r="C334" s="1">
        <v>2.3398337090400001E-6</v>
      </c>
      <c r="D334" s="1">
        <v>3.7713948139499998E-3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25">
      <c r="A335">
        <v>0.14804820704800001</v>
      </c>
      <c r="B335" s="1">
        <v>7.9949187837200004E-6</v>
      </c>
      <c r="C335" s="1">
        <v>2.35328316228E-6</v>
      </c>
      <c r="D335" s="1">
        <v>3.8051087620899998E-3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25">
      <c r="A336">
        <v>0.14952868911799999</v>
      </c>
      <c r="B336" s="1">
        <v>7.8004722089500001E-6</v>
      </c>
      <c r="C336" s="1">
        <v>2.2992234088599999E-6</v>
      </c>
      <c r="D336" s="1">
        <v>3.8391598497200001E-3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25">
      <c r="A337">
        <v>0.151023976009</v>
      </c>
      <c r="B337" s="1">
        <v>8.2656196570000006E-6</v>
      </c>
      <c r="C337" s="1">
        <v>2.4654038116700002E-6</v>
      </c>
      <c r="D337" s="1">
        <v>3.8735514482100002E-3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25">
      <c r="A338">
        <v>0.152534215769</v>
      </c>
      <c r="B338" s="1">
        <v>7.2794872823699998E-6</v>
      </c>
      <c r="C338" s="1">
        <v>2.6567748302099999E-6</v>
      </c>
      <c r="D338" s="1">
        <v>3.9082869626900002E-3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25">
      <c r="A339">
        <v>0.15405955792699999</v>
      </c>
      <c r="B339" s="1">
        <v>6.5021050412900003E-6</v>
      </c>
      <c r="C339" s="1">
        <v>2.2560786897099999E-6</v>
      </c>
      <c r="D339" s="1">
        <v>3.9433698323199998E-3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25">
      <c r="A340">
        <v>0.158727716592</v>
      </c>
      <c r="B340" s="1">
        <v>3.1866087327499998E-6</v>
      </c>
      <c r="C340" s="1">
        <v>2.1734549403000001E-6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25">
      <c r="A341">
        <v>0.16031499375800001</v>
      </c>
      <c r="B341" s="1">
        <v>5.8879277186400003E-6</v>
      </c>
      <c r="C341" s="1">
        <v>2.2963548980099999E-6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97" t="s">
        <v>1</v>
      </c>
      <c r="B1" s="197"/>
      <c r="C1" s="197"/>
      <c r="D1" s="197"/>
      <c r="E1" s="197"/>
      <c r="F1" s="197"/>
      <c r="G1" s="197"/>
      <c r="H1" s="197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Reflectivity</vt:lpstr>
      <vt:lpstr>Uncertainties</vt:lpstr>
      <vt:lpstr>swellRatioRich</vt:lpstr>
      <vt:lpstr>swellRatioPoor</vt:lpstr>
      <vt:lpstr>sigMarker</vt:lpstr>
      <vt:lpstr>deldod</vt:lpstr>
      <vt:lpstr>dSiOx</vt:lpstr>
      <vt:lpstr>NbSiOx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2020-03-05T21:58:33Z</dcterms:modified>
</cp:coreProperties>
</file>