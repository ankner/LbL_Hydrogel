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queryTables/queryTable1.xml" ContentType="application/vnd.openxmlformats-officedocument.spreadsheetml.queryTable+xml"/>
  <Override PartName="/xl/drawings/drawing8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Stuff\Data\LiqRef\2017\Eugenia\ElasticPaper\"/>
    </mc:Choice>
  </mc:AlternateContent>
  <xr:revisionPtr revIDLastSave="0" documentId="13_ncr:1_{398391AE-EFD1-408F-A4DA-F12FE930E5C5}" xr6:coauthVersionLast="44" xr6:coauthVersionMax="44" xr10:uidLastSave="{00000000-0000-0000-0000-000000000000}"/>
  <bookViews>
    <workbookView minimized="1" xWindow="1320" yWindow="1560" windowWidth="17565" windowHeight="19410" tabRatio="749" activeTab="1" xr2:uid="{00000000-000D-0000-FFFF-FFFF00000000}"/>
  </bookViews>
  <sheets>
    <sheet name="Reflectivity" sheetId="1" r:id="rId1"/>
    <sheet name="Uncertainties" sheetId="43" r:id="rId2"/>
    <sheet name="swellRatioRich" sheetId="48" r:id="rId3"/>
    <sheet name="swellRatioPoor" sheetId="49" r:id="rId4"/>
    <sheet name="sigMarker" sheetId="39" r:id="rId5"/>
    <sheet name="deldod" sheetId="50" r:id="rId6"/>
    <sheet name="dSiOx" sheetId="45" r:id="rId7"/>
    <sheet name="sigBuffer" sheetId="42" r:id="rId8"/>
    <sheet name="ScaledCombined" sheetId="18" r:id="rId9"/>
    <sheet name="ScatteringParameters" sheetId="7" r:id="rId10"/>
    <sheet name="AtomicParameters" sheetId="6" r:id="rId11"/>
  </sheets>
  <functionGroups builtInGroupCount="19"/>
  <externalReferences>
    <externalReference r:id="rId12"/>
  </externalReferences>
  <definedNames>
    <definedName name="REF_L_2790_2008_01_10T13_3A40_3A12_04_3A00_CE_scaling" localSheetId="8">ScaledCombined!$A$1:$M$341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71" i="1" l="1"/>
  <c r="G70" i="1"/>
  <c r="G69" i="1"/>
  <c r="G68" i="1"/>
  <c r="F68" i="1"/>
  <c r="H67" i="1"/>
  <c r="H77" i="1" s="1"/>
  <c r="H65" i="1" s="1"/>
  <c r="G67" i="1"/>
  <c r="C67" i="1"/>
  <c r="G66" i="1"/>
  <c r="F66" i="1"/>
  <c r="F65" i="1" s="1"/>
  <c r="G65" i="1"/>
  <c r="C65" i="1"/>
  <c r="H63" i="1"/>
  <c r="C69" i="1" s="1"/>
  <c r="H50" i="1"/>
  <c r="H46" i="1"/>
  <c r="G40" i="1"/>
  <c r="G39" i="1"/>
  <c r="H38" i="1"/>
  <c r="F34" i="1" s="1"/>
  <c r="F37" i="1"/>
  <c r="F38" i="1" s="1"/>
  <c r="H36" i="1"/>
  <c r="H56" i="1" s="1"/>
  <c r="F36" i="1"/>
  <c r="G35" i="1"/>
  <c r="G34" i="1" s="1"/>
  <c r="F35" i="1"/>
  <c r="F32" i="1"/>
  <c r="H40" i="1" s="1"/>
  <c r="C64" i="1" l="1"/>
  <c r="C68" i="1"/>
  <c r="C66" i="1"/>
  <c r="E50" i="1"/>
  <c r="C50" i="1"/>
  <c r="D50" i="1" s="1"/>
  <c r="B50" i="1"/>
  <c r="H52" i="1" s="1"/>
  <c r="H34" i="1" s="1"/>
  <c r="H48" i="1"/>
  <c r="F67" i="1"/>
  <c r="H71" i="1" s="1"/>
  <c r="H44" i="1" s="1"/>
  <c r="H32" i="1" s="1"/>
  <c r="G36" i="1"/>
  <c r="G37" i="1" s="1"/>
  <c r="G38" i="1" s="1"/>
  <c r="G33" i="1"/>
  <c r="C63" i="1"/>
  <c r="B24" i="43"/>
  <c r="C34" i="1" l="1"/>
  <c r="C38" i="1"/>
  <c r="C32" i="1"/>
  <c r="C36" i="1"/>
  <c r="C33" i="1"/>
  <c r="C35" i="1"/>
  <c r="C37" i="1"/>
  <c r="B16" i="43"/>
  <c r="B20" i="43"/>
  <c r="B18" i="43"/>
  <c r="B23" i="43" l="1"/>
  <c r="B26" i="43" l="1"/>
  <c r="C39" i="43"/>
  <c r="B39" i="43"/>
  <c r="B12" i="43" l="1"/>
  <c r="B14" i="43"/>
  <c r="B29" i="43" l="1"/>
  <c r="C3" i="43" l="1"/>
  <c r="B3" i="43"/>
  <c r="C2" i="43"/>
  <c r="B2" i="43"/>
  <c r="C7" i="43" l="1"/>
  <c r="C6" i="43"/>
  <c r="C4" i="43"/>
  <c r="B34" i="43" l="1"/>
  <c r="C34" i="43"/>
  <c r="H8" i="1" l="1"/>
  <c r="H22" i="1"/>
  <c r="B4" i="43" s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H20" i="1"/>
  <c r="H16" i="1"/>
  <c r="B6" i="43" s="1"/>
  <c r="F5" i="1"/>
  <c r="G12" i="1"/>
  <c r="C29" i="43"/>
  <c r="AF464" i="1"/>
  <c r="AE464" i="1"/>
  <c r="AF463" i="1"/>
  <c r="AE463" i="1"/>
  <c r="AF462" i="1"/>
  <c r="AE462" i="1"/>
  <c r="AF461" i="1"/>
  <c r="AE461" i="1"/>
  <c r="AF460" i="1"/>
  <c r="AE460" i="1"/>
  <c r="AF459" i="1"/>
  <c r="AE459" i="1"/>
  <c r="AF458" i="1"/>
  <c r="AE458" i="1"/>
  <c r="AF457" i="1"/>
  <c r="AE457" i="1"/>
  <c r="AF456" i="1"/>
  <c r="AE456" i="1"/>
  <c r="AF455" i="1"/>
  <c r="AE455" i="1"/>
  <c r="AF454" i="1"/>
  <c r="AE454" i="1"/>
  <c r="AF453" i="1"/>
  <c r="AE453" i="1"/>
  <c r="AF452" i="1"/>
  <c r="AE452" i="1"/>
  <c r="AF451" i="1"/>
  <c r="AE451" i="1"/>
  <c r="AF450" i="1"/>
  <c r="AE450" i="1"/>
  <c r="AF449" i="1"/>
  <c r="AE449" i="1"/>
  <c r="AF448" i="1"/>
  <c r="AE448" i="1"/>
  <c r="AF447" i="1"/>
  <c r="AE447" i="1"/>
  <c r="AF446" i="1"/>
  <c r="AE446" i="1"/>
  <c r="AF445" i="1"/>
  <c r="AE445" i="1"/>
  <c r="AF444" i="1"/>
  <c r="AE444" i="1"/>
  <c r="AF443" i="1"/>
  <c r="AE443" i="1"/>
  <c r="AF442" i="1"/>
  <c r="AE442" i="1"/>
  <c r="AF441" i="1"/>
  <c r="AE441" i="1"/>
  <c r="AF440" i="1"/>
  <c r="AE440" i="1"/>
  <c r="AF439" i="1"/>
  <c r="AE439" i="1"/>
  <c r="AF438" i="1"/>
  <c r="AE438" i="1"/>
  <c r="AF437" i="1"/>
  <c r="AE437" i="1"/>
  <c r="AF436" i="1"/>
  <c r="AE436" i="1"/>
  <c r="AF435" i="1"/>
  <c r="AE435" i="1"/>
  <c r="AF434" i="1"/>
  <c r="AE434" i="1"/>
  <c r="AF433" i="1"/>
  <c r="AE433" i="1"/>
  <c r="AF432" i="1"/>
  <c r="AE432" i="1"/>
  <c r="AF431" i="1"/>
  <c r="AE431" i="1"/>
  <c r="AF430" i="1"/>
  <c r="AE430" i="1"/>
  <c r="AF429" i="1"/>
  <c r="AE429" i="1"/>
  <c r="AF428" i="1"/>
  <c r="AE428" i="1"/>
  <c r="AF427" i="1"/>
  <c r="AE427" i="1"/>
  <c r="AF426" i="1"/>
  <c r="AE426" i="1"/>
  <c r="AF425" i="1"/>
  <c r="AE425" i="1"/>
  <c r="AF424" i="1"/>
  <c r="AE424" i="1"/>
  <c r="AF423" i="1"/>
  <c r="AE423" i="1"/>
  <c r="AF422" i="1"/>
  <c r="AE422" i="1"/>
  <c r="AF421" i="1"/>
  <c r="AE421" i="1"/>
  <c r="AF420" i="1"/>
  <c r="AE420" i="1"/>
  <c r="AF419" i="1"/>
  <c r="AE419" i="1"/>
  <c r="AF418" i="1"/>
  <c r="AE418" i="1"/>
  <c r="AF417" i="1"/>
  <c r="AE417" i="1"/>
  <c r="AF416" i="1"/>
  <c r="AE416" i="1"/>
  <c r="AF415" i="1"/>
  <c r="AE415" i="1"/>
  <c r="AF414" i="1"/>
  <c r="AE414" i="1"/>
  <c r="AF413" i="1"/>
  <c r="AE413" i="1"/>
  <c r="AF412" i="1"/>
  <c r="AE412" i="1"/>
  <c r="AF411" i="1"/>
  <c r="AE411" i="1"/>
  <c r="AF410" i="1"/>
  <c r="AE410" i="1"/>
  <c r="AF409" i="1"/>
  <c r="AE409" i="1"/>
  <c r="AF408" i="1"/>
  <c r="AE408" i="1"/>
  <c r="AF407" i="1"/>
  <c r="AE407" i="1"/>
  <c r="AF406" i="1"/>
  <c r="AE406" i="1"/>
  <c r="AF405" i="1"/>
  <c r="AE405" i="1"/>
  <c r="AF404" i="1"/>
  <c r="AE404" i="1"/>
  <c r="AF403" i="1"/>
  <c r="AE403" i="1"/>
  <c r="AF402" i="1"/>
  <c r="AE402" i="1"/>
  <c r="AF401" i="1"/>
  <c r="AE401" i="1"/>
  <c r="AF400" i="1"/>
  <c r="AE400" i="1"/>
  <c r="AF399" i="1"/>
  <c r="AE399" i="1"/>
  <c r="AF398" i="1"/>
  <c r="AE398" i="1"/>
  <c r="AF397" i="1"/>
  <c r="AE397" i="1"/>
  <c r="AF396" i="1"/>
  <c r="AE396" i="1"/>
  <c r="AF395" i="1"/>
  <c r="AE395" i="1"/>
  <c r="AF394" i="1"/>
  <c r="AE394" i="1"/>
  <c r="AF393" i="1"/>
  <c r="AE393" i="1"/>
  <c r="AF392" i="1"/>
  <c r="AE392" i="1"/>
  <c r="AF391" i="1"/>
  <c r="AE391" i="1"/>
  <c r="AF390" i="1"/>
  <c r="AE390" i="1"/>
  <c r="AF389" i="1"/>
  <c r="AE389" i="1"/>
  <c r="AF388" i="1"/>
  <c r="AE388" i="1"/>
  <c r="AF387" i="1"/>
  <c r="AE387" i="1"/>
  <c r="AF386" i="1"/>
  <c r="AE386" i="1"/>
  <c r="AF385" i="1"/>
  <c r="AE385" i="1"/>
  <c r="AF384" i="1"/>
  <c r="AE384" i="1"/>
  <c r="AF383" i="1"/>
  <c r="AE383" i="1"/>
  <c r="AF382" i="1"/>
  <c r="AE382" i="1"/>
  <c r="AF381" i="1"/>
  <c r="AE381" i="1"/>
  <c r="AF380" i="1"/>
  <c r="AE380" i="1"/>
  <c r="AF379" i="1"/>
  <c r="AE379" i="1"/>
  <c r="AF378" i="1"/>
  <c r="AE378" i="1"/>
  <c r="AF377" i="1"/>
  <c r="AE377" i="1"/>
  <c r="AF376" i="1"/>
  <c r="AE376" i="1"/>
  <c r="AF375" i="1"/>
  <c r="AE375" i="1"/>
  <c r="AF374" i="1"/>
  <c r="AE374" i="1"/>
  <c r="AF373" i="1"/>
  <c r="AE373" i="1"/>
  <c r="AF372" i="1"/>
  <c r="AE372" i="1"/>
  <c r="AF371" i="1"/>
  <c r="AE371" i="1"/>
  <c r="AF370" i="1"/>
  <c r="AE370" i="1"/>
  <c r="AF369" i="1"/>
  <c r="AE369" i="1"/>
  <c r="AF368" i="1"/>
  <c r="AE368" i="1"/>
  <c r="AF367" i="1"/>
  <c r="AE367" i="1"/>
  <c r="AF366" i="1"/>
  <c r="AE366" i="1"/>
  <c r="AF365" i="1"/>
  <c r="AE365" i="1"/>
  <c r="AF364" i="1"/>
  <c r="AE364" i="1"/>
  <c r="AF363" i="1"/>
  <c r="AE363" i="1"/>
  <c r="AF362" i="1"/>
  <c r="AE362" i="1"/>
  <c r="AF361" i="1"/>
  <c r="AE361" i="1"/>
  <c r="AF360" i="1"/>
  <c r="AE360" i="1"/>
  <c r="AF359" i="1"/>
  <c r="AE359" i="1"/>
  <c r="AF358" i="1"/>
  <c r="AE358" i="1"/>
  <c r="AF357" i="1"/>
  <c r="AE357" i="1"/>
  <c r="AF356" i="1"/>
  <c r="AE356" i="1"/>
  <c r="AF355" i="1"/>
  <c r="AE355" i="1"/>
  <c r="AF354" i="1"/>
  <c r="AE354" i="1"/>
  <c r="AF353" i="1"/>
  <c r="AE353" i="1"/>
  <c r="AF352" i="1"/>
  <c r="AE352" i="1"/>
  <c r="AF351" i="1"/>
  <c r="AE351" i="1"/>
  <c r="AF350" i="1"/>
  <c r="AE350" i="1"/>
  <c r="AF349" i="1"/>
  <c r="AE349" i="1"/>
  <c r="AF348" i="1"/>
  <c r="AE348" i="1"/>
  <c r="AF347" i="1"/>
  <c r="AE347" i="1"/>
  <c r="AF346" i="1"/>
  <c r="AE346" i="1"/>
  <c r="AF345" i="1"/>
  <c r="AE345" i="1"/>
  <c r="AF344" i="1"/>
  <c r="AE344" i="1"/>
  <c r="AF343" i="1"/>
  <c r="AE343" i="1"/>
  <c r="AF342" i="1"/>
  <c r="AE342" i="1"/>
  <c r="AF341" i="1"/>
  <c r="AE341" i="1"/>
  <c r="AF340" i="1"/>
  <c r="AE340" i="1"/>
  <c r="AF339" i="1"/>
  <c r="AE339" i="1"/>
  <c r="AF338" i="1"/>
  <c r="AE338" i="1"/>
  <c r="AF337" i="1"/>
  <c r="AE337" i="1"/>
  <c r="AF336" i="1"/>
  <c r="AE336" i="1"/>
  <c r="AF335" i="1"/>
  <c r="AE335" i="1"/>
  <c r="AF334" i="1"/>
  <c r="AE334" i="1"/>
  <c r="AF333" i="1"/>
  <c r="AE333" i="1"/>
  <c r="AF332" i="1"/>
  <c r="AE332" i="1"/>
  <c r="AF331" i="1"/>
  <c r="AE331" i="1"/>
  <c r="AF330" i="1"/>
  <c r="AE330" i="1"/>
  <c r="AF329" i="1"/>
  <c r="AE329" i="1"/>
  <c r="AF328" i="1"/>
  <c r="AE328" i="1"/>
  <c r="AF327" i="1"/>
  <c r="AE327" i="1"/>
  <c r="AF326" i="1"/>
  <c r="AE326" i="1"/>
  <c r="AF325" i="1"/>
  <c r="AE325" i="1"/>
  <c r="AF324" i="1"/>
  <c r="AE324" i="1"/>
  <c r="AF323" i="1"/>
  <c r="AE323" i="1"/>
  <c r="AF322" i="1"/>
  <c r="AE322" i="1"/>
  <c r="AF321" i="1"/>
  <c r="AE321" i="1"/>
  <c r="AF320" i="1"/>
  <c r="AE320" i="1"/>
  <c r="AF319" i="1"/>
  <c r="AE319" i="1"/>
  <c r="AF318" i="1"/>
  <c r="AE318" i="1"/>
  <c r="AF317" i="1"/>
  <c r="AE317" i="1"/>
  <c r="AF316" i="1"/>
  <c r="AE316" i="1"/>
  <c r="AF315" i="1"/>
  <c r="AE315" i="1"/>
  <c r="AF314" i="1"/>
  <c r="AE314" i="1"/>
  <c r="AF313" i="1"/>
  <c r="AE313" i="1"/>
  <c r="AF312" i="1"/>
  <c r="AE312" i="1"/>
  <c r="AF311" i="1"/>
  <c r="AE311" i="1"/>
  <c r="AF310" i="1"/>
  <c r="AE310" i="1"/>
  <c r="AF309" i="1"/>
  <c r="AE309" i="1"/>
  <c r="AF308" i="1"/>
  <c r="AE308" i="1"/>
  <c r="AF307" i="1"/>
  <c r="AE307" i="1"/>
  <c r="AF306" i="1"/>
  <c r="AE306" i="1"/>
  <c r="AF305" i="1"/>
  <c r="AE305" i="1"/>
  <c r="AF304" i="1"/>
  <c r="AE304" i="1"/>
  <c r="AF303" i="1"/>
  <c r="AE303" i="1"/>
  <c r="AF302" i="1"/>
  <c r="AE302" i="1"/>
  <c r="AF301" i="1"/>
  <c r="AE301" i="1"/>
  <c r="AF300" i="1"/>
  <c r="AE300" i="1"/>
  <c r="AF299" i="1"/>
  <c r="AE299" i="1"/>
  <c r="AF298" i="1"/>
  <c r="AE298" i="1"/>
  <c r="AF297" i="1"/>
  <c r="AE297" i="1"/>
  <c r="AF296" i="1"/>
  <c r="AE296" i="1"/>
  <c r="AF295" i="1"/>
  <c r="AE295" i="1"/>
  <c r="AF294" i="1"/>
  <c r="AE294" i="1"/>
  <c r="AF293" i="1"/>
  <c r="AE293" i="1"/>
  <c r="AF292" i="1"/>
  <c r="AE292" i="1"/>
  <c r="AF291" i="1"/>
  <c r="AE291" i="1"/>
  <c r="AF290" i="1"/>
  <c r="AE290" i="1"/>
  <c r="AF289" i="1"/>
  <c r="AE289" i="1"/>
  <c r="AF288" i="1"/>
  <c r="AE288" i="1"/>
  <c r="AF287" i="1"/>
  <c r="AE287" i="1"/>
  <c r="AF286" i="1"/>
  <c r="AE286" i="1"/>
  <c r="AF285" i="1"/>
  <c r="AE285" i="1"/>
  <c r="AF284" i="1"/>
  <c r="AE284" i="1"/>
  <c r="AF283" i="1"/>
  <c r="AE283" i="1"/>
  <c r="AF282" i="1"/>
  <c r="AE282" i="1"/>
  <c r="AF281" i="1"/>
  <c r="AE281" i="1"/>
  <c r="AF280" i="1"/>
  <c r="AE280" i="1"/>
  <c r="AF279" i="1"/>
  <c r="AE279" i="1"/>
  <c r="AF278" i="1"/>
  <c r="AE278" i="1"/>
  <c r="AF277" i="1"/>
  <c r="AE277" i="1"/>
  <c r="AF276" i="1"/>
  <c r="AE276" i="1"/>
  <c r="AF275" i="1"/>
  <c r="AE275" i="1"/>
  <c r="AF274" i="1"/>
  <c r="AE274" i="1"/>
  <c r="AF273" i="1"/>
  <c r="AE273" i="1"/>
  <c r="AF272" i="1"/>
  <c r="AE272" i="1"/>
  <c r="AF271" i="1"/>
  <c r="AE271" i="1"/>
  <c r="AF270" i="1"/>
  <c r="AE270" i="1"/>
  <c r="AF269" i="1"/>
  <c r="AE269" i="1"/>
  <c r="AF268" i="1"/>
  <c r="AE268" i="1"/>
  <c r="AF267" i="1"/>
  <c r="AE267" i="1"/>
  <c r="AF266" i="1"/>
  <c r="AE266" i="1"/>
  <c r="AF265" i="1"/>
  <c r="AE265" i="1"/>
  <c r="AF264" i="1"/>
  <c r="AE264" i="1"/>
  <c r="AF263" i="1"/>
  <c r="AE263" i="1"/>
  <c r="AF262" i="1"/>
  <c r="AE262" i="1"/>
  <c r="AF261" i="1"/>
  <c r="AE261" i="1"/>
  <c r="AF260" i="1"/>
  <c r="AE260" i="1"/>
  <c r="AC260" i="1"/>
  <c r="AB260" i="1"/>
  <c r="AA260" i="1"/>
  <c r="AF259" i="1"/>
  <c r="AE259" i="1"/>
  <c r="AC259" i="1"/>
  <c r="AB259" i="1"/>
  <c r="AA259" i="1"/>
  <c r="AF258" i="1"/>
  <c r="AE258" i="1"/>
  <c r="AC258" i="1"/>
  <c r="AB258" i="1"/>
  <c r="AA258" i="1"/>
  <c r="AF257" i="1"/>
  <c r="AE257" i="1"/>
  <c r="AC257" i="1"/>
  <c r="AB257" i="1"/>
  <c r="AA257" i="1"/>
  <c r="AF256" i="1"/>
  <c r="AE256" i="1"/>
  <c r="AC256" i="1"/>
  <c r="AB256" i="1"/>
  <c r="AA256" i="1"/>
  <c r="AF255" i="1"/>
  <c r="AE255" i="1"/>
  <c r="AC255" i="1"/>
  <c r="AB255" i="1"/>
  <c r="AA255" i="1"/>
  <c r="AF254" i="1"/>
  <c r="AE254" i="1"/>
  <c r="AC254" i="1"/>
  <c r="AB254" i="1"/>
  <c r="AA254" i="1"/>
  <c r="AF253" i="1"/>
  <c r="AE253" i="1"/>
  <c r="AC253" i="1"/>
  <c r="AB253" i="1"/>
  <c r="AA253" i="1"/>
  <c r="AF252" i="1"/>
  <c r="AE252" i="1"/>
  <c r="AC252" i="1"/>
  <c r="AB252" i="1"/>
  <c r="AA252" i="1"/>
  <c r="AF251" i="1"/>
  <c r="AE251" i="1"/>
  <c r="AC251" i="1"/>
  <c r="AB251" i="1"/>
  <c r="AA251" i="1"/>
  <c r="AF250" i="1"/>
  <c r="AE250" i="1"/>
  <c r="AC250" i="1"/>
  <c r="AB250" i="1"/>
  <c r="AA250" i="1"/>
  <c r="AF249" i="1"/>
  <c r="AE249" i="1"/>
  <c r="AC249" i="1"/>
  <c r="AB249" i="1"/>
  <c r="AA249" i="1"/>
  <c r="AF248" i="1"/>
  <c r="AE248" i="1"/>
  <c r="AC248" i="1"/>
  <c r="AB248" i="1"/>
  <c r="AA248" i="1"/>
  <c r="AF247" i="1"/>
  <c r="AE247" i="1"/>
  <c r="AC247" i="1"/>
  <c r="AB247" i="1"/>
  <c r="AA247" i="1"/>
  <c r="AF246" i="1"/>
  <c r="AE246" i="1"/>
  <c r="AC246" i="1"/>
  <c r="AB246" i="1"/>
  <c r="AA246" i="1"/>
  <c r="AF245" i="1"/>
  <c r="AE245" i="1"/>
  <c r="AC245" i="1"/>
  <c r="AB245" i="1"/>
  <c r="AA245" i="1"/>
  <c r="AF244" i="1"/>
  <c r="AE244" i="1"/>
  <c r="AC244" i="1"/>
  <c r="AB244" i="1"/>
  <c r="AA244" i="1"/>
  <c r="AF243" i="1"/>
  <c r="AE243" i="1"/>
  <c r="AC243" i="1"/>
  <c r="AB243" i="1"/>
  <c r="AA243" i="1"/>
  <c r="AF242" i="1"/>
  <c r="AE242" i="1"/>
  <c r="AC242" i="1"/>
  <c r="AB242" i="1"/>
  <c r="AA242" i="1"/>
  <c r="AF241" i="1"/>
  <c r="AE241" i="1"/>
  <c r="AC241" i="1"/>
  <c r="AB241" i="1"/>
  <c r="AA241" i="1"/>
  <c r="AF240" i="1"/>
  <c r="AE240" i="1"/>
  <c r="AC240" i="1"/>
  <c r="AB240" i="1"/>
  <c r="AA240" i="1"/>
  <c r="AF239" i="1"/>
  <c r="AE239" i="1"/>
  <c r="AC239" i="1"/>
  <c r="AB239" i="1"/>
  <c r="AA239" i="1"/>
  <c r="AF238" i="1"/>
  <c r="AE238" i="1"/>
  <c r="AC238" i="1"/>
  <c r="AB238" i="1"/>
  <c r="AA238" i="1"/>
  <c r="AF237" i="1"/>
  <c r="AE237" i="1"/>
  <c r="AC237" i="1"/>
  <c r="AB237" i="1"/>
  <c r="AA237" i="1"/>
  <c r="AF236" i="1"/>
  <c r="AE236" i="1"/>
  <c r="AC236" i="1"/>
  <c r="AB236" i="1"/>
  <c r="AA236" i="1"/>
  <c r="AF235" i="1"/>
  <c r="AE235" i="1"/>
  <c r="AC235" i="1"/>
  <c r="AB235" i="1"/>
  <c r="AA235" i="1"/>
  <c r="AF234" i="1"/>
  <c r="AE234" i="1"/>
  <c r="AC234" i="1"/>
  <c r="AB234" i="1"/>
  <c r="AA234" i="1"/>
  <c r="AF233" i="1"/>
  <c r="AE233" i="1"/>
  <c r="AC233" i="1"/>
  <c r="AB233" i="1"/>
  <c r="AA233" i="1"/>
  <c r="AF232" i="1"/>
  <c r="AE232" i="1"/>
  <c r="AC232" i="1"/>
  <c r="AB232" i="1"/>
  <c r="AA232" i="1"/>
  <c r="AF231" i="1"/>
  <c r="AE231" i="1"/>
  <c r="AC231" i="1"/>
  <c r="AB231" i="1"/>
  <c r="AA231" i="1"/>
  <c r="AF230" i="1"/>
  <c r="AE230" i="1"/>
  <c r="AC230" i="1"/>
  <c r="AB230" i="1"/>
  <c r="AA230" i="1"/>
  <c r="AF229" i="1"/>
  <c r="AE229" i="1"/>
  <c r="AC229" i="1"/>
  <c r="AB229" i="1"/>
  <c r="AA229" i="1"/>
  <c r="AF228" i="1"/>
  <c r="AE228" i="1"/>
  <c r="AC228" i="1"/>
  <c r="AB228" i="1"/>
  <c r="AA228" i="1"/>
  <c r="AF227" i="1"/>
  <c r="AE227" i="1"/>
  <c r="AC227" i="1"/>
  <c r="AB227" i="1"/>
  <c r="AA227" i="1"/>
  <c r="AF226" i="1"/>
  <c r="AE226" i="1"/>
  <c r="AC226" i="1"/>
  <c r="AB226" i="1"/>
  <c r="AA226" i="1"/>
  <c r="AF225" i="1"/>
  <c r="AE225" i="1"/>
  <c r="AC225" i="1"/>
  <c r="AB225" i="1"/>
  <c r="AA225" i="1"/>
  <c r="AF224" i="1"/>
  <c r="AE224" i="1"/>
  <c r="AC224" i="1"/>
  <c r="AB224" i="1"/>
  <c r="AA224" i="1"/>
  <c r="AF223" i="1"/>
  <c r="AE223" i="1"/>
  <c r="AC223" i="1"/>
  <c r="AB223" i="1"/>
  <c r="AA223" i="1"/>
  <c r="AF222" i="1"/>
  <c r="AE222" i="1"/>
  <c r="AC222" i="1"/>
  <c r="AB222" i="1"/>
  <c r="AA222" i="1"/>
  <c r="AF221" i="1"/>
  <c r="AE221" i="1"/>
  <c r="AC221" i="1"/>
  <c r="AB221" i="1"/>
  <c r="AA221" i="1"/>
  <c r="AF220" i="1"/>
  <c r="AE220" i="1"/>
  <c r="AC220" i="1"/>
  <c r="AB220" i="1"/>
  <c r="AA220" i="1"/>
  <c r="AF219" i="1"/>
  <c r="AE219" i="1"/>
  <c r="AC219" i="1"/>
  <c r="AB219" i="1"/>
  <c r="AA219" i="1"/>
  <c r="AF218" i="1"/>
  <c r="AE218" i="1"/>
  <c r="AC218" i="1"/>
  <c r="AB218" i="1"/>
  <c r="AA218" i="1"/>
  <c r="AF217" i="1"/>
  <c r="AE217" i="1"/>
  <c r="AC217" i="1"/>
  <c r="AB217" i="1"/>
  <c r="AA217" i="1"/>
  <c r="AF216" i="1"/>
  <c r="AE216" i="1"/>
  <c r="AC216" i="1"/>
  <c r="AB216" i="1"/>
  <c r="AA216" i="1"/>
  <c r="AF215" i="1"/>
  <c r="AE215" i="1"/>
  <c r="AC215" i="1"/>
  <c r="AB215" i="1"/>
  <c r="AA215" i="1"/>
  <c r="AF214" i="1"/>
  <c r="AE214" i="1"/>
  <c r="AC214" i="1"/>
  <c r="AB214" i="1"/>
  <c r="AA214" i="1"/>
  <c r="AF213" i="1"/>
  <c r="AE213" i="1"/>
  <c r="AC213" i="1"/>
  <c r="AB213" i="1"/>
  <c r="AA213" i="1"/>
  <c r="AF212" i="1"/>
  <c r="AE212" i="1"/>
  <c r="AC212" i="1"/>
  <c r="AB212" i="1"/>
  <c r="AA212" i="1"/>
  <c r="AF211" i="1"/>
  <c r="AE211" i="1"/>
  <c r="AC211" i="1"/>
  <c r="AB211" i="1"/>
  <c r="AA211" i="1"/>
  <c r="AF210" i="1"/>
  <c r="AE210" i="1"/>
  <c r="AC210" i="1"/>
  <c r="AB210" i="1"/>
  <c r="AA210" i="1"/>
  <c r="AF209" i="1"/>
  <c r="AE209" i="1"/>
  <c r="AC209" i="1"/>
  <c r="AB209" i="1"/>
  <c r="AA209" i="1"/>
  <c r="AF208" i="1"/>
  <c r="AE208" i="1"/>
  <c r="AC208" i="1"/>
  <c r="AB208" i="1"/>
  <c r="AA208" i="1"/>
  <c r="AF207" i="1"/>
  <c r="AE207" i="1"/>
  <c r="AC207" i="1"/>
  <c r="AB207" i="1"/>
  <c r="AA207" i="1"/>
  <c r="AF206" i="1"/>
  <c r="AE206" i="1"/>
  <c r="AC206" i="1"/>
  <c r="AB206" i="1"/>
  <c r="AA206" i="1"/>
  <c r="AF205" i="1"/>
  <c r="AE205" i="1"/>
  <c r="AC205" i="1"/>
  <c r="AB205" i="1"/>
  <c r="AA205" i="1"/>
  <c r="AF204" i="1"/>
  <c r="AE204" i="1"/>
  <c r="AC204" i="1"/>
  <c r="AB204" i="1"/>
  <c r="AA204" i="1"/>
  <c r="AF203" i="1"/>
  <c r="AE203" i="1"/>
  <c r="AC203" i="1"/>
  <c r="AB203" i="1"/>
  <c r="AA203" i="1"/>
  <c r="AF202" i="1"/>
  <c r="AE202" i="1"/>
  <c r="AC202" i="1"/>
  <c r="AB202" i="1"/>
  <c r="AA202" i="1"/>
  <c r="AF201" i="1"/>
  <c r="AE201" i="1"/>
  <c r="AC201" i="1"/>
  <c r="AB201" i="1"/>
  <c r="AA201" i="1"/>
  <c r="AF200" i="1"/>
  <c r="AE200" i="1"/>
  <c r="AC200" i="1"/>
  <c r="AB200" i="1"/>
  <c r="AA200" i="1"/>
  <c r="AF199" i="1"/>
  <c r="AE199" i="1"/>
  <c r="AC199" i="1"/>
  <c r="AB199" i="1"/>
  <c r="AA199" i="1"/>
  <c r="AF198" i="1"/>
  <c r="AE198" i="1"/>
  <c r="AC198" i="1"/>
  <c r="AB198" i="1"/>
  <c r="AA198" i="1"/>
  <c r="AF197" i="1"/>
  <c r="AE197" i="1"/>
  <c r="AC197" i="1"/>
  <c r="AB197" i="1"/>
  <c r="AA197" i="1"/>
  <c r="AF196" i="1"/>
  <c r="AE196" i="1"/>
  <c r="AC196" i="1"/>
  <c r="AB196" i="1"/>
  <c r="AA196" i="1"/>
  <c r="AF195" i="1"/>
  <c r="AE195" i="1"/>
  <c r="AC195" i="1"/>
  <c r="AB195" i="1"/>
  <c r="AA195" i="1"/>
  <c r="AF194" i="1"/>
  <c r="AE194" i="1"/>
  <c r="AC194" i="1"/>
  <c r="AB194" i="1"/>
  <c r="AA194" i="1"/>
  <c r="AF193" i="1"/>
  <c r="AE193" i="1"/>
  <c r="AC193" i="1"/>
  <c r="AB193" i="1"/>
  <c r="AA193" i="1"/>
  <c r="AF192" i="1"/>
  <c r="AE192" i="1"/>
  <c r="AC192" i="1"/>
  <c r="AB192" i="1"/>
  <c r="AA192" i="1"/>
  <c r="AF191" i="1"/>
  <c r="AE191" i="1"/>
  <c r="AC191" i="1"/>
  <c r="AB191" i="1"/>
  <c r="AA191" i="1"/>
  <c r="AF190" i="1"/>
  <c r="AE190" i="1"/>
  <c r="AC190" i="1"/>
  <c r="AB190" i="1"/>
  <c r="AA190" i="1"/>
  <c r="AF189" i="1"/>
  <c r="AE189" i="1"/>
  <c r="AC189" i="1"/>
  <c r="AB189" i="1"/>
  <c r="AA189" i="1"/>
  <c r="AF188" i="1"/>
  <c r="AE188" i="1"/>
  <c r="AC188" i="1"/>
  <c r="AB188" i="1"/>
  <c r="AA188" i="1"/>
  <c r="AF187" i="1"/>
  <c r="AE187" i="1"/>
  <c r="AC187" i="1"/>
  <c r="AB187" i="1"/>
  <c r="AA187" i="1"/>
  <c r="AF186" i="1"/>
  <c r="AE186" i="1"/>
  <c r="AC186" i="1"/>
  <c r="AB186" i="1"/>
  <c r="AA186" i="1"/>
  <c r="AF185" i="1"/>
  <c r="AE185" i="1"/>
  <c r="AC185" i="1"/>
  <c r="AB185" i="1"/>
  <c r="AA185" i="1"/>
  <c r="AF184" i="1"/>
  <c r="AE184" i="1"/>
  <c r="AC184" i="1"/>
  <c r="AB184" i="1"/>
  <c r="AA184" i="1"/>
  <c r="AF183" i="1"/>
  <c r="AE183" i="1"/>
  <c r="AC183" i="1"/>
  <c r="AB183" i="1"/>
  <c r="AA183" i="1"/>
  <c r="AF182" i="1"/>
  <c r="AE182" i="1"/>
  <c r="AC182" i="1"/>
  <c r="AB182" i="1"/>
  <c r="AA182" i="1"/>
  <c r="AF181" i="1"/>
  <c r="AE181" i="1"/>
  <c r="AC181" i="1"/>
  <c r="AB181" i="1"/>
  <c r="AA181" i="1"/>
  <c r="AF180" i="1"/>
  <c r="AE180" i="1"/>
  <c r="AC180" i="1"/>
  <c r="AB180" i="1"/>
  <c r="AA180" i="1"/>
  <c r="AF179" i="1"/>
  <c r="AE179" i="1"/>
  <c r="AC179" i="1"/>
  <c r="AB179" i="1"/>
  <c r="AA179" i="1"/>
  <c r="AF178" i="1"/>
  <c r="AE178" i="1"/>
  <c r="AC178" i="1"/>
  <c r="AB178" i="1"/>
  <c r="AA178" i="1"/>
  <c r="AF177" i="1"/>
  <c r="AE177" i="1"/>
  <c r="AC177" i="1"/>
  <c r="AB177" i="1"/>
  <c r="AA177" i="1"/>
  <c r="AF176" i="1"/>
  <c r="AE176" i="1"/>
  <c r="AC176" i="1"/>
  <c r="AB176" i="1"/>
  <c r="AA176" i="1"/>
  <c r="AF175" i="1"/>
  <c r="AE175" i="1"/>
  <c r="AC175" i="1"/>
  <c r="AB175" i="1"/>
  <c r="AA175" i="1"/>
  <c r="AF174" i="1"/>
  <c r="AE174" i="1"/>
  <c r="AC174" i="1"/>
  <c r="AB174" i="1"/>
  <c r="AA174" i="1"/>
  <c r="AF173" i="1"/>
  <c r="AE173" i="1"/>
  <c r="AC173" i="1"/>
  <c r="AB173" i="1"/>
  <c r="AA173" i="1"/>
  <c r="AF172" i="1"/>
  <c r="AE172" i="1"/>
  <c r="AC172" i="1"/>
  <c r="AB172" i="1"/>
  <c r="AA172" i="1"/>
  <c r="AF171" i="1"/>
  <c r="AE171" i="1"/>
  <c r="AC171" i="1"/>
  <c r="AB171" i="1"/>
  <c r="AA171" i="1"/>
  <c r="AF170" i="1"/>
  <c r="AE170" i="1"/>
  <c r="AC170" i="1"/>
  <c r="AB170" i="1"/>
  <c r="AA170" i="1"/>
  <c r="AF169" i="1"/>
  <c r="AE169" i="1"/>
  <c r="AC169" i="1"/>
  <c r="AB169" i="1"/>
  <c r="AA169" i="1"/>
  <c r="AF168" i="1"/>
  <c r="AE168" i="1"/>
  <c r="AC168" i="1"/>
  <c r="AB168" i="1"/>
  <c r="AA168" i="1"/>
  <c r="AF167" i="1"/>
  <c r="AE167" i="1"/>
  <c r="AC167" i="1"/>
  <c r="AB167" i="1"/>
  <c r="AA167" i="1"/>
  <c r="AF166" i="1"/>
  <c r="AE166" i="1"/>
  <c r="AC166" i="1"/>
  <c r="AB166" i="1"/>
  <c r="AA166" i="1"/>
  <c r="AF165" i="1"/>
  <c r="AE165" i="1"/>
  <c r="AC165" i="1"/>
  <c r="AB165" i="1"/>
  <c r="AA165" i="1"/>
  <c r="AF164" i="1"/>
  <c r="AE164" i="1"/>
  <c r="AC164" i="1"/>
  <c r="AB164" i="1"/>
  <c r="AA164" i="1"/>
  <c r="AF163" i="1"/>
  <c r="AE163" i="1"/>
  <c r="AC163" i="1"/>
  <c r="AB163" i="1"/>
  <c r="AA163" i="1"/>
  <c r="AF162" i="1"/>
  <c r="AE162" i="1"/>
  <c r="AC162" i="1"/>
  <c r="AB162" i="1"/>
  <c r="AA162" i="1"/>
  <c r="AF161" i="1"/>
  <c r="AE161" i="1"/>
  <c r="AC161" i="1"/>
  <c r="AB161" i="1"/>
  <c r="AA161" i="1"/>
  <c r="AF160" i="1"/>
  <c r="AE160" i="1"/>
  <c r="AC160" i="1"/>
  <c r="AB160" i="1"/>
  <c r="AA160" i="1"/>
  <c r="AF159" i="1"/>
  <c r="AE159" i="1"/>
  <c r="AC159" i="1"/>
  <c r="AB159" i="1"/>
  <c r="AA159" i="1"/>
  <c r="AF158" i="1"/>
  <c r="AE158" i="1"/>
  <c r="AC158" i="1"/>
  <c r="AB158" i="1"/>
  <c r="AA158" i="1"/>
  <c r="AF157" i="1"/>
  <c r="AE157" i="1"/>
  <c r="AC157" i="1"/>
  <c r="AB157" i="1"/>
  <c r="AA157" i="1"/>
  <c r="AF156" i="1"/>
  <c r="AE156" i="1"/>
  <c r="AC156" i="1"/>
  <c r="AB156" i="1"/>
  <c r="AA156" i="1"/>
  <c r="AF155" i="1"/>
  <c r="AE155" i="1"/>
  <c r="AC155" i="1"/>
  <c r="AB155" i="1"/>
  <c r="AA155" i="1"/>
  <c r="AF154" i="1"/>
  <c r="AE154" i="1"/>
  <c r="AC154" i="1"/>
  <c r="AB154" i="1"/>
  <c r="AA154" i="1"/>
  <c r="AF153" i="1"/>
  <c r="AE153" i="1"/>
  <c r="AC153" i="1"/>
  <c r="AB153" i="1"/>
  <c r="AA153" i="1"/>
  <c r="AF152" i="1"/>
  <c r="AE152" i="1"/>
  <c r="AC152" i="1"/>
  <c r="AB152" i="1"/>
  <c r="AA152" i="1"/>
  <c r="AF151" i="1"/>
  <c r="AE151" i="1"/>
  <c r="AC151" i="1"/>
  <c r="AB151" i="1"/>
  <c r="AA151" i="1"/>
  <c r="AF150" i="1"/>
  <c r="AE150" i="1"/>
  <c r="AC150" i="1"/>
  <c r="AB150" i="1"/>
  <c r="AA150" i="1"/>
  <c r="AF149" i="1"/>
  <c r="AE149" i="1"/>
  <c r="AC149" i="1"/>
  <c r="AB149" i="1"/>
  <c r="AA149" i="1"/>
  <c r="AF148" i="1"/>
  <c r="AE148" i="1"/>
  <c r="AC148" i="1"/>
  <c r="AB148" i="1"/>
  <c r="AA148" i="1"/>
  <c r="AF147" i="1"/>
  <c r="AE147" i="1"/>
  <c r="AC147" i="1"/>
  <c r="AB147" i="1"/>
  <c r="AA147" i="1"/>
  <c r="AF146" i="1"/>
  <c r="AE146" i="1"/>
  <c r="AC146" i="1"/>
  <c r="AB146" i="1"/>
  <c r="AA146" i="1"/>
  <c r="AF145" i="1"/>
  <c r="AE145" i="1"/>
  <c r="AC145" i="1"/>
  <c r="AB145" i="1"/>
  <c r="AA145" i="1"/>
  <c r="AF144" i="1"/>
  <c r="AE144" i="1"/>
  <c r="AC144" i="1"/>
  <c r="AB144" i="1"/>
  <c r="AA144" i="1"/>
  <c r="AF143" i="1"/>
  <c r="AE143" i="1"/>
  <c r="AC143" i="1"/>
  <c r="AB143" i="1"/>
  <c r="AA143" i="1"/>
  <c r="AF142" i="1"/>
  <c r="AE142" i="1"/>
  <c r="AC142" i="1"/>
  <c r="AB142" i="1"/>
  <c r="AA142" i="1"/>
  <c r="AF141" i="1"/>
  <c r="AE141" i="1"/>
  <c r="AC141" i="1"/>
  <c r="AB141" i="1"/>
  <c r="AA141" i="1"/>
  <c r="AF140" i="1"/>
  <c r="AE140" i="1"/>
  <c r="AC140" i="1"/>
  <c r="AB140" i="1"/>
  <c r="AA140" i="1"/>
  <c r="AF139" i="1"/>
  <c r="AE139" i="1"/>
  <c r="AC139" i="1"/>
  <c r="AB139" i="1"/>
  <c r="AA139" i="1"/>
  <c r="AF138" i="1"/>
  <c r="AE138" i="1"/>
  <c r="AC138" i="1"/>
  <c r="AB138" i="1"/>
  <c r="AA138" i="1"/>
  <c r="AF137" i="1"/>
  <c r="AE137" i="1"/>
  <c r="AC137" i="1"/>
  <c r="AB137" i="1"/>
  <c r="AA137" i="1"/>
  <c r="AF136" i="1"/>
  <c r="AE136" i="1"/>
  <c r="AC136" i="1"/>
  <c r="AB136" i="1"/>
  <c r="AA136" i="1"/>
  <c r="AF135" i="1"/>
  <c r="AE135" i="1"/>
  <c r="AC135" i="1"/>
  <c r="AB135" i="1"/>
  <c r="AA135" i="1"/>
  <c r="AF134" i="1"/>
  <c r="AE134" i="1"/>
  <c r="AC134" i="1"/>
  <c r="AB134" i="1"/>
  <c r="AA134" i="1"/>
  <c r="AF133" i="1"/>
  <c r="AE133" i="1"/>
  <c r="AC133" i="1"/>
  <c r="AB133" i="1"/>
  <c r="AA133" i="1"/>
  <c r="AF132" i="1"/>
  <c r="AE132" i="1"/>
  <c r="AC132" i="1"/>
  <c r="AB132" i="1"/>
  <c r="AA132" i="1"/>
  <c r="AF131" i="1"/>
  <c r="AE131" i="1"/>
  <c r="AC131" i="1"/>
  <c r="AB131" i="1"/>
  <c r="AA131" i="1"/>
  <c r="AF130" i="1"/>
  <c r="AE130" i="1"/>
  <c r="AC130" i="1"/>
  <c r="AB130" i="1"/>
  <c r="AA130" i="1"/>
  <c r="AF129" i="1"/>
  <c r="AE129" i="1"/>
  <c r="AC129" i="1"/>
  <c r="AB129" i="1"/>
  <c r="AA129" i="1"/>
  <c r="AF128" i="1"/>
  <c r="AE128" i="1"/>
  <c r="AC128" i="1"/>
  <c r="AB128" i="1"/>
  <c r="AA128" i="1"/>
  <c r="AF127" i="1"/>
  <c r="AE127" i="1"/>
  <c r="AC127" i="1"/>
  <c r="AB127" i="1"/>
  <c r="AA127" i="1"/>
  <c r="AF126" i="1"/>
  <c r="AE126" i="1"/>
  <c r="AC126" i="1"/>
  <c r="AB126" i="1"/>
  <c r="AA126" i="1"/>
  <c r="AF125" i="1"/>
  <c r="AE125" i="1"/>
  <c r="AC125" i="1"/>
  <c r="AB125" i="1"/>
  <c r="AA125" i="1"/>
  <c r="AF124" i="1"/>
  <c r="AE124" i="1"/>
  <c r="AC124" i="1"/>
  <c r="AB124" i="1"/>
  <c r="AA124" i="1"/>
  <c r="AF123" i="1"/>
  <c r="AE123" i="1"/>
  <c r="AC123" i="1"/>
  <c r="AB123" i="1"/>
  <c r="AA123" i="1"/>
  <c r="AF122" i="1"/>
  <c r="AE122" i="1"/>
  <c r="AC122" i="1"/>
  <c r="AB122" i="1"/>
  <c r="AA122" i="1"/>
  <c r="AF121" i="1"/>
  <c r="AE121" i="1"/>
  <c r="AC121" i="1"/>
  <c r="AB121" i="1"/>
  <c r="AA121" i="1"/>
  <c r="AF120" i="1"/>
  <c r="AE120" i="1"/>
  <c r="AC120" i="1"/>
  <c r="AB120" i="1"/>
  <c r="AA120" i="1"/>
  <c r="AF119" i="1"/>
  <c r="AE119" i="1"/>
  <c r="AC119" i="1"/>
  <c r="AB119" i="1"/>
  <c r="AA119" i="1"/>
  <c r="AF118" i="1"/>
  <c r="AE118" i="1"/>
  <c r="AC118" i="1"/>
  <c r="AB118" i="1"/>
  <c r="AA118" i="1"/>
  <c r="AF117" i="1"/>
  <c r="AE117" i="1"/>
  <c r="AC117" i="1"/>
  <c r="AB117" i="1"/>
  <c r="AA117" i="1"/>
  <c r="AF116" i="1"/>
  <c r="AE116" i="1"/>
  <c r="AC116" i="1"/>
  <c r="AB116" i="1"/>
  <c r="AA116" i="1"/>
  <c r="AF115" i="1"/>
  <c r="AE115" i="1"/>
  <c r="AC115" i="1"/>
  <c r="AB115" i="1"/>
  <c r="AA115" i="1"/>
  <c r="AF114" i="1"/>
  <c r="AE114" i="1"/>
  <c r="AC114" i="1"/>
  <c r="AB114" i="1"/>
  <c r="AA114" i="1"/>
  <c r="AF113" i="1"/>
  <c r="AE113" i="1"/>
  <c r="AC113" i="1"/>
  <c r="AB113" i="1"/>
  <c r="AA113" i="1"/>
  <c r="AF112" i="1"/>
  <c r="AE112" i="1"/>
  <c r="AC112" i="1"/>
  <c r="AB112" i="1"/>
  <c r="AA112" i="1"/>
  <c r="AF111" i="1"/>
  <c r="AE111" i="1"/>
  <c r="AC111" i="1"/>
  <c r="AB111" i="1"/>
  <c r="AA111" i="1"/>
  <c r="AF110" i="1"/>
  <c r="AE110" i="1"/>
  <c r="AC110" i="1"/>
  <c r="AB110" i="1"/>
  <c r="AA110" i="1"/>
  <c r="AF109" i="1"/>
  <c r="AE109" i="1"/>
  <c r="AC109" i="1"/>
  <c r="AB109" i="1"/>
  <c r="AA109" i="1"/>
  <c r="AF108" i="1"/>
  <c r="AE108" i="1"/>
  <c r="AC108" i="1"/>
  <c r="AB108" i="1"/>
  <c r="AA108" i="1"/>
  <c r="AF107" i="1"/>
  <c r="AE107" i="1"/>
  <c r="AC107" i="1"/>
  <c r="AB107" i="1"/>
  <c r="AA107" i="1"/>
  <c r="AF106" i="1"/>
  <c r="AE106" i="1"/>
  <c r="AC106" i="1"/>
  <c r="AB106" i="1"/>
  <c r="AA106" i="1"/>
  <c r="AF105" i="1"/>
  <c r="AE105" i="1"/>
  <c r="AC105" i="1"/>
  <c r="AB105" i="1"/>
  <c r="AA105" i="1"/>
  <c r="AF104" i="1"/>
  <c r="AE104" i="1"/>
  <c r="AC104" i="1"/>
  <c r="AB104" i="1"/>
  <c r="AA104" i="1"/>
  <c r="AF103" i="1"/>
  <c r="AE103" i="1"/>
  <c r="AC103" i="1"/>
  <c r="AB103" i="1"/>
  <c r="AA103" i="1"/>
  <c r="AF102" i="1"/>
  <c r="AE102" i="1"/>
  <c r="AC102" i="1"/>
  <c r="AB102" i="1"/>
  <c r="AA102" i="1"/>
  <c r="AF101" i="1"/>
  <c r="AE101" i="1"/>
  <c r="AC101" i="1"/>
  <c r="AB101" i="1"/>
  <c r="AA101" i="1"/>
  <c r="AF100" i="1"/>
  <c r="AE100" i="1"/>
  <c r="AC100" i="1"/>
  <c r="AB100" i="1"/>
  <c r="AA100" i="1"/>
  <c r="AF99" i="1"/>
  <c r="AE99" i="1"/>
  <c r="AC99" i="1"/>
  <c r="AB99" i="1"/>
  <c r="AA99" i="1"/>
  <c r="AF98" i="1"/>
  <c r="AE98" i="1"/>
  <c r="AC98" i="1"/>
  <c r="AB98" i="1"/>
  <c r="AA98" i="1"/>
  <c r="AF97" i="1"/>
  <c r="AE97" i="1"/>
  <c r="AC97" i="1"/>
  <c r="AB97" i="1"/>
  <c r="AA97" i="1"/>
  <c r="AF96" i="1"/>
  <c r="AE96" i="1"/>
  <c r="AC96" i="1"/>
  <c r="AB96" i="1"/>
  <c r="AA96" i="1"/>
  <c r="AF95" i="1"/>
  <c r="AE95" i="1"/>
  <c r="AC95" i="1"/>
  <c r="AB95" i="1"/>
  <c r="AA95" i="1"/>
  <c r="AF94" i="1"/>
  <c r="AE94" i="1"/>
  <c r="AC94" i="1"/>
  <c r="AB94" i="1"/>
  <c r="AA94" i="1"/>
  <c r="AF93" i="1"/>
  <c r="AE93" i="1"/>
  <c r="AC93" i="1"/>
  <c r="AB93" i="1"/>
  <c r="AA93" i="1"/>
  <c r="AF92" i="1"/>
  <c r="AE92" i="1"/>
  <c r="AC92" i="1"/>
  <c r="AB92" i="1"/>
  <c r="AA92" i="1"/>
  <c r="AF91" i="1"/>
  <c r="AE91" i="1"/>
  <c r="AC91" i="1"/>
  <c r="AB91" i="1"/>
  <c r="AA91" i="1"/>
  <c r="AF90" i="1"/>
  <c r="AE90" i="1"/>
  <c r="AC90" i="1"/>
  <c r="AB90" i="1"/>
  <c r="AA90" i="1"/>
  <c r="AF89" i="1"/>
  <c r="AE89" i="1"/>
  <c r="AC89" i="1"/>
  <c r="AB89" i="1"/>
  <c r="AA89" i="1"/>
  <c r="AF88" i="1"/>
  <c r="AE88" i="1"/>
  <c r="AC88" i="1"/>
  <c r="AB88" i="1"/>
  <c r="AA88" i="1"/>
  <c r="AF87" i="1"/>
  <c r="AE87" i="1"/>
  <c r="AC87" i="1"/>
  <c r="AB87" i="1"/>
  <c r="AA87" i="1"/>
  <c r="AF86" i="1"/>
  <c r="AE86" i="1"/>
  <c r="AC86" i="1"/>
  <c r="AB86" i="1"/>
  <c r="AA86" i="1"/>
  <c r="AF85" i="1"/>
  <c r="AE85" i="1"/>
  <c r="AC85" i="1"/>
  <c r="AB85" i="1"/>
  <c r="AA85" i="1"/>
  <c r="AF84" i="1"/>
  <c r="AE84" i="1"/>
  <c r="AC84" i="1"/>
  <c r="AB84" i="1"/>
  <c r="AA84" i="1"/>
  <c r="AF83" i="1"/>
  <c r="AE83" i="1"/>
  <c r="AC83" i="1"/>
  <c r="AB83" i="1"/>
  <c r="AA83" i="1"/>
  <c r="AF82" i="1"/>
  <c r="AE82" i="1"/>
  <c r="AC82" i="1"/>
  <c r="AB82" i="1"/>
  <c r="AA82" i="1"/>
  <c r="AF81" i="1"/>
  <c r="AE81" i="1"/>
  <c r="AC81" i="1"/>
  <c r="AB81" i="1"/>
  <c r="AA81" i="1"/>
  <c r="AF80" i="1"/>
  <c r="AE80" i="1"/>
  <c r="AC80" i="1"/>
  <c r="AB80" i="1"/>
  <c r="AA80" i="1"/>
  <c r="AF79" i="1"/>
  <c r="AE79" i="1"/>
  <c r="AC79" i="1"/>
  <c r="AB79" i="1"/>
  <c r="AA79" i="1"/>
  <c r="AF78" i="1"/>
  <c r="AE78" i="1"/>
  <c r="AC78" i="1"/>
  <c r="AB78" i="1"/>
  <c r="AA78" i="1"/>
  <c r="AF77" i="1"/>
  <c r="AE77" i="1"/>
  <c r="AC77" i="1"/>
  <c r="AB77" i="1"/>
  <c r="AA77" i="1"/>
  <c r="AF76" i="1"/>
  <c r="AE76" i="1"/>
  <c r="AC76" i="1"/>
  <c r="AB76" i="1"/>
  <c r="AA76" i="1"/>
  <c r="AF75" i="1"/>
  <c r="AE75" i="1"/>
  <c r="AC75" i="1"/>
  <c r="AB75" i="1"/>
  <c r="AA75" i="1"/>
  <c r="AF74" i="1"/>
  <c r="AE74" i="1"/>
  <c r="AC74" i="1"/>
  <c r="AB74" i="1"/>
  <c r="AA74" i="1"/>
  <c r="AF73" i="1"/>
  <c r="AE73" i="1"/>
  <c r="AC73" i="1"/>
  <c r="AB73" i="1"/>
  <c r="AA73" i="1"/>
  <c r="AF72" i="1"/>
  <c r="AE72" i="1"/>
  <c r="AC72" i="1"/>
  <c r="AB72" i="1"/>
  <c r="AA72" i="1"/>
  <c r="AF71" i="1"/>
  <c r="AE71" i="1"/>
  <c r="AC71" i="1"/>
  <c r="AB71" i="1"/>
  <c r="AA71" i="1"/>
  <c r="AF70" i="1"/>
  <c r="AE70" i="1"/>
  <c r="AC70" i="1"/>
  <c r="AB70" i="1"/>
  <c r="AA70" i="1"/>
  <c r="AF69" i="1"/>
  <c r="AE69" i="1"/>
  <c r="AC69" i="1"/>
  <c r="AB69" i="1"/>
  <c r="AA69" i="1"/>
  <c r="AF68" i="1"/>
  <c r="AE68" i="1"/>
  <c r="AC68" i="1"/>
  <c r="AB68" i="1"/>
  <c r="AA68" i="1"/>
  <c r="AF67" i="1"/>
  <c r="AE67" i="1"/>
  <c r="AC67" i="1"/>
  <c r="AB67" i="1"/>
  <c r="AA67" i="1"/>
  <c r="AF66" i="1"/>
  <c r="AE66" i="1"/>
  <c r="AC66" i="1"/>
  <c r="AB66" i="1"/>
  <c r="AA66" i="1"/>
  <c r="AF65" i="1"/>
  <c r="AE65" i="1"/>
  <c r="AC65" i="1"/>
  <c r="AB65" i="1"/>
  <c r="AA65" i="1"/>
  <c r="AF64" i="1"/>
  <c r="AE64" i="1"/>
  <c r="AC64" i="1"/>
  <c r="AB64" i="1"/>
  <c r="AA64" i="1"/>
  <c r="AF63" i="1"/>
  <c r="AE63" i="1"/>
  <c r="AC63" i="1"/>
  <c r="AB63" i="1"/>
  <c r="AA63" i="1"/>
  <c r="AF62" i="1"/>
  <c r="AE62" i="1"/>
  <c r="AC62" i="1"/>
  <c r="AB62" i="1"/>
  <c r="AA62" i="1"/>
  <c r="AF61" i="1"/>
  <c r="AE61" i="1"/>
  <c r="AC61" i="1"/>
  <c r="AB61" i="1"/>
  <c r="AA61" i="1"/>
  <c r="AF60" i="1"/>
  <c r="AE60" i="1"/>
  <c r="AC60" i="1"/>
  <c r="AB60" i="1"/>
  <c r="AA60" i="1"/>
  <c r="AF59" i="1"/>
  <c r="AE59" i="1"/>
  <c r="AC59" i="1"/>
  <c r="AB59" i="1"/>
  <c r="AA59" i="1"/>
  <c r="AF58" i="1"/>
  <c r="AE58" i="1"/>
  <c r="AC58" i="1"/>
  <c r="AB58" i="1"/>
  <c r="AA58" i="1"/>
  <c r="AF57" i="1"/>
  <c r="AE57" i="1"/>
  <c r="AC57" i="1"/>
  <c r="AB57" i="1"/>
  <c r="AA57" i="1"/>
  <c r="AF56" i="1"/>
  <c r="AE56" i="1"/>
  <c r="AC56" i="1"/>
  <c r="AB56" i="1"/>
  <c r="AA56" i="1"/>
  <c r="AF55" i="1"/>
  <c r="AE55" i="1"/>
  <c r="AC55" i="1"/>
  <c r="AB55" i="1"/>
  <c r="AA55" i="1"/>
  <c r="AF54" i="1"/>
  <c r="AE54" i="1"/>
  <c r="AC54" i="1"/>
  <c r="AB54" i="1"/>
  <c r="AA54" i="1"/>
  <c r="AF53" i="1"/>
  <c r="AE53" i="1"/>
  <c r="AC53" i="1"/>
  <c r="AB53" i="1"/>
  <c r="AA53" i="1"/>
  <c r="AF52" i="1"/>
  <c r="AE52" i="1"/>
  <c r="AC52" i="1"/>
  <c r="AB52" i="1"/>
  <c r="AA52" i="1"/>
  <c r="AF51" i="1"/>
  <c r="AE51" i="1"/>
  <c r="AC51" i="1"/>
  <c r="AB51" i="1"/>
  <c r="AA51" i="1"/>
  <c r="AF50" i="1"/>
  <c r="AE50" i="1"/>
  <c r="AC50" i="1"/>
  <c r="AB50" i="1"/>
  <c r="AA50" i="1"/>
  <c r="AF49" i="1"/>
  <c r="AE49" i="1"/>
  <c r="AC49" i="1"/>
  <c r="AB49" i="1"/>
  <c r="AA49" i="1"/>
  <c r="AF48" i="1"/>
  <c r="AE48" i="1"/>
  <c r="AC48" i="1"/>
  <c r="AB48" i="1"/>
  <c r="AA48" i="1"/>
  <c r="AF47" i="1"/>
  <c r="AE47" i="1"/>
  <c r="AC47" i="1"/>
  <c r="AB47" i="1"/>
  <c r="AA47" i="1"/>
  <c r="AF46" i="1"/>
  <c r="AE46" i="1"/>
  <c r="AC46" i="1"/>
  <c r="AB46" i="1"/>
  <c r="AA46" i="1"/>
  <c r="AF45" i="1"/>
  <c r="AE45" i="1"/>
  <c r="AC45" i="1"/>
  <c r="AB45" i="1"/>
  <c r="AA45" i="1"/>
  <c r="AF44" i="1"/>
  <c r="AE44" i="1"/>
  <c r="AC44" i="1"/>
  <c r="AB44" i="1"/>
  <c r="AA44" i="1"/>
  <c r="AF43" i="1"/>
  <c r="AE43" i="1"/>
  <c r="AC43" i="1"/>
  <c r="AB43" i="1"/>
  <c r="AA43" i="1"/>
  <c r="AF42" i="1"/>
  <c r="AE42" i="1"/>
  <c r="AC42" i="1"/>
  <c r="AB42" i="1"/>
  <c r="AA42" i="1"/>
  <c r="AF41" i="1"/>
  <c r="AE41" i="1"/>
  <c r="AC41" i="1"/>
  <c r="AB41" i="1"/>
  <c r="AA41" i="1"/>
  <c r="AF40" i="1"/>
  <c r="AE40" i="1"/>
  <c r="AC40" i="1"/>
  <c r="AB40" i="1"/>
  <c r="AA40" i="1"/>
  <c r="AF39" i="1"/>
  <c r="AE39" i="1"/>
  <c r="AC39" i="1"/>
  <c r="AB39" i="1"/>
  <c r="AA39" i="1"/>
  <c r="AF38" i="1"/>
  <c r="AE38" i="1"/>
  <c r="AC38" i="1"/>
  <c r="AB38" i="1"/>
  <c r="AA38" i="1"/>
  <c r="AF37" i="1"/>
  <c r="AE37" i="1"/>
  <c r="AC37" i="1"/>
  <c r="AB37" i="1"/>
  <c r="AA37" i="1"/>
  <c r="AF36" i="1"/>
  <c r="AE36" i="1"/>
  <c r="AC36" i="1"/>
  <c r="AB36" i="1"/>
  <c r="AA36" i="1"/>
  <c r="AF35" i="1"/>
  <c r="AE35" i="1"/>
  <c r="AC35" i="1"/>
  <c r="AB35" i="1"/>
  <c r="AA35" i="1"/>
  <c r="AF34" i="1"/>
  <c r="AE34" i="1"/>
  <c r="AC34" i="1"/>
  <c r="AB34" i="1"/>
  <c r="AA34" i="1"/>
  <c r="AF33" i="1"/>
  <c r="AE33" i="1"/>
  <c r="AC33" i="1"/>
  <c r="AB33" i="1"/>
  <c r="AA33" i="1"/>
  <c r="AF32" i="1"/>
  <c r="AE32" i="1"/>
  <c r="AC32" i="1"/>
  <c r="AB32" i="1"/>
  <c r="AA32" i="1"/>
  <c r="AF31" i="1"/>
  <c r="AE31" i="1"/>
  <c r="AC31" i="1"/>
  <c r="AB31" i="1"/>
  <c r="AA31" i="1"/>
  <c r="AF30" i="1"/>
  <c r="AE30" i="1"/>
  <c r="AC30" i="1"/>
  <c r="AB30" i="1"/>
  <c r="AA30" i="1"/>
  <c r="AF29" i="1"/>
  <c r="AE29" i="1"/>
  <c r="AC29" i="1"/>
  <c r="AB29" i="1"/>
  <c r="AA29" i="1"/>
  <c r="AF28" i="1"/>
  <c r="AE28" i="1"/>
  <c r="AC28" i="1"/>
  <c r="AB28" i="1"/>
  <c r="AA28" i="1"/>
  <c r="AF27" i="1"/>
  <c r="AE27" i="1"/>
  <c r="AC27" i="1"/>
  <c r="AB27" i="1"/>
  <c r="AA27" i="1"/>
  <c r="AF26" i="1"/>
  <c r="AE26" i="1"/>
  <c r="AC26" i="1"/>
  <c r="AB26" i="1"/>
  <c r="AA26" i="1"/>
  <c r="AF25" i="1"/>
  <c r="AE25" i="1"/>
  <c r="AC25" i="1"/>
  <c r="AB25" i="1"/>
  <c r="AA25" i="1"/>
  <c r="AF24" i="1"/>
  <c r="AE24" i="1"/>
  <c r="AC24" i="1"/>
  <c r="AB24" i="1"/>
  <c r="AA24" i="1"/>
  <c r="AF23" i="1"/>
  <c r="AE23" i="1"/>
  <c r="AC23" i="1"/>
  <c r="AB23" i="1"/>
  <c r="AA23" i="1"/>
  <c r="AF22" i="1"/>
  <c r="AE22" i="1"/>
  <c r="AC22" i="1"/>
  <c r="AB22" i="1"/>
  <c r="AA22" i="1"/>
  <c r="AF21" i="1"/>
  <c r="AE21" i="1"/>
  <c r="AC21" i="1"/>
  <c r="AB21" i="1"/>
  <c r="AA21" i="1"/>
  <c r="AF20" i="1"/>
  <c r="AE20" i="1"/>
  <c r="AC20" i="1"/>
  <c r="AB20" i="1"/>
  <c r="AA20" i="1"/>
  <c r="AF19" i="1"/>
  <c r="AE19" i="1"/>
  <c r="AC19" i="1"/>
  <c r="AB19" i="1"/>
  <c r="AA19" i="1"/>
  <c r="AF18" i="1"/>
  <c r="AE18" i="1"/>
  <c r="AC18" i="1"/>
  <c r="AB18" i="1"/>
  <c r="AA18" i="1"/>
  <c r="AF17" i="1"/>
  <c r="AE17" i="1"/>
  <c r="AC17" i="1"/>
  <c r="AB17" i="1"/>
  <c r="AA17" i="1"/>
  <c r="AF16" i="1"/>
  <c r="AE16" i="1"/>
  <c r="AC16" i="1"/>
  <c r="AB16" i="1"/>
  <c r="AA16" i="1"/>
  <c r="AF15" i="1"/>
  <c r="AE15" i="1"/>
  <c r="AC15" i="1"/>
  <c r="AB15" i="1"/>
  <c r="AA15" i="1"/>
  <c r="AF14" i="1"/>
  <c r="AE14" i="1"/>
  <c r="AC14" i="1"/>
  <c r="AB14" i="1"/>
  <c r="AA14" i="1"/>
  <c r="AF13" i="1"/>
  <c r="AE13" i="1"/>
  <c r="AC13" i="1"/>
  <c r="AB13" i="1"/>
  <c r="AA13" i="1"/>
  <c r="AF12" i="1"/>
  <c r="AE12" i="1"/>
  <c r="AC12" i="1"/>
  <c r="AB12" i="1"/>
  <c r="AA12" i="1"/>
  <c r="AF11" i="1"/>
  <c r="AE11" i="1"/>
  <c r="AC11" i="1"/>
  <c r="AB11" i="1"/>
  <c r="AA11" i="1"/>
  <c r="AF10" i="1"/>
  <c r="AE10" i="1"/>
  <c r="AC10" i="1"/>
  <c r="AB10" i="1"/>
  <c r="AA10" i="1"/>
  <c r="AF9" i="1"/>
  <c r="AE9" i="1"/>
  <c r="AC9" i="1"/>
  <c r="AB9" i="1"/>
  <c r="AA9" i="1"/>
  <c r="AF8" i="1"/>
  <c r="AE8" i="1"/>
  <c r="AC8" i="1"/>
  <c r="AB8" i="1"/>
  <c r="AA8" i="1"/>
  <c r="AF7" i="1"/>
  <c r="AE7" i="1"/>
  <c r="AC7" i="1"/>
  <c r="AB7" i="1"/>
  <c r="AA7" i="1"/>
  <c r="AF6" i="1"/>
  <c r="AE6" i="1"/>
  <c r="AC6" i="1"/>
  <c r="AB6" i="1"/>
  <c r="AA6" i="1"/>
  <c r="AF5" i="1"/>
  <c r="AE5" i="1"/>
  <c r="AC5" i="1"/>
  <c r="AB5" i="1"/>
  <c r="AA5" i="1"/>
  <c r="AF4" i="1"/>
  <c r="AE4" i="1"/>
  <c r="AC4" i="1"/>
  <c r="AB4" i="1"/>
  <c r="AA4" i="1"/>
  <c r="AF3" i="1"/>
  <c r="AE3" i="1"/>
  <c r="AC3" i="1"/>
  <c r="AB3" i="1"/>
  <c r="AA3" i="1"/>
  <c r="E10" i="7"/>
  <c r="D10" i="7"/>
  <c r="E9" i="7"/>
  <c r="E7" i="7"/>
  <c r="E6" i="7"/>
  <c r="D7" i="7"/>
  <c r="D6" i="7"/>
  <c r="D4" i="7"/>
  <c r="F4" i="7"/>
  <c r="E4" i="7"/>
  <c r="L4" i="6"/>
  <c r="L5" i="6"/>
  <c r="L6" i="6"/>
  <c r="L7" i="6"/>
  <c r="L8" i="6"/>
  <c r="I9" i="6"/>
  <c r="L9" i="6" s="1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L268" i="6"/>
  <c r="L269" i="6"/>
  <c r="L270" i="6"/>
  <c r="L271" i="6"/>
  <c r="L272" i="6"/>
  <c r="L273" i="6"/>
  <c r="L274" i="6"/>
  <c r="L275" i="6"/>
  <c r="L276" i="6"/>
  <c r="L277" i="6"/>
  <c r="L278" i="6"/>
  <c r="L279" i="6"/>
  <c r="L280" i="6"/>
  <c r="L281" i="6"/>
  <c r="L282" i="6"/>
  <c r="L283" i="6"/>
  <c r="L284" i="6"/>
  <c r="L285" i="6"/>
  <c r="L286" i="6"/>
  <c r="L287" i="6"/>
  <c r="L288" i="6"/>
  <c r="L289" i="6"/>
  <c r="L290" i="6"/>
  <c r="L291" i="6"/>
  <c r="L292" i="6"/>
  <c r="L293" i="6"/>
  <c r="L294" i="6"/>
  <c r="L295" i="6"/>
  <c r="L296" i="6"/>
  <c r="L297" i="6"/>
  <c r="L298" i="6"/>
  <c r="L299" i="6"/>
  <c r="L300" i="6"/>
  <c r="L301" i="6"/>
  <c r="L302" i="6"/>
  <c r="L303" i="6"/>
  <c r="L304" i="6"/>
  <c r="L305" i="6"/>
  <c r="L306" i="6"/>
  <c r="L307" i="6"/>
  <c r="L308" i="6"/>
  <c r="L309" i="6"/>
  <c r="L310" i="6"/>
  <c r="L311" i="6"/>
  <c r="L312" i="6"/>
  <c r="L313" i="6"/>
  <c r="L314" i="6"/>
  <c r="L315" i="6"/>
  <c r="L316" i="6"/>
  <c r="L317" i="6"/>
  <c r="L318" i="6"/>
  <c r="L319" i="6"/>
  <c r="L320" i="6"/>
  <c r="L321" i="6"/>
  <c r="L322" i="6"/>
  <c r="L323" i="6"/>
  <c r="L324" i="6"/>
  <c r="L325" i="6"/>
  <c r="L326" i="6"/>
  <c r="L327" i="6"/>
  <c r="L328" i="6"/>
  <c r="L329" i="6"/>
  <c r="L330" i="6"/>
  <c r="L331" i="6"/>
  <c r="L332" i="6"/>
  <c r="L333" i="6"/>
  <c r="L334" i="6"/>
  <c r="L335" i="6"/>
  <c r="L336" i="6"/>
  <c r="L338" i="6"/>
  <c r="L339" i="6"/>
  <c r="L340" i="6"/>
  <c r="L341" i="6"/>
  <c r="L342" i="6"/>
  <c r="L343" i="6"/>
  <c r="L344" i="6"/>
  <c r="L345" i="6"/>
  <c r="L346" i="6"/>
  <c r="L347" i="6"/>
  <c r="L348" i="6"/>
  <c r="L349" i="6"/>
  <c r="L354" i="6"/>
  <c r="L356" i="6"/>
  <c r="L357" i="6"/>
  <c r="L358" i="6"/>
  <c r="L359" i="6"/>
  <c r="L360" i="6"/>
  <c r="L361" i="6"/>
  <c r="L362" i="6"/>
  <c r="L363" i="6"/>
  <c r="L365" i="6"/>
  <c r="L366" i="6"/>
  <c r="L367" i="6"/>
  <c r="L368" i="6"/>
  <c r="L369" i="6"/>
  <c r="L371" i="6"/>
  <c r="L372" i="6"/>
  <c r="L373" i="6"/>
  <c r="L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9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5" i="6"/>
  <c r="M326" i="6"/>
  <c r="M327" i="6"/>
  <c r="M328" i="6"/>
  <c r="M329" i="6"/>
  <c r="M330" i="6"/>
  <c r="M331" i="6"/>
  <c r="M332" i="6"/>
  <c r="M333" i="6"/>
  <c r="M334" i="6"/>
  <c r="M335" i="6"/>
  <c r="M336" i="6"/>
  <c r="M339" i="6"/>
  <c r="M340" i="6"/>
  <c r="M341" i="6"/>
  <c r="M342" i="6"/>
  <c r="M343" i="6"/>
  <c r="M344" i="6"/>
  <c r="M345" i="6"/>
  <c r="M346" i="6"/>
  <c r="M347" i="6"/>
  <c r="M348" i="6"/>
  <c r="M349" i="6"/>
  <c r="M354" i="6"/>
  <c r="M356" i="6"/>
  <c r="M357" i="6"/>
  <c r="M358" i="6"/>
  <c r="M359" i="6"/>
  <c r="M360" i="6"/>
  <c r="M361" i="6"/>
  <c r="M362" i="6"/>
  <c r="M363" i="6"/>
  <c r="M365" i="6"/>
  <c r="M366" i="6"/>
  <c r="M367" i="6"/>
  <c r="M368" i="6"/>
  <c r="M369" i="6"/>
  <c r="M371" i="6"/>
  <c r="M372" i="6"/>
  <c r="M373" i="6"/>
  <c r="M12" i="6"/>
  <c r="M11" i="6"/>
  <c r="M8" i="6"/>
  <c r="M13" i="6"/>
  <c r="M3" i="6"/>
  <c r="M10" i="6"/>
  <c r="M9" i="6"/>
  <c r="M6" i="6"/>
  <c r="M7" i="6"/>
  <c r="M5" i="6"/>
  <c r="M4" i="6"/>
  <c r="G10" i="1"/>
  <c r="G9" i="1"/>
  <c r="G11" i="1"/>
  <c r="G8" i="1"/>
  <c r="C27" i="43" l="1"/>
  <c r="C8" i="43"/>
  <c r="B7" i="43"/>
  <c r="C25" i="43" s="1"/>
  <c r="H4" i="1"/>
  <c r="B25" i="43" s="1"/>
  <c r="F7" i="1"/>
  <c r="F6" i="1" s="1"/>
  <c r="B21" i="43" s="1"/>
  <c r="B13" i="43"/>
  <c r="C13" i="43" s="1"/>
  <c r="C19" i="43" s="1"/>
  <c r="Y260" i="1"/>
  <c r="AD260" i="1"/>
  <c r="Y259" i="1"/>
  <c r="AD259" i="1"/>
  <c r="Y258" i="1"/>
  <c r="AD258" i="1"/>
  <c r="Y257" i="1"/>
  <c r="AD257" i="1"/>
  <c r="Y256" i="1"/>
  <c r="AD256" i="1"/>
  <c r="Y255" i="1"/>
  <c r="AD255" i="1"/>
  <c r="Y254" i="1"/>
  <c r="AD254" i="1"/>
  <c r="Y253" i="1"/>
  <c r="AD253" i="1"/>
  <c r="Y252" i="1"/>
  <c r="AD252" i="1"/>
  <c r="Y251" i="1"/>
  <c r="AD251" i="1"/>
  <c r="Y250" i="1"/>
  <c r="AD250" i="1"/>
  <c r="Y249" i="1"/>
  <c r="AD249" i="1"/>
  <c r="Y248" i="1"/>
  <c r="AD248" i="1"/>
  <c r="Y247" i="1"/>
  <c r="AD247" i="1"/>
  <c r="Y246" i="1"/>
  <c r="AD246" i="1"/>
  <c r="Y245" i="1"/>
  <c r="AD245" i="1"/>
  <c r="Y244" i="1"/>
  <c r="AD244" i="1"/>
  <c r="Y243" i="1"/>
  <c r="AD243" i="1"/>
  <c r="Y242" i="1"/>
  <c r="AD242" i="1"/>
  <c r="Y241" i="1"/>
  <c r="AD241" i="1"/>
  <c r="Y240" i="1"/>
  <c r="AD240" i="1"/>
  <c r="Y239" i="1"/>
  <c r="AD239" i="1"/>
  <c r="Y238" i="1"/>
  <c r="AD238" i="1"/>
  <c r="Y237" i="1"/>
  <c r="AD237" i="1"/>
  <c r="Y236" i="1"/>
  <c r="AD236" i="1"/>
  <c r="Y235" i="1"/>
  <c r="AD235" i="1"/>
  <c r="Y234" i="1"/>
  <c r="AD234" i="1"/>
  <c r="Y233" i="1"/>
  <c r="AD233" i="1"/>
  <c r="Y232" i="1"/>
  <c r="AD232" i="1"/>
  <c r="Y231" i="1"/>
  <c r="AD231" i="1"/>
  <c r="Y230" i="1"/>
  <c r="AD230" i="1"/>
  <c r="Y229" i="1"/>
  <c r="AD229" i="1"/>
  <c r="Y228" i="1"/>
  <c r="AD228" i="1"/>
  <c r="Y227" i="1"/>
  <c r="AD227" i="1"/>
  <c r="Y226" i="1"/>
  <c r="AD226" i="1"/>
  <c r="Y225" i="1"/>
  <c r="AD225" i="1"/>
  <c r="Y224" i="1"/>
  <c r="AD224" i="1"/>
  <c r="Y223" i="1"/>
  <c r="AD223" i="1"/>
  <c r="Y222" i="1"/>
  <c r="AD222" i="1"/>
  <c r="Y221" i="1"/>
  <c r="AD221" i="1"/>
  <c r="Y220" i="1"/>
  <c r="AD220" i="1"/>
  <c r="Y219" i="1"/>
  <c r="AD219" i="1"/>
  <c r="Y218" i="1"/>
  <c r="AD218" i="1"/>
  <c r="Y217" i="1"/>
  <c r="AD217" i="1"/>
  <c r="Y216" i="1"/>
  <c r="AD216" i="1"/>
  <c r="Y215" i="1"/>
  <c r="AD215" i="1"/>
  <c r="Y214" i="1"/>
  <c r="AD214" i="1"/>
  <c r="Y213" i="1"/>
  <c r="AD213" i="1"/>
  <c r="Y212" i="1"/>
  <c r="AD212" i="1"/>
  <c r="Y211" i="1"/>
  <c r="AD211" i="1"/>
  <c r="Y210" i="1"/>
  <c r="AD210" i="1"/>
  <c r="Y209" i="1"/>
  <c r="AD209" i="1"/>
  <c r="Y208" i="1"/>
  <c r="AD208" i="1"/>
  <c r="Y207" i="1"/>
  <c r="AD207" i="1"/>
  <c r="Y206" i="1"/>
  <c r="AD206" i="1"/>
  <c r="Y205" i="1"/>
  <c r="AD205" i="1"/>
  <c r="Y204" i="1"/>
  <c r="AD204" i="1"/>
  <c r="Y203" i="1"/>
  <c r="AD203" i="1"/>
  <c r="Y202" i="1"/>
  <c r="AD202" i="1"/>
  <c r="Y201" i="1"/>
  <c r="AD201" i="1"/>
  <c r="Y200" i="1"/>
  <c r="AD200" i="1"/>
  <c r="Y199" i="1"/>
  <c r="AD199" i="1"/>
  <c r="Y198" i="1"/>
  <c r="AD198" i="1"/>
  <c r="Y197" i="1"/>
  <c r="AD197" i="1"/>
  <c r="Y196" i="1"/>
  <c r="AD196" i="1"/>
  <c r="Y195" i="1"/>
  <c r="AD195" i="1"/>
  <c r="Y194" i="1"/>
  <c r="AD194" i="1"/>
  <c r="Y193" i="1"/>
  <c r="AD193" i="1"/>
  <c r="Y192" i="1"/>
  <c r="AD192" i="1"/>
  <c r="Y191" i="1"/>
  <c r="AD191" i="1"/>
  <c r="Y190" i="1"/>
  <c r="AD190" i="1"/>
  <c r="Y189" i="1"/>
  <c r="AD189" i="1"/>
  <c r="Y188" i="1"/>
  <c r="AD188" i="1"/>
  <c r="Y187" i="1"/>
  <c r="AD187" i="1"/>
  <c r="Y186" i="1"/>
  <c r="AD186" i="1"/>
  <c r="Y185" i="1"/>
  <c r="AD185" i="1"/>
  <c r="Y184" i="1"/>
  <c r="AD184" i="1"/>
  <c r="Y183" i="1"/>
  <c r="AD183" i="1"/>
  <c r="Y182" i="1"/>
  <c r="AD182" i="1"/>
  <c r="Y181" i="1"/>
  <c r="AD181" i="1"/>
  <c r="Y180" i="1"/>
  <c r="AD180" i="1"/>
  <c r="Y179" i="1"/>
  <c r="AD179" i="1"/>
  <c r="Y178" i="1"/>
  <c r="AD178" i="1"/>
  <c r="Y177" i="1"/>
  <c r="AD177" i="1"/>
  <c r="Y176" i="1"/>
  <c r="AD176" i="1"/>
  <c r="Y175" i="1"/>
  <c r="AD175" i="1"/>
  <c r="Y174" i="1"/>
  <c r="AD174" i="1"/>
  <c r="Y173" i="1"/>
  <c r="AD173" i="1"/>
  <c r="Y172" i="1"/>
  <c r="AD172" i="1"/>
  <c r="Y171" i="1"/>
  <c r="AD171" i="1"/>
  <c r="Y170" i="1"/>
  <c r="AD170" i="1"/>
  <c r="Y169" i="1"/>
  <c r="AD169" i="1"/>
  <c r="Y168" i="1"/>
  <c r="AD168" i="1"/>
  <c r="Y167" i="1"/>
  <c r="AD167" i="1"/>
  <c r="Y166" i="1"/>
  <c r="AD166" i="1"/>
  <c r="Y165" i="1"/>
  <c r="AD165" i="1"/>
  <c r="Y164" i="1"/>
  <c r="AD164" i="1"/>
  <c r="Y163" i="1"/>
  <c r="AD163" i="1"/>
  <c r="Y162" i="1"/>
  <c r="AD162" i="1"/>
  <c r="Y161" i="1"/>
  <c r="AD161" i="1"/>
  <c r="Y160" i="1"/>
  <c r="AD160" i="1"/>
  <c r="Y159" i="1"/>
  <c r="AD159" i="1"/>
  <c r="Y158" i="1"/>
  <c r="AD158" i="1"/>
  <c r="Y157" i="1"/>
  <c r="AD157" i="1"/>
  <c r="Y156" i="1"/>
  <c r="AD156" i="1"/>
  <c r="Y155" i="1"/>
  <c r="AD155" i="1"/>
  <c r="Y154" i="1"/>
  <c r="AD154" i="1"/>
  <c r="Y153" i="1"/>
  <c r="AD153" i="1"/>
  <c r="Y152" i="1"/>
  <c r="AD152" i="1"/>
  <c r="Y151" i="1"/>
  <c r="AD151" i="1"/>
  <c r="Y150" i="1"/>
  <c r="AD150" i="1"/>
  <c r="Y149" i="1"/>
  <c r="AD149" i="1"/>
  <c r="Y148" i="1"/>
  <c r="AD148" i="1"/>
  <c r="Y147" i="1"/>
  <c r="AD147" i="1"/>
  <c r="Y146" i="1"/>
  <c r="AD146" i="1"/>
  <c r="Y145" i="1"/>
  <c r="AD145" i="1"/>
  <c r="Y144" i="1"/>
  <c r="AD144" i="1"/>
  <c r="Y143" i="1"/>
  <c r="AD143" i="1"/>
  <c r="Y142" i="1"/>
  <c r="AD142" i="1"/>
  <c r="Y141" i="1"/>
  <c r="AD141" i="1"/>
  <c r="Y140" i="1"/>
  <c r="AD140" i="1"/>
  <c r="Y139" i="1"/>
  <c r="AD139" i="1"/>
  <c r="Y138" i="1"/>
  <c r="AD138" i="1"/>
  <c r="Y137" i="1"/>
  <c r="AD137" i="1"/>
  <c r="Y136" i="1"/>
  <c r="AD136" i="1"/>
  <c r="Y135" i="1"/>
  <c r="AD135" i="1"/>
  <c r="Y134" i="1"/>
  <c r="AD134" i="1"/>
  <c r="Y133" i="1"/>
  <c r="AD133" i="1"/>
  <c r="Y132" i="1"/>
  <c r="AD132" i="1"/>
  <c r="Y131" i="1"/>
  <c r="AD131" i="1"/>
  <c r="Y130" i="1"/>
  <c r="AD130" i="1"/>
  <c r="Y129" i="1"/>
  <c r="AD129" i="1"/>
  <c r="Y128" i="1"/>
  <c r="AD128" i="1"/>
  <c r="Y127" i="1"/>
  <c r="AD127" i="1"/>
  <c r="Y126" i="1"/>
  <c r="AD126" i="1"/>
  <c r="Y125" i="1"/>
  <c r="AD125" i="1"/>
  <c r="Y124" i="1"/>
  <c r="AD124" i="1"/>
  <c r="Y123" i="1"/>
  <c r="AD123" i="1"/>
  <c r="Y122" i="1"/>
  <c r="AD122" i="1"/>
  <c r="Y121" i="1"/>
  <c r="AD121" i="1"/>
  <c r="Y120" i="1"/>
  <c r="AD120" i="1"/>
  <c r="Y119" i="1"/>
  <c r="AD119" i="1"/>
  <c r="Y118" i="1"/>
  <c r="AD118" i="1"/>
  <c r="Y117" i="1"/>
  <c r="AD117" i="1"/>
  <c r="Y116" i="1"/>
  <c r="AD116" i="1"/>
  <c r="Y115" i="1"/>
  <c r="AD115" i="1"/>
  <c r="Y114" i="1"/>
  <c r="AD114" i="1"/>
  <c r="Y113" i="1"/>
  <c r="AD113" i="1"/>
  <c r="Y112" i="1"/>
  <c r="AD112" i="1"/>
  <c r="Y111" i="1"/>
  <c r="AD111" i="1"/>
  <c r="Y110" i="1"/>
  <c r="AD110" i="1"/>
  <c r="Y109" i="1"/>
  <c r="AD109" i="1"/>
  <c r="Y108" i="1"/>
  <c r="AD108" i="1"/>
  <c r="Y107" i="1"/>
  <c r="AD107" i="1"/>
  <c r="Y106" i="1"/>
  <c r="AD106" i="1"/>
  <c r="Y105" i="1"/>
  <c r="AD105" i="1"/>
  <c r="Y104" i="1"/>
  <c r="AD104" i="1"/>
  <c r="Y103" i="1"/>
  <c r="AD103" i="1"/>
  <c r="Y102" i="1"/>
  <c r="AD102" i="1"/>
  <c r="Y101" i="1"/>
  <c r="AD101" i="1"/>
  <c r="Y100" i="1"/>
  <c r="AD100" i="1"/>
  <c r="Y99" i="1"/>
  <c r="AD99" i="1"/>
  <c r="Y98" i="1"/>
  <c r="AD98" i="1"/>
  <c r="Y97" i="1"/>
  <c r="AD97" i="1"/>
  <c r="Y96" i="1"/>
  <c r="AD96" i="1"/>
  <c r="Y95" i="1"/>
  <c r="AD95" i="1"/>
  <c r="Y94" i="1"/>
  <c r="AD94" i="1"/>
  <c r="Y93" i="1"/>
  <c r="AD93" i="1"/>
  <c r="Y92" i="1"/>
  <c r="AD92" i="1"/>
  <c r="Y91" i="1"/>
  <c r="AD91" i="1"/>
  <c r="Y90" i="1"/>
  <c r="AD90" i="1"/>
  <c r="Y89" i="1"/>
  <c r="AD89" i="1"/>
  <c r="Y88" i="1"/>
  <c r="AD88" i="1"/>
  <c r="Y87" i="1"/>
  <c r="AD87" i="1"/>
  <c r="Y86" i="1"/>
  <c r="AD86" i="1"/>
  <c r="Y85" i="1"/>
  <c r="AD85" i="1"/>
  <c r="Y84" i="1"/>
  <c r="AD84" i="1"/>
  <c r="Y83" i="1"/>
  <c r="AD83" i="1"/>
  <c r="Y82" i="1"/>
  <c r="AD82" i="1"/>
  <c r="Y81" i="1"/>
  <c r="AD81" i="1"/>
  <c r="Y80" i="1"/>
  <c r="AD80" i="1"/>
  <c r="Y79" i="1"/>
  <c r="AD79" i="1"/>
  <c r="Y78" i="1"/>
  <c r="AD78" i="1"/>
  <c r="Y77" i="1"/>
  <c r="AD77" i="1"/>
  <c r="Y76" i="1"/>
  <c r="AD76" i="1"/>
  <c r="Y75" i="1"/>
  <c r="AD75" i="1"/>
  <c r="Y74" i="1"/>
  <c r="AD74" i="1"/>
  <c r="Y73" i="1"/>
  <c r="AD73" i="1"/>
  <c r="Y72" i="1"/>
  <c r="AD72" i="1"/>
  <c r="Y71" i="1"/>
  <c r="AD71" i="1"/>
  <c r="Y70" i="1"/>
  <c r="AD70" i="1"/>
  <c r="Y69" i="1"/>
  <c r="AD69" i="1"/>
  <c r="Y68" i="1"/>
  <c r="AD68" i="1"/>
  <c r="Y67" i="1"/>
  <c r="AD67" i="1"/>
  <c r="Y66" i="1"/>
  <c r="AD66" i="1"/>
  <c r="Y65" i="1"/>
  <c r="AD65" i="1"/>
  <c r="Y64" i="1"/>
  <c r="AD64" i="1"/>
  <c r="Y63" i="1"/>
  <c r="AD63" i="1"/>
  <c r="Y62" i="1"/>
  <c r="AD62" i="1"/>
  <c r="Y61" i="1"/>
  <c r="AD61" i="1"/>
  <c r="Y60" i="1"/>
  <c r="AD60" i="1"/>
  <c r="Y59" i="1"/>
  <c r="AD59" i="1"/>
  <c r="Y58" i="1"/>
  <c r="AD58" i="1"/>
  <c r="Y57" i="1"/>
  <c r="AD57" i="1"/>
  <c r="Y56" i="1"/>
  <c r="AD56" i="1"/>
  <c r="Y55" i="1"/>
  <c r="AD55" i="1"/>
  <c r="Y54" i="1"/>
  <c r="AD54" i="1"/>
  <c r="Y53" i="1"/>
  <c r="AD53" i="1"/>
  <c r="Y52" i="1"/>
  <c r="AD52" i="1"/>
  <c r="Y51" i="1"/>
  <c r="AD51" i="1"/>
  <c r="Y50" i="1"/>
  <c r="AD50" i="1"/>
  <c r="Y49" i="1"/>
  <c r="AD49" i="1"/>
  <c r="Y48" i="1"/>
  <c r="AD48" i="1"/>
  <c r="Y47" i="1"/>
  <c r="AD47" i="1"/>
  <c r="Y46" i="1"/>
  <c r="AD46" i="1"/>
  <c r="Y45" i="1"/>
  <c r="AD45" i="1"/>
  <c r="Y44" i="1"/>
  <c r="AD44" i="1"/>
  <c r="Y43" i="1"/>
  <c r="AD43" i="1"/>
  <c r="Y42" i="1"/>
  <c r="AD42" i="1"/>
  <c r="Y41" i="1"/>
  <c r="AD41" i="1"/>
  <c r="Y40" i="1"/>
  <c r="AD40" i="1"/>
  <c r="Y39" i="1"/>
  <c r="AD39" i="1"/>
  <c r="Y38" i="1"/>
  <c r="AD38" i="1"/>
  <c r="Y37" i="1"/>
  <c r="AD37" i="1"/>
  <c r="Y36" i="1"/>
  <c r="AD36" i="1"/>
  <c r="Y35" i="1"/>
  <c r="AD35" i="1"/>
  <c r="Y34" i="1"/>
  <c r="AD34" i="1"/>
  <c r="Y33" i="1"/>
  <c r="AD33" i="1"/>
  <c r="Y32" i="1"/>
  <c r="AD32" i="1"/>
  <c r="Y31" i="1"/>
  <c r="AD31" i="1"/>
  <c r="Y30" i="1"/>
  <c r="AD30" i="1"/>
  <c r="Y29" i="1"/>
  <c r="AD29" i="1"/>
  <c r="Y28" i="1"/>
  <c r="AD28" i="1"/>
  <c r="Y27" i="1"/>
  <c r="AD27" i="1"/>
  <c r="Y26" i="1"/>
  <c r="AD26" i="1"/>
  <c r="Y25" i="1"/>
  <c r="AD25" i="1"/>
  <c r="Y24" i="1"/>
  <c r="AD24" i="1"/>
  <c r="Y23" i="1"/>
  <c r="AD23" i="1"/>
  <c r="Y22" i="1"/>
  <c r="AD22" i="1"/>
  <c r="Y21" i="1"/>
  <c r="AD21" i="1"/>
  <c r="Y20" i="1"/>
  <c r="AD20" i="1"/>
  <c r="Y19" i="1"/>
  <c r="AD19" i="1"/>
  <c r="Y18" i="1"/>
  <c r="AD18" i="1"/>
  <c r="Y17" i="1"/>
  <c r="AD17" i="1"/>
  <c r="Y16" i="1"/>
  <c r="AD16" i="1"/>
  <c r="Y15" i="1"/>
  <c r="AD15" i="1"/>
  <c r="Y14" i="1"/>
  <c r="AD14" i="1"/>
  <c r="Y13" i="1"/>
  <c r="AD13" i="1"/>
  <c r="Y12" i="1"/>
  <c r="AD12" i="1"/>
  <c r="Y11" i="1"/>
  <c r="AD11" i="1"/>
  <c r="Y10" i="1"/>
  <c r="AD10" i="1"/>
  <c r="Y9" i="1"/>
  <c r="AD9" i="1"/>
  <c r="Y8" i="1"/>
  <c r="AD8" i="1"/>
  <c r="Y7" i="1"/>
  <c r="AD7" i="1"/>
  <c r="Y6" i="1"/>
  <c r="AD6" i="1"/>
  <c r="Y5" i="1"/>
  <c r="AD5" i="1"/>
  <c r="Y4" i="1"/>
  <c r="AD4" i="1"/>
  <c r="Y3" i="1"/>
  <c r="AD3" i="1"/>
  <c r="G6" i="1"/>
  <c r="G5" i="1"/>
  <c r="H24" i="1"/>
  <c r="B8" i="43" s="1"/>
  <c r="H10" i="1"/>
  <c r="C17" i="43" l="1"/>
  <c r="F9" i="1"/>
  <c r="F8" i="1" s="1"/>
  <c r="B17" i="43" s="1"/>
  <c r="F11" i="1"/>
  <c r="F12" i="1" s="1"/>
  <c r="B19" i="43" s="1"/>
  <c r="Y2" i="1"/>
  <c r="F10" i="1" l="1"/>
  <c r="H12" i="1" s="1"/>
  <c r="C12" i="1"/>
  <c r="C6" i="1"/>
  <c r="C10" i="1"/>
  <c r="C8" i="1"/>
  <c r="H6" i="1"/>
  <c r="B27" i="43" s="1"/>
  <c r="B15" i="43" l="1"/>
  <c r="C9" i="1"/>
  <c r="C7" i="1"/>
  <c r="C11" i="1"/>
  <c r="C15" i="43" l="1"/>
  <c r="C21" i="43" s="1"/>
  <c r="B5" i="43"/>
  <c r="B9" i="43" s="1"/>
  <c r="C5" i="43" l="1"/>
  <c r="C9" i="4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REF_L_28419_2010y_03m_29d_15h_32mn_46s_scaled_combined" type="6" refreshedVersion="6" background="1" saveData="1">
    <textPr codePage="437" sourceFile="C:\Stuff\Data\LiqRef\2017\Eugenia\ElasticPaper\REFL_103062_VKx_thruSi_pH4.6_reduced_data.txt" space="1" consecutive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<sst xmlns="http://schemas.openxmlformats.org/spreadsheetml/2006/main" count="1206" uniqueCount="705">
  <si>
    <t>R</t>
  </si>
  <si>
    <t>Neutron scattering lengths and cross sections</t>
  </si>
  <si>
    <t>Isotope</t>
  </si>
  <si>
    <t>conc</t>
  </si>
  <si>
    <t>Coh b</t>
  </si>
  <si>
    <t>Inc b</t>
  </si>
  <si>
    <t>Coh xs</t>
  </si>
  <si>
    <t>Inc xs</t>
  </si>
  <si>
    <t>Scatt xs</t>
  </si>
  <si>
    <t>Abs xs</t>
  </si>
  <si>
    <t>Dens (g/cm3)</t>
  </si>
  <si>
    <t>Dens (at/nm3)</t>
  </si>
  <si>
    <t>H</t>
  </si>
  <si>
    <t>---</t>
  </si>
  <si>
    <t>1H</t>
  </si>
  <si>
    <t>2H</t>
  </si>
  <si>
    <t>3H</t>
  </si>
  <si>
    <t>(12.32 a)</t>
  </si>
  <si>
    <t>He</t>
  </si>
  <si>
    <t>3He</t>
  </si>
  <si>
    <t>-2.5+2.568i</t>
  </si>
  <si>
    <t>4He</t>
  </si>
  <si>
    <t>Li</t>
  </si>
  <si>
    <t>6Li</t>
  </si>
  <si>
    <t>7Li</t>
  </si>
  <si>
    <t>Be</t>
  </si>
  <si>
    <t>B</t>
  </si>
  <si>
    <t>10B</t>
  </si>
  <si>
    <t>-4.7+1.231i</t>
  </si>
  <si>
    <t>11B</t>
  </si>
  <si>
    <t>C</t>
  </si>
  <si>
    <t>12C</t>
  </si>
  <si>
    <t>13C</t>
  </si>
  <si>
    <t>N</t>
  </si>
  <si>
    <t>14N</t>
  </si>
  <si>
    <t>15N</t>
  </si>
  <si>
    <t>O</t>
  </si>
  <si>
    <t>16O</t>
  </si>
  <si>
    <t>17O</t>
  </si>
  <si>
    <t>18O</t>
  </si>
  <si>
    <t>F</t>
  </si>
  <si>
    <t>Ne</t>
  </si>
  <si>
    <t>20Ne</t>
  </si>
  <si>
    <t>21Ne</t>
  </si>
  <si>
    <t>(+/-)0.6</t>
  </si>
  <si>
    <t>22Ne</t>
  </si>
  <si>
    <t>Na</t>
  </si>
  <si>
    <t>Mg</t>
  </si>
  <si>
    <t>24Mg</t>
  </si>
  <si>
    <t>25Mg</t>
  </si>
  <si>
    <t>26Mg</t>
  </si>
  <si>
    <t>Al</t>
  </si>
  <si>
    <t>Si</t>
  </si>
  <si>
    <t>28Si</t>
  </si>
  <si>
    <t>29Si</t>
  </si>
  <si>
    <t>30Si</t>
  </si>
  <si>
    <t>P</t>
  </si>
  <si>
    <t>S</t>
  </si>
  <si>
    <t>32S</t>
  </si>
  <si>
    <t>33S</t>
  </si>
  <si>
    <t>34S</t>
  </si>
  <si>
    <t>36S</t>
  </si>
  <si>
    <t>Cl</t>
  </si>
  <si>
    <t>35Cl</t>
  </si>
  <si>
    <t>37Cl</t>
  </si>
  <si>
    <t>Ar</t>
  </si>
  <si>
    <t>36Ar</t>
  </si>
  <si>
    <t>38Ar</t>
  </si>
  <si>
    <t>1.5(3.1)</t>
  </si>
  <si>
    <t>40Ar</t>
  </si>
  <si>
    <t>K</t>
  </si>
  <si>
    <t>39K</t>
  </si>
  <si>
    <t>40K</t>
  </si>
  <si>
    <t>41K</t>
  </si>
  <si>
    <t>Ca</t>
  </si>
  <si>
    <t>40Ca</t>
  </si>
  <si>
    <t>42Ca</t>
  </si>
  <si>
    <t>43Ca</t>
  </si>
  <si>
    <t>44Ca</t>
  </si>
  <si>
    <t>46Ca</t>
  </si>
  <si>
    <t>48Ca</t>
  </si>
  <si>
    <t>Sc</t>
  </si>
  <si>
    <t>Ti</t>
  </si>
  <si>
    <t>46Ti</t>
  </si>
  <si>
    <t>47Ti</t>
  </si>
  <si>
    <t>48Ti</t>
  </si>
  <si>
    <t>49Ti</t>
  </si>
  <si>
    <t>50Ti</t>
  </si>
  <si>
    <t>V</t>
  </si>
  <si>
    <t>50V</t>
  </si>
  <si>
    <t>7.3(1.1)</t>
  </si>
  <si>
    <t>7.8(1.0)</t>
  </si>
  <si>
    <t>51V</t>
  </si>
  <si>
    <t>Cr</t>
  </si>
  <si>
    <t>50Cr</t>
  </si>
  <si>
    <t>52Cr</t>
  </si>
  <si>
    <t>53Cr</t>
  </si>
  <si>
    <t>54Cr</t>
  </si>
  <si>
    <t>Mn</t>
  </si>
  <si>
    <t>Fe</t>
  </si>
  <si>
    <t>54Fe</t>
  </si>
  <si>
    <t>56Fe</t>
  </si>
  <si>
    <t>57Fe</t>
  </si>
  <si>
    <t>58Fe</t>
  </si>
  <si>
    <t>28.(26.)</t>
  </si>
  <si>
    <t>Co</t>
  </si>
  <si>
    <t>Ni</t>
  </si>
  <si>
    <t>58Ni</t>
  </si>
  <si>
    <t>60Ni</t>
  </si>
  <si>
    <t>61Ni</t>
  </si>
  <si>
    <t>(+/-)3.9</t>
  </si>
  <si>
    <t>62Ni</t>
  </si>
  <si>
    <t>64Ni</t>
  </si>
  <si>
    <t>Cu</t>
  </si>
  <si>
    <t>63Cu</t>
  </si>
  <si>
    <t>65Cu</t>
  </si>
  <si>
    <t>Zn</t>
  </si>
  <si>
    <t>64Zn</t>
  </si>
  <si>
    <t>66Zn</t>
  </si>
  <si>
    <t>67Zn</t>
  </si>
  <si>
    <t>68Zn</t>
  </si>
  <si>
    <t>70Zn</t>
  </si>
  <si>
    <t>4.5(1.5)</t>
  </si>
  <si>
    <t>Ga</t>
  </si>
  <si>
    <t>69Ga</t>
  </si>
  <si>
    <t>71Ga</t>
  </si>
  <si>
    <t>Ge</t>
  </si>
  <si>
    <t>70Ge</t>
  </si>
  <si>
    <t>72Ge</t>
  </si>
  <si>
    <t>73Ge</t>
  </si>
  <si>
    <t>74Ge</t>
  </si>
  <si>
    <t>76Ge</t>
  </si>
  <si>
    <t>8.(3.)</t>
  </si>
  <si>
    <t>As</t>
  </si>
  <si>
    <t>Se</t>
  </si>
  <si>
    <t>74Se</t>
  </si>
  <si>
    <t>76Se</t>
  </si>
  <si>
    <t>77Se</t>
  </si>
  <si>
    <t>(+/-)0.6(1.6)</t>
  </si>
  <si>
    <t>78Se</t>
  </si>
  <si>
    <t>80Se</t>
  </si>
  <si>
    <t>82Se</t>
  </si>
  <si>
    <t>Br</t>
  </si>
  <si>
    <t>79Br</t>
  </si>
  <si>
    <t>81Br</t>
  </si>
  <si>
    <t>Kr</t>
  </si>
  <si>
    <t>78Kr</t>
  </si>
  <si>
    <t>80Kr</t>
  </si>
  <si>
    <t>82Kr</t>
  </si>
  <si>
    <t>83Kr</t>
  </si>
  <si>
    <t>84Kr</t>
  </si>
  <si>
    <t>86Kr</t>
  </si>
  <si>
    <t>Rb</t>
  </si>
  <si>
    <t>85Rb</t>
  </si>
  <si>
    <t>87Rb</t>
  </si>
  <si>
    <t>Sr</t>
  </si>
  <si>
    <t>84Sr</t>
  </si>
  <si>
    <t>6.(2.)</t>
  </si>
  <si>
    <t>86Sr</t>
  </si>
  <si>
    <t>87Sr</t>
  </si>
  <si>
    <t>88Sr</t>
  </si>
  <si>
    <t>Y</t>
  </si>
  <si>
    <t>Zr</t>
  </si>
  <si>
    <t>90Zr</t>
  </si>
  <si>
    <t>91Zr</t>
  </si>
  <si>
    <t>92Zr</t>
  </si>
  <si>
    <t>94Zr</t>
  </si>
  <si>
    <t>96Zr</t>
  </si>
  <si>
    <t>Nb</t>
  </si>
  <si>
    <t>Mo</t>
  </si>
  <si>
    <t>92Mo</t>
  </si>
  <si>
    <t>94Mo</t>
  </si>
  <si>
    <t>95Mo</t>
  </si>
  <si>
    <t>96Mo</t>
  </si>
  <si>
    <t>97Mo</t>
  </si>
  <si>
    <t>98Mo</t>
  </si>
  <si>
    <t>100Mo</t>
  </si>
  <si>
    <t>Tc</t>
  </si>
  <si>
    <t>(2.3E5 a)</t>
  </si>
  <si>
    <t>Ru</t>
  </si>
  <si>
    <t>96Ru</t>
  </si>
  <si>
    <t>98Ru</t>
  </si>
  <si>
    <t>&lt;8.</t>
  </si>
  <si>
    <t>99Ru</t>
  </si>
  <si>
    <t>100Ru</t>
  </si>
  <si>
    <t>101Ru</t>
  </si>
  <si>
    <t>102Ru</t>
  </si>
  <si>
    <t>104Ru</t>
  </si>
  <si>
    <t>Rh</t>
  </si>
  <si>
    <t>Pd</t>
  </si>
  <si>
    <t>102Pd</t>
  </si>
  <si>
    <t>7.5(1.4)</t>
  </si>
  <si>
    <t>104Pd</t>
  </si>
  <si>
    <t>105Pd</t>
  </si>
  <si>
    <t>-2.6(1.6)</t>
  </si>
  <si>
    <t>4.6(1.1)</t>
  </si>
  <si>
    <t>106Pd</t>
  </si>
  <si>
    <t>108Pd</t>
  </si>
  <si>
    <t>110Pd</t>
  </si>
  <si>
    <t>Ag</t>
  </si>
  <si>
    <t>107Ag</t>
  </si>
  <si>
    <t>109Ag</t>
  </si>
  <si>
    <t>Cd</t>
  </si>
  <si>
    <t>106Cd</t>
  </si>
  <si>
    <t>3.1(2.5)</t>
  </si>
  <si>
    <t>108Cd</t>
  </si>
  <si>
    <t>110Cd</t>
  </si>
  <si>
    <t>111Cd</t>
  </si>
  <si>
    <t>112Cd</t>
  </si>
  <si>
    <t>113Cd</t>
  </si>
  <si>
    <t>114Cd</t>
  </si>
  <si>
    <t>116Cd</t>
  </si>
  <si>
    <t>In</t>
  </si>
  <si>
    <t>113In</t>
  </si>
  <si>
    <t>(+/-)0.017</t>
  </si>
  <si>
    <t>115In</t>
  </si>
  <si>
    <t>Sn</t>
  </si>
  <si>
    <t>112Sn</t>
  </si>
  <si>
    <t>114Sn</t>
  </si>
  <si>
    <t>115Sn</t>
  </si>
  <si>
    <t>4.8(1.5)</t>
  </si>
  <si>
    <t>116Sn</t>
  </si>
  <si>
    <t>117Sn</t>
  </si>
  <si>
    <t>118Sn</t>
  </si>
  <si>
    <t>119Sn</t>
  </si>
  <si>
    <t>120Sn</t>
  </si>
  <si>
    <t>122Sn</t>
  </si>
  <si>
    <t>124Sn</t>
  </si>
  <si>
    <t>Sb</t>
  </si>
  <si>
    <t>121Sb</t>
  </si>
  <si>
    <t>123Sb</t>
  </si>
  <si>
    <t>Te</t>
  </si>
  <si>
    <t>120Te</t>
  </si>
  <si>
    <t>122Te</t>
  </si>
  <si>
    <t>123Te</t>
  </si>
  <si>
    <t>124Te</t>
  </si>
  <si>
    <t>125Te</t>
  </si>
  <si>
    <t>126Te</t>
  </si>
  <si>
    <t>128Te</t>
  </si>
  <si>
    <t>130Te</t>
  </si>
  <si>
    <t>I</t>
  </si>
  <si>
    <t>Xe</t>
  </si>
  <si>
    <t>124Xe</t>
  </si>
  <si>
    <t>126Xe</t>
  </si>
  <si>
    <t>128Xe</t>
  </si>
  <si>
    <t>&lt;8</t>
  </si>
  <si>
    <t>129Xe</t>
  </si>
  <si>
    <t>130Xe</t>
  </si>
  <si>
    <t>&lt;26.</t>
  </si>
  <si>
    <t>131Xe</t>
  </si>
  <si>
    <t>132Xe</t>
  </si>
  <si>
    <t>134Xe</t>
  </si>
  <si>
    <t>136Xe</t>
  </si>
  <si>
    <t>Cs</t>
  </si>
  <si>
    <t>Ba</t>
  </si>
  <si>
    <t>130Ba</t>
  </si>
  <si>
    <t>132Ba</t>
  </si>
  <si>
    <t>134Ba</t>
  </si>
  <si>
    <t>135Ba</t>
  </si>
  <si>
    <t>136Ba</t>
  </si>
  <si>
    <t>137Ba</t>
  </si>
  <si>
    <t>138Ba</t>
  </si>
  <si>
    <t>La</t>
  </si>
  <si>
    <t>138La</t>
  </si>
  <si>
    <t>8.(4.)</t>
  </si>
  <si>
    <t>8.5(4.0)</t>
  </si>
  <si>
    <t>139La</t>
  </si>
  <si>
    <t>Ce</t>
  </si>
  <si>
    <t>136Ce</t>
  </si>
  <si>
    <t>138Ce</t>
  </si>
  <si>
    <t>140Ce</t>
  </si>
  <si>
    <t>142Ce</t>
  </si>
  <si>
    <t>Pr</t>
  </si>
  <si>
    <t>Nd</t>
  </si>
  <si>
    <t>142Nd</t>
  </si>
  <si>
    <t>143Nd</t>
  </si>
  <si>
    <t>(+/-)21.(1.)</t>
  </si>
  <si>
    <t>25.(7.)</t>
  </si>
  <si>
    <t>80.(2.)</t>
  </si>
  <si>
    <t>144Nd</t>
  </si>
  <si>
    <t>145Nd</t>
  </si>
  <si>
    <t>30.(9.)</t>
  </si>
  <si>
    <t>146Nd</t>
  </si>
  <si>
    <t>148Nd</t>
  </si>
  <si>
    <t>150Nd</t>
  </si>
  <si>
    <t>Pm</t>
  </si>
  <si>
    <t>(2.62 a)</t>
  </si>
  <si>
    <t>(+/-)3.2(2.5)</t>
  </si>
  <si>
    <t>20.0(1.3)</t>
  </si>
  <si>
    <t>21.3(1.5)</t>
  </si>
  <si>
    <t>Sm</t>
  </si>
  <si>
    <t>39.(3.)</t>
  </si>
  <si>
    <t>144Sm</t>
  </si>
  <si>
    <t>1.(3.)</t>
  </si>
  <si>
    <t>147Sm</t>
  </si>
  <si>
    <t>(+/-)11.(7.)</t>
  </si>
  <si>
    <t>25.(11.)</t>
  </si>
  <si>
    <t>39.(16.)</t>
  </si>
  <si>
    <t>148Sm</t>
  </si>
  <si>
    <t>149Sm</t>
  </si>
  <si>
    <t>(+/-)31.4-10.3i</t>
  </si>
  <si>
    <t>200.(5.)</t>
  </si>
  <si>
    <t>150Sm</t>
  </si>
  <si>
    <t>152Sm</t>
  </si>
  <si>
    <t>154Sm</t>
  </si>
  <si>
    <t>11.(2.)</t>
  </si>
  <si>
    <t>Eu</t>
  </si>
  <si>
    <t>151Eu</t>
  </si>
  <si>
    <t>(+/-)4.5-2.14i</t>
  </si>
  <si>
    <t>153Eu</t>
  </si>
  <si>
    <t>(+/-)3.2</t>
  </si>
  <si>
    <t>Gd</t>
  </si>
  <si>
    <t>180.(2.)</t>
  </si>
  <si>
    <t>152Gd</t>
  </si>
  <si>
    <t>13.(8.)</t>
  </si>
  <si>
    <t>154Gd</t>
  </si>
  <si>
    <t>155Gd</t>
  </si>
  <si>
    <t>(+/-)5.(5.)-13.16i</t>
  </si>
  <si>
    <t>66.(6.)</t>
  </si>
  <si>
    <t>156Gd</t>
  </si>
  <si>
    <t>157Gd</t>
  </si>
  <si>
    <t>(+/-)5.(5.)-55.8i</t>
  </si>
  <si>
    <t>650.(4.)</t>
  </si>
  <si>
    <t>1044.(8.)</t>
  </si>
  <si>
    <t>158Gd</t>
  </si>
  <si>
    <t>10.(5.)</t>
  </si>
  <si>
    <t>160Gd</t>
  </si>
  <si>
    <t>Tb</t>
  </si>
  <si>
    <t>Dy</t>
  </si>
  <si>
    <t>156Dy</t>
  </si>
  <si>
    <t>158Dy</t>
  </si>
  <si>
    <t>5.(6.)</t>
  </si>
  <si>
    <t>160Dy</t>
  </si>
  <si>
    <t>161Dy</t>
  </si>
  <si>
    <t>(+/-)4.9</t>
  </si>
  <si>
    <t>16.(1.)</t>
  </si>
  <si>
    <t>162Dy</t>
  </si>
  <si>
    <t>163Dy</t>
  </si>
  <si>
    <t>164Dy</t>
  </si>
  <si>
    <t>307.(3.)</t>
  </si>
  <si>
    <t>Ho</t>
  </si>
  <si>
    <t>Er</t>
  </si>
  <si>
    <t>162Er</t>
  </si>
  <si>
    <t>164Er</t>
  </si>
  <si>
    <t>166Er</t>
  </si>
  <si>
    <t>167Er</t>
  </si>
  <si>
    <t>168Er</t>
  </si>
  <si>
    <t>170Er</t>
  </si>
  <si>
    <t>11.6(1.2)</t>
  </si>
  <si>
    <t>Tm</t>
  </si>
  <si>
    <t>Yb</t>
  </si>
  <si>
    <t>168Yb</t>
  </si>
  <si>
    <t>170Yb</t>
  </si>
  <si>
    <t>171Yb</t>
  </si>
  <si>
    <t>172Yb</t>
  </si>
  <si>
    <t>173Yb</t>
  </si>
  <si>
    <t>174Yb</t>
  </si>
  <si>
    <t>176Yb</t>
  </si>
  <si>
    <t>Lu</t>
  </si>
  <si>
    <t>175Lu</t>
  </si>
  <si>
    <t>(+/-)2.2</t>
  </si>
  <si>
    <t>176Lu</t>
  </si>
  <si>
    <t>(+/-)3.0+0.61i</t>
  </si>
  <si>
    <t>Hf</t>
  </si>
  <si>
    <t>174Hf</t>
  </si>
  <si>
    <t>15.(3.)</t>
  </si>
  <si>
    <t>176Hf</t>
  </si>
  <si>
    <t>177Hf</t>
  </si>
  <si>
    <t>(+/-)0.9(1.3)</t>
  </si>
  <si>
    <t>178Hf</t>
  </si>
  <si>
    <t>179Hf</t>
  </si>
  <si>
    <t>(+/-)1.06</t>
  </si>
  <si>
    <t>180Hf</t>
  </si>
  <si>
    <t>21.9(1.0)</t>
  </si>
  <si>
    <t>Ta</t>
  </si>
  <si>
    <t>180Ta</t>
  </si>
  <si>
    <t>7.(4.)</t>
  </si>
  <si>
    <t>181Ta</t>
  </si>
  <si>
    <t>W</t>
  </si>
  <si>
    <t>180W</t>
  </si>
  <si>
    <t>3.(4.)</t>
  </si>
  <si>
    <t>182W</t>
  </si>
  <si>
    <t>183W</t>
  </si>
  <si>
    <t>184W</t>
  </si>
  <si>
    <t>186W</t>
  </si>
  <si>
    <t>Re</t>
  </si>
  <si>
    <t>185Re</t>
  </si>
  <si>
    <t>(+/-)2.0</t>
  </si>
  <si>
    <t>187Re</t>
  </si>
  <si>
    <t>(+/-)2.8</t>
  </si>
  <si>
    <t>Os</t>
  </si>
  <si>
    <t>184Os</t>
  </si>
  <si>
    <t>10.(2.)</t>
  </si>
  <si>
    <t>13.(5.)</t>
  </si>
  <si>
    <t>186Os</t>
  </si>
  <si>
    <t>17.(5.)</t>
  </si>
  <si>
    <t>187Os</t>
  </si>
  <si>
    <t>188Os</t>
  </si>
  <si>
    <t>189Os</t>
  </si>
  <si>
    <t>190Os</t>
  </si>
  <si>
    <t>192Os</t>
  </si>
  <si>
    <t>16.6(1.2)</t>
  </si>
  <si>
    <t>Ir</t>
  </si>
  <si>
    <t>191Ir</t>
  </si>
  <si>
    <t>193Ir</t>
  </si>
  <si>
    <t>Pt</t>
  </si>
  <si>
    <t>190Pt</t>
  </si>
  <si>
    <t>192Pt</t>
  </si>
  <si>
    <t>12.3(1.2)</t>
  </si>
  <si>
    <t>194Pt</t>
  </si>
  <si>
    <t>195Pt</t>
  </si>
  <si>
    <t>196Pt</t>
  </si>
  <si>
    <t>198Pt</t>
  </si>
  <si>
    <t>Au</t>
  </si>
  <si>
    <t>Hg</t>
  </si>
  <si>
    <t>196Hg</t>
  </si>
  <si>
    <t>115.(8.)</t>
  </si>
  <si>
    <t>198Hg</t>
  </si>
  <si>
    <t>199Hg</t>
  </si>
  <si>
    <t>(+/-)15.5</t>
  </si>
  <si>
    <t>36.(2.)</t>
  </si>
  <si>
    <t>66.(2.)</t>
  </si>
  <si>
    <t>200Hg</t>
  </si>
  <si>
    <t>&lt;60.</t>
  </si>
  <si>
    <t>201Hg</t>
  </si>
  <si>
    <t>202Hg</t>
  </si>
  <si>
    <t>204Hg</t>
  </si>
  <si>
    <t>Tl</t>
  </si>
  <si>
    <t>203Tl</t>
  </si>
  <si>
    <t>205Tl</t>
  </si>
  <si>
    <t>Pb</t>
  </si>
  <si>
    <t>204Pb</t>
  </si>
  <si>
    <t>206Pb</t>
  </si>
  <si>
    <t>207Pb</t>
  </si>
  <si>
    <t>208Pb</t>
  </si>
  <si>
    <t>Bi</t>
  </si>
  <si>
    <t>Po</t>
  </si>
  <si>
    <t>At</t>
  </si>
  <si>
    <t>Rn</t>
  </si>
  <si>
    <t>Fr</t>
  </si>
  <si>
    <t>Ra</t>
  </si>
  <si>
    <t>(1.60E3 a)</t>
  </si>
  <si>
    <t>13.(3.)</t>
  </si>
  <si>
    <t>Ac</t>
  </si>
  <si>
    <t>Th</t>
  </si>
  <si>
    <t>Pa</t>
  </si>
  <si>
    <t>(3.28E4 a)</t>
  </si>
  <si>
    <t>10.5(3.2)</t>
  </si>
  <si>
    <t>U</t>
  </si>
  <si>
    <t>233U</t>
  </si>
  <si>
    <t>(1.59E5 a)</t>
  </si>
  <si>
    <t>(+/-)1.(3.)</t>
  </si>
  <si>
    <t>234U</t>
  </si>
  <si>
    <t>235U</t>
  </si>
  <si>
    <t>(+/-)1.3</t>
  </si>
  <si>
    <t>238U</t>
  </si>
  <si>
    <t>Np</t>
  </si>
  <si>
    <t>(2.14E6 a)</t>
  </si>
  <si>
    <t>Pu</t>
  </si>
  <si>
    <t>238Pu</t>
  </si>
  <si>
    <t>(87.74 a)</t>
  </si>
  <si>
    <t>25.0(1.8)</t>
  </si>
  <si>
    <t>239Pu</t>
  </si>
  <si>
    <t>(2.41E4 a)</t>
  </si>
  <si>
    <t>(+/-)1.3(1.9)</t>
  </si>
  <si>
    <t>240Pu</t>
  </si>
  <si>
    <t>(6.56E3 a)</t>
  </si>
  <si>
    <t>242Pu</t>
  </si>
  <si>
    <t>(3.76E5 a)</t>
  </si>
  <si>
    <t>Am</t>
  </si>
  <si>
    <t>(7.37E3 a)</t>
  </si>
  <si>
    <t>(+/-)2.(7.)</t>
  </si>
  <si>
    <t>9.0(2.6)</t>
  </si>
  <si>
    <t>Cm</t>
  </si>
  <si>
    <t>244Cm</t>
  </si>
  <si>
    <t>(18.10 a)</t>
  </si>
  <si>
    <t>246Cm</t>
  </si>
  <si>
    <t>(4.7E3 a)</t>
  </si>
  <si>
    <t>248Cm</t>
  </si>
  <si>
    <t>(3.5E5 a)</t>
  </si>
  <si>
    <t>M (amu)</t>
  </si>
  <si>
    <t>Compound</t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</si>
  <si>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abs</t>
    </r>
    <r>
      <rPr>
        <b/>
        <sz val="10"/>
        <rFont val="Times New Roman"/>
        <family val="1"/>
      </rPr>
      <t>/</t>
    </r>
    <r>
      <rPr>
        <b/>
        <i/>
        <sz val="10"/>
        <rFont val="Symbol"/>
        <family val="1"/>
        <charset val="2"/>
      </rPr>
      <t>l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-2</t>
    </r>
    <r>
      <rPr>
        <b/>
        <sz val="10"/>
        <rFont val="Times New Roman"/>
        <family val="1"/>
      </rPr>
      <t>)</t>
    </r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</si>
  <si>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inc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-1</t>
    </r>
    <r>
      <rPr>
        <b/>
        <sz val="10"/>
        <rFont val="Times New Roman"/>
        <family val="1"/>
      </rPr>
      <t>)</t>
    </r>
  </si>
  <si>
    <t>Stoichiometry</t>
  </si>
  <si>
    <r>
      <t>N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-3</t>
    </r>
    <r>
      <rPr>
        <sz val="12"/>
        <rFont val="Times New Roman"/>
        <family val="1"/>
      </rPr>
      <t>]</t>
    </r>
  </si>
  <si>
    <r>
      <t>Nb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</si>
  <si>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abs</t>
    </r>
    <r>
      <rPr>
        <sz val="12"/>
        <rFont val="Times New Roman"/>
        <family val="1"/>
      </rPr>
      <t>/</t>
    </r>
    <r>
      <rPr>
        <i/>
        <sz val="12"/>
        <rFont val="Symbol"/>
        <family val="1"/>
        <charset val="2"/>
      </rPr>
      <t>l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</si>
  <si>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inc</t>
    </r>
    <r>
      <rPr>
        <vertAlign val="subscript"/>
        <sz val="12"/>
        <rFont val="Times New Roman"/>
        <family val="1"/>
      </rPr>
      <t xml:space="preserve"> 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-1</t>
    </r>
    <r>
      <rPr>
        <sz val="12"/>
        <rFont val="Times New Roman"/>
        <family val="1"/>
      </rPr>
      <t>]</t>
    </r>
  </si>
  <si>
    <t>Tiles</t>
  </si>
  <si>
    <t>Profile</t>
  </si>
  <si>
    <t>Model Parameters</t>
  </si>
  <si>
    <r>
      <t>Nb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</si>
  <si>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abs</t>
    </r>
    <r>
      <rPr>
        <b/>
        <sz val="12"/>
        <rFont val="Times New Roman"/>
        <family val="1"/>
      </rPr>
      <t>/</t>
    </r>
    <r>
      <rPr>
        <b/>
        <i/>
        <sz val="12"/>
        <rFont val="Symbol"/>
        <family val="1"/>
        <charset val="2"/>
      </rPr>
      <t>l</t>
    </r>
    <r>
      <rPr>
        <b/>
        <sz val="12"/>
        <rFont val="Times New Roman"/>
        <family val="1"/>
      </rPr>
      <t xml:space="preserve"> [Å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]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</si>
  <si>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inc</t>
    </r>
    <r>
      <rPr>
        <b/>
        <vertAlign val="sub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[Å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]</t>
    </r>
  </si>
  <si>
    <r>
      <t>d</t>
    </r>
    <r>
      <rPr>
        <b/>
        <sz val="12"/>
        <rFont val="Times New Roman"/>
        <family val="1"/>
      </rPr>
      <t xml:space="preserve"> (Å)</t>
    </r>
  </si>
  <si>
    <r>
      <t>s</t>
    </r>
    <r>
      <rPr>
        <b/>
        <sz val="12"/>
        <rFont val="Times New Roman"/>
        <family val="1"/>
      </rPr>
      <t xml:space="preserve"> (Å)</t>
    </r>
  </si>
  <si>
    <r>
      <t>Q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</si>
  <si>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n</t>
    </r>
    <r>
      <rPr>
        <b/>
        <vertAlign val="subscript"/>
        <sz val="12"/>
        <rFont val="Times New Roman"/>
        <family val="1"/>
      </rPr>
      <t>rough</t>
    </r>
  </si>
  <si>
    <r>
      <t>z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</si>
  <si>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i/>
        <sz val="12"/>
        <rFont val="Times New Roman"/>
        <family val="1"/>
      </rPr>
      <t>R</t>
    </r>
  </si>
  <si>
    <t>Si 1;</t>
  </si>
  <si>
    <t>SiO2</t>
  </si>
  <si>
    <t>Si 1;O 2;</t>
  </si>
  <si>
    <t>SiOx</t>
  </si>
  <si>
    <t>Model</t>
  </si>
  <si>
    <r>
      <t>R</t>
    </r>
    <r>
      <rPr>
        <b/>
        <vertAlign val="subscript"/>
        <sz val="12"/>
        <rFont val="Times New Roman"/>
        <family val="1"/>
      </rPr>
      <t>model</t>
    </r>
  </si>
  <si>
    <t>Reflectivity Data from Air</t>
  </si>
  <si>
    <t>C 8;H 7;O 3;S 1;</t>
  </si>
  <si>
    <t>PSS (1 g/cm3)</t>
  </si>
  <si>
    <t>Si [x]</t>
  </si>
  <si>
    <t>PAH [x]</t>
  </si>
  <si>
    <t>C 3;H 8;N 1;</t>
  </si>
  <si>
    <t>PAH (1 g/cm3)</t>
  </si>
  <si>
    <t>PSS [x]</t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</si>
  <si>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0</t>
    </r>
    <r>
      <rPr>
        <b/>
        <sz val="12"/>
        <color indexed="43"/>
        <rFont val="Times New Roman"/>
        <family val="1"/>
      </rPr>
      <t xml:space="preserve"> (Å</t>
    </r>
    <r>
      <rPr>
        <b/>
        <vertAlign val="superscript"/>
        <sz val="12"/>
        <color indexed="43"/>
        <rFont val="Times New Roman"/>
        <family val="1"/>
      </rPr>
      <t>-1</t>
    </r>
    <r>
      <rPr>
        <b/>
        <sz val="12"/>
        <color indexed="43"/>
        <rFont val="Times New Roman"/>
        <family val="1"/>
      </rPr>
      <t>)</t>
    </r>
  </si>
  <si>
    <r>
      <t xml:space="preserve">λ </t>
    </r>
    <r>
      <rPr>
        <b/>
        <sz val="12"/>
        <color indexed="43"/>
        <rFont val="Times New Roman"/>
        <family val="1"/>
      </rPr>
      <t>(Å)</t>
    </r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</si>
  <si>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1</t>
    </r>
    <r>
      <rPr>
        <b/>
        <sz val="12"/>
        <color indexed="43"/>
        <rFont val="Times New Roman"/>
        <family val="1"/>
      </rPr>
      <t>/</t>
    </r>
    <r>
      <rPr>
        <b/>
        <i/>
        <sz val="12"/>
        <color indexed="43"/>
        <rFont val="Times New Roman"/>
        <family val="1"/>
      </rPr>
      <t>Q</t>
    </r>
  </si>
  <si>
    <t>SiO2 [x]</t>
  </si>
  <si>
    <t>d-GFP (barrel)</t>
  </si>
  <si>
    <t>C 122;H 43;2H 145;N 33;O 36;</t>
  </si>
  <si>
    <t>GFP (barrel) [x]</t>
  </si>
  <si>
    <r>
      <rPr>
        <b/>
        <i/>
        <sz val="12"/>
        <color indexed="44"/>
        <rFont val="Times New Roman"/>
        <family val="1"/>
      </rPr>
      <t>χ</t>
    </r>
    <r>
      <rPr>
        <b/>
        <vertAlign val="superscript"/>
        <sz val="12"/>
        <color indexed="44"/>
        <rFont val="Times New Roman"/>
        <family val="1"/>
      </rPr>
      <t>2</t>
    </r>
  </si>
  <si>
    <t>Mo 1;</t>
  </si>
  <si>
    <t>Ni 1;</t>
  </si>
  <si>
    <t>Commands</t>
  </si>
  <si>
    <t>ctrl-l : Load</t>
  </si>
  <si>
    <t>ctrl-r : Calc Refl</t>
  </si>
  <si>
    <r>
      <t xml:space="preserve">ctrl-q : Toggle </t>
    </r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</si>
  <si>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</si>
  <si>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t>Vary</t>
  </si>
  <si>
    <t>Start</t>
  </si>
  <si>
    <t>Stop</t>
  </si>
  <si>
    <r>
      <t>N</t>
    </r>
    <r>
      <rPr>
        <b/>
        <vertAlign val="subscript"/>
        <sz val="12"/>
        <rFont val="Times New Roman"/>
        <family val="1"/>
      </rPr>
      <t>steps</t>
    </r>
  </si>
  <si>
    <t>ctrl-p</t>
  </si>
  <si>
    <t>p</t>
  </si>
  <si>
    <r>
      <t>χ</t>
    </r>
    <r>
      <rPr>
        <b/>
        <vertAlign val="superscript"/>
        <sz val="12"/>
        <rFont val="Times New Roman"/>
        <family val="1"/>
      </rPr>
      <t>2</t>
    </r>
  </si>
  <si>
    <r>
      <t>p</t>
    </r>
    <r>
      <rPr>
        <b/>
        <vertAlign val="subscript"/>
        <sz val="12"/>
        <rFont val="Times New Roman"/>
        <family val="1"/>
      </rPr>
      <t>min</t>
    </r>
  </si>
  <si>
    <r>
      <t>δp</t>
    </r>
    <r>
      <rPr>
        <b/>
        <vertAlign val="subscript"/>
        <sz val="12"/>
        <rFont val="Times New Roman"/>
        <family val="1"/>
      </rPr>
      <t>min</t>
    </r>
  </si>
  <si>
    <t>PGMA</t>
  </si>
  <si>
    <t>dPMAA</t>
  </si>
  <si>
    <t>C 4;2H 6;O 2;</t>
  </si>
  <si>
    <t>PMAA</t>
  </si>
  <si>
    <t>PVPON</t>
  </si>
  <si>
    <t>C 6;H 9;N 1;O 1;</t>
  </si>
  <si>
    <t>C 4;H 6;O 2;</t>
  </si>
  <si>
    <t>G7</t>
  </si>
  <si>
    <t>#</t>
  </si>
  <si>
    <t>Experiment</t>
  </si>
  <si>
    <t>IPTS-9336</t>
  </si>
  <si>
    <t>Run</t>
  </si>
  <si>
    <t>title:</t>
  </si>
  <si>
    <t>UAB_0813_VK2x_ph5-1.</t>
  </si>
  <si>
    <t>start</t>
  </si>
  <si>
    <t>time:</t>
  </si>
  <si>
    <t>2013-10-27T16:18:23.238337666</t>
  </si>
  <si>
    <t>Reduction</t>
  </si>
  <si>
    <t>Fri</t>
  </si>
  <si>
    <t>Sep</t>
  </si>
  <si>
    <t>Mantid</t>
  </si>
  <si>
    <t>version:</t>
  </si>
  <si>
    <t>3.10.20170921.2344</t>
  </si>
  <si>
    <t>Scaling</t>
  </si>
  <si>
    <t>factor:</t>
  </si>
  <si>
    <t>DataRun</t>
  </si>
  <si>
    <t>NormRun</t>
  </si>
  <si>
    <t>TwoTheta(deg)</t>
  </si>
  <si>
    <t>LambdaMin(A)</t>
  </si>
  <si>
    <t>LambdaMax(A)</t>
  </si>
  <si>
    <t>Qmin(1/A)</t>
  </si>
  <si>
    <t>Qmax(1/A)</t>
  </si>
  <si>
    <t>SF_A</t>
  </si>
  <si>
    <t>SF_B</t>
  </si>
  <si>
    <t>PrimaryFrac</t>
  </si>
  <si>
    <t>Date:</t>
  </si>
  <si>
    <t>22_09_2017</t>
  </si>
  <si>
    <t>method:</t>
  </si>
  <si>
    <t>manual</t>
  </si>
  <si>
    <t>engine:</t>
  </si>
  <si>
    <t>RefRed</t>
  </si>
  <si>
    <t>2theta(degrees)</t>
  </si>
  <si>
    <t>ScalingFactor</t>
  </si>
  <si>
    <t>Total</t>
  </si>
  <si>
    <t>Counts</t>
  </si>
  <si>
    <t>pcCharge(mC)</t>
  </si>
  <si>
    <t>Clocking</t>
  </si>
  <si>
    <t>Correction</t>
  </si>
  <si>
    <t>used</t>
  </si>
  <si>
    <t>clock1:</t>
  </si>
  <si>
    <t>clock2:</t>
  </si>
  <si>
    <t>dQ0[1/Angstroms]=</t>
  </si>
  <si>
    <t>dQ1/Q=</t>
  </si>
  <si>
    <t>Q[1/Angstroms]</t>
  </si>
  <si>
    <t>delta_R</t>
  </si>
  <si>
    <t>Precision</t>
  </si>
  <si>
    <t>dQ0[1/Angstrom]</t>
  </si>
  <si>
    <t>=</t>
  </si>
  <si>
    <t>dQ/Q</t>
  </si>
  <si>
    <t>Q[1/Angstrom]</t>
  </si>
  <si>
    <t>G13</t>
  </si>
  <si>
    <t>Dry Crosslinked Model</t>
  </si>
  <si>
    <r>
      <t>Q</t>
    </r>
    <r>
      <rPr>
        <b/>
        <sz val="12"/>
        <rFont val="Times New Roman"/>
        <family val="1"/>
      </rPr>
      <t xml:space="preserve"> (nm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</si>
  <si>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z</t>
    </r>
    <r>
      <rPr>
        <b/>
        <sz val="12"/>
        <rFont val="Times New Roman"/>
        <family val="1"/>
      </rPr>
      <t xml:space="preserve"> (nm)</t>
    </r>
  </si>
  <si>
    <r>
      <t>Nb</t>
    </r>
    <r>
      <rPr>
        <b/>
        <sz val="12"/>
        <rFont val="Times New Roman"/>
        <family val="1"/>
      </rPr>
      <t xml:space="preserve"> (nm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</si>
  <si>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t>δp</t>
  </si>
  <si>
    <t>Quantity</t>
  </si>
  <si>
    <r>
      <t>σ</t>
    </r>
    <r>
      <rPr>
        <b/>
        <vertAlign val="subscript"/>
        <sz val="12"/>
        <rFont val="Times New Roman"/>
        <family val="1"/>
      </rPr>
      <t>ML</t>
    </r>
    <r>
      <rPr>
        <b/>
        <vertAlign val="superscript"/>
        <sz val="12"/>
        <rFont val="Times New Roman"/>
        <family val="1"/>
      </rPr>
      <t>rms</t>
    </r>
    <r>
      <rPr>
        <b/>
        <sz val="12"/>
        <rFont val="Times New Roman"/>
        <family val="1"/>
      </rPr>
      <t xml:space="preserve"> (Å)</t>
    </r>
  </si>
  <si>
    <t>F4</t>
  </si>
  <si>
    <r>
      <t>Σ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</si>
  <si>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abs</t>
    </r>
    <r>
      <rPr>
        <b/>
        <sz val="12"/>
        <rFont val="Times New Roman"/>
        <family val="1"/>
      </rPr>
      <t>/</t>
    </r>
    <r>
      <rPr>
        <b/>
        <i/>
        <sz val="12"/>
        <rFont val="Symbol"/>
        <family val="1"/>
        <charset val="2"/>
      </rPr>
      <t>l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</si>
  <si>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inc</t>
    </r>
    <r>
      <rPr>
        <b/>
        <vertAlign val="subscript"/>
        <sz val="12"/>
        <rFont val="Times New Roman"/>
        <family val="1"/>
      </rPr>
      <t xml:space="preserve"> (</t>
    </r>
    <r>
      <rPr>
        <b/>
        <sz val="12"/>
        <rFont val="Times New Roman"/>
        <family val="1"/>
      </rPr>
      <t>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</si>
  <si>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t>PMAAx-buffer</t>
  </si>
  <si>
    <t>dPMAAx-buffer</t>
  </si>
  <si>
    <t>buffer (H2O)</t>
  </si>
  <si>
    <t>Air</t>
  </si>
  <si>
    <t>PMAAx</t>
  </si>
  <si>
    <t>dPMAAx</t>
  </si>
  <si>
    <t>Hydrogen-Bonded Model Parameters</t>
  </si>
  <si>
    <t>PVPON/PMAA (top)</t>
  </si>
  <si>
    <t>PVPON/PMAA</t>
  </si>
  <si>
    <t>PVPON/PMAA (bottom)</t>
  </si>
  <si>
    <r>
      <t>SiO</t>
    </r>
    <r>
      <rPr>
        <i/>
        <vertAlign val="subscript"/>
        <sz val="12"/>
        <rFont val="Times New Roman"/>
        <family val="1"/>
      </rPr>
      <t>x</t>
    </r>
  </si>
  <si>
    <t>H14</t>
  </si>
  <si>
    <t>H18</t>
  </si>
  <si>
    <t>Incoherent Sum</t>
  </si>
  <si>
    <t>ctrl-s</t>
  </si>
  <si>
    <r>
      <t>R</t>
    </r>
    <r>
      <rPr>
        <b/>
        <sz val="12"/>
        <rFont val="Times New Roman"/>
        <family val="1"/>
      </rPr>
      <t xml:space="preserve">(1 – </t>
    </r>
    <r>
      <rPr>
        <b/>
        <i/>
        <sz val="12"/>
        <rFont val="Times New Roman"/>
        <family val="1"/>
      </rPr>
      <t>δd/d</t>
    </r>
    <r>
      <rPr>
        <b/>
        <sz val="12"/>
        <rFont val="Times New Roman"/>
        <family val="1"/>
      </rPr>
      <t>)</t>
    </r>
  </si>
  <si>
    <r>
      <t>R</t>
    </r>
    <r>
      <rPr>
        <b/>
        <sz val="12"/>
        <rFont val="Times New Roman"/>
        <family val="1"/>
      </rPr>
      <t xml:space="preserve">(1 </t>
    </r>
    <r>
      <rPr>
        <b/>
        <sz val="12"/>
        <rFont val="Times New Roman"/>
        <family val="1"/>
      </rPr>
      <t>)</t>
    </r>
  </si>
  <si>
    <r>
      <t>R</t>
    </r>
    <r>
      <rPr>
        <b/>
        <sz val="12"/>
        <rFont val="Times New Roman"/>
        <family val="1"/>
      </rPr>
      <t xml:space="preserve">(1 + </t>
    </r>
    <r>
      <rPr>
        <b/>
        <i/>
        <sz val="12"/>
        <rFont val="Times New Roman"/>
        <family val="1"/>
      </rPr>
      <t>δd/d</t>
    </r>
    <r>
      <rPr>
        <b/>
        <sz val="12"/>
        <rFont val="Times New Roman"/>
        <family val="1"/>
      </rPr>
      <t>)</t>
    </r>
  </si>
  <si>
    <t>Sum</t>
  </si>
  <si>
    <t>δd/d</t>
  </si>
  <si>
    <t>Smear Factor</t>
  </si>
  <si>
    <t>ctrl-i</t>
  </si>
  <si>
    <t>H26</t>
  </si>
  <si>
    <r>
      <t>d</t>
    </r>
    <r>
      <rPr>
        <b/>
        <vertAlign val="subscript"/>
        <sz val="12"/>
        <rFont val="Times New Roman"/>
        <family val="1"/>
      </rPr>
      <t>SiOx</t>
    </r>
    <r>
      <rPr>
        <b/>
        <vertAlign val="superscript"/>
        <sz val="12"/>
        <rFont val="Times New Roman"/>
        <family val="1"/>
      </rPr>
      <t>6.15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</si>
  <si>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SiOx</t>
    </r>
    <r>
      <rPr>
        <b/>
        <vertAlign val="superscript"/>
        <sz val="12"/>
        <rFont val="Times New Roman"/>
        <family val="1"/>
      </rPr>
      <t>6.4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</si>
  <si>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SiOx</t>
    </r>
    <r>
      <rPr>
        <b/>
        <vertAlign val="superscript"/>
        <sz val="12"/>
        <rFont val="Times New Roman"/>
        <family val="1"/>
      </rPr>
      <t>7.0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</si>
  <si>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SiOx</t>
    </r>
    <r>
      <rPr>
        <b/>
        <vertAlign val="superscript"/>
        <sz val="12"/>
        <rFont val="Times New Roman"/>
        <family val="1"/>
      </rPr>
      <t>avg</t>
    </r>
    <r>
      <rPr>
        <b/>
        <sz val="12"/>
        <rFont val="Times New Roman"/>
        <family val="1"/>
      </rPr>
      <t xml:space="preserve"> (Å)</t>
    </r>
  </si>
  <si>
    <t>Average Swell Ratio</t>
  </si>
  <si>
    <t>SI units</t>
  </si>
  <si>
    <r>
      <t>Σ</t>
    </r>
    <r>
      <rPr>
        <b/>
        <vertAlign val="subscript"/>
        <sz val="12"/>
        <rFont val="Times New Roman"/>
        <family val="1"/>
      </rPr>
      <t>SiOx</t>
    </r>
    <r>
      <rPr>
        <b/>
        <vertAlign val="superscript"/>
        <sz val="12"/>
        <rFont val="Times New Roman"/>
        <family val="1"/>
      </rPr>
      <t>6.15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</si>
  <si>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SiOx</t>
    </r>
    <r>
      <rPr>
        <b/>
        <vertAlign val="superscript"/>
        <sz val="12"/>
        <rFont val="Times New Roman"/>
        <family val="1"/>
      </rPr>
      <t>6.4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</si>
  <si>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SiOx</t>
    </r>
    <r>
      <rPr>
        <b/>
        <vertAlign val="superscript"/>
        <sz val="12"/>
        <rFont val="Times New Roman"/>
        <family val="1"/>
      </rPr>
      <t>7.0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</si>
  <si>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SiOx</t>
    </r>
    <r>
      <rPr>
        <b/>
        <vertAlign val="superscript"/>
        <sz val="12"/>
        <rFont val="Times New Roman"/>
        <family val="1"/>
      </rPr>
      <t>avg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</si>
  <si>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t>Total Swell Ratio</t>
  </si>
  <si>
    <r>
      <t>f</t>
    </r>
    <r>
      <rPr>
        <b/>
        <vertAlign val="subscript"/>
        <sz val="12"/>
        <rFont val="Times New Roman"/>
        <family val="1"/>
      </rPr>
      <t>avg</t>
    </r>
    <r>
      <rPr>
        <b/>
        <vertAlign val="superscript"/>
        <sz val="12"/>
        <rFont val="Times New Roman"/>
        <family val="1"/>
      </rPr>
      <t>buf</t>
    </r>
  </si>
  <si>
    <r>
      <t>Σ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</si>
  <si>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i/>
        <sz val="12"/>
        <rFont val="Times New Roman"/>
        <family val="1"/>
      </rPr>
      <t>)</t>
    </r>
  </si>
  <si>
    <r>
      <t>f</t>
    </r>
    <r>
      <rPr>
        <b/>
        <vertAlign val="subscript"/>
        <sz val="12"/>
        <rFont val="Times New Roman"/>
        <family val="1"/>
      </rPr>
      <t>PMAA</t>
    </r>
    <r>
      <rPr>
        <b/>
        <vertAlign val="superscript"/>
        <sz val="12"/>
        <rFont val="Times New Roman"/>
        <family val="1"/>
      </rPr>
      <t>HB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HB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(Å)</t>
    </r>
  </si>
  <si>
    <r>
      <rPr>
        <b/>
        <sz val="12"/>
        <rFont val="Times New Roman"/>
        <family val="1"/>
      </rPr>
      <t>5×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</si>
  <si>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total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(Å)</t>
    </r>
  </si>
  <si>
    <r>
      <t>f</t>
    </r>
    <r>
      <rPr>
        <b/>
        <vertAlign val="subscript"/>
        <sz val="12"/>
        <rFont val="Times New Roman"/>
        <family val="1"/>
      </rPr>
      <t>PMAA</t>
    </r>
    <r>
      <rPr>
        <b/>
        <vertAlign val="superscript"/>
        <sz val="12"/>
        <rFont val="Times New Roman"/>
        <family val="1"/>
      </rPr>
      <t>HB</t>
    </r>
  </si>
  <si>
    <r>
      <t>ρ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x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 xml:space="preserve">) </t>
    </r>
  </si>
  <si>
    <r>
      <t>M</t>
    </r>
    <r>
      <rPr>
        <b/>
        <vertAlign val="subscript"/>
        <sz val="12"/>
        <rFont val="Times New Roman"/>
        <family val="1"/>
      </rPr>
      <t>p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</si>
  <si>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</si>
  <si>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pp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</si>
  <si>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dd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</si>
  <si>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pd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</si>
  <si>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 xml:space="preserve">x </t>
    </r>
    <r>
      <rPr>
        <b/>
        <sz val="12"/>
        <rFont val="Times New Roman"/>
        <family val="1"/>
      </rPr>
      <t>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</si>
  <si>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p</t>
    </r>
    <r>
      <rPr>
        <b/>
        <sz val="12"/>
        <rFont val="Times New Roman"/>
        <family val="1"/>
      </rPr>
      <t xml:space="preserve"> 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</si>
  <si>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 xml:space="preserve">d </t>
    </r>
    <r>
      <rPr>
        <b/>
        <sz val="12"/>
        <rFont val="Times New Roman"/>
        <family val="1"/>
      </rPr>
      <t>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</si>
  <si>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pp</t>
    </r>
    <r>
      <rPr>
        <b/>
        <sz val="12"/>
        <rFont val="Times New Roman"/>
        <family val="1"/>
      </rPr>
      <t xml:space="preserve"> 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</si>
  <si>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dd</t>
    </r>
    <r>
      <rPr>
        <b/>
        <sz val="12"/>
        <rFont val="Times New Roman"/>
        <family val="1"/>
      </rPr>
      <t xml:space="preserve"> 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</si>
  <si>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pd</t>
    </r>
    <r>
      <rPr>
        <b/>
        <sz val="12"/>
        <rFont val="Times New Roman"/>
        <family val="1"/>
      </rPr>
      <t xml:space="preserve"> 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</si>
  <si>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 xml:space="preserve">x </t>
    </r>
    <r>
      <rPr>
        <b/>
        <sz val="12"/>
        <rFont val="Times New Roman"/>
        <family val="1"/>
      </rPr>
      <t>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</si>
  <si>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P</t>
    </r>
    <r>
      <rPr>
        <b/>
        <vertAlign val="subscript"/>
        <sz val="12"/>
        <rFont val="Times New Roman"/>
        <family val="1"/>
      </rPr>
      <t>dd</t>
    </r>
  </si>
  <si>
    <r>
      <t>P</t>
    </r>
    <r>
      <rPr>
        <b/>
        <vertAlign val="subscript"/>
        <sz val="12"/>
        <rFont val="Times New Roman"/>
        <family val="1"/>
      </rPr>
      <t>dp</t>
    </r>
  </si>
  <si>
    <r>
      <t>P</t>
    </r>
    <r>
      <rPr>
        <b/>
        <vertAlign val="subscript"/>
        <sz val="12"/>
        <rFont val="Times New Roman"/>
        <family val="1"/>
      </rPr>
      <t>pd</t>
    </r>
  </si>
  <si>
    <r>
      <t>P</t>
    </r>
    <r>
      <rPr>
        <b/>
        <vertAlign val="subscript"/>
        <sz val="12"/>
        <rFont val="Times New Roman"/>
        <family val="1"/>
      </rPr>
      <t>pp</t>
    </r>
  </si>
  <si>
    <r>
      <t>S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 xml:space="preserve">x </t>
    </r>
    <r>
      <rPr>
        <b/>
        <sz val="12"/>
        <rFont val="Times New Roman"/>
        <family val="1"/>
      </rPr>
      <t>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</si>
  <si>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</si>
  <si>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f</t>
    </r>
    <r>
      <rPr>
        <b/>
        <vertAlign val="subscript"/>
        <sz val="12"/>
        <rFont val="Times New Roman"/>
        <family val="1"/>
      </rPr>
      <t>cross</t>
    </r>
  </si>
  <si>
    <r>
      <t>f</t>
    </r>
    <r>
      <rPr>
        <b/>
        <vertAlign val="subscript"/>
        <sz val="12"/>
        <rFont val="Times New Roman"/>
        <family val="1"/>
      </rPr>
      <t>d</t>
    </r>
    <r>
      <rPr>
        <b/>
        <i/>
        <vertAlign val="superscript"/>
        <sz val="12"/>
        <rFont val="Times New Roman"/>
        <family val="1"/>
      </rPr>
      <t>x</t>
    </r>
  </si>
  <si>
    <r>
      <t>Σ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</si>
  <si>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i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</si>
  <si>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5×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</si>
  <si>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total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(Å)</t>
    </r>
  </si>
  <si>
    <r>
      <t>ρ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HB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 xml:space="preserve">) </t>
    </r>
  </si>
  <si>
    <r>
      <t>M</t>
    </r>
    <r>
      <rPr>
        <b/>
        <vertAlign val="subscript"/>
        <sz val="12"/>
        <rFont val="Times New Roman"/>
        <family val="1"/>
      </rPr>
      <t>PVPON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</si>
  <si>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HB</t>
    </r>
  </si>
  <si>
    <r>
      <t>S</t>
    </r>
    <r>
      <rPr>
        <b/>
        <vertAlign val="subscript"/>
        <sz val="12"/>
        <rFont val="Times New Roman"/>
        <family val="1"/>
      </rPr>
      <t>PVPON</t>
    </r>
    <r>
      <rPr>
        <b/>
        <sz val="12"/>
        <rFont val="Times New Roman"/>
        <family val="1"/>
      </rPr>
      <t xml:space="preserve"> 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</si>
  <si>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</si>
  <si>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</si>
  <si>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(1-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marker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>)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× 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marker</t>
    </r>
    <r>
      <rPr>
        <b/>
        <vertAlign val="superscript"/>
        <sz val="12"/>
        <rFont val="Times New Roman"/>
        <family val="1"/>
      </rPr>
      <t>x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(Å)</t>
    </r>
  </si>
  <si>
    <r>
      <rPr>
        <b/>
        <sz val="12"/>
        <rFont val="Times New Roman"/>
        <family val="1"/>
      </rPr>
      <t>(1–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avg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>)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×5×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</si>
  <si>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total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(Å)</t>
    </r>
  </si>
  <si>
    <r>
      <t>Swell Ratio: (1-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poor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>)</t>
    </r>
    <r>
      <rPr>
        <b/>
        <vertAlign val="superscript"/>
        <sz val="12"/>
        <rFont val="Times New Roman"/>
        <family val="1"/>
      </rPr>
      <t>-1</t>
    </r>
  </si>
  <si>
    <r>
      <t>f</t>
    </r>
    <r>
      <rPr>
        <b/>
        <vertAlign val="subscript"/>
        <sz val="12"/>
        <rFont val="Times New Roman"/>
        <family val="1"/>
      </rPr>
      <t>poor</t>
    </r>
    <r>
      <rPr>
        <b/>
        <vertAlign val="superscript"/>
        <sz val="12"/>
        <rFont val="Times New Roman"/>
        <family val="1"/>
      </rPr>
      <t>buf</t>
    </r>
  </si>
  <si>
    <r>
      <t>Swell Ratio: (1-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avg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>)</t>
    </r>
    <r>
      <rPr>
        <b/>
        <vertAlign val="superscript"/>
        <sz val="12"/>
        <rFont val="Times New Roman"/>
        <family val="1"/>
      </rPr>
      <t>-1</t>
    </r>
  </si>
  <si>
    <t>Poor Swell Ratio</t>
  </si>
  <si>
    <r>
      <t>f</t>
    </r>
    <r>
      <rPr>
        <b/>
        <vertAlign val="subscript"/>
        <sz val="12"/>
        <rFont val="Times New Roman"/>
        <family val="1"/>
      </rPr>
      <t>total</t>
    </r>
    <r>
      <rPr>
        <b/>
        <vertAlign val="superscript"/>
        <sz val="12"/>
        <rFont val="Times New Roman"/>
        <family val="1"/>
      </rPr>
      <t>buf</t>
    </r>
  </si>
  <si>
    <r>
      <t>d</t>
    </r>
    <r>
      <rPr>
        <b/>
        <vertAlign val="subscript"/>
        <sz val="12"/>
        <rFont val="Times New Roman"/>
        <family val="1"/>
      </rPr>
      <t>marker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</si>
  <si>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marker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(Å)</t>
    </r>
  </si>
  <si>
    <r>
      <rPr>
        <b/>
        <sz val="12"/>
        <rFont val="Times New Roman"/>
        <family val="1"/>
      </rPr>
      <t>(1-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avg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>)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×5×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- 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marker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</si>
  <si>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top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</si>
  <si>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top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</si>
  <si>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bottom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</si>
  <si>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bottom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</si>
  <si>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bscript"/>
        <sz val="12"/>
        <rFont val="Times New Roman"/>
        <family val="1"/>
      </rPr>
      <t>H2O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</si>
  <si>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</si>
  <si>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f</t>
    </r>
    <r>
      <rPr>
        <b/>
        <vertAlign val="subscript"/>
        <sz val="12"/>
        <rFont val="Times New Roman"/>
        <family val="1"/>
      </rPr>
      <t>PMAA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HB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(Å)</t>
    </r>
  </si>
  <si>
    <r>
      <t>f</t>
    </r>
    <r>
      <rPr>
        <b/>
        <vertAlign val="subscript"/>
        <sz val="12"/>
        <rFont val="Times New Roman"/>
        <family val="1"/>
      </rPr>
      <t>PMAA</t>
    </r>
  </si>
  <si>
    <r>
      <t>Swell Ratio: (1-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rich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>)</t>
    </r>
    <r>
      <rPr>
        <b/>
        <vertAlign val="superscript"/>
        <sz val="12"/>
        <rFont val="Times New Roman"/>
        <family val="1"/>
      </rPr>
      <t>-1</t>
    </r>
  </si>
  <si>
    <r>
      <t>f</t>
    </r>
    <r>
      <rPr>
        <b/>
        <vertAlign val="subscript"/>
        <sz val="12"/>
        <rFont val="Times New Roman"/>
        <family val="1"/>
      </rPr>
      <t>rich</t>
    </r>
    <r>
      <rPr>
        <b/>
        <vertAlign val="superscript"/>
        <sz val="12"/>
        <rFont val="Times New Roman"/>
        <family val="1"/>
      </rPr>
      <t>buf</t>
    </r>
  </si>
  <si>
    <t>Rich Swell 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</si>
</sst>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E+00"/>
    <numFmt numFmtId="166" formatCode="0.0"/>
    <numFmt numFmtId="167" formatCode="0.0000"/>
    <numFmt numFmtId="168" formatCode="0.0000E+00"/>
  </numFmts>
  <fonts count="55" x14ac:knownFonts="1"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0"/>
      <color indexed="10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vertAlign val="superscript"/>
      <sz val="10"/>
      <name val="Times New Roman"/>
      <family val="1"/>
    </font>
    <font>
      <b/>
      <i/>
      <sz val="10"/>
      <name val="Symbol"/>
      <family val="1"/>
      <charset val="2"/>
    </font>
    <font>
      <b/>
      <i/>
      <vertAlign val="subscript"/>
      <sz val="10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i/>
      <sz val="12"/>
      <name val="Times New Roman"/>
      <family val="1"/>
    </font>
    <font>
      <vertAlign val="superscript"/>
      <sz val="12"/>
      <name val="Times New Roman"/>
      <family val="1"/>
    </font>
    <font>
      <i/>
      <sz val="12"/>
      <name val="Symbol"/>
      <family val="1"/>
      <charset val="2"/>
    </font>
    <font>
      <i/>
      <vertAlign val="subscript"/>
      <sz val="12"/>
      <name val="Times New Roman"/>
      <family val="1"/>
    </font>
    <font>
      <vertAlign val="subscript"/>
      <sz val="12"/>
      <name val="Times New Roman"/>
      <family val="1"/>
    </font>
    <font>
      <b/>
      <sz val="12"/>
      <name val="Times New Roman"/>
      <family val="1"/>
    </font>
    <font>
      <b/>
      <i/>
      <sz val="12"/>
      <name val="Times New Roman"/>
      <family val="1"/>
    </font>
    <font>
      <b/>
      <vertAlign val="superscript"/>
      <sz val="12"/>
      <name val="Times New Roman"/>
      <family val="1"/>
    </font>
    <font>
      <b/>
      <i/>
      <sz val="12"/>
      <name val="Symbol"/>
      <family val="1"/>
      <charset val="2"/>
    </font>
    <font>
      <b/>
      <i/>
      <vertAlign val="subscript"/>
      <sz val="12"/>
      <name val="Times New Roman"/>
      <family val="1"/>
    </font>
    <font>
      <b/>
      <vertAlign val="subscript"/>
      <sz val="12"/>
      <name val="Times New Roman"/>
      <family val="1"/>
    </font>
    <font>
      <sz val="12"/>
      <name val="Symbol"/>
      <family val="1"/>
      <charset val="2"/>
    </font>
    <font>
      <sz val="12"/>
      <name val="Times New Roman"/>
      <family val="1"/>
    </font>
    <font>
      <sz val="9"/>
      <name val="Arial"/>
      <family val="2"/>
    </font>
    <font>
      <sz val="9"/>
      <name val="Verdana"/>
      <family val="2"/>
    </font>
    <font>
      <sz val="10"/>
      <name val="Mistral"/>
      <family val="4"/>
    </font>
    <font>
      <sz val="8"/>
      <name val="Times New Roman"/>
      <family val="1"/>
    </font>
    <font>
      <b/>
      <sz val="12"/>
      <color indexed="44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i/>
      <sz val="12"/>
      <color indexed="43"/>
      <name val="Symbol"/>
      <family val="1"/>
      <charset val="2"/>
    </font>
    <font>
      <b/>
      <i/>
      <sz val="12"/>
      <color indexed="43"/>
      <name val="Times New Roman"/>
      <family val="1"/>
    </font>
    <font>
      <b/>
      <sz val="12"/>
      <color indexed="43"/>
      <name val="Times New Roman"/>
      <family val="1"/>
    </font>
    <font>
      <b/>
      <vertAlign val="subscript"/>
      <sz val="12"/>
      <color indexed="43"/>
      <name val="Times New Roman"/>
      <family val="1"/>
    </font>
    <font>
      <b/>
      <vertAlign val="superscript"/>
      <sz val="12"/>
      <color indexed="43"/>
      <name val="Times New Roman"/>
      <family val="1"/>
    </font>
    <font>
      <b/>
      <i/>
      <sz val="12"/>
      <color indexed="44"/>
      <name val="Times New Roman"/>
      <family val="1"/>
    </font>
    <font>
      <b/>
      <vertAlign val="superscript"/>
      <sz val="12"/>
      <color indexed="44"/>
      <name val="Times New Roman"/>
      <family val="1"/>
    </font>
    <font>
      <b/>
      <u/>
      <sz val="12"/>
      <color indexed="44"/>
      <name val="Times New Roman"/>
      <family val="1"/>
    </font>
    <font>
      <b/>
      <i/>
      <vertAlign val="superscript"/>
      <sz val="12"/>
      <name val="Times New Roman"/>
      <family val="1"/>
    </font>
  </fonts>
  <fills count="4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3">
    <xf numFmtId="2" fontId="0" fillId="0" borderId="0"/>
    <xf numFmtId="0" fontId="29" fillId="2" borderId="0" applyNumberFormat="0" applyBorder="0" applyAlignment="0" applyProtection="0"/>
    <xf numFmtId="0" fontId="29" fillId="3" borderId="0" applyNumberFormat="0" applyBorder="0" applyAlignment="0" applyProtection="0"/>
    <xf numFmtId="0" fontId="29" fillId="4" borderId="0" applyNumberFormat="0" applyBorder="0" applyAlignment="0" applyProtection="0"/>
    <xf numFmtId="0" fontId="29" fillId="5" borderId="0" applyNumberFormat="0" applyBorder="0" applyAlignment="0" applyProtection="0"/>
    <xf numFmtId="0" fontId="29" fillId="6" borderId="0" applyNumberFormat="0" applyBorder="0" applyAlignment="0" applyProtection="0"/>
    <xf numFmtId="0" fontId="29" fillId="7" borderId="0" applyNumberFormat="0" applyBorder="0" applyAlignment="0" applyProtection="0"/>
    <xf numFmtId="0" fontId="29" fillId="8" borderId="0" applyNumberFormat="0" applyBorder="0" applyAlignment="0" applyProtection="0"/>
    <xf numFmtId="0" fontId="29" fillId="9" borderId="0" applyNumberFormat="0" applyBorder="0" applyAlignment="0" applyProtection="0"/>
    <xf numFmtId="0" fontId="29" fillId="10" borderId="0" applyNumberFormat="0" applyBorder="0" applyAlignment="0" applyProtection="0"/>
    <xf numFmtId="0" fontId="29" fillId="5" borderId="0" applyNumberFormat="0" applyBorder="0" applyAlignment="0" applyProtection="0"/>
    <xf numFmtId="0" fontId="29" fillId="8" borderId="0" applyNumberFormat="0" applyBorder="0" applyAlignment="0" applyProtection="0"/>
    <xf numFmtId="0" fontId="29" fillId="11" borderId="0" applyNumberFormat="0" applyBorder="0" applyAlignment="0" applyProtection="0"/>
    <xf numFmtId="0" fontId="30" fillId="12" borderId="0" applyNumberFormat="0" applyBorder="0" applyAlignment="0" applyProtection="0"/>
    <xf numFmtId="0" fontId="30" fillId="9" borderId="0" applyNumberFormat="0" applyBorder="0" applyAlignment="0" applyProtection="0"/>
    <xf numFmtId="0" fontId="30" fillId="10" borderId="0" applyNumberFormat="0" applyBorder="0" applyAlignment="0" applyProtection="0"/>
    <xf numFmtId="0" fontId="30" fillId="13" borderId="0" applyNumberFormat="0" applyBorder="0" applyAlignment="0" applyProtection="0"/>
    <xf numFmtId="0" fontId="30" fillId="14" borderId="0" applyNumberFormat="0" applyBorder="0" applyAlignment="0" applyProtection="0"/>
    <xf numFmtId="0" fontId="30" fillId="15" borderId="0" applyNumberFormat="0" applyBorder="0" applyAlignment="0" applyProtection="0"/>
    <xf numFmtId="0" fontId="30" fillId="16" borderId="0" applyNumberFormat="0" applyBorder="0" applyAlignment="0" applyProtection="0"/>
    <xf numFmtId="0" fontId="30" fillId="17" borderId="0" applyNumberFormat="0" applyBorder="0" applyAlignment="0" applyProtection="0"/>
    <xf numFmtId="0" fontId="30" fillId="18" borderId="0" applyNumberFormat="0" applyBorder="0" applyAlignment="0" applyProtection="0"/>
    <xf numFmtId="0" fontId="30" fillId="13" borderId="0" applyNumberFormat="0" applyBorder="0" applyAlignment="0" applyProtection="0"/>
    <xf numFmtId="0" fontId="30" fillId="14" borderId="0" applyNumberFormat="0" applyBorder="0" applyAlignment="0" applyProtection="0"/>
    <xf numFmtId="0" fontId="30" fillId="19" borderId="0" applyNumberFormat="0" applyBorder="0" applyAlignment="0" applyProtection="0"/>
    <xf numFmtId="0" fontId="31" fillId="3" borderId="0" applyNumberFormat="0" applyBorder="0" applyAlignment="0" applyProtection="0"/>
    <xf numFmtId="0" fontId="32" fillId="20" borderId="1" applyNumberFormat="0" applyAlignment="0" applyProtection="0"/>
    <xf numFmtId="0" fontId="33" fillId="21" borderId="2" applyNumberFormat="0" applyAlignment="0" applyProtection="0"/>
    <xf numFmtId="0" fontId="34" fillId="0" borderId="0" applyNumberFormat="0" applyFill="0" applyBorder="0" applyAlignment="0" applyProtection="0"/>
    <xf numFmtId="0" fontId="35" fillId="4" borderId="0" applyNumberFormat="0" applyBorder="0" applyAlignment="0" applyProtection="0"/>
    <xf numFmtId="0" fontId="36" fillId="0" borderId="3" applyNumberFormat="0" applyFill="0" applyAlignment="0" applyProtection="0"/>
    <xf numFmtId="0" fontId="37" fillId="0" borderId="4" applyNumberFormat="0" applyFill="0" applyAlignment="0" applyProtection="0"/>
    <xf numFmtId="0" fontId="38" fillId="0" borderId="5" applyNumberFormat="0" applyFill="0" applyAlignment="0" applyProtection="0"/>
    <xf numFmtId="0" fontId="38" fillId="0" borderId="0" applyNumberFormat="0" applyFill="0" applyBorder="0" applyAlignment="0" applyProtection="0"/>
    <xf numFmtId="0" fontId="39" fillId="7" borderId="1" applyNumberFormat="0" applyAlignment="0" applyProtection="0"/>
    <xf numFmtId="0" fontId="40" fillId="0" borderId="6" applyNumberFormat="0" applyFill="0" applyAlignment="0" applyProtection="0"/>
    <xf numFmtId="0" fontId="41" fillId="22" borderId="0" applyNumberFormat="0" applyBorder="0" applyAlignment="0" applyProtection="0"/>
    <xf numFmtId="0" fontId="1" fillId="0" borderId="0"/>
    <xf numFmtId="0" fontId="10" fillId="23" borderId="7" applyNumberFormat="0" applyFont="0" applyAlignment="0" applyProtection="0"/>
    <xf numFmtId="0" fontId="42" fillId="20" borderId="8" applyNumberFormat="0" applyAlignment="0" applyProtection="0"/>
    <xf numFmtId="0" fontId="43" fillId="0" borderId="0" applyNumberFormat="0" applyFill="0" applyBorder="0" applyAlignment="0" applyProtection="0"/>
    <xf numFmtId="0" fontId="44" fillId="0" borderId="9" applyNumberFormat="0" applyFill="0" applyAlignment="0" applyProtection="0"/>
    <xf numFmtId="0" fontId="45" fillId="0" borderId="0" applyNumberFormat="0" applyFill="0" applyBorder="0" applyAlignment="0" applyProtection="0"/>
  </cellStyleXfs>
  <cellXfs count="203">
    <xf numFmtId="2" fontId="0" fillId="0" borderId="0" xfId="0"/>
    <xf numFmtId="11" fontId="0" fillId="0" borderId="0" xfId="0" applyNumberFormat="1"/>
    <xf numFmtId="0" fontId="1" fillId="0" borderId="0" xfId="37"/>
    <xf numFmtId="0" fontId="3" fillId="0" borderId="0" xfId="37" applyFont="1" applyAlignment="1">
      <alignment horizontal="center" wrapText="1"/>
    </xf>
    <xf numFmtId="0" fontId="1" fillId="0" borderId="0" xfId="37" applyFont="1"/>
    <xf numFmtId="0" fontId="4" fillId="0" borderId="0" xfId="37" applyFont="1" applyAlignment="1">
      <alignment horizontal="center" wrapText="1"/>
    </xf>
    <xf numFmtId="0" fontId="5" fillId="0" borderId="0" xfId="37" applyFont="1" applyAlignment="1">
      <alignment wrapText="1"/>
    </xf>
    <xf numFmtId="0" fontId="2" fillId="0" borderId="0" xfId="37" applyFont="1" applyAlignment="1">
      <alignment wrapText="1"/>
    </xf>
    <xf numFmtId="11" fontId="2" fillId="0" borderId="0" xfId="37" applyNumberFormat="1" applyFont="1"/>
    <xf numFmtId="11" fontId="9" fillId="0" borderId="0" xfId="37" applyNumberFormat="1" applyFont="1"/>
    <xf numFmtId="11" fontId="7" fillId="0" borderId="0" xfId="37" applyNumberFormat="1" applyFont="1"/>
    <xf numFmtId="2" fontId="2" fillId="0" borderId="0" xfId="37" applyNumberFormat="1" applyFont="1"/>
    <xf numFmtId="2" fontId="4" fillId="0" borderId="0" xfId="37" applyNumberFormat="1" applyFont="1" applyAlignment="1">
      <alignment horizontal="center" wrapText="1"/>
    </xf>
    <xf numFmtId="2" fontId="5" fillId="0" borderId="0" xfId="37" applyNumberFormat="1" applyFont="1"/>
    <xf numFmtId="2" fontId="5" fillId="0" borderId="0" xfId="37" applyNumberFormat="1" applyFont="1" applyAlignment="1">
      <alignment wrapText="1"/>
    </xf>
    <xf numFmtId="2" fontId="10" fillId="0" borderId="0" xfId="0" applyFont="1"/>
    <xf numFmtId="2" fontId="0" fillId="0" borderId="0" xfId="0" applyAlignment="1">
      <alignment vertical="center"/>
    </xf>
    <xf numFmtId="2" fontId="23" fillId="0" borderId="0" xfId="0" applyFont="1" applyAlignment="1">
      <alignment horizontal="right"/>
    </xf>
    <xf numFmtId="11" fontId="0" fillId="24" borderId="0" xfId="0" applyNumberFormat="1" applyFill="1"/>
    <xf numFmtId="11" fontId="0" fillId="25" borderId="0" xfId="0" applyNumberFormat="1" applyFill="1"/>
    <xf numFmtId="11" fontId="10" fillId="25" borderId="0" xfId="0" applyNumberFormat="1" applyFont="1" applyFill="1" applyAlignment="1">
      <alignment horizontal="right"/>
    </xf>
    <xf numFmtId="165" fontId="0" fillId="25" borderId="0" xfId="0" applyNumberFormat="1" applyFill="1"/>
    <xf numFmtId="2" fontId="17" fillId="24" borderId="0" xfId="0" applyFont="1" applyFill="1" applyAlignment="1">
      <alignment horizontal="center" vertical="center"/>
    </xf>
    <xf numFmtId="11" fontId="17" fillId="24" borderId="0" xfId="0" applyNumberFormat="1" applyFont="1" applyFill="1" applyAlignment="1">
      <alignment horizontal="center" vertical="center"/>
    </xf>
    <xf numFmtId="11" fontId="19" fillId="24" borderId="0" xfId="0" applyNumberFormat="1" applyFont="1" applyFill="1" applyAlignment="1">
      <alignment horizontal="center" vertical="center"/>
    </xf>
    <xf numFmtId="2" fontId="17" fillId="24" borderId="0" xfId="0" applyNumberFormat="1" applyFont="1" applyFill="1" applyAlignment="1">
      <alignment horizontal="center" vertical="center"/>
    </xf>
    <xf numFmtId="1" fontId="0" fillId="24" borderId="0" xfId="0" applyNumberFormat="1" applyFill="1"/>
    <xf numFmtId="2" fontId="0" fillId="24" borderId="0" xfId="0" applyFill="1"/>
    <xf numFmtId="2" fontId="0" fillId="24" borderId="0" xfId="0" applyNumberFormat="1" applyFill="1"/>
    <xf numFmtId="11" fontId="0" fillId="24" borderId="0" xfId="0" applyNumberFormat="1" applyFill="1" applyAlignment="1">
      <alignment horizontal="right"/>
    </xf>
    <xf numFmtId="11" fontId="23" fillId="24" borderId="0" xfId="0" applyNumberFormat="1" applyFont="1" applyFill="1" applyAlignment="1">
      <alignment horizontal="right"/>
    </xf>
    <xf numFmtId="2" fontId="23" fillId="24" borderId="0" xfId="0" applyFont="1" applyFill="1" applyAlignment="1">
      <alignment horizontal="right"/>
    </xf>
    <xf numFmtId="11" fontId="23" fillId="24" borderId="0" xfId="0" applyNumberFormat="1" applyFont="1" applyFill="1"/>
    <xf numFmtId="11" fontId="10" fillId="24" borderId="0" xfId="0" applyNumberFormat="1" applyFont="1" applyFill="1" applyAlignment="1">
      <alignment horizontal="right"/>
    </xf>
    <xf numFmtId="11" fontId="25" fillId="24" borderId="0" xfId="0" applyNumberFormat="1" applyFont="1" applyFill="1" applyAlignment="1">
      <alignment horizontal="right"/>
    </xf>
    <xf numFmtId="11" fontId="24" fillId="24" borderId="0" xfId="0" applyNumberFormat="1" applyFont="1" applyFill="1" applyAlignment="1">
      <alignment horizontal="right"/>
    </xf>
    <xf numFmtId="11" fontId="22" fillId="24" borderId="0" xfId="0" applyNumberFormat="1" applyFont="1" applyFill="1" applyAlignment="1">
      <alignment horizontal="right"/>
    </xf>
    <xf numFmtId="11" fontId="26" fillId="24" borderId="0" xfId="0" applyNumberFormat="1" applyFont="1" applyFill="1" applyAlignment="1">
      <alignment horizontal="right"/>
    </xf>
    <xf numFmtId="11" fontId="10" fillId="24" borderId="0" xfId="0" applyNumberFormat="1" applyFont="1" applyFill="1" applyAlignment="1">
      <alignment horizontal="right" vertical="center"/>
    </xf>
    <xf numFmtId="166" fontId="0" fillId="25" borderId="0" xfId="0" applyNumberFormat="1" applyFill="1"/>
    <xf numFmtId="164" fontId="0" fillId="25" borderId="0" xfId="0" applyNumberFormat="1" applyFill="1"/>
    <xf numFmtId="164" fontId="10" fillId="25" borderId="0" xfId="0" applyNumberFormat="1" applyFont="1" applyFill="1" applyAlignment="1">
      <alignment horizontal="right"/>
    </xf>
    <xf numFmtId="165" fontId="10" fillId="25" borderId="0" xfId="0" applyNumberFormat="1" applyFont="1" applyFill="1" applyAlignment="1">
      <alignment horizontal="right"/>
    </xf>
    <xf numFmtId="166" fontId="10" fillId="25" borderId="0" xfId="0" applyNumberFormat="1" applyFont="1" applyFill="1" applyAlignment="1">
      <alignment horizontal="right"/>
    </xf>
    <xf numFmtId="11" fontId="11" fillId="25" borderId="0" xfId="0" applyNumberFormat="1" applyFont="1" applyFill="1" applyAlignment="1">
      <alignment horizontal="center"/>
    </xf>
    <xf numFmtId="11" fontId="13" fillId="25" borderId="0" xfId="0" applyNumberFormat="1" applyFont="1" applyFill="1" applyAlignment="1">
      <alignment horizontal="center"/>
    </xf>
    <xf numFmtId="165" fontId="17" fillId="26" borderId="0" xfId="0" applyNumberFormat="1" applyFont="1" applyFill="1" applyAlignment="1">
      <alignment horizontal="right"/>
    </xf>
    <xf numFmtId="11" fontId="17" fillId="26" borderId="0" xfId="0" applyNumberFormat="1" applyFont="1" applyFill="1" applyAlignment="1">
      <alignment horizontal="right"/>
    </xf>
    <xf numFmtId="11" fontId="19" fillId="26" borderId="0" xfId="0" applyNumberFormat="1" applyFont="1" applyFill="1" applyAlignment="1">
      <alignment horizontal="right"/>
    </xf>
    <xf numFmtId="11" fontId="23" fillId="26" borderId="0" xfId="0" applyNumberFormat="1" applyFont="1" applyFill="1"/>
    <xf numFmtId="11" fontId="0" fillId="26" borderId="0" xfId="0" applyNumberFormat="1" applyFill="1"/>
    <xf numFmtId="164" fontId="0" fillId="26" borderId="0" xfId="0" applyNumberFormat="1" applyFill="1"/>
    <xf numFmtId="165" fontId="0" fillId="26" borderId="0" xfId="0" applyNumberFormat="1" applyFill="1"/>
    <xf numFmtId="165" fontId="0" fillId="26" borderId="0" xfId="0" applyNumberFormat="1" applyFill="1" applyAlignment="1">
      <alignment horizontal="right"/>
    </xf>
    <xf numFmtId="2" fontId="10" fillId="27" borderId="0" xfId="0" applyFont="1" applyFill="1" applyAlignment="1">
      <alignment horizontal="center"/>
    </xf>
    <xf numFmtId="165" fontId="11" fillId="27" borderId="0" xfId="0" applyNumberFormat="1" applyFont="1" applyFill="1" applyAlignment="1">
      <alignment horizontal="center"/>
    </xf>
    <xf numFmtId="2" fontId="0" fillId="27" borderId="0" xfId="0" applyFill="1"/>
    <xf numFmtId="165" fontId="0" fillId="27" borderId="0" xfId="0" applyNumberFormat="1" applyFill="1"/>
    <xf numFmtId="11" fontId="0" fillId="28" borderId="0" xfId="0" applyNumberFormat="1" applyFill="1"/>
    <xf numFmtId="2" fontId="17" fillId="28" borderId="0" xfId="0" applyNumberFormat="1" applyFont="1" applyFill="1" applyAlignment="1">
      <alignment horizontal="center" vertical="center"/>
    </xf>
    <xf numFmtId="11" fontId="17" fillId="28" borderId="0" xfId="0" applyNumberFormat="1" applyFont="1" applyFill="1" applyAlignment="1">
      <alignment horizontal="center" vertical="center"/>
    </xf>
    <xf numFmtId="2" fontId="0" fillId="28" borderId="0" xfId="0" applyNumberFormat="1" applyFill="1"/>
    <xf numFmtId="11" fontId="23" fillId="28" borderId="0" xfId="0" applyNumberFormat="1" applyFont="1" applyFill="1" applyAlignment="1">
      <alignment horizontal="right"/>
    </xf>
    <xf numFmtId="2" fontId="23" fillId="28" borderId="0" xfId="0" applyNumberFormat="1" applyFont="1" applyFill="1" applyAlignment="1">
      <alignment horizontal="right"/>
    </xf>
    <xf numFmtId="11" fontId="0" fillId="29" borderId="0" xfId="0" applyNumberFormat="1" applyFill="1"/>
    <xf numFmtId="11" fontId="10" fillId="29" borderId="0" xfId="0" applyNumberFormat="1" applyFont="1" applyFill="1" applyAlignment="1">
      <alignment horizontal="right"/>
    </xf>
    <xf numFmtId="2" fontId="23" fillId="24" borderId="0" xfId="0" applyNumberFormat="1" applyFont="1" applyFill="1" applyAlignment="1">
      <alignment horizontal="right"/>
    </xf>
    <xf numFmtId="11" fontId="23" fillId="30" borderId="0" xfId="0" applyNumberFormat="1" applyFont="1" applyFill="1" applyAlignment="1">
      <alignment horizontal="right"/>
    </xf>
    <xf numFmtId="11" fontId="16" fillId="30" borderId="0" xfId="0" applyNumberFormat="1" applyFont="1" applyFill="1" applyAlignment="1"/>
    <xf numFmtId="11" fontId="17" fillId="30" borderId="0" xfId="0" applyNumberFormat="1" applyFont="1" applyFill="1" applyAlignment="1">
      <alignment horizontal="center" vertical="center"/>
    </xf>
    <xf numFmtId="11" fontId="23" fillId="30" borderId="0" xfId="0" applyNumberFormat="1" applyFont="1" applyFill="1"/>
    <xf numFmtId="11" fontId="23" fillId="30" borderId="0" xfId="0" applyNumberFormat="1" applyFont="1" applyFill="1" applyAlignment="1">
      <alignment horizontal="right" vertical="center"/>
    </xf>
    <xf numFmtId="11" fontId="28" fillId="29" borderId="0" xfId="0" applyNumberFormat="1" applyFont="1" applyFill="1" applyAlignment="1">
      <alignment horizontal="center"/>
    </xf>
    <xf numFmtId="166" fontId="28" fillId="29" borderId="0" xfId="0" applyNumberFormat="1" applyFont="1" applyFill="1"/>
    <xf numFmtId="11" fontId="16" fillId="0" borderId="0" xfId="0" applyNumberFormat="1" applyFont="1" applyFill="1" applyAlignment="1"/>
    <xf numFmtId="11" fontId="0" fillId="0" borderId="0" xfId="0" applyNumberFormat="1" applyFill="1" applyAlignment="1">
      <alignment horizontal="right"/>
    </xf>
    <xf numFmtId="166" fontId="16" fillId="0" borderId="0" xfId="0" applyNumberFormat="1" applyFont="1" applyFill="1" applyAlignment="1"/>
    <xf numFmtId="2" fontId="16" fillId="0" borderId="0" xfId="0" applyFont="1" applyFill="1" applyAlignment="1">
      <alignment vertical="center"/>
    </xf>
    <xf numFmtId="11" fontId="10" fillId="0" borderId="0" xfId="0" applyNumberFormat="1" applyFont="1" applyFill="1"/>
    <xf numFmtId="11" fontId="10" fillId="0" borderId="0" xfId="0" applyNumberFormat="1" applyFont="1" applyFill="1" applyAlignment="1">
      <alignment horizontal="right"/>
    </xf>
    <xf numFmtId="11" fontId="0" fillId="0" borderId="0" xfId="0" applyNumberFormat="1" applyFill="1"/>
    <xf numFmtId="2" fontId="0" fillId="0" borderId="0" xfId="0" applyFill="1"/>
    <xf numFmtId="11" fontId="25" fillId="0" borderId="0" xfId="0" applyNumberFormat="1" applyFont="1" applyFill="1" applyAlignment="1">
      <alignment horizontal="right"/>
    </xf>
    <xf numFmtId="11" fontId="22" fillId="0" borderId="0" xfId="0" applyNumberFormat="1" applyFont="1" applyFill="1" applyAlignment="1">
      <alignment horizontal="right"/>
    </xf>
    <xf numFmtId="11" fontId="26" fillId="0" borderId="0" xfId="0" applyNumberFormat="1" applyFont="1" applyFill="1" applyAlignment="1">
      <alignment horizontal="right"/>
    </xf>
    <xf numFmtId="11" fontId="10" fillId="0" borderId="0" xfId="0" applyNumberFormat="1" applyFont="1" applyFill="1" applyAlignment="1">
      <alignment horizontal="right" vertical="center"/>
    </xf>
    <xf numFmtId="165" fontId="0" fillId="0" borderId="0" xfId="0" applyNumberFormat="1" applyFill="1" applyAlignment="1">
      <alignment horizontal="right"/>
    </xf>
    <xf numFmtId="164" fontId="46" fillId="29" borderId="0" xfId="0" applyNumberFormat="1" applyFont="1" applyFill="1" applyAlignment="1">
      <alignment horizontal="center"/>
    </xf>
    <xf numFmtId="2" fontId="47" fillId="29" borderId="0" xfId="0" applyNumberFormat="1" applyFont="1" applyFill="1" applyAlignment="1">
      <alignment horizontal="center"/>
    </xf>
    <xf numFmtId="2" fontId="48" fillId="29" borderId="0" xfId="0" applyNumberFormat="1" applyFont="1" applyFill="1" applyAlignment="1">
      <alignment horizontal="right"/>
    </xf>
    <xf numFmtId="167" fontId="48" fillId="29" borderId="0" xfId="0" applyNumberFormat="1" applyFont="1" applyFill="1"/>
    <xf numFmtId="9" fontId="0" fillId="0" borderId="0" xfId="0" applyNumberFormat="1"/>
    <xf numFmtId="166" fontId="53" fillId="29" borderId="0" xfId="0" applyNumberFormat="1" applyFont="1" applyFill="1" applyAlignment="1">
      <alignment horizontal="center"/>
    </xf>
    <xf numFmtId="166" fontId="28" fillId="29" borderId="0" xfId="0" applyNumberFormat="1" applyFont="1" applyFill="1" applyAlignment="1">
      <alignment horizontal="left"/>
    </xf>
    <xf numFmtId="166" fontId="28" fillId="29" borderId="0" xfId="0" applyNumberFormat="1" applyFont="1" applyFill="1" applyAlignment="1">
      <alignment horizontal="center"/>
    </xf>
    <xf numFmtId="166" fontId="28" fillId="29" borderId="0" xfId="0" applyNumberFormat="1" applyFont="1" applyFill="1" applyAlignment="1">
      <alignment horizontal="right"/>
    </xf>
    <xf numFmtId="2" fontId="17" fillId="32" borderId="0" xfId="0" applyFont="1" applyFill="1" applyAlignment="1">
      <alignment horizontal="center" vertical="center"/>
    </xf>
    <xf numFmtId="1" fontId="0" fillId="33" borderId="0" xfId="0" applyNumberFormat="1" applyFill="1"/>
    <xf numFmtId="2" fontId="17" fillId="34" borderId="0" xfId="0" applyFont="1" applyFill="1" applyAlignment="1">
      <alignment horizontal="center" vertical="center"/>
    </xf>
    <xf numFmtId="2" fontId="0" fillId="35" borderId="0" xfId="0" applyNumberFormat="1" applyFill="1"/>
    <xf numFmtId="2" fontId="0" fillId="35" borderId="0" xfId="0" applyFill="1"/>
    <xf numFmtId="164" fontId="0" fillId="35" borderId="0" xfId="0" applyNumberFormat="1" applyFill="1"/>
    <xf numFmtId="11" fontId="16" fillId="32" borderId="0" xfId="0" applyNumberFormat="1" applyFont="1" applyFill="1" applyAlignment="1">
      <alignment horizontal="center" vertical="center"/>
    </xf>
    <xf numFmtId="11" fontId="0" fillId="33" borderId="0" xfId="0" applyNumberFormat="1" applyFill="1" applyAlignment="1">
      <alignment horizontal="center" vertical="center"/>
    </xf>
    <xf numFmtId="11" fontId="17" fillId="34" borderId="0" xfId="0" applyNumberFormat="1" applyFont="1" applyFill="1" applyAlignment="1">
      <alignment horizontal="center" vertical="center"/>
    </xf>
    <xf numFmtId="11" fontId="0" fillId="35" borderId="0" xfId="0" applyNumberFormat="1" applyFill="1"/>
    <xf numFmtId="2" fontId="16" fillId="32" borderId="0" xfId="0" applyFont="1" applyFill="1" applyAlignment="1">
      <alignment horizontal="center" vertical="center"/>
    </xf>
    <xf numFmtId="165" fontId="0" fillId="37" borderId="0" xfId="0" applyNumberFormat="1" applyFill="1"/>
    <xf numFmtId="11" fontId="0" fillId="37" borderId="0" xfId="0" applyNumberFormat="1" applyFill="1"/>
    <xf numFmtId="166" fontId="0" fillId="37" borderId="0" xfId="0" applyNumberFormat="1" applyFill="1"/>
    <xf numFmtId="11" fontId="0" fillId="38" borderId="0" xfId="0" applyNumberFormat="1" applyFill="1"/>
    <xf numFmtId="165" fontId="0" fillId="39" borderId="0" xfId="0" applyNumberFormat="1" applyFill="1"/>
    <xf numFmtId="11" fontId="10" fillId="39" borderId="0" xfId="0" applyNumberFormat="1" applyFont="1" applyFill="1"/>
    <xf numFmtId="11" fontId="0" fillId="39" borderId="0" xfId="0" applyNumberFormat="1" applyFill="1"/>
    <xf numFmtId="166" fontId="10" fillId="40" borderId="0" xfId="0" applyNumberFormat="1" applyFont="1" applyFill="1"/>
    <xf numFmtId="166" fontId="0" fillId="39" borderId="0" xfId="0" applyNumberFormat="1" applyFill="1"/>
    <xf numFmtId="164" fontId="17" fillId="36" borderId="0" xfId="0" applyNumberFormat="1" applyFont="1" applyFill="1" applyAlignment="1">
      <alignment horizontal="center" vertical="center"/>
    </xf>
    <xf numFmtId="164" fontId="17" fillId="36" borderId="0" xfId="0" applyNumberFormat="1" applyFont="1" applyFill="1" applyAlignment="1">
      <alignment horizontal="center"/>
    </xf>
    <xf numFmtId="166" fontId="0" fillId="38" borderId="0" xfId="0" applyNumberFormat="1" applyFill="1"/>
    <xf numFmtId="2" fontId="10" fillId="37" borderId="0" xfId="0" applyFont="1" applyFill="1"/>
    <xf numFmtId="2" fontId="10" fillId="37" borderId="0" xfId="0" applyFont="1" applyFill="1" applyAlignment="1">
      <alignment horizontal="right"/>
    </xf>
    <xf numFmtId="166" fontId="0" fillId="33" borderId="0" xfId="0" applyNumberFormat="1" applyFill="1"/>
    <xf numFmtId="166" fontId="0" fillId="35" borderId="0" xfId="0" applyNumberFormat="1" applyFill="1"/>
    <xf numFmtId="166" fontId="0" fillId="40" borderId="0" xfId="0" applyNumberFormat="1" applyFill="1"/>
    <xf numFmtId="2" fontId="0" fillId="37" borderId="0" xfId="0" applyFill="1"/>
    <xf numFmtId="168" fontId="0" fillId="26" borderId="0" xfId="0" applyNumberFormat="1" applyFill="1"/>
    <xf numFmtId="168" fontId="10" fillId="26" borderId="0" xfId="0" applyNumberFormat="1" applyFont="1" applyFill="1"/>
    <xf numFmtId="11" fontId="10" fillId="26" borderId="0" xfId="0" applyNumberFormat="1" applyFont="1" applyFill="1"/>
    <xf numFmtId="11" fontId="0" fillId="31" borderId="0" xfId="0" applyNumberFormat="1" applyFill="1"/>
    <xf numFmtId="165" fontId="16" fillId="36" borderId="0" xfId="0" applyNumberFormat="1" applyFont="1" applyFill="1" applyAlignment="1">
      <alignment horizontal="center" vertical="center"/>
    </xf>
    <xf numFmtId="11" fontId="17" fillId="36" borderId="0" xfId="0" applyNumberFormat="1" applyFont="1" applyFill="1" applyAlignment="1">
      <alignment horizontal="center" vertical="center"/>
    </xf>
    <xf numFmtId="11" fontId="19" fillId="36" borderId="0" xfId="0" applyNumberFormat="1" applyFont="1" applyFill="1" applyAlignment="1">
      <alignment horizontal="center" vertical="center"/>
    </xf>
    <xf numFmtId="166" fontId="17" fillId="36" borderId="0" xfId="0" applyNumberFormat="1" applyFont="1" applyFill="1" applyAlignment="1">
      <alignment horizontal="center" vertical="center"/>
    </xf>
    <xf numFmtId="166" fontId="19" fillId="36" borderId="0" xfId="0" applyNumberFormat="1" applyFont="1" applyFill="1" applyAlignment="1">
      <alignment horizontal="center" vertical="center"/>
    </xf>
    <xf numFmtId="2" fontId="0" fillId="36" borderId="0" xfId="0" applyFill="1" applyAlignment="1">
      <alignment vertical="center"/>
    </xf>
    <xf numFmtId="2" fontId="16" fillId="32" borderId="0" xfId="0" applyFont="1" applyFill="1" applyAlignment="1">
      <alignment horizontal="center" vertical="center"/>
    </xf>
    <xf numFmtId="164" fontId="17" fillId="37" borderId="0" xfId="0" applyNumberFormat="1" applyFont="1" applyFill="1" applyAlignment="1">
      <alignment horizontal="center"/>
    </xf>
    <xf numFmtId="21" fontId="0" fillId="0" borderId="0" xfId="0" applyNumberFormat="1"/>
    <xf numFmtId="164" fontId="48" fillId="29" borderId="0" xfId="0" applyNumberFormat="1" applyFont="1" applyFill="1"/>
    <xf numFmtId="166" fontId="10" fillId="31" borderId="0" xfId="0" applyNumberFormat="1" applyFont="1" applyFill="1"/>
    <xf numFmtId="165" fontId="17" fillId="41" borderId="0" xfId="0" applyNumberFormat="1" applyFont="1" applyFill="1" applyAlignment="1">
      <alignment horizontal="right"/>
    </xf>
    <xf numFmtId="11" fontId="17" fillId="41" borderId="0" xfId="0" applyNumberFormat="1" applyFont="1" applyFill="1" applyAlignment="1">
      <alignment horizontal="right"/>
    </xf>
    <xf numFmtId="11" fontId="19" fillId="41" borderId="0" xfId="0" applyNumberFormat="1" applyFont="1" applyFill="1" applyAlignment="1">
      <alignment horizontal="right"/>
    </xf>
    <xf numFmtId="11" fontId="17" fillId="41" borderId="0" xfId="0" applyNumberFormat="1" applyFont="1" applyFill="1" applyAlignment="1">
      <alignment horizontal="center" vertical="center"/>
    </xf>
    <xf numFmtId="11" fontId="10" fillId="33" borderId="0" xfId="0" applyNumberFormat="1" applyFont="1" applyFill="1"/>
    <xf numFmtId="11" fontId="0" fillId="33" borderId="0" xfId="0" applyNumberFormat="1" applyFont="1" applyFill="1"/>
    <xf numFmtId="11" fontId="0" fillId="33" borderId="0" xfId="0" applyNumberFormat="1" applyFill="1"/>
    <xf numFmtId="2" fontId="17" fillId="36" borderId="0" xfId="0" applyFont="1" applyFill="1" applyAlignment="1">
      <alignment horizontal="center"/>
    </xf>
    <xf numFmtId="2" fontId="0" fillId="34" borderId="0" xfId="0" applyFill="1"/>
    <xf numFmtId="2" fontId="16" fillId="34" borderId="0" xfId="0" applyFont="1" applyFill="1" applyAlignment="1">
      <alignment horizontal="center" vertical="center"/>
    </xf>
    <xf numFmtId="2" fontId="0" fillId="42" borderId="0" xfId="0" applyFill="1"/>
    <xf numFmtId="166" fontId="0" fillId="42" borderId="0" xfId="0" applyNumberFormat="1" applyFill="1"/>
    <xf numFmtId="164" fontId="17" fillId="37" borderId="0" xfId="0" applyNumberFormat="1" applyFont="1" applyFill="1" applyAlignment="1">
      <alignment horizontal="center" vertical="center"/>
    </xf>
    <xf numFmtId="2" fontId="16" fillId="32" borderId="0" xfId="0" applyFont="1" applyFill="1" applyAlignment="1">
      <alignment horizontal="center" vertical="center"/>
    </xf>
    <xf numFmtId="165" fontId="10" fillId="31" borderId="0" xfId="0" applyNumberFormat="1" applyFont="1" applyFill="1"/>
    <xf numFmtId="165" fontId="0" fillId="31" borderId="0" xfId="0" applyNumberFormat="1" applyFill="1"/>
    <xf numFmtId="2" fontId="0" fillId="40" borderId="0" xfId="0" applyFill="1"/>
    <xf numFmtId="2" fontId="0" fillId="38" borderId="0" xfId="0" applyFill="1" applyAlignment="1">
      <alignment horizontal="right" vertical="center"/>
    </xf>
    <xf numFmtId="11" fontId="10" fillId="31" borderId="0" xfId="0" applyNumberFormat="1" applyFont="1" applyFill="1"/>
    <xf numFmtId="166" fontId="0" fillId="31" borderId="0" xfId="0" applyNumberFormat="1" applyFill="1"/>
    <xf numFmtId="166" fontId="10" fillId="39" borderId="0" xfId="0" applyNumberFormat="1" applyFont="1" applyFill="1"/>
    <xf numFmtId="2" fontId="10" fillId="31" borderId="0" xfId="0" applyFont="1" applyFill="1"/>
    <xf numFmtId="2" fontId="17" fillId="36" borderId="0" xfId="0" applyFont="1" applyFill="1" applyAlignment="1">
      <alignment horizontal="center" vertical="center"/>
    </xf>
    <xf numFmtId="164" fontId="0" fillId="40" borderId="0" xfId="0" applyNumberFormat="1" applyFill="1"/>
    <xf numFmtId="2" fontId="0" fillId="38" borderId="0" xfId="0" applyFill="1"/>
    <xf numFmtId="164" fontId="0" fillId="38" borderId="0" xfId="0" applyNumberFormat="1" applyFill="1"/>
    <xf numFmtId="2" fontId="16" fillId="36" borderId="0" xfId="0" applyFont="1" applyFill="1" applyAlignment="1">
      <alignment horizontal="center" vertical="center"/>
    </xf>
    <xf numFmtId="2" fontId="16" fillId="32" borderId="0" xfId="0" applyFont="1" applyFill="1" applyAlignment="1">
      <alignment horizontal="center" vertical="center"/>
    </xf>
    <xf numFmtId="2" fontId="0" fillId="33" borderId="0" xfId="0" applyFill="1"/>
    <xf numFmtId="2" fontId="16" fillId="32" borderId="0" xfId="0" applyFont="1" applyFill="1" applyAlignment="1">
      <alignment horizontal="center" vertical="center"/>
    </xf>
    <xf numFmtId="165" fontId="16" fillId="43" borderId="0" xfId="0" applyNumberFormat="1" applyFont="1" applyFill="1" applyAlignment="1">
      <alignment horizontal="center" vertical="center"/>
    </xf>
    <xf numFmtId="11" fontId="17" fillId="43" borderId="0" xfId="0" applyNumberFormat="1" applyFont="1" applyFill="1" applyAlignment="1">
      <alignment horizontal="center" vertical="center"/>
    </xf>
    <xf numFmtId="165" fontId="17" fillId="43" borderId="0" xfId="0" applyNumberFormat="1" applyFont="1" applyFill="1" applyAlignment="1">
      <alignment horizontal="center" vertical="center"/>
    </xf>
    <xf numFmtId="11" fontId="0" fillId="44" borderId="0" xfId="0" applyNumberFormat="1" applyFill="1"/>
    <xf numFmtId="11" fontId="10" fillId="44" borderId="0" xfId="0" applyNumberFormat="1" applyFont="1" applyFill="1"/>
    <xf numFmtId="2" fontId="0" fillId="44" borderId="0" xfId="0" applyFill="1"/>
    <xf numFmtId="11" fontId="10" fillId="44" borderId="0" xfId="0" applyNumberFormat="1" applyFont="1" applyFill="1" applyAlignment="1">
      <alignment horizontal="right"/>
    </xf>
    <xf numFmtId="11" fontId="10" fillId="44" borderId="0" xfId="0" applyNumberFormat="1" applyFont="1" applyFill="1" applyAlignment="1">
      <alignment horizontal="right" vertical="center"/>
    </xf>
    <xf numFmtId="164" fontId="0" fillId="44" borderId="0" xfId="0" applyNumberFormat="1" applyFill="1"/>
    <xf numFmtId="165" fontId="0" fillId="44" borderId="0" xfId="0" applyNumberFormat="1" applyFill="1"/>
    <xf numFmtId="164" fontId="0" fillId="40" borderId="0" xfId="0" applyNumberFormat="1" applyFill="1" applyAlignment="1">
      <alignment horizontal="right" vertical="center"/>
    </xf>
    <xf numFmtId="11" fontId="16" fillId="36" borderId="0" xfId="0" applyNumberFormat="1" applyFont="1" applyFill="1" applyAlignment="1">
      <alignment horizontal="center" vertical="center"/>
    </xf>
    <xf numFmtId="164" fontId="0" fillId="38" borderId="0" xfId="0" applyNumberFormat="1" applyFill="1" applyAlignment="1">
      <alignment horizontal="right" vertical="center"/>
    </xf>
    <xf numFmtId="11" fontId="0" fillId="0" borderId="0" xfId="0" applyNumberFormat="1" applyFont="1" applyFill="1" applyAlignment="1">
      <alignment horizontal="center" vertical="center"/>
    </xf>
    <xf numFmtId="11" fontId="0" fillId="0" borderId="0" xfId="0" applyNumberFormat="1" applyAlignment="1">
      <alignment vertical="center"/>
    </xf>
    <xf numFmtId="166" fontId="17" fillId="43" borderId="0" xfId="0" applyNumberFormat="1" applyFont="1" applyFill="1" applyAlignment="1">
      <alignment horizontal="center" vertical="center"/>
    </xf>
    <xf numFmtId="166" fontId="16" fillId="43" borderId="0" xfId="0" applyNumberFormat="1" applyFont="1" applyFill="1" applyAlignment="1">
      <alignment horizontal="right"/>
    </xf>
    <xf numFmtId="166" fontId="10" fillId="44" borderId="0" xfId="0" applyNumberFormat="1" applyFont="1" applyFill="1"/>
    <xf numFmtId="166" fontId="0" fillId="44" borderId="0" xfId="0" applyNumberFormat="1" applyFill="1"/>
    <xf numFmtId="2" fontId="17" fillId="45" borderId="0" xfId="0" applyFont="1" applyFill="1" applyAlignment="1">
      <alignment horizontal="center" vertical="center"/>
    </xf>
    <xf numFmtId="166" fontId="0" fillId="46" borderId="0" xfId="0" applyNumberFormat="1" applyFill="1"/>
    <xf numFmtId="164" fontId="0" fillId="42" borderId="0" xfId="0" applyNumberFormat="1" applyFill="1"/>
    <xf numFmtId="11" fontId="0" fillId="42" borderId="0" xfId="0" applyNumberFormat="1" applyFill="1"/>
    <xf numFmtId="11" fontId="0" fillId="46" borderId="0" xfId="0" applyNumberFormat="1" applyFill="1"/>
    <xf numFmtId="2" fontId="16" fillId="36" borderId="0" xfId="0" applyFont="1" applyFill="1" applyAlignment="1">
      <alignment horizontal="center" vertical="center"/>
    </xf>
    <xf numFmtId="2" fontId="16" fillId="36" borderId="0" xfId="0" applyFont="1" applyFill="1" applyAlignment="1">
      <alignment horizontal="center" vertical="center"/>
    </xf>
    <xf numFmtId="165" fontId="16" fillId="41" borderId="0" xfId="0" applyNumberFormat="1" applyFont="1" applyFill="1" applyAlignment="1">
      <alignment horizontal="center"/>
    </xf>
    <xf numFmtId="11" fontId="16" fillId="43" borderId="0" xfId="0" applyNumberFormat="1" applyFont="1" applyFill="1" applyAlignment="1">
      <alignment horizontal="center" vertical="center"/>
    </xf>
    <xf numFmtId="2" fontId="16" fillId="28" borderId="0" xfId="0" applyFont="1" applyFill="1" applyAlignment="1">
      <alignment horizontal="center"/>
    </xf>
    <xf numFmtId="11" fontId="16" fillId="36" borderId="0" xfId="0" applyNumberFormat="1" applyFont="1" applyFill="1" applyAlignment="1">
      <alignment horizontal="center"/>
    </xf>
    <xf numFmtId="165" fontId="16" fillId="26" borderId="0" xfId="0" applyNumberFormat="1" applyFont="1" applyFill="1" applyAlignment="1">
      <alignment horizontal="center"/>
    </xf>
    <xf numFmtId="2" fontId="16" fillId="24" borderId="0" xfId="0" applyFont="1" applyFill="1" applyAlignment="1">
      <alignment horizontal="center"/>
    </xf>
    <xf numFmtId="0" fontId="3" fillId="0" borderId="0" xfId="37" applyFont="1" applyAlignment="1">
      <alignment horizontal="center" wrapText="1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_Sears_1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9" defaultPivotStyle="PivotStyleLight16"/>
  <colors>
    <mruColors>
      <color rgb="FF00FF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Neutron Scattering Density</a:t>
            </a:r>
          </a:p>
        </c:rich>
      </c:tx>
      <c:layout>
        <c:manualLayout>
          <c:xMode val="edge"/>
          <c:yMode val="edge"/>
          <c:x val="0.24185275584276744"/>
          <c:y val="2.122417913875671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solidFill>
                <a:srgbClr val="F68B16"/>
              </a:solidFill>
            </a:ln>
          </c:spPr>
          <c:marker>
            <c:symbol val="none"/>
          </c:marker>
          <c:xVal>
            <c:numRef>
              <c:f>Reflectivity!$R$3:$R$1000</c:f>
              <c:numCache>
                <c:formatCode>0.00</c:formatCode>
                <c:ptCount val="998"/>
                <c:pt idx="0">
                  <c:v>-10</c:v>
                </c:pt>
                <c:pt idx="1">
                  <c:v>100</c:v>
                </c:pt>
                <c:pt idx="2">
                  <c:v>100</c:v>
                </c:pt>
                <c:pt idx="3">
                  <c:v>101.72108158807413</c:v>
                </c:pt>
                <c:pt idx="4">
                  <c:v>101.72108158807413</c:v>
                </c:pt>
                <c:pt idx="5">
                  <c:v>103.00267046344801</c:v>
                </c:pt>
                <c:pt idx="6">
                  <c:v>103.00267046344801</c:v>
                </c:pt>
                <c:pt idx="7">
                  <c:v>103.71584765147151</c:v>
                </c:pt>
                <c:pt idx="8">
                  <c:v>103.71584765147151</c:v>
                </c:pt>
                <c:pt idx="9">
                  <c:v>104.23837036133814</c:v>
                </c:pt>
                <c:pt idx="10">
                  <c:v>104.23837036133814</c:v>
                </c:pt>
                <c:pt idx="11">
                  <c:v>104.66359218935676</c:v>
                </c:pt>
                <c:pt idx="12">
                  <c:v>104.66359218935676</c:v>
                </c:pt>
                <c:pt idx="13">
                  <c:v>105.03077359861321</c:v>
                </c:pt>
                <c:pt idx="14">
                  <c:v>105.03077359861321</c:v>
                </c:pt>
                <c:pt idx="15">
                  <c:v>105.36062844830079</c:v>
                </c:pt>
                <c:pt idx="16">
                  <c:v>105.36062844830079</c:v>
                </c:pt>
                <c:pt idx="17">
                  <c:v>105.66574430796707</c:v>
                </c:pt>
                <c:pt idx="18">
                  <c:v>105.66574430796707</c:v>
                </c:pt>
                <c:pt idx="19">
                  <c:v>105.95463979083682</c:v>
                </c:pt>
                <c:pt idx="20">
                  <c:v>105.95463979083682</c:v>
                </c:pt>
                <c:pt idx="21">
                  <c:v>106.23365761646924</c:v>
                </c:pt>
                <c:pt idx="22">
                  <c:v>106.23365761646924</c:v>
                </c:pt>
                <c:pt idx="23">
                  <c:v>106.50798841519858</c:v>
                </c:pt>
                <c:pt idx="24">
                  <c:v>106.50798841519858</c:v>
                </c:pt>
                <c:pt idx="25">
                  <c:v>106.84435205156223</c:v>
                </c:pt>
                <c:pt idx="26">
                  <c:v>106.84435205156223</c:v>
                </c:pt>
                <c:pt idx="27">
                  <c:v>107.5170793242895</c:v>
                </c:pt>
                <c:pt idx="28">
                  <c:v>107.5170793242895</c:v>
                </c:pt>
                <c:pt idx="29">
                  <c:v>108.18980659701677</c:v>
                </c:pt>
                <c:pt idx="30">
                  <c:v>108.18980659701677</c:v>
                </c:pt>
                <c:pt idx="31">
                  <c:v>108.86253386974404</c:v>
                </c:pt>
                <c:pt idx="32">
                  <c:v>108.86253386974404</c:v>
                </c:pt>
                <c:pt idx="33">
                  <c:v>109.53526114247131</c:v>
                </c:pt>
                <c:pt idx="34">
                  <c:v>109.53526114247131</c:v>
                </c:pt>
                <c:pt idx="35">
                  <c:v>110.20798841519859</c:v>
                </c:pt>
                <c:pt idx="36">
                  <c:v>110.20798841519859</c:v>
                </c:pt>
                <c:pt idx="37">
                  <c:v>110.88071568792586</c:v>
                </c:pt>
                <c:pt idx="38">
                  <c:v>110.88071568792586</c:v>
                </c:pt>
                <c:pt idx="39">
                  <c:v>111.55344296065313</c:v>
                </c:pt>
                <c:pt idx="40">
                  <c:v>111.55344296065313</c:v>
                </c:pt>
                <c:pt idx="41">
                  <c:v>112.2261702333804</c:v>
                </c:pt>
                <c:pt idx="42">
                  <c:v>112.2261702333804</c:v>
                </c:pt>
                <c:pt idx="43">
                  <c:v>112.89889750610767</c:v>
                </c:pt>
                <c:pt idx="44">
                  <c:v>112.89889750610767</c:v>
                </c:pt>
                <c:pt idx="45">
                  <c:v>113.57162477883494</c:v>
                </c:pt>
                <c:pt idx="46">
                  <c:v>113.57162477883494</c:v>
                </c:pt>
                <c:pt idx="47">
                  <c:v>114.24435205156222</c:v>
                </c:pt>
                <c:pt idx="48">
                  <c:v>114.24435205156222</c:v>
                </c:pt>
                <c:pt idx="49">
                  <c:v>114.91707932428949</c:v>
                </c:pt>
                <c:pt idx="50">
                  <c:v>114.91707932428949</c:v>
                </c:pt>
                <c:pt idx="51">
                  <c:v>115.58980659701676</c:v>
                </c:pt>
                <c:pt idx="52">
                  <c:v>115.58980659701676</c:v>
                </c:pt>
                <c:pt idx="53">
                  <c:v>116.26253386974403</c:v>
                </c:pt>
                <c:pt idx="54">
                  <c:v>116.26253386974403</c:v>
                </c:pt>
                <c:pt idx="55">
                  <c:v>116.9352611424713</c:v>
                </c:pt>
                <c:pt idx="56">
                  <c:v>116.9352611424713</c:v>
                </c:pt>
                <c:pt idx="57">
                  <c:v>117.60798841519858</c:v>
                </c:pt>
                <c:pt idx="58">
                  <c:v>117.60798841519858</c:v>
                </c:pt>
                <c:pt idx="59">
                  <c:v>118.28071568792585</c:v>
                </c:pt>
                <c:pt idx="60">
                  <c:v>118.28071568792585</c:v>
                </c:pt>
                <c:pt idx="61">
                  <c:v>118.95344296065312</c:v>
                </c:pt>
                <c:pt idx="62">
                  <c:v>118.95344296065312</c:v>
                </c:pt>
                <c:pt idx="63">
                  <c:v>119.62617023338039</c:v>
                </c:pt>
                <c:pt idx="64">
                  <c:v>119.62617023338039</c:v>
                </c:pt>
                <c:pt idx="65">
                  <c:v>120.29889750610766</c:v>
                </c:pt>
                <c:pt idx="66">
                  <c:v>120.29889750610766</c:v>
                </c:pt>
                <c:pt idx="67">
                  <c:v>120.97162477883494</c:v>
                </c:pt>
                <c:pt idx="68">
                  <c:v>120.97162477883494</c:v>
                </c:pt>
                <c:pt idx="69">
                  <c:v>121.30798841519858</c:v>
                </c:pt>
                <c:pt idx="70">
                  <c:v>121.30798841519858</c:v>
                </c:pt>
                <c:pt idx="71">
                  <c:v>121.66483490763021</c:v>
                </c:pt>
                <c:pt idx="72">
                  <c:v>121.66483490763021</c:v>
                </c:pt>
                <c:pt idx="73">
                  <c:v>122.37852789249347</c:v>
                </c:pt>
                <c:pt idx="74">
                  <c:v>122.37852789249347</c:v>
                </c:pt>
                <c:pt idx="75">
                  <c:v>123.09222087735672</c:v>
                </c:pt>
                <c:pt idx="76">
                  <c:v>123.09222087735672</c:v>
                </c:pt>
                <c:pt idx="77">
                  <c:v>123.80591386221998</c:v>
                </c:pt>
                <c:pt idx="78">
                  <c:v>123.80591386221998</c:v>
                </c:pt>
                <c:pt idx="79">
                  <c:v>124.51960684708324</c:v>
                </c:pt>
                <c:pt idx="80">
                  <c:v>124.51960684708324</c:v>
                </c:pt>
                <c:pt idx="81">
                  <c:v>125.2332998319465</c:v>
                </c:pt>
                <c:pt idx="82">
                  <c:v>125.2332998319465</c:v>
                </c:pt>
                <c:pt idx="83">
                  <c:v>125.94699281680975</c:v>
                </c:pt>
                <c:pt idx="84">
                  <c:v>125.94699281680975</c:v>
                </c:pt>
                <c:pt idx="85">
                  <c:v>126.66068580167301</c:v>
                </c:pt>
                <c:pt idx="86">
                  <c:v>126.66068580167301</c:v>
                </c:pt>
                <c:pt idx="87">
                  <c:v>127.37437878653627</c:v>
                </c:pt>
                <c:pt idx="88">
                  <c:v>127.37437878653627</c:v>
                </c:pt>
                <c:pt idx="89">
                  <c:v>128.08807177139954</c:v>
                </c:pt>
                <c:pt idx="90">
                  <c:v>128.08807177139954</c:v>
                </c:pt>
                <c:pt idx="91">
                  <c:v>128.8017647562628</c:v>
                </c:pt>
                <c:pt idx="92">
                  <c:v>128.8017647562628</c:v>
                </c:pt>
                <c:pt idx="93">
                  <c:v>129.51545774112606</c:v>
                </c:pt>
                <c:pt idx="94">
                  <c:v>129.51545774112606</c:v>
                </c:pt>
                <c:pt idx="95">
                  <c:v>130.22915072598931</c:v>
                </c:pt>
                <c:pt idx="96">
                  <c:v>130.22915072598931</c:v>
                </c:pt>
                <c:pt idx="97">
                  <c:v>130.94284371085257</c:v>
                </c:pt>
                <c:pt idx="98">
                  <c:v>130.94284371085257</c:v>
                </c:pt>
                <c:pt idx="99">
                  <c:v>131.65653669571583</c:v>
                </c:pt>
                <c:pt idx="100">
                  <c:v>131.65653669571583</c:v>
                </c:pt>
                <c:pt idx="101">
                  <c:v>132.37022968057909</c:v>
                </c:pt>
                <c:pt idx="102">
                  <c:v>132.37022968057909</c:v>
                </c:pt>
                <c:pt idx="103">
                  <c:v>133.08392266544234</c:v>
                </c:pt>
                <c:pt idx="104">
                  <c:v>133.08392266544234</c:v>
                </c:pt>
                <c:pt idx="105">
                  <c:v>133.7976156503056</c:v>
                </c:pt>
                <c:pt idx="106">
                  <c:v>133.7976156503056</c:v>
                </c:pt>
                <c:pt idx="107">
                  <c:v>134.51130863516886</c:v>
                </c:pt>
                <c:pt idx="108">
                  <c:v>134.51130863516886</c:v>
                </c:pt>
                <c:pt idx="109">
                  <c:v>135.22500162003212</c:v>
                </c:pt>
                <c:pt idx="110">
                  <c:v>135.22500162003212</c:v>
                </c:pt>
                <c:pt idx="111">
                  <c:v>135.93869460489537</c:v>
                </c:pt>
                <c:pt idx="112">
                  <c:v>135.93869460489537</c:v>
                </c:pt>
                <c:pt idx="113">
                  <c:v>136.65238758975863</c:v>
                </c:pt>
                <c:pt idx="114">
                  <c:v>136.65238758975863</c:v>
                </c:pt>
                <c:pt idx="115">
                  <c:v>137.00923408219026</c:v>
                </c:pt>
                <c:pt idx="116">
                  <c:v>137.00923408219026</c:v>
                </c:pt>
                <c:pt idx="117">
                  <c:v>137.87070113516458</c:v>
                </c:pt>
                <c:pt idx="118">
                  <c:v>137.87070113516458</c:v>
                </c:pt>
                <c:pt idx="119">
                  <c:v>138.74688662030948</c:v>
                </c:pt>
                <c:pt idx="120">
                  <c:v>138.74688662030948</c:v>
                </c:pt>
                <c:pt idx="121">
                  <c:v>139.65409041003392</c:v>
                </c:pt>
                <c:pt idx="122">
                  <c:v>139.65409041003392</c:v>
                </c:pt>
                <c:pt idx="123">
                  <c:v>140.61223022393708</c:v>
                </c:pt>
                <c:pt idx="124">
                  <c:v>140.61223022393708</c:v>
                </c:pt>
                <c:pt idx="125">
                  <c:v>141.64805662981573</c:v>
                </c:pt>
                <c:pt idx="126">
                  <c:v>141.64805662981573</c:v>
                </c:pt>
                <c:pt idx="127">
                  <c:v>142.80109773203327</c:v>
                </c:pt>
                <c:pt idx="128">
                  <c:v>142.80109773203327</c:v>
                </c:pt>
                <c:pt idx="129">
                  <c:v>144.1364002089708</c:v>
                </c:pt>
                <c:pt idx="130">
                  <c:v>144.1364002089708</c:v>
                </c:pt>
                <c:pt idx="131">
                  <c:v>145.77725169581046</c:v>
                </c:pt>
                <c:pt idx="132">
                  <c:v>145.77725169581046</c:v>
                </c:pt>
                <c:pt idx="133">
                  <c:v>148.01680574246072</c:v>
                </c:pt>
                <c:pt idx="134">
                  <c:v>148.01680574246072</c:v>
                </c:pt>
                <c:pt idx="135">
                  <c:v>152.04131409772654</c:v>
                </c:pt>
                <c:pt idx="136">
                  <c:v>152.04131409772654</c:v>
                </c:pt>
                <c:pt idx="137">
                  <c:v>157.4459390631842</c:v>
                </c:pt>
                <c:pt idx="138">
                  <c:v>157.4459390631842</c:v>
                </c:pt>
                <c:pt idx="139">
                  <c:v>252.75018938665619</c:v>
                </c:pt>
                <c:pt idx="140">
                  <c:v>252.75018938665619</c:v>
                </c:pt>
                <c:pt idx="141">
                  <c:v>266.07491831990836</c:v>
                </c:pt>
                <c:pt idx="142">
                  <c:v>266.07491831990836</c:v>
                </c:pt>
                <c:pt idx="143">
                  <c:v>275.99706523412721</c:v>
                </c:pt>
                <c:pt idx="144">
                  <c:v>275.99706523412721</c:v>
                </c:pt>
                <c:pt idx="145">
                  <c:v>281.51853079255295</c:v>
                </c:pt>
                <c:pt idx="146">
                  <c:v>281.51853079255295</c:v>
                </c:pt>
                <c:pt idx="147">
                  <c:v>285.56393661101401</c:v>
                </c:pt>
                <c:pt idx="148">
                  <c:v>285.56393661101401</c:v>
                </c:pt>
                <c:pt idx="149">
                  <c:v>288.85603248497563</c:v>
                </c:pt>
                <c:pt idx="150">
                  <c:v>288.85603248497563</c:v>
                </c:pt>
                <c:pt idx="151">
                  <c:v>291.69877554932185</c:v>
                </c:pt>
                <c:pt idx="152">
                  <c:v>291.69877554932185</c:v>
                </c:pt>
                <c:pt idx="153">
                  <c:v>294.25253388934556</c:v>
                </c:pt>
                <c:pt idx="154">
                  <c:v>294.25253388934556</c:v>
                </c:pt>
                <c:pt idx="155">
                  <c:v>296.61476131160208</c:v>
                </c:pt>
                <c:pt idx="156">
                  <c:v>296.61476131160208</c:v>
                </c:pt>
                <c:pt idx="157">
                  <c:v>298.85140949025578</c:v>
                </c:pt>
                <c:pt idx="158">
                  <c:v>298.85140949025578</c:v>
                </c:pt>
                <c:pt idx="159">
                  <c:v>301.01158418497067</c:v>
                </c:pt>
                <c:pt idx="160">
                  <c:v>301.01158418497067</c:v>
                </c:pt>
                <c:pt idx="161">
                  <c:v>303.13547160346394</c:v>
                </c:pt>
                <c:pt idx="162">
                  <c:v>303.13547160346394</c:v>
                </c:pt>
                <c:pt idx="163">
                  <c:v>305.25935902195721</c:v>
                </c:pt>
                <c:pt idx="164">
                  <c:v>305.25935902195721</c:v>
                </c:pt>
                <c:pt idx="165">
                  <c:v>307.41953371667211</c:v>
                </c:pt>
                <c:pt idx="166">
                  <c:v>307.41953371667211</c:v>
                </c:pt>
                <c:pt idx="167">
                  <c:v>309.6561818953258</c:v>
                </c:pt>
                <c:pt idx="168">
                  <c:v>309.6561818953258</c:v>
                </c:pt>
                <c:pt idx="169">
                  <c:v>312.01840931758233</c:v>
                </c:pt>
                <c:pt idx="170">
                  <c:v>312.01840931758233</c:v>
                </c:pt>
                <c:pt idx="171">
                  <c:v>314.57216765760603</c:v>
                </c:pt>
                <c:pt idx="172">
                  <c:v>314.57216765760603</c:v>
                </c:pt>
                <c:pt idx="173">
                  <c:v>317.41491072195225</c:v>
                </c:pt>
                <c:pt idx="174">
                  <c:v>317.41491072195225</c:v>
                </c:pt>
                <c:pt idx="175">
                  <c:v>320.70700659591387</c:v>
                </c:pt>
                <c:pt idx="176">
                  <c:v>320.70700659591387</c:v>
                </c:pt>
                <c:pt idx="177">
                  <c:v>324.75241241437493</c:v>
                </c:pt>
                <c:pt idx="178">
                  <c:v>324.75241241437493</c:v>
                </c:pt>
                <c:pt idx="179">
                  <c:v>330.27387797280068</c:v>
                </c:pt>
                <c:pt idx="180">
                  <c:v>330.27387797280068</c:v>
                </c:pt>
                <c:pt idx="181">
                  <c:v>340.19602488701952</c:v>
                </c:pt>
                <c:pt idx="182">
                  <c:v>340.19602488701952</c:v>
                </c:pt>
                <c:pt idx="183">
                  <c:v>353.52075382027169</c:v>
                </c:pt>
                <c:pt idx="184">
                  <c:v>353.52075382027169</c:v>
                </c:pt>
                <c:pt idx="185">
                  <c:v>356.35738162908348</c:v>
                </c:pt>
                <c:pt idx="186">
                  <c:v>356.35738162908348</c:v>
                </c:pt>
                <c:pt idx="187">
                  <c:v>369.68211056233565</c:v>
                </c:pt>
                <c:pt idx="188">
                  <c:v>369.68211056233565</c:v>
                </c:pt>
                <c:pt idx="189">
                  <c:v>379.60425747655449</c:v>
                </c:pt>
                <c:pt idx="190">
                  <c:v>379.60425747655449</c:v>
                </c:pt>
                <c:pt idx="191">
                  <c:v>385.12572303498024</c:v>
                </c:pt>
                <c:pt idx="192">
                  <c:v>385.12572303498024</c:v>
                </c:pt>
                <c:pt idx="193">
                  <c:v>389.1711288534413</c:v>
                </c:pt>
                <c:pt idx="194">
                  <c:v>389.1711288534413</c:v>
                </c:pt>
                <c:pt idx="195">
                  <c:v>392.46322472740292</c:v>
                </c:pt>
                <c:pt idx="196">
                  <c:v>392.46322472740292</c:v>
                </c:pt>
                <c:pt idx="197">
                  <c:v>395.30596779174914</c:v>
                </c:pt>
                <c:pt idx="198">
                  <c:v>395.30596779174914</c:v>
                </c:pt>
                <c:pt idx="199">
                  <c:v>397.85972613177285</c:v>
                </c:pt>
                <c:pt idx="200">
                  <c:v>397.85972613177285</c:v>
                </c:pt>
                <c:pt idx="201">
                  <c:v>400.22195355402937</c:v>
                </c:pt>
                <c:pt idx="202">
                  <c:v>400.22195355402937</c:v>
                </c:pt>
                <c:pt idx="203">
                  <c:v>402.45860173268306</c:v>
                </c:pt>
                <c:pt idx="204">
                  <c:v>402.45860173268306</c:v>
                </c:pt>
                <c:pt idx="205">
                  <c:v>404.61877642739796</c:v>
                </c:pt>
                <c:pt idx="206">
                  <c:v>404.61877642739796</c:v>
                </c:pt>
                <c:pt idx="207">
                  <c:v>406.74266384589123</c:v>
                </c:pt>
                <c:pt idx="208">
                  <c:v>406.74266384589123</c:v>
                </c:pt>
                <c:pt idx="209">
                  <c:v>408.8665512643845</c:v>
                </c:pt>
                <c:pt idx="210">
                  <c:v>408.8665512643845</c:v>
                </c:pt>
                <c:pt idx="211">
                  <c:v>411.02672595909939</c:v>
                </c:pt>
                <c:pt idx="212">
                  <c:v>411.02672595909939</c:v>
                </c:pt>
                <c:pt idx="213">
                  <c:v>413.26337413775309</c:v>
                </c:pt>
                <c:pt idx="214">
                  <c:v>413.26337413775309</c:v>
                </c:pt>
                <c:pt idx="215">
                  <c:v>415.62560156000961</c:v>
                </c:pt>
                <c:pt idx="216">
                  <c:v>415.62560156000961</c:v>
                </c:pt>
                <c:pt idx="217">
                  <c:v>418.17935990003332</c:v>
                </c:pt>
                <c:pt idx="218">
                  <c:v>418.17935990003332</c:v>
                </c:pt>
                <c:pt idx="219">
                  <c:v>421.02210296437954</c:v>
                </c:pt>
                <c:pt idx="220">
                  <c:v>421.02210296437954</c:v>
                </c:pt>
                <c:pt idx="221">
                  <c:v>424.31419883834116</c:v>
                </c:pt>
                <c:pt idx="222">
                  <c:v>424.31419883834116</c:v>
                </c:pt>
                <c:pt idx="223">
                  <c:v>428.35960465680222</c:v>
                </c:pt>
                <c:pt idx="224">
                  <c:v>428.35960465680222</c:v>
                </c:pt>
                <c:pt idx="225">
                  <c:v>433.88107021522796</c:v>
                </c:pt>
                <c:pt idx="226">
                  <c:v>433.88107021522796</c:v>
                </c:pt>
                <c:pt idx="227">
                  <c:v>443.80321712944681</c:v>
                </c:pt>
                <c:pt idx="228">
                  <c:v>443.80321712944681</c:v>
                </c:pt>
                <c:pt idx="229">
                  <c:v>457.12794606269898</c:v>
                </c:pt>
                <c:pt idx="230">
                  <c:v>457.12794606269898</c:v>
                </c:pt>
                <c:pt idx="231">
                  <c:v>549.59494689349174</c:v>
                </c:pt>
                <c:pt idx="232">
                  <c:v>549.59494689349174</c:v>
                </c:pt>
                <c:pt idx="233">
                  <c:v>562.91967582674386</c:v>
                </c:pt>
                <c:pt idx="234">
                  <c:v>562.91967582674386</c:v>
                </c:pt>
                <c:pt idx="235">
                  <c:v>572.8418227409627</c:v>
                </c:pt>
                <c:pt idx="236">
                  <c:v>572.8418227409627</c:v>
                </c:pt>
                <c:pt idx="237">
                  <c:v>578.3632882993885</c:v>
                </c:pt>
                <c:pt idx="238">
                  <c:v>578.3632882993885</c:v>
                </c:pt>
                <c:pt idx="239">
                  <c:v>582.40869411784956</c:v>
                </c:pt>
                <c:pt idx="240">
                  <c:v>582.40869411784956</c:v>
                </c:pt>
                <c:pt idx="241">
                  <c:v>585.70078999181112</c:v>
                </c:pt>
                <c:pt idx="242">
                  <c:v>585.70078999181112</c:v>
                </c:pt>
                <c:pt idx="243">
                  <c:v>588.54353305615734</c:v>
                </c:pt>
                <c:pt idx="244">
                  <c:v>588.54353305615734</c:v>
                </c:pt>
                <c:pt idx="245">
                  <c:v>591.09729139618105</c:v>
                </c:pt>
                <c:pt idx="246">
                  <c:v>591.09729139618105</c:v>
                </c:pt>
                <c:pt idx="247">
                  <c:v>593.45951881843757</c:v>
                </c:pt>
                <c:pt idx="248">
                  <c:v>593.45951881843757</c:v>
                </c:pt>
                <c:pt idx="249">
                  <c:v>595.69616699709127</c:v>
                </c:pt>
                <c:pt idx="250">
                  <c:v>595.69616699709127</c:v>
                </c:pt>
                <c:pt idx="251">
                  <c:v>597.85634169180616</c:v>
                </c:pt>
                <c:pt idx="252">
                  <c:v>597.85634169180616</c:v>
                </c:pt>
                <c:pt idx="253">
                  <c:v>599.98022911029943</c:v>
                </c:pt>
                <c:pt idx="254">
                  <c:v>599.98022911029943</c:v>
                </c:pt>
                <c:pt idx="255">
                  <c:v>602.1041165287927</c:v>
                </c:pt>
                <c:pt idx="256">
                  <c:v>602.1041165287927</c:v>
                </c:pt>
                <c:pt idx="257">
                  <c:v>604.2642912235076</c:v>
                </c:pt>
                <c:pt idx="258">
                  <c:v>604.2642912235076</c:v>
                </c:pt>
                <c:pt idx="259">
                  <c:v>606.50093940216129</c:v>
                </c:pt>
                <c:pt idx="260">
                  <c:v>606.50093940216129</c:v>
                </c:pt>
                <c:pt idx="261">
                  <c:v>608.86316682441782</c:v>
                </c:pt>
                <c:pt idx="262">
                  <c:v>608.86316682441782</c:v>
                </c:pt>
                <c:pt idx="263">
                  <c:v>611.41692516444152</c:v>
                </c:pt>
                <c:pt idx="264">
                  <c:v>611.41692516444152</c:v>
                </c:pt>
                <c:pt idx="265">
                  <c:v>614.25966822878775</c:v>
                </c:pt>
                <c:pt idx="266">
                  <c:v>614.25966822878775</c:v>
                </c:pt>
                <c:pt idx="267">
                  <c:v>617.5517641027493</c:v>
                </c:pt>
                <c:pt idx="268">
                  <c:v>617.5517641027493</c:v>
                </c:pt>
                <c:pt idx="269">
                  <c:v>621.59716992121037</c:v>
                </c:pt>
                <c:pt idx="270">
                  <c:v>621.59716992121037</c:v>
                </c:pt>
                <c:pt idx="271">
                  <c:v>627.11863547963617</c:v>
                </c:pt>
                <c:pt idx="272">
                  <c:v>627.11863547963617</c:v>
                </c:pt>
                <c:pt idx="273">
                  <c:v>637.04078239385501</c:v>
                </c:pt>
                <c:pt idx="274">
                  <c:v>637.04078239385501</c:v>
                </c:pt>
                <c:pt idx="275">
                  <c:v>650.36551132710713</c:v>
                </c:pt>
                <c:pt idx="276">
                  <c:v>650.36551132710713</c:v>
                </c:pt>
                <c:pt idx="277">
                  <c:v>653.20213913591897</c:v>
                </c:pt>
                <c:pt idx="278">
                  <c:v>653.20213913591897</c:v>
                </c:pt>
                <c:pt idx="279">
                  <c:v>666.52686806917109</c:v>
                </c:pt>
                <c:pt idx="280">
                  <c:v>666.52686806917109</c:v>
                </c:pt>
                <c:pt idx="281">
                  <c:v>676.44901498338993</c:v>
                </c:pt>
                <c:pt idx="282">
                  <c:v>676.44901498338993</c:v>
                </c:pt>
                <c:pt idx="283">
                  <c:v>681.97048054181573</c:v>
                </c:pt>
                <c:pt idx="284">
                  <c:v>681.97048054181573</c:v>
                </c:pt>
                <c:pt idx="285">
                  <c:v>686.0158863602768</c:v>
                </c:pt>
                <c:pt idx="286">
                  <c:v>686.0158863602768</c:v>
                </c:pt>
                <c:pt idx="287">
                  <c:v>689.30798223423835</c:v>
                </c:pt>
                <c:pt idx="288">
                  <c:v>689.30798223423835</c:v>
                </c:pt>
                <c:pt idx="289">
                  <c:v>692.15072529858458</c:v>
                </c:pt>
                <c:pt idx="290">
                  <c:v>692.15072529858458</c:v>
                </c:pt>
                <c:pt idx="291">
                  <c:v>694.70448363860828</c:v>
                </c:pt>
                <c:pt idx="292">
                  <c:v>694.70448363860828</c:v>
                </c:pt>
                <c:pt idx="293">
                  <c:v>697.0667110608648</c:v>
                </c:pt>
                <c:pt idx="294">
                  <c:v>697.0667110608648</c:v>
                </c:pt>
                <c:pt idx="295">
                  <c:v>699.3033592395185</c:v>
                </c:pt>
                <c:pt idx="296">
                  <c:v>699.3033592395185</c:v>
                </c:pt>
                <c:pt idx="297">
                  <c:v>701.4635339342334</c:v>
                </c:pt>
                <c:pt idx="298">
                  <c:v>701.4635339342334</c:v>
                </c:pt>
                <c:pt idx="299">
                  <c:v>703.58742135272666</c:v>
                </c:pt>
                <c:pt idx="300">
                  <c:v>703.58742135272666</c:v>
                </c:pt>
                <c:pt idx="301">
                  <c:v>705.71130877121993</c:v>
                </c:pt>
                <c:pt idx="302">
                  <c:v>705.71130877121993</c:v>
                </c:pt>
                <c:pt idx="303">
                  <c:v>707.87148346593483</c:v>
                </c:pt>
                <c:pt idx="304">
                  <c:v>707.87148346593483</c:v>
                </c:pt>
                <c:pt idx="305">
                  <c:v>710.10813164458852</c:v>
                </c:pt>
                <c:pt idx="306">
                  <c:v>710.10813164458852</c:v>
                </c:pt>
                <c:pt idx="307">
                  <c:v>712.47035906684505</c:v>
                </c:pt>
                <c:pt idx="308">
                  <c:v>712.47035906684505</c:v>
                </c:pt>
                <c:pt idx="309">
                  <c:v>715.02411740686875</c:v>
                </c:pt>
                <c:pt idx="310">
                  <c:v>715.02411740686875</c:v>
                </c:pt>
                <c:pt idx="311">
                  <c:v>717.86686047121498</c:v>
                </c:pt>
                <c:pt idx="312">
                  <c:v>717.86686047121498</c:v>
                </c:pt>
                <c:pt idx="313">
                  <c:v>721.15895634517653</c:v>
                </c:pt>
                <c:pt idx="314">
                  <c:v>721.15895634517653</c:v>
                </c:pt>
                <c:pt idx="315">
                  <c:v>725.2043621636376</c:v>
                </c:pt>
                <c:pt idx="316">
                  <c:v>725.2043621636376</c:v>
                </c:pt>
                <c:pt idx="317">
                  <c:v>730.7258277220634</c:v>
                </c:pt>
                <c:pt idx="318">
                  <c:v>730.7258277220634</c:v>
                </c:pt>
                <c:pt idx="319">
                  <c:v>740.64797463628224</c:v>
                </c:pt>
                <c:pt idx="320">
                  <c:v>740.64797463628224</c:v>
                </c:pt>
                <c:pt idx="321">
                  <c:v>753.97270356953436</c:v>
                </c:pt>
                <c:pt idx="322">
                  <c:v>753.97270356953436</c:v>
                </c:pt>
                <c:pt idx="323">
                  <c:v>846.43970440032717</c:v>
                </c:pt>
                <c:pt idx="324">
                  <c:v>846.43970440032717</c:v>
                </c:pt>
                <c:pt idx="325">
                  <c:v>859.76443333357929</c:v>
                </c:pt>
                <c:pt idx="326">
                  <c:v>859.76443333357929</c:v>
                </c:pt>
                <c:pt idx="327">
                  <c:v>869.68658024779813</c:v>
                </c:pt>
                <c:pt idx="328">
                  <c:v>869.68658024779813</c:v>
                </c:pt>
                <c:pt idx="329">
                  <c:v>875.20804580622394</c:v>
                </c:pt>
                <c:pt idx="330">
                  <c:v>875.20804580622394</c:v>
                </c:pt>
                <c:pt idx="331">
                  <c:v>879.253451624685</c:v>
                </c:pt>
                <c:pt idx="332">
                  <c:v>879.253451624685</c:v>
                </c:pt>
                <c:pt idx="333">
                  <c:v>882.54554749864656</c:v>
                </c:pt>
                <c:pt idx="334">
                  <c:v>882.54554749864656</c:v>
                </c:pt>
                <c:pt idx="335">
                  <c:v>885.38829056299278</c:v>
                </c:pt>
                <c:pt idx="336">
                  <c:v>885.38829056299278</c:v>
                </c:pt>
                <c:pt idx="337">
                  <c:v>887.94204890301648</c:v>
                </c:pt>
                <c:pt idx="338">
                  <c:v>887.94204890301648</c:v>
                </c:pt>
                <c:pt idx="339">
                  <c:v>890.30427632527301</c:v>
                </c:pt>
                <c:pt idx="340">
                  <c:v>890.30427632527301</c:v>
                </c:pt>
                <c:pt idx="341">
                  <c:v>892.5409245039267</c:v>
                </c:pt>
                <c:pt idx="342">
                  <c:v>892.5409245039267</c:v>
                </c:pt>
                <c:pt idx="343">
                  <c:v>894.7010991986416</c:v>
                </c:pt>
                <c:pt idx="344">
                  <c:v>894.7010991986416</c:v>
                </c:pt>
                <c:pt idx="345">
                  <c:v>896.82498661713487</c:v>
                </c:pt>
                <c:pt idx="346">
                  <c:v>896.82498661713487</c:v>
                </c:pt>
                <c:pt idx="347">
                  <c:v>898.94887403562814</c:v>
                </c:pt>
                <c:pt idx="348">
                  <c:v>898.94887403562814</c:v>
                </c:pt>
                <c:pt idx="349">
                  <c:v>901.10904873034303</c:v>
                </c:pt>
                <c:pt idx="350">
                  <c:v>901.10904873034303</c:v>
                </c:pt>
                <c:pt idx="351">
                  <c:v>903.34569690899673</c:v>
                </c:pt>
                <c:pt idx="352">
                  <c:v>903.34569690899673</c:v>
                </c:pt>
                <c:pt idx="353">
                  <c:v>905.70792433125325</c:v>
                </c:pt>
                <c:pt idx="354">
                  <c:v>905.70792433125325</c:v>
                </c:pt>
                <c:pt idx="355">
                  <c:v>908.26168267127696</c:v>
                </c:pt>
                <c:pt idx="356">
                  <c:v>908.26168267127696</c:v>
                </c:pt>
                <c:pt idx="357">
                  <c:v>911.10442573562318</c:v>
                </c:pt>
                <c:pt idx="358">
                  <c:v>911.10442573562318</c:v>
                </c:pt>
                <c:pt idx="359">
                  <c:v>914.39652160958474</c:v>
                </c:pt>
                <c:pt idx="360">
                  <c:v>914.39652160958474</c:v>
                </c:pt>
                <c:pt idx="361">
                  <c:v>918.4419274280458</c:v>
                </c:pt>
                <c:pt idx="362">
                  <c:v>918.4419274280458</c:v>
                </c:pt>
                <c:pt idx="363">
                  <c:v>923.9633929864716</c:v>
                </c:pt>
                <c:pt idx="364">
                  <c:v>923.9633929864716</c:v>
                </c:pt>
                <c:pt idx="365">
                  <c:v>933.88553990069045</c:v>
                </c:pt>
                <c:pt idx="366">
                  <c:v>933.88553990069045</c:v>
                </c:pt>
                <c:pt idx="367">
                  <c:v>947.21026883394256</c:v>
                </c:pt>
                <c:pt idx="368">
                  <c:v>947.21026883394256</c:v>
                </c:pt>
                <c:pt idx="369">
                  <c:v>950.04689664275429</c:v>
                </c:pt>
                <c:pt idx="370">
                  <c:v>950.04689664275429</c:v>
                </c:pt>
                <c:pt idx="371">
                  <c:v>963.37162557600641</c:v>
                </c:pt>
                <c:pt idx="372">
                  <c:v>963.37162557600641</c:v>
                </c:pt>
                <c:pt idx="373">
                  <c:v>973.29377249022525</c:v>
                </c:pt>
                <c:pt idx="374">
                  <c:v>973.29377249022525</c:v>
                </c:pt>
                <c:pt idx="375">
                  <c:v>978.81523804865105</c:v>
                </c:pt>
                <c:pt idx="376">
                  <c:v>978.81523804865105</c:v>
                </c:pt>
                <c:pt idx="377">
                  <c:v>982.86064386711212</c:v>
                </c:pt>
                <c:pt idx="378">
                  <c:v>982.86064386711212</c:v>
                </c:pt>
                <c:pt idx="379">
                  <c:v>986.15273974107367</c:v>
                </c:pt>
                <c:pt idx="380">
                  <c:v>986.15273974107367</c:v>
                </c:pt>
                <c:pt idx="381">
                  <c:v>988.9954828054199</c:v>
                </c:pt>
                <c:pt idx="382">
                  <c:v>988.9954828054199</c:v>
                </c:pt>
                <c:pt idx="383">
                  <c:v>991.5492411454436</c:v>
                </c:pt>
                <c:pt idx="384">
                  <c:v>991.5492411454436</c:v>
                </c:pt>
                <c:pt idx="385">
                  <c:v>993.91146856770013</c:v>
                </c:pt>
                <c:pt idx="386">
                  <c:v>993.91146856770013</c:v>
                </c:pt>
                <c:pt idx="387">
                  <c:v>996.14811674635382</c:v>
                </c:pt>
                <c:pt idx="388">
                  <c:v>996.14811674635382</c:v>
                </c:pt>
                <c:pt idx="389">
                  <c:v>998.30829144106872</c:v>
                </c:pt>
                <c:pt idx="390">
                  <c:v>998.30829144106872</c:v>
                </c:pt>
                <c:pt idx="391">
                  <c:v>1000.432178859562</c:v>
                </c:pt>
                <c:pt idx="392">
                  <c:v>1000.432178859562</c:v>
                </c:pt>
                <c:pt idx="393">
                  <c:v>1002.5737340339181</c:v>
                </c:pt>
                <c:pt idx="394">
                  <c:v>1002.5737340339181</c:v>
                </c:pt>
                <c:pt idx="395">
                  <c:v>1006.8568443826304</c:v>
                </c:pt>
                <c:pt idx="396">
                  <c:v>1006.8568443826304</c:v>
                </c:pt>
                <c:pt idx="397">
                  <c:v>1011.1399547313426</c:v>
                </c:pt>
                <c:pt idx="398">
                  <c:v>1011.1399547313426</c:v>
                </c:pt>
                <c:pt idx="399">
                  <c:v>1015.4230650800549</c:v>
                </c:pt>
                <c:pt idx="400">
                  <c:v>1015.4230650800549</c:v>
                </c:pt>
                <c:pt idx="401">
                  <c:v>1019.7061754287672</c:v>
                </c:pt>
                <c:pt idx="402">
                  <c:v>1019.7061754287672</c:v>
                </c:pt>
                <c:pt idx="403">
                  <c:v>1023.9892857774795</c:v>
                </c:pt>
                <c:pt idx="404">
                  <c:v>1023.9892857774795</c:v>
                </c:pt>
                <c:pt idx="405">
                  <c:v>1028.2723961261918</c:v>
                </c:pt>
                <c:pt idx="406">
                  <c:v>1028.2723961261918</c:v>
                </c:pt>
                <c:pt idx="407">
                  <c:v>1032.555506474904</c:v>
                </c:pt>
                <c:pt idx="408">
                  <c:v>1032.555506474904</c:v>
                </c:pt>
                <c:pt idx="409">
                  <c:v>1036.8386168236161</c:v>
                </c:pt>
                <c:pt idx="410">
                  <c:v>1036.8386168236161</c:v>
                </c:pt>
                <c:pt idx="411">
                  <c:v>1041.1217271723283</c:v>
                </c:pt>
                <c:pt idx="412">
                  <c:v>1041.1217271723283</c:v>
                </c:pt>
                <c:pt idx="413">
                  <c:v>1045.4048375210405</c:v>
                </c:pt>
                <c:pt idx="414">
                  <c:v>1045.4048375210405</c:v>
                </c:pt>
                <c:pt idx="415">
                  <c:v>1049.6879478697526</c:v>
                </c:pt>
                <c:pt idx="416">
                  <c:v>1049.6879478697526</c:v>
                </c:pt>
                <c:pt idx="417">
                  <c:v>1053.9710582184648</c:v>
                </c:pt>
                <c:pt idx="418">
                  <c:v>1053.9710582184648</c:v>
                </c:pt>
                <c:pt idx="419">
                  <c:v>1058.254168567177</c:v>
                </c:pt>
                <c:pt idx="420">
                  <c:v>1058.254168567177</c:v>
                </c:pt>
                <c:pt idx="421">
                  <c:v>1062.5372789158891</c:v>
                </c:pt>
                <c:pt idx="422">
                  <c:v>1062.5372789158891</c:v>
                </c:pt>
                <c:pt idx="423">
                  <c:v>1066.8203892646013</c:v>
                </c:pt>
                <c:pt idx="424">
                  <c:v>1066.8203892646013</c:v>
                </c:pt>
                <c:pt idx="425">
                  <c:v>1071.1034996133135</c:v>
                </c:pt>
                <c:pt idx="426">
                  <c:v>1071.1034996133135</c:v>
                </c:pt>
                <c:pt idx="427">
                  <c:v>1075.3866099620257</c:v>
                </c:pt>
                <c:pt idx="428">
                  <c:v>1075.3866099620257</c:v>
                </c:pt>
                <c:pt idx="429">
                  <c:v>1079.6697203107378</c:v>
                </c:pt>
                <c:pt idx="430">
                  <c:v>1079.6697203107378</c:v>
                </c:pt>
                <c:pt idx="431">
                  <c:v>1083.95283065945</c:v>
                </c:pt>
                <c:pt idx="432">
                  <c:v>1083.95283065945</c:v>
                </c:pt>
                <c:pt idx="433">
                  <c:v>1088.2359410081622</c:v>
                </c:pt>
                <c:pt idx="434">
                  <c:v>1088.2359410081622</c:v>
                </c:pt>
                <c:pt idx="435">
                  <c:v>1092.5190513568743</c:v>
                </c:pt>
                <c:pt idx="436">
                  <c:v>1092.5190513568743</c:v>
                </c:pt>
                <c:pt idx="437">
                  <c:v>1094.6606065312305</c:v>
                </c:pt>
                <c:pt idx="438">
                  <c:v>1094.6606065312305</c:v>
                </c:pt>
                <c:pt idx="439">
                  <c:v>1102.7807981736191</c:v>
                </c:pt>
                <c:pt idx="440">
                  <c:v>1102.7807981736191</c:v>
                </c:pt>
                <c:pt idx="441">
                  <c:v>1111.0397258123389</c:v>
                </c:pt>
                <c:pt idx="442">
                  <c:v>1111.0397258123389</c:v>
                </c:pt>
                <c:pt idx="443">
                  <c:v>1119.5910321052834</c:v>
                </c:pt>
                <c:pt idx="444">
                  <c:v>1119.5910321052834</c:v>
                </c:pt>
                <c:pt idx="445">
                  <c:v>1128.6224615514054</c:v>
                </c:pt>
                <c:pt idx="446">
                  <c:v>1128.6224615514054</c:v>
                </c:pt>
                <c:pt idx="447">
                  <c:v>1138.3861651021575</c:v>
                </c:pt>
                <c:pt idx="448">
                  <c:v>1138.3861651021575</c:v>
                </c:pt>
                <c:pt idx="449">
                  <c:v>1149.2547348161484</c:v>
                </c:pt>
                <c:pt idx="450">
                  <c:v>1149.2547348161484</c:v>
                </c:pt>
                <c:pt idx="451">
                  <c:v>1161.8413009254996</c:v>
                </c:pt>
                <c:pt idx="452">
                  <c:v>1161.8413009254996</c:v>
                </c:pt>
                <c:pt idx="453">
                  <c:v>1177.3079731375519</c:v>
                </c:pt>
                <c:pt idx="454">
                  <c:v>1177.3079731375519</c:v>
                </c:pt>
                <c:pt idx="455">
                  <c:v>1198.4180179030473</c:v>
                </c:pt>
                <c:pt idx="456">
                  <c:v>1198.4180179030473</c:v>
                </c:pt>
                <c:pt idx="457">
                  <c:v>1236.3530486141144</c:v>
                </c:pt>
                <c:pt idx="458">
                  <c:v>1236.3530486141144</c:v>
                </c:pt>
                <c:pt idx="459">
                  <c:v>1287.2970636211085</c:v>
                </c:pt>
                <c:pt idx="460">
                  <c:v>1287.2970636211085</c:v>
                </c:pt>
                <c:pt idx="461">
                  <c:v>1487.2970636211085</c:v>
                </c:pt>
              </c:numCache>
            </c:numRef>
          </c:xVal>
          <c:yVal>
            <c:numRef>
              <c:f>Reflectivity!$S$3:$S$1000</c:f>
              <c:numCache>
                <c:formatCode>0.00E+00</c:formatCode>
                <c:ptCount val="998"/>
                <c:pt idx="0">
                  <c:v>2.0700000000000001E-6</c:v>
                </c:pt>
                <c:pt idx="1">
                  <c:v>2.0700000000000001E-6</c:v>
                </c:pt>
                <c:pt idx="2">
                  <c:v>2.0753595302827892E-6</c:v>
                </c:pt>
                <c:pt idx="3">
                  <c:v>2.0753595302827892E-6</c:v>
                </c:pt>
                <c:pt idx="4">
                  <c:v>2.1141480010057634E-6</c:v>
                </c:pt>
                <c:pt idx="5">
                  <c:v>2.1141480010057634E-6</c:v>
                </c:pt>
                <c:pt idx="6">
                  <c:v>2.1702613482464512E-6</c:v>
                </c:pt>
                <c:pt idx="7">
                  <c:v>2.1702613482464512E-6</c:v>
                </c:pt>
                <c:pt idx="8">
                  <c:v>2.2337565362949153E-6</c:v>
                </c:pt>
                <c:pt idx="9">
                  <c:v>2.2337565362949153E-6</c:v>
                </c:pt>
                <c:pt idx="10">
                  <c:v>2.3007661947574838E-6</c:v>
                </c:pt>
                <c:pt idx="11">
                  <c:v>2.3007661947574838E-6</c:v>
                </c:pt>
                <c:pt idx="12">
                  <c:v>2.3695198721662014E-6</c:v>
                </c:pt>
                <c:pt idx="13">
                  <c:v>2.3695198721662014E-6</c:v>
                </c:pt>
                <c:pt idx="14">
                  <c:v>2.4391349780240453E-6</c:v>
                </c:pt>
                <c:pt idx="15">
                  <c:v>2.4391349780240453E-6</c:v>
                </c:pt>
                <c:pt idx="16">
                  <c:v>2.5091556373957901E-6</c:v>
                </c:pt>
                <c:pt idx="17">
                  <c:v>2.5091556373957901E-6</c:v>
                </c:pt>
                <c:pt idx="18">
                  <c:v>2.5793482334753735E-6</c:v>
                </c:pt>
                <c:pt idx="19">
                  <c:v>2.5793482334753735E-6</c:v>
                </c:pt>
                <c:pt idx="20">
                  <c:v>2.6496003878244729E-6</c:v>
                </c:pt>
                <c:pt idx="21">
                  <c:v>2.6496003878244729E-6</c:v>
                </c:pt>
                <c:pt idx="22">
                  <c:v>2.7198662854725101E-6</c:v>
                </c:pt>
                <c:pt idx="23">
                  <c:v>2.7198662854725101E-6</c:v>
                </c:pt>
                <c:pt idx="24">
                  <c:v>2.7624103610691113E-6</c:v>
                </c:pt>
                <c:pt idx="25">
                  <c:v>2.7624103610691113E-6</c:v>
                </c:pt>
                <c:pt idx="26">
                  <c:v>2.8819637078625157E-6</c:v>
                </c:pt>
                <c:pt idx="27">
                  <c:v>2.8819637078625157E-6</c:v>
                </c:pt>
                <c:pt idx="28">
                  <c:v>3.0240686499607252E-6</c:v>
                </c:pt>
                <c:pt idx="29">
                  <c:v>3.0240686499607252E-6</c:v>
                </c:pt>
                <c:pt idx="30">
                  <c:v>3.1356258182191214E-6</c:v>
                </c:pt>
                <c:pt idx="31">
                  <c:v>3.1356258182191214E-6</c:v>
                </c:pt>
                <c:pt idx="32">
                  <c:v>3.2114191583134997E-6</c:v>
                </c:pt>
                <c:pt idx="33">
                  <c:v>3.2114191583134997E-6</c:v>
                </c:pt>
                <c:pt idx="34">
                  <c:v>3.2528288179516519E-6</c:v>
                </c:pt>
                <c:pt idx="35">
                  <c:v>3.2528288179516519E-6</c:v>
                </c:pt>
                <c:pt idx="36">
                  <c:v>3.2654973987771447E-6</c:v>
                </c:pt>
                <c:pt idx="37">
                  <c:v>3.2654973987771447E-6</c:v>
                </c:pt>
                <c:pt idx="38">
                  <c:v>3.2564363963175537E-6</c:v>
                </c:pt>
                <c:pt idx="39">
                  <c:v>3.2564363963175537E-6</c:v>
                </c:pt>
                <c:pt idx="40">
                  <c:v>3.2318442160194619E-6</c:v>
                </c:pt>
                <c:pt idx="41">
                  <c:v>3.2318442160194619E-6</c:v>
                </c:pt>
                <c:pt idx="42">
                  <c:v>3.1961241025034071E-6</c:v>
                </c:pt>
                <c:pt idx="43">
                  <c:v>3.1961241025034071E-6</c:v>
                </c:pt>
                <c:pt idx="44">
                  <c:v>3.1518867713483464E-6</c:v>
                </c:pt>
                <c:pt idx="45">
                  <c:v>3.1518867713483464E-6</c:v>
                </c:pt>
                <c:pt idx="46">
                  <c:v>3.1004393544990729E-6</c:v>
                </c:pt>
                <c:pt idx="47">
                  <c:v>3.1004393544990729E-6</c:v>
                </c:pt>
                <c:pt idx="48">
                  <c:v>3.042343048555413E-6</c:v>
                </c:pt>
                <c:pt idx="49">
                  <c:v>3.042343048555413E-6</c:v>
                </c:pt>
                <c:pt idx="50">
                  <c:v>2.9778357161218301E-6</c:v>
                </c:pt>
                <c:pt idx="51">
                  <c:v>2.9778357161218301E-6</c:v>
                </c:pt>
                <c:pt idx="52">
                  <c:v>2.9070862287786817E-6</c:v>
                </c:pt>
                <c:pt idx="53">
                  <c:v>2.9070862287786817E-6</c:v>
                </c:pt>
                <c:pt idx="54">
                  <c:v>2.8303235703190383E-6</c:v>
                </c:pt>
                <c:pt idx="55">
                  <c:v>2.8303235703190383E-6</c:v>
                </c:pt>
                <c:pt idx="56">
                  <c:v>2.7478929873012456E-6</c:v>
                </c:pt>
                <c:pt idx="57">
                  <c:v>2.7478929873012456E-6</c:v>
                </c:pt>
                <c:pt idx="58">
                  <c:v>2.6602751010019083E-6</c:v>
                </c:pt>
                <c:pt idx="59">
                  <c:v>2.6602751010019083E-6</c:v>
                </c:pt>
                <c:pt idx="60">
                  <c:v>2.5680866461362081E-6</c:v>
                </c:pt>
                <c:pt idx="61">
                  <c:v>2.5680866461362081E-6</c:v>
                </c:pt>
                <c:pt idx="62">
                  <c:v>2.4720708769364799E-6</c:v>
                </c:pt>
                <c:pt idx="63">
                  <c:v>2.4720708769364799E-6</c:v>
                </c:pt>
                <c:pt idx="64">
                  <c:v>2.3730808219529544E-6</c:v>
                </c:pt>
                <c:pt idx="65">
                  <c:v>2.3730808219529544E-6</c:v>
                </c:pt>
                <c:pt idx="66">
                  <c:v>2.2720568916327E-6</c:v>
                </c:pt>
                <c:pt idx="67">
                  <c:v>2.2720568916327E-6</c:v>
                </c:pt>
                <c:pt idx="68">
                  <c:v>2.1955548870656515E-6</c:v>
                </c:pt>
                <c:pt idx="69">
                  <c:v>2.1955548870656515E-6</c:v>
                </c:pt>
                <c:pt idx="70">
                  <c:v>2.1344124338829085E-6</c:v>
                </c:pt>
                <c:pt idx="71">
                  <c:v>2.1344124338829085E-6</c:v>
                </c:pt>
                <c:pt idx="72">
                  <c:v>2.0512816153881834E-6</c:v>
                </c:pt>
                <c:pt idx="73">
                  <c:v>2.0512816153881834E-6</c:v>
                </c:pt>
                <c:pt idx="74">
                  <c:v>1.9409852165690451E-6</c:v>
                </c:pt>
                <c:pt idx="75">
                  <c:v>1.9409852165690451E-6</c:v>
                </c:pt>
                <c:pt idx="76">
                  <c:v>1.8322667487261017E-6</c:v>
                </c:pt>
                <c:pt idx="77">
                  <c:v>1.8322667487261017E-6</c:v>
                </c:pt>
                <c:pt idx="78">
                  <c:v>1.7260766697915212E-6</c:v>
                </c:pt>
                <c:pt idx="79">
                  <c:v>1.7260766697915212E-6</c:v>
                </c:pt>
                <c:pt idx="80">
                  <c:v>1.6232363684760336E-6</c:v>
                </c:pt>
                <c:pt idx="81">
                  <c:v>1.6232363684760336E-6</c:v>
                </c:pt>
                <c:pt idx="82">
                  <c:v>1.5244128807446223E-6</c:v>
                </c:pt>
                <c:pt idx="83">
                  <c:v>1.5244128807446223E-6</c:v>
                </c:pt>
                <c:pt idx="84">
                  <c:v>1.4301026768375632E-6</c:v>
                </c:pt>
                <c:pt idx="85">
                  <c:v>1.4301026768375632E-6</c:v>
                </c:pt>
                <c:pt idx="86">
                  <c:v>1.340625219720954E-6</c:v>
                </c:pt>
                <c:pt idx="87">
                  <c:v>1.340625219720954E-6</c:v>
                </c:pt>
                <c:pt idx="88">
                  <c:v>1.2561263150230266E-6</c:v>
                </c:pt>
                <c:pt idx="89">
                  <c:v>1.2561263150230266E-6</c:v>
                </c:pt>
                <c:pt idx="90">
                  <c:v>1.1765906014711193E-6</c:v>
                </c:pt>
                <c:pt idx="91">
                  <c:v>1.1765906014711193E-6</c:v>
                </c:pt>
                <c:pt idx="92">
                  <c:v>1.1018619269977937E-6</c:v>
                </c:pt>
                <c:pt idx="93">
                  <c:v>1.1018619269977937E-6</c:v>
                </c:pt>
                <c:pt idx="94">
                  <c:v>1.0316698680685561E-6</c:v>
                </c:pt>
                <c:pt idx="95">
                  <c:v>1.0316698680685561E-6</c:v>
                </c:pt>
                <c:pt idx="96">
                  <c:v>9.6566031464803162E-7</c:v>
                </c:pt>
                <c:pt idx="97">
                  <c:v>9.6566031464803162E-7</c:v>
                </c:pt>
                <c:pt idx="98">
                  <c:v>9.0342788124486571E-7</c:v>
                </c:pt>
                <c:pt idx="99">
                  <c:v>9.0342788124486571E-7</c:v>
                </c:pt>
                <c:pt idx="100">
                  <c:v>8.4454791977566301E-7</c:v>
                </c:pt>
                <c:pt idx="101">
                  <c:v>8.4454791977566301E-7</c:v>
                </c:pt>
                <c:pt idx="102">
                  <c:v>7.8860609086676947E-7</c:v>
                </c:pt>
                <c:pt idx="103">
                  <c:v>7.8860609086676947E-7</c:v>
                </c:pt>
                <c:pt idx="104">
                  <c:v>7.3522377138454587E-7</c:v>
                </c:pt>
                <c:pt idx="105">
                  <c:v>7.3522377138454587E-7</c:v>
                </c:pt>
                <c:pt idx="106">
                  <c:v>6.8407800190767042E-7</c:v>
                </c:pt>
                <c:pt idx="107">
                  <c:v>6.8407800190767042E-7</c:v>
                </c:pt>
                <c:pt idx="108">
                  <c:v>6.3491516671453625E-7</c:v>
                </c:pt>
                <c:pt idx="109">
                  <c:v>6.3491516671453625E-7</c:v>
                </c:pt>
                <c:pt idx="110">
                  <c:v>5.8755810675903254E-7</c:v>
                </c:pt>
                <c:pt idx="111">
                  <c:v>5.8755810675903254E-7</c:v>
                </c:pt>
                <c:pt idx="112">
                  <c:v>5.4190685106150309E-7</c:v>
                </c:pt>
                <c:pt idx="113">
                  <c:v>5.4190685106150309E-7</c:v>
                </c:pt>
                <c:pt idx="114">
                  <c:v>5.08768648145125E-7</c:v>
                </c:pt>
                <c:pt idx="115">
                  <c:v>5.08768648145125E-7</c:v>
                </c:pt>
                <c:pt idx="116">
                  <c:v>4.5255895576945192E-7</c:v>
                </c:pt>
                <c:pt idx="117">
                  <c:v>4.5255895576945192E-7</c:v>
                </c:pt>
                <c:pt idx="118">
                  <c:v>4.0890061012726321E-7</c:v>
                </c:pt>
                <c:pt idx="119">
                  <c:v>4.0890061012726321E-7</c:v>
                </c:pt>
                <c:pt idx="120">
                  <c:v>3.6525080361593808E-7</c:v>
                </c:pt>
                <c:pt idx="121">
                  <c:v>3.6525080361593808E-7</c:v>
                </c:pt>
                <c:pt idx="122">
                  <c:v>3.2163800247426499E-7</c:v>
                </c:pt>
                <c:pt idx="123">
                  <c:v>3.2163800247426499E-7</c:v>
                </c:pt>
                <c:pt idx="124">
                  <c:v>2.7813203085403311E-7</c:v>
                </c:pt>
                <c:pt idx="125">
                  <c:v>2.7813203085403311E-7</c:v>
                </c:pt>
                <c:pt idx="126">
                  <c:v>2.3487804200323804E-7</c:v>
                </c:pt>
                <c:pt idx="127">
                  <c:v>2.3487804200323804E-7</c:v>
                </c:pt>
                <c:pt idx="128">
                  <c:v>1.9215928492541964E-7</c:v>
                </c:pt>
                <c:pt idx="129">
                  <c:v>1.9215928492541964E-7</c:v>
                </c:pt>
                <c:pt idx="130">
                  <c:v>1.5052414001945294E-7</c:v>
                </c:pt>
                <c:pt idx="131">
                  <c:v>1.5052414001945294E-7</c:v>
                </c:pt>
                <c:pt idx="132">
                  <c:v>1.1107264278930188E-7</c:v>
                </c:pt>
                <c:pt idx="133">
                  <c:v>1.1107264278930188E-7</c:v>
                </c:pt>
                <c:pt idx="134">
                  <c:v>7.6207708433161019E-8</c:v>
                </c:pt>
                <c:pt idx="135">
                  <c:v>7.6207708433161019E-8</c:v>
                </c:pt>
                <c:pt idx="136">
                  <c:v>5.2107248345993402E-8</c:v>
                </c:pt>
                <c:pt idx="137">
                  <c:v>5.2107248345993402E-8</c:v>
                </c:pt>
                <c:pt idx="138">
                  <c:v>4.8777208690941478E-8</c:v>
                </c:pt>
                <c:pt idx="139">
                  <c:v>4.8777208690941478E-8</c:v>
                </c:pt>
                <c:pt idx="140">
                  <c:v>5.215058533710673E-8</c:v>
                </c:pt>
                <c:pt idx="141">
                  <c:v>5.215058533710673E-8</c:v>
                </c:pt>
                <c:pt idx="142">
                  <c:v>7.656468776274994E-8</c:v>
                </c:pt>
                <c:pt idx="143">
                  <c:v>7.656468776274994E-8</c:v>
                </c:pt>
                <c:pt idx="144">
                  <c:v>1.1188335285692195E-7</c:v>
                </c:pt>
                <c:pt idx="145">
                  <c:v>1.1188335285692195E-7</c:v>
                </c:pt>
                <c:pt idx="146">
                  <c:v>1.5184827015469272E-7</c:v>
                </c:pt>
                <c:pt idx="147">
                  <c:v>1.5184827015469272E-7</c:v>
                </c:pt>
                <c:pt idx="148">
                  <c:v>1.9402525302407732E-7</c:v>
                </c:pt>
                <c:pt idx="149">
                  <c:v>1.9402525302407732E-7</c:v>
                </c:pt>
                <c:pt idx="150">
                  <c:v>2.3729995014694822E-7</c:v>
                </c:pt>
                <c:pt idx="151">
                  <c:v>2.3729995014694822E-7</c:v>
                </c:pt>
                <c:pt idx="152">
                  <c:v>2.8111684452579068E-7</c:v>
                </c:pt>
                <c:pt idx="153">
                  <c:v>2.8111684452579068E-7</c:v>
                </c:pt>
                <c:pt idx="154">
                  <c:v>3.2518900096686226E-7</c:v>
                </c:pt>
                <c:pt idx="155">
                  <c:v>3.2518900096686226E-7</c:v>
                </c:pt>
                <c:pt idx="156">
                  <c:v>3.6936937720411694E-7</c:v>
                </c:pt>
                <c:pt idx="157">
                  <c:v>3.6936937720411694E-7</c:v>
                </c:pt>
                <c:pt idx="158">
                  <c:v>4.1358724039729343E-7</c:v>
                </c:pt>
                <c:pt idx="159">
                  <c:v>4.1358724039729343E-7</c:v>
                </c:pt>
                <c:pt idx="160">
                  <c:v>4.5781375384921078E-7</c:v>
                </c:pt>
                <c:pt idx="161">
                  <c:v>4.5781375384921078E-7</c:v>
                </c:pt>
                <c:pt idx="162">
                  <c:v>5.0204123119388497E-7</c:v>
                </c:pt>
                <c:pt idx="163">
                  <c:v>5.0204123119388497E-7</c:v>
                </c:pt>
                <c:pt idx="164">
                  <c:v>5.4626774464580233E-7</c:v>
                </c:pt>
                <c:pt idx="165">
                  <c:v>5.4626774464580233E-7</c:v>
                </c:pt>
                <c:pt idx="166">
                  <c:v>5.9048560783897882E-7</c:v>
                </c:pt>
                <c:pt idx="167">
                  <c:v>5.9048560783897882E-7</c:v>
                </c:pt>
                <c:pt idx="168">
                  <c:v>6.3466598407623349E-7</c:v>
                </c:pt>
                <c:pt idx="169">
                  <c:v>6.3466598407623349E-7</c:v>
                </c:pt>
                <c:pt idx="170">
                  <c:v>6.7873814051730507E-7</c:v>
                </c:pt>
                <c:pt idx="171">
                  <c:v>6.7873814051730507E-7</c:v>
                </c:pt>
                <c:pt idx="172">
                  <c:v>7.2255503489614754E-7</c:v>
                </c:pt>
                <c:pt idx="173">
                  <c:v>7.2255503489614754E-7</c:v>
                </c:pt>
                <c:pt idx="174">
                  <c:v>7.6582973201901843E-7</c:v>
                </c:pt>
                <c:pt idx="175">
                  <c:v>7.6582973201901843E-7</c:v>
                </c:pt>
                <c:pt idx="176">
                  <c:v>8.0800671488840303E-7</c:v>
                </c:pt>
                <c:pt idx="177">
                  <c:v>8.0800671488840303E-7</c:v>
                </c:pt>
                <c:pt idx="178">
                  <c:v>8.479716321861738E-7</c:v>
                </c:pt>
                <c:pt idx="179">
                  <c:v>8.479716321861738E-7</c:v>
                </c:pt>
                <c:pt idx="180">
                  <c:v>8.8329029728034602E-7</c:v>
                </c:pt>
                <c:pt idx="181">
                  <c:v>8.8329029728034602E-7</c:v>
                </c:pt>
                <c:pt idx="182">
                  <c:v>9.0770439970598902E-7</c:v>
                </c:pt>
                <c:pt idx="183">
                  <c:v>9.0770439970598902E-7</c:v>
                </c:pt>
                <c:pt idx="184">
                  <c:v>9.1107777635215427E-7</c:v>
                </c:pt>
                <c:pt idx="185">
                  <c:v>9.1107777635215427E-7</c:v>
                </c:pt>
                <c:pt idx="186">
                  <c:v>9.0770439970598902E-7</c:v>
                </c:pt>
                <c:pt idx="187">
                  <c:v>9.0770439970598902E-7</c:v>
                </c:pt>
                <c:pt idx="188">
                  <c:v>8.8329029728034602E-7</c:v>
                </c:pt>
                <c:pt idx="189">
                  <c:v>8.8329029728034602E-7</c:v>
                </c:pt>
                <c:pt idx="190">
                  <c:v>8.479716321861738E-7</c:v>
                </c:pt>
                <c:pt idx="191">
                  <c:v>8.479716321861738E-7</c:v>
                </c:pt>
                <c:pt idx="192">
                  <c:v>8.0800671488840303E-7</c:v>
                </c:pt>
                <c:pt idx="193">
                  <c:v>8.0800671488840303E-7</c:v>
                </c:pt>
                <c:pt idx="194">
                  <c:v>7.6582973201901843E-7</c:v>
                </c:pt>
                <c:pt idx="195">
                  <c:v>7.6582973201901843E-7</c:v>
                </c:pt>
                <c:pt idx="196">
                  <c:v>7.2255503489614754E-7</c:v>
                </c:pt>
                <c:pt idx="197">
                  <c:v>7.2255503489614754E-7</c:v>
                </c:pt>
                <c:pt idx="198">
                  <c:v>6.7873814051730507E-7</c:v>
                </c:pt>
                <c:pt idx="199">
                  <c:v>6.7873814051730507E-7</c:v>
                </c:pt>
                <c:pt idx="200">
                  <c:v>6.3466598407623349E-7</c:v>
                </c:pt>
                <c:pt idx="201">
                  <c:v>6.3466598407623349E-7</c:v>
                </c:pt>
                <c:pt idx="202">
                  <c:v>5.9048560783897882E-7</c:v>
                </c:pt>
                <c:pt idx="203">
                  <c:v>5.9048560783897882E-7</c:v>
                </c:pt>
                <c:pt idx="204">
                  <c:v>5.4626774464580233E-7</c:v>
                </c:pt>
                <c:pt idx="205">
                  <c:v>5.4626774464580233E-7</c:v>
                </c:pt>
                <c:pt idx="206">
                  <c:v>5.0204123119388497E-7</c:v>
                </c:pt>
                <c:pt idx="207">
                  <c:v>5.0204123119388497E-7</c:v>
                </c:pt>
                <c:pt idx="208">
                  <c:v>4.5781375384921078E-7</c:v>
                </c:pt>
                <c:pt idx="209">
                  <c:v>4.5781375384921078E-7</c:v>
                </c:pt>
                <c:pt idx="210">
                  <c:v>4.1358724039729343E-7</c:v>
                </c:pt>
                <c:pt idx="211">
                  <c:v>4.1358724039729343E-7</c:v>
                </c:pt>
                <c:pt idx="212">
                  <c:v>3.6936937720411694E-7</c:v>
                </c:pt>
                <c:pt idx="213">
                  <c:v>3.6936937720411694E-7</c:v>
                </c:pt>
                <c:pt idx="214">
                  <c:v>3.2518900096686226E-7</c:v>
                </c:pt>
                <c:pt idx="215">
                  <c:v>3.2518900096686226E-7</c:v>
                </c:pt>
                <c:pt idx="216">
                  <c:v>2.8111684452579068E-7</c:v>
                </c:pt>
                <c:pt idx="217">
                  <c:v>2.8111684452579068E-7</c:v>
                </c:pt>
                <c:pt idx="218">
                  <c:v>2.3729995014694822E-7</c:v>
                </c:pt>
                <c:pt idx="219">
                  <c:v>2.3729995014694822E-7</c:v>
                </c:pt>
                <c:pt idx="220">
                  <c:v>1.9402525302407732E-7</c:v>
                </c:pt>
                <c:pt idx="221">
                  <c:v>1.9402525302407732E-7</c:v>
                </c:pt>
                <c:pt idx="222">
                  <c:v>1.5184827015469272E-7</c:v>
                </c:pt>
                <c:pt idx="223">
                  <c:v>1.5184827015469272E-7</c:v>
                </c:pt>
                <c:pt idx="224">
                  <c:v>1.1188335285692195E-7</c:v>
                </c:pt>
                <c:pt idx="225">
                  <c:v>1.1188335285692195E-7</c:v>
                </c:pt>
                <c:pt idx="226">
                  <c:v>7.656468776274994E-8</c:v>
                </c:pt>
                <c:pt idx="227">
                  <c:v>7.656468776274994E-8</c:v>
                </c:pt>
                <c:pt idx="228">
                  <c:v>5.215058533710673E-8</c:v>
                </c:pt>
                <c:pt idx="229">
                  <c:v>5.215058533710673E-8</c:v>
                </c:pt>
                <c:pt idx="230">
                  <c:v>4.8777208690941478E-8</c:v>
                </c:pt>
                <c:pt idx="231">
                  <c:v>4.8777208690941478E-8</c:v>
                </c:pt>
                <c:pt idx="232">
                  <c:v>5.215058533710673E-8</c:v>
                </c:pt>
                <c:pt idx="233">
                  <c:v>5.215058533710673E-8</c:v>
                </c:pt>
                <c:pt idx="234">
                  <c:v>7.656468776274994E-8</c:v>
                </c:pt>
                <c:pt idx="235">
                  <c:v>7.656468776274994E-8</c:v>
                </c:pt>
                <c:pt idx="236">
                  <c:v>1.1188335285692195E-7</c:v>
                </c:pt>
                <c:pt idx="237">
                  <c:v>1.1188335285692195E-7</c:v>
                </c:pt>
                <c:pt idx="238">
                  <c:v>1.5184827015469272E-7</c:v>
                </c:pt>
                <c:pt idx="239">
                  <c:v>1.5184827015469272E-7</c:v>
                </c:pt>
                <c:pt idx="240">
                  <c:v>1.9402525302407732E-7</c:v>
                </c:pt>
                <c:pt idx="241">
                  <c:v>1.9402525302407732E-7</c:v>
                </c:pt>
                <c:pt idx="242">
                  <c:v>2.3729995014694822E-7</c:v>
                </c:pt>
                <c:pt idx="243">
                  <c:v>2.3729995014694822E-7</c:v>
                </c:pt>
                <c:pt idx="244">
                  <c:v>2.8111684452579068E-7</c:v>
                </c:pt>
                <c:pt idx="245">
                  <c:v>2.8111684452579068E-7</c:v>
                </c:pt>
                <c:pt idx="246">
                  <c:v>3.2518900096686226E-7</c:v>
                </c:pt>
                <c:pt idx="247">
                  <c:v>3.2518900096686226E-7</c:v>
                </c:pt>
                <c:pt idx="248">
                  <c:v>3.6936937720411694E-7</c:v>
                </c:pt>
                <c:pt idx="249">
                  <c:v>3.6936937720411694E-7</c:v>
                </c:pt>
                <c:pt idx="250">
                  <c:v>4.1358724039729343E-7</c:v>
                </c:pt>
                <c:pt idx="251">
                  <c:v>4.1358724039729343E-7</c:v>
                </c:pt>
                <c:pt idx="252">
                  <c:v>4.5781375384921078E-7</c:v>
                </c:pt>
                <c:pt idx="253">
                  <c:v>4.5781375384921078E-7</c:v>
                </c:pt>
                <c:pt idx="254">
                  <c:v>5.0204123119388497E-7</c:v>
                </c:pt>
                <c:pt idx="255">
                  <c:v>5.0204123119388497E-7</c:v>
                </c:pt>
                <c:pt idx="256">
                  <c:v>5.4626774464580233E-7</c:v>
                </c:pt>
                <c:pt idx="257">
                  <c:v>5.4626774464580233E-7</c:v>
                </c:pt>
                <c:pt idx="258">
                  <c:v>5.9048560783897882E-7</c:v>
                </c:pt>
                <c:pt idx="259">
                  <c:v>5.9048560783897882E-7</c:v>
                </c:pt>
                <c:pt idx="260">
                  <c:v>6.3466598407623349E-7</c:v>
                </c:pt>
                <c:pt idx="261">
                  <c:v>6.3466598407623349E-7</c:v>
                </c:pt>
                <c:pt idx="262">
                  <c:v>6.7873814051730507E-7</c:v>
                </c:pt>
                <c:pt idx="263">
                  <c:v>6.7873814051730507E-7</c:v>
                </c:pt>
                <c:pt idx="264">
                  <c:v>7.2255503489614754E-7</c:v>
                </c:pt>
                <c:pt idx="265">
                  <c:v>7.2255503489614754E-7</c:v>
                </c:pt>
                <c:pt idx="266">
                  <c:v>7.6582973201901843E-7</c:v>
                </c:pt>
                <c:pt idx="267">
                  <c:v>7.6582973201901843E-7</c:v>
                </c:pt>
                <c:pt idx="268">
                  <c:v>8.0800671488840303E-7</c:v>
                </c:pt>
                <c:pt idx="269">
                  <c:v>8.0800671488840303E-7</c:v>
                </c:pt>
                <c:pt idx="270">
                  <c:v>8.479716321861738E-7</c:v>
                </c:pt>
                <c:pt idx="271">
                  <c:v>8.479716321861738E-7</c:v>
                </c:pt>
                <c:pt idx="272">
                  <c:v>8.8329029728034602E-7</c:v>
                </c:pt>
                <c:pt idx="273">
                  <c:v>8.8329029728034602E-7</c:v>
                </c:pt>
                <c:pt idx="274">
                  <c:v>9.0770439970598902E-7</c:v>
                </c:pt>
                <c:pt idx="275">
                  <c:v>9.0770439970598902E-7</c:v>
                </c:pt>
                <c:pt idx="276">
                  <c:v>9.1107777635079203E-7</c:v>
                </c:pt>
                <c:pt idx="277">
                  <c:v>9.1107777635079203E-7</c:v>
                </c:pt>
                <c:pt idx="278">
                  <c:v>9.0770439970259602E-7</c:v>
                </c:pt>
                <c:pt idx="279">
                  <c:v>9.0770439970259602E-7</c:v>
                </c:pt>
                <c:pt idx="280">
                  <c:v>8.8329029726825442E-7</c:v>
                </c:pt>
                <c:pt idx="281">
                  <c:v>8.8329029726825442E-7</c:v>
                </c:pt>
                <c:pt idx="282">
                  <c:v>8.4797163215893618E-7</c:v>
                </c:pt>
                <c:pt idx="283">
                  <c:v>8.4797163215893618E-7</c:v>
                </c:pt>
                <c:pt idx="284">
                  <c:v>8.0800671484428743E-7</c:v>
                </c:pt>
                <c:pt idx="285">
                  <c:v>8.0800671484428743E-7</c:v>
                </c:pt>
                <c:pt idx="286">
                  <c:v>7.6582973195599008E-7</c:v>
                </c:pt>
                <c:pt idx="287">
                  <c:v>7.6582973195599008E-7</c:v>
                </c:pt>
                <c:pt idx="288">
                  <c:v>7.2255503481202128E-7</c:v>
                </c:pt>
                <c:pt idx="289">
                  <c:v>7.2255503481202128E-7</c:v>
                </c:pt>
                <c:pt idx="290">
                  <c:v>6.7873814040966349E-7</c:v>
                </c:pt>
                <c:pt idx="291">
                  <c:v>6.7873814040966349E-7</c:v>
                </c:pt>
                <c:pt idx="292">
                  <c:v>6.3466598394231652E-7</c:v>
                </c:pt>
                <c:pt idx="293">
                  <c:v>6.3466598394231652E-7</c:v>
                </c:pt>
                <c:pt idx="294">
                  <c:v>5.9048560767554699E-7</c:v>
                </c:pt>
                <c:pt idx="295">
                  <c:v>5.9048560767554699E-7</c:v>
                </c:pt>
                <c:pt idx="296">
                  <c:v>5.4626774444895378E-7</c:v>
                </c:pt>
                <c:pt idx="297">
                  <c:v>5.4626774444895378E-7</c:v>
                </c:pt>
                <c:pt idx="298">
                  <c:v>5.0204123095880157E-7</c:v>
                </c:pt>
                <c:pt idx="299">
                  <c:v>5.0204123095880157E-7</c:v>
                </c:pt>
                <c:pt idx="300">
                  <c:v>4.5781375356978393E-7</c:v>
                </c:pt>
                <c:pt idx="301">
                  <c:v>4.5781375356978393E-7</c:v>
                </c:pt>
                <c:pt idx="302">
                  <c:v>4.1358724006555001E-7</c:v>
                </c:pt>
                <c:pt idx="303">
                  <c:v>4.1358724006555001E-7</c:v>
                </c:pt>
                <c:pt idx="304">
                  <c:v>3.693693768092954E-7</c:v>
                </c:pt>
                <c:pt idx="305">
                  <c:v>3.693693768092954E-7</c:v>
                </c:pt>
                <c:pt idx="306">
                  <c:v>3.2518900049384116E-7</c:v>
                </c:pt>
                <c:pt idx="307">
                  <c:v>3.2518900049384116E-7</c:v>
                </c:pt>
                <c:pt idx="308">
                  <c:v>2.811168439522346E-7</c:v>
                </c:pt>
                <c:pt idx="309">
                  <c:v>2.811168439522346E-7</c:v>
                </c:pt>
                <c:pt idx="310">
                  <c:v>2.3729994943766633E-7</c:v>
                </c:pt>
                <c:pt idx="311">
                  <c:v>2.3729994943766633E-7</c:v>
                </c:pt>
                <c:pt idx="312">
                  <c:v>1.9402525211852795E-7</c:v>
                </c:pt>
                <c:pt idx="313">
                  <c:v>1.9402525211852795E-7</c:v>
                </c:pt>
                <c:pt idx="314">
                  <c:v>1.5184826893438845E-7</c:v>
                </c:pt>
                <c:pt idx="315">
                  <c:v>1.5184826893438845E-7</c:v>
                </c:pt>
                <c:pt idx="316">
                  <c:v>1.1188335103419303E-7</c:v>
                </c:pt>
                <c:pt idx="317">
                  <c:v>1.1188335103419303E-7</c:v>
                </c:pt>
                <c:pt idx="318">
                  <c:v>7.656468418256783E-8</c:v>
                </c:pt>
                <c:pt idx="319">
                  <c:v>7.656468418256783E-8</c:v>
                </c:pt>
                <c:pt idx="320">
                  <c:v>5.215057530206007E-8</c:v>
                </c:pt>
                <c:pt idx="321">
                  <c:v>5.215057530206007E-8</c:v>
                </c:pt>
                <c:pt idx="322">
                  <c:v>4.8776354473182939E-8</c:v>
                </c:pt>
                <c:pt idx="323">
                  <c:v>4.8776354473182939E-8</c:v>
                </c:pt>
                <c:pt idx="324">
                  <c:v>5.2113397811112076E-8</c:v>
                </c:pt>
                <c:pt idx="325">
                  <c:v>5.2113397811112076E-8</c:v>
                </c:pt>
                <c:pt idx="326">
                  <c:v>7.6483839435038196E-8</c:v>
                </c:pt>
                <c:pt idx="327">
                  <c:v>7.6483839435038196E-8</c:v>
                </c:pt>
                <c:pt idx="328">
                  <c:v>1.1174653915008288E-7</c:v>
                </c:pt>
                <c:pt idx="329">
                  <c:v>1.1174653915008288E-7</c:v>
                </c:pt>
                <c:pt idx="330">
                  <c:v>1.516554659443586E-7</c:v>
                </c:pt>
                <c:pt idx="331">
                  <c:v>1.516554659443586E-7</c:v>
                </c:pt>
                <c:pt idx="332">
                  <c:v>1.9377201297646939E-7</c:v>
                </c:pt>
                <c:pt idx="333">
                  <c:v>1.9377201297646939E-7</c:v>
                </c:pt>
                <c:pt idx="334">
                  <c:v>2.3698020342805688E-7</c:v>
                </c:pt>
                <c:pt idx="335">
                  <c:v>2.3698020342805688E-7</c:v>
                </c:pt>
                <c:pt idx="336">
                  <c:v>2.8072329083692203E-7</c:v>
                </c:pt>
                <c:pt idx="337">
                  <c:v>2.8072329083692203E-7</c:v>
                </c:pt>
                <c:pt idx="338">
                  <c:v>3.2471308414375808E-7</c:v>
                </c:pt>
                <c:pt idx="339">
                  <c:v>3.2471308414375808E-7</c:v>
                </c:pt>
                <c:pt idx="340">
                  <c:v>3.688010810486419E-7</c:v>
                </c:pt>
                <c:pt idx="341">
                  <c:v>3.688010810486419E-7</c:v>
                </c:pt>
                <c:pt idx="342">
                  <c:v>4.1291474657080091E-7</c:v>
                </c:pt>
                <c:pt idx="343">
                  <c:v>4.1291474657080091E-7</c:v>
                </c:pt>
                <c:pt idx="344">
                  <c:v>4.5702294106463256E-7</c:v>
                </c:pt>
                <c:pt idx="345">
                  <c:v>4.5702294106463256E-7</c:v>
                </c:pt>
                <c:pt idx="346">
                  <c:v>5.0111495434582766E-7</c:v>
                </c:pt>
                <c:pt idx="347">
                  <c:v>5.0111495434582766E-7</c:v>
                </c:pt>
                <c:pt idx="348">
                  <c:v>5.4518478084430862E-7</c:v>
                </c:pt>
                <c:pt idx="349">
                  <c:v>5.4518478084430862E-7</c:v>
                </c:pt>
                <c:pt idx="350">
                  <c:v>5.8921906338217853E-7</c:v>
                </c:pt>
                <c:pt idx="351">
                  <c:v>5.8921906338217853E-7</c:v>
                </c:pt>
                <c:pt idx="352">
                  <c:v>6.3318078357976419E-7</c:v>
                </c:pt>
                <c:pt idx="353">
                  <c:v>6.3318078357976419E-7</c:v>
                </c:pt>
                <c:pt idx="354">
                  <c:v>6.7698684067061181E-7</c:v>
                </c:pt>
                <c:pt idx="355">
                  <c:v>6.7698684067061181E-7</c:v>
                </c:pt>
                <c:pt idx="356">
                  <c:v>7.2047031530662944E-7</c:v>
                </c:pt>
                <c:pt idx="357">
                  <c:v>7.2047031530662944E-7</c:v>
                </c:pt>
                <c:pt idx="358">
                  <c:v>7.6330951138132645E-7</c:v>
                </c:pt>
                <c:pt idx="359">
                  <c:v>7.6330951138132645E-7</c:v>
                </c:pt>
                <c:pt idx="360">
                  <c:v>8.048800059951408E-7</c:v>
                </c:pt>
                <c:pt idx="361">
                  <c:v>8.048800059951408E-7</c:v>
                </c:pt>
                <c:pt idx="362">
                  <c:v>8.4389866839080037E-7</c:v>
                </c:pt>
                <c:pt idx="363">
                  <c:v>8.4389866839080037E-7</c:v>
                </c:pt>
                <c:pt idx="364">
                  <c:v>8.7725145137277604E-7</c:v>
                </c:pt>
                <c:pt idx="365">
                  <c:v>8.7725145137277604E-7</c:v>
                </c:pt>
                <c:pt idx="366">
                  <c:v>8.9727657266449333E-7</c:v>
                </c:pt>
                <c:pt idx="367">
                  <c:v>8.9727657266449333E-7</c:v>
                </c:pt>
                <c:pt idx="368">
                  <c:v>8.9624929194833276E-7</c:v>
                </c:pt>
                <c:pt idx="369">
                  <c:v>8.9624929194833276E-7</c:v>
                </c:pt>
                <c:pt idx="370">
                  <c:v>8.8702562603549273E-7</c:v>
                </c:pt>
                <c:pt idx="371">
                  <c:v>8.8702562603549273E-7</c:v>
                </c:pt>
                <c:pt idx="372">
                  <c:v>8.5121650947424238E-7</c:v>
                </c:pt>
                <c:pt idx="373">
                  <c:v>8.5121650947424238E-7</c:v>
                </c:pt>
                <c:pt idx="374">
                  <c:v>8.0632478359478973E-7</c:v>
                </c:pt>
                <c:pt idx="375">
                  <c:v>8.0632478359478973E-7</c:v>
                </c:pt>
                <c:pt idx="376">
                  <c:v>7.6002041850060778E-7</c:v>
                </c:pt>
                <c:pt idx="377">
                  <c:v>7.6002041850060778E-7</c:v>
                </c:pt>
                <c:pt idx="378">
                  <c:v>7.1300784829140674E-7</c:v>
                </c:pt>
                <c:pt idx="379">
                  <c:v>7.1300784829140674E-7</c:v>
                </c:pt>
                <c:pt idx="380">
                  <c:v>6.6584659899769056E-7</c:v>
                </c:pt>
                <c:pt idx="381">
                  <c:v>6.6584659899769056E-7</c:v>
                </c:pt>
                <c:pt idx="382">
                  <c:v>6.188128093680446E-7</c:v>
                </c:pt>
                <c:pt idx="383">
                  <c:v>6.188128093680446E-7</c:v>
                </c:pt>
                <c:pt idx="384">
                  <c:v>5.7202516367753413E-7</c:v>
                </c:pt>
                <c:pt idx="385">
                  <c:v>5.7202516367753413E-7</c:v>
                </c:pt>
                <c:pt idx="386">
                  <c:v>5.2551776261256167E-7</c:v>
                </c:pt>
                <c:pt idx="387">
                  <c:v>5.2551776261256167E-7</c:v>
                </c:pt>
                <c:pt idx="388">
                  <c:v>4.7927884110001957E-7</c:v>
                </c:pt>
                <c:pt idx="389">
                  <c:v>4.7927884110001957E-7</c:v>
                </c:pt>
                <c:pt idx="390">
                  <c:v>4.3327188491459909E-7</c:v>
                </c:pt>
                <c:pt idx="391">
                  <c:v>4.3327188491459909E-7</c:v>
                </c:pt>
                <c:pt idx="392">
                  <c:v>4.1543818365137511E-7</c:v>
                </c:pt>
                <c:pt idx="393">
                  <c:v>4.1543818365137511E-7</c:v>
                </c:pt>
                <c:pt idx="394">
                  <c:v>3.4490978751301663E-7</c:v>
                </c:pt>
                <c:pt idx="395">
                  <c:v>3.4490978751301663E-7</c:v>
                </c:pt>
                <c:pt idx="396">
                  <c:v>2.5583313249973744E-7</c:v>
                </c:pt>
                <c:pt idx="397">
                  <c:v>2.5583313249973744E-7</c:v>
                </c:pt>
                <c:pt idx="398">
                  <c:v>1.7660976458917387E-7</c:v>
                </c:pt>
                <c:pt idx="399">
                  <c:v>1.7660976458917387E-7</c:v>
                </c:pt>
                <c:pt idx="400">
                  <c:v>1.1002204447063112E-7</c:v>
                </c:pt>
                <c:pt idx="401">
                  <c:v>1.1002204447063112E-7</c:v>
                </c:pt>
                <c:pt idx="402">
                  <c:v>5.6768490107717471E-8</c:v>
                </c:pt>
                <c:pt idx="403">
                  <c:v>5.6768490107717471E-8</c:v>
                </c:pt>
                <c:pt idx="404">
                  <c:v>1.5772486455361796E-8</c:v>
                </c:pt>
                <c:pt idx="405">
                  <c:v>1.5772486455361796E-8</c:v>
                </c:pt>
                <c:pt idx="406">
                  <c:v>-1.5179053201748438E-8</c:v>
                </c:pt>
                <c:pt idx="407">
                  <c:v>-1.5179053201748438E-8</c:v>
                </c:pt>
                <c:pt idx="408">
                  <c:v>-3.8726759546349723E-8</c:v>
                </c:pt>
                <c:pt idx="409">
                  <c:v>-3.8726759546349723E-8</c:v>
                </c:pt>
                <c:pt idx="410">
                  <c:v>-5.7369621207926146E-8</c:v>
                </c:pt>
                <c:pt idx="411">
                  <c:v>-5.7369621207926146E-8</c:v>
                </c:pt>
                <c:pt idx="412">
                  <c:v>-7.313407143583595E-8</c:v>
                </c:pt>
                <c:pt idx="413">
                  <c:v>-7.313407143583595E-8</c:v>
                </c:pt>
                <c:pt idx="414">
                  <c:v>-8.7471715174881389E-8</c:v>
                </c:pt>
                <c:pt idx="415">
                  <c:v>-8.7471715174881389E-8</c:v>
                </c:pt>
                <c:pt idx="416">
                  <c:v>-1.0131284513106786E-7</c:v>
                </c:pt>
                <c:pt idx="417">
                  <c:v>-1.0131284513106786E-7</c:v>
                </c:pt>
                <c:pt idx="418">
                  <c:v>-1.1519084281312008E-7</c:v>
                </c:pt>
                <c:pt idx="419">
                  <c:v>-1.1519084281312008E-7</c:v>
                </c:pt>
                <c:pt idx="420">
                  <c:v>-1.293736518322355E-7</c:v>
                </c:pt>
                <c:pt idx="421">
                  <c:v>-1.293736518322355E-7</c:v>
                </c:pt>
                <c:pt idx="422">
                  <c:v>-1.4396933289253296E-7</c:v>
                </c:pt>
                <c:pt idx="423">
                  <c:v>-1.4396933289253296E-7</c:v>
                </c:pt>
                <c:pt idx="424">
                  <c:v>-1.5899744430382153E-7</c:v>
                </c:pt>
                <c:pt idx="425">
                  <c:v>-1.5899744430382153E-7</c:v>
                </c:pt>
                <c:pt idx="426">
                  <c:v>-1.7443143949071264E-7</c:v>
                </c:pt>
                <c:pt idx="427">
                  <c:v>-1.7443143949071264E-7</c:v>
                </c:pt>
                <c:pt idx="428">
                  <c:v>-1.9022136079478147E-7</c:v>
                </c:pt>
                <c:pt idx="429">
                  <c:v>-1.9022136079478147E-7</c:v>
                </c:pt>
                <c:pt idx="430">
                  <c:v>-2.0630508013654239E-7</c:v>
                </c:pt>
                <c:pt idx="431">
                  <c:v>-2.0630508013654239E-7</c:v>
                </c:pt>
                <c:pt idx="432">
                  <c:v>-2.2261369012886558E-7</c:v>
                </c:pt>
                <c:pt idx="433">
                  <c:v>-2.2261369012886558E-7</c:v>
                </c:pt>
                <c:pt idx="434">
                  <c:v>-2.3907423890976707E-7</c:v>
                </c:pt>
                <c:pt idx="435">
                  <c:v>-2.3907423890976707E-7</c:v>
                </c:pt>
                <c:pt idx="436">
                  <c:v>-2.5147409401048446E-7</c:v>
                </c:pt>
                <c:pt idx="437">
                  <c:v>-2.5147409401048446E-7</c:v>
                </c:pt>
                <c:pt idx="438">
                  <c:v>-2.71223515845033E-7</c:v>
                </c:pt>
                <c:pt idx="439">
                  <c:v>-2.71223515845033E-7</c:v>
                </c:pt>
                <c:pt idx="440">
                  <c:v>-3.0244707572556974E-7</c:v>
                </c:pt>
                <c:pt idx="441">
                  <c:v>-3.0244707572556974E-7</c:v>
                </c:pt>
                <c:pt idx="442">
                  <c:v>-3.3366452859357692E-7</c:v>
                </c:pt>
                <c:pt idx="443">
                  <c:v>-3.3366452859357692E-7</c:v>
                </c:pt>
                <c:pt idx="444">
                  <c:v>-3.6485551597467127E-7</c:v>
                </c:pt>
                <c:pt idx="445">
                  <c:v>-3.6485551597467127E-7</c:v>
                </c:pt>
                <c:pt idx="446">
                  <c:v>-3.9597010105717511E-7</c:v>
                </c:pt>
                <c:pt idx="447">
                  <c:v>-3.9597010105717511E-7</c:v>
                </c:pt>
                <c:pt idx="448">
                  <c:v>-4.2690447319357129E-7</c:v>
                </c:pt>
                <c:pt idx="449">
                  <c:v>-4.2690447319357129E-7</c:v>
                </c:pt>
                <c:pt idx="450">
                  <c:v>-4.5745605846372927E-7</c:v>
                </c:pt>
                <c:pt idx="451">
                  <c:v>-4.5745605846372927E-7</c:v>
                </c:pt>
                <c:pt idx="452">
                  <c:v>-4.8723266637188673E-7</c:v>
                </c:pt>
                <c:pt idx="453">
                  <c:v>-4.8723266637188673E-7</c:v>
                </c:pt>
                <c:pt idx="454">
                  <c:v>-5.1544757392331066E-7</c:v>
                </c:pt>
                <c:pt idx="455">
                  <c:v>-5.1544757392331066E-7</c:v>
                </c:pt>
                <c:pt idx="456">
                  <c:v>-5.4038226509374228E-7</c:v>
                </c:pt>
                <c:pt idx="457">
                  <c:v>-5.4038226509374228E-7</c:v>
                </c:pt>
                <c:pt idx="458">
                  <c:v>-5.5761842344127704E-7</c:v>
                </c:pt>
                <c:pt idx="459">
                  <c:v>-5.5761842344127704E-7</c:v>
                </c:pt>
                <c:pt idx="460">
                  <c:v>-5.6000000000000014E-7</c:v>
                </c:pt>
                <c:pt idx="461">
                  <c:v>-5.6000000000000014E-7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7E-4F5F-B9B8-25F4FB95B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930560"/>
        <c:axId val="131580672"/>
      </c:scatterChart>
      <c:valAx>
        <c:axId val="130930560"/>
        <c:scaling>
          <c:orientation val="minMax"/>
          <c:max val="2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 i="1"/>
                  <a:t>z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1580672"/>
        <c:crosses val="autoZero"/>
        <c:crossBetween val="midCat"/>
      </c:valAx>
      <c:valAx>
        <c:axId val="131580672"/>
        <c:scaling>
          <c:orientation val="minMax"/>
          <c:min val="-1.0000000000000004E-6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 i="1"/>
                  <a:t>b/V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 baseline="30000"/>
                  <a:t>-2</a:t>
                </a:r>
                <a:r>
                  <a:rPr lang="en-US" sz="1400" i="0" baseline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E+00" sourceLinked="0"/>
        <c:majorTickMark val="in"/>
        <c:minorTickMark val="none"/>
        <c:tickLblPos val="nextTo"/>
        <c:txPr>
          <a:bodyPr/>
          <a:lstStyle/>
          <a:p>
            <a:pPr>
              <a:defRPr sz="1200" baseline="0">
                <a:latin typeface="Calibri" pitchFamily="34" charset="0"/>
                <a:cs typeface="Times New Roman" pitchFamily="18" charset="0"/>
              </a:defRPr>
            </a:pPr>
            <a:endParaRPr lang="en-US"/>
          </a:p>
        </c:txPr>
        <c:crossAx val="130930560"/>
        <c:crosses val="autoZero"/>
        <c:crossBetween val="midCat"/>
      </c:valAx>
      <c:spPr>
        <a:solidFill>
          <a:srgbClr val="808080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CC99"/>
    </a:solidFill>
    <a:ln w="3175">
      <a:solidFill>
        <a:srgbClr val="808080"/>
      </a:solidFill>
      <a:prstDash val="solid"/>
    </a:ln>
  </c:spPr>
  <c:printSettings>
    <c:headerFooter/>
    <c:pageMargins b="0.75000000000000178" l="0.70000000000000062" r="0.70000000000000062" t="0.75000000000000178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>
                <a:latin typeface="+mn-lt"/>
              </a:rPr>
              <a:t>Reflectivity</a:t>
            </a:r>
          </a:p>
        </c:rich>
      </c:tx>
      <c:layout>
        <c:manualLayout>
          <c:xMode val="edge"/>
          <c:yMode val="edge"/>
          <c:x val="0.42954408476718187"/>
          <c:y val="2.30768916531347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19318181818182"/>
          <c:y val="0.12301777991350317"/>
          <c:w val="0.74573863636363713"/>
          <c:h val="0.70735223450264262"/>
        </c:manualLayout>
      </c:layout>
      <c:scatterChart>
        <c:scatterStyle val="lineMarker"/>
        <c:varyColors val="0"/>
        <c:ser>
          <c:idx val="1"/>
          <c:order val="0"/>
          <c:tx>
            <c:v>Neutron Model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Reflectivity!$I$3:$I$1639</c:f>
              <c:numCache>
                <c:formatCode>0.0000E+00</c:formatCode>
                <c:ptCount val="1637"/>
                <c:pt idx="0">
                  <c:v>8.06113038841E-3</c:v>
                </c:pt>
                <c:pt idx="1">
                  <c:v>8.1417416922999995E-3</c:v>
                </c:pt>
                <c:pt idx="2">
                  <c:v>8.2231591092200001E-3</c:v>
                </c:pt>
                <c:pt idx="3">
                  <c:v>8.3053907003100003E-3</c:v>
                </c:pt>
                <c:pt idx="4">
                  <c:v>8.3884446073099993E-3</c:v>
                </c:pt>
                <c:pt idx="5">
                  <c:v>8.4723290533899997E-3</c:v>
                </c:pt>
                <c:pt idx="6">
                  <c:v>8.5570523439199991E-3</c:v>
                </c:pt>
                <c:pt idx="7">
                  <c:v>8.6426228673600006E-3</c:v>
                </c:pt>
                <c:pt idx="8">
                  <c:v>8.7290490960300008E-3</c:v>
                </c:pt>
                <c:pt idx="9">
                  <c:v>8.8163395869899994E-3</c:v>
                </c:pt>
                <c:pt idx="10">
                  <c:v>8.9045029828599999E-3</c:v>
                </c:pt>
                <c:pt idx="11">
                  <c:v>8.9935480126900006E-3</c:v>
                </c:pt>
                <c:pt idx="12">
                  <c:v>9.0834834928199999E-3</c:v>
                </c:pt>
                <c:pt idx="13">
                  <c:v>9.1743183277499998E-3</c:v>
                </c:pt>
                <c:pt idx="14">
                  <c:v>9.2660615110300003E-3</c:v>
                </c:pt>
                <c:pt idx="15">
                  <c:v>9.3587221261399994E-3</c:v>
                </c:pt>
                <c:pt idx="16">
                  <c:v>9.4523093474000001E-3</c:v>
                </c:pt>
                <c:pt idx="17">
                  <c:v>9.5468324408700001E-3</c:v>
                </c:pt>
                <c:pt idx="18">
                  <c:v>9.6423007652800003E-3</c:v>
                </c:pt>
                <c:pt idx="19">
                  <c:v>9.7387237729300007E-3</c:v>
                </c:pt>
                <c:pt idx="20">
                  <c:v>9.8361110106600005E-3</c:v>
                </c:pt>
                <c:pt idx="21">
                  <c:v>9.9344721207699997E-3</c:v>
                </c:pt>
                <c:pt idx="22">
                  <c:v>1.0033816842E-2</c:v>
                </c:pt>
                <c:pt idx="23">
                  <c:v>1.0134155010399999E-2</c:v>
                </c:pt>
                <c:pt idx="24">
                  <c:v>1.0235496560500001E-2</c:v>
                </c:pt>
                <c:pt idx="25">
                  <c:v>1.0337851526100001E-2</c:v>
                </c:pt>
                <c:pt idx="26">
                  <c:v>1.0441230041400001E-2</c:v>
                </c:pt>
                <c:pt idx="27">
                  <c:v>1.0545642341800001E-2</c:v>
                </c:pt>
                <c:pt idx="28">
                  <c:v>1.06510987652E-2</c:v>
                </c:pt>
                <c:pt idx="29">
                  <c:v>1.0757609752900001E-2</c:v>
                </c:pt>
                <c:pt idx="30">
                  <c:v>1.08651858504E-2</c:v>
                </c:pt>
                <c:pt idx="31">
                  <c:v>1.09738377089E-2</c:v>
                </c:pt>
                <c:pt idx="32">
                  <c:v>1.1083576086E-2</c:v>
                </c:pt>
                <c:pt idx="33">
                  <c:v>1.11944118468E-2</c:v>
                </c:pt>
                <c:pt idx="34">
                  <c:v>1.13063559653E-2</c:v>
                </c:pt>
                <c:pt idx="35">
                  <c:v>1.1419419525E-2</c:v>
                </c:pt>
                <c:pt idx="36">
                  <c:v>1.15336137202E-2</c:v>
                </c:pt>
                <c:pt idx="37">
                  <c:v>1.16489498574E-2</c:v>
                </c:pt>
                <c:pt idx="38">
                  <c:v>1.1765439355999999E-2</c:v>
                </c:pt>
                <c:pt idx="39">
                  <c:v>1.1883093749499999E-2</c:v>
                </c:pt>
                <c:pt idx="40">
                  <c:v>1.2001924686999999E-2</c:v>
                </c:pt>
                <c:pt idx="41">
                  <c:v>1.21219439339E-2</c:v>
                </c:pt>
                <c:pt idx="42">
                  <c:v>1.22431633732E-2</c:v>
                </c:pt>
                <c:pt idx="43">
                  <c:v>1.2365595007E-2</c:v>
                </c:pt>
                <c:pt idx="44">
                  <c:v>1.2489250957E-2</c:v>
                </c:pt>
                <c:pt idx="45">
                  <c:v>1.2614143466599999E-2</c:v>
                </c:pt>
                <c:pt idx="46">
                  <c:v>1.2740284901299999E-2</c:v>
                </c:pt>
                <c:pt idx="47">
                  <c:v>1.28676877503E-2</c:v>
                </c:pt>
                <c:pt idx="48">
                  <c:v>1.2996364627799999E-2</c:v>
                </c:pt>
                <c:pt idx="49">
                  <c:v>1.3126328274099999E-2</c:v>
                </c:pt>
                <c:pt idx="50">
                  <c:v>1.3257591556799999E-2</c:v>
                </c:pt>
                <c:pt idx="51">
                  <c:v>1.3390167472400001E-2</c:v>
                </c:pt>
                <c:pt idx="52">
                  <c:v>1.35240691471E-2</c:v>
                </c:pt>
                <c:pt idx="53">
                  <c:v>1.36593098386E-2</c:v>
                </c:pt>
                <c:pt idx="54">
                  <c:v>1.3795902937000001E-2</c:v>
                </c:pt>
                <c:pt idx="55">
                  <c:v>1.3933861966300001E-2</c:v>
                </c:pt>
                <c:pt idx="56">
                  <c:v>1.4073200586E-2</c:v>
                </c:pt>
                <c:pt idx="57">
                  <c:v>1.42139325919E-2</c:v>
                </c:pt>
                <c:pt idx="58">
                  <c:v>1.4356071917800001E-2</c:v>
                </c:pt>
                <c:pt idx="59">
                  <c:v>1.4499632637E-2</c:v>
                </c:pt>
                <c:pt idx="60">
                  <c:v>1.46446289633E-2</c:v>
                </c:pt>
                <c:pt idx="61">
                  <c:v>1.4791075253E-2</c:v>
                </c:pt>
                <c:pt idx="62">
                  <c:v>1.4938986005499999E-2</c:v>
                </c:pt>
                <c:pt idx="63">
                  <c:v>1.5088375865499999E-2</c:v>
                </c:pt>
                <c:pt idx="64">
                  <c:v>1.5239259624200001E-2</c:v>
                </c:pt>
                <c:pt idx="65">
                  <c:v>1.5391652220400001E-2</c:v>
                </c:pt>
                <c:pt idx="66">
                  <c:v>1.55455687426E-2</c:v>
                </c:pt>
                <c:pt idx="67">
                  <c:v>1.5701024430100002E-2</c:v>
                </c:pt>
                <c:pt idx="68">
                  <c:v>1.5858034674400001E-2</c:v>
                </c:pt>
                <c:pt idx="69">
                  <c:v>1.6016615021100002E-2</c:v>
                </c:pt>
                <c:pt idx="70">
                  <c:v>1.61767811713E-2</c:v>
                </c:pt>
                <c:pt idx="71">
                  <c:v>1.6338548982999999E-2</c:v>
                </c:pt>
                <c:pt idx="72">
                  <c:v>1.65019344729E-2</c:v>
                </c:pt>
                <c:pt idx="73">
                  <c:v>1.66669538176E-2</c:v>
                </c:pt>
                <c:pt idx="74">
                  <c:v>1.68336233558E-2</c:v>
                </c:pt>
                <c:pt idx="75">
                  <c:v>1.7001959589300002E-2</c:v>
                </c:pt>
                <c:pt idx="76">
                  <c:v>1.7171979185200002E-2</c:v>
                </c:pt>
                <c:pt idx="77">
                  <c:v>1.7343698977099999E-2</c:v>
                </c:pt>
                <c:pt idx="78">
                  <c:v>1.7517135966800001E-2</c:v>
                </c:pt>
                <c:pt idx="79">
                  <c:v>1.7692307326500002E-2</c:v>
                </c:pt>
                <c:pt idx="80">
                  <c:v>1.7869230399799998E-2</c:v>
                </c:pt>
                <c:pt idx="81">
                  <c:v>1.8047922703799998E-2</c:v>
                </c:pt>
                <c:pt idx="82">
                  <c:v>1.8228401930800001E-2</c:v>
                </c:pt>
                <c:pt idx="83">
                  <c:v>1.8410685950100002E-2</c:v>
                </c:pt>
                <c:pt idx="84">
                  <c:v>1.85947928096E-2</c:v>
                </c:pt>
                <c:pt idx="85">
                  <c:v>1.8780740737699999E-2</c:v>
                </c:pt>
                <c:pt idx="86">
                  <c:v>1.89685481451E-2</c:v>
                </c:pt>
                <c:pt idx="87">
                  <c:v>1.9158233626600001E-2</c:v>
                </c:pt>
                <c:pt idx="88">
                  <c:v>1.9349815962799999E-2</c:v>
                </c:pt>
                <c:pt idx="89">
                  <c:v>1.9543314122399999E-2</c:v>
                </c:pt>
                <c:pt idx="90">
                  <c:v>1.97387472637E-2</c:v>
                </c:pt>
                <c:pt idx="91">
                  <c:v>1.9936134736300001E-2</c:v>
                </c:pt>
                <c:pt idx="92">
                  <c:v>2.0135496083700001E-2</c:v>
                </c:pt>
                <c:pt idx="93">
                  <c:v>2.03368510445E-2</c:v>
                </c:pt>
                <c:pt idx="94">
                  <c:v>2.0540219554899999E-2</c:v>
                </c:pt>
                <c:pt idx="95">
                  <c:v>2.0745621750500001E-2</c:v>
                </c:pt>
                <c:pt idx="96">
                  <c:v>2.0953077968E-2</c:v>
                </c:pt>
                <c:pt idx="97">
                  <c:v>2.1162608747699999E-2</c:v>
                </c:pt>
                <c:pt idx="98">
                  <c:v>2.1374234835199998E-2</c:v>
                </c:pt>
                <c:pt idx="99">
                  <c:v>2.1587977183500001E-2</c:v>
                </c:pt>
                <c:pt idx="100">
                  <c:v>2.1803856955299999E-2</c:v>
                </c:pt>
                <c:pt idx="101">
                  <c:v>2.2021895524900002E-2</c:v>
                </c:pt>
                <c:pt idx="102">
                  <c:v>2.2242114480200002E-2</c:v>
                </c:pt>
                <c:pt idx="103">
                  <c:v>2.2464535625E-2</c:v>
                </c:pt>
                <c:pt idx="104">
                  <c:v>2.2689180981199999E-2</c:v>
                </c:pt>
                <c:pt idx="105">
                  <c:v>2.2916072791000001E-2</c:v>
                </c:pt>
                <c:pt idx="106">
                  <c:v>2.3145233518900001E-2</c:v>
                </c:pt>
                <c:pt idx="107">
                  <c:v>2.33766858541E-2</c:v>
                </c:pt>
                <c:pt idx="108">
                  <c:v>2.36104527127E-2</c:v>
                </c:pt>
                <c:pt idx="109">
                  <c:v>2.38465572398E-2</c:v>
                </c:pt>
                <c:pt idx="110">
                  <c:v>2.4085022812199999E-2</c:v>
                </c:pt>
                <c:pt idx="111">
                  <c:v>2.4325873040300001E-2</c:v>
                </c:pt>
                <c:pt idx="112">
                  <c:v>2.4569131770700001E-2</c:v>
                </c:pt>
                <c:pt idx="113">
                  <c:v>2.4814823088399999E-2</c:v>
                </c:pt>
                <c:pt idx="114">
                  <c:v>2.5062971319299999E-2</c:v>
                </c:pt>
                <c:pt idx="115">
                  <c:v>2.5313601032500001E-2</c:v>
                </c:pt>
                <c:pt idx="116">
                  <c:v>2.5566737042799999E-2</c:v>
                </c:pt>
                <c:pt idx="117">
                  <c:v>2.5822404413199999E-2</c:v>
                </c:pt>
                <c:pt idx="118">
                  <c:v>2.6080628457400001E-2</c:v>
                </c:pt>
                <c:pt idx="119">
                  <c:v>2.63414347419E-2</c:v>
                </c:pt>
                <c:pt idx="120">
                  <c:v>2.6604849089400001E-2</c:v>
                </c:pt>
                <c:pt idx="121">
                  <c:v>2.68708975803E-2</c:v>
                </c:pt>
                <c:pt idx="122">
                  <c:v>2.71396065561E-2</c:v>
                </c:pt>
                <c:pt idx="123">
                  <c:v>2.7411002621600001E-2</c:v>
                </c:pt>
                <c:pt idx="124">
                  <c:v>2.7685112647799999E-2</c:v>
                </c:pt>
                <c:pt idx="125">
                  <c:v>2.7961963774299999E-2</c:v>
                </c:pt>
                <c:pt idx="126">
                  <c:v>2.8241583412100001E-2</c:v>
                </c:pt>
                <c:pt idx="127">
                  <c:v>2.8523999246199999E-2</c:v>
                </c:pt>
                <c:pt idx="128">
                  <c:v>2.8809239238600001E-2</c:v>
                </c:pt>
                <c:pt idx="129">
                  <c:v>2.9097331630999999E-2</c:v>
                </c:pt>
                <c:pt idx="130">
                  <c:v>2.9388304947299999E-2</c:v>
                </c:pt>
                <c:pt idx="131">
                  <c:v>2.9682187996799999E-2</c:v>
                </c:pt>
                <c:pt idx="132">
                  <c:v>2.9979009876800002E-2</c:v>
                </c:pt>
                <c:pt idx="133">
                  <c:v>3.0278799975499999E-2</c:v>
                </c:pt>
                <c:pt idx="134">
                  <c:v>3.0581587975300001E-2</c:v>
                </c:pt>
                <c:pt idx="135">
                  <c:v>3.0887403855099999E-2</c:v>
                </c:pt>
                <c:pt idx="136">
                  <c:v>3.1196277893600001E-2</c:v>
                </c:pt>
                <c:pt idx="137">
                  <c:v>3.15082406725E-2</c:v>
                </c:pt>
                <c:pt idx="138">
                  <c:v>3.1823323079299998E-2</c:v>
                </c:pt>
                <c:pt idx="139">
                  <c:v>3.2141556310100003E-2</c:v>
                </c:pt>
                <c:pt idx="140">
                  <c:v>3.2462971873199999E-2</c:v>
                </c:pt>
                <c:pt idx="141">
                  <c:v>3.2787601591900001E-2</c:v>
                </c:pt>
                <c:pt idx="142">
                  <c:v>3.3115477607800002E-2</c:v>
                </c:pt>
                <c:pt idx="143">
                  <c:v>3.3446632383899999E-2</c:v>
                </c:pt>
                <c:pt idx="144">
                  <c:v>3.3781098707699998E-2</c:v>
                </c:pt>
                <c:pt idx="145">
                  <c:v>3.4118909694799998E-2</c:v>
                </c:pt>
                <c:pt idx="146">
                  <c:v>3.4460098791800002E-2</c:v>
                </c:pt>
                <c:pt idx="147">
                  <c:v>3.48046997797E-2</c:v>
                </c:pt>
                <c:pt idx="148">
                  <c:v>3.51527467775E-2</c:v>
                </c:pt>
                <c:pt idx="149">
                  <c:v>3.5504274245200002E-2</c:v>
                </c:pt>
                <c:pt idx="150">
                  <c:v>3.58593169877E-2</c:v>
                </c:pt>
                <c:pt idx="151">
                  <c:v>3.6217910157600001E-2</c:v>
                </c:pt>
                <c:pt idx="152">
                  <c:v>3.6580089259100002E-2</c:v>
                </c:pt>
                <c:pt idx="153">
                  <c:v>3.6945890151700002E-2</c:v>
                </c:pt>
                <c:pt idx="154">
                  <c:v>3.7315349053300001E-2</c:v>
                </c:pt>
                <c:pt idx="155">
                  <c:v>3.7688502543799997E-2</c:v>
                </c:pt>
                <c:pt idx="156">
                  <c:v>3.8065387569199999E-2</c:v>
                </c:pt>
                <c:pt idx="157">
                  <c:v>3.8446041444899999E-2</c:v>
                </c:pt>
                <c:pt idx="158">
                  <c:v>3.8830501859399999E-2</c:v>
                </c:pt>
                <c:pt idx="159">
                  <c:v>3.9218806878000001E-2</c:v>
                </c:pt>
                <c:pt idx="160">
                  <c:v>3.96109949467E-2</c:v>
                </c:pt>
                <c:pt idx="161">
                  <c:v>4.0007104896199998E-2</c:v>
                </c:pt>
                <c:pt idx="162">
                  <c:v>4.0407175945199998E-2</c:v>
                </c:pt>
                <c:pt idx="163">
                  <c:v>4.0811247704599998E-2</c:v>
                </c:pt>
                <c:pt idx="164">
                  <c:v>4.1219360181699999E-2</c:v>
                </c:pt>
                <c:pt idx="165">
                  <c:v>4.1631553783500003E-2</c:v>
                </c:pt>
                <c:pt idx="166">
                  <c:v>4.2047869321300002E-2</c:v>
                </c:pt>
                <c:pt idx="167">
                  <c:v>4.2468348014500001E-2</c:v>
                </c:pt>
                <c:pt idx="168">
                  <c:v>4.2893031494700001E-2</c:v>
                </c:pt>
                <c:pt idx="169">
                  <c:v>4.3321961809599997E-2</c:v>
                </c:pt>
                <c:pt idx="170">
                  <c:v>4.3755181427699998E-2</c:v>
                </c:pt>
                <c:pt idx="171">
                  <c:v>4.4192733242000001E-2</c:v>
                </c:pt>
                <c:pt idx="172">
                  <c:v>4.4634660574399999E-2</c:v>
                </c:pt>
                <c:pt idx="173">
                  <c:v>4.50810071802E-2</c:v>
                </c:pt>
                <c:pt idx="174">
                  <c:v>4.5531817251999999E-2</c:v>
                </c:pt>
                <c:pt idx="175">
                  <c:v>4.5987135424500003E-2</c:v>
                </c:pt>
                <c:pt idx="176">
                  <c:v>4.6447006778699999E-2</c:v>
                </c:pt>
                <c:pt idx="177">
                  <c:v>4.6911476846500003E-2</c:v>
                </c:pt>
                <c:pt idx="178">
                  <c:v>4.7380591615000002E-2</c:v>
                </c:pt>
                <c:pt idx="179">
                  <c:v>4.7854397531099997E-2</c:v>
                </c:pt>
                <c:pt idx="180">
                  <c:v>4.8332941506400003E-2</c:v>
                </c:pt>
                <c:pt idx="181">
                  <c:v>4.8816270921500003E-2</c:v>
                </c:pt>
                <c:pt idx="182">
                  <c:v>4.9304433630700001E-2</c:v>
                </c:pt>
                <c:pt idx="183">
                  <c:v>4.9797477967000001E-2</c:v>
                </c:pt>
                <c:pt idx="184">
                  <c:v>5.0295452746699998E-2</c:v>
                </c:pt>
                <c:pt idx="185">
                  <c:v>5.07984072742E-2</c:v>
                </c:pt>
                <c:pt idx="186">
                  <c:v>5.1306391346900002E-2</c:v>
                </c:pt>
                <c:pt idx="187">
                  <c:v>5.1819455260400001E-2</c:v>
                </c:pt>
                <c:pt idx="188">
                  <c:v>5.2337649813000001E-2</c:v>
                </c:pt>
                <c:pt idx="189">
                  <c:v>5.2861026311099998E-2</c:v>
                </c:pt>
                <c:pt idx="190">
                  <c:v>5.3389636574199997E-2</c:v>
                </c:pt>
                <c:pt idx="191">
                  <c:v>5.3923532939999998E-2</c:v>
                </c:pt>
                <c:pt idx="192">
                  <c:v>5.4462768269399997E-2</c:v>
                </c:pt>
                <c:pt idx="193">
                  <c:v>5.5007395952099997E-2</c:v>
                </c:pt>
                <c:pt idx="194">
                  <c:v>5.5557469911600002E-2</c:v>
                </c:pt>
                <c:pt idx="195">
                  <c:v>5.6113044610699998E-2</c:v>
                </c:pt>
                <c:pt idx="196">
                  <c:v>5.6674175056800002E-2</c:v>
                </c:pt>
                <c:pt idx="197">
                  <c:v>5.7240916807399997E-2</c:v>
                </c:pt>
                <c:pt idx="198">
                  <c:v>5.7813325975400003E-2</c:v>
                </c:pt>
                <c:pt idx="199">
                  <c:v>5.8391459235199998E-2</c:v>
                </c:pt>
                <c:pt idx="200">
                  <c:v>5.89753738276E-2</c:v>
                </c:pt>
                <c:pt idx="201">
                  <c:v>5.95651275658E-2</c:v>
                </c:pt>
                <c:pt idx="202">
                  <c:v>6.01607788415E-2</c:v>
                </c:pt>
                <c:pt idx="203">
                  <c:v>6.0762386629900002E-2</c:v>
                </c:pt>
                <c:pt idx="204">
                  <c:v>6.13700104962E-2</c:v>
                </c:pt>
                <c:pt idx="205">
                  <c:v>6.1983710601199997E-2</c:v>
                </c:pt>
                <c:pt idx="206">
                  <c:v>6.2603547707200002E-2</c:v>
                </c:pt>
                <c:pt idx="207">
                  <c:v>6.3229583184199994E-2</c:v>
                </c:pt>
                <c:pt idx="208">
                  <c:v>6.3861879016100007E-2</c:v>
                </c:pt>
                <c:pt idx="209">
                  <c:v>6.45004978062E-2</c:v>
                </c:pt>
                <c:pt idx="210">
                  <c:v>6.5145502784299994E-2</c:v>
                </c:pt>
                <c:pt idx="211">
                  <c:v>6.5796957812200005E-2</c:v>
                </c:pt>
                <c:pt idx="212">
                  <c:v>6.6454927390299998E-2</c:v>
                </c:pt>
                <c:pt idx="213">
                  <c:v>6.7119476664199998E-2</c:v>
                </c:pt>
                <c:pt idx="214">
                  <c:v>6.7790671430800004E-2</c:v>
                </c:pt>
                <c:pt idx="215">
                  <c:v>6.8468578145100004E-2</c:v>
                </c:pt>
                <c:pt idx="216">
                  <c:v>6.9153263926599998E-2</c:v>
                </c:pt>
                <c:pt idx="217">
                  <c:v>6.9844796565800005E-2</c:v>
                </c:pt>
                <c:pt idx="218">
                  <c:v>7.0543244531500002E-2</c:v>
                </c:pt>
                <c:pt idx="219">
                  <c:v>7.1248676976799999E-2</c:v>
                </c:pt>
                <c:pt idx="220">
                  <c:v>7.1961163746599999E-2</c:v>
                </c:pt>
                <c:pt idx="221">
                  <c:v>7.2680775384100005E-2</c:v>
                </c:pt>
                <c:pt idx="222">
                  <c:v>7.3407583137899995E-2</c:v>
                </c:pt>
                <c:pt idx="223">
                  <c:v>7.4141658969300001E-2</c:v>
                </c:pt>
                <c:pt idx="224">
                  <c:v>7.4883075559000006E-2</c:v>
                </c:pt>
                <c:pt idx="225">
                  <c:v>7.5631906314599998E-2</c:v>
                </c:pt>
                <c:pt idx="226">
                  <c:v>7.63882253777E-2</c:v>
                </c:pt>
                <c:pt idx="227">
                  <c:v>7.7152107631500003E-2</c:v>
                </c:pt>
                <c:pt idx="228">
                  <c:v>7.7923628707799994E-2</c:v>
                </c:pt>
                <c:pt idx="229">
                  <c:v>7.8702864994899993E-2</c:v>
                </c:pt>
                <c:pt idx="230">
                  <c:v>7.9489893644799997E-2</c:v>
                </c:pt>
                <c:pt idx="231">
                  <c:v>8.0284792581300002E-2</c:v>
                </c:pt>
                <c:pt idx="232">
                  <c:v>8.1087640507100003E-2</c:v>
                </c:pt>
                <c:pt idx="233">
                  <c:v>8.1898516912200001E-2</c:v>
                </c:pt>
                <c:pt idx="234">
                  <c:v>8.2717502081300007E-2</c:v>
                </c:pt>
                <c:pt idx="235">
                  <c:v>8.3544677102100007E-2</c:v>
                </c:pt>
                <c:pt idx="236">
                  <c:v>8.4380123873099996E-2</c:v>
                </c:pt>
                <c:pt idx="237">
                  <c:v>8.5223925111800006E-2</c:v>
                </c:pt>
                <c:pt idx="238">
                  <c:v>8.6076164363000002E-2</c:v>
                </c:pt>
                <c:pt idx="239">
                  <c:v>8.6936926006599996E-2</c:v>
                </c:pt>
                <c:pt idx="240">
                  <c:v>8.7806295266700002E-2</c:v>
                </c:pt>
                <c:pt idx="241">
                  <c:v>8.86843582193E-2</c:v>
                </c:pt>
                <c:pt idx="242">
                  <c:v>8.9571201801499994E-2</c:v>
                </c:pt>
                <c:pt idx="243">
                  <c:v>9.0466913819500006E-2</c:v>
                </c:pt>
                <c:pt idx="244">
                  <c:v>9.1371582957699995E-2</c:v>
                </c:pt>
                <c:pt idx="245">
                  <c:v>9.2285298787300005E-2</c:v>
                </c:pt>
                <c:pt idx="246">
                  <c:v>9.3208151775200004E-2</c:v>
                </c:pt>
                <c:pt idx="247">
                  <c:v>9.41402332929E-2</c:v>
                </c:pt>
                <c:pt idx="248">
                  <c:v>9.5081635625899996E-2</c:v>
                </c:pt>
                <c:pt idx="249">
                  <c:v>9.6032451982100003E-2</c:v>
                </c:pt>
                <c:pt idx="250">
                  <c:v>9.6992776501899997E-2</c:v>
                </c:pt>
                <c:pt idx="251">
                  <c:v>9.7962704267000003E-2</c:v>
                </c:pt>
                <c:pt idx="252">
                  <c:v>9.8942331309600007E-2</c:v>
                </c:pt>
                <c:pt idx="253">
                  <c:v>9.99317546227E-2</c:v>
                </c:pt>
                <c:pt idx="254">
                  <c:v>0.10093107216900001</c:v>
                </c:pt>
                <c:pt idx="255">
                  <c:v>0.10194038289100001</c:v>
                </c:pt>
                <c:pt idx="256">
                  <c:v>0.10295978672</c:v>
                </c:pt>
                <c:pt idx="257">
                  <c:v>0.10398938458699999</c:v>
                </c:pt>
              </c:numCache>
            </c:numRef>
          </c:xVal>
          <c:yVal>
            <c:numRef>
              <c:f>Reflectivity!$L$3:$L$1639</c:f>
              <c:numCache>
                <c:formatCode>0.00E+00</c:formatCode>
                <c:ptCount val="1637"/>
                <c:pt idx="0">
                  <c:v>7.2398441733996441E-2</c:v>
                </c:pt>
                <c:pt idx="1">
                  <c:v>7.1548900188208475E-2</c:v>
                </c:pt>
                <c:pt idx="2">
                  <c:v>7.0650562939054043E-2</c:v>
                </c:pt>
                <c:pt idx="3">
                  <c:v>6.9700471037479089E-2</c:v>
                </c:pt>
                <c:pt idx="4">
                  <c:v>6.8696840121306474E-2</c:v>
                </c:pt>
                <c:pt idx="5">
                  <c:v>6.7638853395519755E-2</c:v>
                </c:pt>
                <c:pt idx="6">
                  <c:v>6.6526034844554785E-2</c:v>
                </c:pt>
                <c:pt idx="7">
                  <c:v>6.5357882121054117E-2</c:v>
                </c:pt>
                <c:pt idx="8">
                  <c:v>6.4133868318351703E-2</c:v>
                </c:pt>
                <c:pt idx="9">
                  <c:v>6.2855718381026202E-2</c:v>
                </c:pt>
                <c:pt idx="10">
                  <c:v>6.1518871567781401E-2</c:v>
                </c:pt>
                <c:pt idx="11">
                  <c:v>6.0125586235691607E-2</c:v>
                </c:pt>
                <c:pt idx="12">
                  <c:v>5.8676219691447817E-2</c:v>
                </c:pt>
                <c:pt idx="13">
                  <c:v>5.717144448280282E-2</c:v>
                </c:pt>
                <c:pt idx="14">
                  <c:v>5.5612266968335607E-2</c:v>
                </c:pt>
                <c:pt idx="15">
                  <c:v>5.4000045569579901E-2</c:v>
                </c:pt>
                <c:pt idx="16">
                  <c:v>5.2336508499228676E-2</c:v>
                </c:pt>
                <c:pt idx="17">
                  <c:v>5.0623770732990805E-2</c:v>
                </c:pt>
                <c:pt idx="18">
                  <c:v>4.8864349962664602E-2</c:v>
                </c:pt>
                <c:pt idx="19">
                  <c:v>4.70611812402362E-2</c:v>
                </c:pt>
                <c:pt idx="20">
                  <c:v>4.5217629990202284E-2</c:v>
                </c:pt>
                <c:pt idx="21">
                  <c:v>4.3337503041874934E-2</c:v>
                </c:pt>
                <c:pt idx="22">
                  <c:v>4.1425057300777418E-2</c:v>
                </c:pt>
                <c:pt idx="23">
                  <c:v>3.9485005657150511E-2</c:v>
                </c:pt>
                <c:pt idx="24">
                  <c:v>3.7519722272553152E-2</c:v>
                </c:pt>
                <c:pt idx="25">
                  <c:v>3.5540548748057683E-2</c:v>
                </c:pt>
                <c:pt idx="26">
                  <c:v>3.3550655103135915E-2</c:v>
                </c:pt>
                <c:pt idx="27">
                  <c:v>3.1556566055385267E-2</c:v>
                </c:pt>
                <c:pt idx="28">
                  <c:v>2.956523483522806E-2</c:v>
                </c:pt>
                <c:pt idx="29">
                  <c:v>2.758402308424546E-2</c:v>
                </c:pt>
                <c:pt idx="30">
                  <c:v>2.5620674847915786E-2</c:v>
                </c:pt>
                <c:pt idx="31">
                  <c:v>2.3683284260747683E-2</c:v>
                </c:pt>
                <c:pt idx="32">
                  <c:v>2.1780256617935145E-2</c:v>
                </c:pt>
                <c:pt idx="33">
                  <c:v>1.992026254697216E-2</c:v>
                </c:pt>
                <c:pt idx="34">
                  <c:v>1.8112185104522713E-2</c:v>
                </c:pt>
                <c:pt idx="35">
                  <c:v>1.636505974259771E-2</c:v>
                </c:pt>
                <c:pt idx="36">
                  <c:v>1.4688007165627553E-2</c:v>
                </c:pt>
                <c:pt idx="37">
                  <c:v>1.30901592756062E-2</c:v>
                </c:pt>
                <c:pt idx="38">
                  <c:v>1.1580578554569013E-2</c:v>
                </c:pt>
                <c:pt idx="39">
                  <c:v>1.0168171369196774E-2</c:v>
                </c:pt>
                <c:pt idx="40">
                  <c:v>8.8615958812601602E-3</c:v>
                </c:pt>
                <c:pt idx="41">
                  <c:v>7.6691654362302372E-3</c:v>
                </c:pt>
                <c:pt idx="42">
                  <c:v>6.5987484530387009E-3</c:v>
                </c:pt>
                <c:pt idx="43">
                  <c:v>5.6576660394488778E-3</c:v>
                </c:pt>
                <c:pt idx="44">
                  <c:v>4.8525887249717759E-3</c:v>
                </c:pt>
                <c:pt idx="45">
                  <c:v>4.1896589686568906E-3</c:v>
                </c:pt>
                <c:pt idx="46">
                  <c:v>3.6732729731160205E-3</c:v>
                </c:pt>
                <c:pt idx="47">
                  <c:v>3.3080083597533945E-3</c:v>
                </c:pt>
                <c:pt idx="48">
                  <c:v>3.0969387590119948E-3</c:v>
                </c:pt>
                <c:pt idx="49">
                  <c:v>3.0420145643929356E-3</c:v>
                </c:pt>
                <c:pt idx="50">
                  <c:v>3.1439896233877683E-3</c:v>
                </c:pt>
                <c:pt idx="51">
                  <c:v>3.4023591031375733E-3</c:v>
                </c:pt>
                <c:pt idx="52">
                  <c:v>3.8153101153235659E-3</c:v>
                </c:pt>
                <c:pt idx="53">
                  <c:v>4.3796865148032589E-3</c:v>
                </c:pt>
                <c:pt idx="54">
                  <c:v>5.09096906440153E-3</c:v>
                </c:pt>
                <c:pt idx="55">
                  <c:v>5.9432719101579368E-3</c:v>
                </c:pt>
                <c:pt idx="56">
                  <c:v>6.9293560223492459E-3</c:v>
                </c:pt>
                <c:pt idx="57">
                  <c:v>8.0406599427686708E-3</c:v>
                </c:pt>
                <c:pt idx="58">
                  <c:v>9.267347877730937E-3</c:v>
                </c:pt>
                <c:pt idx="59">
                  <c:v>1.0598374838305835E-2</c:v>
                </c:pt>
                <c:pt idx="60">
                  <c:v>1.2023333935299916E-2</c:v>
                </c:pt>
                <c:pt idx="61">
                  <c:v>1.3525559106961795E-2</c:v>
                </c:pt>
                <c:pt idx="62">
                  <c:v>1.5092599299633492E-2</c:v>
                </c:pt>
                <c:pt idx="63">
                  <c:v>1.6709539692307634E-2</c:v>
                </c:pt>
                <c:pt idx="64">
                  <c:v>1.836080711107432E-2</c:v>
                </c:pt>
                <c:pt idx="65">
                  <c:v>2.0030315695374605E-2</c:v>
                </c:pt>
                <c:pt idx="66">
                  <c:v>2.1701620523288834E-2</c:v>
                </c:pt>
                <c:pt idx="67">
                  <c:v>2.3358077345634876E-2</c:v>
                </c:pt>
                <c:pt idx="68">
                  <c:v>2.4983006620750814E-2</c:v>
                </c:pt>
                <c:pt idx="69">
                  <c:v>2.6559860072811678E-2</c:v>
                </c:pt>
                <c:pt idx="70">
                  <c:v>2.8072388056749515E-2</c:v>
                </c:pt>
                <c:pt idx="71">
                  <c:v>2.950480612773141E-2</c:v>
                </c:pt>
                <c:pt idx="72">
                  <c:v>3.0841959322312359E-2</c:v>
                </c:pt>
                <c:pt idx="73">
                  <c:v>3.206948275885272E-2</c:v>
                </c:pt>
                <c:pt idx="74">
                  <c:v>3.3173957292579173E-2</c:v>
                </c:pt>
                <c:pt idx="75">
                  <c:v>3.4143059019931483E-2</c:v>
                </c:pt>
                <c:pt idx="76">
                  <c:v>3.4965701527100324E-2</c:v>
                </c:pt>
                <c:pt idx="77">
                  <c:v>3.5632169777859289E-2</c:v>
                </c:pt>
                <c:pt idx="78">
                  <c:v>3.6134244556841083E-2</c:v>
                </c:pt>
                <c:pt idx="79">
                  <c:v>3.6465316326296869E-2</c:v>
                </c:pt>
                <c:pt idx="80">
                  <c:v>3.6620487269818307E-2</c:v>
                </c:pt>
                <c:pt idx="81">
                  <c:v>3.6596660187811894E-2</c:v>
                </c:pt>
                <c:pt idx="82">
                  <c:v>3.6392612745560445E-2</c:v>
                </c:pt>
                <c:pt idx="83">
                  <c:v>3.6009055409249507E-2</c:v>
                </c:pt>
                <c:pt idx="84">
                  <c:v>3.5448671224738215E-2</c:v>
                </c:pt>
                <c:pt idx="85">
                  <c:v>3.4716135421615398E-2</c:v>
                </c:pt>
                <c:pt idx="86">
                  <c:v>3.3818112684724781E-2</c:v>
                </c:pt>
                <c:pt idx="87">
                  <c:v>3.2763229845995528E-2</c:v>
                </c:pt>
                <c:pt idx="88">
                  <c:v>3.1562021737886185E-2</c:v>
                </c:pt>
                <c:pt idx="89">
                  <c:v>3.022684803744384E-2</c:v>
                </c:pt>
                <c:pt idx="90">
                  <c:v>2.8771779165609336E-2</c:v>
                </c:pt>
                <c:pt idx="91">
                  <c:v>2.7212449667015842E-2</c:v>
                </c:pt>
                <c:pt idx="92">
                  <c:v>2.556587804280357E-2</c:v>
                </c:pt>
                <c:pt idx="93">
                  <c:v>2.385025276889717E-2</c:v>
                </c:pt>
                <c:pt idx="94">
                  <c:v>2.2084685113206947E-2</c:v>
                </c:pt>
                <c:pt idx="95">
                  <c:v>2.0288930502050523E-2</c:v>
                </c:pt>
                <c:pt idx="96">
                  <c:v>1.8483081418073116E-2</c:v>
                </c:pt>
                <c:pt idx="97">
                  <c:v>1.6687236174929013E-2</c:v>
                </c:pt>
                <c:pt idx="98">
                  <c:v>1.4921149362407583E-2</c:v>
                </c:pt>
                <c:pt idx="99">
                  <c:v>1.3205977370111905E-2</c:v>
                </c:pt>
                <c:pt idx="100">
                  <c:v>1.1555266010044512E-2</c:v>
                </c:pt>
                <c:pt idx="101">
                  <c:v>9.9879032803698916E-3</c:v>
                </c:pt>
                <c:pt idx="102">
                  <c:v>8.5186884422753569E-3</c:v>
                </c:pt>
                <c:pt idx="103">
                  <c:v>7.1603469295333164E-3</c:v>
                </c:pt>
                <c:pt idx="104">
                  <c:v>5.9232592239480287E-3</c:v>
                </c:pt>
                <c:pt idx="105">
                  <c:v>4.8152396794819774E-3</c:v>
                </c:pt>
                <c:pt idx="106">
                  <c:v>3.8413748411251351E-3</c:v>
                </c:pt>
                <c:pt idx="107">
                  <c:v>3.0039293032728558E-3</c:v>
                </c:pt>
                <c:pt idx="108">
                  <c:v>2.3023251884950855E-3</c:v>
                </c:pt>
                <c:pt idx="109">
                  <c:v>1.733198952611655E-3</c:v>
                </c:pt>
                <c:pt idx="110">
                  <c:v>1.2905365546540327E-3</c:v>
                </c:pt>
                <c:pt idx="111">
                  <c:v>9.6588519471137331E-4</c:v>
                </c:pt>
                <c:pt idx="112">
                  <c:v>7.4863693349607287E-4</c:v>
                </c:pt>
                <c:pt idx="113">
                  <c:v>6.2637672742514605E-4</c:v>
                </c:pt>
                <c:pt idx="114">
                  <c:v>5.8528484203442541E-4</c:v>
                </c:pt>
                <c:pt idx="115">
                  <c:v>6.1058136747658856E-4</c:v>
                </c:pt>
                <c:pt idx="116">
                  <c:v>6.8699872867137505E-4</c:v>
                </c:pt>
                <c:pt idx="117">
                  <c:v>7.9930902743276851E-4</c:v>
                </c:pt>
                <c:pt idx="118">
                  <c:v>9.3270542127063245E-4</c:v>
                </c:pt>
                <c:pt idx="119">
                  <c:v>1.0732830603648609E-3</c:v>
                </c:pt>
                <c:pt idx="120">
                  <c:v>1.2085558853104342E-3</c:v>
                </c:pt>
                <c:pt idx="121">
                  <c:v>1.3277724633145446E-3</c:v>
                </c:pt>
                <c:pt idx="122">
                  <c:v>1.42221965541807E-3</c:v>
                </c:pt>
                <c:pt idx="123">
                  <c:v>1.4854461856098906E-3</c:v>
                </c:pt>
                <c:pt idx="124">
                  <c:v>1.5133956039884604E-3</c:v>
                </c:pt>
                <c:pt idx="125">
                  <c:v>1.5044409864634815E-3</c:v>
                </c:pt>
                <c:pt idx="126">
                  <c:v>1.4593171326039928E-3</c:v>
                </c:pt>
                <c:pt idx="127">
                  <c:v>1.3809499947127729E-3</c:v>
                </c:pt>
                <c:pt idx="128">
                  <c:v>1.2741875433416561E-3</c:v>
                </c:pt>
                <c:pt idx="129">
                  <c:v>1.1454411355874569E-3</c:v>
                </c:pt>
                <c:pt idx="130">
                  <c:v>1.0022515172963421E-3</c:v>
                </c:pt>
                <c:pt idx="131">
                  <c:v>8.5279859220246924E-4</c:v>
                </c:pt>
                <c:pt idx="132">
                  <c:v>7.0537868794045514E-4</c:v>
                </c:pt>
                <c:pt idx="133">
                  <c:v>5.6787683060004017E-4</c:v>
                </c:pt>
                <c:pt idx="134">
                  <c:v>4.4726407426559135E-4</c:v>
                </c:pt>
                <c:pt idx="135">
                  <c:v>3.4915079946974057E-4</c:v>
                </c:pt>
                <c:pt idx="136">
                  <c:v>2.7742574456433009E-4</c:v>
                </c:pt>
                <c:pt idx="137">
                  <c:v>2.3400715356424343E-4</c:v>
                </c:pt>
                <c:pt idx="138">
                  <c:v>2.1872676598690127E-4</c:v>
                </c:pt>
                <c:pt idx="139">
                  <c:v>2.2935961208865108E-4</c:v>
                </c:pt>
                <c:pt idx="140">
                  <c:v>2.6180310358578753E-4</c:v>
                </c:pt>
                <c:pt idx="141">
                  <c:v>3.1039832101328955E-4</c:v>
                </c:pt>
                <c:pt idx="142">
                  <c:v>3.6837545367320994E-4</c:v>
                </c:pt>
                <c:pt idx="143">
                  <c:v>4.2839490562830479E-4</c:v>
                </c:pt>
                <c:pt idx="144">
                  <c:v>4.8314652642002221E-4</c:v>
                </c:pt>
                <c:pt idx="145">
                  <c:v>5.2596259691381432E-4</c:v>
                </c:pt>
                <c:pt idx="146">
                  <c:v>5.5139632505616883E-4</c:v>
                </c:pt>
                <c:pt idx="147">
                  <c:v>5.5571724514187366E-4</c:v>
                </c:pt>
                <c:pt idx="148">
                  <c:v>5.3727841735560459E-4</c:v>
                </c:pt>
                <c:pt idx="149">
                  <c:v>4.967178000171049E-4</c:v>
                </c:pt>
                <c:pt idx="150">
                  <c:v>4.3696744129289087E-4</c:v>
                </c:pt>
                <c:pt idx="151">
                  <c:v>3.6305872196545154E-4</c:v>
                </c:pt>
                <c:pt idx="152">
                  <c:v>2.8172893921276027E-4</c:v>
                </c:pt>
                <c:pt idx="153">
                  <c:v>2.0085285477688936E-4</c:v>
                </c:pt>
                <c:pt idx="154">
                  <c:v>1.2874089318896939E-4</c:v>
                </c:pt>
                <c:pt idx="155">
                  <c:v>7.3361652726623813E-5</c:v>
                </c:pt>
                <c:pt idx="156">
                  <c:v>4.1558351954961327E-5</c:v>
                </c:pt>
                <c:pt idx="157">
                  <c:v>3.8334946486149502E-5</c:v>
                </c:pt>
                <c:pt idx="158">
                  <c:v>6.6286463155334677E-5</c:v>
                </c:pt>
                <c:pt idx="159">
                  <c:v>1.2523883193101026E-4</c:v>
                </c:pt>
                <c:pt idx="160">
                  <c:v>2.1214627327795414E-4</c:v>
                </c:pt>
                <c:pt idx="161">
                  <c:v>3.2127028331820344E-4</c:v>
                </c:pt>
                <c:pt idx="162">
                  <c:v>4.446356259198764E-4</c:v>
                </c:pt>
                <c:pt idx="163">
                  <c:v>5.7272848359322254E-4</c:v>
                </c:pt>
                <c:pt idx="164">
                  <c:v>6.9537350302279551E-4</c:v>
                </c:pt>
                <c:pt idx="165">
                  <c:v>8.0270341003347504E-4</c:v>
                </c:pt>
                <c:pt idx="166">
                  <c:v>8.8612026911282231E-4</c:v>
                </c:pt>
                <c:pt idx="167">
                  <c:v>9.3914361896416663E-4</c:v>
                </c:pt>
                <c:pt idx="168">
                  <c:v>9.5804882061288155E-4</c:v>
                </c:pt>
                <c:pt idx="169">
                  <c:v>9.4221888717070472E-4</c:v>
                </c:pt>
                <c:pt idx="170">
                  <c:v>8.9416332369637289E-4</c:v>
                </c:pt>
                <c:pt idx="171">
                  <c:v>8.1919523001719734E-4</c:v>
                </c:pt>
                <c:pt idx="172">
                  <c:v>7.2479903532166241E-4</c:v>
                </c:pt>
                <c:pt idx="173">
                  <c:v>6.1976075499809173E-4</c:v>
                </c:pt>
                <c:pt idx="174">
                  <c:v>5.1316518130807836E-4</c:v>
                </c:pt>
                <c:pt idx="175">
                  <c:v>4.1338480503524678E-4</c:v>
                </c:pt>
                <c:pt idx="176">
                  <c:v>3.2718950694449986E-4</c:v>
                </c:pt>
                <c:pt idx="177">
                  <c:v>2.5909213855384542E-4</c:v>
                </c:pt>
                <c:pt idx="178">
                  <c:v>2.110137114679599E-4</c:v>
                </c:pt>
                <c:pt idx="179">
                  <c:v>1.8230669928417698E-4</c:v>
                </c:pt>
                <c:pt idx="180">
                  <c:v>1.7012231578409731E-4</c:v>
                </c:pt>
                <c:pt idx="181">
                  <c:v>1.7005580195875086E-4</c:v>
                </c:pt>
                <c:pt idx="182">
                  <c:v>1.7696144882589117E-4</c:v>
                </c:pt>
                <c:pt idx="183">
                  <c:v>1.8580390215738415E-4</c:v>
                </c:pt>
                <c:pt idx="184">
                  <c:v>1.9240921367703702E-4</c:v>
                </c:pt>
                <c:pt idx="185">
                  <c:v>1.9399937114562073E-4</c:v>
                </c:pt>
                <c:pt idx="186">
                  <c:v>1.8943471083776532E-4</c:v>
                </c:pt>
                <c:pt idx="187">
                  <c:v>1.7914282308856874E-4</c:v>
                </c:pt>
                <c:pt idx="188">
                  <c:v>1.6477053499100891E-4</c:v>
                </c:pt>
                <c:pt idx="189">
                  <c:v>1.4864627573654845E-4</c:v>
                </c:pt>
                <c:pt idx="190">
                  <c:v>1.3317340874653745E-4</c:v>
                </c:pt>
                <c:pt idx="191">
                  <c:v>1.2028374793921009E-4</c:v>
                </c:pt>
                <c:pt idx="192">
                  <c:v>1.1106205451294981E-4</c:v>
                </c:pt>
                <c:pt idx="193">
                  <c:v>1.0561018984207423E-4</c:v>
                </c:pt>
                <c:pt idx="194">
                  <c:v>1.0316264153584131E-4</c:v>
                </c:pt>
                <c:pt idx="195">
                  <c:v>1.02406093334545E-4</c:v>
                </c:pt>
                <c:pt idx="196">
                  <c:v>1.0190845068126472E-4</c:v>
                </c:pt>
                <c:pt idx="197">
                  <c:v>1.0053893805921577E-4</c:v>
                </c:pt>
                <c:pt idx="198">
                  <c:v>9.7766956955833639E-5</c:v>
                </c:pt>
                <c:pt idx="199">
                  <c:v>9.3762484919543106E-5</c:v>
                </c:pt>
                <c:pt idx="200">
                  <c:v>8.9276525187772398E-5</c:v>
                </c:pt>
                <c:pt idx="201">
                  <c:v>8.5342236683061615E-5</c:v>
                </c:pt>
                <c:pt idx="202">
                  <c:v>8.288914816354026E-5</c:v>
                </c:pt>
                <c:pt idx="203">
                  <c:v>8.2389427902219381E-5</c:v>
                </c:pt>
                <c:pt idx="204">
                  <c:v>8.364784930233375E-5</c:v>
                </c:pt>
                <c:pt idx="205">
                  <c:v>8.5806328550490441E-5</c:v>
                </c:pt>
                <c:pt idx="206">
                  <c:v>8.7569984365081757E-5</c:v>
                </c:pt>
                <c:pt idx="207">
                  <c:v>8.7592477690099266E-5</c:v>
                </c:pt>
                <c:pt idx="208">
                  <c:v>8.4904751972594218E-5</c:v>
                </c:pt>
                <c:pt idx="209">
                  <c:v>7.9250894866158132E-5</c:v>
                </c:pt>
                <c:pt idx="210">
                  <c:v>7.1216502207318948E-5</c:v>
                </c:pt>
                <c:pt idx="211">
                  <c:v>6.2095018143863237E-5</c:v>
                </c:pt>
                <c:pt idx="212">
                  <c:v>5.3519851250983325E-5</c:v>
                </c:pt>
                <c:pt idx="213">
                  <c:v>4.696964745573201E-5</c:v>
                </c:pt>
                <c:pt idx="214">
                  <c:v>4.3304240794449658E-5</c:v>
                </c:pt>
                <c:pt idx="215">
                  <c:v>4.2489669986503674E-5</c:v>
                </c:pt>
                <c:pt idx="216">
                  <c:v>4.3616844167667149E-5</c:v>
                </c:pt>
                <c:pt idx="217">
                  <c:v>4.5222864219268958E-5</c:v>
                </c:pt>
                <c:pt idx="218">
                  <c:v>4.5816015044775548E-5</c:v>
                </c:pt>
                <c:pt idx="219">
                  <c:v>4.4422881833462232E-5</c:v>
                </c:pt>
                <c:pt idx="220">
                  <c:v>4.0952780839589497E-5</c:v>
                </c:pt>
                <c:pt idx="221">
                  <c:v>3.6227307337472045E-5</c:v>
                </c:pt>
                <c:pt idx="222">
                  <c:v>3.1641141009787374E-5</c:v>
                </c:pt>
                <c:pt idx="223">
                  <c:v>2.8564794758326827E-5</c:v>
                </c:pt>
                <c:pt idx="224">
                  <c:v>2.7729863912998486E-5</c:v>
                </c:pt>
                <c:pt idx="225">
                  <c:v>2.884016088024622E-5</c:v>
                </c:pt>
                <c:pt idx="226">
                  <c:v>3.0627871348864274E-5</c:v>
                </c:pt>
                <c:pt idx="227">
                  <c:v>3.13657882076853E-5</c:v>
                </c:pt>
                <c:pt idx="228">
                  <c:v>2.9657504196091119E-5</c:v>
                </c:pt>
                <c:pt idx="229">
                  <c:v>2.5174470584321608E-5</c:v>
                </c:pt>
                <c:pt idx="230">
                  <c:v>1.8989899531201524E-5</c:v>
                </c:pt>
                <c:pt idx="231">
                  <c:v>1.3302186801777006E-5</c:v>
                </c:pt>
                <c:pt idx="232">
                  <c:v>1.060075653113938E-5</c:v>
                </c:pt>
                <c:pt idx="233">
                  <c:v>1.259572420791923E-5</c:v>
                </c:pt>
                <c:pt idx="234">
                  <c:v>1.9379080053737462E-5</c:v>
                </c:pt>
                <c:pt idx="235">
                  <c:v>2.9221636485566577E-5</c:v>
                </c:pt>
                <c:pt idx="236">
                  <c:v>3.9144844900383607E-5</c:v>
                </c:pt>
                <c:pt idx="237">
                  <c:v>4.6052743827238483E-5</c:v>
                </c:pt>
                <c:pt idx="238">
                  <c:v>4.7937081483503578E-5</c:v>
                </c:pt>
                <c:pt idx="239">
                  <c:v>4.4620055269855244E-5</c:v>
                </c:pt>
                <c:pt idx="240">
                  <c:v>3.7708790278633975E-5</c:v>
                </c:pt>
                <c:pt idx="241">
                  <c:v>2.9805404599321335E-5</c:v>
                </c:pt>
                <c:pt idx="242">
                  <c:v>2.3362314617657445E-5</c:v>
                </c:pt>
                <c:pt idx="243">
                  <c:v>1.9721401054106547E-5</c:v>
                </c:pt>
                <c:pt idx="244">
                  <c:v>1.8758087285026604E-5</c:v>
                </c:pt>
                <c:pt idx="245">
                  <c:v>1.9235523073841143E-5</c:v>
                </c:pt>
                <c:pt idx="246">
                  <c:v>1.9625263528552234E-5</c:v>
                </c:pt>
                <c:pt idx="247">
                  <c:v>1.8942275850489894E-5</c:v>
                </c:pt>
                <c:pt idx="248">
                  <c:v>1.7169258723675765E-5</c:v>
                </c:pt>
                <c:pt idx="249">
                  <c:v>1.5085778082197175E-5</c:v>
                </c:pt>
                <c:pt idx="250">
                  <c:v>1.3647143750876145E-5</c:v>
                </c:pt>
                <c:pt idx="251">
                  <c:v>1.3306323154326511E-5</c:v>
                </c:pt>
                <c:pt idx="252">
                  <c:v>1.3700757848892999E-5</c:v>
                </c:pt>
                <c:pt idx="253">
                  <c:v>1.3902290684236134E-5</c:v>
                </c:pt>
                <c:pt idx="254">
                  <c:v>1.3066727292967108E-5</c:v>
                </c:pt>
                <c:pt idx="255">
                  <c:v>1.1041952092598725E-5</c:v>
                </c:pt>
                <c:pt idx="256">
                  <c:v>8.5074213507049049E-6</c:v>
                </c:pt>
                <c:pt idx="257">
                  <c:v>6.5474022517903741E-6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9D-4B08-82AD-5A0688CCDDF0}"/>
            </c:ext>
          </c:extLst>
        </c:ser>
        <c:ser>
          <c:idx val="0"/>
          <c:order val="1"/>
          <c:tx>
            <c:v>Neutron Data</c:v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CCFFFF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1"/>
            <c:plus>
              <c:numRef>
                <c:f>Reflectivity!$K$3:$K$496</c:f>
                <c:numCache>
                  <c:formatCode>General</c:formatCode>
                  <c:ptCount val="494"/>
                  <c:pt idx="0">
                    <c:v>1.1954484116915558E-2</c:v>
                  </c:pt>
                  <c:pt idx="1">
                    <c:v>1.0320507503157512E-2</c:v>
                  </c:pt>
                  <c:pt idx="2">
                    <c:v>1.0040233604648634E-2</c:v>
                  </c:pt>
                  <c:pt idx="3">
                    <c:v>9.1529429977619189E-3</c:v>
                  </c:pt>
                  <c:pt idx="4">
                    <c:v>9.2968170746698612E-3</c:v>
                  </c:pt>
                  <c:pt idx="5">
                    <c:v>8.3242270670950604E-3</c:v>
                  </c:pt>
                  <c:pt idx="6">
                    <c:v>8.7425581484478834E-3</c:v>
                  </c:pt>
                  <c:pt idx="7">
                    <c:v>7.5684241467974308E-3</c:v>
                  </c:pt>
                  <c:pt idx="8">
                    <c:v>7.4970658544019899E-3</c:v>
                  </c:pt>
                  <c:pt idx="9">
                    <c:v>6.9650733618662839E-3</c:v>
                  </c:pt>
                  <c:pt idx="10">
                    <c:v>6.8091475669687061E-3</c:v>
                  </c:pt>
                  <c:pt idx="11">
                    <c:v>6.7419787623732774E-3</c:v>
                  </c:pt>
                  <c:pt idx="12">
                    <c:v>6.3526032015412863E-3</c:v>
                  </c:pt>
                  <c:pt idx="13">
                    <c:v>5.9451040446343202E-3</c:v>
                  </c:pt>
                  <c:pt idx="14">
                    <c:v>5.7990686613371718E-3</c:v>
                  </c:pt>
                  <c:pt idx="15">
                    <c:v>5.8227818974601591E-3</c:v>
                  </c:pt>
                  <c:pt idx="16">
                    <c:v>5.3276592642296193E-3</c:v>
                  </c:pt>
                  <c:pt idx="17">
                    <c:v>5.1041760868679592E-3</c:v>
                  </c:pt>
                  <c:pt idx="18">
                    <c:v>4.7625278767999936E-3</c:v>
                  </c:pt>
                  <c:pt idx="19">
                    <c:v>4.6835283492977255E-3</c:v>
                  </c:pt>
                  <c:pt idx="20">
                    <c:v>4.2654529889445524E-3</c:v>
                  </c:pt>
                  <c:pt idx="21">
                    <c:v>5.7037936081281784E-3</c:v>
                  </c:pt>
                  <c:pt idx="22">
                    <c:v>7.1861541635382985E-3</c:v>
                  </c:pt>
                  <c:pt idx="23">
                    <c:v>4.888711163827511E-3</c:v>
                  </c:pt>
                  <c:pt idx="24">
                    <c:v>5.0364004485676057E-3</c:v>
                  </c:pt>
                  <c:pt idx="25">
                    <c:v>4.4664917912700447E-3</c:v>
                  </c:pt>
                  <c:pt idx="26">
                    <c:v>4.6821539384787995E-3</c:v>
                  </c:pt>
                  <c:pt idx="27">
                    <c:v>4.3549774880397634E-3</c:v>
                  </c:pt>
                  <c:pt idx="28">
                    <c:v>4.2748735468117974E-3</c:v>
                  </c:pt>
                  <c:pt idx="29">
                    <c:v>3.964889467473246E-3</c:v>
                  </c:pt>
                  <c:pt idx="30">
                    <c:v>3.4512789057423699E-3</c:v>
                  </c:pt>
                  <c:pt idx="31">
                    <c:v>3.0184436647243355E-3</c:v>
                  </c:pt>
                  <c:pt idx="32">
                    <c:v>3.0806482262819655E-3</c:v>
                  </c:pt>
                  <c:pt idx="33">
                    <c:v>3.0567706757774504E-3</c:v>
                  </c:pt>
                  <c:pt idx="34">
                    <c:v>2.7644330422570669E-3</c:v>
                  </c:pt>
                  <c:pt idx="35">
                    <c:v>2.6107452149465404E-3</c:v>
                  </c:pt>
                  <c:pt idx="36">
                    <c:v>2.5983779548649794E-3</c:v>
                  </c:pt>
                  <c:pt idx="37">
                    <c:v>2.2581805748258773E-3</c:v>
                  </c:pt>
                  <c:pt idx="38">
                    <c:v>2.0401258280503148E-3</c:v>
                  </c:pt>
                  <c:pt idx="39">
                    <c:v>1.9594488234012191E-3</c:v>
                  </c:pt>
                  <c:pt idx="40">
                    <c:v>1.8026153405848867E-3</c:v>
                  </c:pt>
                  <c:pt idx="41">
                    <c:v>1.7816806123867458E-3</c:v>
                  </c:pt>
                  <c:pt idx="42">
                    <c:v>3.8458638608285614E-3</c:v>
                  </c:pt>
                  <c:pt idx="43">
                    <c:v>3.1580307632380483E-3</c:v>
                  </c:pt>
                  <c:pt idx="44">
                    <c:v>3.3889510327704368E-3</c:v>
                  </c:pt>
                  <c:pt idx="45">
                    <c:v>2.8100290596587366E-3</c:v>
                  </c:pt>
                  <c:pt idx="46">
                    <c:v>2.6750099747297517E-3</c:v>
                  </c:pt>
                  <c:pt idx="47">
                    <c:v>2.5197974189525431E-3</c:v>
                  </c:pt>
                  <c:pt idx="48">
                    <c:v>2.5463675666665326E-3</c:v>
                  </c:pt>
                  <c:pt idx="49">
                    <c:v>2.5488028566653179E-3</c:v>
                  </c:pt>
                  <c:pt idx="50">
                    <c:v>2.2891160567825295E-3</c:v>
                  </c:pt>
                  <c:pt idx="51">
                    <c:v>2.3880298584763146E-3</c:v>
                  </c:pt>
                  <c:pt idx="52">
                    <c:v>1.9820702217896976E-3</c:v>
                  </c:pt>
                  <c:pt idx="53">
                    <c:v>2.177700565355498E-3</c:v>
                  </c:pt>
                  <c:pt idx="54">
                    <c:v>2.2409454751724134E-3</c:v>
                  </c:pt>
                  <c:pt idx="55">
                    <c:v>2.1618543084695146E-3</c:v>
                  </c:pt>
                  <c:pt idx="56">
                    <c:v>1.9264128350861092E-3</c:v>
                  </c:pt>
                  <c:pt idx="57">
                    <c:v>1.8444501631068393E-3</c:v>
                  </c:pt>
                  <c:pt idx="58">
                    <c:v>1.7443081669047391E-3</c:v>
                  </c:pt>
                  <c:pt idx="59">
                    <c:v>1.5801798190762078E-3</c:v>
                  </c:pt>
                  <c:pt idx="60">
                    <c:v>1.8281286099792969E-3</c:v>
                  </c:pt>
                  <c:pt idx="61">
                    <c:v>1.7900443803007826E-3</c:v>
                  </c:pt>
                  <c:pt idx="62">
                    <c:v>1.7985520249113116E-3</c:v>
                  </c:pt>
                  <c:pt idx="63">
                    <c:v>1.6434025062906281E-3</c:v>
                  </c:pt>
                  <c:pt idx="64">
                    <c:v>1.6295667154805145E-3</c:v>
                  </c:pt>
                  <c:pt idx="65">
                    <c:v>1.5295595591193036E-3</c:v>
                  </c:pt>
                  <c:pt idx="66">
                    <c:v>1.542645993267511E-3</c:v>
                  </c:pt>
                  <c:pt idx="67">
                    <c:v>1.5522923385186788E-3</c:v>
                  </c:pt>
                  <c:pt idx="68">
                    <c:v>1.3093547721660537E-3</c:v>
                  </c:pt>
                  <c:pt idx="69">
                    <c:v>1.3218063623202758E-3</c:v>
                  </c:pt>
                  <c:pt idx="70">
                    <c:v>1.38834284719381E-3</c:v>
                  </c:pt>
                  <c:pt idx="71">
                    <c:v>1.3690967900753183E-3</c:v>
                  </c:pt>
                  <c:pt idx="72">
                    <c:v>1.269464082852936E-3</c:v>
                  </c:pt>
                  <c:pt idx="73">
                    <c:v>1.2567263575159397E-3</c:v>
                  </c:pt>
                  <c:pt idx="74">
                    <c:v>2.641733564755082E-3</c:v>
                  </c:pt>
                  <c:pt idx="75">
                    <c:v>2.3159096095397252E-3</c:v>
                  </c:pt>
                  <c:pt idx="76">
                    <c:v>2.3181088321076078E-3</c:v>
                  </c:pt>
                  <c:pt idx="77">
                    <c:v>2.4100002899700127E-3</c:v>
                  </c:pt>
                  <c:pt idx="78">
                    <c:v>2.2902708953004675E-3</c:v>
                  </c:pt>
                  <c:pt idx="79">
                    <c:v>2.0154655575015724E-3</c:v>
                  </c:pt>
                  <c:pt idx="80">
                    <c:v>2.1944882543641609E-3</c:v>
                  </c:pt>
                  <c:pt idx="81">
                    <c:v>2.1666109649184783E-3</c:v>
                  </c:pt>
                  <c:pt idx="82">
                    <c:v>2.1704366909428984E-3</c:v>
                  </c:pt>
                  <c:pt idx="83">
                    <c:v>2.0749122076291569E-3</c:v>
                  </c:pt>
                  <c:pt idx="84">
                    <c:v>2.0558105534295903E-3</c:v>
                  </c:pt>
                  <c:pt idx="85">
                    <c:v>2.0318525129941005E-3</c:v>
                  </c:pt>
                  <c:pt idx="86">
                    <c:v>2.0959385548299002E-3</c:v>
                  </c:pt>
                  <c:pt idx="87">
                    <c:v>1.9588149608926555E-3</c:v>
                  </c:pt>
                  <c:pt idx="88">
                    <c:v>1.7385593038625015E-3</c:v>
                  </c:pt>
                  <c:pt idx="89">
                    <c:v>1.8006194526158257E-3</c:v>
                  </c:pt>
                  <c:pt idx="90">
                    <c:v>1.5518406913514471E-3</c:v>
                  </c:pt>
                  <c:pt idx="91">
                    <c:v>1.4466041130598666E-3</c:v>
                  </c:pt>
                  <c:pt idx="92">
                    <c:v>1.3660638481633187E-3</c:v>
                  </c:pt>
                  <c:pt idx="93">
                    <c:v>1.3613841733866473E-3</c:v>
                  </c:pt>
                  <c:pt idx="94">
                    <c:v>1.2790816212539398E-3</c:v>
                  </c:pt>
                  <c:pt idx="95">
                    <c:v>1.2700218437211575E-3</c:v>
                  </c:pt>
                  <c:pt idx="96">
                    <c:v>1.13799091349358E-3</c:v>
                  </c:pt>
                  <c:pt idx="97">
                    <c:v>1.1605043910749081E-3</c:v>
                  </c:pt>
                  <c:pt idx="98">
                    <c:v>1.0822358091968571E-3</c:v>
                  </c:pt>
                  <c:pt idx="99">
                    <c:v>9.5043483699482729E-4</c:v>
                  </c:pt>
                  <c:pt idx="100">
                    <c:v>8.6317358007079322E-4</c:v>
                  </c:pt>
                  <c:pt idx="101">
                    <c:v>7.881061439105881E-4</c:v>
                  </c:pt>
                  <c:pt idx="102">
                    <c:v>7.2344628686808754E-4</c:v>
                  </c:pt>
                  <c:pt idx="103">
                    <c:v>6.5665585070003279E-4</c:v>
                  </c:pt>
                  <c:pt idx="104">
                    <c:v>6.4230350016542123E-4</c:v>
                  </c:pt>
                  <c:pt idx="105">
                    <c:v>5.6232009553256639E-4</c:v>
                  </c:pt>
                  <c:pt idx="106">
                    <c:v>4.7801774121672907E-4</c:v>
                  </c:pt>
                  <c:pt idx="107">
                    <c:v>4.2337015180176496E-4</c:v>
                  </c:pt>
                  <c:pt idx="108">
                    <c:v>4.5983212898304524E-4</c:v>
                  </c:pt>
                  <c:pt idx="109">
                    <c:v>4.4477151922669669E-4</c:v>
                  </c:pt>
                  <c:pt idx="110">
                    <c:v>4.0849910043658314E-4</c:v>
                  </c:pt>
                  <c:pt idx="111">
                    <c:v>3.6125026026791304E-4</c:v>
                  </c:pt>
                  <c:pt idx="112">
                    <c:v>3.5641958993331104E-4</c:v>
                  </c:pt>
                  <c:pt idx="113">
                    <c:v>3.4170264388709012E-4</c:v>
                  </c:pt>
                  <c:pt idx="114">
                    <c:v>3.1989919678354731E-4</c:v>
                  </c:pt>
                  <c:pt idx="115">
                    <c:v>3.1192695386206715E-4</c:v>
                  </c:pt>
                  <c:pt idx="116">
                    <c:v>3.1214968509990238E-4</c:v>
                  </c:pt>
                  <c:pt idx="117">
                    <c:v>2.4742769134726192E-4</c:v>
                  </c:pt>
                  <c:pt idx="118">
                    <c:v>2.9958209534918027E-4</c:v>
                  </c:pt>
                  <c:pt idx="119">
                    <c:v>2.8271475557932859E-4</c:v>
                  </c:pt>
                  <c:pt idx="120">
                    <c:v>8.4789827405593778E-5</c:v>
                  </c:pt>
                  <c:pt idx="121">
                    <c:v>8.9784170489340561E-5</c:v>
                  </c:pt>
                  <c:pt idx="122">
                    <c:v>8.2442111074768098E-5</c:v>
                  </c:pt>
                  <c:pt idx="123">
                    <c:v>7.6195964415871434E-5</c:v>
                  </c:pt>
                  <c:pt idx="124">
                    <c:v>7.7254468423509226E-5</c:v>
                  </c:pt>
                  <c:pt idx="125">
                    <c:v>7.9676729887221491E-5</c:v>
                  </c:pt>
                  <c:pt idx="126">
                    <c:v>7.7391778298681313E-5</c:v>
                  </c:pt>
                  <c:pt idx="127">
                    <c:v>6.8378422718842177E-5</c:v>
                  </c:pt>
                  <c:pt idx="128">
                    <c:v>7.030972714249645E-5</c:v>
                  </c:pt>
                  <c:pt idx="129">
                    <c:v>6.2578648343009999E-5</c:v>
                  </c:pt>
                  <c:pt idx="130">
                    <c:v>5.7300732226123928E-5</c:v>
                  </c:pt>
                  <c:pt idx="131">
                    <c:v>5.8871170005924939E-5</c:v>
                  </c:pt>
                  <c:pt idx="132">
                    <c:v>4.8102698053933838E-5</c:v>
                  </c:pt>
                  <c:pt idx="133">
                    <c:v>5.1550900459428809E-5</c:v>
                  </c:pt>
                  <c:pt idx="134">
                    <c:v>5.125768396287796E-5</c:v>
                  </c:pt>
                  <c:pt idx="135">
                    <c:v>4.4963879328156983E-5</c:v>
                  </c:pt>
                  <c:pt idx="136">
                    <c:v>4.6101806094405721E-5</c:v>
                  </c:pt>
                  <c:pt idx="137">
                    <c:v>4.3920983575569217E-5</c:v>
                  </c:pt>
                  <c:pt idx="138">
                    <c:v>4.3297092627955615E-5</c:v>
                  </c:pt>
                  <c:pt idx="139">
                    <c:v>4.2688373080075563E-5</c:v>
                  </c:pt>
                  <c:pt idx="140">
                    <c:v>4.0460780399292716E-5</c:v>
                  </c:pt>
                  <c:pt idx="141">
                    <c:v>4.4172333285886401E-5</c:v>
                  </c:pt>
                  <c:pt idx="142">
                    <c:v>4.3155062856869777E-5</c:v>
                  </c:pt>
                  <c:pt idx="143">
                    <c:v>4.1200648617233638E-5</c:v>
                  </c:pt>
                  <c:pt idx="144">
                    <c:v>4.6327563442501761E-5</c:v>
                  </c:pt>
                  <c:pt idx="145">
                    <c:v>3.7779870536595208E-5</c:v>
                  </c:pt>
                  <c:pt idx="146">
                    <c:v>4.1881569472536287E-5</c:v>
                  </c:pt>
                  <c:pt idx="147">
                    <c:v>4.0942468891284742E-5</c:v>
                  </c:pt>
                  <c:pt idx="148">
                    <c:v>4.0708558077596536E-5</c:v>
                  </c:pt>
                  <c:pt idx="149">
                    <c:v>4.6588296269896395E-5</c:v>
                  </c:pt>
                  <c:pt idx="150">
                    <c:v>4.2088941031588029E-5</c:v>
                  </c:pt>
                  <c:pt idx="151">
                    <c:v>4.5583757826596256E-5</c:v>
                  </c:pt>
                  <c:pt idx="152">
                    <c:v>4.5123270747432911E-5</c:v>
                  </c:pt>
                  <c:pt idx="153">
                    <c:v>5.0998465875192972E-5</c:v>
                  </c:pt>
                  <c:pt idx="154">
                    <c:v>5.4701263363757367E-5</c:v>
                  </c:pt>
                  <c:pt idx="155">
                    <c:v>5.8278051223455389E-5</c:v>
                  </c:pt>
                  <c:pt idx="156">
                    <c:v>5.8946127846803227E-5</c:v>
                  </c:pt>
                  <c:pt idx="157">
                    <c:v>6.6737073430777106E-5</c:v>
                  </c:pt>
                  <c:pt idx="158">
                    <c:v>6.0655874578814156E-5</c:v>
                  </c:pt>
                  <c:pt idx="159">
                    <c:v>6.9630100151482914E-5</c:v>
                  </c:pt>
                  <c:pt idx="160">
                    <c:v>6.6973991492875578E-5</c:v>
                  </c:pt>
                  <c:pt idx="161">
                    <c:v>7.2499233708581023E-5</c:v>
                  </c:pt>
                  <c:pt idx="162">
                    <c:v>7.5634901581577734E-5</c:v>
                  </c:pt>
                  <c:pt idx="163">
                    <c:v>7.1485225689685918E-5</c:v>
                  </c:pt>
                  <c:pt idx="164">
                    <c:v>7.2273985082769917E-5</c:v>
                  </c:pt>
                  <c:pt idx="165">
                    <c:v>7.5087754854441359E-5</c:v>
                  </c:pt>
                  <c:pt idx="166">
                    <c:v>7.3112428470609972E-5</c:v>
                  </c:pt>
                  <c:pt idx="167">
                    <c:v>7.4979747210615486E-5</c:v>
                  </c:pt>
                  <c:pt idx="168">
                    <c:v>7.0346623705730543E-5</c:v>
                  </c:pt>
                  <c:pt idx="169">
                    <c:v>6.9237550349012485E-5</c:v>
                  </c:pt>
                  <c:pt idx="170">
                    <c:v>6.8432812925070763E-5</c:v>
                  </c:pt>
                  <c:pt idx="171">
                    <c:v>6.2574421616344987E-5</c:v>
                  </c:pt>
                  <c:pt idx="172">
                    <c:v>5.5799413778875474E-5</c:v>
                  </c:pt>
                  <c:pt idx="173">
                    <c:v>5.9041841518563789E-5</c:v>
                  </c:pt>
                  <c:pt idx="174">
                    <c:v>5.212653749340577E-5</c:v>
                  </c:pt>
                  <c:pt idx="175">
                    <c:v>4.6555178043494374E-5</c:v>
                  </c:pt>
                  <c:pt idx="176">
                    <c:v>4.5800826205700957E-5</c:v>
                  </c:pt>
                  <c:pt idx="177">
                    <c:v>4.4416186550810691E-5</c:v>
                  </c:pt>
                  <c:pt idx="178">
                    <c:v>3.8358035377040172E-5</c:v>
                  </c:pt>
                  <c:pt idx="179">
                    <c:v>4.2482577242407761E-5</c:v>
                  </c:pt>
                  <c:pt idx="180">
                    <c:v>3.7666696600468052E-5</c:v>
                  </c:pt>
                  <c:pt idx="181">
                    <c:v>3.8297108439281137E-5</c:v>
                  </c:pt>
                  <c:pt idx="182">
                    <c:v>3.3792995184056254E-5</c:v>
                  </c:pt>
                  <c:pt idx="183">
                    <c:v>3.7569211551138131E-5</c:v>
                  </c:pt>
                  <c:pt idx="184">
                    <c:v>3.3029020361098832E-5</c:v>
                  </c:pt>
                  <c:pt idx="185">
                    <c:v>3.3862177149499573E-5</c:v>
                  </c:pt>
                  <c:pt idx="186">
                    <c:v>3.0345984302246374E-5</c:v>
                  </c:pt>
                  <c:pt idx="187">
                    <c:v>3.3220725081942076E-5</c:v>
                  </c:pt>
                  <c:pt idx="188">
                    <c:v>1.1144851726243897E-5</c:v>
                  </c:pt>
                  <c:pt idx="189">
                    <c:v>1.1636389918505902E-5</c:v>
                  </c:pt>
                  <c:pt idx="190">
                    <c:v>1.095094868566796E-5</c:v>
                  </c:pt>
                  <c:pt idx="191">
                    <c:v>1.095014172058274E-5</c:v>
                  </c:pt>
                  <c:pt idx="192">
                    <c:v>9.4312764695332139E-6</c:v>
                  </c:pt>
                  <c:pt idx="193">
                    <c:v>1.0039619864008965E-5</c:v>
                  </c:pt>
                  <c:pt idx="194">
                    <c:v>9.2958826992330986E-6</c:v>
                  </c:pt>
                  <c:pt idx="195">
                    <c:v>9.0245211268578059E-6</c:v>
                  </c:pt>
                  <c:pt idx="196">
                    <c:v>8.1339107645277784E-6</c:v>
                  </c:pt>
                  <c:pt idx="197">
                    <c:v>8.5181006046089708E-6</c:v>
                  </c:pt>
                  <c:pt idx="198">
                    <c:v>8.3027901072259826E-6</c:v>
                  </c:pt>
                  <c:pt idx="199">
                    <c:v>6.8507823544116723E-6</c:v>
                  </c:pt>
                  <c:pt idx="200">
                    <c:v>7.8427372616168643E-6</c:v>
                  </c:pt>
                  <c:pt idx="201">
                    <c:v>7.5151311595240054E-6</c:v>
                  </c:pt>
                  <c:pt idx="202">
                    <c:v>7.841105974418392E-6</c:v>
                  </c:pt>
                  <c:pt idx="203">
                    <c:v>8.5898882412209508E-6</c:v>
                  </c:pt>
                  <c:pt idx="204">
                    <c:v>8.0709052162514159E-6</c:v>
                  </c:pt>
                  <c:pt idx="205">
                    <c:v>9.2295652807901292E-6</c:v>
                  </c:pt>
                  <c:pt idx="206">
                    <c:v>9.1525649789255038E-6</c:v>
                  </c:pt>
                  <c:pt idx="207">
                    <c:v>9.3823895417467911E-6</c:v>
                  </c:pt>
                  <c:pt idx="208">
                    <c:v>8.7153780766891173E-6</c:v>
                  </c:pt>
                  <c:pt idx="209">
                    <c:v>8.7487487435759698E-6</c:v>
                  </c:pt>
                  <c:pt idx="210">
                    <c:v>9.3707841136749942E-6</c:v>
                  </c:pt>
                  <c:pt idx="211">
                    <c:v>8.1941097507899243E-6</c:v>
                  </c:pt>
                  <c:pt idx="212">
                    <c:v>9.1594928528914599E-6</c:v>
                  </c:pt>
                  <c:pt idx="213">
                    <c:v>8.7188162156164065E-6</c:v>
                  </c:pt>
                  <c:pt idx="214">
                    <c:v>9.5269765656805486E-6</c:v>
                  </c:pt>
                  <c:pt idx="215">
                    <c:v>8.2821628901564596E-6</c:v>
                  </c:pt>
                  <c:pt idx="216">
                    <c:v>8.2471450177086662E-6</c:v>
                  </c:pt>
                  <c:pt idx="217">
                    <c:v>8.1585637451006099E-6</c:v>
                  </c:pt>
                  <c:pt idx="218">
                    <c:v>8.3430244679719207E-6</c:v>
                  </c:pt>
                  <c:pt idx="219">
                    <c:v>9.390488482527453E-6</c:v>
                  </c:pt>
                  <c:pt idx="220">
                    <c:v>7.4355647015042033E-6</c:v>
                  </c:pt>
                  <c:pt idx="221">
                    <c:v>7.8541316683114684E-6</c:v>
                  </c:pt>
                  <c:pt idx="222">
                    <c:v>8.5557849720748663E-6</c:v>
                  </c:pt>
                  <c:pt idx="223">
                    <c:v>8.7676025425343074E-6</c:v>
                  </c:pt>
                  <c:pt idx="224">
                    <c:v>7.8709403781399807E-6</c:v>
                  </c:pt>
                  <c:pt idx="225">
                    <c:v>7.1834069838502721E-6</c:v>
                  </c:pt>
                  <c:pt idx="226">
                    <c:v>8.369957287891664E-6</c:v>
                  </c:pt>
                  <c:pt idx="227">
                    <c:v>7.3875737193133906E-6</c:v>
                  </c:pt>
                  <c:pt idx="228">
                    <c:v>6.7221429882185854E-6</c:v>
                  </c:pt>
                  <c:pt idx="229">
                    <c:v>6.5687578354136445E-6</c:v>
                  </c:pt>
                  <c:pt idx="230">
                    <c:v>7.0200773667345378E-6</c:v>
                  </c:pt>
                  <c:pt idx="231">
                    <c:v>7.4093857624935877E-6</c:v>
                  </c:pt>
                  <c:pt idx="232">
                    <c:v>6.9406905206745709E-6</c:v>
                  </c:pt>
                  <c:pt idx="233">
                    <c:v>6.5372670179668222E-6</c:v>
                  </c:pt>
                  <c:pt idx="234">
                    <c:v>6.6740558726133944E-6</c:v>
                  </c:pt>
                  <c:pt idx="235">
                    <c:v>6.430751330322815E-6</c:v>
                  </c:pt>
                  <c:pt idx="236">
                    <c:v>6.3040340426515942E-6</c:v>
                  </c:pt>
                  <c:pt idx="237">
                    <c:v>6.3021014030305223E-6</c:v>
                  </c:pt>
                  <c:pt idx="238">
                    <c:v>6.563078064746806E-6</c:v>
                  </c:pt>
                  <c:pt idx="239">
                    <c:v>6.0497958045737078E-6</c:v>
                  </c:pt>
                  <c:pt idx="240">
                    <c:v>6.3989680376946408E-6</c:v>
                  </c:pt>
                  <c:pt idx="241">
                    <c:v>6.2920991835693954E-6</c:v>
                  </c:pt>
                  <c:pt idx="242">
                    <c:v>5.982963776370444E-6</c:v>
                  </c:pt>
                  <c:pt idx="243">
                    <c:v>6.6210424182327953E-6</c:v>
                  </c:pt>
                  <c:pt idx="244">
                    <c:v>5.85902857419972E-6</c:v>
                  </c:pt>
                  <c:pt idx="245">
                    <c:v>6.2358111641134253E-6</c:v>
                  </c:pt>
                  <c:pt idx="246">
                    <c:v>5.8652324481853869E-6</c:v>
                  </c:pt>
                  <c:pt idx="247">
                    <c:v>5.560492242257919E-6</c:v>
                  </c:pt>
                  <c:pt idx="248">
                    <c:v>5.7255836951783467E-6</c:v>
                  </c:pt>
                  <c:pt idx="249">
                    <c:v>6.3005878501630674E-6</c:v>
                  </c:pt>
                  <c:pt idx="250">
                    <c:v>5.90537874439317E-6</c:v>
                  </c:pt>
                  <c:pt idx="251">
                    <c:v>5.348534062216194E-6</c:v>
                  </c:pt>
                  <c:pt idx="252">
                    <c:v>5.5096897368707261E-6</c:v>
                  </c:pt>
                  <c:pt idx="253">
                    <c:v>5.4265035854573303E-6</c:v>
                  </c:pt>
                  <c:pt idx="254">
                    <c:v>5.7008057639048611E-6</c:v>
                  </c:pt>
                  <c:pt idx="255">
                    <c:v>5.2533115874418869E-6</c:v>
                  </c:pt>
                  <c:pt idx="256">
                    <c:v>5.532931870506373E-6</c:v>
                  </c:pt>
                  <c:pt idx="257">
                    <c:v>3.1083773088015299E-6</c:v>
                  </c:pt>
                </c:numCache>
              </c:numRef>
            </c:plus>
            <c:minus>
              <c:numRef>
                <c:f>Reflectivity!$K$3:$K$496</c:f>
                <c:numCache>
                  <c:formatCode>General</c:formatCode>
                  <c:ptCount val="494"/>
                  <c:pt idx="0">
                    <c:v>1.1954484116915558E-2</c:v>
                  </c:pt>
                  <c:pt idx="1">
                    <c:v>1.0320507503157512E-2</c:v>
                  </c:pt>
                  <c:pt idx="2">
                    <c:v>1.0040233604648634E-2</c:v>
                  </c:pt>
                  <c:pt idx="3">
                    <c:v>9.1529429977619189E-3</c:v>
                  </c:pt>
                  <c:pt idx="4">
                    <c:v>9.2968170746698612E-3</c:v>
                  </c:pt>
                  <c:pt idx="5">
                    <c:v>8.3242270670950604E-3</c:v>
                  </c:pt>
                  <c:pt idx="6">
                    <c:v>8.7425581484478834E-3</c:v>
                  </c:pt>
                  <c:pt idx="7">
                    <c:v>7.5684241467974308E-3</c:v>
                  </c:pt>
                  <c:pt idx="8">
                    <c:v>7.4970658544019899E-3</c:v>
                  </c:pt>
                  <c:pt idx="9">
                    <c:v>6.9650733618662839E-3</c:v>
                  </c:pt>
                  <c:pt idx="10">
                    <c:v>6.8091475669687061E-3</c:v>
                  </c:pt>
                  <c:pt idx="11">
                    <c:v>6.7419787623732774E-3</c:v>
                  </c:pt>
                  <c:pt idx="12">
                    <c:v>6.3526032015412863E-3</c:v>
                  </c:pt>
                  <c:pt idx="13">
                    <c:v>5.9451040446343202E-3</c:v>
                  </c:pt>
                  <c:pt idx="14">
                    <c:v>5.7990686613371718E-3</c:v>
                  </c:pt>
                  <c:pt idx="15">
                    <c:v>5.8227818974601591E-3</c:v>
                  </c:pt>
                  <c:pt idx="16">
                    <c:v>5.3276592642296193E-3</c:v>
                  </c:pt>
                  <c:pt idx="17">
                    <c:v>5.1041760868679592E-3</c:v>
                  </c:pt>
                  <c:pt idx="18">
                    <c:v>4.7625278767999936E-3</c:v>
                  </c:pt>
                  <c:pt idx="19">
                    <c:v>4.6835283492977255E-3</c:v>
                  </c:pt>
                  <c:pt idx="20">
                    <c:v>4.2654529889445524E-3</c:v>
                  </c:pt>
                  <c:pt idx="21">
                    <c:v>5.7037936081281784E-3</c:v>
                  </c:pt>
                  <c:pt idx="22">
                    <c:v>7.1861541635382985E-3</c:v>
                  </c:pt>
                  <c:pt idx="23">
                    <c:v>4.888711163827511E-3</c:v>
                  </c:pt>
                  <c:pt idx="24">
                    <c:v>5.0364004485676057E-3</c:v>
                  </c:pt>
                  <c:pt idx="25">
                    <c:v>4.4664917912700447E-3</c:v>
                  </c:pt>
                  <c:pt idx="26">
                    <c:v>4.6821539384787995E-3</c:v>
                  </c:pt>
                  <c:pt idx="27">
                    <c:v>4.3549774880397634E-3</c:v>
                  </c:pt>
                  <c:pt idx="28">
                    <c:v>4.2748735468117974E-3</c:v>
                  </c:pt>
                  <c:pt idx="29">
                    <c:v>3.964889467473246E-3</c:v>
                  </c:pt>
                  <c:pt idx="30">
                    <c:v>3.4512789057423699E-3</c:v>
                  </c:pt>
                  <c:pt idx="31">
                    <c:v>3.0184436647243355E-3</c:v>
                  </c:pt>
                  <c:pt idx="32">
                    <c:v>3.0806482262819655E-3</c:v>
                  </c:pt>
                  <c:pt idx="33">
                    <c:v>3.0567706757774504E-3</c:v>
                  </c:pt>
                  <c:pt idx="34">
                    <c:v>2.7644330422570669E-3</c:v>
                  </c:pt>
                  <c:pt idx="35">
                    <c:v>2.6107452149465404E-3</c:v>
                  </c:pt>
                  <c:pt idx="36">
                    <c:v>2.5983779548649794E-3</c:v>
                  </c:pt>
                  <c:pt idx="37">
                    <c:v>2.2581805748258773E-3</c:v>
                  </c:pt>
                  <c:pt idx="38">
                    <c:v>2.0401258280503148E-3</c:v>
                  </c:pt>
                  <c:pt idx="39">
                    <c:v>1.9594488234012191E-3</c:v>
                  </c:pt>
                  <c:pt idx="40">
                    <c:v>1.8026153405848867E-3</c:v>
                  </c:pt>
                  <c:pt idx="41">
                    <c:v>1.7816806123867458E-3</c:v>
                  </c:pt>
                  <c:pt idx="42">
                    <c:v>3.8458638608285614E-3</c:v>
                  </c:pt>
                  <c:pt idx="43">
                    <c:v>3.1580307632380483E-3</c:v>
                  </c:pt>
                  <c:pt idx="44">
                    <c:v>3.3889510327704368E-3</c:v>
                  </c:pt>
                  <c:pt idx="45">
                    <c:v>2.8100290596587366E-3</c:v>
                  </c:pt>
                  <c:pt idx="46">
                    <c:v>2.6750099747297517E-3</c:v>
                  </c:pt>
                  <c:pt idx="47">
                    <c:v>2.5197974189525431E-3</c:v>
                  </c:pt>
                  <c:pt idx="48">
                    <c:v>2.5463675666665326E-3</c:v>
                  </c:pt>
                  <c:pt idx="49">
                    <c:v>2.5488028566653179E-3</c:v>
                  </c:pt>
                  <c:pt idx="50">
                    <c:v>2.2891160567825295E-3</c:v>
                  </c:pt>
                  <c:pt idx="51">
                    <c:v>2.3880298584763146E-3</c:v>
                  </c:pt>
                  <c:pt idx="52">
                    <c:v>1.9820702217896976E-3</c:v>
                  </c:pt>
                  <c:pt idx="53">
                    <c:v>2.177700565355498E-3</c:v>
                  </c:pt>
                  <c:pt idx="54">
                    <c:v>2.2409454751724134E-3</c:v>
                  </c:pt>
                  <c:pt idx="55">
                    <c:v>2.1618543084695146E-3</c:v>
                  </c:pt>
                  <c:pt idx="56">
                    <c:v>1.9264128350861092E-3</c:v>
                  </c:pt>
                  <c:pt idx="57">
                    <c:v>1.8444501631068393E-3</c:v>
                  </c:pt>
                  <c:pt idx="58">
                    <c:v>1.7443081669047391E-3</c:v>
                  </c:pt>
                  <c:pt idx="59">
                    <c:v>1.5801798190762078E-3</c:v>
                  </c:pt>
                  <c:pt idx="60">
                    <c:v>1.8281286099792969E-3</c:v>
                  </c:pt>
                  <c:pt idx="61">
                    <c:v>1.7900443803007826E-3</c:v>
                  </c:pt>
                  <c:pt idx="62">
                    <c:v>1.7985520249113116E-3</c:v>
                  </c:pt>
                  <c:pt idx="63">
                    <c:v>1.6434025062906281E-3</c:v>
                  </c:pt>
                  <c:pt idx="64">
                    <c:v>1.6295667154805145E-3</c:v>
                  </c:pt>
                  <c:pt idx="65">
                    <c:v>1.5295595591193036E-3</c:v>
                  </c:pt>
                  <c:pt idx="66">
                    <c:v>1.542645993267511E-3</c:v>
                  </c:pt>
                  <c:pt idx="67">
                    <c:v>1.5522923385186788E-3</c:v>
                  </c:pt>
                  <c:pt idx="68">
                    <c:v>1.3093547721660537E-3</c:v>
                  </c:pt>
                  <c:pt idx="69">
                    <c:v>1.3218063623202758E-3</c:v>
                  </c:pt>
                  <c:pt idx="70">
                    <c:v>1.38834284719381E-3</c:v>
                  </c:pt>
                  <c:pt idx="71">
                    <c:v>1.3690967900753183E-3</c:v>
                  </c:pt>
                  <c:pt idx="72">
                    <c:v>1.269464082852936E-3</c:v>
                  </c:pt>
                  <c:pt idx="73">
                    <c:v>1.2567263575159397E-3</c:v>
                  </c:pt>
                  <c:pt idx="74">
                    <c:v>2.641733564755082E-3</c:v>
                  </c:pt>
                  <c:pt idx="75">
                    <c:v>2.3159096095397252E-3</c:v>
                  </c:pt>
                  <c:pt idx="76">
                    <c:v>2.3181088321076078E-3</c:v>
                  </c:pt>
                  <c:pt idx="77">
                    <c:v>2.4100002899700127E-3</c:v>
                  </c:pt>
                  <c:pt idx="78">
                    <c:v>2.2902708953004675E-3</c:v>
                  </c:pt>
                  <c:pt idx="79">
                    <c:v>2.0154655575015724E-3</c:v>
                  </c:pt>
                  <c:pt idx="80">
                    <c:v>2.1944882543641609E-3</c:v>
                  </c:pt>
                  <c:pt idx="81">
                    <c:v>2.1666109649184783E-3</c:v>
                  </c:pt>
                  <c:pt idx="82">
                    <c:v>2.1704366909428984E-3</c:v>
                  </c:pt>
                  <c:pt idx="83">
                    <c:v>2.0749122076291569E-3</c:v>
                  </c:pt>
                  <c:pt idx="84">
                    <c:v>2.0558105534295903E-3</c:v>
                  </c:pt>
                  <c:pt idx="85">
                    <c:v>2.0318525129941005E-3</c:v>
                  </c:pt>
                  <c:pt idx="86">
                    <c:v>2.0959385548299002E-3</c:v>
                  </c:pt>
                  <c:pt idx="87">
                    <c:v>1.9588149608926555E-3</c:v>
                  </c:pt>
                  <c:pt idx="88">
                    <c:v>1.7385593038625015E-3</c:v>
                  </c:pt>
                  <c:pt idx="89">
                    <c:v>1.8006194526158257E-3</c:v>
                  </c:pt>
                  <c:pt idx="90">
                    <c:v>1.5518406913514471E-3</c:v>
                  </c:pt>
                  <c:pt idx="91">
                    <c:v>1.4466041130598666E-3</c:v>
                  </c:pt>
                  <c:pt idx="92">
                    <c:v>1.3660638481633187E-3</c:v>
                  </c:pt>
                  <c:pt idx="93">
                    <c:v>1.3613841733866473E-3</c:v>
                  </c:pt>
                  <c:pt idx="94">
                    <c:v>1.2790816212539398E-3</c:v>
                  </c:pt>
                  <c:pt idx="95">
                    <c:v>1.2700218437211575E-3</c:v>
                  </c:pt>
                  <c:pt idx="96">
                    <c:v>1.13799091349358E-3</c:v>
                  </c:pt>
                  <c:pt idx="97">
                    <c:v>1.1605043910749081E-3</c:v>
                  </c:pt>
                  <c:pt idx="98">
                    <c:v>1.0822358091968571E-3</c:v>
                  </c:pt>
                  <c:pt idx="99">
                    <c:v>9.5043483699482729E-4</c:v>
                  </c:pt>
                  <c:pt idx="100">
                    <c:v>8.6317358007079322E-4</c:v>
                  </c:pt>
                  <c:pt idx="101">
                    <c:v>7.881061439105881E-4</c:v>
                  </c:pt>
                  <c:pt idx="102">
                    <c:v>7.2344628686808754E-4</c:v>
                  </c:pt>
                  <c:pt idx="103">
                    <c:v>6.5665585070003279E-4</c:v>
                  </c:pt>
                  <c:pt idx="104">
                    <c:v>6.4230350016542123E-4</c:v>
                  </c:pt>
                  <c:pt idx="105">
                    <c:v>5.6232009553256639E-4</c:v>
                  </c:pt>
                  <c:pt idx="106">
                    <c:v>4.7801774121672907E-4</c:v>
                  </c:pt>
                  <c:pt idx="107">
                    <c:v>4.2337015180176496E-4</c:v>
                  </c:pt>
                  <c:pt idx="108">
                    <c:v>4.5983212898304524E-4</c:v>
                  </c:pt>
                  <c:pt idx="109">
                    <c:v>4.4477151922669669E-4</c:v>
                  </c:pt>
                  <c:pt idx="110">
                    <c:v>4.0849910043658314E-4</c:v>
                  </c:pt>
                  <c:pt idx="111">
                    <c:v>3.6125026026791304E-4</c:v>
                  </c:pt>
                  <c:pt idx="112">
                    <c:v>3.5641958993331104E-4</c:v>
                  </c:pt>
                  <c:pt idx="113">
                    <c:v>3.4170264388709012E-4</c:v>
                  </c:pt>
                  <c:pt idx="114">
                    <c:v>3.1989919678354731E-4</c:v>
                  </c:pt>
                  <c:pt idx="115">
                    <c:v>3.1192695386206715E-4</c:v>
                  </c:pt>
                  <c:pt idx="116">
                    <c:v>3.1214968509990238E-4</c:v>
                  </c:pt>
                  <c:pt idx="117">
                    <c:v>2.4742769134726192E-4</c:v>
                  </c:pt>
                  <c:pt idx="118">
                    <c:v>2.9958209534918027E-4</c:v>
                  </c:pt>
                  <c:pt idx="119">
                    <c:v>2.8271475557932859E-4</c:v>
                  </c:pt>
                  <c:pt idx="120">
                    <c:v>8.4789827405593778E-5</c:v>
                  </c:pt>
                  <c:pt idx="121">
                    <c:v>8.9784170489340561E-5</c:v>
                  </c:pt>
                  <c:pt idx="122">
                    <c:v>8.2442111074768098E-5</c:v>
                  </c:pt>
                  <c:pt idx="123">
                    <c:v>7.6195964415871434E-5</c:v>
                  </c:pt>
                  <c:pt idx="124">
                    <c:v>7.7254468423509226E-5</c:v>
                  </c:pt>
                  <c:pt idx="125">
                    <c:v>7.9676729887221491E-5</c:v>
                  </c:pt>
                  <c:pt idx="126">
                    <c:v>7.7391778298681313E-5</c:v>
                  </c:pt>
                  <c:pt idx="127">
                    <c:v>6.8378422718842177E-5</c:v>
                  </c:pt>
                  <c:pt idx="128">
                    <c:v>7.030972714249645E-5</c:v>
                  </c:pt>
                  <c:pt idx="129">
                    <c:v>6.2578648343009999E-5</c:v>
                  </c:pt>
                  <c:pt idx="130">
                    <c:v>5.7300732226123928E-5</c:v>
                  </c:pt>
                  <c:pt idx="131">
                    <c:v>5.8871170005924939E-5</c:v>
                  </c:pt>
                  <c:pt idx="132">
                    <c:v>4.8102698053933838E-5</c:v>
                  </c:pt>
                  <c:pt idx="133">
                    <c:v>5.1550900459428809E-5</c:v>
                  </c:pt>
                  <c:pt idx="134">
                    <c:v>5.125768396287796E-5</c:v>
                  </c:pt>
                  <c:pt idx="135">
                    <c:v>4.4963879328156983E-5</c:v>
                  </c:pt>
                  <c:pt idx="136">
                    <c:v>4.6101806094405721E-5</c:v>
                  </c:pt>
                  <c:pt idx="137">
                    <c:v>4.3920983575569217E-5</c:v>
                  </c:pt>
                  <c:pt idx="138">
                    <c:v>4.3297092627955615E-5</c:v>
                  </c:pt>
                  <c:pt idx="139">
                    <c:v>4.2688373080075563E-5</c:v>
                  </c:pt>
                  <c:pt idx="140">
                    <c:v>4.0460780399292716E-5</c:v>
                  </c:pt>
                  <c:pt idx="141">
                    <c:v>4.4172333285886401E-5</c:v>
                  </c:pt>
                  <c:pt idx="142">
                    <c:v>4.3155062856869777E-5</c:v>
                  </c:pt>
                  <c:pt idx="143">
                    <c:v>4.1200648617233638E-5</c:v>
                  </c:pt>
                  <c:pt idx="144">
                    <c:v>4.6327563442501761E-5</c:v>
                  </c:pt>
                  <c:pt idx="145">
                    <c:v>3.7779870536595208E-5</c:v>
                  </c:pt>
                  <c:pt idx="146">
                    <c:v>4.1881569472536287E-5</c:v>
                  </c:pt>
                  <c:pt idx="147">
                    <c:v>4.0942468891284742E-5</c:v>
                  </c:pt>
                  <c:pt idx="148">
                    <c:v>4.0708558077596536E-5</c:v>
                  </c:pt>
                  <c:pt idx="149">
                    <c:v>4.6588296269896395E-5</c:v>
                  </c:pt>
                  <c:pt idx="150">
                    <c:v>4.2088941031588029E-5</c:v>
                  </c:pt>
                  <c:pt idx="151">
                    <c:v>4.5583757826596256E-5</c:v>
                  </c:pt>
                  <c:pt idx="152">
                    <c:v>4.5123270747432911E-5</c:v>
                  </c:pt>
                  <c:pt idx="153">
                    <c:v>5.0998465875192972E-5</c:v>
                  </c:pt>
                  <c:pt idx="154">
                    <c:v>5.4701263363757367E-5</c:v>
                  </c:pt>
                  <c:pt idx="155">
                    <c:v>5.8278051223455389E-5</c:v>
                  </c:pt>
                  <c:pt idx="156">
                    <c:v>5.8946127846803227E-5</c:v>
                  </c:pt>
                  <c:pt idx="157">
                    <c:v>6.6737073430777106E-5</c:v>
                  </c:pt>
                  <c:pt idx="158">
                    <c:v>6.0655874578814156E-5</c:v>
                  </c:pt>
                  <c:pt idx="159">
                    <c:v>6.9630100151482914E-5</c:v>
                  </c:pt>
                  <c:pt idx="160">
                    <c:v>6.6973991492875578E-5</c:v>
                  </c:pt>
                  <c:pt idx="161">
                    <c:v>7.2499233708581023E-5</c:v>
                  </c:pt>
                  <c:pt idx="162">
                    <c:v>7.5634901581577734E-5</c:v>
                  </c:pt>
                  <c:pt idx="163">
                    <c:v>7.1485225689685918E-5</c:v>
                  </c:pt>
                  <c:pt idx="164">
                    <c:v>7.2273985082769917E-5</c:v>
                  </c:pt>
                  <c:pt idx="165">
                    <c:v>7.5087754854441359E-5</c:v>
                  </c:pt>
                  <c:pt idx="166">
                    <c:v>7.3112428470609972E-5</c:v>
                  </c:pt>
                  <c:pt idx="167">
                    <c:v>7.4979747210615486E-5</c:v>
                  </c:pt>
                  <c:pt idx="168">
                    <c:v>7.0346623705730543E-5</c:v>
                  </c:pt>
                  <c:pt idx="169">
                    <c:v>6.9237550349012485E-5</c:v>
                  </c:pt>
                  <c:pt idx="170">
                    <c:v>6.8432812925070763E-5</c:v>
                  </c:pt>
                  <c:pt idx="171">
                    <c:v>6.2574421616344987E-5</c:v>
                  </c:pt>
                  <c:pt idx="172">
                    <c:v>5.5799413778875474E-5</c:v>
                  </c:pt>
                  <c:pt idx="173">
                    <c:v>5.9041841518563789E-5</c:v>
                  </c:pt>
                  <c:pt idx="174">
                    <c:v>5.212653749340577E-5</c:v>
                  </c:pt>
                  <c:pt idx="175">
                    <c:v>4.6555178043494374E-5</c:v>
                  </c:pt>
                  <c:pt idx="176">
                    <c:v>4.5800826205700957E-5</c:v>
                  </c:pt>
                  <c:pt idx="177">
                    <c:v>4.4416186550810691E-5</c:v>
                  </c:pt>
                  <c:pt idx="178">
                    <c:v>3.8358035377040172E-5</c:v>
                  </c:pt>
                  <c:pt idx="179">
                    <c:v>4.2482577242407761E-5</c:v>
                  </c:pt>
                  <c:pt idx="180">
                    <c:v>3.7666696600468052E-5</c:v>
                  </c:pt>
                  <c:pt idx="181">
                    <c:v>3.8297108439281137E-5</c:v>
                  </c:pt>
                  <c:pt idx="182">
                    <c:v>3.3792995184056254E-5</c:v>
                  </c:pt>
                  <c:pt idx="183">
                    <c:v>3.7569211551138131E-5</c:v>
                  </c:pt>
                  <c:pt idx="184">
                    <c:v>3.3029020361098832E-5</c:v>
                  </c:pt>
                  <c:pt idx="185">
                    <c:v>3.3862177149499573E-5</c:v>
                  </c:pt>
                  <c:pt idx="186">
                    <c:v>3.0345984302246374E-5</c:v>
                  </c:pt>
                  <c:pt idx="187">
                    <c:v>3.3220725081942076E-5</c:v>
                  </c:pt>
                  <c:pt idx="188">
                    <c:v>1.1144851726243897E-5</c:v>
                  </c:pt>
                  <c:pt idx="189">
                    <c:v>1.1636389918505902E-5</c:v>
                  </c:pt>
                  <c:pt idx="190">
                    <c:v>1.095094868566796E-5</c:v>
                  </c:pt>
                  <c:pt idx="191">
                    <c:v>1.095014172058274E-5</c:v>
                  </c:pt>
                  <c:pt idx="192">
                    <c:v>9.4312764695332139E-6</c:v>
                  </c:pt>
                  <c:pt idx="193">
                    <c:v>1.0039619864008965E-5</c:v>
                  </c:pt>
                  <c:pt idx="194">
                    <c:v>9.2958826992330986E-6</c:v>
                  </c:pt>
                  <c:pt idx="195">
                    <c:v>9.0245211268578059E-6</c:v>
                  </c:pt>
                  <c:pt idx="196">
                    <c:v>8.1339107645277784E-6</c:v>
                  </c:pt>
                  <c:pt idx="197">
                    <c:v>8.5181006046089708E-6</c:v>
                  </c:pt>
                  <c:pt idx="198">
                    <c:v>8.3027901072259826E-6</c:v>
                  </c:pt>
                  <c:pt idx="199">
                    <c:v>6.8507823544116723E-6</c:v>
                  </c:pt>
                  <c:pt idx="200">
                    <c:v>7.8427372616168643E-6</c:v>
                  </c:pt>
                  <c:pt idx="201">
                    <c:v>7.5151311595240054E-6</c:v>
                  </c:pt>
                  <c:pt idx="202">
                    <c:v>7.841105974418392E-6</c:v>
                  </c:pt>
                  <c:pt idx="203">
                    <c:v>8.5898882412209508E-6</c:v>
                  </c:pt>
                  <c:pt idx="204">
                    <c:v>8.0709052162514159E-6</c:v>
                  </c:pt>
                  <c:pt idx="205">
                    <c:v>9.2295652807901292E-6</c:v>
                  </c:pt>
                  <c:pt idx="206">
                    <c:v>9.1525649789255038E-6</c:v>
                  </c:pt>
                  <c:pt idx="207">
                    <c:v>9.3823895417467911E-6</c:v>
                  </c:pt>
                  <c:pt idx="208">
                    <c:v>8.7153780766891173E-6</c:v>
                  </c:pt>
                  <c:pt idx="209">
                    <c:v>8.7487487435759698E-6</c:v>
                  </c:pt>
                  <c:pt idx="210">
                    <c:v>9.3707841136749942E-6</c:v>
                  </c:pt>
                  <c:pt idx="211">
                    <c:v>8.1941097507899243E-6</c:v>
                  </c:pt>
                  <c:pt idx="212">
                    <c:v>9.1594928528914599E-6</c:v>
                  </c:pt>
                  <c:pt idx="213">
                    <c:v>8.7188162156164065E-6</c:v>
                  </c:pt>
                  <c:pt idx="214">
                    <c:v>9.5269765656805486E-6</c:v>
                  </c:pt>
                  <c:pt idx="215">
                    <c:v>8.2821628901564596E-6</c:v>
                  </c:pt>
                  <c:pt idx="216">
                    <c:v>8.2471450177086662E-6</c:v>
                  </c:pt>
                  <c:pt idx="217">
                    <c:v>8.1585637451006099E-6</c:v>
                  </c:pt>
                  <c:pt idx="218">
                    <c:v>8.3430244679719207E-6</c:v>
                  </c:pt>
                  <c:pt idx="219">
                    <c:v>9.390488482527453E-6</c:v>
                  </c:pt>
                  <c:pt idx="220">
                    <c:v>7.4355647015042033E-6</c:v>
                  </c:pt>
                  <c:pt idx="221">
                    <c:v>7.8541316683114684E-6</c:v>
                  </c:pt>
                  <c:pt idx="222">
                    <c:v>8.5557849720748663E-6</c:v>
                  </c:pt>
                  <c:pt idx="223">
                    <c:v>8.7676025425343074E-6</c:v>
                  </c:pt>
                  <c:pt idx="224">
                    <c:v>7.8709403781399807E-6</c:v>
                  </c:pt>
                  <c:pt idx="225">
                    <c:v>7.1834069838502721E-6</c:v>
                  </c:pt>
                  <c:pt idx="226">
                    <c:v>8.369957287891664E-6</c:v>
                  </c:pt>
                  <c:pt idx="227">
                    <c:v>7.3875737193133906E-6</c:v>
                  </c:pt>
                  <c:pt idx="228">
                    <c:v>6.7221429882185854E-6</c:v>
                  </c:pt>
                  <c:pt idx="229">
                    <c:v>6.5687578354136445E-6</c:v>
                  </c:pt>
                  <c:pt idx="230">
                    <c:v>7.0200773667345378E-6</c:v>
                  </c:pt>
                  <c:pt idx="231">
                    <c:v>7.4093857624935877E-6</c:v>
                  </c:pt>
                  <c:pt idx="232">
                    <c:v>6.9406905206745709E-6</c:v>
                  </c:pt>
                  <c:pt idx="233">
                    <c:v>6.5372670179668222E-6</c:v>
                  </c:pt>
                  <c:pt idx="234">
                    <c:v>6.6740558726133944E-6</c:v>
                  </c:pt>
                  <c:pt idx="235">
                    <c:v>6.430751330322815E-6</c:v>
                  </c:pt>
                  <c:pt idx="236">
                    <c:v>6.3040340426515942E-6</c:v>
                  </c:pt>
                  <c:pt idx="237">
                    <c:v>6.3021014030305223E-6</c:v>
                  </c:pt>
                  <c:pt idx="238">
                    <c:v>6.563078064746806E-6</c:v>
                  </c:pt>
                  <c:pt idx="239">
                    <c:v>6.0497958045737078E-6</c:v>
                  </c:pt>
                  <c:pt idx="240">
                    <c:v>6.3989680376946408E-6</c:v>
                  </c:pt>
                  <c:pt idx="241">
                    <c:v>6.2920991835693954E-6</c:v>
                  </c:pt>
                  <c:pt idx="242">
                    <c:v>5.982963776370444E-6</c:v>
                  </c:pt>
                  <c:pt idx="243">
                    <c:v>6.6210424182327953E-6</c:v>
                  </c:pt>
                  <c:pt idx="244">
                    <c:v>5.85902857419972E-6</c:v>
                  </c:pt>
                  <c:pt idx="245">
                    <c:v>6.2358111641134253E-6</c:v>
                  </c:pt>
                  <c:pt idx="246">
                    <c:v>5.8652324481853869E-6</c:v>
                  </c:pt>
                  <c:pt idx="247">
                    <c:v>5.560492242257919E-6</c:v>
                  </c:pt>
                  <c:pt idx="248">
                    <c:v>5.7255836951783467E-6</c:v>
                  </c:pt>
                  <c:pt idx="249">
                    <c:v>6.3005878501630674E-6</c:v>
                  </c:pt>
                  <c:pt idx="250">
                    <c:v>5.90537874439317E-6</c:v>
                  </c:pt>
                  <c:pt idx="251">
                    <c:v>5.348534062216194E-6</c:v>
                  </c:pt>
                  <c:pt idx="252">
                    <c:v>5.5096897368707261E-6</c:v>
                  </c:pt>
                  <c:pt idx="253">
                    <c:v>5.4265035854573303E-6</c:v>
                  </c:pt>
                  <c:pt idx="254">
                    <c:v>5.7008057639048611E-6</c:v>
                  </c:pt>
                  <c:pt idx="255">
                    <c:v>5.2533115874418869E-6</c:v>
                  </c:pt>
                  <c:pt idx="256">
                    <c:v>5.532931870506373E-6</c:v>
                  </c:pt>
                  <c:pt idx="257">
                    <c:v>3.1083773088015299E-6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Reflectivity!$I$3:$I$1638</c:f>
              <c:numCache>
                <c:formatCode>0.0000E+00</c:formatCode>
                <c:ptCount val="1636"/>
                <c:pt idx="0">
                  <c:v>8.06113038841E-3</c:v>
                </c:pt>
                <c:pt idx="1">
                  <c:v>8.1417416922999995E-3</c:v>
                </c:pt>
                <c:pt idx="2">
                  <c:v>8.2231591092200001E-3</c:v>
                </c:pt>
                <c:pt idx="3">
                  <c:v>8.3053907003100003E-3</c:v>
                </c:pt>
                <c:pt idx="4">
                  <c:v>8.3884446073099993E-3</c:v>
                </c:pt>
                <c:pt idx="5">
                  <c:v>8.4723290533899997E-3</c:v>
                </c:pt>
                <c:pt idx="6">
                  <c:v>8.5570523439199991E-3</c:v>
                </c:pt>
                <c:pt idx="7">
                  <c:v>8.6426228673600006E-3</c:v>
                </c:pt>
                <c:pt idx="8">
                  <c:v>8.7290490960300008E-3</c:v>
                </c:pt>
                <c:pt idx="9">
                  <c:v>8.8163395869899994E-3</c:v>
                </c:pt>
                <c:pt idx="10">
                  <c:v>8.9045029828599999E-3</c:v>
                </c:pt>
                <c:pt idx="11">
                  <c:v>8.9935480126900006E-3</c:v>
                </c:pt>
                <c:pt idx="12">
                  <c:v>9.0834834928199999E-3</c:v>
                </c:pt>
                <c:pt idx="13">
                  <c:v>9.1743183277499998E-3</c:v>
                </c:pt>
                <c:pt idx="14">
                  <c:v>9.2660615110300003E-3</c:v>
                </c:pt>
                <c:pt idx="15">
                  <c:v>9.3587221261399994E-3</c:v>
                </c:pt>
                <c:pt idx="16">
                  <c:v>9.4523093474000001E-3</c:v>
                </c:pt>
                <c:pt idx="17">
                  <c:v>9.5468324408700001E-3</c:v>
                </c:pt>
                <c:pt idx="18">
                  <c:v>9.6423007652800003E-3</c:v>
                </c:pt>
                <c:pt idx="19">
                  <c:v>9.7387237729300007E-3</c:v>
                </c:pt>
                <c:pt idx="20">
                  <c:v>9.8361110106600005E-3</c:v>
                </c:pt>
                <c:pt idx="21">
                  <c:v>9.9344721207699997E-3</c:v>
                </c:pt>
                <c:pt idx="22">
                  <c:v>1.0033816842E-2</c:v>
                </c:pt>
                <c:pt idx="23">
                  <c:v>1.0134155010399999E-2</c:v>
                </c:pt>
                <c:pt idx="24">
                  <c:v>1.0235496560500001E-2</c:v>
                </c:pt>
                <c:pt idx="25">
                  <c:v>1.0337851526100001E-2</c:v>
                </c:pt>
                <c:pt idx="26">
                  <c:v>1.0441230041400001E-2</c:v>
                </c:pt>
                <c:pt idx="27">
                  <c:v>1.0545642341800001E-2</c:v>
                </c:pt>
                <c:pt idx="28">
                  <c:v>1.06510987652E-2</c:v>
                </c:pt>
                <c:pt idx="29">
                  <c:v>1.0757609752900001E-2</c:v>
                </c:pt>
                <c:pt idx="30">
                  <c:v>1.08651858504E-2</c:v>
                </c:pt>
                <c:pt idx="31">
                  <c:v>1.09738377089E-2</c:v>
                </c:pt>
                <c:pt idx="32">
                  <c:v>1.1083576086E-2</c:v>
                </c:pt>
                <c:pt idx="33">
                  <c:v>1.11944118468E-2</c:v>
                </c:pt>
                <c:pt idx="34">
                  <c:v>1.13063559653E-2</c:v>
                </c:pt>
                <c:pt idx="35">
                  <c:v>1.1419419525E-2</c:v>
                </c:pt>
                <c:pt idx="36">
                  <c:v>1.15336137202E-2</c:v>
                </c:pt>
                <c:pt idx="37">
                  <c:v>1.16489498574E-2</c:v>
                </c:pt>
                <c:pt idx="38">
                  <c:v>1.1765439355999999E-2</c:v>
                </c:pt>
                <c:pt idx="39">
                  <c:v>1.1883093749499999E-2</c:v>
                </c:pt>
                <c:pt idx="40">
                  <c:v>1.2001924686999999E-2</c:v>
                </c:pt>
                <c:pt idx="41">
                  <c:v>1.21219439339E-2</c:v>
                </c:pt>
                <c:pt idx="42">
                  <c:v>1.22431633732E-2</c:v>
                </c:pt>
                <c:pt idx="43">
                  <c:v>1.2365595007E-2</c:v>
                </c:pt>
                <c:pt idx="44">
                  <c:v>1.2489250957E-2</c:v>
                </c:pt>
                <c:pt idx="45">
                  <c:v>1.2614143466599999E-2</c:v>
                </c:pt>
                <c:pt idx="46">
                  <c:v>1.2740284901299999E-2</c:v>
                </c:pt>
                <c:pt idx="47">
                  <c:v>1.28676877503E-2</c:v>
                </c:pt>
                <c:pt idx="48">
                  <c:v>1.2996364627799999E-2</c:v>
                </c:pt>
                <c:pt idx="49">
                  <c:v>1.3126328274099999E-2</c:v>
                </c:pt>
                <c:pt idx="50">
                  <c:v>1.3257591556799999E-2</c:v>
                </c:pt>
                <c:pt idx="51">
                  <c:v>1.3390167472400001E-2</c:v>
                </c:pt>
                <c:pt idx="52">
                  <c:v>1.35240691471E-2</c:v>
                </c:pt>
                <c:pt idx="53">
                  <c:v>1.36593098386E-2</c:v>
                </c:pt>
                <c:pt idx="54">
                  <c:v>1.3795902937000001E-2</c:v>
                </c:pt>
                <c:pt idx="55">
                  <c:v>1.3933861966300001E-2</c:v>
                </c:pt>
                <c:pt idx="56">
                  <c:v>1.4073200586E-2</c:v>
                </c:pt>
                <c:pt idx="57">
                  <c:v>1.42139325919E-2</c:v>
                </c:pt>
                <c:pt idx="58">
                  <c:v>1.4356071917800001E-2</c:v>
                </c:pt>
                <c:pt idx="59">
                  <c:v>1.4499632637E-2</c:v>
                </c:pt>
                <c:pt idx="60">
                  <c:v>1.46446289633E-2</c:v>
                </c:pt>
                <c:pt idx="61">
                  <c:v>1.4791075253E-2</c:v>
                </c:pt>
                <c:pt idx="62">
                  <c:v>1.4938986005499999E-2</c:v>
                </c:pt>
                <c:pt idx="63">
                  <c:v>1.5088375865499999E-2</c:v>
                </c:pt>
                <c:pt idx="64">
                  <c:v>1.5239259624200001E-2</c:v>
                </c:pt>
                <c:pt idx="65">
                  <c:v>1.5391652220400001E-2</c:v>
                </c:pt>
                <c:pt idx="66">
                  <c:v>1.55455687426E-2</c:v>
                </c:pt>
                <c:pt idx="67">
                  <c:v>1.5701024430100002E-2</c:v>
                </c:pt>
                <c:pt idx="68">
                  <c:v>1.5858034674400001E-2</c:v>
                </c:pt>
                <c:pt idx="69">
                  <c:v>1.6016615021100002E-2</c:v>
                </c:pt>
                <c:pt idx="70">
                  <c:v>1.61767811713E-2</c:v>
                </c:pt>
                <c:pt idx="71">
                  <c:v>1.6338548982999999E-2</c:v>
                </c:pt>
                <c:pt idx="72">
                  <c:v>1.65019344729E-2</c:v>
                </c:pt>
                <c:pt idx="73">
                  <c:v>1.66669538176E-2</c:v>
                </c:pt>
                <c:pt idx="74">
                  <c:v>1.68336233558E-2</c:v>
                </c:pt>
                <c:pt idx="75">
                  <c:v>1.7001959589300002E-2</c:v>
                </c:pt>
                <c:pt idx="76">
                  <c:v>1.7171979185200002E-2</c:v>
                </c:pt>
                <c:pt idx="77">
                  <c:v>1.7343698977099999E-2</c:v>
                </c:pt>
                <c:pt idx="78">
                  <c:v>1.7517135966800001E-2</c:v>
                </c:pt>
                <c:pt idx="79">
                  <c:v>1.7692307326500002E-2</c:v>
                </c:pt>
                <c:pt idx="80">
                  <c:v>1.7869230399799998E-2</c:v>
                </c:pt>
                <c:pt idx="81">
                  <c:v>1.8047922703799998E-2</c:v>
                </c:pt>
                <c:pt idx="82">
                  <c:v>1.8228401930800001E-2</c:v>
                </c:pt>
                <c:pt idx="83">
                  <c:v>1.8410685950100002E-2</c:v>
                </c:pt>
                <c:pt idx="84">
                  <c:v>1.85947928096E-2</c:v>
                </c:pt>
                <c:pt idx="85">
                  <c:v>1.8780740737699999E-2</c:v>
                </c:pt>
                <c:pt idx="86">
                  <c:v>1.89685481451E-2</c:v>
                </c:pt>
                <c:pt idx="87">
                  <c:v>1.9158233626600001E-2</c:v>
                </c:pt>
                <c:pt idx="88">
                  <c:v>1.9349815962799999E-2</c:v>
                </c:pt>
                <c:pt idx="89">
                  <c:v>1.9543314122399999E-2</c:v>
                </c:pt>
                <c:pt idx="90">
                  <c:v>1.97387472637E-2</c:v>
                </c:pt>
                <c:pt idx="91">
                  <c:v>1.9936134736300001E-2</c:v>
                </c:pt>
                <c:pt idx="92">
                  <c:v>2.0135496083700001E-2</c:v>
                </c:pt>
                <c:pt idx="93">
                  <c:v>2.03368510445E-2</c:v>
                </c:pt>
                <c:pt idx="94">
                  <c:v>2.0540219554899999E-2</c:v>
                </c:pt>
                <c:pt idx="95">
                  <c:v>2.0745621750500001E-2</c:v>
                </c:pt>
                <c:pt idx="96">
                  <c:v>2.0953077968E-2</c:v>
                </c:pt>
                <c:pt idx="97">
                  <c:v>2.1162608747699999E-2</c:v>
                </c:pt>
                <c:pt idx="98">
                  <c:v>2.1374234835199998E-2</c:v>
                </c:pt>
                <c:pt idx="99">
                  <c:v>2.1587977183500001E-2</c:v>
                </c:pt>
                <c:pt idx="100">
                  <c:v>2.1803856955299999E-2</c:v>
                </c:pt>
                <c:pt idx="101">
                  <c:v>2.2021895524900002E-2</c:v>
                </c:pt>
                <c:pt idx="102">
                  <c:v>2.2242114480200002E-2</c:v>
                </c:pt>
                <c:pt idx="103">
                  <c:v>2.2464535625E-2</c:v>
                </c:pt>
                <c:pt idx="104">
                  <c:v>2.2689180981199999E-2</c:v>
                </c:pt>
                <c:pt idx="105">
                  <c:v>2.2916072791000001E-2</c:v>
                </c:pt>
                <c:pt idx="106">
                  <c:v>2.3145233518900001E-2</c:v>
                </c:pt>
                <c:pt idx="107">
                  <c:v>2.33766858541E-2</c:v>
                </c:pt>
                <c:pt idx="108">
                  <c:v>2.36104527127E-2</c:v>
                </c:pt>
                <c:pt idx="109">
                  <c:v>2.38465572398E-2</c:v>
                </c:pt>
                <c:pt idx="110">
                  <c:v>2.4085022812199999E-2</c:v>
                </c:pt>
                <c:pt idx="111">
                  <c:v>2.4325873040300001E-2</c:v>
                </c:pt>
                <c:pt idx="112">
                  <c:v>2.4569131770700001E-2</c:v>
                </c:pt>
                <c:pt idx="113">
                  <c:v>2.4814823088399999E-2</c:v>
                </c:pt>
                <c:pt idx="114">
                  <c:v>2.5062971319299999E-2</c:v>
                </c:pt>
                <c:pt idx="115">
                  <c:v>2.5313601032500001E-2</c:v>
                </c:pt>
                <c:pt idx="116">
                  <c:v>2.5566737042799999E-2</c:v>
                </c:pt>
                <c:pt idx="117">
                  <c:v>2.5822404413199999E-2</c:v>
                </c:pt>
                <c:pt idx="118">
                  <c:v>2.6080628457400001E-2</c:v>
                </c:pt>
                <c:pt idx="119">
                  <c:v>2.63414347419E-2</c:v>
                </c:pt>
                <c:pt idx="120">
                  <c:v>2.6604849089400001E-2</c:v>
                </c:pt>
                <c:pt idx="121">
                  <c:v>2.68708975803E-2</c:v>
                </c:pt>
                <c:pt idx="122">
                  <c:v>2.71396065561E-2</c:v>
                </c:pt>
                <c:pt idx="123">
                  <c:v>2.7411002621600001E-2</c:v>
                </c:pt>
                <c:pt idx="124">
                  <c:v>2.7685112647799999E-2</c:v>
                </c:pt>
                <c:pt idx="125">
                  <c:v>2.7961963774299999E-2</c:v>
                </c:pt>
                <c:pt idx="126">
                  <c:v>2.8241583412100001E-2</c:v>
                </c:pt>
                <c:pt idx="127">
                  <c:v>2.8523999246199999E-2</c:v>
                </c:pt>
                <c:pt idx="128">
                  <c:v>2.8809239238600001E-2</c:v>
                </c:pt>
                <c:pt idx="129">
                  <c:v>2.9097331630999999E-2</c:v>
                </c:pt>
                <c:pt idx="130">
                  <c:v>2.9388304947299999E-2</c:v>
                </c:pt>
                <c:pt idx="131">
                  <c:v>2.9682187996799999E-2</c:v>
                </c:pt>
                <c:pt idx="132">
                  <c:v>2.9979009876800002E-2</c:v>
                </c:pt>
                <c:pt idx="133">
                  <c:v>3.0278799975499999E-2</c:v>
                </c:pt>
                <c:pt idx="134">
                  <c:v>3.0581587975300001E-2</c:v>
                </c:pt>
                <c:pt idx="135">
                  <c:v>3.0887403855099999E-2</c:v>
                </c:pt>
                <c:pt idx="136">
                  <c:v>3.1196277893600001E-2</c:v>
                </c:pt>
                <c:pt idx="137">
                  <c:v>3.15082406725E-2</c:v>
                </c:pt>
                <c:pt idx="138">
                  <c:v>3.1823323079299998E-2</c:v>
                </c:pt>
                <c:pt idx="139">
                  <c:v>3.2141556310100003E-2</c:v>
                </c:pt>
                <c:pt idx="140">
                  <c:v>3.2462971873199999E-2</c:v>
                </c:pt>
                <c:pt idx="141">
                  <c:v>3.2787601591900001E-2</c:v>
                </c:pt>
                <c:pt idx="142">
                  <c:v>3.3115477607800002E-2</c:v>
                </c:pt>
                <c:pt idx="143">
                  <c:v>3.3446632383899999E-2</c:v>
                </c:pt>
                <c:pt idx="144">
                  <c:v>3.3781098707699998E-2</c:v>
                </c:pt>
                <c:pt idx="145">
                  <c:v>3.4118909694799998E-2</c:v>
                </c:pt>
                <c:pt idx="146">
                  <c:v>3.4460098791800002E-2</c:v>
                </c:pt>
                <c:pt idx="147">
                  <c:v>3.48046997797E-2</c:v>
                </c:pt>
                <c:pt idx="148">
                  <c:v>3.51527467775E-2</c:v>
                </c:pt>
                <c:pt idx="149">
                  <c:v>3.5504274245200002E-2</c:v>
                </c:pt>
                <c:pt idx="150">
                  <c:v>3.58593169877E-2</c:v>
                </c:pt>
                <c:pt idx="151">
                  <c:v>3.6217910157600001E-2</c:v>
                </c:pt>
                <c:pt idx="152">
                  <c:v>3.6580089259100002E-2</c:v>
                </c:pt>
                <c:pt idx="153">
                  <c:v>3.6945890151700002E-2</c:v>
                </c:pt>
                <c:pt idx="154">
                  <c:v>3.7315349053300001E-2</c:v>
                </c:pt>
                <c:pt idx="155">
                  <c:v>3.7688502543799997E-2</c:v>
                </c:pt>
                <c:pt idx="156">
                  <c:v>3.8065387569199999E-2</c:v>
                </c:pt>
                <c:pt idx="157">
                  <c:v>3.8446041444899999E-2</c:v>
                </c:pt>
                <c:pt idx="158">
                  <c:v>3.8830501859399999E-2</c:v>
                </c:pt>
                <c:pt idx="159">
                  <c:v>3.9218806878000001E-2</c:v>
                </c:pt>
                <c:pt idx="160">
                  <c:v>3.96109949467E-2</c:v>
                </c:pt>
                <c:pt idx="161">
                  <c:v>4.0007104896199998E-2</c:v>
                </c:pt>
                <c:pt idx="162">
                  <c:v>4.0407175945199998E-2</c:v>
                </c:pt>
                <c:pt idx="163">
                  <c:v>4.0811247704599998E-2</c:v>
                </c:pt>
                <c:pt idx="164">
                  <c:v>4.1219360181699999E-2</c:v>
                </c:pt>
                <c:pt idx="165">
                  <c:v>4.1631553783500003E-2</c:v>
                </c:pt>
                <c:pt idx="166">
                  <c:v>4.2047869321300002E-2</c:v>
                </c:pt>
                <c:pt idx="167">
                  <c:v>4.2468348014500001E-2</c:v>
                </c:pt>
                <c:pt idx="168">
                  <c:v>4.2893031494700001E-2</c:v>
                </c:pt>
                <c:pt idx="169">
                  <c:v>4.3321961809599997E-2</c:v>
                </c:pt>
                <c:pt idx="170">
                  <c:v>4.3755181427699998E-2</c:v>
                </c:pt>
                <c:pt idx="171">
                  <c:v>4.4192733242000001E-2</c:v>
                </c:pt>
                <c:pt idx="172">
                  <c:v>4.4634660574399999E-2</c:v>
                </c:pt>
                <c:pt idx="173">
                  <c:v>4.50810071802E-2</c:v>
                </c:pt>
                <c:pt idx="174">
                  <c:v>4.5531817251999999E-2</c:v>
                </c:pt>
                <c:pt idx="175">
                  <c:v>4.5987135424500003E-2</c:v>
                </c:pt>
                <c:pt idx="176">
                  <c:v>4.6447006778699999E-2</c:v>
                </c:pt>
                <c:pt idx="177">
                  <c:v>4.6911476846500003E-2</c:v>
                </c:pt>
                <c:pt idx="178">
                  <c:v>4.7380591615000002E-2</c:v>
                </c:pt>
                <c:pt idx="179">
                  <c:v>4.7854397531099997E-2</c:v>
                </c:pt>
                <c:pt idx="180">
                  <c:v>4.8332941506400003E-2</c:v>
                </c:pt>
                <c:pt idx="181">
                  <c:v>4.8816270921500003E-2</c:v>
                </c:pt>
                <c:pt idx="182">
                  <c:v>4.9304433630700001E-2</c:v>
                </c:pt>
                <c:pt idx="183">
                  <c:v>4.9797477967000001E-2</c:v>
                </c:pt>
                <c:pt idx="184">
                  <c:v>5.0295452746699998E-2</c:v>
                </c:pt>
                <c:pt idx="185">
                  <c:v>5.07984072742E-2</c:v>
                </c:pt>
                <c:pt idx="186">
                  <c:v>5.1306391346900002E-2</c:v>
                </c:pt>
                <c:pt idx="187">
                  <c:v>5.1819455260400001E-2</c:v>
                </c:pt>
                <c:pt idx="188">
                  <c:v>5.2337649813000001E-2</c:v>
                </c:pt>
                <c:pt idx="189">
                  <c:v>5.2861026311099998E-2</c:v>
                </c:pt>
                <c:pt idx="190">
                  <c:v>5.3389636574199997E-2</c:v>
                </c:pt>
                <c:pt idx="191">
                  <c:v>5.3923532939999998E-2</c:v>
                </c:pt>
                <c:pt idx="192">
                  <c:v>5.4462768269399997E-2</c:v>
                </c:pt>
                <c:pt idx="193">
                  <c:v>5.5007395952099997E-2</c:v>
                </c:pt>
                <c:pt idx="194">
                  <c:v>5.5557469911600002E-2</c:v>
                </c:pt>
                <c:pt idx="195">
                  <c:v>5.6113044610699998E-2</c:v>
                </c:pt>
                <c:pt idx="196">
                  <c:v>5.6674175056800002E-2</c:v>
                </c:pt>
                <c:pt idx="197">
                  <c:v>5.7240916807399997E-2</c:v>
                </c:pt>
                <c:pt idx="198">
                  <c:v>5.7813325975400003E-2</c:v>
                </c:pt>
                <c:pt idx="199">
                  <c:v>5.8391459235199998E-2</c:v>
                </c:pt>
                <c:pt idx="200">
                  <c:v>5.89753738276E-2</c:v>
                </c:pt>
                <c:pt idx="201">
                  <c:v>5.95651275658E-2</c:v>
                </c:pt>
                <c:pt idx="202">
                  <c:v>6.01607788415E-2</c:v>
                </c:pt>
                <c:pt idx="203">
                  <c:v>6.0762386629900002E-2</c:v>
                </c:pt>
                <c:pt idx="204">
                  <c:v>6.13700104962E-2</c:v>
                </c:pt>
                <c:pt idx="205">
                  <c:v>6.1983710601199997E-2</c:v>
                </c:pt>
                <c:pt idx="206">
                  <c:v>6.2603547707200002E-2</c:v>
                </c:pt>
                <c:pt idx="207">
                  <c:v>6.3229583184199994E-2</c:v>
                </c:pt>
                <c:pt idx="208">
                  <c:v>6.3861879016100007E-2</c:v>
                </c:pt>
                <c:pt idx="209">
                  <c:v>6.45004978062E-2</c:v>
                </c:pt>
                <c:pt idx="210">
                  <c:v>6.5145502784299994E-2</c:v>
                </c:pt>
                <c:pt idx="211">
                  <c:v>6.5796957812200005E-2</c:v>
                </c:pt>
                <c:pt idx="212">
                  <c:v>6.6454927390299998E-2</c:v>
                </c:pt>
                <c:pt idx="213">
                  <c:v>6.7119476664199998E-2</c:v>
                </c:pt>
                <c:pt idx="214">
                  <c:v>6.7790671430800004E-2</c:v>
                </c:pt>
                <c:pt idx="215">
                  <c:v>6.8468578145100004E-2</c:v>
                </c:pt>
                <c:pt idx="216">
                  <c:v>6.9153263926599998E-2</c:v>
                </c:pt>
                <c:pt idx="217">
                  <c:v>6.9844796565800005E-2</c:v>
                </c:pt>
                <c:pt idx="218">
                  <c:v>7.0543244531500002E-2</c:v>
                </c:pt>
                <c:pt idx="219">
                  <c:v>7.1248676976799999E-2</c:v>
                </c:pt>
                <c:pt idx="220">
                  <c:v>7.1961163746599999E-2</c:v>
                </c:pt>
                <c:pt idx="221">
                  <c:v>7.2680775384100005E-2</c:v>
                </c:pt>
                <c:pt idx="222">
                  <c:v>7.3407583137899995E-2</c:v>
                </c:pt>
                <c:pt idx="223">
                  <c:v>7.4141658969300001E-2</c:v>
                </c:pt>
                <c:pt idx="224">
                  <c:v>7.4883075559000006E-2</c:v>
                </c:pt>
                <c:pt idx="225">
                  <c:v>7.5631906314599998E-2</c:v>
                </c:pt>
                <c:pt idx="226">
                  <c:v>7.63882253777E-2</c:v>
                </c:pt>
                <c:pt idx="227">
                  <c:v>7.7152107631500003E-2</c:v>
                </c:pt>
                <c:pt idx="228">
                  <c:v>7.7923628707799994E-2</c:v>
                </c:pt>
                <c:pt idx="229">
                  <c:v>7.8702864994899993E-2</c:v>
                </c:pt>
                <c:pt idx="230">
                  <c:v>7.9489893644799997E-2</c:v>
                </c:pt>
                <c:pt idx="231">
                  <c:v>8.0284792581300002E-2</c:v>
                </c:pt>
                <c:pt idx="232">
                  <c:v>8.1087640507100003E-2</c:v>
                </c:pt>
                <c:pt idx="233">
                  <c:v>8.1898516912200001E-2</c:v>
                </c:pt>
                <c:pt idx="234">
                  <c:v>8.2717502081300007E-2</c:v>
                </c:pt>
                <c:pt idx="235">
                  <c:v>8.3544677102100007E-2</c:v>
                </c:pt>
                <c:pt idx="236">
                  <c:v>8.4380123873099996E-2</c:v>
                </c:pt>
                <c:pt idx="237">
                  <c:v>8.5223925111800006E-2</c:v>
                </c:pt>
                <c:pt idx="238">
                  <c:v>8.6076164363000002E-2</c:v>
                </c:pt>
                <c:pt idx="239">
                  <c:v>8.6936926006599996E-2</c:v>
                </c:pt>
                <c:pt idx="240">
                  <c:v>8.7806295266700002E-2</c:v>
                </c:pt>
                <c:pt idx="241">
                  <c:v>8.86843582193E-2</c:v>
                </c:pt>
                <c:pt idx="242">
                  <c:v>8.9571201801499994E-2</c:v>
                </c:pt>
                <c:pt idx="243">
                  <c:v>9.0466913819500006E-2</c:v>
                </c:pt>
                <c:pt idx="244">
                  <c:v>9.1371582957699995E-2</c:v>
                </c:pt>
                <c:pt idx="245">
                  <c:v>9.2285298787300005E-2</c:v>
                </c:pt>
                <c:pt idx="246">
                  <c:v>9.3208151775200004E-2</c:v>
                </c:pt>
                <c:pt idx="247">
                  <c:v>9.41402332929E-2</c:v>
                </c:pt>
                <c:pt idx="248">
                  <c:v>9.5081635625899996E-2</c:v>
                </c:pt>
                <c:pt idx="249">
                  <c:v>9.6032451982100003E-2</c:v>
                </c:pt>
                <c:pt idx="250">
                  <c:v>9.6992776501899997E-2</c:v>
                </c:pt>
                <c:pt idx="251">
                  <c:v>9.7962704267000003E-2</c:v>
                </c:pt>
                <c:pt idx="252">
                  <c:v>9.8942331309600007E-2</c:v>
                </c:pt>
                <c:pt idx="253">
                  <c:v>9.99317546227E-2</c:v>
                </c:pt>
                <c:pt idx="254">
                  <c:v>0.10093107216900001</c:v>
                </c:pt>
                <c:pt idx="255">
                  <c:v>0.10194038289100001</c:v>
                </c:pt>
                <c:pt idx="256">
                  <c:v>0.10295978672</c:v>
                </c:pt>
                <c:pt idx="257">
                  <c:v>0.10398938458699999</c:v>
                </c:pt>
              </c:numCache>
            </c:numRef>
          </c:xVal>
          <c:yVal>
            <c:numRef>
              <c:f>Reflectivity!$J$3:$J$1638</c:f>
              <c:numCache>
                <c:formatCode>0.00E+00</c:formatCode>
                <c:ptCount val="1636"/>
                <c:pt idx="0">
                  <c:v>0.10687333919356178</c:v>
                </c:pt>
                <c:pt idx="1">
                  <c:v>7.6283153373274307E-2</c:v>
                </c:pt>
                <c:pt idx="2">
                  <c:v>7.1437604325838649E-2</c:v>
                </c:pt>
                <c:pt idx="3">
                  <c:v>8.9605414489177415E-2</c:v>
                </c:pt>
                <c:pt idx="4">
                  <c:v>8.9801040510878574E-2</c:v>
                </c:pt>
                <c:pt idx="5">
                  <c:v>7.8098249666751871E-2</c:v>
                </c:pt>
                <c:pt idx="6">
                  <c:v>0.10237686802316197</c:v>
                </c:pt>
                <c:pt idx="7">
                  <c:v>7.5151799265104097E-2</c:v>
                </c:pt>
                <c:pt idx="8">
                  <c:v>8.1998764757831397E-2</c:v>
                </c:pt>
                <c:pt idx="9">
                  <c:v>6.8269366711788418E-2</c:v>
                </c:pt>
                <c:pt idx="10">
                  <c:v>8.1040137858043981E-2</c:v>
                </c:pt>
                <c:pt idx="11">
                  <c:v>8.0826151327987858E-2</c:v>
                </c:pt>
                <c:pt idx="12">
                  <c:v>7.9883631454954876E-2</c:v>
                </c:pt>
                <c:pt idx="13">
                  <c:v>7.2002050377209845E-2</c:v>
                </c:pt>
                <c:pt idx="14">
                  <c:v>7.2021236163103047E-2</c:v>
                </c:pt>
                <c:pt idx="15">
                  <c:v>8.9882492318680285E-2</c:v>
                </c:pt>
                <c:pt idx="16">
                  <c:v>7.4134049553121487E-2</c:v>
                </c:pt>
                <c:pt idx="17">
                  <c:v>7.5990151466340264E-2</c:v>
                </c:pt>
                <c:pt idx="18">
                  <c:v>6.857254006814914E-2</c:v>
                </c:pt>
                <c:pt idx="19">
                  <c:v>6.9905629970574423E-2</c:v>
                </c:pt>
                <c:pt idx="20">
                  <c:v>6.3531882671686968E-2</c:v>
                </c:pt>
                <c:pt idx="21">
                  <c:v>5.7949854982575981E-2</c:v>
                </c:pt>
                <c:pt idx="22">
                  <c:v>9.0539724056649395E-2</c:v>
                </c:pt>
                <c:pt idx="23">
                  <c:v>5.1603258116215057E-2</c:v>
                </c:pt>
                <c:pt idx="24">
                  <c:v>6.2363502928088482E-2</c:v>
                </c:pt>
                <c:pt idx="25">
                  <c:v>4.2366913090755853E-2</c:v>
                </c:pt>
                <c:pt idx="26">
                  <c:v>5.4326547175929517E-2</c:v>
                </c:pt>
                <c:pt idx="27">
                  <c:v>4.5896039108427412E-2</c:v>
                </c:pt>
                <c:pt idx="28">
                  <c:v>5.3765328634263677E-2</c:v>
                </c:pt>
                <c:pt idx="29">
                  <c:v>5.3246466028034567E-2</c:v>
                </c:pt>
                <c:pt idx="30">
                  <c:v>4.156402782817082E-2</c:v>
                </c:pt>
                <c:pt idx="31">
                  <c:v>3.5895550944130869E-2</c:v>
                </c:pt>
                <c:pt idx="32">
                  <c:v>3.9257413813062941E-2</c:v>
                </c:pt>
                <c:pt idx="33">
                  <c:v>4.3188742826072983E-2</c:v>
                </c:pt>
                <c:pt idx="34">
                  <c:v>3.4379931032859183E-2</c:v>
                </c:pt>
                <c:pt idx="35">
                  <c:v>3.3279320372843278E-2</c:v>
                </c:pt>
                <c:pt idx="36">
                  <c:v>3.0520782290110373E-2</c:v>
                </c:pt>
                <c:pt idx="37">
                  <c:v>2.8181746540684338E-2</c:v>
                </c:pt>
                <c:pt idx="38">
                  <c:v>2.471230094226878E-2</c:v>
                </c:pt>
                <c:pt idx="39">
                  <c:v>2.2361799786321503E-2</c:v>
                </c:pt>
                <c:pt idx="40">
                  <c:v>2.1148282333925725E-2</c:v>
                </c:pt>
                <c:pt idx="41">
                  <c:v>2.1440994079961771E-2</c:v>
                </c:pt>
                <c:pt idx="42">
                  <c:v>1.9984929844594275E-2</c:v>
                </c:pt>
                <c:pt idx="43">
                  <c:v>1.6594426876724865E-2</c:v>
                </c:pt>
                <c:pt idx="44">
                  <c:v>2.0157374338714555E-2</c:v>
                </c:pt>
                <c:pt idx="45">
                  <c:v>1.3830488559408575E-2</c:v>
                </c:pt>
                <c:pt idx="46">
                  <c:v>1.270965722429819E-2</c:v>
                </c:pt>
                <c:pt idx="47">
                  <c:v>1.409790076608558E-2</c:v>
                </c:pt>
                <c:pt idx="48">
                  <c:v>1.0077431355877265E-2</c:v>
                </c:pt>
                <c:pt idx="49">
                  <c:v>1.614642620397717E-2</c:v>
                </c:pt>
                <c:pt idx="50">
                  <c:v>1.3215505629561636E-2</c:v>
                </c:pt>
                <c:pt idx="51">
                  <c:v>1.2570884109795295E-2</c:v>
                </c:pt>
                <c:pt idx="52">
                  <c:v>8.805975100431131E-3</c:v>
                </c:pt>
                <c:pt idx="53">
                  <c:v>9.4262492927566742E-3</c:v>
                </c:pt>
                <c:pt idx="54">
                  <c:v>1.3997024496903323E-2</c:v>
                </c:pt>
                <c:pt idx="55">
                  <c:v>1.3836006217029203E-2</c:v>
                </c:pt>
                <c:pt idx="56">
                  <c:v>1.3003070850366848E-2</c:v>
                </c:pt>
                <c:pt idx="57">
                  <c:v>1.2985121933674175E-2</c:v>
                </c:pt>
                <c:pt idx="58">
                  <c:v>1.0246365509946504E-2</c:v>
                </c:pt>
                <c:pt idx="59">
                  <c:v>9.1567862212017584E-3</c:v>
                </c:pt>
                <c:pt idx="60">
                  <c:v>1.7347808516825155E-2</c:v>
                </c:pt>
                <c:pt idx="61">
                  <c:v>1.6011362746922324E-2</c:v>
                </c:pt>
                <c:pt idx="62">
                  <c:v>1.8212288396128512E-2</c:v>
                </c:pt>
                <c:pt idx="63">
                  <c:v>1.6179719426729036E-2</c:v>
                </c:pt>
                <c:pt idx="64">
                  <c:v>1.8936367711660945E-2</c:v>
                </c:pt>
                <c:pt idx="65">
                  <c:v>1.7091540697610375E-2</c:v>
                </c:pt>
                <c:pt idx="66">
                  <c:v>1.9689601843872761E-2</c:v>
                </c:pt>
                <c:pt idx="67">
                  <c:v>2.2568786878552335E-2</c:v>
                </c:pt>
                <c:pt idx="68">
                  <c:v>1.6926154257489879E-2</c:v>
                </c:pt>
                <c:pt idx="69">
                  <c:v>1.9368510717565266E-2</c:v>
                </c:pt>
                <c:pt idx="70">
                  <c:v>2.1876866911918726E-2</c:v>
                </c:pt>
                <c:pt idx="71">
                  <c:v>2.2742387528029828E-2</c:v>
                </c:pt>
                <c:pt idx="72">
                  <c:v>2.1771707361316534E-2</c:v>
                </c:pt>
                <c:pt idx="73">
                  <c:v>2.3267842742467598E-2</c:v>
                </c:pt>
                <c:pt idx="74">
                  <c:v>2.6054626484540756E-2</c:v>
                </c:pt>
                <c:pt idx="75">
                  <c:v>2.2904670845001952E-2</c:v>
                </c:pt>
                <c:pt idx="76">
                  <c:v>2.4279216429026321E-2</c:v>
                </c:pt>
                <c:pt idx="77">
                  <c:v>2.5333978395798769E-2</c:v>
                </c:pt>
                <c:pt idx="78">
                  <c:v>2.5281045067340729E-2</c:v>
                </c:pt>
                <c:pt idx="79">
                  <c:v>2.2726220812635575E-2</c:v>
                </c:pt>
                <c:pt idx="80">
                  <c:v>2.5729959343906827E-2</c:v>
                </c:pt>
                <c:pt idx="81">
                  <c:v>2.6993885059453535E-2</c:v>
                </c:pt>
                <c:pt idx="82">
                  <c:v>2.7457081397867428E-2</c:v>
                </c:pt>
                <c:pt idx="83">
                  <c:v>2.6870325841708956E-2</c:v>
                </c:pt>
                <c:pt idx="84">
                  <c:v>2.5789780964439114E-2</c:v>
                </c:pt>
                <c:pt idx="85">
                  <c:v>2.5251170942435949E-2</c:v>
                </c:pt>
                <c:pt idx="86">
                  <c:v>2.5474939716468508E-2</c:v>
                </c:pt>
                <c:pt idx="87">
                  <c:v>2.5706752830006247E-2</c:v>
                </c:pt>
                <c:pt idx="88">
                  <c:v>2.1980732658298766E-2</c:v>
                </c:pt>
                <c:pt idx="89">
                  <c:v>2.3815505222217502E-2</c:v>
                </c:pt>
                <c:pt idx="90">
                  <c:v>1.9998491821508178E-2</c:v>
                </c:pt>
                <c:pt idx="91">
                  <c:v>1.7585913274364512E-2</c:v>
                </c:pt>
                <c:pt idx="92">
                  <c:v>1.7402961376302022E-2</c:v>
                </c:pt>
                <c:pt idx="93">
                  <c:v>1.6536523230797063E-2</c:v>
                </c:pt>
                <c:pt idx="94">
                  <c:v>1.524350841290947E-2</c:v>
                </c:pt>
                <c:pt idx="95">
                  <c:v>1.545722031387921E-2</c:v>
                </c:pt>
                <c:pt idx="96">
                  <c:v>1.3112997723266731E-2</c:v>
                </c:pt>
                <c:pt idx="97">
                  <c:v>1.4031469959979859E-2</c:v>
                </c:pt>
                <c:pt idx="98">
                  <c:v>1.1502537753955723E-2</c:v>
                </c:pt>
                <c:pt idx="99">
                  <c:v>1.0036004379545852E-2</c:v>
                </c:pt>
                <c:pt idx="100">
                  <c:v>8.4028159671411529E-3</c:v>
                </c:pt>
                <c:pt idx="101">
                  <c:v>6.9488930701929463E-3</c:v>
                </c:pt>
                <c:pt idx="102">
                  <c:v>6.4604905860052315E-3</c:v>
                </c:pt>
                <c:pt idx="103">
                  <c:v>5.4550928164388262E-3</c:v>
                </c:pt>
                <c:pt idx="104">
                  <c:v>4.6093420081263518E-3</c:v>
                </c:pt>
                <c:pt idx="105">
                  <c:v>3.4098037039702973E-3</c:v>
                </c:pt>
                <c:pt idx="106">
                  <c:v>3.3605514471883821E-3</c:v>
                </c:pt>
                <c:pt idx="107">
                  <c:v>1.4981869886533041E-3</c:v>
                </c:pt>
                <c:pt idx="108">
                  <c:v>2.790547622971486E-3</c:v>
                </c:pt>
                <c:pt idx="109">
                  <c:v>2.679009751902901E-3</c:v>
                </c:pt>
                <c:pt idx="110">
                  <c:v>2.3649392302323297E-3</c:v>
                </c:pt>
                <c:pt idx="111">
                  <c:v>1.7292893233319382E-3</c:v>
                </c:pt>
                <c:pt idx="112">
                  <c:v>1.2390037351443894E-3</c:v>
                </c:pt>
                <c:pt idx="113">
                  <c:v>1.6325507961287634E-3</c:v>
                </c:pt>
                <c:pt idx="114">
                  <c:v>8.2130463802644171E-4</c:v>
                </c:pt>
                <c:pt idx="115">
                  <c:v>1.3278630072806512E-3</c:v>
                </c:pt>
                <c:pt idx="116">
                  <c:v>1.5929557432019618E-3</c:v>
                </c:pt>
                <c:pt idx="117">
                  <c:v>8.1927347171892274E-4</c:v>
                </c:pt>
                <c:pt idx="118">
                  <c:v>8.9486847890382843E-4</c:v>
                </c:pt>
                <c:pt idx="119">
                  <c:v>1.1672419978168394E-3</c:v>
                </c:pt>
                <c:pt idx="120">
                  <c:v>1.1398751551695166E-3</c:v>
                </c:pt>
                <c:pt idx="121">
                  <c:v>1.1960816190931837E-3</c:v>
                </c:pt>
                <c:pt idx="122">
                  <c:v>1.1622244910458083E-3</c:v>
                </c:pt>
                <c:pt idx="123">
                  <c:v>1.0104695966231133E-3</c:v>
                </c:pt>
                <c:pt idx="124">
                  <c:v>9.5872768815771369E-4</c:v>
                </c:pt>
                <c:pt idx="125">
                  <c:v>1.0530158062838624E-3</c:v>
                </c:pt>
                <c:pt idx="126">
                  <c:v>1.0100524469768776E-3</c:v>
                </c:pt>
                <c:pt idx="127">
                  <c:v>8.4755457080567403E-4</c:v>
                </c:pt>
                <c:pt idx="128">
                  <c:v>9.1835825233183661E-4</c:v>
                </c:pt>
                <c:pt idx="129">
                  <c:v>7.6954270663612474E-4</c:v>
                </c:pt>
                <c:pt idx="130">
                  <c:v>6.5503366860873941E-4</c:v>
                </c:pt>
                <c:pt idx="131">
                  <c:v>6.8625322519560062E-4</c:v>
                </c:pt>
                <c:pt idx="132">
                  <c:v>4.5936712753607835E-4</c:v>
                </c:pt>
                <c:pt idx="133">
                  <c:v>5.2306240889408973E-4</c:v>
                </c:pt>
                <c:pt idx="134">
                  <c:v>5.1277984741213828E-4</c:v>
                </c:pt>
                <c:pt idx="135">
                  <c:v>4.0311106184124561E-4</c:v>
                </c:pt>
                <c:pt idx="136">
                  <c:v>4.2956456468169155E-4</c:v>
                </c:pt>
                <c:pt idx="137">
                  <c:v>3.544184144549285E-4</c:v>
                </c:pt>
                <c:pt idx="138">
                  <c:v>3.3717317419301143E-4</c:v>
                </c:pt>
                <c:pt idx="139">
                  <c:v>3.4045716769243991E-4</c:v>
                </c:pt>
                <c:pt idx="140">
                  <c:v>2.832372053552714E-4</c:v>
                </c:pt>
                <c:pt idx="141">
                  <c:v>3.5248358940448985E-4</c:v>
                </c:pt>
                <c:pt idx="142">
                  <c:v>3.4171533494044921E-4</c:v>
                </c:pt>
                <c:pt idx="143">
                  <c:v>2.5265389636162564E-4</c:v>
                </c:pt>
                <c:pt idx="144">
                  <c:v>4.2040595780417196E-4</c:v>
                </c:pt>
                <c:pt idx="145">
                  <c:v>2.231446614948215E-4</c:v>
                </c:pt>
                <c:pt idx="146">
                  <c:v>2.7587099520784723E-4</c:v>
                </c:pt>
                <c:pt idx="147">
                  <c:v>3.4592383584306836E-4</c:v>
                </c:pt>
                <c:pt idx="148">
                  <c:v>2.9153904071600419E-4</c:v>
                </c:pt>
                <c:pt idx="149">
                  <c:v>3.7418079585078604E-4</c:v>
                </c:pt>
                <c:pt idx="150">
                  <c:v>3.5478640741351438E-4</c:v>
                </c:pt>
                <c:pt idx="151">
                  <c:v>4.0824462572182851E-4</c:v>
                </c:pt>
                <c:pt idx="152">
                  <c:v>3.7907441226906174E-4</c:v>
                </c:pt>
                <c:pt idx="153">
                  <c:v>4.4224083048904201E-4</c:v>
                </c:pt>
                <c:pt idx="154">
                  <c:v>5.0267455507279691E-4</c:v>
                </c:pt>
                <c:pt idx="155">
                  <c:v>6.2134663805992862E-4</c:v>
                </c:pt>
                <c:pt idx="156">
                  <c:v>6.8336725736428293E-4</c:v>
                </c:pt>
                <c:pt idx="157">
                  <c:v>8.146531905341163E-4</c:v>
                </c:pt>
                <c:pt idx="158">
                  <c:v>7.2528406852889683E-4</c:v>
                </c:pt>
                <c:pt idx="159">
                  <c:v>9.3629299950604501E-4</c:v>
                </c:pt>
                <c:pt idx="160">
                  <c:v>9.3338619840105559E-4</c:v>
                </c:pt>
                <c:pt idx="161">
                  <c:v>1.04317116123202E-3</c:v>
                </c:pt>
                <c:pt idx="162">
                  <c:v>1.1584908644138245E-3</c:v>
                </c:pt>
                <c:pt idx="163">
                  <c:v>9.9613481462012296E-4</c:v>
                </c:pt>
                <c:pt idx="164">
                  <c:v>1.1397344913549742E-3</c:v>
                </c:pt>
                <c:pt idx="165">
                  <c:v>1.1559718494716796E-3</c:v>
                </c:pt>
                <c:pt idx="166">
                  <c:v>1.1388898233273149E-3</c:v>
                </c:pt>
                <c:pt idx="167">
                  <c:v>1.1360377875568391E-3</c:v>
                </c:pt>
                <c:pt idx="168">
                  <c:v>1.0557698360441892E-3</c:v>
                </c:pt>
                <c:pt idx="169">
                  <c:v>1.0514037929423132E-3</c:v>
                </c:pt>
                <c:pt idx="170">
                  <c:v>9.2301952980436864E-4</c:v>
                </c:pt>
                <c:pt idx="171">
                  <c:v>8.1889671259576023E-4</c:v>
                </c:pt>
                <c:pt idx="172">
                  <c:v>6.9485202119248541E-4</c:v>
                </c:pt>
                <c:pt idx="173">
                  <c:v>6.8672615521602289E-4</c:v>
                </c:pt>
                <c:pt idx="174">
                  <c:v>5.4036339834810079E-4</c:v>
                </c:pt>
                <c:pt idx="175">
                  <c:v>4.1866490475449963E-4</c:v>
                </c:pt>
                <c:pt idx="176">
                  <c:v>4.6217735920870036E-4</c:v>
                </c:pt>
                <c:pt idx="177">
                  <c:v>4.2637545102187159E-4</c:v>
                </c:pt>
                <c:pt idx="178">
                  <c:v>2.9553622869621799E-4</c:v>
                </c:pt>
                <c:pt idx="179">
                  <c:v>3.5637296962130874E-4</c:v>
                </c:pt>
                <c:pt idx="180">
                  <c:v>2.8458822012733341E-4</c:v>
                </c:pt>
                <c:pt idx="181">
                  <c:v>2.6811887478246193E-4</c:v>
                </c:pt>
                <c:pt idx="182">
                  <c:v>1.7366944948366087E-4</c:v>
                </c:pt>
                <c:pt idx="183">
                  <c:v>2.7925721746885167E-4</c:v>
                </c:pt>
                <c:pt idx="184">
                  <c:v>1.9195670503714668E-4</c:v>
                </c:pt>
                <c:pt idx="185">
                  <c:v>2.1160469602141406E-4</c:v>
                </c:pt>
                <c:pt idx="186">
                  <c:v>1.5945256282576031E-4</c:v>
                </c:pt>
                <c:pt idx="187">
                  <c:v>2.1444248591627913E-4</c:v>
                </c:pt>
                <c:pt idx="188">
                  <c:v>1.0576755459651306E-4</c:v>
                </c:pt>
                <c:pt idx="189">
                  <c:v>1.0942785917954601E-4</c:v>
                </c:pt>
                <c:pt idx="190">
                  <c:v>9.6887762579708184E-5</c:v>
                </c:pt>
                <c:pt idx="191">
                  <c:v>1.0112785421429817E-4</c:v>
                </c:pt>
                <c:pt idx="192">
                  <c:v>6.873568895883448E-5</c:v>
                </c:pt>
                <c:pt idx="193">
                  <c:v>8.275216322069691E-5</c:v>
                </c:pt>
                <c:pt idx="194">
                  <c:v>6.0087626225012949E-5</c:v>
                </c:pt>
                <c:pt idx="195">
                  <c:v>6.8080431968158128E-5</c:v>
                </c:pt>
                <c:pt idx="196">
                  <c:v>5.2637243647758738E-5</c:v>
                </c:pt>
                <c:pt idx="197">
                  <c:v>6.5376530228203851E-5</c:v>
                </c:pt>
                <c:pt idx="198">
                  <c:v>5.8393053520005134E-5</c:v>
                </c:pt>
                <c:pt idx="199">
                  <c:v>3.2476431156383347E-5</c:v>
                </c:pt>
                <c:pt idx="200">
                  <c:v>6.0319808404098067E-5</c:v>
                </c:pt>
                <c:pt idx="201">
                  <c:v>4.5665668119221817E-5</c:v>
                </c:pt>
                <c:pt idx="202">
                  <c:v>5.989983854193978E-5</c:v>
                </c:pt>
                <c:pt idx="203">
                  <c:v>6.8561351817548574E-5</c:v>
                </c:pt>
                <c:pt idx="204">
                  <c:v>7.2083020521841178E-5</c:v>
                </c:pt>
                <c:pt idx="205">
                  <c:v>8.7774963597080915E-5</c:v>
                </c:pt>
                <c:pt idx="206">
                  <c:v>9.0193554717377117E-5</c:v>
                </c:pt>
                <c:pt idx="207">
                  <c:v>9.6497715382227138E-5</c:v>
                </c:pt>
                <c:pt idx="208">
                  <c:v>8.7736204203048502E-5</c:v>
                </c:pt>
                <c:pt idx="209">
                  <c:v>8.0869426065876876E-5</c:v>
                </c:pt>
                <c:pt idx="210">
                  <c:v>7.7308725380186472E-5</c:v>
                </c:pt>
                <c:pt idx="211">
                  <c:v>6.7799520645670747E-5</c:v>
                </c:pt>
                <c:pt idx="212">
                  <c:v>7.1649717206111684E-5</c:v>
                </c:pt>
                <c:pt idx="213">
                  <c:v>7.5607870499418638E-5</c:v>
                </c:pt>
                <c:pt idx="214">
                  <c:v>9.9477033681803843E-5</c:v>
                </c:pt>
                <c:pt idx="215">
                  <c:v>6.8388166781471442E-5</c:v>
                </c:pt>
                <c:pt idx="216">
                  <c:v>6.2865383001996995E-5</c:v>
                </c:pt>
                <c:pt idx="217">
                  <c:v>7.1501366811848574E-5</c:v>
                </c:pt>
                <c:pt idx="218">
                  <c:v>7.3942477563700314E-5</c:v>
                </c:pt>
                <c:pt idx="219">
                  <c:v>9.2455031954100968E-5</c:v>
                </c:pt>
                <c:pt idx="220">
                  <c:v>5.4153851888337624E-5</c:v>
                </c:pt>
                <c:pt idx="221">
                  <c:v>5.9980455339972289E-5</c:v>
                </c:pt>
                <c:pt idx="222">
                  <c:v>6.1227952695484732E-5</c:v>
                </c:pt>
                <c:pt idx="223">
                  <c:v>6.6919723574190488E-5</c:v>
                </c:pt>
                <c:pt idx="224">
                  <c:v>4.5417497434742752E-5</c:v>
                </c:pt>
                <c:pt idx="225">
                  <c:v>4.1277523741044923E-5</c:v>
                </c:pt>
                <c:pt idx="226">
                  <c:v>6.3966050331352764E-5</c:v>
                </c:pt>
                <c:pt idx="227">
                  <c:v>4.3552549316020004E-5</c:v>
                </c:pt>
                <c:pt idx="228">
                  <c:v>3.3256231837897358E-5</c:v>
                </c:pt>
                <c:pt idx="229">
                  <c:v>3.8182245474719065E-5</c:v>
                </c:pt>
                <c:pt idx="230">
                  <c:v>3.9091457740286717E-5</c:v>
                </c:pt>
                <c:pt idx="231">
                  <c:v>5.7170071333298497E-5</c:v>
                </c:pt>
                <c:pt idx="232">
                  <c:v>3.7712339329179671E-5</c:v>
                </c:pt>
                <c:pt idx="233">
                  <c:v>4.1535803191009912E-5</c:v>
                </c:pt>
                <c:pt idx="234">
                  <c:v>5.2354044815404379E-5</c:v>
                </c:pt>
                <c:pt idx="235">
                  <c:v>2.7785453416244287E-5</c:v>
                </c:pt>
                <c:pt idx="236">
                  <c:v>2.9346317821593123E-5</c:v>
                </c:pt>
                <c:pt idx="237">
                  <c:v>3.7270293871763791E-5</c:v>
                </c:pt>
                <c:pt idx="238">
                  <c:v>3.2216632155249986E-5</c:v>
                </c:pt>
                <c:pt idx="239">
                  <c:v>3.5468650768567642E-5</c:v>
                </c:pt>
                <c:pt idx="240">
                  <c:v>3.7701684705892242E-5</c:v>
                </c:pt>
                <c:pt idx="241">
                  <c:v>3.0667475299700236E-5</c:v>
                </c:pt>
                <c:pt idx="242">
                  <c:v>3.1645121742018301E-5</c:v>
                </c:pt>
                <c:pt idx="243">
                  <c:v>3.5779634094344446E-5</c:v>
                </c:pt>
                <c:pt idx="244">
                  <c:v>2.5746048753708465E-5</c:v>
                </c:pt>
                <c:pt idx="245">
                  <c:v>3.4153870734879093E-5</c:v>
                </c:pt>
                <c:pt idx="246">
                  <c:v>2.6306833995659837E-5</c:v>
                </c:pt>
                <c:pt idx="247">
                  <c:v>2.3228476090571699E-5</c:v>
                </c:pt>
                <c:pt idx="248">
                  <c:v>2.157012890733872E-5</c:v>
                </c:pt>
                <c:pt idx="249">
                  <c:v>3.7682605262059821E-5</c:v>
                </c:pt>
                <c:pt idx="250">
                  <c:v>2.9043987744262785E-5</c:v>
                </c:pt>
                <c:pt idx="251">
                  <c:v>2.3216518459919591E-5</c:v>
                </c:pt>
                <c:pt idx="252">
                  <c:v>1.8537135790425825E-5</c:v>
                </c:pt>
                <c:pt idx="253">
                  <c:v>2.4208027005750876E-5</c:v>
                </c:pt>
                <c:pt idx="254">
                  <c:v>2.3108077864989426E-5</c:v>
                </c:pt>
                <c:pt idx="255">
                  <c:v>1.9528615399391846E-5</c:v>
                </c:pt>
                <c:pt idx="256">
                  <c:v>2.2596407832179288E-5</c:v>
                </c:pt>
                <c:pt idx="257">
                  <c:v>1.6179017806482463E-5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9D-4B08-82AD-5A0688CCDDF0}"/>
            </c:ext>
          </c:extLst>
        </c:ser>
        <c:ser>
          <c:idx val="2"/>
          <c:order val="2"/>
          <c:tx>
            <c:strRef>
              <c:f>Reflectivity!$I$3:$I$337</c:f>
              <c:strCache>
                <c:ptCount val="335"/>
                <c:pt idx="0">
                  <c:v>8.0611E-03</c:v>
                </c:pt>
                <c:pt idx="1">
                  <c:v>8.1417E-03</c:v>
                </c:pt>
                <c:pt idx="2">
                  <c:v>8.2232E-03</c:v>
                </c:pt>
                <c:pt idx="3">
                  <c:v>8.3054E-03</c:v>
                </c:pt>
                <c:pt idx="4">
                  <c:v>8.3884E-03</c:v>
                </c:pt>
                <c:pt idx="5">
                  <c:v>8.4723E-03</c:v>
                </c:pt>
                <c:pt idx="6">
                  <c:v>8.5571E-03</c:v>
                </c:pt>
                <c:pt idx="7">
                  <c:v>8.6426E-03</c:v>
                </c:pt>
                <c:pt idx="8">
                  <c:v>8.7290E-03</c:v>
                </c:pt>
                <c:pt idx="9">
                  <c:v>8.8163E-03</c:v>
                </c:pt>
                <c:pt idx="10">
                  <c:v>8.9045E-03</c:v>
                </c:pt>
                <c:pt idx="11">
                  <c:v>8.9935E-03</c:v>
                </c:pt>
                <c:pt idx="12">
                  <c:v>9.0835E-03</c:v>
                </c:pt>
                <c:pt idx="13">
                  <c:v>9.1743E-03</c:v>
                </c:pt>
                <c:pt idx="14">
                  <c:v>9.2661E-03</c:v>
                </c:pt>
                <c:pt idx="15">
                  <c:v>9.3587E-03</c:v>
                </c:pt>
                <c:pt idx="16">
                  <c:v>9.4523E-03</c:v>
                </c:pt>
                <c:pt idx="17">
                  <c:v>9.5468E-03</c:v>
                </c:pt>
                <c:pt idx="18">
                  <c:v>9.6423E-03</c:v>
                </c:pt>
                <c:pt idx="19">
                  <c:v>9.7387E-03</c:v>
                </c:pt>
                <c:pt idx="20">
                  <c:v>9.8361E-03</c:v>
                </c:pt>
                <c:pt idx="21">
                  <c:v>9.9345E-03</c:v>
                </c:pt>
                <c:pt idx="22">
                  <c:v>1.0034E-02</c:v>
                </c:pt>
                <c:pt idx="23">
                  <c:v>1.0134E-02</c:v>
                </c:pt>
                <c:pt idx="24">
                  <c:v>1.0235E-02</c:v>
                </c:pt>
                <c:pt idx="25">
                  <c:v>1.0338E-02</c:v>
                </c:pt>
                <c:pt idx="26">
                  <c:v>1.0441E-02</c:v>
                </c:pt>
                <c:pt idx="27">
                  <c:v>1.0546E-02</c:v>
                </c:pt>
                <c:pt idx="28">
                  <c:v>1.0651E-02</c:v>
                </c:pt>
                <c:pt idx="29">
                  <c:v>1.0758E-02</c:v>
                </c:pt>
                <c:pt idx="30">
                  <c:v>1.0865E-02</c:v>
                </c:pt>
                <c:pt idx="31">
                  <c:v>1.0974E-02</c:v>
                </c:pt>
                <c:pt idx="32">
                  <c:v>1.1084E-02</c:v>
                </c:pt>
                <c:pt idx="33">
                  <c:v>1.1194E-02</c:v>
                </c:pt>
                <c:pt idx="34">
                  <c:v>1.1306E-02</c:v>
                </c:pt>
                <c:pt idx="35">
                  <c:v>1.1419E-02</c:v>
                </c:pt>
                <c:pt idx="36">
                  <c:v>1.1534E-02</c:v>
                </c:pt>
                <c:pt idx="37">
                  <c:v>1.1649E-02</c:v>
                </c:pt>
                <c:pt idx="38">
                  <c:v>1.1765E-02</c:v>
                </c:pt>
                <c:pt idx="39">
                  <c:v>1.1883E-02</c:v>
                </c:pt>
                <c:pt idx="40">
                  <c:v>1.2002E-02</c:v>
                </c:pt>
                <c:pt idx="41">
                  <c:v>1.2122E-02</c:v>
                </c:pt>
                <c:pt idx="42">
                  <c:v>1.2243E-02</c:v>
                </c:pt>
                <c:pt idx="43">
                  <c:v>1.2366E-02</c:v>
                </c:pt>
                <c:pt idx="44">
                  <c:v>1.2489E-02</c:v>
                </c:pt>
                <c:pt idx="45">
                  <c:v>1.2614E-02</c:v>
                </c:pt>
                <c:pt idx="46">
                  <c:v>1.2740E-02</c:v>
                </c:pt>
                <c:pt idx="47">
                  <c:v>1.2868E-02</c:v>
                </c:pt>
                <c:pt idx="48">
                  <c:v>1.2996E-02</c:v>
                </c:pt>
                <c:pt idx="49">
                  <c:v>1.3126E-02</c:v>
                </c:pt>
                <c:pt idx="50">
                  <c:v>1.3258E-02</c:v>
                </c:pt>
                <c:pt idx="51">
                  <c:v>1.3390E-02</c:v>
                </c:pt>
                <c:pt idx="52">
                  <c:v>1.3524E-02</c:v>
                </c:pt>
                <c:pt idx="53">
                  <c:v>1.3659E-02</c:v>
                </c:pt>
                <c:pt idx="54">
                  <c:v>1.3796E-02</c:v>
                </c:pt>
                <c:pt idx="55">
                  <c:v>1.3934E-02</c:v>
                </c:pt>
                <c:pt idx="56">
                  <c:v>1.4073E-02</c:v>
                </c:pt>
                <c:pt idx="57">
                  <c:v>1.4214E-02</c:v>
                </c:pt>
                <c:pt idx="58">
                  <c:v>1.4356E-02</c:v>
                </c:pt>
                <c:pt idx="59">
                  <c:v>1.4500E-02</c:v>
                </c:pt>
                <c:pt idx="60">
                  <c:v>1.4645E-02</c:v>
                </c:pt>
                <c:pt idx="61">
                  <c:v>1.4791E-02</c:v>
                </c:pt>
                <c:pt idx="62">
                  <c:v>1.4939E-02</c:v>
                </c:pt>
                <c:pt idx="63">
                  <c:v>1.5088E-02</c:v>
                </c:pt>
                <c:pt idx="64">
                  <c:v>1.5239E-02</c:v>
                </c:pt>
                <c:pt idx="65">
                  <c:v>1.5392E-02</c:v>
                </c:pt>
                <c:pt idx="66">
                  <c:v>1.5546E-02</c:v>
                </c:pt>
                <c:pt idx="67">
                  <c:v>1.5701E-02</c:v>
                </c:pt>
                <c:pt idx="68">
                  <c:v>1.5858E-02</c:v>
                </c:pt>
                <c:pt idx="69">
                  <c:v>1.6017E-02</c:v>
                </c:pt>
                <c:pt idx="70">
                  <c:v>1.6177E-02</c:v>
                </c:pt>
                <c:pt idx="71">
                  <c:v>1.6339E-02</c:v>
                </c:pt>
                <c:pt idx="72">
                  <c:v>1.6502E-02</c:v>
                </c:pt>
                <c:pt idx="73">
                  <c:v>1.6667E-02</c:v>
                </c:pt>
                <c:pt idx="74">
                  <c:v>1.6834E-02</c:v>
                </c:pt>
                <c:pt idx="75">
                  <c:v>1.7002E-02</c:v>
                </c:pt>
                <c:pt idx="76">
                  <c:v>1.7172E-02</c:v>
                </c:pt>
                <c:pt idx="77">
                  <c:v>1.7344E-02</c:v>
                </c:pt>
                <c:pt idx="78">
                  <c:v>1.7517E-02</c:v>
                </c:pt>
                <c:pt idx="79">
                  <c:v>1.7692E-02</c:v>
                </c:pt>
                <c:pt idx="80">
                  <c:v>1.7869E-02</c:v>
                </c:pt>
                <c:pt idx="81">
                  <c:v>1.8048E-02</c:v>
                </c:pt>
                <c:pt idx="82">
                  <c:v>1.8228E-02</c:v>
                </c:pt>
                <c:pt idx="83">
                  <c:v>1.8411E-02</c:v>
                </c:pt>
                <c:pt idx="84">
                  <c:v>1.8595E-02</c:v>
                </c:pt>
                <c:pt idx="85">
                  <c:v>1.8781E-02</c:v>
                </c:pt>
                <c:pt idx="86">
                  <c:v>1.8969E-02</c:v>
                </c:pt>
                <c:pt idx="87">
                  <c:v>1.9158E-02</c:v>
                </c:pt>
                <c:pt idx="88">
                  <c:v>1.9350E-02</c:v>
                </c:pt>
                <c:pt idx="89">
                  <c:v>1.9543E-02</c:v>
                </c:pt>
                <c:pt idx="90">
                  <c:v>1.9739E-02</c:v>
                </c:pt>
                <c:pt idx="91">
                  <c:v>1.9936E-02</c:v>
                </c:pt>
                <c:pt idx="92">
                  <c:v>2.0135E-02</c:v>
                </c:pt>
                <c:pt idx="93">
                  <c:v>2.0337E-02</c:v>
                </c:pt>
                <c:pt idx="94">
                  <c:v>2.0540E-02</c:v>
                </c:pt>
                <c:pt idx="95">
                  <c:v>2.0746E-02</c:v>
                </c:pt>
                <c:pt idx="96">
                  <c:v>2.0953E-02</c:v>
                </c:pt>
                <c:pt idx="97">
                  <c:v>2.1163E-02</c:v>
                </c:pt>
                <c:pt idx="98">
                  <c:v>2.1374E-02</c:v>
                </c:pt>
                <c:pt idx="99">
                  <c:v>2.1588E-02</c:v>
                </c:pt>
                <c:pt idx="100">
                  <c:v>2.1804E-02</c:v>
                </c:pt>
                <c:pt idx="101">
                  <c:v>2.2022E-02</c:v>
                </c:pt>
                <c:pt idx="102">
                  <c:v>2.2242E-02</c:v>
                </c:pt>
                <c:pt idx="103">
                  <c:v>2.2465E-02</c:v>
                </c:pt>
                <c:pt idx="104">
                  <c:v>2.2689E-02</c:v>
                </c:pt>
                <c:pt idx="105">
                  <c:v>2.2916E-02</c:v>
                </c:pt>
                <c:pt idx="106">
                  <c:v>2.3145E-02</c:v>
                </c:pt>
                <c:pt idx="107">
                  <c:v>2.3377E-02</c:v>
                </c:pt>
                <c:pt idx="108">
                  <c:v>2.3610E-02</c:v>
                </c:pt>
                <c:pt idx="109">
                  <c:v>2.3847E-02</c:v>
                </c:pt>
                <c:pt idx="110">
                  <c:v>2.4085E-02</c:v>
                </c:pt>
                <c:pt idx="111">
                  <c:v>2.4326E-02</c:v>
                </c:pt>
                <c:pt idx="112">
                  <c:v>2.4569E-02</c:v>
                </c:pt>
                <c:pt idx="113">
                  <c:v>2.4815E-02</c:v>
                </c:pt>
                <c:pt idx="114">
                  <c:v>2.5063E-02</c:v>
                </c:pt>
                <c:pt idx="115">
                  <c:v>2.5314E-02</c:v>
                </c:pt>
                <c:pt idx="116">
                  <c:v>2.5567E-02</c:v>
                </c:pt>
                <c:pt idx="117">
                  <c:v>2.5822E-02</c:v>
                </c:pt>
                <c:pt idx="118">
                  <c:v>2.6081E-02</c:v>
                </c:pt>
                <c:pt idx="119">
                  <c:v>2.6341E-02</c:v>
                </c:pt>
                <c:pt idx="120">
                  <c:v>2.6605E-02</c:v>
                </c:pt>
                <c:pt idx="121">
                  <c:v>2.6871E-02</c:v>
                </c:pt>
                <c:pt idx="122">
                  <c:v>2.7140E-02</c:v>
                </c:pt>
                <c:pt idx="123">
                  <c:v>2.7411E-02</c:v>
                </c:pt>
                <c:pt idx="124">
                  <c:v>2.7685E-02</c:v>
                </c:pt>
                <c:pt idx="125">
                  <c:v>2.7962E-02</c:v>
                </c:pt>
                <c:pt idx="126">
                  <c:v>2.8242E-02</c:v>
                </c:pt>
                <c:pt idx="127">
                  <c:v>2.8524E-02</c:v>
                </c:pt>
                <c:pt idx="128">
                  <c:v>2.8809E-02</c:v>
                </c:pt>
                <c:pt idx="129">
                  <c:v>2.9097E-02</c:v>
                </c:pt>
                <c:pt idx="130">
                  <c:v>2.9388E-02</c:v>
                </c:pt>
                <c:pt idx="131">
                  <c:v>2.9682E-02</c:v>
                </c:pt>
                <c:pt idx="132">
                  <c:v>2.9979E-02</c:v>
                </c:pt>
                <c:pt idx="133">
                  <c:v>3.0279E-02</c:v>
                </c:pt>
                <c:pt idx="134">
                  <c:v>3.0582E-02</c:v>
                </c:pt>
                <c:pt idx="135">
                  <c:v>3.0887E-02</c:v>
                </c:pt>
                <c:pt idx="136">
                  <c:v>3.1196E-02</c:v>
                </c:pt>
                <c:pt idx="137">
                  <c:v>3.1508E-02</c:v>
                </c:pt>
                <c:pt idx="138">
                  <c:v>3.1823E-02</c:v>
                </c:pt>
                <c:pt idx="139">
                  <c:v>3.2142E-02</c:v>
                </c:pt>
                <c:pt idx="140">
                  <c:v>3.2463E-02</c:v>
                </c:pt>
                <c:pt idx="141">
                  <c:v>3.2788E-02</c:v>
                </c:pt>
                <c:pt idx="142">
                  <c:v>3.3115E-02</c:v>
                </c:pt>
                <c:pt idx="143">
                  <c:v>3.3447E-02</c:v>
                </c:pt>
                <c:pt idx="144">
                  <c:v>3.3781E-02</c:v>
                </c:pt>
                <c:pt idx="145">
                  <c:v>3.4119E-02</c:v>
                </c:pt>
                <c:pt idx="146">
                  <c:v>3.4460E-02</c:v>
                </c:pt>
                <c:pt idx="147">
                  <c:v>3.4805E-02</c:v>
                </c:pt>
                <c:pt idx="148">
                  <c:v>3.5153E-02</c:v>
                </c:pt>
                <c:pt idx="149">
                  <c:v>3.5504E-02</c:v>
                </c:pt>
                <c:pt idx="150">
                  <c:v>3.5859E-02</c:v>
                </c:pt>
                <c:pt idx="151">
                  <c:v>3.6218E-02</c:v>
                </c:pt>
                <c:pt idx="152">
                  <c:v>3.6580E-02</c:v>
                </c:pt>
                <c:pt idx="153">
                  <c:v>3.6946E-02</c:v>
                </c:pt>
                <c:pt idx="154">
                  <c:v>3.7315E-02</c:v>
                </c:pt>
                <c:pt idx="155">
                  <c:v>3.7689E-02</c:v>
                </c:pt>
                <c:pt idx="156">
                  <c:v>3.8065E-02</c:v>
                </c:pt>
                <c:pt idx="157">
                  <c:v>3.8446E-02</c:v>
                </c:pt>
                <c:pt idx="158">
                  <c:v>3.8831E-02</c:v>
                </c:pt>
                <c:pt idx="159">
                  <c:v>3.9219E-02</c:v>
                </c:pt>
                <c:pt idx="160">
                  <c:v>3.9611E-02</c:v>
                </c:pt>
                <c:pt idx="161">
                  <c:v>4.0007E-02</c:v>
                </c:pt>
                <c:pt idx="162">
                  <c:v>4.0407E-02</c:v>
                </c:pt>
                <c:pt idx="163">
                  <c:v>4.0811E-02</c:v>
                </c:pt>
                <c:pt idx="164">
                  <c:v>4.1219E-02</c:v>
                </c:pt>
                <c:pt idx="165">
                  <c:v>4.1632E-02</c:v>
                </c:pt>
                <c:pt idx="166">
                  <c:v>4.2048E-02</c:v>
                </c:pt>
                <c:pt idx="167">
                  <c:v>4.2468E-02</c:v>
                </c:pt>
                <c:pt idx="168">
                  <c:v>4.2893E-02</c:v>
                </c:pt>
                <c:pt idx="169">
                  <c:v>4.3322E-02</c:v>
                </c:pt>
                <c:pt idx="170">
                  <c:v>4.3755E-02</c:v>
                </c:pt>
                <c:pt idx="171">
                  <c:v>4.4193E-02</c:v>
                </c:pt>
                <c:pt idx="172">
                  <c:v>4.4635E-02</c:v>
                </c:pt>
                <c:pt idx="173">
                  <c:v>4.5081E-02</c:v>
                </c:pt>
                <c:pt idx="174">
                  <c:v>4.5532E-02</c:v>
                </c:pt>
                <c:pt idx="175">
                  <c:v>4.5987E-02</c:v>
                </c:pt>
                <c:pt idx="176">
                  <c:v>4.6447E-02</c:v>
                </c:pt>
                <c:pt idx="177">
                  <c:v>4.6911E-02</c:v>
                </c:pt>
                <c:pt idx="178">
                  <c:v>4.7381E-02</c:v>
                </c:pt>
                <c:pt idx="179">
                  <c:v>4.7854E-02</c:v>
                </c:pt>
                <c:pt idx="180">
                  <c:v>4.8333E-02</c:v>
                </c:pt>
                <c:pt idx="181">
                  <c:v>4.8816E-02</c:v>
                </c:pt>
                <c:pt idx="182">
                  <c:v>4.9304E-02</c:v>
                </c:pt>
                <c:pt idx="183">
                  <c:v>4.9797E-02</c:v>
                </c:pt>
                <c:pt idx="184">
                  <c:v>5.0295E-02</c:v>
                </c:pt>
                <c:pt idx="185">
                  <c:v>5.0798E-02</c:v>
                </c:pt>
                <c:pt idx="186">
                  <c:v>5.1306E-02</c:v>
                </c:pt>
                <c:pt idx="187">
                  <c:v>5.1819E-02</c:v>
                </c:pt>
                <c:pt idx="188">
                  <c:v>5.2338E-02</c:v>
                </c:pt>
                <c:pt idx="189">
                  <c:v>5.2861E-02</c:v>
                </c:pt>
                <c:pt idx="190">
                  <c:v>5.3390E-02</c:v>
                </c:pt>
                <c:pt idx="191">
                  <c:v>5.3924E-02</c:v>
                </c:pt>
                <c:pt idx="192">
                  <c:v>5.4463E-02</c:v>
                </c:pt>
                <c:pt idx="193">
                  <c:v>5.5007E-02</c:v>
                </c:pt>
                <c:pt idx="194">
                  <c:v>5.5557E-02</c:v>
                </c:pt>
                <c:pt idx="195">
                  <c:v>5.6113E-02</c:v>
                </c:pt>
                <c:pt idx="196">
                  <c:v>5.6674E-02</c:v>
                </c:pt>
                <c:pt idx="197">
                  <c:v>5.7241E-02</c:v>
                </c:pt>
                <c:pt idx="198">
                  <c:v>5.7813E-02</c:v>
                </c:pt>
                <c:pt idx="199">
                  <c:v>5.8391E-02</c:v>
                </c:pt>
                <c:pt idx="200">
                  <c:v>5.8975E-02</c:v>
                </c:pt>
                <c:pt idx="201">
                  <c:v>5.9565E-02</c:v>
                </c:pt>
                <c:pt idx="202">
                  <c:v>6.0161E-02</c:v>
                </c:pt>
                <c:pt idx="203">
                  <c:v>6.0762E-02</c:v>
                </c:pt>
                <c:pt idx="204">
                  <c:v>6.1370E-02</c:v>
                </c:pt>
                <c:pt idx="205">
                  <c:v>6.1984E-02</c:v>
                </c:pt>
                <c:pt idx="206">
                  <c:v>6.2604E-02</c:v>
                </c:pt>
                <c:pt idx="207">
                  <c:v>6.3230E-02</c:v>
                </c:pt>
                <c:pt idx="208">
                  <c:v>6.3862E-02</c:v>
                </c:pt>
                <c:pt idx="209">
                  <c:v>6.4500E-02</c:v>
                </c:pt>
                <c:pt idx="210">
                  <c:v>6.5146E-02</c:v>
                </c:pt>
                <c:pt idx="211">
                  <c:v>6.5797E-02</c:v>
                </c:pt>
                <c:pt idx="212">
                  <c:v>6.6455E-02</c:v>
                </c:pt>
                <c:pt idx="213">
                  <c:v>6.7119E-02</c:v>
                </c:pt>
                <c:pt idx="214">
                  <c:v>6.7791E-02</c:v>
                </c:pt>
                <c:pt idx="215">
                  <c:v>6.8469E-02</c:v>
                </c:pt>
                <c:pt idx="216">
                  <c:v>6.9153E-02</c:v>
                </c:pt>
                <c:pt idx="217">
                  <c:v>6.9845E-02</c:v>
                </c:pt>
                <c:pt idx="218">
                  <c:v>7.0543E-02</c:v>
                </c:pt>
                <c:pt idx="219">
                  <c:v>7.1249E-02</c:v>
                </c:pt>
                <c:pt idx="220">
                  <c:v>7.1961E-02</c:v>
                </c:pt>
                <c:pt idx="221">
                  <c:v>7.2681E-02</c:v>
                </c:pt>
                <c:pt idx="222">
                  <c:v>7.3408E-02</c:v>
                </c:pt>
                <c:pt idx="223">
                  <c:v>7.4142E-02</c:v>
                </c:pt>
                <c:pt idx="224">
                  <c:v>7.4883E-02</c:v>
                </c:pt>
                <c:pt idx="225">
                  <c:v>7.5632E-02</c:v>
                </c:pt>
                <c:pt idx="226">
                  <c:v>7.6388E-02</c:v>
                </c:pt>
                <c:pt idx="227">
                  <c:v>7.7152E-02</c:v>
                </c:pt>
                <c:pt idx="228">
                  <c:v>7.7924E-02</c:v>
                </c:pt>
                <c:pt idx="229">
                  <c:v>7.8703E-02</c:v>
                </c:pt>
                <c:pt idx="230">
                  <c:v>7.9490E-02</c:v>
                </c:pt>
                <c:pt idx="231">
                  <c:v>8.0285E-02</c:v>
                </c:pt>
                <c:pt idx="232">
                  <c:v>8.1088E-02</c:v>
                </c:pt>
                <c:pt idx="233">
                  <c:v>8.1899E-02</c:v>
                </c:pt>
                <c:pt idx="234">
                  <c:v>8.2718E-02</c:v>
                </c:pt>
                <c:pt idx="235">
                  <c:v>8.3545E-02</c:v>
                </c:pt>
                <c:pt idx="236">
                  <c:v>8.4380E-02</c:v>
                </c:pt>
                <c:pt idx="237">
                  <c:v>8.5224E-02</c:v>
                </c:pt>
                <c:pt idx="238">
                  <c:v>8.6076E-02</c:v>
                </c:pt>
                <c:pt idx="239">
                  <c:v>8.6937E-02</c:v>
                </c:pt>
                <c:pt idx="240">
                  <c:v>8.7806E-02</c:v>
                </c:pt>
                <c:pt idx="241">
                  <c:v>8.8684E-02</c:v>
                </c:pt>
                <c:pt idx="242">
                  <c:v>8.9571E-02</c:v>
                </c:pt>
                <c:pt idx="243">
                  <c:v>9.0467E-02</c:v>
                </c:pt>
                <c:pt idx="244">
                  <c:v>9.1372E-02</c:v>
                </c:pt>
                <c:pt idx="245">
                  <c:v>9.2285E-02</c:v>
                </c:pt>
                <c:pt idx="246">
                  <c:v>9.3208E-02</c:v>
                </c:pt>
                <c:pt idx="247">
                  <c:v>9.4140E-02</c:v>
                </c:pt>
                <c:pt idx="248">
                  <c:v>9.5082E-02</c:v>
                </c:pt>
                <c:pt idx="249">
                  <c:v>9.6032E-02</c:v>
                </c:pt>
                <c:pt idx="250">
                  <c:v>9.6993E-02</c:v>
                </c:pt>
                <c:pt idx="251">
                  <c:v>9.7963E-02</c:v>
                </c:pt>
                <c:pt idx="252">
                  <c:v>9.8942E-02</c:v>
                </c:pt>
                <c:pt idx="253">
                  <c:v>9.9932E-02</c:v>
                </c:pt>
                <c:pt idx="254">
                  <c:v>1.0093E-01</c:v>
                </c:pt>
                <c:pt idx="255">
                  <c:v>1.0194E-01</c:v>
                </c:pt>
                <c:pt idx="256">
                  <c:v>1.0296E-01</c:v>
                </c:pt>
                <c:pt idx="257">
                  <c:v>1.0399E-01</c:v>
                </c:pt>
              </c:strCache>
            </c:strRef>
          </c:tx>
          <c:spPr>
            <a:ln>
              <a:solidFill>
                <a:srgbClr val="00FFFF"/>
              </a:solidFill>
            </a:ln>
          </c:spPr>
          <c:marker>
            <c:symbol val="none"/>
          </c:marker>
          <c:xVal>
            <c:numRef>
              <c:f>Reflectivity!$I$3:$I$337</c:f>
              <c:numCache>
                <c:formatCode>0.0000E+00</c:formatCode>
                <c:ptCount val="335"/>
                <c:pt idx="0">
                  <c:v>8.06113038841E-3</c:v>
                </c:pt>
                <c:pt idx="1">
                  <c:v>8.1417416922999995E-3</c:v>
                </c:pt>
                <c:pt idx="2">
                  <c:v>8.2231591092200001E-3</c:v>
                </c:pt>
                <c:pt idx="3">
                  <c:v>8.3053907003100003E-3</c:v>
                </c:pt>
                <c:pt idx="4">
                  <c:v>8.3884446073099993E-3</c:v>
                </c:pt>
                <c:pt idx="5">
                  <c:v>8.4723290533899997E-3</c:v>
                </c:pt>
                <c:pt idx="6">
                  <c:v>8.5570523439199991E-3</c:v>
                </c:pt>
                <c:pt idx="7">
                  <c:v>8.6426228673600006E-3</c:v>
                </c:pt>
                <c:pt idx="8">
                  <c:v>8.7290490960300008E-3</c:v>
                </c:pt>
                <c:pt idx="9">
                  <c:v>8.8163395869899994E-3</c:v>
                </c:pt>
                <c:pt idx="10">
                  <c:v>8.9045029828599999E-3</c:v>
                </c:pt>
                <c:pt idx="11">
                  <c:v>8.9935480126900006E-3</c:v>
                </c:pt>
                <c:pt idx="12">
                  <c:v>9.0834834928199999E-3</c:v>
                </c:pt>
                <c:pt idx="13">
                  <c:v>9.1743183277499998E-3</c:v>
                </c:pt>
                <c:pt idx="14">
                  <c:v>9.2660615110300003E-3</c:v>
                </c:pt>
                <c:pt idx="15">
                  <c:v>9.3587221261399994E-3</c:v>
                </c:pt>
                <c:pt idx="16">
                  <c:v>9.4523093474000001E-3</c:v>
                </c:pt>
                <c:pt idx="17">
                  <c:v>9.5468324408700001E-3</c:v>
                </c:pt>
                <c:pt idx="18">
                  <c:v>9.6423007652800003E-3</c:v>
                </c:pt>
                <c:pt idx="19">
                  <c:v>9.7387237729300007E-3</c:v>
                </c:pt>
                <c:pt idx="20">
                  <c:v>9.8361110106600005E-3</c:v>
                </c:pt>
                <c:pt idx="21">
                  <c:v>9.9344721207699997E-3</c:v>
                </c:pt>
                <c:pt idx="22">
                  <c:v>1.0033816842E-2</c:v>
                </c:pt>
                <c:pt idx="23">
                  <c:v>1.0134155010399999E-2</c:v>
                </c:pt>
                <c:pt idx="24">
                  <c:v>1.0235496560500001E-2</c:v>
                </c:pt>
                <c:pt idx="25">
                  <c:v>1.0337851526100001E-2</c:v>
                </c:pt>
                <c:pt idx="26">
                  <c:v>1.0441230041400001E-2</c:v>
                </c:pt>
                <c:pt idx="27">
                  <c:v>1.0545642341800001E-2</c:v>
                </c:pt>
                <c:pt idx="28">
                  <c:v>1.06510987652E-2</c:v>
                </c:pt>
                <c:pt idx="29">
                  <c:v>1.0757609752900001E-2</c:v>
                </c:pt>
                <c:pt idx="30">
                  <c:v>1.08651858504E-2</c:v>
                </c:pt>
                <c:pt idx="31">
                  <c:v>1.09738377089E-2</c:v>
                </c:pt>
                <c:pt idx="32">
                  <c:v>1.1083576086E-2</c:v>
                </c:pt>
                <c:pt idx="33">
                  <c:v>1.11944118468E-2</c:v>
                </c:pt>
                <c:pt idx="34">
                  <c:v>1.13063559653E-2</c:v>
                </c:pt>
                <c:pt idx="35">
                  <c:v>1.1419419525E-2</c:v>
                </c:pt>
                <c:pt idx="36">
                  <c:v>1.15336137202E-2</c:v>
                </c:pt>
                <c:pt idx="37">
                  <c:v>1.16489498574E-2</c:v>
                </c:pt>
                <c:pt idx="38">
                  <c:v>1.1765439355999999E-2</c:v>
                </c:pt>
                <c:pt idx="39">
                  <c:v>1.1883093749499999E-2</c:v>
                </c:pt>
                <c:pt idx="40">
                  <c:v>1.2001924686999999E-2</c:v>
                </c:pt>
                <c:pt idx="41">
                  <c:v>1.21219439339E-2</c:v>
                </c:pt>
                <c:pt idx="42">
                  <c:v>1.22431633732E-2</c:v>
                </c:pt>
                <c:pt idx="43">
                  <c:v>1.2365595007E-2</c:v>
                </c:pt>
                <c:pt idx="44">
                  <c:v>1.2489250957E-2</c:v>
                </c:pt>
                <c:pt idx="45">
                  <c:v>1.2614143466599999E-2</c:v>
                </c:pt>
                <c:pt idx="46">
                  <c:v>1.2740284901299999E-2</c:v>
                </c:pt>
                <c:pt idx="47">
                  <c:v>1.28676877503E-2</c:v>
                </c:pt>
                <c:pt idx="48">
                  <c:v>1.2996364627799999E-2</c:v>
                </c:pt>
                <c:pt idx="49">
                  <c:v>1.3126328274099999E-2</c:v>
                </c:pt>
                <c:pt idx="50">
                  <c:v>1.3257591556799999E-2</c:v>
                </c:pt>
                <c:pt idx="51">
                  <c:v>1.3390167472400001E-2</c:v>
                </c:pt>
                <c:pt idx="52">
                  <c:v>1.35240691471E-2</c:v>
                </c:pt>
                <c:pt idx="53">
                  <c:v>1.36593098386E-2</c:v>
                </c:pt>
                <c:pt idx="54">
                  <c:v>1.3795902937000001E-2</c:v>
                </c:pt>
                <c:pt idx="55">
                  <c:v>1.3933861966300001E-2</c:v>
                </c:pt>
                <c:pt idx="56">
                  <c:v>1.4073200586E-2</c:v>
                </c:pt>
                <c:pt idx="57">
                  <c:v>1.42139325919E-2</c:v>
                </c:pt>
                <c:pt idx="58">
                  <c:v>1.4356071917800001E-2</c:v>
                </c:pt>
                <c:pt idx="59">
                  <c:v>1.4499632637E-2</c:v>
                </c:pt>
                <c:pt idx="60">
                  <c:v>1.46446289633E-2</c:v>
                </c:pt>
                <c:pt idx="61">
                  <c:v>1.4791075253E-2</c:v>
                </c:pt>
                <c:pt idx="62">
                  <c:v>1.4938986005499999E-2</c:v>
                </c:pt>
                <c:pt idx="63">
                  <c:v>1.5088375865499999E-2</c:v>
                </c:pt>
                <c:pt idx="64">
                  <c:v>1.5239259624200001E-2</c:v>
                </c:pt>
                <c:pt idx="65">
                  <c:v>1.5391652220400001E-2</c:v>
                </c:pt>
                <c:pt idx="66">
                  <c:v>1.55455687426E-2</c:v>
                </c:pt>
                <c:pt idx="67">
                  <c:v>1.5701024430100002E-2</c:v>
                </c:pt>
                <c:pt idx="68">
                  <c:v>1.5858034674400001E-2</c:v>
                </c:pt>
                <c:pt idx="69">
                  <c:v>1.6016615021100002E-2</c:v>
                </c:pt>
                <c:pt idx="70">
                  <c:v>1.61767811713E-2</c:v>
                </c:pt>
                <c:pt idx="71">
                  <c:v>1.6338548982999999E-2</c:v>
                </c:pt>
                <c:pt idx="72">
                  <c:v>1.65019344729E-2</c:v>
                </c:pt>
                <c:pt idx="73">
                  <c:v>1.66669538176E-2</c:v>
                </c:pt>
                <c:pt idx="74">
                  <c:v>1.68336233558E-2</c:v>
                </c:pt>
                <c:pt idx="75">
                  <c:v>1.7001959589300002E-2</c:v>
                </c:pt>
                <c:pt idx="76">
                  <c:v>1.7171979185200002E-2</c:v>
                </c:pt>
                <c:pt idx="77">
                  <c:v>1.7343698977099999E-2</c:v>
                </c:pt>
                <c:pt idx="78">
                  <c:v>1.7517135966800001E-2</c:v>
                </c:pt>
                <c:pt idx="79">
                  <c:v>1.7692307326500002E-2</c:v>
                </c:pt>
                <c:pt idx="80">
                  <c:v>1.7869230399799998E-2</c:v>
                </c:pt>
                <c:pt idx="81">
                  <c:v>1.8047922703799998E-2</c:v>
                </c:pt>
                <c:pt idx="82">
                  <c:v>1.8228401930800001E-2</c:v>
                </c:pt>
                <c:pt idx="83">
                  <c:v>1.8410685950100002E-2</c:v>
                </c:pt>
                <c:pt idx="84">
                  <c:v>1.85947928096E-2</c:v>
                </c:pt>
                <c:pt idx="85">
                  <c:v>1.8780740737699999E-2</c:v>
                </c:pt>
                <c:pt idx="86">
                  <c:v>1.89685481451E-2</c:v>
                </c:pt>
                <c:pt idx="87">
                  <c:v>1.9158233626600001E-2</c:v>
                </c:pt>
                <c:pt idx="88">
                  <c:v>1.9349815962799999E-2</c:v>
                </c:pt>
                <c:pt idx="89">
                  <c:v>1.9543314122399999E-2</c:v>
                </c:pt>
                <c:pt idx="90">
                  <c:v>1.97387472637E-2</c:v>
                </c:pt>
                <c:pt idx="91">
                  <c:v>1.9936134736300001E-2</c:v>
                </c:pt>
                <c:pt idx="92">
                  <c:v>2.0135496083700001E-2</c:v>
                </c:pt>
                <c:pt idx="93">
                  <c:v>2.03368510445E-2</c:v>
                </c:pt>
                <c:pt idx="94">
                  <c:v>2.0540219554899999E-2</c:v>
                </c:pt>
                <c:pt idx="95">
                  <c:v>2.0745621750500001E-2</c:v>
                </c:pt>
                <c:pt idx="96">
                  <c:v>2.0953077968E-2</c:v>
                </c:pt>
                <c:pt idx="97">
                  <c:v>2.1162608747699999E-2</c:v>
                </c:pt>
                <c:pt idx="98">
                  <c:v>2.1374234835199998E-2</c:v>
                </c:pt>
                <c:pt idx="99">
                  <c:v>2.1587977183500001E-2</c:v>
                </c:pt>
                <c:pt idx="100">
                  <c:v>2.1803856955299999E-2</c:v>
                </c:pt>
                <c:pt idx="101">
                  <c:v>2.2021895524900002E-2</c:v>
                </c:pt>
                <c:pt idx="102">
                  <c:v>2.2242114480200002E-2</c:v>
                </c:pt>
                <c:pt idx="103">
                  <c:v>2.2464535625E-2</c:v>
                </c:pt>
                <c:pt idx="104">
                  <c:v>2.2689180981199999E-2</c:v>
                </c:pt>
                <c:pt idx="105">
                  <c:v>2.2916072791000001E-2</c:v>
                </c:pt>
                <c:pt idx="106">
                  <c:v>2.3145233518900001E-2</c:v>
                </c:pt>
                <c:pt idx="107">
                  <c:v>2.33766858541E-2</c:v>
                </c:pt>
                <c:pt idx="108">
                  <c:v>2.36104527127E-2</c:v>
                </c:pt>
                <c:pt idx="109">
                  <c:v>2.38465572398E-2</c:v>
                </c:pt>
                <c:pt idx="110">
                  <c:v>2.4085022812199999E-2</c:v>
                </c:pt>
                <c:pt idx="111">
                  <c:v>2.4325873040300001E-2</c:v>
                </c:pt>
                <c:pt idx="112">
                  <c:v>2.4569131770700001E-2</c:v>
                </c:pt>
                <c:pt idx="113">
                  <c:v>2.4814823088399999E-2</c:v>
                </c:pt>
                <c:pt idx="114">
                  <c:v>2.5062971319299999E-2</c:v>
                </c:pt>
                <c:pt idx="115">
                  <c:v>2.5313601032500001E-2</c:v>
                </c:pt>
                <c:pt idx="116">
                  <c:v>2.5566737042799999E-2</c:v>
                </c:pt>
                <c:pt idx="117">
                  <c:v>2.5822404413199999E-2</c:v>
                </c:pt>
                <c:pt idx="118">
                  <c:v>2.6080628457400001E-2</c:v>
                </c:pt>
                <c:pt idx="119">
                  <c:v>2.63414347419E-2</c:v>
                </c:pt>
                <c:pt idx="120">
                  <c:v>2.6604849089400001E-2</c:v>
                </c:pt>
                <c:pt idx="121">
                  <c:v>2.68708975803E-2</c:v>
                </c:pt>
                <c:pt idx="122">
                  <c:v>2.71396065561E-2</c:v>
                </c:pt>
                <c:pt idx="123">
                  <c:v>2.7411002621600001E-2</c:v>
                </c:pt>
                <c:pt idx="124">
                  <c:v>2.7685112647799999E-2</c:v>
                </c:pt>
                <c:pt idx="125">
                  <c:v>2.7961963774299999E-2</c:v>
                </c:pt>
                <c:pt idx="126">
                  <c:v>2.8241583412100001E-2</c:v>
                </c:pt>
                <c:pt idx="127">
                  <c:v>2.8523999246199999E-2</c:v>
                </c:pt>
                <c:pt idx="128">
                  <c:v>2.8809239238600001E-2</c:v>
                </c:pt>
                <c:pt idx="129">
                  <c:v>2.9097331630999999E-2</c:v>
                </c:pt>
                <c:pt idx="130">
                  <c:v>2.9388304947299999E-2</c:v>
                </c:pt>
                <c:pt idx="131">
                  <c:v>2.9682187996799999E-2</c:v>
                </c:pt>
                <c:pt idx="132">
                  <c:v>2.9979009876800002E-2</c:v>
                </c:pt>
                <c:pt idx="133">
                  <c:v>3.0278799975499999E-2</c:v>
                </c:pt>
                <c:pt idx="134">
                  <c:v>3.0581587975300001E-2</c:v>
                </c:pt>
                <c:pt idx="135">
                  <c:v>3.0887403855099999E-2</c:v>
                </c:pt>
                <c:pt idx="136">
                  <c:v>3.1196277893600001E-2</c:v>
                </c:pt>
                <c:pt idx="137">
                  <c:v>3.15082406725E-2</c:v>
                </c:pt>
                <c:pt idx="138">
                  <c:v>3.1823323079299998E-2</c:v>
                </c:pt>
                <c:pt idx="139">
                  <c:v>3.2141556310100003E-2</c:v>
                </c:pt>
                <c:pt idx="140">
                  <c:v>3.2462971873199999E-2</c:v>
                </c:pt>
                <c:pt idx="141">
                  <c:v>3.2787601591900001E-2</c:v>
                </c:pt>
                <c:pt idx="142">
                  <c:v>3.3115477607800002E-2</c:v>
                </c:pt>
                <c:pt idx="143">
                  <c:v>3.3446632383899999E-2</c:v>
                </c:pt>
                <c:pt idx="144">
                  <c:v>3.3781098707699998E-2</c:v>
                </c:pt>
                <c:pt idx="145">
                  <c:v>3.4118909694799998E-2</c:v>
                </c:pt>
                <c:pt idx="146">
                  <c:v>3.4460098791800002E-2</c:v>
                </c:pt>
                <c:pt idx="147">
                  <c:v>3.48046997797E-2</c:v>
                </c:pt>
                <c:pt idx="148">
                  <c:v>3.51527467775E-2</c:v>
                </c:pt>
                <c:pt idx="149">
                  <c:v>3.5504274245200002E-2</c:v>
                </c:pt>
                <c:pt idx="150">
                  <c:v>3.58593169877E-2</c:v>
                </c:pt>
                <c:pt idx="151">
                  <c:v>3.6217910157600001E-2</c:v>
                </c:pt>
                <c:pt idx="152">
                  <c:v>3.6580089259100002E-2</c:v>
                </c:pt>
                <c:pt idx="153">
                  <c:v>3.6945890151700002E-2</c:v>
                </c:pt>
                <c:pt idx="154">
                  <c:v>3.7315349053300001E-2</c:v>
                </c:pt>
                <c:pt idx="155">
                  <c:v>3.7688502543799997E-2</c:v>
                </c:pt>
                <c:pt idx="156">
                  <c:v>3.8065387569199999E-2</c:v>
                </c:pt>
                <c:pt idx="157">
                  <c:v>3.8446041444899999E-2</c:v>
                </c:pt>
                <c:pt idx="158">
                  <c:v>3.8830501859399999E-2</c:v>
                </c:pt>
                <c:pt idx="159">
                  <c:v>3.9218806878000001E-2</c:v>
                </c:pt>
                <c:pt idx="160">
                  <c:v>3.96109949467E-2</c:v>
                </c:pt>
                <c:pt idx="161">
                  <c:v>4.0007104896199998E-2</c:v>
                </c:pt>
                <c:pt idx="162">
                  <c:v>4.0407175945199998E-2</c:v>
                </c:pt>
                <c:pt idx="163">
                  <c:v>4.0811247704599998E-2</c:v>
                </c:pt>
                <c:pt idx="164">
                  <c:v>4.1219360181699999E-2</c:v>
                </c:pt>
                <c:pt idx="165">
                  <c:v>4.1631553783500003E-2</c:v>
                </c:pt>
                <c:pt idx="166">
                  <c:v>4.2047869321300002E-2</c:v>
                </c:pt>
                <c:pt idx="167">
                  <c:v>4.2468348014500001E-2</c:v>
                </c:pt>
                <c:pt idx="168">
                  <c:v>4.2893031494700001E-2</c:v>
                </c:pt>
                <c:pt idx="169">
                  <c:v>4.3321961809599997E-2</c:v>
                </c:pt>
                <c:pt idx="170">
                  <c:v>4.3755181427699998E-2</c:v>
                </c:pt>
                <c:pt idx="171">
                  <c:v>4.4192733242000001E-2</c:v>
                </c:pt>
                <c:pt idx="172">
                  <c:v>4.4634660574399999E-2</c:v>
                </c:pt>
                <c:pt idx="173">
                  <c:v>4.50810071802E-2</c:v>
                </c:pt>
                <c:pt idx="174">
                  <c:v>4.5531817251999999E-2</c:v>
                </c:pt>
                <c:pt idx="175">
                  <c:v>4.5987135424500003E-2</c:v>
                </c:pt>
                <c:pt idx="176">
                  <c:v>4.6447006778699999E-2</c:v>
                </c:pt>
                <c:pt idx="177">
                  <c:v>4.6911476846500003E-2</c:v>
                </c:pt>
                <c:pt idx="178">
                  <c:v>4.7380591615000002E-2</c:v>
                </c:pt>
                <c:pt idx="179">
                  <c:v>4.7854397531099997E-2</c:v>
                </c:pt>
                <c:pt idx="180">
                  <c:v>4.8332941506400003E-2</c:v>
                </c:pt>
                <c:pt idx="181">
                  <c:v>4.8816270921500003E-2</c:v>
                </c:pt>
                <c:pt idx="182">
                  <c:v>4.9304433630700001E-2</c:v>
                </c:pt>
                <c:pt idx="183">
                  <c:v>4.9797477967000001E-2</c:v>
                </c:pt>
                <c:pt idx="184">
                  <c:v>5.0295452746699998E-2</c:v>
                </c:pt>
                <c:pt idx="185">
                  <c:v>5.07984072742E-2</c:v>
                </c:pt>
                <c:pt idx="186">
                  <c:v>5.1306391346900002E-2</c:v>
                </c:pt>
                <c:pt idx="187">
                  <c:v>5.1819455260400001E-2</c:v>
                </c:pt>
                <c:pt idx="188">
                  <c:v>5.2337649813000001E-2</c:v>
                </c:pt>
                <c:pt idx="189">
                  <c:v>5.2861026311099998E-2</c:v>
                </c:pt>
                <c:pt idx="190">
                  <c:v>5.3389636574199997E-2</c:v>
                </c:pt>
                <c:pt idx="191">
                  <c:v>5.3923532939999998E-2</c:v>
                </c:pt>
                <c:pt idx="192">
                  <c:v>5.4462768269399997E-2</c:v>
                </c:pt>
                <c:pt idx="193">
                  <c:v>5.5007395952099997E-2</c:v>
                </c:pt>
                <c:pt idx="194">
                  <c:v>5.5557469911600002E-2</c:v>
                </c:pt>
                <c:pt idx="195">
                  <c:v>5.6113044610699998E-2</c:v>
                </c:pt>
                <c:pt idx="196">
                  <c:v>5.6674175056800002E-2</c:v>
                </c:pt>
                <c:pt idx="197">
                  <c:v>5.7240916807399997E-2</c:v>
                </c:pt>
                <c:pt idx="198">
                  <c:v>5.7813325975400003E-2</c:v>
                </c:pt>
                <c:pt idx="199">
                  <c:v>5.8391459235199998E-2</c:v>
                </c:pt>
                <c:pt idx="200">
                  <c:v>5.89753738276E-2</c:v>
                </c:pt>
                <c:pt idx="201">
                  <c:v>5.95651275658E-2</c:v>
                </c:pt>
                <c:pt idx="202">
                  <c:v>6.01607788415E-2</c:v>
                </c:pt>
                <c:pt idx="203">
                  <c:v>6.0762386629900002E-2</c:v>
                </c:pt>
                <c:pt idx="204">
                  <c:v>6.13700104962E-2</c:v>
                </c:pt>
                <c:pt idx="205">
                  <c:v>6.1983710601199997E-2</c:v>
                </c:pt>
                <c:pt idx="206">
                  <c:v>6.2603547707200002E-2</c:v>
                </c:pt>
                <c:pt idx="207">
                  <c:v>6.3229583184199994E-2</c:v>
                </c:pt>
                <c:pt idx="208">
                  <c:v>6.3861879016100007E-2</c:v>
                </c:pt>
                <c:pt idx="209">
                  <c:v>6.45004978062E-2</c:v>
                </c:pt>
                <c:pt idx="210">
                  <c:v>6.5145502784299994E-2</c:v>
                </c:pt>
                <c:pt idx="211">
                  <c:v>6.5796957812200005E-2</c:v>
                </c:pt>
                <c:pt idx="212">
                  <c:v>6.6454927390299998E-2</c:v>
                </c:pt>
                <c:pt idx="213">
                  <c:v>6.7119476664199998E-2</c:v>
                </c:pt>
                <c:pt idx="214">
                  <c:v>6.7790671430800004E-2</c:v>
                </c:pt>
                <c:pt idx="215">
                  <c:v>6.8468578145100004E-2</c:v>
                </c:pt>
                <c:pt idx="216">
                  <c:v>6.9153263926599998E-2</c:v>
                </c:pt>
                <c:pt idx="217">
                  <c:v>6.9844796565800005E-2</c:v>
                </c:pt>
                <c:pt idx="218">
                  <c:v>7.0543244531500002E-2</c:v>
                </c:pt>
                <c:pt idx="219">
                  <c:v>7.1248676976799999E-2</c:v>
                </c:pt>
                <c:pt idx="220">
                  <c:v>7.1961163746599999E-2</c:v>
                </c:pt>
                <c:pt idx="221">
                  <c:v>7.2680775384100005E-2</c:v>
                </c:pt>
                <c:pt idx="222">
                  <c:v>7.3407583137899995E-2</c:v>
                </c:pt>
                <c:pt idx="223">
                  <c:v>7.4141658969300001E-2</c:v>
                </c:pt>
                <c:pt idx="224">
                  <c:v>7.4883075559000006E-2</c:v>
                </c:pt>
                <c:pt idx="225">
                  <c:v>7.5631906314599998E-2</c:v>
                </c:pt>
                <c:pt idx="226">
                  <c:v>7.63882253777E-2</c:v>
                </c:pt>
                <c:pt idx="227">
                  <c:v>7.7152107631500003E-2</c:v>
                </c:pt>
                <c:pt idx="228">
                  <c:v>7.7923628707799994E-2</c:v>
                </c:pt>
                <c:pt idx="229">
                  <c:v>7.8702864994899993E-2</c:v>
                </c:pt>
                <c:pt idx="230">
                  <c:v>7.9489893644799997E-2</c:v>
                </c:pt>
                <c:pt idx="231">
                  <c:v>8.0284792581300002E-2</c:v>
                </c:pt>
                <c:pt idx="232">
                  <c:v>8.1087640507100003E-2</c:v>
                </c:pt>
                <c:pt idx="233">
                  <c:v>8.1898516912200001E-2</c:v>
                </c:pt>
                <c:pt idx="234">
                  <c:v>8.2717502081300007E-2</c:v>
                </c:pt>
                <c:pt idx="235">
                  <c:v>8.3544677102100007E-2</c:v>
                </c:pt>
                <c:pt idx="236">
                  <c:v>8.4380123873099996E-2</c:v>
                </c:pt>
                <c:pt idx="237">
                  <c:v>8.5223925111800006E-2</c:v>
                </c:pt>
                <c:pt idx="238">
                  <c:v>8.6076164363000002E-2</c:v>
                </c:pt>
                <c:pt idx="239">
                  <c:v>8.6936926006599996E-2</c:v>
                </c:pt>
                <c:pt idx="240">
                  <c:v>8.7806295266700002E-2</c:v>
                </c:pt>
                <c:pt idx="241">
                  <c:v>8.86843582193E-2</c:v>
                </c:pt>
                <c:pt idx="242">
                  <c:v>8.9571201801499994E-2</c:v>
                </c:pt>
                <c:pt idx="243">
                  <c:v>9.0466913819500006E-2</c:v>
                </c:pt>
                <c:pt idx="244">
                  <c:v>9.1371582957699995E-2</c:v>
                </c:pt>
                <c:pt idx="245">
                  <c:v>9.2285298787300005E-2</c:v>
                </c:pt>
                <c:pt idx="246">
                  <c:v>9.3208151775200004E-2</c:v>
                </c:pt>
                <c:pt idx="247">
                  <c:v>9.41402332929E-2</c:v>
                </c:pt>
                <c:pt idx="248">
                  <c:v>9.5081635625899996E-2</c:v>
                </c:pt>
                <c:pt idx="249">
                  <c:v>9.6032451982100003E-2</c:v>
                </c:pt>
                <c:pt idx="250">
                  <c:v>9.6992776501899997E-2</c:v>
                </c:pt>
                <c:pt idx="251">
                  <c:v>9.7962704267000003E-2</c:v>
                </c:pt>
                <c:pt idx="252">
                  <c:v>9.8942331309600007E-2</c:v>
                </c:pt>
                <c:pt idx="253">
                  <c:v>9.99317546227E-2</c:v>
                </c:pt>
                <c:pt idx="254">
                  <c:v>0.10093107216900001</c:v>
                </c:pt>
                <c:pt idx="255">
                  <c:v>0.10194038289100001</c:v>
                </c:pt>
                <c:pt idx="256">
                  <c:v>0.10295978672</c:v>
                </c:pt>
                <c:pt idx="257">
                  <c:v>0.10398938458699999</c:v>
                </c:pt>
              </c:numCache>
            </c:numRef>
          </c:xVal>
          <c:yVal>
            <c:numRef>
              <c:f>Reflectivity!$X$3:$X$337</c:f>
              <c:numCache>
                <c:formatCode>0.00E+00</c:formatCode>
                <c:ptCount val="335"/>
                <c:pt idx="0">
                  <c:v>6.849267734794609E-2</c:v>
                </c:pt>
                <c:pt idx="1">
                  <c:v>6.7529921226351167E-2</c:v>
                </c:pt>
                <c:pt idx="2">
                  <c:v>6.6527307942654212E-2</c:v>
                </c:pt>
                <c:pt idx="3">
                  <c:v>6.5482253437859073E-2</c:v>
                </c:pt>
                <c:pt idx="4">
                  <c:v>6.4393514421421383E-2</c:v>
                </c:pt>
                <c:pt idx="5">
                  <c:v>6.3260908372142696E-2</c:v>
                </c:pt>
                <c:pt idx="6">
                  <c:v>6.2084593609583072E-2</c:v>
                </c:pt>
                <c:pt idx="7">
                  <c:v>6.0864665461770148E-2</c:v>
                </c:pt>
                <c:pt idx="8">
                  <c:v>5.9601166999479351E-2</c:v>
                </c:pt>
                <c:pt idx="9">
                  <c:v>5.8296342745009909E-2</c:v>
                </c:pt>
                <c:pt idx="10">
                  <c:v>5.6946247670889474E-2</c:v>
                </c:pt>
                <c:pt idx="11">
                  <c:v>5.5553674234153992E-2</c:v>
                </c:pt>
                <c:pt idx="12">
                  <c:v>5.4119526748834412E-2</c:v>
                </c:pt>
                <c:pt idx="13">
                  <c:v>5.2645013672677737E-2</c:v>
                </c:pt>
                <c:pt idx="14">
                  <c:v>5.1131660575269647E-2</c:v>
                </c:pt>
                <c:pt idx="15">
                  <c:v>4.958132203183252E-2</c:v>
                </c:pt>
                <c:pt idx="16">
                  <c:v>4.7996192207580446E-2</c:v>
                </c:pt>
                <c:pt idx="17">
                  <c:v>4.6378813882852872E-2</c:v>
                </c:pt>
                <c:pt idx="18">
                  <c:v>4.4732085653701945E-2</c:v>
                </c:pt>
                <c:pt idx="19">
                  <c:v>4.3059267032309105E-2</c:v>
                </c:pt>
                <c:pt idx="20">
                  <c:v>4.1363981159979947E-2</c:v>
                </c:pt>
                <c:pt idx="21">
                  <c:v>3.965021484391526E-2</c:v>
                </c:pt>
                <c:pt idx="22">
                  <c:v>3.7922315624008072E-2</c:v>
                </c:pt>
                <c:pt idx="23">
                  <c:v>3.6184985584870738E-2</c:v>
                </c:pt>
                <c:pt idx="24">
                  <c:v>3.444072863939885E-2</c:v>
                </c:pt>
                <c:pt idx="25">
                  <c:v>3.2700137039127004E-2</c:v>
                </c:pt>
                <c:pt idx="26">
                  <c:v>3.096623222253388E-2</c:v>
                </c:pt>
                <c:pt idx="27">
                  <c:v>2.9244997630439439E-2</c:v>
                </c:pt>
                <c:pt idx="28">
                  <c:v>2.7542682452272226E-2</c:v>
                </c:pt>
                <c:pt idx="29">
                  <c:v>2.5865770899510938E-2</c:v>
                </c:pt>
                <c:pt idx="30">
                  <c:v>2.4220946881971312E-2</c:v>
                </c:pt>
                <c:pt idx="31">
                  <c:v>2.2615054068582312E-2</c:v>
                </c:pt>
                <c:pt idx="32">
                  <c:v>2.1055051418740228E-2</c:v>
                </c:pt>
                <c:pt idx="33">
                  <c:v>1.9547964302419556E-2</c:v>
                </c:pt>
                <c:pt idx="34">
                  <c:v>1.8100831428551175E-2</c:v>
                </c:pt>
                <c:pt idx="35">
                  <c:v>1.6720647895787633E-2</c:v>
                </c:pt>
                <c:pt idx="36">
                  <c:v>1.5414304729644741E-2</c:v>
                </c:pt>
                <c:pt idx="37">
                  <c:v>1.4188525386531734E-2</c:v>
                </c:pt>
                <c:pt idx="38">
                  <c:v>1.3049799787596449E-2</c:v>
                </c:pt>
                <c:pt idx="39">
                  <c:v>1.2004316502389976E-2</c:v>
                </c:pt>
                <c:pt idx="40">
                  <c:v>1.1057893796151965E-2</c:v>
                </c:pt>
                <c:pt idx="41">
                  <c:v>1.0215910326814187E-2</c:v>
                </c:pt>
                <c:pt idx="42">
                  <c:v>9.4832363127253134E-3</c:v>
                </c:pt>
                <c:pt idx="43">
                  <c:v>8.8641660574684186E-3</c:v>
                </c:pt>
                <c:pt idx="44">
                  <c:v>8.3623527519268732E-3</c:v>
                </c:pt>
                <c:pt idx="45">
                  <c:v>7.9807095882768984E-3</c:v>
                </c:pt>
                <c:pt idx="46">
                  <c:v>7.7213388415065263E-3</c:v>
                </c:pt>
                <c:pt idx="47">
                  <c:v>7.5857582578951087E-3</c:v>
                </c:pt>
                <c:pt idx="48">
                  <c:v>7.5744822621102645E-3</c:v>
                </c:pt>
                <c:pt idx="49">
                  <c:v>7.6871246273312824E-3</c:v>
                </c:pt>
                <c:pt idx="50">
                  <c:v>7.9223661301973045E-3</c:v>
                </c:pt>
                <c:pt idx="51">
                  <c:v>8.2779305593493613E-3</c:v>
                </c:pt>
                <c:pt idx="52">
                  <c:v>8.7505697135168599E-3</c:v>
                </c:pt>
                <c:pt idx="53">
                  <c:v>9.3360579327574598E-3</c:v>
                </c:pt>
                <c:pt idx="54">
                  <c:v>1.0029196589562479E-2</c:v>
                </c:pt>
                <c:pt idx="55">
                  <c:v>1.0823828859321087E-2</c:v>
                </c:pt>
                <c:pt idx="56">
                  <c:v>1.1712864962577363E-2</c:v>
                </c:pt>
                <c:pt idx="57">
                  <c:v>1.2688317940672813E-2</c:v>
                </c:pt>
                <c:pt idx="58">
                  <c:v>1.3741349917280859E-2</c:v>
                </c:pt>
                <c:pt idx="59">
                  <c:v>1.4862328657822849E-2</c:v>
                </c:pt>
                <c:pt idx="60">
                  <c:v>1.6042418391114508E-2</c:v>
                </c:pt>
                <c:pt idx="61">
                  <c:v>1.7267586926962196E-2</c:v>
                </c:pt>
                <c:pt idx="62">
                  <c:v>1.852773259335426E-2</c:v>
                </c:pt>
                <c:pt idx="63">
                  <c:v>1.9810805836496963E-2</c:v>
                </c:pt>
                <c:pt idx="64">
                  <c:v>2.1104385582802976E-2</c:v>
                </c:pt>
                <c:pt idx="65">
                  <c:v>2.2395787435374612E-2</c:v>
                </c:pt>
                <c:pt idx="66">
                  <c:v>2.3672177909647492E-2</c:v>
                </c:pt>
                <c:pt idx="67">
                  <c:v>2.4920693746659901E-2</c:v>
                </c:pt>
                <c:pt idx="68">
                  <c:v>2.6128565308935578E-2</c:v>
                </c:pt>
                <c:pt idx="69">
                  <c:v>2.7283242994331297E-2</c:v>
                </c:pt>
                <c:pt idx="70">
                  <c:v>2.83725255343769E-2</c:v>
                </c:pt>
                <c:pt idx="71">
                  <c:v>2.9384688998036129E-2</c:v>
                </c:pt>
                <c:pt idx="72">
                  <c:v>3.0308615258876338E-2</c:v>
                </c:pt>
                <c:pt idx="73">
                  <c:v>3.1133918608790681E-2</c:v>
                </c:pt>
                <c:pt idx="74">
                  <c:v>3.1851069145855719E-2</c:v>
                </c:pt>
                <c:pt idx="75">
                  <c:v>3.2451511467568958E-2</c:v>
                </c:pt>
                <c:pt idx="76">
                  <c:v>3.2927777145977541E-2</c:v>
                </c:pt>
                <c:pt idx="77">
                  <c:v>3.3273589359740618E-2</c:v>
                </c:pt>
                <c:pt idx="78">
                  <c:v>3.348395799812507E-2</c:v>
                </c:pt>
                <c:pt idx="79">
                  <c:v>3.3555263474598557E-2</c:v>
                </c:pt>
                <c:pt idx="80">
                  <c:v>3.3485327437721611E-2</c:v>
                </c:pt>
                <c:pt idx="81">
                  <c:v>3.3273468545606248E-2</c:v>
                </c:pt>
                <c:pt idx="82">
                  <c:v>3.2920541473005174E-2</c:v>
                </c:pt>
                <c:pt idx="83">
                  <c:v>3.2428957377669779E-2</c:v>
                </c:pt>
                <c:pt idx="84">
                  <c:v>3.1802684163152933E-2</c:v>
                </c:pt>
                <c:pt idx="85">
                  <c:v>3.1047225049697633E-2</c:v>
                </c:pt>
                <c:pt idx="86">
                  <c:v>3.0169574217662639E-2</c:v>
                </c:pt>
                <c:pt idx="87">
                  <c:v>2.9178148617913697E-2</c:v>
                </c:pt>
                <c:pt idx="88">
                  <c:v>2.8082695456225631E-2</c:v>
                </c:pt>
                <c:pt idx="89">
                  <c:v>2.6894175346387994E-2</c:v>
                </c:pt>
                <c:pt idx="90">
                  <c:v>2.5624621702486795E-2</c:v>
                </c:pt>
                <c:pt idx="91">
                  <c:v>2.4286977548994278E-2</c:v>
                </c:pt>
                <c:pt idx="92">
                  <c:v>2.2894911590375398E-2</c:v>
                </c:pt>
                <c:pt idx="93">
                  <c:v>2.1462616085872417E-2</c:v>
                </c:pt>
                <c:pt idx="94">
                  <c:v>2.0004589714309146E-2</c:v>
                </c:pt>
                <c:pt idx="95">
                  <c:v>1.8535409283896728E-2</c:v>
                </c:pt>
                <c:pt idx="96">
                  <c:v>1.7069494696788329E-2</c:v>
                </c:pt>
                <c:pt idx="97">
                  <c:v>1.5620872055509554E-2</c:v>
                </c:pt>
                <c:pt idx="98">
                  <c:v>1.4202940179911538E-2</c:v>
                </c:pt>
                <c:pt idx="99">
                  <c:v>1.2829940498282594E-2</c:v>
                </c:pt>
                <c:pt idx="100">
                  <c:v>1.1509799057235853E-2</c:v>
                </c:pt>
                <c:pt idx="101">
                  <c:v>1.0254615104602396E-2</c:v>
                </c:pt>
                <c:pt idx="102">
                  <c:v>9.0732060702322752E-3</c:v>
                </c:pt>
                <c:pt idx="103">
                  <c:v>7.9728360429749279E-3</c:v>
                </c:pt>
                <c:pt idx="104">
                  <c:v>6.9591142133623293E-3</c:v>
                </c:pt>
                <c:pt idx="105">
                  <c:v>6.0359305915259655E-3</c:v>
                </c:pt>
                <c:pt idx="106">
                  <c:v>5.2054314431996054E-3</c:v>
                </c:pt>
                <c:pt idx="107">
                  <c:v>4.4680358475537264E-3</c:v>
                </c:pt>
                <c:pt idx="108">
                  <c:v>3.822493649506418E-3</c:v>
                </c:pt>
                <c:pt idx="109">
                  <c:v>3.2659838655402936E-3</c:v>
                </c:pt>
                <c:pt idx="110">
                  <c:v>2.7942513515423948E-3</c:v>
                </c:pt>
                <c:pt idx="111">
                  <c:v>2.4017782932100897E-3</c:v>
                </c:pt>
                <c:pt idx="112">
                  <c:v>2.0819858561439081E-3</c:v>
                </c:pt>
                <c:pt idx="113">
                  <c:v>1.8274602050358962E-3</c:v>
                </c:pt>
                <c:pt idx="114">
                  <c:v>1.6301960916998268E-3</c:v>
                </c:pt>
                <c:pt idx="115">
                  <c:v>1.4818503838763359E-3</c:v>
                </c:pt>
                <c:pt idx="116">
                  <c:v>1.3739972997447434E-3</c:v>
                </c:pt>
                <c:pt idx="117">
                  <c:v>1.2981586690207396E-3</c:v>
                </c:pt>
                <c:pt idx="118">
                  <c:v>1.2469732661799925E-3</c:v>
                </c:pt>
                <c:pt idx="119">
                  <c:v>1.2128901081064276E-3</c:v>
                </c:pt>
                <c:pt idx="120">
                  <c:v>1.1894430724351509E-3</c:v>
                </c:pt>
                <c:pt idx="121">
                  <c:v>1.1710918073098992E-3</c:v>
                </c:pt>
                <c:pt idx="122">
                  <c:v>1.1533187159887303E-3</c:v>
                </c:pt>
                <c:pt idx="123">
                  <c:v>1.132679650785489E-3</c:v>
                </c:pt>
                <c:pt idx="124">
                  <c:v>1.1068069895387373E-3</c:v>
                </c:pt>
                <c:pt idx="125">
                  <c:v>1.0743659664730915E-3</c:v>
                </c:pt>
                <c:pt idx="126">
                  <c:v>1.0349673990003197E-3</c:v>
                </c:pt>
                <c:pt idx="127">
                  <c:v>9.8904216804884901E-4</c:v>
                </c:pt>
                <c:pt idx="128">
                  <c:v>9.3768483733721014E-4</c:v>
                </c:pt>
                <c:pt idx="129">
                  <c:v>8.8247550400879496E-4</c:v>
                </c:pt>
                <c:pt idx="130">
                  <c:v>8.2529023617420325E-4</c:v>
                </c:pt>
                <c:pt idx="131">
                  <c:v>7.6811116967560758E-4</c:v>
                </c:pt>
                <c:pt idx="132">
                  <c:v>7.128474315038722E-4</c:v>
                </c:pt>
                <c:pt idx="133">
                  <c:v>6.611774845273451E-4</c:v>
                </c:pt>
                <c:pt idx="134">
                  <c:v>6.1442223938679879E-4</c:v>
                </c:pt>
                <c:pt idx="135">
                  <c:v>5.7345638182480351E-4</c:v>
                </c:pt>
                <c:pt idx="136">
                  <c:v>5.386628851294659E-4</c:v>
                </c:pt>
                <c:pt idx="137">
                  <c:v>5.0993273330789666E-4</c:v>
                </c:pt>
                <c:pt idx="138">
                  <c:v>4.8670863022851204E-4</c:v>
                </c:pt>
                <c:pt idx="139">
                  <c:v>4.6806812441085594E-4</c:v>
                </c:pt>
                <c:pt idx="140">
                  <c:v>4.5283839260757569E-4</c:v>
                </c:pt>
                <c:pt idx="141">
                  <c:v>4.3973218173172849E-4</c:v>
                </c:pt>
                <c:pt idx="142">
                  <c:v>4.2749239736061611E-4</c:v>
                </c:pt>
                <c:pt idx="143">
                  <c:v>4.1503181011523223E-4</c:v>
                </c:pt>
                <c:pt idx="144">
                  <c:v>4.0155452068208744E-4</c:v>
                </c:pt>
                <c:pt idx="145">
                  <c:v>3.8664726458077331E-4</c:v>
                </c:pt>
                <c:pt idx="146">
                  <c:v>3.7033129459602894E-4</c:v>
                </c:pt>
                <c:pt idx="147">
                  <c:v>3.530692465255591E-4</c:v>
                </c:pt>
                <c:pt idx="148">
                  <c:v>3.3572572877006783E-4</c:v>
                </c:pt>
                <c:pt idx="149">
                  <c:v>3.1948493312995973E-4</c:v>
                </c:pt>
                <c:pt idx="150">
                  <c:v>3.0573285579991663E-4</c:v>
                </c:pt>
                <c:pt idx="151">
                  <c:v>2.9591528401329503E-4</c:v>
                </c:pt>
                <c:pt idx="152">
                  <c:v>2.9138517409750298E-4</c:v>
                </c:pt>
                <c:pt idx="153">
                  <c:v>2.9325418514647889E-4</c:v>
                </c:pt>
                <c:pt idx="154">
                  <c:v>3.0226285098379572E-4</c:v>
                </c:pt>
                <c:pt idx="155">
                  <c:v>3.1868222137573847E-4</c:v>
                </c:pt>
                <c:pt idx="156">
                  <c:v>3.4225693837418948E-4</c:v>
                </c:pt>
                <c:pt idx="157">
                  <c:v>3.7219586933388832E-4</c:v>
                </c:pt>
                <c:pt idx="158">
                  <c:v>4.0721189158856837E-4</c:v>
                </c:pt>
                <c:pt idx="159">
                  <c:v>4.4560757630779889E-4</c:v>
                </c:pt>
                <c:pt idx="160">
                  <c:v>4.8539878910002301E-4</c:v>
                </c:pt>
                <c:pt idx="161">
                  <c:v>5.2446412605422596E-4</c:v>
                </c:pt>
                <c:pt idx="162">
                  <c:v>5.6070518742559262E-4</c:v>
                </c:pt>
                <c:pt idx="163">
                  <c:v>5.9220145992821822E-4</c:v>
                </c:pt>
                <c:pt idx="164">
                  <c:v>6.1734436137670886E-4</c:v>
                </c:pt>
                <c:pt idx="165">
                  <c:v>6.3493782979999296E-4</c:v>
                </c:pt>
                <c:pt idx="166">
                  <c:v>6.4425736513978979E-4</c:v>
                </c:pt>
                <c:pt idx="167">
                  <c:v>6.4506494289113809E-4</c:v>
                </c:pt>
                <c:pt idx="168">
                  <c:v>6.3758276803396144E-4</c:v>
                </c:pt>
                <c:pt idx="169">
                  <c:v>6.2243345384615048E-4</c:v>
                </c:pt>
                <c:pt idx="170">
                  <c:v>6.0055714748389634E-4</c:v>
                </c:pt>
                <c:pt idx="171">
                  <c:v>5.7311704773288887E-4</c:v>
                </c:pt>
                <c:pt idx="172">
                  <c:v>5.4140381148135312E-4</c:v>
                </c:pt>
                <c:pt idx="173">
                  <c:v>5.067470601781063E-4</c:v>
                </c:pt>
                <c:pt idx="174">
                  <c:v>4.7043930926902972E-4</c:v>
                </c:pt>
                <c:pt idx="175">
                  <c:v>4.3367485463014182E-4</c:v>
                </c:pt>
                <c:pt idx="176">
                  <c:v>3.9750395841514857E-4</c:v>
                </c:pt>
                <c:pt idx="177">
                  <c:v>3.6280130745922361E-4</c:v>
                </c:pt>
                <c:pt idx="178">
                  <c:v>3.3024716215840095E-4</c:v>
                </c:pt>
                <c:pt idx="179">
                  <c:v>3.0031971352132954E-4</c:v>
                </c:pt>
                <c:pt idx="180">
                  <c:v>2.7329768342391049E-4</c:v>
                </c:pt>
                <c:pt idx="181">
                  <c:v>2.4927284523882282E-4</c:v>
                </c:pt>
                <c:pt idx="182">
                  <c:v>2.2817256433891773E-4</c:v>
                </c:pt>
                <c:pt idx="183">
                  <c:v>2.0979230207231311E-4</c:v>
                </c:pt>
                <c:pt idx="184">
                  <c:v>1.9383703131975764E-4</c:v>
                </c:pt>
                <c:pt idx="185">
                  <c:v>1.7996867971185369E-4</c:v>
                </c:pt>
                <c:pt idx="186">
                  <c:v>1.6785444755001422E-4</c:v>
                </c:pt>
                <c:pt idx="187">
                  <c:v>1.5720892617111342E-4</c:v>
                </c:pt>
                <c:pt idx="188">
                  <c:v>1.4782232808988285E-4</c:v>
                </c:pt>
                <c:pt idx="189">
                  <c:v>1.3956859877977759E-4</c:v>
                </c:pt>
                <c:pt idx="190">
                  <c:v>1.3239090340581673E-4</c:v>
                </c:pt>
                <c:pt idx="191">
                  <c:v>1.2626736464688018E-4</c:v>
                </c:pt>
                <c:pt idx="192">
                  <c:v>1.2116562202119679E-4</c:v>
                </c:pt>
                <c:pt idx="193">
                  <c:v>1.1699903699074919E-4</c:v>
                </c:pt>
                <c:pt idx="194">
                  <c:v>1.1359855116620409E-4</c:v>
                </c:pt>
                <c:pt idx="195">
                  <c:v>1.1071136149726035E-4</c:v>
                </c:pt>
                <c:pt idx="196">
                  <c:v>1.0803084702423117E-4</c:v>
                </c:pt>
                <c:pt idx="197">
                  <c:v>1.0525296108000665E-4</c:v>
                </c:pt>
                <c:pt idx="198">
                  <c:v>1.0214504729510276E-4</c:v>
                </c:pt>
                <c:pt idx="199">
                  <c:v>9.8606701257218077E-5</c:v>
                </c:pt>
                <c:pt idx="200">
                  <c:v>9.470147613509717E-5</c:v>
                </c:pt>
                <c:pt idx="201">
                  <c:v>9.0644211970415282E-5</c:v>
                </c:pt>
                <c:pt idx="202">
                  <c:v>8.6740830166188884E-5</c:v>
                </c:pt>
                <c:pt idx="203">
                  <c:v>8.3292663225374442E-5</c:v>
                </c:pt>
                <c:pt idx="204">
                  <c:v>8.0491236141368259E-5</c:v>
                </c:pt>
                <c:pt idx="205">
                  <c:v>7.8336927654764477E-5</c:v>
                </c:pt>
                <c:pt idx="206">
                  <c:v>7.6612374400757024E-5</c:v>
                </c:pt>
                <c:pt idx="207">
                  <c:v>7.4927832302799065E-5</c:v>
                </c:pt>
                <c:pt idx="208">
                  <c:v>7.2833619277656633E-5</c:v>
                </c:pt>
                <c:pt idx="209">
                  <c:v>6.9970380856498068E-5</c:v>
                </c:pt>
                <c:pt idx="210">
                  <c:v>6.6209499613966574E-5</c:v>
                </c:pt>
                <c:pt idx="211">
                  <c:v>6.173137063100242E-5</c:v>
                </c:pt>
                <c:pt idx="212">
                  <c:v>5.7002979380449645E-5</c:v>
                </c:pt>
                <c:pt idx="213">
                  <c:v>5.2646898996129984E-5</c:v>
                </c:pt>
                <c:pt idx="214">
                  <c:v>4.9233402202920045E-5</c:v>
                </c:pt>
                <c:pt idx="215">
                  <c:v>4.7062531563189385E-5</c:v>
                </c:pt>
                <c:pt idx="216">
                  <c:v>4.6018992335736903E-5</c:v>
                </c:pt>
                <c:pt idx="217">
                  <c:v>4.5569047577236554E-5</c:v>
                </c:pt>
                <c:pt idx="218">
                  <c:v>4.4924136941095527E-5</c:v>
                </c:pt>
                <c:pt idx="219">
                  <c:v>4.3332181714871291E-5</c:v>
                </c:pt>
                <c:pt idx="220">
                  <c:v>4.0397062669544263E-5</c:v>
                </c:pt>
                <c:pt idx="221">
                  <c:v>3.6296444931455976E-5</c:v>
                </c:pt>
                <c:pt idx="222">
                  <c:v>3.1788226949876414E-5</c:v>
                </c:pt>
                <c:pt idx="223">
                  <c:v>2.7967678198064041E-5</c:v>
                </c:pt>
                <c:pt idx="224">
                  <c:v>2.5847489880328782E-5</c:v>
                </c:pt>
                <c:pt idx="225">
                  <c:v>2.5915441359287142E-5</c:v>
                </c:pt>
                <c:pt idx="226">
                  <c:v>2.7864715959270056E-5</c:v>
                </c:pt>
                <c:pt idx="227">
                  <c:v>3.0653195434123474E-5</c:v>
                </c:pt>
                <c:pt idx="228">
                  <c:v>3.2900267222758E-5</c:v>
                </c:pt>
                <c:pt idx="229">
                  <c:v>3.347757099106408E-5</c:v>
                </c:pt>
                <c:pt idx="230">
                  <c:v>3.2033902471746174E-5</c:v>
                </c:pt>
                <c:pt idx="231">
                  <c:v>2.9193464184637549E-5</c:v>
                </c:pt>
                <c:pt idx="232">
                  <c:v>2.6298647680039393E-5</c:v>
                </c:pt>
                <c:pt idx="233">
                  <c:v>2.4784416034120394E-5</c:v>
                </c:pt>
                <c:pt idx="234">
                  <c:v>2.5467890026477189E-5</c:v>
                </c:pt>
                <c:pt idx="235">
                  <c:v>2.8105625984821869E-5</c:v>
                </c:pt>
                <c:pt idx="236">
                  <c:v>3.1460100294785308E-5</c:v>
                </c:pt>
                <c:pt idx="237">
                  <c:v>3.3868184808198613E-5</c:v>
                </c:pt>
                <c:pt idx="238">
                  <c:v>3.4041967301804317E-5</c:v>
                </c:pt>
                <c:pt idx="239">
                  <c:v>3.1699034217897846E-5</c:v>
                </c:pt>
                <c:pt idx="240">
                  <c:v>2.7695712537234163E-5</c:v>
                </c:pt>
                <c:pt idx="241">
                  <c:v>2.3589900609468377E-5</c:v>
                </c:pt>
                <c:pt idx="242">
                  <c:v>2.0857348931818518E-5</c:v>
                </c:pt>
                <c:pt idx="243">
                  <c:v>2.0166791742997217E-5</c:v>
                </c:pt>
                <c:pt idx="244">
                  <c:v>2.1087364252407787E-5</c:v>
                </c:pt>
                <c:pt idx="245">
                  <c:v>2.2373369849647691E-5</c:v>
                </c:pt>
                <c:pt idx="246">
                  <c:v>2.2667098605242933E-5</c:v>
                </c:pt>
                <c:pt idx="247">
                  <c:v>2.1238900892352175E-5</c:v>
                </c:pt>
                <c:pt idx="248">
                  <c:v>1.8362265092475899E-5</c:v>
                </c:pt>
                <c:pt idx="249">
                  <c:v>1.511818624905435E-5</c:v>
                </c:pt>
                <c:pt idx="250">
                  <c:v>1.2742543710019693E-5</c:v>
                </c:pt>
                <c:pt idx="251">
                  <c:v>1.1900686964186172E-5</c:v>
                </c:pt>
                <c:pt idx="252">
                  <c:v>1.2328626043105737E-5</c:v>
                </c:pt>
                <c:pt idx="253">
                  <c:v>1.3062034931940395E-5</c:v>
                </c:pt>
                <c:pt idx="254">
                  <c:v>1.3097257386585297E-5</c:v>
                </c:pt>
                <c:pt idx="255">
                  <c:v>1.2036967812807593E-5</c:v>
                </c:pt>
                <c:pt idx="256">
                  <c:v>1.0287268524540357E-5</c:v>
                </c:pt>
                <c:pt idx="257">
                  <c:v>8.7062726606273146E-6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11-4A5D-B291-300E9F8CF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089728"/>
        <c:axId val="133853184"/>
      </c:scatterChart>
      <c:valAx>
        <c:axId val="132089728"/>
        <c:scaling>
          <c:logBase val="10"/>
          <c:orientation val="minMax"/>
          <c:max val="0.16000000000000003"/>
          <c:min val="8.0000000000000019E-3"/>
        </c:scaling>
        <c:delete val="0"/>
        <c:axPos val="b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+mn-lt"/>
                    <a:ea typeface="Calibri"/>
                    <a:cs typeface="Calibri"/>
                  </a:defRPr>
                </a:pPr>
                <a:r>
                  <a:rPr lang="en-US" sz="1400" b="1" i="1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Q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 (Å</a:t>
                </a:r>
                <a:r>
                  <a:rPr lang="en-US" sz="1400" b="1" i="0" strike="noStrike" baseline="30000">
                    <a:solidFill>
                      <a:srgbClr val="000000"/>
                    </a:solidFill>
                    <a:latin typeface="+mn-lt"/>
                    <a:cs typeface="Times New Roman"/>
                  </a:rPr>
                  <a:t>-1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0.47564842856181433"/>
              <c:y val="0.912501608505162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out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3853184"/>
        <c:crossesAt val="10"/>
        <c:crossBetween val="midCat"/>
      </c:valAx>
      <c:valAx>
        <c:axId val="133853184"/>
        <c:scaling>
          <c:logBase val="10"/>
          <c:orientation val="minMax"/>
          <c:max val="1"/>
          <c:min val="1.0000000000000004E-6"/>
        </c:scaling>
        <c:delete val="0"/>
        <c:axPos val="l"/>
        <c:title>
          <c:tx>
            <c:rich>
              <a:bodyPr/>
              <a:lstStyle/>
              <a:p>
                <a:pPr>
                  <a:defRPr sz="1400" b="1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R</a:t>
                </a:r>
              </a:p>
            </c:rich>
          </c:tx>
          <c:layout>
            <c:manualLayout>
              <c:xMode val="edge"/>
              <c:yMode val="edge"/>
              <c:x val="1.3698693646200209E-2"/>
              <c:y val="0.41033467120111938"/>
            </c:manualLayout>
          </c:layout>
          <c:overlay val="0"/>
          <c:spPr>
            <a:noFill/>
            <a:ln w="25400">
              <a:noFill/>
            </a:ln>
          </c:spPr>
        </c:title>
        <c:numFmt formatCode="0.E+0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 pitchFamily="34" charset="0"/>
                <a:ea typeface="Times New Roman"/>
                <a:cs typeface="Times New Roman"/>
              </a:defRPr>
            </a:pPr>
            <a:endParaRPr lang="en-US"/>
          </a:p>
        </c:txPr>
        <c:crossAx val="132089728"/>
        <c:crossesAt val="8.0000000000000019E-3"/>
        <c:crossBetween val="midCat"/>
      </c:valAx>
      <c:spPr>
        <a:solidFill>
          <a:srgbClr val="808080"/>
        </a:solidFill>
        <a:ln w="12700">
          <a:solidFill>
            <a:srgbClr val="969696"/>
          </a:solidFill>
          <a:prstDash val="solid"/>
        </a:ln>
      </c:spPr>
    </c:plotArea>
    <c:plotVisOnly val="1"/>
    <c:dispBlanksAs val="gap"/>
    <c:showDLblsOverMax val="0"/>
  </c:chart>
  <c:spPr>
    <a:solidFill>
      <a:srgbClr val="FFFFCC"/>
    </a:solidFill>
    <a:ln w="3175">
      <a:solidFill>
        <a:srgbClr val="000000"/>
      </a:solidFill>
      <a:prstDash val="solid"/>
    </a:ln>
  </c:spPr>
  <c:txPr>
    <a:bodyPr/>
    <a:lstStyle/>
    <a:p>
      <a:pPr>
        <a:defRPr sz="2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44" r="0.75000000000000244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swellRatioRich!$B$3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swellRatioRich!$A$4:$A$23</c:f>
              <c:numCache>
                <c:formatCode>0.000</c:formatCode>
                <c:ptCount val="20"/>
                <c:pt idx="0">
                  <c:v>2.2000000000000002</c:v>
                </c:pt>
                <c:pt idx="1">
                  <c:v>2.2520000000000002</c:v>
                </c:pt>
                <c:pt idx="2">
                  <c:v>2.3040000000000003</c:v>
                </c:pt>
                <c:pt idx="3">
                  <c:v>2.3559999999999999</c:v>
                </c:pt>
                <c:pt idx="4">
                  <c:v>2.4079999999999999</c:v>
                </c:pt>
                <c:pt idx="5">
                  <c:v>2.46</c:v>
                </c:pt>
              </c:numCache>
            </c:numRef>
          </c:xVal>
          <c:yVal>
            <c:numRef>
              <c:f>swellRatioRich!$B$4:$B$23</c:f>
              <c:numCache>
                <c:formatCode>0.00</c:formatCode>
                <c:ptCount val="20"/>
                <c:pt idx="0">
                  <c:v>18.955342001003721</c:v>
                </c:pt>
                <c:pt idx="1">
                  <c:v>14.881184188182162</c:v>
                </c:pt>
                <c:pt idx="2">
                  <c:v>13.187098702300963</c:v>
                </c:pt>
                <c:pt idx="3">
                  <c:v>13.577809284895769</c:v>
                </c:pt>
                <c:pt idx="4">
                  <c:v>15.682989332545393</c:v>
                </c:pt>
                <c:pt idx="5">
                  <c:v>19.183116241153062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2A-4DA4-8F7F-0CE40AA1EF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92416"/>
        <c:axId val="217749376"/>
      </c:scatterChart>
      <c:valAx>
        <c:axId val="217692416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0" sourceLinked="1"/>
        <c:majorTickMark val="out"/>
        <c:minorTickMark val="none"/>
        <c:tickLblPos val="nextTo"/>
        <c:crossAx val="217749376"/>
        <c:crosses val="autoZero"/>
        <c:crossBetween val="midCat"/>
      </c:valAx>
      <c:valAx>
        <c:axId val="217749376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1769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swellRatioPoor!$B$3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swellRatioPoor!$A$4:$A$23</c:f>
              <c:numCache>
                <c:formatCode>0.000</c:formatCode>
                <c:ptCount val="20"/>
                <c:pt idx="0">
                  <c:v>2.7</c:v>
                </c:pt>
                <c:pt idx="1">
                  <c:v>2.8200000000000003</c:v>
                </c:pt>
                <c:pt idx="2">
                  <c:v>2.94</c:v>
                </c:pt>
                <c:pt idx="3">
                  <c:v>3.06</c:v>
                </c:pt>
                <c:pt idx="4">
                  <c:v>3.1799999999999997</c:v>
                </c:pt>
                <c:pt idx="5">
                  <c:v>3.3</c:v>
                </c:pt>
              </c:numCache>
            </c:numRef>
          </c:xVal>
          <c:yVal>
            <c:numRef>
              <c:f>swellRatioPoor!$B$4:$B$23</c:f>
              <c:numCache>
                <c:formatCode>0.00</c:formatCode>
                <c:ptCount val="20"/>
                <c:pt idx="0">
                  <c:v>16.469282243036261</c:v>
                </c:pt>
                <c:pt idx="1">
                  <c:v>14.200800603612494</c:v>
                </c:pt>
                <c:pt idx="2">
                  <c:v>13.172987538140775</c:v>
                </c:pt>
                <c:pt idx="3">
                  <c:v>13.420994128834684</c:v>
                </c:pt>
                <c:pt idx="4">
                  <c:v>14.955825909298614</c:v>
                </c:pt>
                <c:pt idx="5">
                  <c:v>17.798662627537752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BF-405B-9D52-2CFD5BCCA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92416"/>
        <c:axId val="217749376"/>
      </c:scatterChart>
      <c:valAx>
        <c:axId val="217692416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0" sourceLinked="1"/>
        <c:majorTickMark val="out"/>
        <c:minorTickMark val="none"/>
        <c:tickLblPos val="nextTo"/>
        <c:crossAx val="217749376"/>
        <c:crosses val="autoZero"/>
        <c:crossBetween val="midCat"/>
      </c:valAx>
      <c:valAx>
        <c:axId val="217749376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1769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sigMarker!$B$3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sigMarker!$A$4:$A$23</c:f>
              <c:numCache>
                <c:formatCode>0.0</c:formatCode>
                <c:ptCount val="20"/>
                <c:pt idx="0">
                  <c:v>7</c:v>
                </c:pt>
                <c:pt idx="1">
                  <c:v>23</c:v>
                </c:pt>
                <c:pt idx="2">
                  <c:v>39</c:v>
                </c:pt>
                <c:pt idx="3">
                  <c:v>55</c:v>
                </c:pt>
                <c:pt idx="4">
                  <c:v>71</c:v>
                </c:pt>
                <c:pt idx="5">
                  <c:v>87</c:v>
                </c:pt>
              </c:numCache>
            </c:numRef>
          </c:xVal>
          <c:yVal>
            <c:numRef>
              <c:f>sigMarker!$B$4:$B$23</c:f>
              <c:numCache>
                <c:formatCode>0.00</c:formatCode>
                <c:ptCount val="20"/>
                <c:pt idx="0">
                  <c:v>14.210749649590628</c:v>
                </c:pt>
                <c:pt idx="1">
                  <c:v>13.28591494782019</c:v>
                </c:pt>
                <c:pt idx="2">
                  <c:v>13.153449721346805</c:v>
                </c:pt>
                <c:pt idx="3">
                  <c:v>13.587980146593324</c:v>
                </c:pt>
                <c:pt idx="4">
                  <c:v>14.252926753783367</c:v>
                </c:pt>
                <c:pt idx="5">
                  <c:v>15.112258971961207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77-4D56-A249-23C52929A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92416"/>
        <c:axId val="217749376"/>
      </c:scatterChart>
      <c:valAx>
        <c:axId val="217692416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17749376"/>
        <c:crosses val="autoZero"/>
        <c:crossBetween val="midCat"/>
      </c:valAx>
      <c:valAx>
        <c:axId val="217749376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1769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deldod!$B$3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deldod!$A$4:$A$23</c:f>
              <c:numCache>
                <c:formatCode>0.000</c:formatCode>
                <c:ptCount val="20"/>
                <c:pt idx="0">
                  <c:v>0.02</c:v>
                </c:pt>
                <c:pt idx="1">
                  <c:v>0.04</c:v>
                </c:pt>
                <c:pt idx="2">
                  <c:v>0.06</c:v>
                </c:pt>
                <c:pt idx="3">
                  <c:v>0.08</c:v>
                </c:pt>
                <c:pt idx="4">
                  <c:v>0.1</c:v>
                </c:pt>
                <c:pt idx="5">
                  <c:v>0.12</c:v>
                </c:pt>
              </c:numCache>
            </c:numRef>
          </c:xVal>
          <c:yVal>
            <c:numRef>
              <c:f>deldod!$B$4:$B$23</c:f>
              <c:numCache>
                <c:formatCode>0.00</c:formatCode>
                <c:ptCount val="20"/>
                <c:pt idx="0">
                  <c:v>16.458898434996005</c:v>
                </c:pt>
                <c:pt idx="1">
                  <c:v>14.603373563506709</c:v>
                </c:pt>
                <c:pt idx="2">
                  <c:v>13.318168585001208</c:v>
                </c:pt>
                <c:pt idx="3">
                  <c:v>13.245550154399538</c:v>
                </c:pt>
                <c:pt idx="4">
                  <c:v>14.049334496791962</c:v>
                </c:pt>
                <c:pt idx="5">
                  <c:v>15.511849226633679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58-49D5-A299-25EAEB1B1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511808"/>
        <c:axId val="197538944"/>
      </c:scatterChart>
      <c:valAx>
        <c:axId val="197511808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 baseline="0"/>
                  <a:t>p</a:t>
                </a:r>
              </a:p>
            </c:rich>
          </c:tx>
          <c:overlay val="0"/>
        </c:title>
        <c:numFmt formatCode="0.000" sourceLinked="1"/>
        <c:majorTickMark val="out"/>
        <c:minorTickMark val="none"/>
        <c:tickLblPos val="nextTo"/>
        <c:crossAx val="197538944"/>
        <c:crosses val="autoZero"/>
        <c:crossBetween val="midCat"/>
      </c:valAx>
      <c:valAx>
        <c:axId val="197538944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97511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dSiOx!$B$3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dSiOx!$A$4:$A$23</c:f>
              <c:numCache>
                <c:formatCode>0.0</c:formatCode>
                <c:ptCount val="20"/>
                <c:pt idx="0">
                  <c:v>8</c:v>
                </c:pt>
                <c:pt idx="1">
                  <c:v>9.4</c:v>
                </c:pt>
                <c:pt idx="2">
                  <c:v>10.8</c:v>
                </c:pt>
                <c:pt idx="3">
                  <c:v>12.2</c:v>
                </c:pt>
                <c:pt idx="4">
                  <c:v>13.6</c:v>
                </c:pt>
                <c:pt idx="5">
                  <c:v>15</c:v>
                </c:pt>
                <c:pt idx="6">
                  <c:v>16.399999999999999</c:v>
                </c:pt>
                <c:pt idx="7">
                  <c:v>17.8</c:v>
                </c:pt>
                <c:pt idx="8">
                  <c:v>19.2</c:v>
                </c:pt>
                <c:pt idx="9">
                  <c:v>20.599999999999998</c:v>
                </c:pt>
                <c:pt idx="10">
                  <c:v>22</c:v>
                </c:pt>
              </c:numCache>
            </c:numRef>
          </c:xVal>
          <c:yVal>
            <c:numRef>
              <c:f>dSiOx!$B$4:$B$23</c:f>
              <c:numCache>
                <c:formatCode>0.00</c:formatCode>
                <c:ptCount val="20"/>
                <c:pt idx="0">
                  <c:v>12.017341027414945</c:v>
                </c:pt>
                <c:pt idx="1">
                  <c:v>11.237162759478077</c:v>
                </c:pt>
                <c:pt idx="2">
                  <c:v>10.464054524626503</c:v>
                </c:pt>
                <c:pt idx="3">
                  <c:v>9.7660400886467329</c:v>
                </c:pt>
                <c:pt idx="4">
                  <c:v>9.2115114964118359</c:v>
                </c:pt>
                <c:pt idx="5">
                  <c:v>8.8647782862717879</c:v>
                </c:pt>
                <c:pt idx="6">
                  <c:v>8.7832706719210432</c:v>
                </c:pt>
                <c:pt idx="7">
                  <c:v>9.0162207027538912</c:v>
                </c:pt>
                <c:pt idx="8">
                  <c:v>9.6043557482472615</c:v>
                </c:pt>
                <c:pt idx="9">
                  <c:v>10.580125584407503</c:v>
                </c:pt>
                <c:pt idx="10">
                  <c:v>11.96812334328196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C9F-8390-89A0FF702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sigBuffer!$B$3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sigBuffer!$A$4:$A$23</c:f>
              <c:numCache>
                <c:formatCode>0.0</c:formatCode>
                <c:ptCount val="20"/>
                <c:pt idx="0">
                  <c:v>65</c:v>
                </c:pt>
                <c:pt idx="1">
                  <c:v>75.5</c:v>
                </c:pt>
                <c:pt idx="2">
                  <c:v>86</c:v>
                </c:pt>
                <c:pt idx="3">
                  <c:v>96.5</c:v>
                </c:pt>
                <c:pt idx="4">
                  <c:v>107</c:v>
                </c:pt>
                <c:pt idx="5">
                  <c:v>117.5</c:v>
                </c:pt>
                <c:pt idx="6">
                  <c:v>128</c:v>
                </c:pt>
                <c:pt idx="7">
                  <c:v>138.5</c:v>
                </c:pt>
                <c:pt idx="8">
                  <c:v>149</c:v>
                </c:pt>
                <c:pt idx="9">
                  <c:v>159.5</c:v>
                </c:pt>
                <c:pt idx="10">
                  <c:v>170</c:v>
                </c:pt>
              </c:numCache>
            </c:numRef>
          </c:xVal>
          <c:yVal>
            <c:numRef>
              <c:f>sigBuffer!$B$4:$B$23</c:f>
              <c:numCache>
                <c:formatCode>0.00</c:formatCode>
                <c:ptCount val="20"/>
                <c:pt idx="0">
                  <c:v>9.192625876010192</c:v>
                </c:pt>
                <c:pt idx="1">
                  <c:v>9.0851656327756647</c:v>
                </c:pt>
                <c:pt idx="2">
                  <c:v>8.983453020933462</c:v>
                </c:pt>
                <c:pt idx="3">
                  <c:v>8.8917527556596685</c:v>
                </c:pt>
                <c:pt idx="4">
                  <c:v>8.8120699435184182</c:v>
                </c:pt>
                <c:pt idx="5">
                  <c:v>8.7444088070338406</c:v>
                </c:pt>
                <c:pt idx="6">
                  <c:v>8.6874461989703153</c:v>
                </c:pt>
                <c:pt idx="7">
                  <c:v>8.6393149382053647</c:v>
                </c:pt>
                <c:pt idx="8">
                  <c:v>8.5980875897176787</c:v>
                </c:pt>
                <c:pt idx="9">
                  <c:v>8.5621160549168689</c:v>
                </c:pt>
                <c:pt idx="10">
                  <c:v>8.5304120024779859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C4-495C-91AA-2442943FE4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533401</xdr:colOff>
      <xdr:row>0</xdr:row>
      <xdr:rowOff>202406</xdr:rowOff>
    </xdr:from>
    <xdr:to>
      <xdr:col>18</xdr:col>
      <xdr:colOff>452437</xdr:colOff>
      <xdr:row>21</xdr:row>
      <xdr:rowOff>92868</xdr:rowOff>
    </xdr:to>
    <xdr:graphicFrame macro="">
      <xdr:nvGraphicFramePr>
        <xdr:cNvPr id="1102" name="Chart 3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121444</xdr:colOff>
      <xdr:row>17</xdr:row>
      <xdr:rowOff>116683</xdr:rowOff>
    </xdr:from>
    <xdr:to>
      <xdr:col>21</xdr:col>
      <xdr:colOff>621508</xdr:colOff>
      <xdr:row>44</xdr:row>
      <xdr:rowOff>176213</xdr:rowOff>
    </xdr:to>
    <xdr:graphicFrame macro="">
      <xdr:nvGraphicFramePr>
        <xdr:cNvPr id="1103" name="Chart 38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190500</xdr:rowOff>
        </xdr:to>
        <xdr:sp macro="" textlink="">
          <xdr:nvSpPr>
            <xdr:cNvPr id="2049" name="cmdCompoundCalculato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9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ayersWinParamMin_103062_UAB_0813_VK2x_pH4.6_lat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lectivity"/>
      <sheetName val="Uncertainties"/>
      <sheetName val="swellRatioMarker"/>
      <sheetName val="swellRatioPoor"/>
      <sheetName val="sigMarker"/>
      <sheetName val="deldod"/>
      <sheetName val="dSiOx"/>
      <sheetName val="sigBuffer"/>
      <sheetName val="ScaledCombined"/>
      <sheetName val="ScatteringParameters"/>
      <sheetName val="AtomicParameters"/>
    </sheetNames>
    <sheetDataSet>
      <sheetData sheetId="0">
        <row r="13">
          <cell r="C13">
            <v>-5.6000000000000004E-7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F_L_2790_2008-01-10T13%3A40%3A12-04%3A00_CE_scaling" connectionId="1" xr16:uid="{00000000-0016-0000-05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1557"/>
  <sheetViews>
    <sheetView zoomScale="80" workbookViewId="0">
      <selection activeCell="C55" sqref="C55"/>
    </sheetView>
  </sheetViews>
  <sheetFormatPr defaultRowHeight="15.75" x14ac:dyDescent="0.25"/>
  <cols>
    <col min="1" max="1" width="19.375" style="64" bestFit="1" customWidth="1"/>
    <col min="2" max="2" width="14.875" style="21" bestFit="1" customWidth="1"/>
    <col min="3" max="3" width="10.25" style="21" bestFit="1" customWidth="1"/>
    <col min="4" max="4" width="12.5" style="19" bestFit="1" customWidth="1"/>
    <col min="5" max="5" width="10" style="19" bestFit="1" customWidth="1"/>
    <col min="6" max="6" width="13.125" style="39" bestFit="1" customWidth="1"/>
    <col min="7" max="7" width="8.375" style="39" bestFit="1" customWidth="1"/>
    <col min="8" max="8" width="26.875" style="40" bestFit="1" customWidth="1"/>
    <col min="9" max="9" width="10.25" style="51" bestFit="1" customWidth="1"/>
    <col min="10" max="10" width="8.625" style="52" bestFit="1" customWidth="1"/>
    <col min="11" max="11" width="8.25" style="53" bestFit="1" customWidth="1"/>
    <col min="12" max="12" width="8.625" style="67" bestFit="1" customWidth="1"/>
    <col min="13" max="13" width="6.625" style="29" bestFit="1" customWidth="1"/>
    <col min="14" max="14" width="9" style="18" bestFit="1"/>
    <col min="15" max="15" width="12.5" style="18" bestFit="1" customWidth="1"/>
    <col min="16" max="16" width="10" style="18" bestFit="1" customWidth="1"/>
    <col min="17" max="17" width="6.375" style="28" bestFit="1" customWidth="1"/>
    <col min="18" max="18" width="7.375" style="61" bestFit="1" customWidth="1"/>
    <col min="19" max="19" width="8.625" style="58" bestFit="1" customWidth="1"/>
    <col min="20" max="20" width="12.25" style="80" bestFit="1" customWidth="1"/>
    <col min="21" max="21" width="11.75" style="176" bestFit="1" customWidth="1"/>
    <col min="22" max="22" width="8.25" style="178" bestFit="1" customWidth="1"/>
    <col min="23" max="23" width="11.75" style="179" bestFit="1" customWidth="1"/>
    <col min="24" max="24" width="8.25" style="178" bestFit="1" customWidth="1"/>
    <col min="25" max="25" width="8.375" style="188" bestFit="1" customWidth="1"/>
    <col min="27" max="27" width="8.625" style="86" bestFit="1" customWidth="1"/>
    <col min="28" max="28" width="8.625" style="79" bestFit="1" customWidth="1"/>
    <col min="29" max="29" width="8.25" style="75" bestFit="1" customWidth="1"/>
    <col min="30" max="30" width="9" style="80"/>
    <col min="31" max="31" width="12.5" style="80" bestFit="1" customWidth="1"/>
    <col min="32" max="32" width="10" style="80" bestFit="1" customWidth="1"/>
    <col min="33" max="33" width="12.25" style="80" bestFit="1" customWidth="1"/>
    <col min="34" max="34" width="9" style="79"/>
    <col min="35" max="35" width="9" style="1"/>
  </cols>
  <sheetData>
    <row r="1" spans="1:36" ht="18.75" x14ac:dyDescent="0.25">
      <c r="A1" s="92" t="s">
        <v>525</v>
      </c>
      <c r="B1" s="199" t="s">
        <v>491</v>
      </c>
      <c r="C1" s="199"/>
      <c r="D1" s="199"/>
      <c r="E1" s="199"/>
      <c r="F1" s="199"/>
      <c r="G1" s="199"/>
      <c r="H1" s="199"/>
      <c r="I1" s="200" t="s">
        <v>507</v>
      </c>
      <c r="J1" s="200"/>
      <c r="K1" s="200"/>
      <c r="L1" s="68" t="s">
        <v>505</v>
      </c>
      <c r="M1" s="201" t="s">
        <v>489</v>
      </c>
      <c r="N1" s="201"/>
      <c r="O1" s="201"/>
      <c r="P1" s="201"/>
      <c r="Q1" s="201"/>
      <c r="R1" s="198" t="s">
        <v>490</v>
      </c>
      <c r="S1" s="198"/>
      <c r="T1" s="74"/>
      <c r="U1" s="197" t="s">
        <v>624</v>
      </c>
      <c r="V1" s="197"/>
      <c r="W1" s="197"/>
      <c r="X1" s="170" t="s">
        <v>625</v>
      </c>
      <c r="Y1" s="185" t="s">
        <v>536</v>
      </c>
      <c r="AA1" s="196" t="s">
        <v>639</v>
      </c>
      <c r="AB1" s="196"/>
      <c r="AC1" s="196"/>
      <c r="AD1" s="196"/>
      <c r="AE1" s="196"/>
      <c r="AF1" s="196"/>
      <c r="AG1" s="74"/>
      <c r="AH1" s="76"/>
    </row>
    <row r="2" spans="1:36" s="16" customFormat="1" ht="18.75" x14ac:dyDescent="0.25">
      <c r="A2" s="93" t="s">
        <v>526</v>
      </c>
      <c r="B2" s="129" t="s">
        <v>481</v>
      </c>
      <c r="C2" s="130" t="s">
        <v>608</v>
      </c>
      <c r="D2" s="131" t="s">
        <v>609</v>
      </c>
      <c r="E2" s="131" t="s">
        <v>610</v>
      </c>
      <c r="F2" s="132" t="s">
        <v>495</v>
      </c>
      <c r="G2" s="133" t="s">
        <v>496</v>
      </c>
      <c r="H2" s="134"/>
      <c r="I2" s="46" t="s">
        <v>497</v>
      </c>
      <c r="J2" s="47" t="s">
        <v>0</v>
      </c>
      <c r="K2" s="48" t="s">
        <v>500</v>
      </c>
      <c r="L2" s="69" t="s">
        <v>506</v>
      </c>
      <c r="M2" s="22" t="s">
        <v>498</v>
      </c>
      <c r="N2" s="23" t="s">
        <v>492</v>
      </c>
      <c r="O2" s="24" t="s">
        <v>493</v>
      </c>
      <c r="P2" s="24" t="s">
        <v>494</v>
      </c>
      <c r="Q2" s="25" t="s">
        <v>495</v>
      </c>
      <c r="R2" s="59" t="s">
        <v>499</v>
      </c>
      <c r="S2" s="60" t="s">
        <v>492</v>
      </c>
      <c r="T2" s="77"/>
      <c r="U2" s="171" t="s">
        <v>626</v>
      </c>
      <c r="V2" s="172" t="s">
        <v>627</v>
      </c>
      <c r="W2" s="172" t="s">
        <v>628</v>
      </c>
      <c r="X2" s="170" t="s">
        <v>629</v>
      </c>
      <c r="Y2" s="186">
        <f>SUM(Y3:Y260)/257</f>
        <v>13.148646564666706</v>
      </c>
      <c r="AA2" s="140" t="s">
        <v>601</v>
      </c>
      <c r="AB2" s="141" t="s">
        <v>0</v>
      </c>
      <c r="AC2" s="142" t="s">
        <v>500</v>
      </c>
      <c r="AD2" s="143" t="s">
        <v>506</v>
      </c>
      <c r="AE2" s="143" t="s">
        <v>602</v>
      </c>
      <c r="AF2" s="143" t="s">
        <v>603</v>
      </c>
      <c r="AG2" s="77"/>
      <c r="AH2" s="183"/>
      <c r="AI2" s="184"/>
      <c r="AJ2" s="184"/>
    </row>
    <row r="3" spans="1:36" ht="19.5" x14ac:dyDescent="0.3">
      <c r="A3" s="93" t="s">
        <v>527</v>
      </c>
      <c r="B3" s="154" t="s">
        <v>52</v>
      </c>
      <c r="C3" s="158">
        <v>2.0700000000000001E-6</v>
      </c>
      <c r="D3" s="158">
        <v>4.7498147887006942E-11</v>
      </c>
      <c r="E3" s="158">
        <v>1.9976998807213682E-12</v>
      </c>
      <c r="F3" s="139">
        <v>100</v>
      </c>
      <c r="G3" s="139">
        <v>0</v>
      </c>
      <c r="H3" s="147" t="s">
        <v>681</v>
      </c>
      <c r="I3" s="125">
        <v>8.06113038841E-3</v>
      </c>
      <c r="J3" s="50">
        <v>0.10687333919356178</v>
      </c>
      <c r="K3" s="50">
        <v>1.1954484116915558E-2</v>
      </c>
      <c r="L3" s="67">
        <v>7.2398441733996441E-2</v>
      </c>
      <c r="M3" s="26">
        <v>21</v>
      </c>
      <c r="N3" s="18">
        <v>0</v>
      </c>
      <c r="O3" s="18">
        <v>4.7498147887006942E-11</v>
      </c>
      <c r="P3" s="18">
        <v>1.9976998807213682E-12</v>
      </c>
      <c r="Q3" s="28">
        <v>100</v>
      </c>
      <c r="R3" s="61">
        <v>-10</v>
      </c>
      <c r="S3" s="58">
        <v>2.0700000000000001E-6</v>
      </c>
      <c r="U3" s="173">
        <v>5.1494954576881469E-2</v>
      </c>
      <c r="V3" s="173">
        <v>7.2398441733996441E-2</v>
      </c>
      <c r="W3" s="174">
        <v>7.7678871346910025E-2</v>
      </c>
      <c r="X3" s="174">
        <f t="shared" ref="X3:X66" si="0">(U3+2*V3+W3)/4</f>
        <v>6.849267734794609E-2</v>
      </c>
      <c r="Y3" s="187">
        <f t="shared" ref="Y3:Y66" si="1">(J3-X3)*(J3-X3)/(K3*K3)</f>
        <v>10.307734895634301</v>
      </c>
      <c r="AA3" s="144">
        <f t="shared" ref="AA3:AA66" si="2">I3*10</f>
        <v>8.0611303884099997E-2</v>
      </c>
      <c r="AB3" s="145">
        <f t="shared" ref="AB3:AB66" si="3">J3</f>
        <v>0.10687333919356178</v>
      </c>
      <c r="AC3" s="145">
        <f t="shared" ref="AC3:AC66" si="4">K3</f>
        <v>1.1954484116915558E-2</v>
      </c>
      <c r="AD3" s="145">
        <f>X3</f>
        <v>6.849267734794609E-2</v>
      </c>
      <c r="AE3" s="146">
        <f t="shared" ref="AE3:AE66" si="5">(R3-129.85)/10</f>
        <v>-13.984999999999999</v>
      </c>
      <c r="AF3" s="146">
        <f t="shared" ref="AF3:AF66" si="6">S3*100</f>
        <v>2.0700000000000002E-4</v>
      </c>
      <c r="AH3" s="183"/>
      <c r="AI3" s="184"/>
      <c r="AJ3" s="184"/>
    </row>
    <row r="4" spans="1:36" ht="18.75" x14ac:dyDescent="0.25">
      <c r="A4" s="93" t="s">
        <v>528</v>
      </c>
      <c r="B4" s="154" t="s">
        <v>504</v>
      </c>
      <c r="C4" s="158">
        <v>3.4400000000000001E-6</v>
      </c>
      <c r="D4" s="158">
        <v>2.5307649463664093E-11</v>
      </c>
      <c r="E4" s="158">
        <v>1.486857631694136E-12</v>
      </c>
      <c r="F4" s="139">
        <v>14.8</v>
      </c>
      <c r="G4" s="139">
        <v>5</v>
      </c>
      <c r="H4" s="110">
        <f>H42*(H16*C13+(1-H16)*H32)+(1-H42)*(H20*C13+(1-H20)*H32)</f>
        <v>4.8777208690941478E-8</v>
      </c>
      <c r="I4" s="125">
        <v>8.1417416922999995E-3</v>
      </c>
      <c r="J4" s="50">
        <v>7.6283153373274307E-2</v>
      </c>
      <c r="K4" s="50">
        <v>1.0320507503157512E-2</v>
      </c>
      <c r="L4" s="67">
        <v>7.1548900188208475E-2</v>
      </c>
      <c r="M4" s="27"/>
      <c r="N4" s="18">
        <v>5.3595302827890901E-9</v>
      </c>
      <c r="O4" s="18">
        <v>4.7411337194824393E-11</v>
      </c>
      <c r="P4" s="18">
        <v>1.995701432178748E-12</v>
      </c>
      <c r="Q4" s="28">
        <v>1.7210815880741237</v>
      </c>
      <c r="R4" s="61">
        <v>100</v>
      </c>
      <c r="S4" s="58">
        <v>2.0700000000000001E-6</v>
      </c>
      <c r="U4" s="173">
        <v>5.1488148131201714E-2</v>
      </c>
      <c r="V4" s="173">
        <v>7.1548900188208475E-2</v>
      </c>
      <c r="W4" s="174">
        <v>7.5533736397786003E-2</v>
      </c>
      <c r="X4" s="174">
        <f t="shared" si="0"/>
        <v>6.7529921226351167E-2</v>
      </c>
      <c r="Y4" s="187">
        <f t="shared" si="1"/>
        <v>0.71934095225242589</v>
      </c>
      <c r="AA4" s="144">
        <f t="shared" si="2"/>
        <v>8.1417416923000002E-2</v>
      </c>
      <c r="AB4" s="145">
        <f t="shared" si="3"/>
        <v>7.6283153373274307E-2</v>
      </c>
      <c r="AC4" s="145">
        <f t="shared" si="4"/>
        <v>1.0320507503157512E-2</v>
      </c>
      <c r="AD4" s="145">
        <f t="shared" ref="AD4:AD67" si="7">X4</f>
        <v>6.7529921226351167E-2</v>
      </c>
      <c r="AE4" s="146">
        <f t="shared" si="5"/>
        <v>-2.9849999999999994</v>
      </c>
      <c r="AF4" s="146">
        <f t="shared" si="6"/>
        <v>2.0700000000000002E-4</v>
      </c>
      <c r="AH4" s="183"/>
      <c r="AI4" s="184"/>
      <c r="AJ4" s="184"/>
    </row>
    <row r="5" spans="1:36" ht="19.5" x14ac:dyDescent="0.3">
      <c r="A5" s="94"/>
      <c r="B5" s="155" t="s">
        <v>539</v>
      </c>
      <c r="C5" s="128">
        <v>8.9999999999999996E-7</v>
      </c>
      <c r="D5" s="128">
        <v>1.5392483148537927E-10</v>
      </c>
      <c r="E5" s="128">
        <v>5.0509225500401457E-8</v>
      </c>
      <c r="F5" s="159">
        <f>F39</f>
        <v>15.701245666991817</v>
      </c>
      <c r="G5" s="159">
        <f>F5</f>
        <v>15.701245666991817</v>
      </c>
      <c r="H5" s="147" t="s">
        <v>682</v>
      </c>
      <c r="I5" s="125">
        <v>8.2231591092200001E-3</v>
      </c>
      <c r="J5" s="50">
        <v>7.1437604325838649E-2</v>
      </c>
      <c r="K5" s="50">
        <v>1.0040233604648634E-2</v>
      </c>
      <c r="L5" s="67">
        <v>7.0650562939054043E-2</v>
      </c>
      <c r="M5" s="27"/>
      <c r="N5" s="18">
        <v>4.4148001005763255E-8</v>
      </c>
      <c r="O5" s="18">
        <v>4.6783063108384949E-11</v>
      </c>
      <c r="P5" s="18">
        <v>1.9812380820908275E-12</v>
      </c>
      <c r="Q5" s="28">
        <v>1.281588875373888</v>
      </c>
      <c r="R5" s="61">
        <v>100</v>
      </c>
      <c r="S5" s="58">
        <v>2.0753595302827892E-6</v>
      </c>
      <c r="U5" s="173">
        <v>5.1469061119824473E-2</v>
      </c>
      <c r="V5" s="173">
        <v>7.0650562939054043E-2</v>
      </c>
      <c r="W5" s="174">
        <v>7.3339044772684325E-2</v>
      </c>
      <c r="X5" s="174">
        <f t="shared" si="0"/>
        <v>6.6527307942654212E-2</v>
      </c>
      <c r="Y5" s="187">
        <f t="shared" si="1"/>
        <v>0.23918160633407404</v>
      </c>
      <c r="AA5" s="144">
        <f t="shared" si="2"/>
        <v>8.2231591092200004E-2</v>
      </c>
      <c r="AB5" s="145">
        <f t="shared" si="3"/>
        <v>7.1437604325838649E-2</v>
      </c>
      <c r="AC5" s="145">
        <f t="shared" si="4"/>
        <v>1.0040233604648634E-2</v>
      </c>
      <c r="AD5" s="145">
        <f t="shared" si="7"/>
        <v>6.6527307942654212E-2</v>
      </c>
      <c r="AE5" s="146">
        <f t="shared" si="5"/>
        <v>-2.9849999999999994</v>
      </c>
      <c r="AF5" s="146">
        <f t="shared" si="6"/>
        <v>2.0753595302827892E-4</v>
      </c>
      <c r="AH5" s="183"/>
      <c r="AI5" s="184"/>
      <c r="AJ5" s="184"/>
    </row>
    <row r="6" spans="1:36" x14ac:dyDescent="0.25">
      <c r="B6" s="107" t="s">
        <v>611</v>
      </c>
      <c r="C6" s="108">
        <f>H4</f>
        <v>4.8777208690941478E-8</v>
      </c>
      <c r="D6" s="108">
        <v>1.5392483148537927E-10</v>
      </c>
      <c r="E6" s="108">
        <v>5.0509225500401457E-8</v>
      </c>
      <c r="F6" s="109">
        <f>F38*H22*H28-(F7-H22*F33*H28)/2</f>
        <v>166.12623752127359</v>
      </c>
      <c r="G6" s="39">
        <f>F5</f>
        <v>15.701245666991817</v>
      </c>
      <c r="H6" s="110">
        <f>H16*C13+(1-H16)*H34</f>
        <v>9.1107777635215417E-7</v>
      </c>
      <c r="I6" s="125">
        <v>8.3053907003100003E-3</v>
      </c>
      <c r="J6" s="50">
        <v>8.9605414489177415E-2</v>
      </c>
      <c r="K6" s="50">
        <v>9.1529429977619189E-3</v>
      </c>
      <c r="L6" s="67">
        <v>6.9700471037479089E-2</v>
      </c>
      <c r="M6" s="27"/>
      <c r="N6" s="18">
        <v>1.0026134824645095E-7</v>
      </c>
      <c r="O6" s="18">
        <v>4.5874170302930228E-11</v>
      </c>
      <c r="P6" s="18">
        <v>1.9603146744230327E-12</v>
      </c>
      <c r="Q6" s="28">
        <v>0.71317718802348939</v>
      </c>
      <c r="R6" s="61">
        <v>101.72108158807413</v>
      </c>
      <c r="S6" s="58">
        <v>2.0753595302827892E-6</v>
      </c>
      <c r="U6" s="173">
        <v>5.1434721846865379E-2</v>
      </c>
      <c r="V6" s="173">
        <v>6.9700471037479089E-2</v>
      </c>
      <c r="W6" s="174">
        <v>7.109334982961274E-2</v>
      </c>
      <c r="X6" s="174">
        <f t="shared" si="0"/>
        <v>6.5482253437859073E-2</v>
      </c>
      <c r="Y6" s="187">
        <f t="shared" si="1"/>
        <v>6.9461941383334525</v>
      </c>
      <c r="AA6" s="144">
        <f t="shared" si="2"/>
        <v>8.3053907003100003E-2</v>
      </c>
      <c r="AB6" s="145">
        <f t="shared" si="3"/>
        <v>8.9605414489177415E-2</v>
      </c>
      <c r="AC6" s="145">
        <f t="shared" si="4"/>
        <v>9.1529429977619189E-3</v>
      </c>
      <c r="AD6" s="145">
        <f t="shared" si="7"/>
        <v>6.5482253437859073E-2</v>
      </c>
      <c r="AE6" s="146">
        <f t="shared" si="5"/>
        <v>-2.8128918411925867</v>
      </c>
      <c r="AF6" s="146">
        <f t="shared" si="6"/>
        <v>2.0753595302827892E-4</v>
      </c>
      <c r="AH6" s="183"/>
      <c r="AI6" s="184"/>
      <c r="AJ6" s="184"/>
    </row>
    <row r="7" spans="1:36" ht="19.5" x14ac:dyDescent="0.3">
      <c r="A7" s="72" t="s">
        <v>529</v>
      </c>
      <c r="B7" s="111" t="s">
        <v>612</v>
      </c>
      <c r="C7" s="112">
        <f>H6</f>
        <v>9.1107777635215417E-7</v>
      </c>
      <c r="D7" s="113">
        <v>7.9300000000000003E-12</v>
      </c>
      <c r="E7" s="113">
        <v>3.6399999999999998E-10</v>
      </c>
      <c r="F7" s="160">
        <f>H8</f>
        <v>103.60719224242717</v>
      </c>
      <c r="G7" s="123">
        <v>38.71033490098057</v>
      </c>
      <c r="H7" s="117" t="s">
        <v>683</v>
      </c>
      <c r="I7" s="125">
        <v>8.3884446073099993E-3</v>
      </c>
      <c r="J7" s="50">
        <v>8.9801040510878574E-2</v>
      </c>
      <c r="K7" s="50">
        <v>9.2968170746698612E-3</v>
      </c>
      <c r="L7" s="67">
        <v>6.8696840121306474E-2</v>
      </c>
      <c r="M7" s="27"/>
      <c r="N7" s="18">
        <v>1.6375653629491505E-7</v>
      </c>
      <c r="O7" s="18">
        <v>4.4845710543602274E-11</v>
      </c>
      <c r="P7" s="18">
        <v>1.9366387440105623E-12</v>
      </c>
      <c r="Q7" s="28">
        <v>0.52252270986663085</v>
      </c>
      <c r="R7" s="61">
        <v>101.72108158807413</v>
      </c>
      <c r="S7" s="58">
        <v>2.1141480010057634E-6</v>
      </c>
      <c r="U7" s="173">
        <v>5.1382143879455618E-2</v>
      </c>
      <c r="V7" s="173">
        <v>6.8696840121306474E-2</v>
      </c>
      <c r="W7" s="174">
        <v>6.8798233563616973E-2</v>
      </c>
      <c r="X7" s="174">
        <f t="shared" si="0"/>
        <v>6.4393514421421383E-2</v>
      </c>
      <c r="Y7" s="187">
        <f t="shared" si="1"/>
        <v>7.4688921579754943</v>
      </c>
      <c r="AA7" s="144">
        <f t="shared" si="2"/>
        <v>8.38844460731E-2</v>
      </c>
      <c r="AB7" s="145">
        <f t="shared" si="3"/>
        <v>8.9801040510878574E-2</v>
      </c>
      <c r="AC7" s="145">
        <f t="shared" si="4"/>
        <v>9.2968170746698612E-3</v>
      </c>
      <c r="AD7" s="145">
        <f t="shared" si="7"/>
        <v>6.4393514421421383E-2</v>
      </c>
      <c r="AE7" s="146">
        <f t="shared" si="5"/>
        <v>-2.8128918411925867</v>
      </c>
      <c r="AF7" s="146">
        <f t="shared" si="6"/>
        <v>2.1141480010057633E-4</v>
      </c>
      <c r="AH7" s="183"/>
      <c r="AI7" s="184"/>
      <c r="AJ7" s="184"/>
    </row>
    <row r="8" spans="1:36" x14ac:dyDescent="0.25">
      <c r="A8" s="95" t="b">
        <v>0</v>
      </c>
      <c r="B8" s="107" t="s">
        <v>611</v>
      </c>
      <c r="C8" s="108">
        <f>H4</f>
        <v>4.8777208690941478E-8</v>
      </c>
      <c r="D8" s="108">
        <v>1.5392483148537927E-10</v>
      </c>
      <c r="E8" s="108">
        <v>5.0509225500401457E-8</v>
      </c>
      <c r="F8" s="109">
        <f>(2*H$10-F$7-F$9)/2</f>
        <v>193.23756526440815</v>
      </c>
      <c r="G8" s="109">
        <f>G7</f>
        <v>38.71033490098057</v>
      </c>
      <c r="H8" s="118">
        <f>H14*F33*H28</f>
        <v>103.60719224242717</v>
      </c>
      <c r="I8" s="125">
        <v>8.4723290533899997E-3</v>
      </c>
      <c r="J8" s="50">
        <v>7.8098249666751871E-2</v>
      </c>
      <c r="K8" s="50">
        <v>8.3242270670950604E-3</v>
      </c>
      <c r="L8" s="67">
        <v>6.7638853395519755E-2</v>
      </c>
      <c r="M8" s="27"/>
      <c r="N8" s="18">
        <v>2.307661947574837E-7</v>
      </c>
      <c r="O8" s="18">
        <v>4.3760325346184482E-11</v>
      </c>
      <c r="P8" s="18">
        <v>1.9116523464663543E-12</v>
      </c>
      <c r="Q8" s="28">
        <v>0.42522182801861985</v>
      </c>
      <c r="R8" s="61">
        <v>103.00267046344801</v>
      </c>
      <c r="S8" s="58">
        <v>2.1141480010057634E-6</v>
      </c>
      <c r="U8" s="173">
        <v>5.1308370501308355E-2</v>
      </c>
      <c r="V8" s="173">
        <v>6.7638853395519755E-2</v>
      </c>
      <c r="W8" s="174">
        <v>6.6457556196222928E-2</v>
      </c>
      <c r="X8" s="174">
        <f t="shared" si="0"/>
        <v>6.3260908372142696E-2</v>
      </c>
      <c r="Y8" s="187">
        <f t="shared" si="1"/>
        <v>3.1770520983780757</v>
      </c>
      <c r="AA8" s="144">
        <f t="shared" si="2"/>
        <v>8.47232905339E-2</v>
      </c>
      <c r="AB8" s="145">
        <f t="shared" si="3"/>
        <v>7.8098249666751871E-2</v>
      </c>
      <c r="AC8" s="145">
        <f t="shared" si="4"/>
        <v>8.3242270670950604E-3</v>
      </c>
      <c r="AD8" s="145">
        <f t="shared" si="7"/>
        <v>6.3260908372142696E-2</v>
      </c>
      <c r="AE8" s="146">
        <f t="shared" si="5"/>
        <v>-2.6847329536551983</v>
      </c>
      <c r="AF8" s="146">
        <f t="shared" si="6"/>
        <v>2.1141480010057633E-4</v>
      </c>
      <c r="AH8" s="183"/>
      <c r="AI8" s="184"/>
      <c r="AJ8" s="184"/>
    </row>
    <row r="9" spans="1:36" ht="19.5" x14ac:dyDescent="0.3">
      <c r="A9" s="72" t="s">
        <v>522</v>
      </c>
      <c r="B9" s="111" t="s">
        <v>612</v>
      </c>
      <c r="C9" s="112">
        <f>H6</f>
        <v>9.1107777635215417E-7</v>
      </c>
      <c r="D9" s="113">
        <v>7.9300000000000003E-12</v>
      </c>
      <c r="E9" s="113">
        <v>3.6399999999999998E-10</v>
      </c>
      <c r="F9" s="160">
        <f>F7</f>
        <v>103.60719224242717</v>
      </c>
      <c r="G9" s="115">
        <f>G7</f>
        <v>38.71033490098057</v>
      </c>
      <c r="H9" s="117" t="s">
        <v>684</v>
      </c>
      <c r="I9" s="125">
        <v>8.5570523439199991E-3</v>
      </c>
      <c r="J9" s="50">
        <v>0.10237686802316197</v>
      </c>
      <c r="K9" s="50">
        <v>8.7425581484478834E-3</v>
      </c>
      <c r="L9" s="67">
        <v>6.6526034844554785E-2</v>
      </c>
      <c r="M9" s="27"/>
      <c r="N9" s="18">
        <v>2.995198721662014E-7</v>
      </c>
      <c r="O9" s="18">
        <v>4.2646691499369025E-11</v>
      </c>
      <c r="P9" s="18">
        <v>1.8860156434033162E-12</v>
      </c>
      <c r="Q9" s="28">
        <v>0.36718140925644527</v>
      </c>
      <c r="R9" s="61">
        <v>103.00267046344801</v>
      </c>
      <c r="S9" s="58">
        <v>2.1702613482464512E-6</v>
      </c>
      <c r="U9" s="173">
        <v>5.1210494640440675E-2</v>
      </c>
      <c r="V9" s="173">
        <v>6.6526034844554785E-2</v>
      </c>
      <c r="W9" s="174">
        <v>6.4075810108782064E-2</v>
      </c>
      <c r="X9" s="174">
        <f t="shared" si="0"/>
        <v>6.2084593609583072E-2</v>
      </c>
      <c r="Y9" s="187">
        <f t="shared" si="1"/>
        <v>21.240586628059916</v>
      </c>
      <c r="AA9" s="144">
        <f t="shared" si="2"/>
        <v>8.5570523439199991E-2</v>
      </c>
      <c r="AB9" s="145">
        <f t="shared" si="3"/>
        <v>0.10237686802316197</v>
      </c>
      <c r="AC9" s="145">
        <f t="shared" si="4"/>
        <v>8.7425581484478834E-3</v>
      </c>
      <c r="AD9" s="145">
        <f t="shared" si="7"/>
        <v>6.2084593609583072E-2</v>
      </c>
      <c r="AE9" s="146">
        <f t="shared" si="5"/>
        <v>-2.6847329536551983</v>
      </c>
      <c r="AF9" s="146">
        <f t="shared" si="6"/>
        <v>2.1702613482464512E-4</v>
      </c>
      <c r="AH9" s="183"/>
      <c r="AI9" s="184"/>
      <c r="AJ9" s="184"/>
    </row>
    <row r="10" spans="1:36" x14ac:dyDescent="0.25">
      <c r="A10" s="73">
        <v>17.337416747086692</v>
      </c>
      <c r="B10" s="107" t="s">
        <v>611</v>
      </c>
      <c r="C10" s="108">
        <f>H4</f>
        <v>4.8777208690941478E-8</v>
      </c>
      <c r="D10" s="108">
        <v>1.5392483148537927E-10</v>
      </c>
      <c r="E10" s="108">
        <v>5.0509225500401457E-8</v>
      </c>
      <c r="F10" s="109">
        <f>(2*H$10-F$7-F$9)/2</f>
        <v>193.23756526440815</v>
      </c>
      <c r="G10" s="109">
        <f>G7</f>
        <v>38.71033490098057</v>
      </c>
      <c r="H10" s="118">
        <f>H38*H22*H28</f>
        <v>296.84475750683532</v>
      </c>
      <c r="I10" s="125">
        <v>8.6426228673600006E-3</v>
      </c>
      <c r="J10" s="50">
        <v>7.5151799265104097E-2</v>
      </c>
      <c r="K10" s="50">
        <v>7.5684241467974308E-3</v>
      </c>
      <c r="L10" s="67">
        <v>6.5357882121054117E-2</v>
      </c>
      <c r="M10" s="27"/>
      <c r="N10" s="18">
        <v>3.6913497802404518E-7</v>
      </c>
      <c r="O10" s="18">
        <v>4.1519104713398716E-11</v>
      </c>
      <c r="P10" s="18">
        <v>1.8600577330071923E-12</v>
      </c>
      <c r="Q10" s="28">
        <v>0.32985484968757195</v>
      </c>
      <c r="R10" s="61">
        <v>103.71584765147151</v>
      </c>
      <c r="S10" s="58">
        <v>2.1702613482464512E-6</v>
      </c>
      <c r="U10" s="173">
        <v>5.108565944816134E-2</v>
      </c>
      <c r="V10" s="173">
        <v>6.5357882121054117E-2</v>
      </c>
      <c r="W10" s="174">
        <v>6.1657238156811012E-2</v>
      </c>
      <c r="X10" s="174">
        <f t="shared" si="0"/>
        <v>6.0864665461770148E-2</v>
      </c>
      <c r="Y10" s="187">
        <f t="shared" si="1"/>
        <v>3.5635208059370176</v>
      </c>
      <c r="AA10" s="144">
        <f t="shared" si="2"/>
        <v>8.6426228673600003E-2</v>
      </c>
      <c r="AB10" s="145">
        <f t="shared" si="3"/>
        <v>7.5151799265104097E-2</v>
      </c>
      <c r="AC10" s="145">
        <f t="shared" si="4"/>
        <v>7.5684241467974308E-3</v>
      </c>
      <c r="AD10" s="145">
        <f t="shared" si="7"/>
        <v>6.0864665461770148E-2</v>
      </c>
      <c r="AE10" s="146">
        <f t="shared" si="5"/>
        <v>-2.613415234852849</v>
      </c>
      <c r="AF10" s="146">
        <f t="shared" si="6"/>
        <v>2.1702613482464512E-4</v>
      </c>
      <c r="AH10" s="183"/>
      <c r="AI10" s="184"/>
      <c r="AJ10" s="184"/>
    </row>
    <row r="11" spans="1:36" ht="19.5" x14ac:dyDescent="0.3">
      <c r="B11" s="111" t="s">
        <v>612</v>
      </c>
      <c r="C11" s="112">
        <f>H6</f>
        <v>9.1107777635215417E-7</v>
      </c>
      <c r="D11" s="113">
        <v>7.9300000000000003E-12</v>
      </c>
      <c r="E11" s="113">
        <v>3.6399999999999998E-10</v>
      </c>
      <c r="F11" s="160">
        <f>F7</f>
        <v>103.60719224242717</v>
      </c>
      <c r="G11" s="115">
        <f>G7</f>
        <v>38.71033490098057</v>
      </c>
      <c r="H11" s="117" t="s">
        <v>685</v>
      </c>
      <c r="I11" s="125">
        <v>8.7290490960300008E-3</v>
      </c>
      <c r="J11" s="50">
        <v>8.1998764757831397E-2</v>
      </c>
      <c r="K11" s="50">
        <v>7.4970658544019899E-3</v>
      </c>
      <c r="L11" s="67">
        <v>6.4133868318351703E-2</v>
      </c>
      <c r="M11" s="27"/>
      <c r="N11" s="18">
        <v>4.3915563739579004E-7</v>
      </c>
      <c r="O11" s="18">
        <v>4.0384948997055555E-11</v>
      </c>
      <c r="P11" s="18">
        <v>1.8339486008087749E-12</v>
      </c>
      <c r="Q11" s="28">
        <v>0.30511585966628851</v>
      </c>
      <c r="R11" s="61">
        <v>103.71584765147151</v>
      </c>
      <c r="S11" s="58">
        <v>2.2337565362949153E-6</v>
      </c>
      <c r="U11" s="173">
        <v>5.0931059773935188E-2</v>
      </c>
      <c r="V11" s="173">
        <v>6.4133868318351703E-2</v>
      </c>
      <c r="W11" s="174">
        <v>5.9205871587278802E-2</v>
      </c>
      <c r="X11" s="174">
        <f t="shared" si="0"/>
        <v>5.9601166999479351E-2</v>
      </c>
      <c r="Y11" s="187">
        <f t="shared" si="1"/>
        <v>8.9252467218900016</v>
      </c>
      <c r="AA11" s="144">
        <f t="shared" si="2"/>
        <v>8.7290490960300005E-2</v>
      </c>
      <c r="AB11" s="145">
        <f t="shared" si="3"/>
        <v>8.1998764757831397E-2</v>
      </c>
      <c r="AC11" s="145">
        <f t="shared" si="4"/>
        <v>7.4970658544019899E-3</v>
      </c>
      <c r="AD11" s="145">
        <f t="shared" si="7"/>
        <v>5.9601166999479351E-2</v>
      </c>
      <c r="AE11" s="146">
        <f t="shared" si="5"/>
        <v>-2.613415234852849</v>
      </c>
      <c r="AF11" s="146">
        <f t="shared" si="6"/>
        <v>2.2337565362949154E-4</v>
      </c>
      <c r="AH11" s="183"/>
      <c r="AI11" s="184"/>
      <c r="AJ11" s="184"/>
    </row>
    <row r="12" spans="1:36" ht="19.5" x14ac:dyDescent="0.3">
      <c r="A12" s="87" t="s">
        <v>515</v>
      </c>
      <c r="B12" s="107" t="s">
        <v>611</v>
      </c>
      <c r="C12" s="108">
        <f>H4</f>
        <v>4.8777208690941478E-8</v>
      </c>
      <c r="D12" s="108">
        <v>1.5392483148537927E-10</v>
      </c>
      <c r="E12" s="108">
        <v>5.0509225500401457E-8</v>
      </c>
      <c r="F12" s="109">
        <f>F32*H22*H28-(F11-H22*F33*H28)/2</f>
        <v>94.228427671670175</v>
      </c>
      <c r="G12" s="109">
        <f>G7</f>
        <v>38.71033490098057</v>
      </c>
      <c r="H12" s="118">
        <f>SUM(F6:F12)</f>
        <v>957.65137244904156</v>
      </c>
      <c r="I12" s="125">
        <v>8.8163395869899994E-3</v>
      </c>
      <c r="J12" s="50">
        <v>6.8269366711788418E-2</v>
      </c>
      <c r="K12" s="50">
        <v>6.9650733618662839E-3</v>
      </c>
      <c r="L12" s="67">
        <v>6.2855718381026202E-2</v>
      </c>
      <c r="M12" s="27"/>
      <c r="N12" s="18">
        <v>5.093482334753733E-7</v>
      </c>
      <c r="O12" s="18">
        <v>3.9248008345497645E-11</v>
      </c>
      <c r="P12" s="18">
        <v>1.8077753572712897E-12</v>
      </c>
      <c r="Q12" s="28">
        <v>0.28889548286974742</v>
      </c>
      <c r="R12" s="61">
        <v>104.23837036133814</v>
      </c>
      <c r="S12" s="58">
        <v>2.2337565362949153E-6</v>
      </c>
      <c r="U12" s="173">
        <v>5.0744433705444916E-2</v>
      </c>
      <c r="V12" s="173">
        <v>6.2855718381026202E-2</v>
      </c>
      <c r="W12" s="174">
        <v>5.6729500512542295E-2</v>
      </c>
      <c r="X12" s="174">
        <f t="shared" si="0"/>
        <v>5.8296342745009909E-2</v>
      </c>
      <c r="Y12" s="187">
        <f t="shared" si="1"/>
        <v>2.0502288251621406</v>
      </c>
      <c r="AA12" s="144">
        <f t="shared" si="2"/>
        <v>8.8163395869899991E-2</v>
      </c>
      <c r="AB12" s="145">
        <f t="shared" si="3"/>
        <v>6.8269366711788418E-2</v>
      </c>
      <c r="AC12" s="145">
        <f t="shared" si="4"/>
        <v>6.9650733618662839E-3</v>
      </c>
      <c r="AD12" s="145">
        <f t="shared" si="7"/>
        <v>5.8296342745009909E-2</v>
      </c>
      <c r="AE12" s="146">
        <f t="shared" si="5"/>
        <v>-2.5611629638661855</v>
      </c>
      <c r="AF12" s="146">
        <f t="shared" si="6"/>
        <v>2.2337565362949154E-4</v>
      </c>
      <c r="AH12" s="183"/>
      <c r="AI12" s="184"/>
      <c r="AJ12" s="184"/>
    </row>
    <row r="13" spans="1:36" ht="18.75" x14ac:dyDescent="0.25">
      <c r="A13" s="90">
        <v>2.0000000000000001E-4</v>
      </c>
      <c r="B13" s="155" t="s">
        <v>613</v>
      </c>
      <c r="C13" s="128">
        <v>-5.6000000000000004E-7</v>
      </c>
      <c r="D13" s="128">
        <v>1.2366419808836742E-10</v>
      </c>
      <c r="E13" s="128">
        <v>5.3639993783027661E-8</v>
      </c>
      <c r="F13" s="139">
        <v>200</v>
      </c>
      <c r="G13" s="139">
        <v>148</v>
      </c>
      <c r="H13" s="194" t="s">
        <v>702</v>
      </c>
      <c r="I13" s="125">
        <v>8.9045029828599999E-3</v>
      </c>
      <c r="J13" s="50">
        <v>8.1040137858043981E-2</v>
      </c>
      <c r="K13" s="50">
        <v>6.8091475669687061E-3</v>
      </c>
      <c r="L13" s="67">
        <v>6.1518871567781401E-2</v>
      </c>
      <c r="M13" s="27"/>
      <c r="N13" s="18">
        <v>5.7960038782447302E-7</v>
      </c>
      <c r="O13" s="18">
        <v>3.8110103002198277E-11</v>
      </c>
      <c r="P13" s="18">
        <v>1.781579905791945E-12</v>
      </c>
      <c r="Q13" s="28">
        <v>0.27901782563242211</v>
      </c>
      <c r="R13" s="61">
        <v>104.23837036133814</v>
      </c>
      <c r="S13" s="58">
        <v>2.3007661947574838E-6</v>
      </c>
      <c r="U13" s="173">
        <v>5.0522175691796102E-2</v>
      </c>
      <c r="V13" s="173">
        <v>6.1518871567781401E-2</v>
      </c>
      <c r="W13" s="174">
        <v>5.4225071856198993E-2</v>
      </c>
      <c r="X13" s="174">
        <f t="shared" si="0"/>
        <v>5.6946247670889474E-2</v>
      </c>
      <c r="Y13" s="187">
        <f t="shared" si="1"/>
        <v>12.52069281855638</v>
      </c>
      <c r="AA13" s="144">
        <f t="shared" si="2"/>
        <v>8.9045029828599992E-2</v>
      </c>
      <c r="AB13" s="145">
        <f t="shared" si="3"/>
        <v>8.1040137858043981E-2</v>
      </c>
      <c r="AC13" s="145">
        <f t="shared" si="4"/>
        <v>6.8091475669687061E-3</v>
      </c>
      <c r="AD13" s="145">
        <f t="shared" si="7"/>
        <v>5.6946247670889474E-2</v>
      </c>
      <c r="AE13" s="146">
        <f t="shared" si="5"/>
        <v>-2.5611629638661855</v>
      </c>
      <c r="AF13" s="146">
        <f t="shared" si="6"/>
        <v>2.3007661947574838E-4</v>
      </c>
      <c r="AH13" s="183"/>
      <c r="AI13" s="184"/>
      <c r="AJ13" s="184"/>
    </row>
    <row r="14" spans="1:36" ht="17.25" x14ac:dyDescent="0.3">
      <c r="A14" s="87" t="s">
        <v>517</v>
      </c>
      <c r="C14" s="19"/>
      <c r="H14" s="156">
        <v>2.3269153843031707</v>
      </c>
      <c r="I14" s="125">
        <v>8.9935480126900006E-3</v>
      </c>
      <c r="J14" s="50">
        <v>8.0826151327987858E-2</v>
      </c>
      <c r="K14" s="50">
        <v>6.7419787623732774E-3</v>
      </c>
      <c r="L14" s="67">
        <v>6.0125586235691607E-2</v>
      </c>
      <c r="M14" s="27"/>
      <c r="N14" s="18">
        <v>6.4986628547250992E-7</v>
      </c>
      <c r="O14" s="18">
        <v>3.6971975052582559E-11</v>
      </c>
      <c r="P14" s="18">
        <v>1.7553793297449081E-12</v>
      </c>
      <c r="Q14" s="28">
        <v>0.27433079872934468</v>
      </c>
      <c r="R14" s="61">
        <v>104.66359218935676</v>
      </c>
      <c r="S14" s="58">
        <v>2.3007661947574838E-6</v>
      </c>
      <c r="U14" s="173">
        <v>5.0262153117331163E-2</v>
      </c>
      <c r="V14" s="173">
        <v>6.0125586235691607E-2</v>
      </c>
      <c r="W14" s="174">
        <v>5.1701371347901592E-2</v>
      </c>
      <c r="X14" s="174">
        <f t="shared" si="0"/>
        <v>5.5553674234153992E-2</v>
      </c>
      <c r="Y14" s="187">
        <f t="shared" si="1"/>
        <v>14.051440958432567</v>
      </c>
      <c r="AA14" s="144">
        <f t="shared" si="2"/>
        <v>8.9935480126900003E-2</v>
      </c>
      <c r="AB14" s="145">
        <f t="shared" si="3"/>
        <v>8.0826151327987858E-2</v>
      </c>
      <c r="AC14" s="145">
        <f t="shared" si="4"/>
        <v>6.7419787623732774E-3</v>
      </c>
      <c r="AD14" s="145">
        <f t="shared" si="7"/>
        <v>5.5553674234153992E-2</v>
      </c>
      <c r="AE14" s="146">
        <f t="shared" si="5"/>
        <v>-2.518640781064323</v>
      </c>
      <c r="AF14" s="146">
        <f t="shared" si="6"/>
        <v>2.3007661947574838E-4</v>
      </c>
      <c r="AH14" s="183"/>
      <c r="AI14" s="184"/>
      <c r="AJ14" s="184"/>
    </row>
    <row r="15" spans="1:36" ht="18.75" x14ac:dyDescent="0.25">
      <c r="A15" s="138">
        <v>2.3E-2</v>
      </c>
      <c r="C15" s="19"/>
      <c r="H15" s="116" t="s">
        <v>703</v>
      </c>
      <c r="I15" s="125">
        <v>9.0834834928199999E-3</v>
      </c>
      <c r="J15" s="50">
        <v>7.9883631454954876E-2</v>
      </c>
      <c r="K15" s="50">
        <v>6.3526032015412863E-3</v>
      </c>
      <c r="L15" s="67">
        <v>5.8676219691447817E-2</v>
      </c>
      <c r="M15" s="27"/>
      <c r="N15" s="18">
        <v>6.9241036106911114E-7</v>
      </c>
      <c r="O15" s="18">
        <v>3.7516919191290953E-11</v>
      </c>
      <c r="P15" s="18">
        <v>7.1425619837633121E-10</v>
      </c>
      <c r="Q15" s="28">
        <v>0.33636363636363636</v>
      </c>
      <c r="R15" s="61">
        <v>104.66359218935676</v>
      </c>
      <c r="S15" s="58">
        <v>2.3695198721662014E-6</v>
      </c>
      <c r="U15" s="173">
        <v>4.9961887285852186E-2</v>
      </c>
      <c r="V15" s="173">
        <v>5.8676219691447817E-2</v>
      </c>
      <c r="W15" s="174">
        <v>4.9163780326589829E-2</v>
      </c>
      <c r="X15" s="174">
        <f t="shared" si="0"/>
        <v>5.4119526748834412E-2</v>
      </c>
      <c r="Y15" s="187">
        <f t="shared" si="1"/>
        <v>16.448513389306633</v>
      </c>
      <c r="AA15" s="144">
        <f t="shared" si="2"/>
        <v>9.0834834928199992E-2</v>
      </c>
      <c r="AB15" s="145">
        <f t="shared" si="3"/>
        <v>7.9883631454954876E-2</v>
      </c>
      <c r="AC15" s="145">
        <f t="shared" si="4"/>
        <v>6.3526032015412863E-3</v>
      </c>
      <c r="AD15" s="145">
        <f t="shared" si="7"/>
        <v>5.4119526748834412E-2</v>
      </c>
      <c r="AE15" s="146">
        <f t="shared" si="5"/>
        <v>-2.518640781064323</v>
      </c>
      <c r="AF15" s="146">
        <f t="shared" si="6"/>
        <v>2.3695198721662014E-4</v>
      </c>
      <c r="AH15" s="183"/>
      <c r="AI15" s="184"/>
      <c r="AJ15" s="184"/>
    </row>
    <row r="16" spans="1:36" x14ac:dyDescent="0.25">
      <c r="A16" s="88" t="s">
        <v>516</v>
      </c>
      <c r="C16" s="19"/>
      <c r="H16" s="157">
        <f>1-1/H14</f>
        <v>0.57024651315395181</v>
      </c>
      <c r="I16" s="125">
        <v>9.1743183277499998E-3</v>
      </c>
      <c r="J16" s="50">
        <v>7.2002050377209845E-2</v>
      </c>
      <c r="K16" s="50">
        <v>5.9451040446343202E-3</v>
      </c>
      <c r="L16" s="67">
        <v>5.717144448280282E-2</v>
      </c>
      <c r="M16" s="27"/>
      <c r="N16" s="18">
        <v>8.1196370786251562E-7</v>
      </c>
      <c r="O16" s="18">
        <v>3.5838847288418611E-11</v>
      </c>
      <c r="P16" s="18">
        <v>8.6339921758113423E-10</v>
      </c>
      <c r="Q16" s="28">
        <v>0.67272727272727273</v>
      </c>
      <c r="R16" s="61">
        <v>105.03077359861321</v>
      </c>
      <c r="S16" s="58">
        <v>2.3695198721662014E-6</v>
      </c>
      <c r="U16" s="173">
        <v>4.9619017299060472E-2</v>
      </c>
      <c r="V16" s="173">
        <v>5.717144448280282E-2</v>
      </c>
      <c r="W16" s="174">
        <v>4.661814842604485E-2</v>
      </c>
      <c r="X16" s="174">
        <f t="shared" si="0"/>
        <v>5.2645013672677737E-2</v>
      </c>
      <c r="Y16" s="187">
        <f t="shared" si="1"/>
        <v>10.601292761588347</v>
      </c>
      <c r="AA16" s="144">
        <f t="shared" si="2"/>
        <v>9.1743183277500001E-2</v>
      </c>
      <c r="AB16" s="145">
        <f t="shared" si="3"/>
        <v>7.2002050377209845E-2</v>
      </c>
      <c r="AC16" s="145">
        <f t="shared" si="4"/>
        <v>5.9451040446343202E-3</v>
      </c>
      <c r="AD16" s="145">
        <f t="shared" si="7"/>
        <v>5.2645013672677737E-2</v>
      </c>
      <c r="AE16" s="146">
        <f t="shared" si="5"/>
        <v>-2.4819226401386785</v>
      </c>
      <c r="AF16" s="146">
        <f t="shared" si="6"/>
        <v>2.3695198721662014E-4</v>
      </c>
      <c r="AH16" s="183"/>
      <c r="AI16" s="184"/>
      <c r="AJ16" s="184"/>
    </row>
    <row r="17" spans="1:36" ht="18.75" x14ac:dyDescent="0.25">
      <c r="A17" s="89">
        <v>4.25</v>
      </c>
      <c r="B17" s="119"/>
      <c r="C17" s="120"/>
      <c r="D17" s="120"/>
      <c r="E17" s="120"/>
      <c r="F17" s="120"/>
      <c r="G17" s="120"/>
      <c r="H17" s="194" t="s">
        <v>686</v>
      </c>
      <c r="I17" s="125">
        <v>9.2660615110300003E-3</v>
      </c>
      <c r="J17" s="50">
        <v>7.2021236163103047E-2</v>
      </c>
      <c r="K17" s="50">
        <v>5.7990686613371718E-3</v>
      </c>
      <c r="L17" s="67">
        <v>5.5612266968335607E-2</v>
      </c>
      <c r="M17" s="27"/>
      <c r="N17" s="18">
        <v>9.5406864996072509E-7</v>
      </c>
      <c r="O17" s="18">
        <v>3.3952462552521374E-11</v>
      </c>
      <c r="P17" s="18">
        <v>1.1031626498383184E-9</v>
      </c>
      <c r="Q17" s="28">
        <v>0.67272727272727273</v>
      </c>
      <c r="R17" s="61">
        <v>105.03077359861321</v>
      </c>
      <c r="S17" s="58">
        <v>2.4391349780240453E-6</v>
      </c>
      <c r="U17" s="173">
        <v>4.9231315114496604E-2</v>
      </c>
      <c r="V17" s="173">
        <v>5.5612266968335607E-2</v>
      </c>
      <c r="W17" s="174">
        <v>4.4070793249910756E-2</v>
      </c>
      <c r="X17" s="174">
        <f t="shared" si="0"/>
        <v>5.1131660575269647E-2</v>
      </c>
      <c r="Y17" s="187">
        <f t="shared" si="1"/>
        <v>12.976056604687349</v>
      </c>
      <c r="AA17" s="144">
        <f t="shared" si="2"/>
        <v>9.2660615110300007E-2</v>
      </c>
      <c r="AB17" s="145">
        <f t="shared" si="3"/>
        <v>7.2021236163103047E-2</v>
      </c>
      <c r="AC17" s="145">
        <f t="shared" si="4"/>
        <v>5.7990686613371718E-3</v>
      </c>
      <c r="AD17" s="145">
        <f t="shared" si="7"/>
        <v>5.1131660575269647E-2</v>
      </c>
      <c r="AE17" s="146">
        <f t="shared" si="5"/>
        <v>-2.4819226401386785</v>
      </c>
      <c r="AF17" s="146">
        <f t="shared" si="6"/>
        <v>2.4391349780240453E-4</v>
      </c>
      <c r="AH17" s="183"/>
      <c r="AI17" s="184"/>
      <c r="AJ17" s="184"/>
    </row>
    <row r="18" spans="1:36" x14ac:dyDescent="0.25">
      <c r="B18" s="119"/>
      <c r="C18" s="120"/>
      <c r="D18" s="120"/>
      <c r="E18" s="120"/>
      <c r="F18" s="120"/>
      <c r="G18" s="120"/>
      <c r="H18" s="156">
        <v>2.9754418325555196</v>
      </c>
      <c r="I18" s="125">
        <v>9.3587221261399994E-3</v>
      </c>
      <c r="J18" s="50">
        <v>8.9882492318680285E-2</v>
      </c>
      <c r="K18" s="50">
        <v>5.8227818974601591E-3</v>
      </c>
      <c r="L18" s="67">
        <v>5.4000045569579901E-2</v>
      </c>
      <c r="N18" s="18">
        <v>1.0656258182191214E-6</v>
      </c>
      <c r="O18" s="18">
        <v>3.2654557635285172E-11</v>
      </c>
      <c r="P18" s="18">
        <v>1.3970288101837676E-9</v>
      </c>
      <c r="Q18" s="28">
        <v>0.67272727272727273</v>
      </c>
      <c r="R18" s="61">
        <v>105.36062844830079</v>
      </c>
      <c r="S18" s="58">
        <v>2.4391349780240453E-6</v>
      </c>
      <c r="U18" s="173">
        <v>4.8796701133602349E-2</v>
      </c>
      <c r="V18" s="173">
        <v>5.4000045569579901E-2</v>
      </c>
      <c r="W18" s="174">
        <v>4.1528495854567901E-2</v>
      </c>
      <c r="X18" s="174">
        <f t="shared" si="0"/>
        <v>4.958132203183252E-2</v>
      </c>
      <c r="Y18" s="187">
        <f t="shared" si="1"/>
        <v>47.904274681468287</v>
      </c>
      <c r="AA18" s="144">
        <f t="shared" si="2"/>
        <v>9.3587221261399997E-2</v>
      </c>
      <c r="AB18" s="145">
        <f t="shared" si="3"/>
        <v>8.9882492318680285E-2</v>
      </c>
      <c r="AC18" s="145">
        <f t="shared" si="4"/>
        <v>5.8227818974601591E-3</v>
      </c>
      <c r="AD18" s="145">
        <f t="shared" si="7"/>
        <v>4.958132203183252E-2</v>
      </c>
      <c r="AE18" s="146">
        <f t="shared" si="5"/>
        <v>-2.4489371551699208</v>
      </c>
      <c r="AF18" s="146">
        <f t="shared" si="6"/>
        <v>2.4391349780240453E-4</v>
      </c>
      <c r="AH18" s="183"/>
      <c r="AI18" s="184"/>
      <c r="AJ18" s="184"/>
    </row>
    <row r="19" spans="1:36" ht="18.75" x14ac:dyDescent="0.25">
      <c r="B19" s="124"/>
      <c r="C19" s="120"/>
      <c r="D19" s="120"/>
      <c r="E19" s="120"/>
      <c r="F19" s="120"/>
      <c r="G19" s="120"/>
      <c r="H19" s="116" t="s">
        <v>687</v>
      </c>
      <c r="I19" s="125">
        <v>9.4523093474000001E-3</v>
      </c>
      <c r="J19" s="50">
        <v>7.4134049553121487E-2</v>
      </c>
      <c r="K19" s="50">
        <v>5.3276592642296193E-3</v>
      </c>
      <c r="L19" s="67">
        <v>5.2336508499228676E-2</v>
      </c>
      <c r="N19" s="18">
        <v>1.1414191583134996E-6</v>
      </c>
      <c r="O19" s="18">
        <v>3.2044437556682163E-11</v>
      </c>
      <c r="P19" s="18">
        <v>1.7535554319464548E-9</v>
      </c>
      <c r="Q19" s="28">
        <v>0.67272727272727273</v>
      </c>
      <c r="R19" s="61">
        <v>105.36062844830079</v>
      </c>
      <c r="S19" s="58">
        <v>2.5091556373957901E-6</v>
      </c>
      <c r="U19" s="173">
        <v>4.8313260292304892E-2</v>
      </c>
      <c r="V19" s="173">
        <v>5.2336508499228676E-2</v>
      </c>
      <c r="W19" s="174">
        <v>3.8998491539559546E-2</v>
      </c>
      <c r="X19" s="174">
        <f t="shared" si="0"/>
        <v>4.7996192207580446E-2</v>
      </c>
      <c r="Y19" s="187">
        <f t="shared" si="1"/>
        <v>24.069500852890702</v>
      </c>
      <c r="AA19" s="144">
        <f t="shared" si="2"/>
        <v>9.4523093474000008E-2</v>
      </c>
      <c r="AB19" s="145">
        <f t="shared" si="3"/>
        <v>7.4134049553121487E-2</v>
      </c>
      <c r="AC19" s="145">
        <f t="shared" si="4"/>
        <v>5.3276592642296193E-3</v>
      </c>
      <c r="AD19" s="145">
        <f t="shared" si="7"/>
        <v>4.7996192207580446E-2</v>
      </c>
      <c r="AE19" s="146">
        <f t="shared" si="5"/>
        <v>-2.4489371551699208</v>
      </c>
      <c r="AF19" s="146">
        <f t="shared" si="6"/>
        <v>2.5091556373957899E-4</v>
      </c>
      <c r="AH19" s="183"/>
      <c r="AI19" s="184"/>
      <c r="AJ19" s="184"/>
    </row>
    <row r="20" spans="1:36" x14ac:dyDescent="0.25">
      <c r="H20" s="157">
        <f>1-1/H18</f>
        <v>0.66391545986260159</v>
      </c>
      <c r="I20" s="125">
        <v>9.5468324408700001E-3</v>
      </c>
      <c r="J20" s="50">
        <v>7.5990151466340264E-2</v>
      </c>
      <c r="K20" s="50">
        <v>5.1041760868679592E-3</v>
      </c>
      <c r="L20" s="67">
        <v>5.0623770732990805E-2</v>
      </c>
      <c r="N20" s="18">
        <v>1.1828288179516521E-6</v>
      </c>
      <c r="O20" s="18">
        <v>3.2115294444005122E-11</v>
      </c>
      <c r="P20" s="18">
        <v>2.1817185385556238E-9</v>
      </c>
      <c r="Q20" s="28">
        <v>0.67272727272727273</v>
      </c>
      <c r="R20" s="61">
        <v>105.66574430796707</v>
      </c>
      <c r="S20" s="58">
        <v>2.5091556373957901E-6</v>
      </c>
      <c r="U20" s="173">
        <v>4.777925861879085E-2</v>
      </c>
      <c r="V20" s="173">
        <v>5.0623770732990805E-2</v>
      </c>
      <c r="W20" s="174">
        <v>3.6488455446639041E-2</v>
      </c>
      <c r="X20" s="174">
        <f t="shared" si="0"/>
        <v>4.6378813882852872E-2</v>
      </c>
      <c r="Y20" s="187">
        <f t="shared" si="1"/>
        <v>33.65617474870411</v>
      </c>
      <c r="AA20" s="144">
        <f t="shared" si="2"/>
        <v>9.5468324408699998E-2</v>
      </c>
      <c r="AB20" s="145">
        <f t="shared" si="3"/>
        <v>7.5990151466340264E-2</v>
      </c>
      <c r="AC20" s="145">
        <f t="shared" si="4"/>
        <v>5.1041760868679592E-3</v>
      </c>
      <c r="AD20" s="145">
        <f t="shared" si="7"/>
        <v>4.6378813882852872E-2</v>
      </c>
      <c r="AE20" s="146">
        <f t="shared" si="5"/>
        <v>-2.4184255692032921</v>
      </c>
      <c r="AF20" s="146">
        <f t="shared" si="6"/>
        <v>2.5091556373957899E-4</v>
      </c>
      <c r="AH20" s="183"/>
      <c r="AI20" s="184"/>
      <c r="AJ20" s="184"/>
    </row>
    <row r="21" spans="1:36" s="17" customFormat="1" ht="18.75" x14ac:dyDescent="0.25">
      <c r="A21" s="64"/>
      <c r="B21" s="120"/>
      <c r="C21" s="120"/>
      <c r="D21" s="120"/>
      <c r="E21" s="120"/>
      <c r="F21" s="120"/>
      <c r="G21" s="120"/>
      <c r="H21" s="194" t="s">
        <v>688</v>
      </c>
      <c r="I21" s="125">
        <v>9.6423007652800003E-3</v>
      </c>
      <c r="J21" s="50">
        <v>6.857254006814914E-2</v>
      </c>
      <c r="K21" s="50">
        <v>4.7625278767999936E-3</v>
      </c>
      <c r="L21" s="67">
        <v>4.8864349962664602E-2</v>
      </c>
      <c r="M21" s="31"/>
      <c r="N21" s="18">
        <v>1.1954973987771444E-6</v>
      </c>
      <c r="O21" s="18">
        <v>3.2791640050909355E-11</v>
      </c>
      <c r="P21" s="30">
        <v>2.6907007016792979E-9</v>
      </c>
      <c r="Q21" s="66">
        <v>0.67272727272727273</v>
      </c>
      <c r="R21" s="63">
        <v>105.66574430796707</v>
      </c>
      <c r="S21" s="62">
        <v>2.5793482334753735E-6</v>
      </c>
      <c r="T21" s="80"/>
      <c r="U21" s="173">
        <v>4.7193160213524786E-2</v>
      </c>
      <c r="V21" s="173">
        <v>4.8864349962664602E-2</v>
      </c>
      <c r="W21" s="174">
        <v>3.4006482475953774E-2</v>
      </c>
      <c r="X21" s="174">
        <f t="shared" si="0"/>
        <v>4.4732085653701945E-2</v>
      </c>
      <c r="Y21" s="187">
        <f t="shared" si="1"/>
        <v>25.058438031725473</v>
      </c>
      <c r="AA21" s="144">
        <f t="shared" si="2"/>
        <v>9.64230076528E-2</v>
      </c>
      <c r="AB21" s="145">
        <f t="shared" si="3"/>
        <v>6.857254006814914E-2</v>
      </c>
      <c r="AC21" s="145">
        <f t="shared" si="4"/>
        <v>4.7625278767999936E-3</v>
      </c>
      <c r="AD21" s="145">
        <f t="shared" si="7"/>
        <v>4.4732085653701945E-2</v>
      </c>
      <c r="AE21" s="146">
        <f t="shared" si="5"/>
        <v>-2.4184255692032921</v>
      </c>
      <c r="AF21" s="146">
        <f t="shared" si="6"/>
        <v>2.5793482334753737E-4</v>
      </c>
      <c r="AG21" s="80"/>
      <c r="AH21" s="183"/>
      <c r="AI21" s="184"/>
      <c r="AJ21" s="184"/>
    </row>
    <row r="22" spans="1:36" x14ac:dyDescent="0.25">
      <c r="H22" s="164">
        <f>H42*H14+(1-H42)*H18</f>
        <v>2.5025866591936539</v>
      </c>
      <c r="I22" s="125">
        <v>9.7387237729300007E-3</v>
      </c>
      <c r="J22" s="50">
        <v>6.9905629970574423E-2</v>
      </c>
      <c r="K22" s="50">
        <v>4.6835283492977255E-3</v>
      </c>
      <c r="L22" s="67">
        <v>4.70611812402362E-2</v>
      </c>
      <c r="N22" s="18">
        <v>1.1864363963175534E-6</v>
      </c>
      <c r="O22" s="18">
        <v>3.397571617065804E-11</v>
      </c>
      <c r="P22" s="18">
        <v>3.289627758221909E-9</v>
      </c>
      <c r="Q22" s="28">
        <v>0.67272727272727273</v>
      </c>
      <c r="R22" s="61">
        <v>105.95463979083682</v>
      </c>
      <c r="S22" s="58">
        <v>2.5793482334753735E-6</v>
      </c>
      <c r="U22" s="173">
        <v>4.6553644596496427E-2</v>
      </c>
      <c r="V22" s="173">
        <v>4.70611812402362E-2</v>
      </c>
      <c r="W22" s="174">
        <v>3.1561061052267601E-2</v>
      </c>
      <c r="X22" s="174">
        <f t="shared" si="0"/>
        <v>4.3059267032309105E-2</v>
      </c>
      <c r="Y22" s="187">
        <f t="shared" si="1"/>
        <v>32.856750324654342</v>
      </c>
      <c r="AA22" s="144">
        <f t="shared" si="2"/>
        <v>9.7387237729300011E-2</v>
      </c>
      <c r="AB22" s="145">
        <f t="shared" si="3"/>
        <v>6.9905629970574423E-2</v>
      </c>
      <c r="AC22" s="145">
        <f t="shared" si="4"/>
        <v>4.6835283492977255E-3</v>
      </c>
      <c r="AD22" s="145">
        <f t="shared" si="7"/>
        <v>4.3059267032309105E-2</v>
      </c>
      <c r="AE22" s="146">
        <f t="shared" si="5"/>
        <v>-2.3895360209163172</v>
      </c>
      <c r="AF22" s="146">
        <f t="shared" si="6"/>
        <v>2.5793482334753737E-4</v>
      </c>
      <c r="AH22" s="183"/>
      <c r="AI22" s="184"/>
      <c r="AJ22" s="184"/>
    </row>
    <row r="23" spans="1:36" ht="18.75" x14ac:dyDescent="0.25">
      <c r="H23" s="116" t="s">
        <v>645</v>
      </c>
      <c r="I23" s="125">
        <v>9.8361110106600005E-3</v>
      </c>
      <c r="J23" s="50">
        <v>6.3531882671686968E-2</v>
      </c>
      <c r="K23" s="50">
        <v>4.2654529889445524E-3</v>
      </c>
      <c r="L23" s="67">
        <v>4.5217629990202284E-2</v>
      </c>
      <c r="N23" s="18">
        <v>1.1618442160194616E-6</v>
      </c>
      <c r="O23" s="18">
        <v>3.5582297571125868E-11</v>
      </c>
      <c r="P23" s="18">
        <v>3.9872580528094511E-9</v>
      </c>
      <c r="Q23" s="28">
        <v>0.67272727272727273</v>
      </c>
      <c r="R23" s="61">
        <v>105.95463979083682</v>
      </c>
      <c r="S23" s="58">
        <v>2.6496003878244729E-6</v>
      </c>
      <c r="U23" s="173">
        <v>4.5859624353774879E-2</v>
      </c>
      <c r="V23" s="173">
        <v>4.5217629990202284E-2</v>
      </c>
      <c r="W23" s="174">
        <v>2.9161040305740356E-2</v>
      </c>
      <c r="X23" s="174">
        <f t="shared" si="0"/>
        <v>4.1363981159979947E-2</v>
      </c>
      <c r="Y23" s="187">
        <f t="shared" si="1"/>
        <v>27.009643187224857</v>
      </c>
      <c r="AA23" s="144">
        <f t="shared" si="2"/>
        <v>9.8361110106600008E-2</v>
      </c>
      <c r="AB23" s="145">
        <f t="shared" si="3"/>
        <v>6.3531882671686968E-2</v>
      </c>
      <c r="AC23" s="145">
        <f t="shared" si="4"/>
        <v>4.2654529889445524E-3</v>
      </c>
      <c r="AD23" s="145">
        <f t="shared" si="7"/>
        <v>4.1363981159979947E-2</v>
      </c>
      <c r="AE23" s="146">
        <f t="shared" si="5"/>
        <v>-2.3895360209163172</v>
      </c>
      <c r="AF23" s="146">
        <f t="shared" si="6"/>
        <v>2.6496003878244726E-4</v>
      </c>
      <c r="AH23" s="183"/>
      <c r="AI23" s="184"/>
      <c r="AJ23" s="184"/>
    </row>
    <row r="24" spans="1:36" x14ac:dyDescent="0.25">
      <c r="H24" s="157">
        <f>1-1/H22</f>
        <v>0.60041343770201139</v>
      </c>
      <c r="I24" s="125">
        <v>9.9344721207699997E-3</v>
      </c>
      <c r="J24" s="50">
        <v>5.7949854982575981E-2</v>
      </c>
      <c r="K24" s="50">
        <v>5.7037936081281784E-3</v>
      </c>
      <c r="L24" s="67">
        <v>4.3337503041874934E-2</v>
      </c>
      <c r="N24" s="18">
        <v>1.1261241025034072E-6</v>
      </c>
      <c r="O24" s="18">
        <v>3.7553992356169631E-11</v>
      </c>
      <c r="P24" s="18">
        <v>4.7916325215816711E-9</v>
      </c>
      <c r="Q24" s="28">
        <v>0.67272727272727273</v>
      </c>
      <c r="R24" s="61">
        <v>106.23365761646924</v>
      </c>
      <c r="S24" s="58">
        <v>2.6496003878244729E-6</v>
      </c>
      <c r="U24" s="173">
        <v>4.5110263003278861E-2</v>
      </c>
      <c r="V24" s="173">
        <v>4.3337503041874934E-2</v>
      </c>
      <c r="W24" s="174">
        <v>2.6815590288632302E-2</v>
      </c>
      <c r="X24" s="174">
        <f t="shared" si="0"/>
        <v>3.965021484391526E-2</v>
      </c>
      <c r="Y24" s="187">
        <f t="shared" si="1"/>
        <v>10.293367880013097</v>
      </c>
      <c r="AA24" s="144">
        <f t="shared" si="2"/>
        <v>9.9344721207699993E-2</v>
      </c>
      <c r="AB24" s="145">
        <f t="shared" si="3"/>
        <v>5.7949854982575981E-2</v>
      </c>
      <c r="AC24" s="145">
        <f t="shared" si="4"/>
        <v>5.7037936081281784E-3</v>
      </c>
      <c r="AD24" s="145">
        <f t="shared" si="7"/>
        <v>3.965021484391526E-2</v>
      </c>
      <c r="AE24" s="146">
        <f t="shared" si="5"/>
        <v>-2.3616342383530751</v>
      </c>
      <c r="AF24" s="146">
        <f t="shared" si="6"/>
        <v>2.6496003878244726E-4</v>
      </c>
      <c r="AH24" s="183"/>
      <c r="AI24" s="184"/>
      <c r="AJ24" s="184"/>
    </row>
    <row r="25" spans="1:36" x14ac:dyDescent="0.25">
      <c r="H25" s="130" t="s">
        <v>630</v>
      </c>
      <c r="I25" s="125">
        <v>1.0033816842E-2</v>
      </c>
      <c r="J25" s="50">
        <v>9.0539724056649395E-2</v>
      </c>
      <c r="K25" s="50">
        <v>7.1861541635382985E-3</v>
      </c>
      <c r="L25" s="67">
        <v>4.1425057300777418E-2</v>
      </c>
      <c r="N25" s="18">
        <v>1.0818867713483465E-6</v>
      </c>
      <c r="O25" s="18">
        <v>3.9860547302749078E-11</v>
      </c>
      <c r="P25" s="18">
        <v>5.7096982187695347E-9</v>
      </c>
      <c r="Q25" s="28">
        <v>0.67272727272727273</v>
      </c>
      <c r="R25" s="61">
        <v>106.23365761646924</v>
      </c>
      <c r="S25" s="58">
        <v>2.7198662854725101E-6</v>
      </c>
      <c r="U25" s="173">
        <v>4.4304992983148245E-2</v>
      </c>
      <c r="V25" s="173">
        <v>4.1425057300777418E-2</v>
      </c>
      <c r="W25" s="174">
        <v>2.4534154911329206E-2</v>
      </c>
      <c r="X25" s="174">
        <f t="shared" si="0"/>
        <v>3.7922315624008072E-2</v>
      </c>
      <c r="Y25" s="187">
        <f t="shared" si="1"/>
        <v>53.612473953371762</v>
      </c>
      <c r="AA25" s="144">
        <f t="shared" si="2"/>
        <v>0.10033816842</v>
      </c>
      <c r="AB25" s="145">
        <f t="shared" si="3"/>
        <v>9.0539724056649395E-2</v>
      </c>
      <c r="AC25" s="145">
        <f t="shared" si="4"/>
        <v>7.1861541635382985E-3</v>
      </c>
      <c r="AD25" s="145">
        <f t="shared" si="7"/>
        <v>3.7922315624008072E-2</v>
      </c>
      <c r="AE25" s="146">
        <f t="shared" si="5"/>
        <v>-2.3616342383530751</v>
      </c>
      <c r="AF25" s="146">
        <f t="shared" si="6"/>
        <v>2.7198662854725103E-4</v>
      </c>
      <c r="AH25" s="183"/>
      <c r="AI25" s="184"/>
      <c r="AJ25" s="184"/>
    </row>
    <row r="26" spans="1:36" x14ac:dyDescent="0.25">
      <c r="H26" s="180">
        <v>7.4149725901906591E-2</v>
      </c>
      <c r="I26" s="125">
        <v>1.0134155010399999E-2</v>
      </c>
      <c r="J26" s="50">
        <v>5.1603258116215057E-2</v>
      </c>
      <c r="K26" s="50">
        <v>4.888711163827511E-3</v>
      </c>
      <c r="L26" s="67">
        <v>3.9485005657150511E-2</v>
      </c>
      <c r="N26" s="18">
        <v>1.0304393544990728E-6</v>
      </c>
      <c r="O26" s="18">
        <v>4.2490258983332027E-11</v>
      </c>
      <c r="P26" s="18">
        <v>6.7469217442693579E-9</v>
      </c>
      <c r="Q26" s="28">
        <v>0.67272727272727273</v>
      </c>
      <c r="R26" s="61">
        <v>106.50798841519858</v>
      </c>
      <c r="S26" s="58">
        <v>2.7198662854725101E-6</v>
      </c>
      <c r="U26" s="173">
        <v>4.3443533651459788E-2</v>
      </c>
      <c r="V26" s="173">
        <v>3.9485005657150511E-2</v>
      </c>
      <c r="W26" s="174">
        <v>2.2326397373722124E-2</v>
      </c>
      <c r="X26" s="174">
        <f t="shared" si="0"/>
        <v>3.6184985584870738E-2</v>
      </c>
      <c r="Y26" s="187">
        <f t="shared" si="1"/>
        <v>9.9467837925271869</v>
      </c>
      <c r="AA26" s="144">
        <f t="shared" si="2"/>
        <v>0.10134155010399999</v>
      </c>
      <c r="AB26" s="145">
        <f t="shared" si="3"/>
        <v>5.1603258116215057E-2</v>
      </c>
      <c r="AC26" s="145">
        <f t="shared" si="4"/>
        <v>4.888711163827511E-3</v>
      </c>
      <c r="AD26" s="145">
        <f t="shared" si="7"/>
        <v>3.6184985584870738E-2</v>
      </c>
      <c r="AE26" s="146">
        <f t="shared" si="5"/>
        <v>-2.3342011584801412</v>
      </c>
      <c r="AF26" s="146">
        <f t="shared" si="6"/>
        <v>2.7198662854725103E-4</v>
      </c>
      <c r="AH26" s="183"/>
      <c r="AI26" s="184"/>
      <c r="AJ26" s="184"/>
    </row>
    <row r="27" spans="1:36" x14ac:dyDescent="0.25">
      <c r="H27" s="181" t="s">
        <v>631</v>
      </c>
      <c r="I27" s="125">
        <v>1.0235496560500001E-2</v>
      </c>
      <c r="J27" s="50">
        <v>6.2363502928088482E-2</v>
      </c>
      <c r="K27" s="50">
        <v>5.0364004485676057E-3</v>
      </c>
      <c r="L27" s="67">
        <v>3.7519722272553152E-2</v>
      </c>
      <c r="N27" s="18">
        <v>9.7234304855541271E-7</v>
      </c>
      <c r="O27" s="18">
        <v>4.5440288470927802E-11</v>
      </c>
      <c r="P27" s="18">
        <v>7.9069121110190857E-9</v>
      </c>
      <c r="Q27" s="28">
        <v>0.67272727272727273</v>
      </c>
      <c r="R27" s="61">
        <v>106.50798841519858</v>
      </c>
      <c r="S27" s="58">
        <v>2.7624103610691113E-6</v>
      </c>
      <c r="U27" s="173">
        <v>4.2524773335839379E-2</v>
      </c>
      <c r="V27" s="173">
        <v>3.7519722272553152E-2</v>
      </c>
      <c r="W27" s="174">
        <v>2.0198696676649731E-2</v>
      </c>
      <c r="X27" s="174">
        <f t="shared" si="0"/>
        <v>3.444072863939885E-2</v>
      </c>
      <c r="Y27" s="187">
        <f t="shared" si="1"/>
        <v>30.738072006639616</v>
      </c>
      <c r="AA27" s="144">
        <f t="shared" si="2"/>
        <v>0.10235496560500001</v>
      </c>
      <c r="AB27" s="145">
        <f t="shared" si="3"/>
        <v>6.2363502928088482E-2</v>
      </c>
      <c r="AC27" s="145">
        <f t="shared" si="4"/>
        <v>5.0364004485676057E-3</v>
      </c>
      <c r="AD27" s="145">
        <f t="shared" si="7"/>
        <v>3.444072863939885E-2</v>
      </c>
      <c r="AE27" s="146">
        <f t="shared" si="5"/>
        <v>-2.3342011584801412</v>
      </c>
      <c r="AF27" s="146">
        <f t="shared" si="6"/>
        <v>2.7624103610691112E-4</v>
      </c>
      <c r="AH27" s="183"/>
      <c r="AI27" s="184"/>
      <c r="AJ27" s="184"/>
    </row>
    <row r="28" spans="1:36" x14ac:dyDescent="0.25">
      <c r="H28" s="182">
        <v>1</v>
      </c>
      <c r="I28" s="125">
        <v>1.0337851526100001E-2</v>
      </c>
      <c r="J28" s="50">
        <v>4.2366913090755853E-2</v>
      </c>
      <c r="K28" s="50">
        <v>4.4664917912700447E-3</v>
      </c>
      <c r="L28" s="67">
        <v>3.5540548748057683E-2</v>
      </c>
      <c r="N28" s="18">
        <v>9.078357161218301E-7</v>
      </c>
      <c r="O28" s="18">
        <v>4.8709217073431886E-11</v>
      </c>
      <c r="P28" s="18">
        <v>9.1910746184672108E-9</v>
      </c>
      <c r="Q28" s="28">
        <v>0.67272727272727273</v>
      </c>
      <c r="R28" s="61">
        <v>106.84435205156223</v>
      </c>
      <c r="S28" s="58">
        <v>2.7624103610691113E-6</v>
      </c>
      <c r="U28" s="173">
        <v>4.1551317480608391E-2</v>
      </c>
      <c r="V28" s="173">
        <v>3.5540548748057683E-2</v>
      </c>
      <c r="W28" s="174">
        <v>1.8168133179784256E-2</v>
      </c>
      <c r="X28" s="174">
        <f t="shared" si="0"/>
        <v>3.2700137039127004E-2</v>
      </c>
      <c r="Y28" s="187">
        <f t="shared" si="1"/>
        <v>4.6841439673714635</v>
      </c>
      <c r="AA28" s="144">
        <f t="shared" si="2"/>
        <v>0.103378515261</v>
      </c>
      <c r="AB28" s="145">
        <f t="shared" si="3"/>
        <v>4.2366913090755853E-2</v>
      </c>
      <c r="AC28" s="145">
        <f t="shared" si="4"/>
        <v>4.4664917912700447E-3</v>
      </c>
      <c r="AD28" s="145">
        <f t="shared" si="7"/>
        <v>3.2700137039127004E-2</v>
      </c>
      <c r="AE28" s="146">
        <f t="shared" si="5"/>
        <v>-2.3005647948437771</v>
      </c>
      <c r="AF28" s="146">
        <f t="shared" si="6"/>
        <v>2.7624103610691112E-4</v>
      </c>
      <c r="AH28" s="183"/>
      <c r="AI28" s="184"/>
      <c r="AJ28" s="184"/>
    </row>
    <row r="29" spans="1:36" x14ac:dyDescent="0.25">
      <c r="I29" s="125">
        <v>1.0441230041400001E-2</v>
      </c>
      <c r="J29" s="50">
        <v>5.4326547175929517E-2</v>
      </c>
      <c r="K29" s="50">
        <v>4.6821539384787995E-3</v>
      </c>
      <c r="L29" s="67">
        <v>3.3550655103135915E-2</v>
      </c>
      <c r="N29" s="18">
        <v>8.3708622877868185E-7</v>
      </c>
      <c r="O29" s="18">
        <v>5.2292419619252198E-11</v>
      </c>
      <c r="P29" s="18">
        <v>1.0598318020770444E-8</v>
      </c>
      <c r="Q29" s="28">
        <v>0.67272727272727273</v>
      </c>
      <c r="R29" s="61">
        <v>106.84435205156223</v>
      </c>
      <c r="S29" s="58">
        <v>2.8819637078625157E-6</v>
      </c>
      <c r="U29" s="173">
        <v>4.0522734406712738E-2</v>
      </c>
      <c r="V29" s="173">
        <v>3.3550655103135915E-2</v>
      </c>
      <c r="W29" s="174">
        <v>1.6240884277150956E-2</v>
      </c>
      <c r="X29" s="174">
        <f t="shared" si="0"/>
        <v>3.096623222253388E-2</v>
      </c>
      <c r="Y29" s="187">
        <f t="shared" si="1"/>
        <v>24.892356445777995</v>
      </c>
      <c r="AA29" s="144">
        <f t="shared" si="2"/>
        <v>0.10441230041400001</v>
      </c>
      <c r="AB29" s="145">
        <f t="shared" si="3"/>
        <v>5.4326547175929517E-2</v>
      </c>
      <c r="AC29" s="145">
        <f t="shared" si="4"/>
        <v>4.6821539384787995E-3</v>
      </c>
      <c r="AD29" s="145">
        <f t="shared" si="7"/>
        <v>3.096623222253388E-2</v>
      </c>
      <c r="AE29" s="146">
        <f t="shared" si="5"/>
        <v>-2.3005647948437771</v>
      </c>
      <c r="AF29" s="146">
        <f t="shared" si="6"/>
        <v>2.8819637078625159E-4</v>
      </c>
      <c r="AH29" s="183"/>
      <c r="AI29" s="184"/>
      <c r="AJ29" s="184"/>
    </row>
    <row r="30" spans="1:36" x14ac:dyDescent="0.25">
      <c r="B30" s="195" t="s">
        <v>600</v>
      </c>
      <c r="C30" s="195"/>
      <c r="D30" s="195"/>
      <c r="E30" s="195"/>
      <c r="F30" s="195"/>
      <c r="G30" s="195"/>
      <c r="H30" s="166"/>
      <c r="I30" s="125">
        <v>1.0545642341800001E-2</v>
      </c>
      <c r="J30" s="50">
        <v>4.5896039108427412E-2</v>
      </c>
      <c r="K30" s="50">
        <v>4.3549774880397634E-3</v>
      </c>
      <c r="L30" s="67">
        <v>3.1556566055385267E-2</v>
      </c>
      <c r="N30" s="18">
        <v>7.6032357031903824E-7</v>
      </c>
      <c r="O30" s="18">
        <v>5.6179595754588352E-11</v>
      </c>
      <c r="P30" s="18">
        <v>1.2124836482536889E-8</v>
      </c>
      <c r="Q30" s="28">
        <v>0.67272727272727273</v>
      </c>
      <c r="R30" s="61">
        <v>107.5170793242895</v>
      </c>
      <c r="S30" s="58">
        <v>2.8819637078625157E-6</v>
      </c>
      <c r="U30" s="173">
        <v>3.944006621330718E-2</v>
      </c>
      <c r="V30" s="173">
        <v>3.1556566055385267E-2</v>
      </c>
      <c r="W30" s="174">
        <v>1.4426792197680033E-2</v>
      </c>
      <c r="X30" s="174">
        <f t="shared" si="0"/>
        <v>2.9244997630439439E-2</v>
      </c>
      <c r="Y30" s="187">
        <f t="shared" si="1"/>
        <v>14.618774821374229</v>
      </c>
      <c r="AA30" s="144">
        <f t="shared" si="2"/>
        <v>0.105456423418</v>
      </c>
      <c r="AB30" s="145">
        <f t="shared" si="3"/>
        <v>4.5896039108427412E-2</v>
      </c>
      <c r="AC30" s="145">
        <f t="shared" si="4"/>
        <v>4.3549774880397634E-3</v>
      </c>
      <c r="AD30" s="145">
        <f t="shared" si="7"/>
        <v>2.9244997630439439E-2</v>
      </c>
      <c r="AE30" s="146">
        <f t="shared" si="5"/>
        <v>-2.2332920675710497</v>
      </c>
      <c r="AF30" s="146">
        <f t="shared" si="6"/>
        <v>2.8819637078625159E-4</v>
      </c>
      <c r="AH30" s="183"/>
      <c r="AI30" s="184"/>
      <c r="AJ30" s="184"/>
    </row>
    <row r="31" spans="1:36" ht="19.5" x14ac:dyDescent="0.3">
      <c r="B31" s="154" t="s">
        <v>614</v>
      </c>
      <c r="C31" s="161">
        <v>0</v>
      </c>
      <c r="D31" s="161">
        <v>0</v>
      </c>
      <c r="E31" s="161">
        <v>0</v>
      </c>
      <c r="F31" s="139">
        <v>100</v>
      </c>
      <c r="G31" s="139">
        <v>0</v>
      </c>
      <c r="H31" s="147" t="s">
        <v>646</v>
      </c>
      <c r="I31" s="125">
        <v>1.06510987652E-2</v>
      </c>
      <c r="J31" s="50">
        <v>5.3765328634263677E-2</v>
      </c>
      <c r="K31" s="50">
        <v>4.2748735468117974E-3</v>
      </c>
      <c r="L31" s="67">
        <v>2.956523483522806E-2</v>
      </c>
      <c r="N31" s="18">
        <v>6.7789298730124565E-7</v>
      </c>
      <c r="O31" s="18">
        <v>6.0353645377566146E-11</v>
      </c>
      <c r="P31" s="18">
        <v>1.3763985380310896E-8</v>
      </c>
      <c r="Q31" s="28">
        <v>0.67272727272727273</v>
      </c>
      <c r="R31" s="61">
        <v>107.5170793242895</v>
      </c>
      <c r="S31" s="58">
        <v>3.0240686499607252E-6</v>
      </c>
      <c r="U31" s="173">
        <v>3.8304726734005097E-2</v>
      </c>
      <c r="V31" s="173">
        <v>2.956523483522806E-2</v>
      </c>
      <c r="W31" s="174">
        <v>1.2735533404627684E-2</v>
      </c>
      <c r="X31" s="174">
        <f t="shared" si="0"/>
        <v>2.7542682452272226E-2</v>
      </c>
      <c r="Y31" s="187">
        <f t="shared" si="1"/>
        <v>37.627597096813822</v>
      </c>
      <c r="AA31" s="144">
        <f t="shared" si="2"/>
        <v>0.106510987652</v>
      </c>
      <c r="AB31" s="145">
        <f t="shared" si="3"/>
        <v>5.3765328634263677E-2</v>
      </c>
      <c r="AC31" s="145">
        <f t="shared" si="4"/>
        <v>4.2748735468117974E-3</v>
      </c>
      <c r="AD31" s="145">
        <f t="shared" si="7"/>
        <v>2.7542682452272226E-2</v>
      </c>
      <c r="AE31" s="146">
        <f t="shared" si="5"/>
        <v>-2.2332920675710497</v>
      </c>
      <c r="AF31" s="146">
        <f t="shared" si="6"/>
        <v>3.0240686499607251E-4</v>
      </c>
      <c r="AH31" s="183"/>
      <c r="AI31" s="184"/>
      <c r="AJ31" s="184"/>
    </row>
    <row r="32" spans="1:36" x14ac:dyDescent="0.25">
      <c r="B32" s="107" t="s">
        <v>615</v>
      </c>
      <c r="C32" s="108">
        <f>H32</f>
        <v>9.4545576236162603E-7</v>
      </c>
      <c r="D32" s="108">
        <v>1.5392483148537927E-10</v>
      </c>
      <c r="E32" s="108">
        <v>5.0509225500401457E-8</v>
      </c>
      <c r="F32" s="109">
        <f>F63*H42-(F33-F64*H42)/2</f>
        <v>36.089658308560537</v>
      </c>
      <c r="G32" s="123">
        <v>36.724059660049043</v>
      </c>
      <c r="H32" s="110">
        <f>0.0000000000000001*H44*H50</f>
        <v>9.4545576236162603E-7</v>
      </c>
      <c r="I32" s="125">
        <v>1.0757609752900001E-2</v>
      </c>
      <c r="J32" s="50">
        <v>5.3246466028034567E-2</v>
      </c>
      <c r="K32" s="50">
        <v>3.964889467473246E-3</v>
      </c>
      <c r="L32" s="67">
        <v>2.758402308424546E-2</v>
      </c>
      <c r="N32" s="18">
        <v>5.9027510100190803E-7</v>
      </c>
      <c r="O32" s="18">
        <v>6.4790332506584666E-11</v>
      </c>
      <c r="P32" s="18">
        <v>1.5506265956245046E-8</v>
      </c>
      <c r="Q32" s="28">
        <v>0.67272727272727273</v>
      </c>
      <c r="R32" s="61">
        <v>108.18980659701677</v>
      </c>
      <c r="S32" s="58">
        <v>3.0240686499607252E-6</v>
      </c>
      <c r="U32" s="173">
        <v>3.7118516114595497E-2</v>
      </c>
      <c r="V32" s="173">
        <v>2.758402308424546E-2</v>
      </c>
      <c r="W32" s="174">
        <v>1.1176521314957329E-2</v>
      </c>
      <c r="X32" s="174">
        <f t="shared" si="0"/>
        <v>2.5865770899510938E-2</v>
      </c>
      <c r="Y32" s="187">
        <f t="shared" si="1"/>
        <v>47.689939331331004</v>
      </c>
      <c r="AA32" s="144">
        <f t="shared" si="2"/>
        <v>0.10757609752900001</v>
      </c>
      <c r="AB32" s="145">
        <f t="shared" si="3"/>
        <v>5.3246466028034567E-2</v>
      </c>
      <c r="AC32" s="145">
        <f t="shared" si="4"/>
        <v>3.964889467473246E-3</v>
      </c>
      <c r="AD32" s="145">
        <f t="shared" si="7"/>
        <v>2.5865770899510938E-2</v>
      </c>
      <c r="AE32" s="146">
        <f t="shared" si="5"/>
        <v>-2.1660193402983223</v>
      </c>
      <c r="AF32" s="146">
        <f t="shared" si="6"/>
        <v>3.0240686499607251E-4</v>
      </c>
      <c r="AH32" s="183"/>
      <c r="AI32" s="184"/>
      <c r="AJ32" s="184"/>
    </row>
    <row r="33" spans="2:36" ht="18.75" x14ac:dyDescent="0.25">
      <c r="B33" s="111" t="s">
        <v>616</v>
      </c>
      <c r="C33" s="112">
        <f>H34</f>
        <v>2.8630735093003271E-6</v>
      </c>
      <c r="D33" s="113">
        <v>7.9300000000000003E-12</v>
      </c>
      <c r="E33" s="113">
        <v>3.6399999999999998E-10</v>
      </c>
      <c r="F33" s="114">
        <v>44.525552128511919</v>
      </c>
      <c r="G33" s="115">
        <f>F32</f>
        <v>36.089658308560537</v>
      </c>
      <c r="H33" s="116" t="s">
        <v>647</v>
      </c>
      <c r="I33" s="125">
        <v>1.08651858504E-2</v>
      </c>
      <c r="J33" s="50">
        <v>4.156402782817082E-2</v>
      </c>
      <c r="K33" s="50">
        <v>3.4512789057423699E-3</v>
      </c>
      <c r="L33" s="67">
        <v>2.5620674847915786E-2</v>
      </c>
      <c r="N33" s="18">
        <v>4.9808664613620808E-7</v>
      </c>
      <c r="O33" s="18">
        <v>6.9458451759677908E-11</v>
      </c>
      <c r="P33" s="18">
        <v>1.7339428348427491E-8</v>
      </c>
      <c r="Q33" s="28">
        <v>0.67272727272727273</v>
      </c>
      <c r="R33" s="61">
        <v>108.18980659701677</v>
      </c>
      <c r="S33" s="58">
        <v>3.1356258182191214E-6</v>
      </c>
      <c r="U33" s="173">
        <v>3.5883634025328119E-2</v>
      </c>
      <c r="V33" s="173">
        <v>2.5620674847915786E-2</v>
      </c>
      <c r="W33" s="174">
        <v>9.7588038067255595E-3</v>
      </c>
      <c r="X33" s="174">
        <f t="shared" si="0"/>
        <v>2.4220946881971312E-2</v>
      </c>
      <c r="Y33" s="187">
        <f t="shared" si="1"/>
        <v>25.251802742567282</v>
      </c>
      <c r="AA33" s="144">
        <f t="shared" si="2"/>
        <v>0.108651858504</v>
      </c>
      <c r="AB33" s="145">
        <f t="shared" si="3"/>
        <v>4.156402782817082E-2</v>
      </c>
      <c r="AC33" s="145">
        <f t="shared" si="4"/>
        <v>3.4512789057423699E-3</v>
      </c>
      <c r="AD33" s="145">
        <f t="shared" si="7"/>
        <v>2.4220946881971312E-2</v>
      </c>
      <c r="AE33" s="146">
        <f t="shared" si="5"/>
        <v>-2.1660193402983223</v>
      </c>
      <c r="AF33" s="146">
        <f t="shared" si="6"/>
        <v>3.1356258182191213E-4</v>
      </c>
      <c r="AH33" s="183"/>
      <c r="AI33" s="184"/>
      <c r="AJ33" s="184"/>
    </row>
    <row r="34" spans="2:36" x14ac:dyDescent="0.25">
      <c r="B34" s="107" t="s">
        <v>615</v>
      </c>
      <c r="C34" s="108">
        <f>H32</f>
        <v>9.4545576236162603E-7</v>
      </c>
      <c r="D34" s="108">
        <v>1.5392483148537927E-10</v>
      </c>
      <c r="E34" s="108">
        <v>5.0509225500401457E-8</v>
      </c>
      <c r="F34" s="109">
        <f>(2*H38-F35-F33)/2</f>
        <v>74.089624059824445</v>
      </c>
      <c r="G34" s="109">
        <f>G35</f>
        <v>44.5</v>
      </c>
      <c r="H34" s="110">
        <f>0.0000000000000001*(H52*H44*(H48/H46))</f>
        <v>2.8630735093003271E-6</v>
      </c>
      <c r="I34" s="125">
        <v>1.09738377089E-2</v>
      </c>
      <c r="J34" s="50">
        <v>3.5895550944130869E-2</v>
      </c>
      <c r="K34" s="50">
        <v>3.0184436647243355E-3</v>
      </c>
      <c r="L34" s="67">
        <v>2.3683284260747683E-2</v>
      </c>
      <c r="N34" s="18">
        <v>4.0207087693647963E-7</v>
      </c>
      <c r="O34" s="18">
        <v>7.4320372337635277E-11</v>
      </c>
      <c r="P34" s="18">
        <v>1.9248695956696008E-8</v>
      </c>
      <c r="Q34" s="28">
        <v>0.67272727272727273</v>
      </c>
      <c r="R34" s="61">
        <v>108.86253386974404</v>
      </c>
      <c r="S34" s="58">
        <v>3.1356258182191214E-6</v>
      </c>
      <c r="U34" s="173">
        <v>3.4602691205203984E-2</v>
      </c>
      <c r="V34" s="173">
        <v>2.3683284260747683E-2</v>
      </c>
      <c r="W34" s="174">
        <v>8.4909565476298954E-3</v>
      </c>
      <c r="X34" s="174">
        <f t="shared" si="0"/>
        <v>2.2615054068582312E-2</v>
      </c>
      <c r="Y34" s="187">
        <f t="shared" si="1"/>
        <v>19.358089727125385</v>
      </c>
      <c r="AA34" s="144">
        <f t="shared" si="2"/>
        <v>0.109738377089</v>
      </c>
      <c r="AB34" s="145">
        <f t="shared" si="3"/>
        <v>3.5895550944130869E-2</v>
      </c>
      <c r="AC34" s="145">
        <f t="shared" si="4"/>
        <v>3.0184436647243355E-3</v>
      </c>
      <c r="AD34" s="145">
        <f t="shared" si="7"/>
        <v>2.2615054068582312E-2</v>
      </c>
      <c r="AE34" s="146">
        <f t="shared" si="5"/>
        <v>-2.0987466130255954</v>
      </c>
      <c r="AF34" s="146">
        <f t="shared" si="6"/>
        <v>3.1356258182191213E-4</v>
      </c>
      <c r="AH34" s="183"/>
      <c r="AI34" s="184"/>
      <c r="AJ34" s="184"/>
    </row>
    <row r="35" spans="2:36" ht="19.5" x14ac:dyDescent="0.3">
      <c r="B35" s="111" t="s">
        <v>616</v>
      </c>
      <c r="C35" s="112">
        <f>H34</f>
        <v>2.8630735093003271E-6</v>
      </c>
      <c r="D35" s="113">
        <v>7.9300000000000003E-12</v>
      </c>
      <c r="E35" s="113">
        <v>3.6399999999999998E-10</v>
      </c>
      <c r="F35" s="160">
        <f>F33</f>
        <v>44.525552128511919</v>
      </c>
      <c r="G35" s="123">
        <f>44.5</f>
        <v>44.5</v>
      </c>
      <c r="H35" s="117" t="s">
        <v>648</v>
      </c>
      <c r="I35" s="125">
        <v>1.1083576086E-2</v>
      </c>
      <c r="J35" s="50">
        <v>3.9257413813062941E-2</v>
      </c>
      <c r="K35" s="50">
        <v>3.0806482262819655E-3</v>
      </c>
      <c r="L35" s="67">
        <v>2.1780256617935145E-2</v>
      </c>
      <c r="N35" s="18">
        <v>3.0308082195295415E-7</v>
      </c>
      <c r="O35" s="18">
        <v>7.9332900688530401E-11</v>
      </c>
      <c r="P35" s="18">
        <v>2.1217106932267297E-8</v>
      </c>
      <c r="Q35" s="28">
        <v>0.67272727272727273</v>
      </c>
      <c r="R35" s="61">
        <v>108.86253386974404</v>
      </c>
      <c r="S35" s="58">
        <v>3.2114191583134997E-6</v>
      </c>
      <c r="U35" s="173">
        <v>3.3278719037749031E-2</v>
      </c>
      <c r="V35" s="173">
        <v>2.1780256617935145E-2</v>
      </c>
      <c r="W35" s="174">
        <v>7.3809734013415866E-3</v>
      </c>
      <c r="X35" s="174">
        <f t="shared" si="0"/>
        <v>2.1055051418740228E-2</v>
      </c>
      <c r="Y35" s="187">
        <f t="shared" si="1"/>
        <v>34.911723833204043</v>
      </c>
      <c r="AA35" s="144">
        <f t="shared" si="2"/>
        <v>0.11083576085999999</v>
      </c>
      <c r="AB35" s="145">
        <f t="shared" si="3"/>
        <v>3.9257413813062941E-2</v>
      </c>
      <c r="AC35" s="145">
        <f t="shared" si="4"/>
        <v>3.0806482262819655E-3</v>
      </c>
      <c r="AD35" s="145">
        <f t="shared" si="7"/>
        <v>2.1055051418740228E-2</v>
      </c>
      <c r="AE35" s="146">
        <f t="shared" si="5"/>
        <v>-2.0987466130255954</v>
      </c>
      <c r="AF35" s="146">
        <f t="shared" si="6"/>
        <v>3.2114191583134999E-4</v>
      </c>
      <c r="AH35" s="183"/>
      <c r="AI35" s="184"/>
      <c r="AJ35" s="184"/>
    </row>
    <row r="36" spans="2:36" x14ac:dyDescent="0.25">
      <c r="B36" s="107" t="s">
        <v>615</v>
      </c>
      <c r="C36" s="108">
        <f>H32</f>
        <v>9.4545576236162603E-7</v>
      </c>
      <c r="D36" s="108">
        <v>1.5392483148537927E-10</v>
      </c>
      <c r="E36" s="108">
        <v>5.0509225500401457E-8</v>
      </c>
      <c r="F36" s="109">
        <f>(2*H38-F37-F35)/2</f>
        <v>74.089624059824445</v>
      </c>
      <c r="G36" s="109">
        <f>G35</f>
        <v>44.5</v>
      </c>
      <c r="H36" s="118">
        <f>H38/5</f>
        <v>23.723035237667272</v>
      </c>
      <c r="I36" s="125">
        <v>1.11944118468E-2</v>
      </c>
      <c r="J36" s="50">
        <v>4.3188742826072983E-2</v>
      </c>
      <c r="K36" s="50">
        <v>3.0567706757774504E-3</v>
      </c>
      <c r="L36" s="67">
        <v>1.992026254697216E-2</v>
      </c>
      <c r="N36" s="18">
        <v>2.0205689163269967E-7</v>
      </c>
      <c r="O36" s="18">
        <v>8.4448417714906148E-11</v>
      </c>
      <c r="P36" s="18">
        <v>2.3225961371820994E-8</v>
      </c>
      <c r="Q36" s="28">
        <v>0.67272727272727273</v>
      </c>
      <c r="R36" s="61">
        <v>109.53526114247131</v>
      </c>
      <c r="S36" s="58">
        <v>3.2114191583134997E-6</v>
      </c>
      <c r="U36" s="173">
        <v>3.1915176804632024E-2</v>
      </c>
      <c r="V36" s="173">
        <v>1.992026254697216E-2</v>
      </c>
      <c r="W36" s="174">
        <v>6.4361553111018776E-3</v>
      </c>
      <c r="X36" s="174">
        <f t="shared" si="0"/>
        <v>1.9547964302419556E-2</v>
      </c>
      <c r="Y36" s="187">
        <f t="shared" si="1"/>
        <v>59.813309372487709</v>
      </c>
      <c r="AA36" s="144">
        <f t="shared" si="2"/>
        <v>0.111944118468</v>
      </c>
      <c r="AB36" s="145">
        <f t="shared" si="3"/>
        <v>4.3188742826072983E-2</v>
      </c>
      <c r="AC36" s="145">
        <f t="shared" si="4"/>
        <v>3.0567706757774504E-3</v>
      </c>
      <c r="AD36" s="145">
        <f t="shared" si="7"/>
        <v>1.9547964302419556E-2</v>
      </c>
      <c r="AE36" s="146">
        <f t="shared" si="5"/>
        <v>-2.031473885752868</v>
      </c>
      <c r="AF36" s="146">
        <f t="shared" si="6"/>
        <v>3.2114191583134999E-4</v>
      </c>
      <c r="AH36" s="183"/>
      <c r="AI36" s="184"/>
      <c r="AJ36" s="184"/>
    </row>
    <row r="37" spans="2:36" ht="19.5" x14ac:dyDescent="0.3">
      <c r="B37" s="111" t="s">
        <v>616</v>
      </c>
      <c r="C37" s="112">
        <f>H34</f>
        <v>2.8630735093003271E-6</v>
      </c>
      <c r="D37" s="113">
        <v>7.9300000000000003E-12</v>
      </c>
      <c r="E37" s="113">
        <v>3.6399999999999998E-10</v>
      </c>
      <c r="F37" s="160">
        <f>F33</f>
        <v>44.525552128511919</v>
      </c>
      <c r="G37" s="115">
        <f>G36</f>
        <v>44.5</v>
      </c>
      <c r="H37" s="117" t="s">
        <v>649</v>
      </c>
      <c r="I37" s="125">
        <v>1.13063559653E-2</v>
      </c>
      <c r="J37" s="50">
        <v>3.4379931032859183E-2</v>
      </c>
      <c r="K37" s="50">
        <v>2.7644330422570669E-3</v>
      </c>
      <c r="L37" s="67">
        <v>1.8112185104522713E-2</v>
      </c>
      <c r="N37" s="18">
        <v>1.2555488706565143E-7</v>
      </c>
      <c r="O37" s="18">
        <v>8.8322225686489311E-11</v>
      </c>
      <c r="P37" s="18">
        <v>2.4747198873051692E-8</v>
      </c>
      <c r="Q37" s="28">
        <v>0.33636363636363636</v>
      </c>
      <c r="R37" s="61">
        <v>109.53526114247131</v>
      </c>
      <c r="S37" s="58">
        <v>3.2528288179516519E-6</v>
      </c>
      <c r="U37" s="173">
        <v>3.0515956256534638E-2</v>
      </c>
      <c r="V37" s="173">
        <v>1.8112185104522713E-2</v>
      </c>
      <c r="W37" s="174">
        <v>5.6629992486246341E-3</v>
      </c>
      <c r="X37" s="174">
        <f t="shared" si="0"/>
        <v>1.8100831428551175E-2</v>
      </c>
      <c r="Y37" s="187">
        <f t="shared" si="1"/>
        <v>34.677566262925076</v>
      </c>
      <c r="AA37" s="144">
        <f t="shared" si="2"/>
        <v>0.113063559653</v>
      </c>
      <c r="AB37" s="145">
        <f t="shared" si="3"/>
        <v>3.4379931032859183E-2</v>
      </c>
      <c r="AC37" s="145">
        <f t="shared" si="4"/>
        <v>2.7644330422570669E-3</v>
      </c>
      <c r="AD37" s="145">
        <f t="shared" si="7"/>
        <v>1.8100831428551175E-2</v>
      </c>
      <c r="AE37" s="146">
        <f t="shared" si="5"/>
        <v>-2.031473885752868</v>
      </c>
      <c r="AF37" s="146">
        <f t="shared" si="6"/>
        <v>3.2528288179516519E-4</v>
      </c>
      <c r="AH37" s="183"/>
      <c r="AI37" s="184"/>
      <c r="AJ37" s="184"/>
    </row>
    <row r="38" spans="2:36" x14ac:dyDescent="0.25">
      <c r="B38" s="107" t="s">
        <v>615</v>
      </c>
      <c r="C38" s="108">
        <f>H32</f>
        <v>9.4545576236162603E-7</v>
      </c>
      <c r="D38" s="108">
        <v>1.5392483148537927E-10</v>
      </c>
      <c r="E38" s="108">
        <v>5.0509225500401457E-8</v>
      </c>
      <c r="F38" s="109">
        <f>F69*H42-(F37-F68*H42)/2</f>
        <v>64.819056983118031</v>
      </c>
      <c r="G38" s="109">
        <f>G37</f>
        <v>44.5</v>
      </c>
      <c r="H38" s="118">
        <f>H69*H42</f>
        <v>118.61517618833636</v>
      </c>
      <c r="I38" s="125">
        <v>1.1419419525E-2</v>
      </c>
      <c r="J38" s="50">
        <v>3.3279320372843278E-2</v>
      </c>
      <c r="K38" s="50">
        <v>2.6107452149465404E-3</v>
      </c>
      <c r="L38" s="67">
        <v>1.636505974259771E-2</v>
      </c>
      <c r="N38" s="18">
        <v>6.4412433882908383E-8</v>
      </c>
      <c r="O38" s="18">
        <v>9.0989035869890267E-11</v>
      </c>
      <c r="P38" s="18">
        <v>2.5794450489344305E-8</v>
      </c>
      <c r="Q38" s="28">
        <v>0.35684649243163219</v>
      </c>
      <c r="R38" s="61">
        <v>110.20798841519859</v>
      </c>
      <c r="S38" s="58">
        <v>3.2528288179516519E-6</v>
      </c>
      <c r="U38" s="173">
        <v>2.9085383135996946E-2</v>
      </c>
      <c r="V38" s="173">
        <v>1.636505974259771E-2</v>
      </c>
      <c r="W38" s="174">
        <v>5.067088961958165E-3</v>
      </c>
      <c r="X38" s="174">
        <f t="shared" si="0"/>
        <v>1.6720647895787633E-2</v>
      </c>
      <c r="Y38" s="187">
        <f t="shared" si="1"/>
        <v>40.227408047319919</v>
      </c>
      <c r="AA38" s="144">
        <f t="shared" si="2"/>
        <v>0.11419419525000001</v>
      </c>
      <c r="AB38" s="145">
        <f t="shared" si="3"/>
        <v>3.3279320372843278E-2</v>
      </c>
      <c r="AC38" s="145">
        <f t="shared" si="4"/>
        <v>2.6107452149465404E-3</v>
      </c>
      <c r="AD38" s="145">
        <f t="shared" si="7"/>
        <v>1.6720647895787633E-2</v>
      </c>
      <c r="AE38" s="146">
        <f t="shared" si="5"/>
        <v>-1.9642011584801409</v>
      </c>
      <c r="AF38" s="146">
        <f t="shared" si="6"/>
        <v>3.2528288179516519E-4</v>
      </c>
      <c r="AH38" s="183"/>
      <c r="AI38" s="184"/>
      <c r="AJ38" s="184"/>
    </row>
    <row r="39" spans="2:36" ht="19.5" x14ac:dyDescent="0.3">
      <c r="B39" s="155" t="s">
        <v>539</v>
      </c>
      <c r="C39" s="128">
        <v>8.9999999999999996E-7</v>
      </c>
      <c r="D39" s="128">
        <v>1.5392483148537927E-10</v>
      </c>
      <c r="E39" s="128">
        <v>5.0509225500401457E-8</v>
      </c>
      <c r="F39" s="123">
        <v>15.701245666991817</v>
      </c>
      <c r="G39" s="159">
        <f>F39</f>
        <v>15.701245666991817</v>
      </c>
      <c r="H39" s="117" t="s">
        <v>650</v>
      </c>
      <c r="I39" s="125">
        <v>1.15336137202E-2</v>
      </c>
      <c r="J39" s="50">
        <v>3.0520782290110373E-2</v>
      </c>
      <c r="K39" s="50">
        <v>2.5983779548649794E-3</v>
      </c>
      <c r="L39" s="67">
        <v>1.4688007165627553E-2</v>
      </c>
      <c r="N39" s="18">
        <v>-1.8718384611816645E-8</v>
      </c>
      <c r="O39" s="18">
        <v>9.509759135635636E-11</v>
      </c>
      <c r="P39" s="18">
        <v>2.7407872922092777E-8</v>
      </c>
      <c r="Q39" s="28">
        <v>0.71369298486326438</v>
      </c>
      <c r="R39" s="61">
        <v>110.20798841519859</v>
      </c>
      <c r="S39" s="58">
        <v>3.2654973987771447E-6</v>
      </c>
      <c r="U39" s="173">
        <v>2.7628215241402253E-2</v>
      </c>
      <c r="V39" s="173">
        <v>1.4688007165627553E-2</v>
      </c>
      <c r="W39" s="174">
        <v>4.6529893459216079E-3</v>
      </c>
      <c r="X39" s="174">
        <f t="shared" si="0"/>
        <v>1.5414304729644741E-2</v>
      </c>
      <c r="Y39" s="187">
        <f t="shared" si="1"/>
        <v>33.800394872562372</v>
      </c>
      <c r="AA39" s="144">
        <f t="shared" si="2"/>
        <v>0.11533613720200001</v>
      </c>
      <c r="AB39" s="145">
        <f t="shared" si="3"/>
        <v>3.0520782290110373E-2</v>
      </c>
      <c r="AC39" s="145">
        <f t="shared" si="4"/>
        <v>2.5983779548649794E-3</v>
      </c>
      <c r="AD39" s="145">
        <f t="shared" si="7"/>
        <v>1.5414304729644741E-2</v>
      </c>
      <c r="AE39" s="146">
        <f t="shared" si="5"/>
        <v>-1.9642011584801409</v>
      </c>
      <c r="AF39" s="146">
        <f t="shared" si="6"/>
        <v>3.2654973987771447E-4</v>
      </c>
      <c r="AH39" s="183"/>
      <c r="AI39" s="184"/>
      <c r="AJ39" s="184"/>
    </row>
    <row r="40" spans="2:36" x14ac:dyDescent="0.25">
      <c r="B40" s="154" t="s">
        <v>504</v>
      </c>
      <c r="C40" s="158">
        <v>3.4400000000000001E-6</v>
      </c>
      <c r="D40" s="158">
        <v>2.5307649463664093E-11</v>
      </c>
      <c r="E40" s="158">
        <v>1.486857631694136E-12</v>
      </c>
      <c r="F40" s="139">
        <v>14.8</v>
      </c>
      <c r="G40" s="139">
        <f>F40</f>
        <v>14.8</v>
      </c>
      <c r="H40" s="118">
        <f>SUM(F32:F38)</f>
        <v>382.66461979686312</v>
      </c>
      <c r="I40" s="125">
        <v>1.16489498574E-2</v>
      </c>
      <c r="J40" s="50">
        <v>2.8181746540684338E-2</v>
      </c>
      <c r="K40" s="50">
        <v>2.2581805748258773E-3</v>
      </c>
      <c r="L40" s="67">
        <v>1.30901592756062E-2</v>
      </c>
      <c r="N40" s="18">
        <v>-1.2901478343095504E-7</v>
      </c>
      <c r="O40" s="18">
        <v>1.0051655036892836E-10</v>
      </c>
      <c r="P40" s="18">
        <v>2.9535888489069341E-8</v>
      </c>
      <c r="Q40" s="28">
        <v>0.71369298486326438</v>
      </c>
      <c r="R40" s="61">
        <v>110.88071568792586</v>
      </c>
      <c r="S40" s="58">
        <v>3.2654973987771447E-6</v>
      </c>
      <c r="U40" s="173">
        <v>2.6149636639516038E-2</v>
      </c>
      <c r="V40" s="173">
        <v>1.30901592756062E-2</v>
      </c>
      <c r="W40" s="174">
        <v>4.4241463553984966E-3</v>
      </c>
      <c r="X40" s="174">
        <f t="shared" si="0"/>
        <v>1.4188525386531734E-2</v>
      </c>
      <c r="Y40" s="187">
        <f t="shared" si="1"/>
        <v>38.398836160719199</v>
      </c>
      <c r="AA40" s="144">
        <f t="shared" si="2"/>
        <v>0.11648949857400001</v>
      </c>
      <c r="AB40" s="145">
        <f t="shared" si="3"/>
        <v>2.8181746540684338E-2</v>
      </c>
      <c r="AC40" s="145">
        <f t="shared" si="4"/>
        <v>2.2581805748258773E-3</v>
      </c>
      <c r="AD40" s="145">
        <f t="shared" si="7"/>
        <v>1.4188525386531734E-2</v>
      </c>
      <c r="AE40" s="146">
        <f t="shared" si="5"/>
        <v>-1.8969284312074137</v>
      </c>
      <c r="AF40" s="146">
        <f t="shared" si="6"/>
        <v>3.2654973987771447E-4</v>
      </c>
      <c r="AH40" s="183"/>
      <c r="AI40" s="184"/>
      <c r="AJ40" s="184"/>
    </row>
    <row r="41" spans="2:36" ht="18.75" x14ac:dyDescent="0.25">
      <c r="B41" s="154" t="s">
        <v>52</v>
      </c>
      <c r="C41" s="158">
        <v>2.0700000000000001E-6</v>
      </c>
      <c r="D41" s="158">
        <v>4.7498147887006942E-11</v>
      </c>
      <c r="E41" s="158">
        <v>1.9976998807213682E-12</v>
      </c>
      <c r="F41" s="139">
        <v>100</v>
      </c>
      <c r="G41" s="139">
        <v>5</v>
      </c>
      <c r="H41" s="162" t="s">
        <v>651</v>
      </c>
      <c r="I41" s="126">
        <v>1.1765439355999999E-2</v>
      </c>
      <c r="J41" s="127">
        <v>2.471230094226878E-2</v>
      </c>
      <c r="K41" s="127">
        <v>2.0401258280503148E-3</v>
      </c>
      <c r="L41" s="67">
        <v>1.1580578554569013E-2</v>
      </c>
      <c r="N41" s="18">
        <v>-2.3773325127389844E-7</v>
      </c>
      <c r="O41" s="18">
        <v>1.0581288972393078E-10</v>
      </c>
      <c r="P41" s="18">
        <v>3.1615751534589294E-8</v>
      </c>
      <c r="Q41" s="28">
        <v>0.71369298486326438</v>
      </c>
      <c r="R41" s="61">
        <v>110.88071568792586</v>
      </c>
      <c r="S41" s="58">
        <v>3.2564363963175537E-6</v>
      </c>
      <c r="U41" s="173">
        <v>2.4655247636318711E-2</v>
      </c>
      <c r="V41" s="173">
        <v>1.1580578554569013E-2</v>
      </c>
      <c r="W41" s="174">
        <v>4.3827944049290571E-3</v>
      </c>
      <c r="X41" s="174">
        <f t="shared" si="0"/>
        <v>1.3049799787596449E-2</v>
      </c>
      <c r="Y41" s="187">
        <f t="shared" si="1"/>
        <v>32.679055157344727</v>
      </c>
      <c r="AA41" s="144">
        <f t="shared" si="2"/>
        <v>0.11765439355999999</v>
      </c>
      <c r="AB41" s="145">
        <f t="shared" si="3"/>
        <v>2.471230094226878E-2</v>
      </c>
      <c r="AC41" s="145">
        <f t="shared" si="4"/>
        <v>2.0401258280503148E-3</v>
      </c>
      <c r="AD41" s="145">
        <f t="shared" si="7"/>
        <v>1.3049799787596449E-2</v>
      </c>
      <c r="AE41" s="146">
        <f t="shared" si="5"/>
        <v>-1.8969284312074137</v>
      </c>
      <c r="AF41" s="146">
        <f t="shared" si="6"/>
        <v>3.2564363963175536E-4</v>
      </c>
      <c r="AH41" s="183"/>
      <c r="AI41" s="184"/>
      <c r="AJ41" s="184"/>
    </row>
    <row r="42" spans="2:36" x14ac:dyDescent="0.25">
      <c r="B42" s="119"/>
      <c r="C42" s="120"/>
      <c r="D42" s="120"/>
      <c r="E42" s="120"/>
      <c r="F42" s="120"/>
      <c r="G42" s="120"/>
      <c r="H42" s="163">
        <v>0.72912241996624438</v>
      </c>
      <c r="I42" s="126">
        <v>1.1883093749499999E-2</v>
      </c>
      <c r="J42" s="127">
        <v>2.2361799786321503E-2</v>
      </c>
      <c r="K42" s="127">
        <v>1.9594488234012191E-3</v>
      </c>
      <c r="L42" s="67">
        <v>1.0168171369196774E-2</v>
      </c>
      <c r="N42" s="18">
        <v>-3.4392333020847877E-7</v>
      </c>
      <c r="O42" s="18">
        <v>1.1093048112340729E-10</v>
      </c>
      <c r="P42" s="18">
        <v>3.3625420575865639E-8</v>
      </c>
      <c r="Q42" s="28">
        <v>0.71369298486326438</v>
      </c>
      <c r="R42" s="61">
        <v>111.55344296065313</v>
      </c>
      <c r="S42" s="58">
        <v>3.2564363963175537E-6</v>
      </c>
      <c r="U42" s="173">
        <v>2.3151050096445233E-2</v>
      </c>
      <c r="V42" s="173">
        <v>1.0168171369196774E-2</v>
      </c>
      <c r="W42" s="174">
        <v>4.5298731747211241E-3</v>
      </c>
      <c r="X42" s="174">
        <f t="shared" si="0"/>
        <v>1.2004316502389976E-2</v>
      </c>
      <c r="Y42" s="187">
        <f t="shared" si="1"/>
        <v>27.940915497025426</v>
      </c>
      <c r="AA42" s="144">
        <f t="shared" si="2"/>
        <v>0.118830937495</v>
      </c>
      <c r="AB42" s="145">
        <f t="shared" si="3"/>
        <v>2.2361799786321503E-2</v>
      </c>
      <c r="AC42" s="145">
        <f t="shared" si="4"/>
        <v>1.9594488234012191E-3</v>
      </c>
      <c r="AD42" s="145">
        <f t="shared" si="7"/>
        <v>1.2004316502389976E-2</v>
      </c>
      <c r="AE42" s="146">
        <f t="shared" si="5"/>
        <v>-1.8296557039346866</v>
      </c>
      <c r="AF42" s="146">
        <f t="shared" si="6"/>
        <v>3.2564363963175536E-4</v>
      </c>
      <c r="AH42" s="183"/>
      <c r="AI42" s="184"/>
      <c r="AJ42" s="184"/>
    </row>
    <row r="43" spans="2:36" ht="18.75" x14ac:dyDescent="0.25">
      <c r="B43" s="119"/>
      <c r="C43" s="120"/>
      <c r="D43" s="120"/>
      <c r="E43" s="120"/>
      <c r="F43" s="120"/>
      <c r="G43" s="120"/>
      <c r="H43" s="116" t="s">
        <v>652</v>
      </c>
      <c r="I43" s="126">
        <v>1.2001924686999999E-2</v>
      </c>
      <c r="J43" s="127">
        <v>2.1148282333925725E-2</v>
      </c>
      <c r="K43" s="127">
        <v>1.8026153405848867E-3</v>
      </c>
      <c r="L43" s="67">
        <v>8.8615958812601602E-3</v>
      </c>
      <c r="N43" s="18">
        <v>-4.4676363152396654E-7</v>
      </c>
      <c r="O43" s="18">
        <v>1.1581908321002545E-10</v>
      </c>
      <c r="P43" s="18">
        <v>3.5545165921224869E-8</v>
      </c>
      <c r="Q43" s="28">
        <v>0.71369298486326438</v>
      </c>
      <c r="R43" s="61">
        <v>111.55344296065313</v>
      </c>
      <c r="S43" s="58">
        <v>3.2318442160194619E-6</v>
      </c>
      <c r="U43" s="173">
        <v>2.1643427736135212E-2</v>
      </c>
      <c r="V43" s="173">
        <v>8.8615958812601602E-3</v>
      </c>
      <c r="W43" s="174">
        <v>4.8649556859523277E-3</v>
      </c>
      <c r="X43" s="174">
        <f t="shared" si="0"/>
        <v>1.1057893796151965E-2</v>
      </c>
      <c r="Y43" s="187">
        <f t="shared" si="1"/>
        <v>31.333553712541249</v>
      </c>
      <c r="AA43" s="144">
        <f t="shared" si="2"/>
        <v>0.12001924686999998</v>
      </c>
      <c r="AB43" s="145">
        <f t="shared" si="3"/>
        <v>2.1148282333925725E-2</v>
      </c>
      <c r="AC43" s="145">
        <f t="shared" si="4"/>
        <v>1.8026153405848867E-3</v>
      </c>
      <c r="AD43" s="145">
        <f t="shared" si="7"/>
        <v>1.1057893796151965E-2</v>
      </c>
      <c r="AE43" s="146">
        <f t="shared" si="5"/>
        <v>-1.8296557039346866</v>
      </c>
      <c r="AF43" s="146">
        <f t="shared" si="6"/>
        <v>3.2318442160194619E-4</v>
      </c>
      <c r="AH43" s="183"/>
      <c r="AI43" s="184"/>
      <c r="AJ43" s="184"/>
    </row>
    <row r="44" spans="2:36" x14ac:dyDescent="0.25">
      <c r="B44" s="119"/>
      <c r="C44" s="120"/>
      <c r="D44" s="120"/>
      <c r="E44" s="120"/>
      <c r="F44" s="120"/>
      <c r="G44" s="120"/>
      <c r="H44" s="164">
        <f>H75*(H46/B46)*(H40/H71)/H42</f>
        <v>0.92714465541713764</v>
      </c>
      <c r="I44" s="126">
        <v>1.21219439339E-2</v>
      </c>
      <c r="J44" s="127">
        <v>2.1440994079961771E-2</v>
      </c>
      <c r="K44" s="127">
        <v>1.7816806123867458E-3</v>
      </c>
      <c r="L44" s="67">
        <v>7.6691654362302372E-3</v>
      </c>
      <c r="N44" s="18">
        <v>-5.4558711925537787E-7</v>
      </c>
      <c r="O44" s="18">
        <v>1.2043579780249237E-10</v>
      </c>
      <c r="P44" s="18">
        <v>3.7358141531164857E-8</v>
      </c>
      <c r="Q44" s="28">
        <v>0.71369298486326438</v>
      </c>
      <c r="R44" s="61">
        <v>112.2261702333804</v>
      </c>
      <c r="S44" s="58">
        <v>3.2318442160194619E-6</v>
      </c>
      <c r="U44" s="173">
        <v>2.0139121053910747E-2</v>
      </c>
      <c r="V44" s="173">
        <v>7.6691654362302372E-3</v>
      </c>
      <c r="W44" s="174">
        <v>5.3861893808855215E-3</v>
      </c>
      <c r="X44" s="174">
        <f t="shared" si="0"/>
        <v>1.0215910326814187E-2</v>
      </c>
      <c r="Y44" s="187">
        <f t="shared" si="1"/>
        <v>39.693507035087386</v>
      </c>
      <c r="AA44" s="144">
        <f t="shared" si="2"/>
        <v>0.12121943933900001</v>
      </c>
      <c r="AB44" s="145">
        <f t="shared" si="3"/>
        <v>2.1440994079961771E-2</v>
      </c>
      <c r="AC44" s="145">
        <f t="shared" si="4"/>
        <v>1.7816806123867458E-3</v>
      </c>
      <c r="AD44" s="145">
        <f t="shared" si="7"/>
        <v>1.0215910326814187E-2</v>
      </c>
      <c r="AE44" s="146">
        <f t="shared" si="5"/>
        <v>-1.7623829766619594</v>
      </c>
      <c r="AF44" s="146">
        <f t="shared" si="6"/>
        <v>3.2318442160194619E-4</v>
      </c>
      <c r="AH44" s="183"/>
      <c r="AI44" s="184"/>
      <c r="AJ44" s="184"/>
    </row>
    <row r="45" spans="2:36" ht="19.5" x14ac:dyDescent="0.3">
      <c r="B45" s="117" t="s">
        <v>653</v>
      </c>
      <c r="C45" s="117" t="s">
        <v>654</v>
      </c>
      <c r="D45" s="117" t="s">
        <v>655</v>
      </c>
      <c r="E45" s="117" t="s">
        <v>656</v>
      </c>
      <c r="F45" s="117" t="s">
        <v>657</v>
      </c>
      <c r="G45" s="120"/>
      <c r="H45" s="117" t="s">
        <v>658</v>
      </c>
      <c r="I45" s="126">
        <v>1.22431633732E-2</v>
      </c>
      <c r="J45" s="127">
        <v>1.9984929844594275E-2</v>
      </c>
      <c r="K45" s="127">
        <v>3.8458638608285614E-3</v>
      </c>
      <c r="L45" s="67">
        <v>6.5987484530387009E-3</v>
      </c>
      <c r="N45" s="18">
        <v>-6.3989732316243692E-7</v>
      </c>
      <c r="O45" s="18">
        <v>1.2474613071288481E-10</v>
      </c>
      <c r="P45" s="18">
        <v>3.9050801599433758E-8</v>
      </c>
      <c r="Q45" s="28">
        <v>0.71369298486326438</v>
      </c>
      <c r="R45" s="61">
        <v>112.2261702333804</v>
      </c>
      <c r="S45" s="58">
        <v>3.1961241025034071E-6</v>
      </c>
      <c r="U45" s="173">
        <v>1.8645196569915617E-2</v>
      </c>
      <c r="V45" s="173">
        <v>6.5987484530387009E-3</v>
      </c>
      <c r="W45" s="174">
        <v>6.0902517749082362E-3</v>
      </c>
      <c r="X45" s="174">
        <f t="shared" si="0"/>
        <v>9.4832363127253134E-3</v>
      </c>
      <c r="Y45" s="187">
        <f t="shared" si="1"/>
        <v>7.4564286618779789</v>
      </c>
      <c r="AA45" s="144">
        <f t="shared" si="2"/>
        <v>0.122431633732</v>
      </c>
      <c r="AB45" s="145">
        <f t="shared" si="3"/>
        <v>1.9984929844594275E-2</v>
      </c>
      <c r="AC45" s="145">
        <f t="shared" si="4"/>
        <v>3.8458638608285614E-3</v>
      </c>
      <c r="AD45" s="145">
        <f t="shared" si="7"/>
        <v>9.4832363127253134E-3</v>
      </c>
      <c r="AE45" s="146">
        <f t="shared" si="5"/>
        <v>-1.7623829766619594</v>
      </c>
      <c r="AF45" s="146">
        <f t="shared" si="6"/>
        <v>3.1961241025034069E-4</v>
      </c>
      <c r="AH45" s="183"/>
      <c r="AI45" s="184"/>
      <c r="AJ45" s="184"/>
    </row>
    <row r="46" spans="2:36" x14ac:dyDescent="0.25">
      <c r="B46" s="164">
        <v>86.1</v>
      </c>
      <c r="C46" s="164">
        <v>92.1</v>
      </c>
      <c r="D46" s="164">
        <v>196.28</v>
      </c>
      <c r="E46" s="164">
        <v>208.28</v>
      </c>
      <c r="F46" s="164">
        <v>202.28</v>
      </c>
      <c r="G46" s="120"/>
      <c r="H46" s="164">
        <f>(2*(1-H54)*B46+H54*D46)/2</f>
        <v>87.905999999999992</v>
      </c>
      <c r="I46" s="126">
        <v>1.2365595007E-2</v>
      </c>
      <c r="J46" s="127">
        <v>1.6594426876724865E-2</v>
      </c>
      <c r="K46" s="127">
        <v>3.1580307632380483E-3</v>
      </c>
      <c r="L46" s="67">
        <v>5.6576660394488778E-3</v>
      </c>
      <c r="N46" s="18">
        <v>-7.2937478027904606E-7</v>
      </c>
      <c r="O46" s="18">
        <v>1.2872462070995868E-10</v>
      </c>
      <c r="P46" s="18">
        <v>4.0613147545803148E-8</v>
      </c>
      <c r="Q46" s="28">
        <v>0.71369298486326438</v>
      </c>
      <c r="R46" s="61">
        <v>112.89889750610767</v>
      </c>
      <c r="S46" s="58">
        <v>3.1961241025034071E-6</v>
      </c>
      <c r="U46" s="173">
        <v>1.7169010120856053E-2</v>
      </c>
      <c r="V46" s="173">
        <v>5.6576660394488778E-3</v>
      </c>
      <c r="W46" s="174">
        <v>6.9723220301198662E-3</v>
      </c>
      <c r="X46" s="174">
        <f t="shared" si="0"/>
        <v>8.8641660574684186E-3</v>
      </c>
      <c r="Y46" s="187">
        <f t="shared" si="1"/>
        <v>5.9917761783042014</v>
      </c>
      <c r="AA46" s="144">
        <f t="shared" si="2"/>
        <v>0.12365595006999999</v>
      </c>
      <c r="AB46" s="145">
        <f t="shared" si="3"/>
        <v>1.6594426876724865E-2</v>
      </c>
      <c r="AC46" s="145">
        <f t="shared" si="4"/>
        <v>3.1580307632380483E-3</v>
      </c>
      <c r="AD46" s="145">
        <f t="shared" si="7"/>
        <v>8.8641660574684186E-3</v>
      </c>
      <c r="AE46" s="146">
        <f t="shared" si="5"/>
        <v>-1.695110249389232</v>
      </c>
      <c r="AF46" s="146">
        <f t="shared" si="6"/>
        <v>3.1961241025034069E-4</v>
      </c>
      <c r="AH46" s="183"/>
      <c r="AI46" s="184"/>
      <c r="AJ46" s="184"/>
    </row>
    <row r="47" spans="2:36" ht="19.5" x14ac:dyDescent="0.3">
      <c r="B47" s="117" t="s">
        <v>659</v>
      </c>
      <c r="C47" s="117" t="s">
        <v>660</v>
      </c>
      <c r="D47" s="117" t="s">
        <v>661</v>
      </c>
      <c r="E47" s="117" t="s">
        <v>662</v>
      </c>
      <c r="F47" s="117" t="s">
        <v>663</v>
      </c>
      <c r="H47" s="117" t="s">
        <v>664</v>
      </c>
      <c r="I47" s="126">
        <v>1.2489250957E-2</v>
      </c>
      <c r="J47" s="127">
        <v>2.0157374338714555E-2</v>
      </c>
      <c r="K47" s="127">
        <v>3.3889510327704368E-3</v>
      </c>
      <c r="L47" s="67">
        <v>4.8525887249717759E-3</v>
      </c>
      <c r="N47" s="18">
        <v>-8.1387368497697351E-7</v>
      </c>
      <c r="O47" s="18">
        <v>1.3235502975839283E-10</v>
      </c>
      <c r="P47" s="18">
        <v>4.2038802722680689E-8</v>
      </c>
      <c r="Q47" s="28">
        <v>0.71369298486326438</v>
      </c>
      <c r="R47" s="61">
        <v>112.89889750610767</v>
      </c>
      <c r="S47" s="58">
        <v>3.1518867713483464E-6</v>
      </c>
      <c r="U47" s="173">
        <v>1.5718164033400442E-2</v>
      </c>
      <c r="V47" s="173">
        <v>4.8525887249717759E-3</v>
      </c>
      <c r="W47" s="174">
        <v>8.0260695243635008E-3</v>
      </c>
      <c r="X47" s="174">
        <f t="shared" si="0"/>
        <v>8.3623527519268732E-3</v>
      </c>
      <c r="Y47" s="187">
        <f t="shared" si="1"/>
        <v>12.113423268491594</v>
      </c>
      <c r="AA47" s="144">
        <f t="shared" si="2"/>
        <v>0.12489250957</v>
      </c>
      <c r="AB47" s="145">
        <f t="shared" si="3"/>
        <v>2.0157374338714555E-2</v>
      </c>
      <c r="AC47" s="145">
        <f t="shared" si="4"/>
        <v>3.3889510327704368E-3</v>
      </c>
      <c r="AD47" s="145">
        <f t="shared" si="7"/>
        <v>8.3623527519268732E-3</v>
      </c>
      <c r="AE47" s="146">
        <f t="shared" si="5"/>
        <v>-1.695110249389232</v>
      </c>
      <c r="AF47" s="146">
        <f t="shared" si="6"/>
        <v>3.1518867713483463E-4</v>
      </c>
      <c r="AH47" s="183"/>
      <c r="AI47" s="184"/>
      <c r="AJ47" s="184"/>
    </row>
    <row r="48" spans="2:36" x14ac:dyDescent="0.25">
      <c r="B48" s="110">
        <v>11000000000</v>
      </c>
      <c r="C48" s="110">
        <v>51100000000</v>
      </c>
      <c r="D48" s="110">
        <v>11300000000</v>
      </c>
      <c r="E48" s="110">
        <v>46800000000</v>
      </c>
      <c r="F48" s="110">
        <v>29600000000</v>
      </c>
      <c r="H48" s="164">
        <f>(2*(1-H54)*(H56*C46+(1-H56)*B46)+H54*(B50*E46+2*C50*F46+E50*D46))/2</f>
        <v>91.102775887588763</v>
      </c>
      <c r="I48" s="126">
        <v>1.2614143466599999E-2</v>
      </c>
      <c r="J48" s="127">
        <v>1.3830488559408575E-2</v>
      </c>
      <c r="K48" s="127">
        <v>2.8100290596587366E-3</v>
      </c>
      <c r="L48" s="67">
        <v>4.1896589686568906E-3</v>
      </c>
      <c r="N48" s="18">
        <v>-8.9340939852888069E-7</v>
      </c>
      <c r="O48" s="18">
        <v>1.3563011623289251E-10</v>
      </c>
      <c r="P48" s="18">
        <v>4.3324923356691872E-8</v>
      </c>
      <c r="Q48" s="28">
        <v>0.71369298486326438</v>
      </c>
      <c r="R48" s="61">
        <v>113.57162477883494</v>
      </c>
      <c r="S48" s="58">
        <v>3.1518867713483464E-6</v>
      </c>
      <c r="U48" s="173">
        <v>1.4302191134557517E-2</v>
      </c>
      <c r="V48" s="173">
        <v>4.1896589686568906E-3</v>
      </c>
      <c r="W48" s="174">
        <v>9.2413292812362994E-3</v>
      </c>
      <c r="X48" s="174">
        <f t="shared" si="0"/>
        <v>7.9807095882768984E-3</v>
      </c>
      <c r="Y48" s="187">
        <f t="shared" si="1"/>
        <v>4.3336845088748417</v>
      </c>
      <c r="AA48" s="144">
        <f t="shared" si="2"/>
        <v>0.126141434666</v>
      </c>
      <c r="AB48" s="145">
        <f t="shared" si="3"/>
        <v>1.3830488559408575E-2</v>
      </c>
      <c r="AC48" s="145">
        <f t="shared" si="4"/>
        <v>2.8100290596587366E-3</v>
      </c>
      <c r="AD48" s="145">
        <f t="shared" si="7"/>
        <v>7.9807095882768984E-3</v>
      </c>
      <c r="AE48" s="146">
        <f t="shared" si="5"/>
        <v>-1.6278375221165049</v>
      </c>
      <c r="AF48" s="146">
        <f t="shared" si="6"/>
        <v>3.1518867713483463E-4</v>
      </c>
      <c r="AH48" s="183"/>
      <c r="AI48" s="184"/>
      <c r="AJ48" s="184"/>
    </row>
    <row r="49" spans="2:36" ht="19.5" x14ac:dyDescent="0.3">
      <c r="B49" s="147" t="s">
        <v>665</v>
      </c>
      <c r="C49" s="147" t="s">
        <v>666</v>
      </c>
      <c r="D49" s="147" t="s">
        <v>667</v>
      </c>
      <c r="E49" s="147" t="s">
        <v>668</v>
      </c>
      <c r="F49" s="120"/>
      <c r="G49" s="120"/>
      <c r="H49" s="117" t="s">
        <v>669</v>
      </c>
      <c r="I49" s="126">
        <v>1.2740284901299999E-2</v>
      </c>
      <c r="J49" s="127">
        <v>1.270965722429819E-2</v>
      </c>
      <c r="K49" s="127">
        <v>2.6750099747297517E-3</v>
      </c>
      <c r="L49" s="67">
        <v>3.6732729731160205E-3</v>
      </c>
      <c r="N49" s="18">
        <v>-9.6813807300220635E-7</v>
      </c>
      <c r="O49" s="18">
        <v>1.385510379060269E-10</v>
      </c>
      <c r="P49" s="18">
        <v>4.447196410306559E-8</v>
      </c>
      <c r="Q49" s="28">
        <v>0.71369298486326438</v>
      </c>
      <c r="R49" s="61">
        <v>113.57162477883494</v>
      </c>
      <c r="S49" s="58">
        <v>3.1004393544990729E-6</v>
      </c>
      <c r="U49" s="173">
        <v>1.2925389094983118E-2</v>
      </c>
      <c r="V49" s="173">
        <v>3.6732729731160205E-3</v>
      </c>
      <c r="W49" s="174">
        <v>1.0613420324810947E-2</v>
      </c>
      <c r="X49" s="174">
        <f t="shared" si="0"/>
        <v>7.7213388415065263E-3</v>
      </c>
      <c r="Y49" s="187">
        <f t="shared" si="1"/>
        <v>3.4774229666528944</v>
      </c>
      <c r="AA49" s="144">
        <f t="shared" si="2"/>
        <v>0.127402849013</v>
      </c>
      <c r="AB49" s="145">
        <f t="shared" si="3"/>
        <v>1.270965722429819E-2</v>
      </c>
      <c r="AC49" s="145">
        <f t="shared" si="4"/>
        <v>2.6750099747297517E-3</v>
      </c>
      <c r="AD49" s="145">
        <f t="shared" si="7"/>
        <v>7.7213388415065263E-3</v>
      </c>
      <c r="AE49" s="146">
        <f t="shared" si="5"/>
        <v>-1.6278375221165049</v>
      </c>
      <c r="AF49" s="146">
        <f t="shared" si="6"/>
        <v>3.1004393544990729E-4</v>
      </c>
      <c r="AH49" s="183"/>
      <c r="AI49" s="184"/>
      <c r="AJ49" s="184"/>
    </row>
    <row r="50" spans="2:36" x14ac:dyDescent="0.25">
      <c r="B50" s="165">
        <f>H56*H56</f>
        <v>0.28387155765191541</v>
      </c>
      <c r="C50" s="165">
        <f>H56*(1-H56)</f>
        <v>0.24892442361287923</v>
      </c>
      <c r="D50" s="165">
        <f>C50</f>
        <v>0.24892442361287923</v>
      </c>
      <c r="E50" s="165">
        <f>(1-H56)*(1-H56)</f>
        <v>0.21827959512232611</v>
      </c>
      <c r="H50" s="110">
        <f>(2*(1-H54)*B48+H54*D48)/2</f>
        <v>10197500000</v>
      </c>
      <c r="I50" s="126">
        <v>1.28676877503E-2</v>
      </c>
      <c r="J50" s="127">
        <v>1.409790076608558E-2</v>
      </c>
      <c r="K50" s="127">
        <v>2.5197974189525431E-3</v>
      </c>
      <c r="L50" s="67">
        <v>3.3080083597533945E-3</v>
      </c>
      <c r="N50" s="18">
        <v>-1.038330131931444E-6</v>
      </c>
      <c r="O50" s="18">
        <v>1.4112645118160963E-10</v>
      </c>
      <c r="P50" s="18">
        <v>4.5483324316184629E-8</v>
      </c>
      <c r="Q50" s="28">
        <v>0.71369298486326438</v>
      </c>
      <c r="R50" s="61">
        <v>114.24435205156222</v>
      </c>
      <c r="S50" s="58">
        <v>3.1004393544990729E-6</v>
      </c>
      <c r="U50" s="173">
        <v>1.1597695085694058E-2</v>
      </c>
      <c r="V50" s="173">
        <v>3.3080083597533945E-3</v>
      </c>
      <c r="W50" s="174">
        <v>1.2129321226379587E-2</v>
      </c>
      <c r="X50" s="174">
        <f t="shared" si="0"/>
        <v>7.5857582578951087E-3</v>
      </c>
      <c r="Y50" s="187">
        <f t="shared" si="1"/>
        <v>6.679078352309916</v>
      </c>
      <c r="AA50" s="144">
        <f t="shared" si="2"/>
        <v>0.128676877503</v>
      </c>
      <c r="AB50" s="145">
        <f t="shared" si="3"/>
        <v>1.409790076608558E-2</v>
      </c>
      <c r="AC50" s="145">
        <f t="shared" si="4"/>
        <v>2.5197974189525431E-3</v>
      </c>
      <c r="AD50" s="145">
        <f t="shared" si="7"/>
        <v>7.5857582578951087E-3</v>
      </c>
      <c r="AE50" s="146">
        <f t="shared" si="5"/>
        <v>-1.5605647948437777</v>
      </c>
      <c r="AF50" s="146">
        <f t="shared" si="6"/>
        <v>3.1004393544990729E-4</v>
      </c>
      <c r="AH50" s="183"/>
      <c r="AI50" s="184"/>
      <c r="AJ50" s="184"/>
    </row>
    <row r="51" spans="2:36" ht="19.5" x14ac:dyDescent="0.3">
      <c r="H51" s="117" t="s">
        <v>670</v>
      </c>
      <c r="I51" s="126">
        <v>1.2996364627799999E-2</v>
      </c>
      <c r="J51" s="127">
        <v>1.0077431355877265E-2</v>
      </c>
      <c r="K51" s="127">
        <v>2.5463675666665326E-3</v>
      </c>
      <c r="L51" s="67">
        <v>3.0969387590119948E-3</v>
      </c>
      <c r="N51" s="18">
        <v>-1.1043396853519685E-6</v>
      </c>
      <c r="O51" s="18">
        <v>1.4337138602289212E-10</v>
      </c>
      <c r="P51" s="18">
        <v>4.6364906235888023E-8</v>
      </c>
      <c r="Q51" s="28">
        <v>0.71369298486326438</v>
      </c>
      <c r="R51" s="61">
        <v>114.24435205156222</v>
      </c>
      <c r="S51" s="58">
        <v>3.042343048555413E-6</v>
      </c>
      <c r="U51" s="173">
        <v>1.0327145521636584E-2</v>
      </c>
      <c r="V51" s="173">
        <v>3.0969387590119948E-3</v>
      </c>
      <c r="W51" s="174">
        <v>1.3776906008780487E-2</v>
      </c>
      <c r="X51" s="174">
        <f t="shared" si="0"/>
        <v>7.5744822621102645E-3</v>
      </c>
      <c r="Y51" s="187">
        <f t="shared" si="1"/>
        <v>0.96618845903691231</v>
      </c>
      <c r="AA51" s="144">
        <f t="shared" si="2"/>
        <v>0.129963646278</v>
      </c>
      <c r="AB51" s="145">
        <f t="shared" si="3"/>
        <v>1.0077431355877265E-2</v>
      </c>
      <c r="AC51" s="145">
        <f t="shared" si="4"/>
        <v>2.5463675666665326E-3</v>
      </c>
      <c r="AD51" s="145">
        <f t="shared" si="7"/>
        <v>7.5744822621102645E-3</v>
      </c>
      <c r="AE51" s="146">
        <f t="shared" si="5"/>
        <v>-1.5605647948437777</v>
      </c>
      <c r="AF51" s="146">
        <f t="shared" si="6"/>
        <v>3.0423430485554132E-4</v>
      </c>
      <c r="AH51" s="183"/>
      <c r="AI51" s="184"/>
      <c r="AJ51" s="184"/>
    </row>
    <row r="52" spans="2:36" x14ac:dyDescent="0.25">
      <c r="H52" s="110">
        <f>(2*(1-H54)*((1-H56)*B48+H56*C48)+H54*(B50*E48+C50*F48+D50*F48+D48*E50))/2</f>
        <v>29796956586.476105</v>
      </c>
      <c r="I52" s="126">
        <v>1.3126328274099999E-2</v>
      </c>
      <c r="J52" s="127">
        <v>1.614642620397717E-2</v>
      </c>
      <c r="K52" s="127">
        <v>2.5488028566653179E-3</v>
      </c>
      <c r="L52" s="67">
        <v>3.0420145643929356E-3</v>
      </c>
      <c r="N52" s="18">
        <v>-1.1665721187551344E-6</v>
      </c>
      <c r="O52" s="18">
        <v>1.4530598180669821E-10</v>
      </c>
      <c r="P52" s="18">
        <v>4.7124618559637935E-8</v>
      </c>
      <c r="Q52" s="28">
        <v>0.71369298486326438</v>
      </c>
      <c r="R52" s="61">
        <v>114.91707932428949</v>
      </c>
      <c r="S52" s="58">
        <v>3.042343048555413E-6</v>
      </c>
      <c r="U52" s="173">
        <v>9.1217168405881947E-3</v>
      </c>
      <c r="V52" s="173">
        <v>3.0420145643929356E-3</v>
      </c>
      <c r="W52" s="174">
        <v>1.5542752539951063E-2</v>
      </c>
      <c r="X52" s="174">
        <f t="shared" si="0"/>
        <v>7.6871246273312824E-3</v>
      </c>
      <c r="Y52" s="187">
        <f t="shared" si="1"/>
        <v>11.01530496924951</v>
      </c>
      <c r="AA52" s="144">
        <f t="shared" si="2"/>
        <v>0.13126328274099999</v>
      </c>
      <c r="AB52" s="145">
        <f t="shared" si="3"/>
        <v>1.614642620397717E-2</v>
      </c>
      <c r="AC52" s="145">
        <f t="shared" si="4"/>
        <v>2.5488028566653179E-3</v>
      </c>
      <c r="AD52" s="145">
        <f t="shared" si="7"/>
        <v>7.6871246273312824E-3</v>
      </c>
      <c r="AE52" s="146">
        <f t="shared" si="5"/>
        <v>-1.4932920675710506</v>
      </c>
      <c r="AF52" s="146">
        <f t="shared" si="6"/>
        <v>3.0423430485554132E-4</v>
      </c>
      <c r="AH52" s="183"/>
      <c r="AI52" s="184"/>
      <c r="AJ52" s="184"/>
    </row>
    <row r="53" spans="2:36" ht="17.25" x14ac:dyDescent="0.25">
      <c r="H53" s="116" t="s">
        <v>671</v>
      </c>
      <c r="I53" s="126">
        <v>1.3257591556799999E-2</v>
      </c>
      <c r="J53" s="127">
        <v>1.3215505629561636E-2</v>
      </c>
      <c r="K53" s="127">
        <v>2.2891160567825295E-3</v>
      </c>
      <c r="L53" s="67">
        <v>3.1439896233877683E-3</v>
      </c>
      <c r="N53" s="18">
        <v>-1.2254520802243371E-6</v>
      </c>
      <c r="O53" s="18">
        <v>1.4695416816937996E-10</v>
      </c>
      <c r="P53" s="18">
        <v>4.7771858413072538E-8</v>
      </c>
      <c r="Q53" s="28">
        <v>0.71369298486326438</v>
      </c>
      <c r="R53" s="61">
        <v>114.91707932428949</v>
      </c>
      <c r="S53" s="58">
        <v>2.9778357161218301E-6</v>
      </c>
      <c r="U53" s="173">
        <v>7.9892473754449595E-3</v>
      </c>
      <c r="V53" s="173">
        <v>3.1439896233877683E-3</v>
      </c>
      <c r="W53" s="174">
        <v>1.741223789856872E-2</v>
      </c>
      <c r="X53" s="174">
        <f t="shared" si="0"/>
        <v>7.9223661301973045E-3</v>
      </c>
      <c r="Y53" s="187">
        <f t="shared" si="1"/>
        <v>5.3467645056148294</v>
      </c>
      <c r="AA53" s="144">
        <f t="shared" si="2"/>
        <v>0.132575915568</v>
      </c>
      <c r="AB53" s="145">
        <f t="shared" si="3"/>
        <v>1.3215505629561636E-2</v>
      </c>
      <c r="AC53" s="145">
        <f t="shared" si="4"/>
        <v>2.2891160567825295E-3</v>
      </c>
      <c r="AD53" s="145">
        <f t="shared" si="7"/>
        <v>7.9223661301973045E-3</v>
      </c>
      <c r="AE53" s="146">
        <f t="shared" si="5"/>
        <v>-1.4932920675710506</v>
      </c>
      <c r="AF53" s="146">
        <f t="shared" si="6"/>
        <v>2.9778357161218302E-4</v>
      </c>
      <c r="AH53" s="183"/>
      <c r="AI53" s="184"/>
      <c r="AJ53" s="184"/>
    </row>
    <row r="54" spans="2:36" x14ac:dyDescent="0.25">
      <c r="H54" s="164">
        <v>0.15</v>
      </c>
      <c r="I54" s="126">
        <v>1.3390167472400001E-2</v>
      </c>
      <c r="J54" s="127">
        <v>1.2570884109795295E-2</v>
      </c>
      <c r="K54" s="127">
        <v>2.3880298584763146E-3</v>
      </c>
      <c r="L54" s="67">
        <v>3.4023591031375733E-3</v>
      </c>
      <c r="N54" s="18">
        <v>-1.2813939091332306E-6</v>
      </c>
      <c r="O54" s="18">
        <v>1.4834236768904425E-10</v>
      </c>
      <c r="P54" s="18">
        <v>4.83170018956236E-8</v>
      </c>
      <c r="Q54" s="28">
        <v>0.71369298486326438</v>
      </c>
      <c r="R54" s="61">
        <v>115.58980659701676</v>
      </c>
      <c r="S54" s="58">
        <v>2.9778357161218301E-6</v>
      </c>
      <c r="U54" s="173">
        <v>6.9373547898156761E-3</v>
      </c>
      <c r="V54" s="173">
        <v>3.4023591031375733E-3</v>
      </c>
      <c r="W54" s="174">
        <v>1.936964924130662E-2</v>
      </c>
      <c r="X54" s="174">
        <f t="shared" si="0"/>
        <v>8.2779305593493613E-3</v>
      </c>
      <c r="Y54" s="187">
        <f t="shared" si="1"/>
        <v>3.2317136575961394</v>
      </c>
      <c r="AA54" s="144">
        <f t="shared" si="2"/>
        <v>0.133901674724</v>
      </c>
      <c r="AB54" s="145">
        <f t="shared" si="3"/>
        <v>1.2570884109795295E-2</v>
      </c>
      <c r="AC54" s="145">
        <f t="shared" si="4"/>
        <v>2.3880298584763146E-3</v>
      </c>
      <c r="AD54" s="145">
        <f t="shared" si="7"/>
        <v>8.2779305593493613E-3</v>
      </c>
      <c r="AE54" s="146">
        <f t="shared" si="5"/>
        <v>-1.4260193402983234</v>
      </c>
      <c r="AF54" s="146">
        <f t="shared" si="6"/>
        <v>2.9778357161218302E-4</v>
      </c>
      <c r="AH54" s="183"/>
      <c r="AI54" s="184"/>
      <c r="AJ54" s="184"/>
    </row>
    <row r="55" spans="2:36" ht="18.75" x14ac:dyDescent="0.25">
      <c r="H55" s="116" t="s">
        <v>672</v>
      </c>
      <c r="I55" s="126">
        <v>1.35240691471E-2</v>
      </c>
      <c r="J55" s="127">
        <v>8.805975100431131E-3</v>
      </c>
      <c r="K55" s="127">
        <v>1.9820702217896976E-3</v>
      </c>
      <c r="L55" s="67">
        <v>3.8153101153235659E-3</v>
      </c>
      <c r="N55" s="18">
        <v>-1.3347762286154542E-6</v>
      </c>
      <c r="O55" s="18">
        <v>1.4949828533452043E-10</v>
      </c>
      <c r="P55" s="18">
        <v>4.8770928699278966E-8</v>
      </c>
      <c r="Q55" s="28">
        <v>0.71369298486326438</v>
      </c>
      <c r="R55" s="61">
        <v>115.58980659701676</v>
      </c>
      <c r="S55" s="58">
        <v>2.9070862287786817E-6</v>
      </c>
      <c r="U55" s="173">
        <v>5.9733498964708951E-3</v>
      </c>
      <c r="V55" s="173">
        <v>3.8153101153235659E-3</v>
      </c>
      <c r="W55" s="174">
        <v>2.1398308726949408E-2</v>
      </c>
      <c r="X55" s="174">
        <f t="shared" si="0"/>
        <v>8.7505697135168599E-3</v>
      </c>
      <c r="Y55" s="187">
        <f t="shared" si="1"/>
        <v>7.8138651220281208E-4</v>
      </c>
      <c r="AA55" s="144">
        <f t="shared" si="2"/>
        <v>0.13524069147100001</v>
      </c>
      <c r="AB55" s="145">
        <f t="shared" si="3"/>
        <v>8.805975100431131E-3</v>
      </c>
      <c r="AC55" s="145">
        <f t="shared" si="4"/>
        <v>1.9820702217896976E-3</v>
      </c>
      <c r="AD55" s="145">
        <f t="shared" si="7"/>
        <v>8.7505697135168599E-3</v>
      </c>
      <c r="AE55" s="146">
        <f t="shared" si="5"/>
        <v>-1.4260193402983234</v>
      </c>
      <c r="AF55" s="146">
        <f t="shared" si="6"/>
        <v>2.9070862287786819E-4</v>
      </c>
      <c r="AH55" s="183"/>
      <c r="AI55" s="184"/>
      <c r="AJ55" s="184"/>
    </row>
    <row r="56" spans="2:36" x14ac:dyDescent="0.25">
      <c r="H56" s="164">
        <f>H36/F33</f>
        <v>0.53279598126479466</v>
      </c>
      <c r="I56" s="126">
        <v>1.36593098386E-2</v>
      </c>
      <c r="J56" s="127">
        <v>9.4262492927566742E-3</v>
      </c>
      <c r="K56" s="127">
        <v>2.177700565355498E-3</v>
      </c>
      <c r="L56" s="67">
        <v>4.3796865148032589E-3</v>
      </c>
      <c r="N56" s="18">
        <v>-1.3859219980923297E-6</v>
      </c>
      <c r="O56" s="18">
        <v>1.5044983463714939E-10</v>
      </c>
      <c r="P56" s="18">
        <v>4.9144600418153815E-8</v>
      </c>
      <c r="Q56" s="28">
        <v>0.71369298486326438</v>
      </c>
      <c r="R56" s="61">
        <v>116.26253386974403</v>
      </c>
      <c r="S56" s="58">
        <v>2.9070862287786817E-6</v>
      </c>
      <c r="U56" s="173">
        <v>5.1041478075299724E-3</v>
      </c>
      <c r="V56" s="173">
        <v>4.3796865148032589E-3</v>
      </c>
      <c r="W56" s="174">
        <v>2.3480710893893347E-2</v>
      </c>
      <c r="X56" s="174">
        <f t="shared" si="0"/>
        <v>9.3360579327574598E-3</v>
      </c>
      <c r="Y56" s="187">
        <f t="shared" si="1"/>
        <v>1.7152741541791501E-3</v>
      </c>
      <c r="AA56" s="144">
        <f t="shared" si="2"/>
        <v>0.13659309838600001</v>
      </c>
      <c r="AB56" s="145">
        <f t="shared" si="3"/>
        <v>9.4262492927566742E-3</v>
      </c>
      <c r="AC56" s="145">
        <f t="shared" si="4"/>
        <v>2.177700565355498E-3</v>
      </c>
      <c r="AD56" s="145">
        <f t="shared" si="7"/>
        <v>9.3360579327574598E-3</v>
      </c>
      <c r="AE56" s="146">
        <f t="shared" si="5"/>
        <v>-1.3587466130255961</v>
      </c>
      <c r="AF56" s="146">
        <f t="shared" si="6"/>
        <v>2.9070862287786819E-4</v>
      </c>
      <c r="AH56" s="183"/>
      <c r="AI56" s="184"/>
      <c r="AJ56" s="184"/>
    </row>
    <row r="57" spans="2:36" x14ac:dyDescent="0.25">
      <c r="I57" s="126">
        <v>1.3795902937000001E-2</v>
      </c>
      <c r="J57" s="127">
        <v>1.3997024496903323E-2</v>
      </c>
      <c r="K57" s="127">
        <v>2.2409454751724134E-3</v>
      </c>
      <c r="L57" s="67">
        <v>5.09096906440153E-3</v>
      </c>
      <c r="N57" s="18">
        <v>-1.4350848332854638E-6</v>
      </c>
      <c r="O57" s="18">
        <v>1.5122423419892E-10</v>
      </c>
      <c r="P57" s="18">
        <v>4.9448705748842688E-8</v>
      </c>
      <c r="Q57" s="28">
        <v>0.71369298486326438</v>
      </c>
      <c r="R57" s="61">
        <v>116.26253386974403</v>
      </c>
      <c r="S57" s="58">
        <v>2.8303235703190383E-6</v>
      </c>
      <c r="U57" s="173">
        <v>4.3361775440406451E-3</v>
      </c>
      <c r="V57" s="173">
        <v>5.09096906440153E-3</v>
      </c>
      <c r="W57" s="174">
        <v>2.5598670685406211E-2</v>
      </c>
      <c r="X57" s="174">
        <f t="shared" si="0"/>
        <v>1.0029196589562479E-2</v>
      </c>
      <c r="Y57" s="187">
        <f t="shared" si="1"/>
        <v>3.1350399236647499</v>
      </c>
      <c r="AA57" s="144">
        <f t="shared" si="2"/>
        <v>0.13795902937000001</v>
      </c>
      <c r="AB57" s="145">
        <f t="shared" si="3"/>
        <v>1.3997024496903323E-2</v>
      </c>
      <c r="AC57" s="145">
        <f t="shared" si="4"/>
        <v>2.2409454751724134E-3</v>
      </c>
      <c r="AD57" s="145">
        <f t="shared" si="7"/>
        <v>1.0029196589562479E-2</v>
      </c>
      <c r="AE57" s="146">
        <f t="shared" si="5"/>
        <v>-1.3587466130255961</v>
      </c>
      <c r="AF57" s="146">
        <f t="shared" si="6"/>
        <v>2.8303235703190383E-4</v>
      </c>
      <c r="AH57" s="183"/>
      <c r="AI57" s="184"/>
      <c r="AJ57" s="184"/>
    </row>
    <row r="58" spans="2:36" x14ac:dyDescent="0.25">
      <c r="I58" s="126">
        <v>1.3933861966300001E-2</v>
      </c>
      <c r="J58" s="127">
        <v>1.3836006217029203E-2</v>
      </c>
      <c r="K58" s="127">
        <v>2.1618543084695146E-3</v>
      </c>
      <c r="L58" s="67">
        <v>5.9432719101579368E-3</v>
      </c>
      <c r="N58" s="18">
        <v>-1.4824418932409675E-6</v>
      </c>
      <c r="O58" s="18">
        <v>1.5184729200633146E-10</v>
      </c>
      <c r="P58" s="18">
        <v>4.9693379441746038E-8</v>
      </c>
      <c r="Q58" s="28">
        <v>0.71369298486326438</v>
      </c>
      <c r="R58" s="61">
        <v>116.9352611424713</v>
      </c>
      <c r="S58" s="58">
        <v>2.8303235703190383E-6</v>
      </c>
      <c r="U58" s="173">
        <v>3.6752913434739349E-3</v>
      </c>
      <c r="V58" s="173">
        <v>5.9432719101579368E-3</v>
      </c>
      <c r="W58" s="174">
        <v>2.7733480273494541E-2</v>
      </c>
      <c r="X58" s="174">
        <f t="shared" si="0"/>
        <v>1.0823828859321087E-2</v>
      </c>
      <c r="Y58" s="187">
        <f t="shared" si="1"/>
        <v>1.9413696413922963</v>
      </c>
      <c r="AA58" s="144">
        <f t="shared" si="2"/>
        <v>0.13933861966300001</v>
      </c>
      <c r="AB58" s="145">
        <f t="shared" si="3"/>
        <v>1.3836006217029203E-2</v>
      </c>
      <c r="AC58" s="145">
        <f t="shared" si="4"/>
        <v>2.1618543084695146E-3</v>
      </c>
      <c r="AD58" s="145">
        <f t="shared" si="7"/>
        <v>1.0823828859321087E-2</v>
      </c>
      <c r="AE58" s="146">
        <f t="shared" si="5"/>
        <v>-1.2914738857528689</v>
      </c>
      <c r="AF58" s="146">
        <f t="shared" si="6"/>
        <v>2.8303235703190383E-4</v>
      </c>
      <c r="AI58" s="184"/>
      <c r="AJ58" s="184"/>
    </row>
    <row r="59" spans="2:36" x14ac:dyDescent="0.25">
      <c r="I59" s="126">
        <v>1.4073200586E-2</v>
      </c>
      <c r="J59" s="127">
        <v>1.3003070850366848E-2</v>
      </c>
      <c r="K59" s="127">
        <v>1.9264128350861092E-3</v>
      </c>
      <c r="L59" s="67">
        <v>6.9293560223492459E-3</v>
      </c>
      <c r="N59" s="18">
        <v>-1.528093148938497E-6</v>
      </c>
      <c r="O59" s="18">
        <v>1.5234288037125197E-10</v>
      </c>
      <c r="P59" s="18">
        <v>4.9887996111279167E-8</v>
      </c>
      <c r="Q59" s="28">
        <v>0.71369298486326438</v>
      </c>
      <c r="R59" s="61">
        <v>116.9352611424713</v>
      </c>
      <c r="S59" s="58">
        <v>2.7478929873012456E-6</v>
      </c>
      <c r="U59" s="173">
        <v>3.1266750414671142E-3</v>
      </c>
      <c r="V59" s="173">
        <v>6.9293560223492459E-3</v>
      </c>
      <c r="W59" s="174">
        <v>2.9866072764143846E-2</v>
      </c>
      <c r="X59" s="174">
        <f t="shared" si="0"/>
        <v>1.1712864962577363E-2</v>
      </c>
      <c r="Y59" s="187">
        <f t="shared" si="1"/>
        <v>0.44855872906767391</v>
      </c>
      <c r="AA59" s="144">
        <f t="shared" si="2"/>
        <v>0.14073200586000001</v>
      </c>
      <c r="AB59" s="145">
        <f t="shared" si="3"/>
        <v>1.3003070850366848E-2</v>
      </c>
      <c r="AC59" s="145">
        <f t="shared" si="4"/>
        <v>1.9264128350861092E-3</v>
      </c>
      <c r="AD59" s="145">
        <f t="shared" si="7"/>
        <v>1.1712864962577363E-2</v>
      </c>
      <c r="AE59" s="146">
        <f t="shared" si="5"/>
        <v>-1.2914738857528689</v>
      </c>
      <c r="AF59" s="146">
        <f t="shared" si="6"/>
        <v>2.7478929873012457E-4</v>
      </c>
      <c r="AI59" s="184"/>
      <c r="AJ59" s="184"/>
    </row>
    <row r="60" spans="2:36" x14ac:dyDescent="0.25">
      <c r="I60" s="126">
        <v>1.42139325919E-2</v>
      </c>
      <c r="J60" s="127">
        <v>1.2985121933674175E-2</v>
      </c>
      <c r="K60" s="127">
        <v>1.8444501631068393E-3</v>
      </c>
      <c r="L60" s="67">
        <v>8.0406599427686708E-3</v>
      </c>
      <c r="N60" s="18">
        <v>-1.5612313518548751E-6</v>
      </c>
      <c r="O60" s="18">
        <v>1.5264400092517438E-10</v>
      </c>
      <c r="P60" s="18">
        <v>5.00062456172815E-8</v>
      </c>
      <c r="Q60" s="28">
        <v>0.35684649243163219</v>
      </c>
      <c r="R60" s="61">
        <v>117.60798841519858</v>
      </c>
      <c r="S60" s="58">
        <v>2.7478929873012456E-6</v>
      </c>
      <c r="U60" s="173">
        <v>2.6947610003347027E-3</v>
      </c>
      <c r="V60" s="173">
        <v>8.0406599427686708E-3</v>
      </c>
      <c r="W60" s="174">
        <v>3.197719087681921E-2</v>
      </c>
      <c r="X60" s="174">
        <f t="shared" si="0"/>
        <v>1.2688317940672813E-2</v>
      </c>
      <c r="Y60" s="187">
        <f t="shared" si="1"/>
        <v>2.5894386646966569E-2</v>
      </c>
      <c r="AA60" s="144">
        <f t="shared" si="2"/>
        <v>0.142139325919</v>
      </c>
      <c r="AB60" s="145">
        <f t="shared" si="3"/>
        <v>1.2985121933674175E-2</v>
      </c>
      <c r="AC60" s="145">
        <f t="shared" si="4"/>
        <v>1.8444501631068393E-3</v>
      </c>
      <c r="AD60" s="145">
        <f t="shared" si="7"/>
        <v>1.2688317940672813E-2</v>
      </c>
      <c r="AE60" s="146">
        <f t="shared" si="5"/>
        <v>-1.2242011584801418</v>
      </c>
      <c r="AF60" s="146">
        <f t="shared" si="6"/>
        <v>2.7478929873012457E-4</v>
      </c>
      <c r="AI60" s="184"/>
      <c r="AJ60" s="184"/>
    </row>
    <row r="61" spans="2:36" x14ac:dyDescent="0.25">
      <c r="B61" s="195" t="s">
        <v>617</v>
      </c>
      <c r="C61" s="195"/>
      <c r="D61" s="195"/>
      <c r="E61" s="195"/>
      <c r="F61" s="195"/>
      <c r="G61" s="195"/>
      <c r="H61" s="195"/>
      <c r="I61" s="126">
        <v>1.4356071917800001E-2</v>
      </c>
      <c r="J61" s="127">
        <v>1.0246365509946504E-2</v>
      </c>
      <c r="K61" s="127">
        <v>1.7443081669047391E-3</v>
      </c>
      <c r="L61" s="67">
        <v>9.267347877730937E-3</v>
      </c>
      <c r="N61" s="18">
        <v>-1.6174410442305482E-6</v>
      </c>
      <c r="O61" s="18">
        <v>1.5392483148537927E-10</v>
      </c>
      <c r="P61" s="18">
        <v>5.0509225500401457E-8</v>
      </c>
      <c r="Q61" s="28">
        <v>0.86146705297430537</v>
      </c>
      <c r="R61" s="61">
        <v>117.60798841519858</v>
      </c>
      <c r="S61" s="58">
        <v>2.6602751010019083E-6</v>
      </c>
      <c r="U61" s="173">
        <v>2.3831451168586188E-3</v>
      </c>
      <c r="V61" s="173">
        <v>9.267347877730937E-3</v>
      </c>
      <c r="W61" s="174">
        <v>3.4047558796802942E-2</v>
      </c>
      <c r="X61" s="174">
        <f t="shared" si="0"/>
        <v>1.3741349917280859E-2</v>
      </c>
      <c r="Y61" s="187">
        <f t="shared" si="1"/>
        <v>4.0146164209830939</v>
      </c>
      <c r="AA61" s="144">
        <f t="shared" si="2"/>
        <v>0.14356071917800001</v>
      </c>
      <c r="AB61" s="145">
        <f t="shared" si="3"/>
        <v>1.0246365509946504E-2</v>
      </c>
      <c r="AC61" s="145">
        <f t="shared" si="4"/>
        <v>1.7443081669047391E-3</v>
      </c>
      <c r="AD61" s="145">
        <f t="shared" si="7"/>
        <v>1.3741349917280859E-2</v>
      </c>
      <c r="AE61" s="146">
        <f t="shared" si="5"/>
        <v>-1.2242011584801418</v>
      </c>
      <c r="AF61" s="146">
        <f t="shared" si="6"/>
        <v>2.6602751010019083E-4</v>
      </c>
      <c r="AI61" s="184"/>
      <c r="AJ61" s="184"/>
    </row>
    <row r="62" spans="2:36" ht="19.5" x14ac:dyDescent="0.3">
      <c r="B62" s="154" t="s">
        <v>614</v>
      </c>
      <c r="C62" s="161">
        <v>0</v>
      </c>
      <c r="D62" s="161">
        <v>0</v>
      </c>
      <c r="E62" s="161">
        <v>0</v>
      </c>
      <c r="F62" s="139">
        <v>0</v>
      </c>
      <c r="G62" s="139">
        <v>0</v>
      </c>
      <c r="H62" s="147" t="s">
        <v>673</v>
      </c>
      <c r="I62" s="126">
        <v>1.4499632637E-2</v>
      </c>
      <c r="J62" s="127">
        <v>9.1567862212017584E-3</v>
      </c>
      <c r="K62" s="127">
        <v>1.5801798190762078E-3</v>
      </c>
      <c r="L62" s="67">
        <v>1.0598374838305835E-2</v>
      </c>
      <c r="N62" s="18">
        <v>-1.6610993898727369E-6</v>
      </c>
      <c r="O62" s="18">
        <v>1.5392483148537927E-10</v>
      </c>
      <c r="P62" s="18">
        <v>5.0509225500401457E-8</v>
      </c>
      <c r="Q62" s="28">
        <v>0.87618548514490913</v>
      </c>
      <c r="R62" s="61">
        <v>118.28071568792585</v>
      </c>
      <c r="S62" s="58">
        <v>2.6602751010019083E-6</v>
      </c>
      <c r="U62" s="173">
        <v>2.1945094956175508E-3</v>
      </c>
      <c r="V62" s="173">
        <v>1.0598374838305835E-2</v>
      </c>
      <c r="W62" s="174">
        <v>3.6058055459062176E-2</v>
      </c>
      <c r="X62" s="174">
        <f t="shared" si="0"/>
        <v>1.4862328657822849E-2</v>
      </c>
      <c r="Y62" s="187">
        <f t="shared" si="1"/>
        <v>13.037095829186461</v>
      </c>
      <c r="AA62" s="144">
        <f t="shared" si="2"/>
        <v>0.14499632636999998</v>
      </c>
      <c r="AB62" s="145">
        <f t="shared" si="3"/>
        <v>9.1567862212017584E-3</v>
      </c>
      <c r="AC62" s="145">
        <f t="shared" si="4"/>
        <v>1.5801798190762078E-3</v>
      </c>
      <c r="AD62" s="145">
        <f t="shared" si="7"/>
        <v>1.4862328657822849E-2</v>
      </c>
      <c r="AE62" s="146">
        <f t="shared" si="5"/>
        <v>-1.1569284312074146</v>
      </c>
      <c r="AF62" s="146">
        <f t="shared" si="6"/>
        <v>2.6602751010019083E-4</v>
      </c>
      <c r="AI62" s="184"/>
      <c r="AJ62" s="184"/>
    </row>
    <row r="63" spans="2:36" x14ac:dyDescent="0.25">
      <c r="B63" s="107" t="s">
        <v>618</v>
      </c>
      <c r="C63" s="108">
        <f>H63</f>
        <v>1.0136721026109248E-6</v>
      </c>
      <c r="D63" s="108">
        <v>1.5392483148537927E-10</v>
      </c>
      <c r="E63" s="108">
        <v>5.0509225500401457E-8</v>
      </c>
      <c r="F63" s="123">
        <v>61.774063156716643</v>
      </c>
      <c r="G63" s="123">
        <v>44.340579166116143</v>
      </c>
      <c r="H63" s="110">
        <f>0.0000000000000001*H75*(H73*B79+(1-H73)*D79)</f>
        <v>1.0136721026109248E-6</v>
      </c>
      <c r="I63" s="126">
        <v>1.46446289633E-2</v>
      </c>
      <c r="J63" s="127">
        <v>1.7347808516825155E-2</v>
      </c>
      <c r="K63" s="127">
        <v>1.8281286099792969E-3</v>
      </c>
      <c r="L63" s="67">
        <v>1.2023333935299916E-2</v>
      </c>
      <c r="N63" s="18">
        <v>-1.704749196384062E-6</v>
      </c>
      <c r="O63" s="18">
        <v>1.5392483148537927E-10</v>
      </c>
      <c r="P63" s="18">
        <v>5.0509225500401457E-8</v>
      </c>
      <c r="Q63" s="28">
        <v>0.90720378972442595</v>
      </c>
      <c r="R63" s="61">
        <v>118.28071568792585</v>
      </c>
      <c r="S63" s="58">
        <v>2.5680866461362081E-6</v>
      </c>
      <c r="U63" s="173">
        <v>2.1300436282279747E-3</v>
      </c>
      <c r="V63" s="173">
        <v>1.2023333935299916E-2</v>
      </c>
      <c r="W63" s="174">
        <v>3.7992962065630222E-2</v>
      </c>
      <c r="X63" s="174">
        <f t="shared" si="0"/>
        <v>1.6042418391114508E-2</v>
      </c>
      <c r="Y63" s="187">
        <f t="shared" si="1"/>
        <v>0.50987903572777515</v>
      </c>
      <c r="AA63" s="144">
        <f t="shared" si="2"/>
        <v>0.14644628963299999</v>
      </c>
      <c r="AB63" s="145">
        <f t="shared" si="3"/>
        <v>1.7347808516825155E-2</v>
      </c>
      <c r="AC63" s="145">
        <f t="shared" si="4"/>
        <v>1.8281286099792969E-3</v>
      </c>
      <c r="AD63" s="145">
        <f t="shared" si="7"/>
        <v>1.6042418391114508E-2</v>
      </c>
      <c r="AE63" s="146">
        <f t="shared" si="5"/>
        <v>-1.1569284312074146</v>
      </c>
      <c r="AF63" s="146">
        <f t="shared" si="6"/>
        <v>2.5680866461362078E-4</v>
      </c>
      <c r="AI63" s="184"/>
      <c r="AJ63" s="184"/>
    </row>
    <row r="64" spans="2:36" ht="18.75" x14ac:dyDescent="0.25">
      <c r="B64" s="111" t="s">
        <v>540</v>
      </c>
      <c r="C64" s="112">
        <f>H65</f>
        <v>3.2243909411123124E-6</v>
      </c>
      <c r="D64" s="113">
        <v>7.9300000000000003E-12</v>
      </c>
      <c r="E64" s="113">
        <v>3.6399999999999998E-10</v>
      </c>
      <c r="F64" s="114">
        <v>36.513977867968762</v>
      </c>
      <c r="G64" s="123">
        <v>21.368981921742197</v>
      </c>
      <c r="H64" s="116" t="s">
        <v>674</v>
      </c>
      <c r="I64" s="126">
        <v>1.4791075253E-2</v>
      </c>
      <c r="J64" s="127">
        <v>1.6011362746922324E-2</v>
      </c>
      <c r="K64" s="127">
        <v>1.7900443803007826E-3</v>
      </c>
      <c r="L64" s="67">
        <v>1.3525559106961795E-2</v>
      </c>
      <c r="N64" s="18">
        <v>-1.7483619975257351E-6</v>
      </c>
      <c r="O64" s="18">
        <v>1.5392483148537927E-10</v>
      </c>
      <c r="P64" s="18">
        <v>5.0509225500401457E-8</v>
      </c>
      <c r="Q64" s="28">
        <v>0.95813981390315928</v>
      </c>
      <c r="R64" s="61">
        <v>118.95344296065312</v>
      </c>
      <c r="S64" s="58">
        <v>2.5680866461362081E-6</v>
      </c>
      <c r="U64" s="173">
        <v>2.1916137521018363E-3</v>
      </c>
      <c r="V64" s="173">
        <v>1.3525559106961795E-2</v>
      </c>
      <c r="W64" s="174">
        <v>3.9827615741823363E-2</v>
      </c>
      <c r="X64" s="174">
        <f t="shared" si="0"/>
        <v>1.7267586926962196E-2</v>
      </c>
      <c r="Y64" s="187">
        <f t="shared" si="1"/>
        <v>0.49250052755396878</v>
      </c>
      <c r="AA64" s="144">
        <f t="shared" si="2"/>
        <v>0.14791075252999999</v>
      </c>
      <c r="AB64" s="145">
        <f t="shared" si="3"/>
        <v>1.6011362746922324E-2</v>
      </c>
      <c r="AC64" s="145">
        <f t="shared" si="4"/>
        <v>1.7900443803007826E-3</v>
      </c>
      <c r="AD64" s="145">
        <f t="shared" si="7"/>
        <v>1.7267586926962196E-2</v>
      </c>
      <c r="AE64" s="146">
        <f t="shared" si="5"/>
        <v>-1.0896557039346875</v>
      </c>
      <c r="AF64" s="146">
        <f t="shared" si="6"/>
        <v>2.5680866461362078E-4</v>
      </c>
      <c r="AI64" s="184"/>
      <c r="AJ64" s="184"/>
    </row>
    <row r="65" spans="2:36" x14ac:dyDescent="0.25">
      <c r="B65" s="107" t="s">
        <v>619</v>
      </c>
      <c r="C65" s="108">
        <f>H63</f>
        <v>1.0136721026109248E-6</v>
      </c>
      <c r="D65" s="108">
        <v>1.5392483148537927E-10</v>
      </c>
      <c r="E65" s="108">
        <v>5.0509225500401457E-8</v>
      </c>
      <c r="F65" s="109">
        <f>H69-(F66+F64)/2</f>
        <v>126.16813550584273</v>
      </c>
      <c r="G65" s="109">
        <f>G64</f>
        <v>21.368981921742197</v>
      </c>
      <c r="H65" s="110">
        <f>0.0000000000000001*(H75*(C77/B77)*H77*C79+(1-H77)*H63)</f>
        <v>3.2243909411123124E-6</v>
      </c>
      <c r="I65" s="126">
        <v>1.4938986005499999E-2</v>
      </c>
      <c r="J65" s="127">
        <v>1.8212288396128512E-2</v>
      </c>
      <c r="K65" s="127">
        <v>1.7985520249113116E-3</v>
      </c>
      <c r="L65" s="67">
        <v>1.5092599299633492E-2</v>
      </c>
      <c r="N65" s="18">
        <v>-1.791867969145967E-6</v>
      </c>
      <c r="O65" s="18">
        <v>1.5392483148537927E-10</v>
      </c>
      <c r="P65" s="18">
        <v>5.0509225500401457E-8</v>
      </c>
      <c r="Q65" s="28">
        <v>1.0358264058786453</v>
      </c>
      <c r="R65" s="61">
        <v>118.95344296065312</v>
      </c>
      <c r="S65" s="58">
        <v>2.4720708769364799E-6</v>
      </c>
      <c r="U65" s="173">
        <v>2.3780578027271229E-3</v>
      </c>
      <c r="V65" s="173">
        <v>1.5092599299633492E-2</v>
      </c>
      <c r="W65" s="174">
        <v>4.1547673971422942E-2</v>
      </c>
      <c r="X65" s="174">
        <f t="shared" si="0"/>
        <v>1.852773259335426E-2</v>
      </c>
      <c r="Y65" s="187">
        <f t="shared" si="1"/>
        <v>3.0760902698776561E-2</v>
      </c>
      <c r="AA65" s="144">
        <f t="shared" si="2"/>
        <v>0.14938986005499999</v>
      </c>
      <c r="AB65" s="145">
        <f t="shared" si="3"/>
        <v>1.8212288396128512E-2</v>
      </c>
      <c r="AC65" s="145">
        <f t="shared" si="4"/>
        <v>1.7985520249113116E-3</v>
      </c>
      <c r="AD65" s="145">
        <f t="shared" si="7"/>
        <v>1.852773259335426E-2</v>
      </c>
      <c r="AE65" s="146">
        <f t="shared" si="5"/>
        <v>-1.0896557039346875</v>
      </c>
      <c r="AF65" s="146">
        <f t="shared" si="6"/>
        <v>2.4720708769364796E-4</v>
      </c>
      <c r="AI65" s="184"/>
      <c r="AJ65" s="184"/>
    </row>
    <row r="66" spans="2:36" ht="19.5" x14ac:dyDescent="0.3">
      <c r="B66" s="111" t="s">
        <v>540</v>
      </c>
      <c r="C66" s="112">
        <f>H65</f>
        <v>3.2243909411123124E-6</v>
      </c>
      <c r="D66" s="113">
        <v>7.9300000000000003E-12</v>
      </c>
      <c r="E66" s="113">
        <v>3.6399999999999998E-10</v>
      </c>
      <c r="F66" s="160">
        <f>F64</f>
        <v>36.513977867968762</v>
      </c>
      <c r="G66" s="115">
        <f>G64</f>
        <v>21.368981921742197</v>
      </c>
      <c r="H66" s="117" t="s">
        <v>700</v>
      </c>
      <c r="I66" s="126">
        <v>1.5088375865499999E-2</v>
      </c>
      <c r="J66" s="127">
        <v>1.6179719426729036E-2</v>
      </c>
      <c r="K66" s="127">
        <v>1.6434025062906281E-3</v>
      </c>
      <c r="L66" s="67">
        <v>1.6709539692307634E-2</v>
      </c>
      <c r="N66" s="18">
        <v>-1.8351219579967621E-6</v>
      </c>
      <c r="O66" s="18">
        <v>1.5392483148537927E-10</v>
      </c>
      <c r="P66" s="18">
        <v>5.0509225500401457E-8</v>
      </c>
      <c r="Q66" s="28">
        <v>1.1530411022175422</v>
      </c>
      <c r="R66" s="61">
        <v>119.62617023338039</v>
      </c>
      <c r="S66" s="58">
        <v>2.4720708769364799E-6</v>
      </c>
      <c r="U66" s="173">
        <v>2.6877965293718533E-3</v>
      </c>
      <c r="V66" s="173">
        <v>1.6709539692307634E-2</v>
      </c>
      <c r="W66" s="174">
        <v>4.3136347432000725E-2</v>
      </c>
      <c r="X66" s="174">
        <f t="shared" si="0"/>
        <v>1.9810805836496963E-2</v>
      </c>
      <c r="Y66" s="187">
        <f t="shared" si="1"/>
        <v>4.8818595212360885</v>
      </c>
      <c r="AA66" s="144">
        <f t="shared" si="2"/>
        <v>0.15088375865499998</v>
      </c>
      <c r="AB66" s="145">
        <f t="shared" si="3"/>
        <v>1.6179719426729036E-2</v>
      </c>
      <c r="AC66" s="145">
        <f t="shared" si="4"/>
        <v>1.6434025062906281E-3</v>
      </c>
      <c r="AD66" s="145">
        <f t="shared" si="7"/>
        <v>1.9810805836496963E-2</v>
      </c>
      <c r="AE66" s="146">
        <f t="shared" si="5"/>
        <v>-1.0223829766619601</v>
      </c>
      <c r="AF66" s="146">
        <f t="shared" si="6"/>
        <v>2.4720708769364796E-4</v>
      </c>
      <c r="AI66" s="184"/>
      <c r="AJ66" s="184"/>
    </row>
    <row r="67" spans="2:36" x14ac:dyDescent="0.25">
      <c r="B67" s="107" t="s">
        <v>619</v>
      </c>
      <c r="C67" s="108">
        <f>H63</f>
        <v>1.0136721026109248E-6</v>
      </c>
      <c r="D67" s="108">
        <v>1.5392483148537927E-10</v>
      </c>
      <c r="E67" s="108">
        <v>5.0509225500401457E-8</v>
      </c>
      <c r="F67" s="109">
        <f>(2*H69-F68-F66)/2</f>
        <v>126.16813550584271</v>
      </c>
      <c r="G67" s="109">
        <f>G64</f>
        <v>21.368981921742197</v>
      </c>
      <c r="H67" s="118">
        <f>H73*H69/5</f>
        <v>23.719052129901716</v>
      </c>
      <c r="I67" s="126">
        <v>1.5239259624200001E-2</v>
      </c>
      <c r="J67" s="127">
        <v>1.8936367711660945E-2</v>
      </c>
      <c r="K67" s="127">
        <v>1.6295667154805145E-3</v>
      </c>
      <c r="L67" s="67">
        <v>1.836080711107432E-2</v>
      </c>
      <c r="N67" s="18">
        <v>-1.8778407150745804E-6</v>
      </c>
      <c r="O67" s="18">
        <v>1.5392483148537927E-10</v>
      </c>
      <c r="P67" s="18">
        <v>5.0509225500401457E-8</v>
      </c>
      <c r="Q67" s="28">
        <v>1.3353024769375388</v>
      </c>
      <c r="R67" s="61">
        <v>119.62617023338039</v>
      </c>
      <c r="S67" s="58">
        <v>2.3730808219529544E-6</v>
      </c>
      <c r="U67" s="173">
        <v>3.1180886315228841E-3</v>
      </c>
      <c r="V67" s="173">
        <v>1.836080711107432E-2</v>
      </c>
      <c r="W67" s="174">
        <v>4.4577839477540376E-2</v>
      </c>
      <c r="X67" s="174">
        <f t="shared" ref="X67:X130" si="8">(U67+2*V67+W67)/4</f>
        <v>2.1104385582802976E-2</v>
      </c>
      <c r="Y67" s="187">
        <f t="shared" ref="Y67:Y130" si="9">(J67-X67)*(J67-X67)/(K67*K67)</f>
        <v>1.7700332502517064</v>
      </c>
      <c r="AA67" s="144">
        <f t="shared" ref="AA67:AA130" si="10">I67*10</f>
        <v>0.15239259624199999</v>
      </c>
      <c r="AB67" s="145">
        <f t="shared" ref="AB67:AB130" si="11">J67</f>
        <v>1.8936367711660945E-2</v>
      </c>
      <c r="AC67" s="145">
        <f t="shared" ref="AC67:AC130" si="12">K67</f>
        <v>1.6295667154805145E-3</v>
      </c>
      <c r="AD67" s="145">
        <f t="shared" si="7"/>
        <v>2.1104385582802976E-2</v>
      </c>
      <c r="AE67" s="146">
        <f t="shared" ref="AE67:AE130" si="13">(R67-129.85)/10</f>
        <v>-1.0223829766619601</v>
      </c>
      <c r="AF67" s="146">
        <f t="shared" ref="AF67:AF130" si="14">S67*100</f>
        <v>2.3730808219529545E-4</v>
      </c>
      <c r="AI67" s="184"/>
      <c r="AJ67" s="184"/>
    </row>
    <row r="68" spans="2:36" ht="19.5" x14ac:dyDescent="0.3">
      <c r="B68" s="111" t="s">
        <v>540</v>
      </c>
      <c r="C68" s="112">
        <f>H65</f>
        <v>3.2243909411123124E-6</v>
      </c>
      <c r="D68" s="113">
        <v>7.9300000000000003E-12</v>
      </c>
      <c r="E68" s="113">
        <v>3.6399999999999998E-10</v>
      </c>
      <c r="F68" s="160">
        <f>F64</f>
        <v>36.513977867968762</v>
      </c>
      <c r="G68" s="115">
        <f>G64</f>
        <v>21.368981921742197</v>
      </c>
      <c r="H68" s="117" t="s">
        <v>675</v>
      </c>
      <c r="I68" s="126">
        <v>1.5391652220400001E-2</v>
      </c>
      <c r="J68" s="127">
        <v>1.7091540697610375E-2</v>
      </c>
      <c r="K68" s="127">
        <v>1.5295595591193036E-3</v>
      </c>
      <c r="L68" s="67">
        <v>2.0030315695374605E-2</v>
      </c>
      <c r="N68" s="18">
        <v>-1.9194758599805471E-6</v>
      </c>
      <c r="O68" s="18">
        <v>1.5392483148537927E-10</v>
      </c>
      <c r="P68" s="18">
        <v>5.0509225500401457E-8</v>
      </c>
      <c r="Q68" s="28">
        <v>1.640851486839652</v>
      </c>
      <c r="R68" s="61">
        <v>120.29889750610766</v>
      </c>
      <c r="S68" s="58">
        <v>2.3730808219529544E-6</v>
      </c>
      <c r="U68" s="173">
        <v>3.6650179670231499E-3</v>
      </c>
      <c r="V68" s="173">
        <v>2.0030315695374605E-2</v>
      </c>
      <c r="W68" s="174">
        <v>4.5857500383726088E-2</v>
      </c>
      <c r="X68" s="174">
        <f t="shared" si="8"/>
        <v>2.2395787435374612E-2</v>
      </c>
      <c r="Y68" s="187">
        <f t="shared" si="9"/>
        <v>12.025818663093252</v>
      </c>
      <c r="AA68" s="144">
        <f t="shared" si="10"/>
        <v>0.15391652220400001</v>
      </c>
      <c r="AB68" s="145">
        <f t="shared" si="11"/>
        <v>1.7091540697610375E-2</v>
      </c>
      <c r="AC68" s="145">
        <f t="shared" si="12"/>
        <v>1.5295595591193036E-3</v>
      </c>
      <c r="AD68" s="145">
        <f t="shared" ref="AD68:AD131" si="15">X68</f>
        <v>2.2395787435374612E-2</v>
      </c>
      <c r="AE68" s="146">
        <f t="shared" si="13"/>
        <v>-0.95511024938923295</v>
      </c>
      <c r="AF68" s="146">
        <f t="shared" si="14"/>
        <v>2.3730808219529545E-4</v>
      </c>
      <c r="AI68" s="184"/>
      <c r="AJ68" s="184"/>
    </row>
    <row r="69" spans="2:36" x14ac:dyDescent="0.25">
      <c r="B69" s="107" t="s">
        <v>620</v>
      </c>
      <c r="C69" s="108">
        <f>H63</f>
        <v>1.0136721026109248E-6</v>
      </c>
      <c r="D69" s="108">
        <v>1.5392483148537927E-10</v>
      </c>
      <c r="E69" s="108">
        <v>5.0509225500401457E-8</v>
      </c>
      <c r="F69" s="123">
        <v>101.17677234221604</v>
      </c>
      <c r="G69" s="109">
        <f>G64</f>
        <v>21.368981921742197</v>
      </c>
      <c r="H69" s="123">
        <v>162.68211337381149</v>
      </c>
      <c r="I69" s="126">
        <v>1.55455687426E-2</v>
      </c>
      <c r="J69" s="127">
        <v>1.9689601843872761E-2</v>
      </c>
      <c r="K69" s="127">
        <v>1.542645993267511E-3</v>
      </c>
      <c r="L69" s="67">
        <v>2.1701620523288834E-2</v>
      </c>
      <c r="N69" s="18">
        <v>-1.9589273572106982E-6</v>
      </c>
      <c r="O69" s="18">
        <v>1.5392483148537927E-10</v>
      </c>
      <c r="P69" s="18">
        <v>5.0509225500401457E-8</v>
      </c>
      <c r="Q69" s="28">
        <v>2.2395540466502442</v>
      </c>
      <c r="R69" s="61">
        <v>120.29889750610766</v>
      </c>
      <c r="S69" s="58">
        <v>2.2720568916327E-6</v>
      </c>
      <c r="U69" s="173">
        <v>4.3234953517818408E-3</v>
      </c>
      <c r="V69" s="173">
        <v>2.1701620523288834E-2</v>
      </c>
      <c r="W69" s="174">
        <v>4.6961975240230457E-2</v>
      </c>
      <c r="X69" s="174">
        <f t="shared" si="8"/>
        <v>2.3672177909647492E-2</v>
      </c>
      <c r="Y69" s="187">
        <f t="shared" si="9"/>
        <v>6.6649302353686766</v>
      </c>
      <c r="AA69" s="144">
        <f t="shared" si="10"/>
        <v>0.15545568742599999</v>
      </c>
      <c r="AB69" s="145">
        <f t="shared" si="11"/>
        <v>1.9689601843872761E-2</v>
      </c>
      <c r="AC69" s="145">
        <f t="shared" si="12"/>
        <v>1.542645993267511E-3</v>
      </c>
      <c r="AD69" s="145">
        <f t="shared" si="15"/>
        <v>2.3672177909647492E-2</v>
      </c>
      <c r="AE69" s="146">
        <f t="shared" si="13"/>
        <v>-0.95511024938923295</v>
      </c>
      <c r="AF69" s="146">
        <f t="shared" si="14"/>
        <v>2.2720568916327001E-4</v>
      </c>
      <c r="AI69" s="184"/>
      <c r="AJ69" s="184"/>
    </row>
    <row r="70" spans="2:36" ht="19.5" x14ac:dyDescent="0.3">
      <c r="B70" s="155" t="s">
        <v>539</v>
      </c>
      <c r="C70" s="128">
        <v>8.9999999999999996E-7</v>
      </c>
      <c r="D70" s="128">
        <v>1.5392483148537927E-10</v>
      </c>
      <c r="E70" s="128">
        <v>5.0509225500401457E-8</v>
      </c>
      <c r="F70" s="159">
        <v>15.7</v>
      </c>
      <c r="G70" s="159">
        <f>F70</f>
        <v>15.7</v>
      </c>
      <c r="H70" s="117" t="s">
        <v>676</v>
      </c>
      <c r="I70" s="126">
        <v>1.5701024430100002E-2</v>
      </c>
      <c r="J70" s="127">
        <v>2.2568786878552335E-2</v>
      </c>
      <c r="K70" s="127">
        <v>1.5522923385186788E-3</v>
      </c>
      <c r="L70" s="67">
        <v>2.3358077345634876E-2</v>
      </c>
      <c r="N70" s="18">
        <v>-1.9937922915668391E-6</v>
      </c>
      <c r="O70" s="18">
        <v>1.5392483148537927E-10</v>
      </c>
      <c r="P70" s="18">
        <v>5.0509225500401457E-8</v>
      </c>
      <c r="Q70" s="28">
        <v>4.0245083552658345</v>
      </c>
      <c r="R70" s="61">
        <v>120.97162477883494</v>
      </c>
      <c r="S70" s="58">
        <v>2.2720568916327E-6</v>
      </c>
      <c r="U70" s="173">
        <v>5.0872754751467063E-3</v>
      </c>
      <c r="V70" s="173">
        <v>2.3358077345634876E-2</v>
      </c>
      <c r="W70" s="174">
        <v>4.7879344820223144E-2</v>
      </c>
      <c r="X70" s="174">
        <f t="shared" si="8"/>
        <v>2.4920693746659901E-2</v>
      </c>
      <c r="Y70" s="187">
        <f t="shared" si="9"/>
        <v>2.2955841248912852</v>
      </c>
      <c r="AA70" s="144">
        <f t="shared" si="10"/>
        <v>0.15701024430100002</v>
      </c>
      <c r="AB70" s="145">
        <f t="shared" si="11"/>
        <v>2.2568786878552335E-2</v>
      </c>
      <c r="AC70" s="145">
        <f t="shared" si="12"/>
        <v>1.5522923385186788E-3</v>
      </c>
      <c r="AD70" s="145">
        <f t="shared" si="15"/>
        <v>2.4920693746659901E-2</v>
      </c>
      <c r="AE70" s="146">
        <f t="shared" si="13"/>
        <v>-0.8878375221165058</v>
      </c>
      <c r="AF70" s="146">
        <f t="shared" si="14"/>
        <v>2.2720568916327001E-4</v>
      </c>
      <c r="AI70" s="184"/>
      <c r="AJ70" s="184"/>
    </row>
    <row r="71" spans="2:36" ht="18.75" x14ac:dyDescent="0.35">
      <c r="B71" s="155" t="s">
        <v>621</v>
      </c>
      <c r="C71" s="158">
        <v>3.4400000000000001E-6</v>
      </c>
      <c r="D71" s="158">
        <v>2.5307649463664093E-11</v>
      </c>
      <c r="E71" s="158">
        <v>1.486857631694136E-12</v>
      </c>
      <c r="F71" s="139">
        <v>14.8</v>
      </c>
      <c r="G71" s="139">
        <f>F71</f>
        <v>14.8</v>
      </c>
      <c r="H71" s="118">
        <f>SUM(F63:F69)</f>
        <v>524.82904011452445</v>
      </c>
      <c r="I71" s="126">
        <v>1.5858034674400001E-2</v>
      </c>
      <c r="J71" s="127">
        <v>1.6926154257489879E-2</v>
      </c>
      <c r="K71" s="127">
        <v>1.3093547721660537E-3</v>
      </c>
      <c r="L71" s="67">
        <v>2.4983006620750814E-2</v>
      </c>
      <c r="N71" s="18">
        <v>-2.0178927516540067E-6</v>
      </c>
      <c r="O71" s="18">
        <v>1.5392483148537927E-10</v>
      </c>
      <c r="P71" s="18">
        <v>5.0509225500401457E-8</v>
      </c>
      <c r="Q71" s="28">
        <v>5.4046249654576455</v>
      </c>
      <c r="R71" s="61">
        <v>120.97162477883494</v>
      </c>
      <c r="S71" s="58">
        <v>2.1955548870656515E-6</v>
      </c>
      <c r="U71" s="173">
        <v>5.9489891979496038E-3</v>
      </c>
      <c r="V71" s="173">
        <v>2.4983006620750814E-2</v>
      </c>
      <c r="W71" s="174">
        <v>4.8599258796291088E-2</v>
      </c>
      <c r="X71" s="174">
        <f t="shared" si="8"/>
        <v>2.6128565308935578E-2</v>
      </c>
      <c r="Y71" s="187">
        <f t="shared" si="9"/>
        <v>49.395636482144702</v>
      </c>
      <c r="AA71" s="144">
        <f t="shared" si="10"/>
        <v>0.15858034674400001</v>
      </c>
      <c r="AB71" s="145">
        <f t="shared" si="11"/>
        <v>1.6926154257489879E-2</v>
      </c>
      <c r="AC71" s="145">
        <f t="shared" si="12"/>
        <v>1.3093547721660537E-3</v>
      </c>
      <c r="AD71" s="145">
        <f t="shared" si="15"/>
        <v>2.6128565308935578E-2</v>
      </c>
      <c r="AE71" s="146">
        <f t="shared" si="13"/>
        <v>-0.8878375221165058</v>
      </c>
      <c r="AF71" s="146">
        <f t="shared" si="14"/>
        <v>2.1955548870656515E-4</v>
      </c>
      <c r="AI71" s="184"/>
      <c r="AJ71" s="184"/>
    </row>
    <row r="72" spans="2:36" ht="17.25" x14ac:dyDescent="0.3">
      <c r="B72" s="154" t="s">
        <v>52</v>
      </c>
      <c r="C72" s="158">
        <v>2.108515049501502E-6</v>
      </c>
      <c r="D72" s="158">
        <v>4.7498147887006942E-11</v>
      </c>
      <c r="E72" s="158">
        <v>1.9976998807213682E-12</v>
      </c>
      <c r="F72" s="139">
        <v>100</v>
      </c>
      <c r="G72" s="139">
        <v>5</v>
      </c>
      <c r="H72" s="117" t="s">
        <v>701</v>
      </c>
      <c r="I72" s="126">
        <v>1.6016615021100002E-2</v>
      </c>
      <c r="J72" s="127">
        <v>1.9368510717565266E-2</v>
      </c>
      <c r="K72" s="127">
        <v>1.3218063623202758E-3</v>
      </c>
      <c r="L72" s="67">
        <v>2.6559860072811678E-2</v>
      </c>
      <c r="N72" s="18">
        <v>-2.0212227913090586E-6</v>
      </c>
      <c r="O72" s="18">
        <v>1.5392483148537927E-10</v>
      </c>
      <c r="P72" s="18">
        <v>5.0509225500401457E-8</v>
      </c>
      <c r="Q72" s="28">
        <v>95.304250323472004</v>
      </c>
      <c r="R72" s="61">
        <v>121.30798841519858</v>
      </c>
      <c r="S72" s="58">
        <v>2.1955548870656515E-6</v>
      </c>
      <c r="U72" s="173">
        <v>6.9001912246229313E-3</v>
      </c>
      <c r="V72" s="173">
        <v>2.6559860072811678E-2</v>
      </c>
      <c r="W72" s="174">
        <v>4.9113060607078894E-2</v>
      </c>
      <c r="X72" s="174">
        <f t="shared" si="8"/>
        <v>2.7283242994331297E-2</v>
      </c>
      <c r="Y72" s="187">
        <f t="shared" si="9"/>
        <v>35.853931313365706</v>
      </c>
      <c r="AA72" s="144">
        <f t="shared" si="10"/>
        <v>0.160166150211</v>
      </c>
      <c r="AB72" s="145">
        <f t="shared" si="11"/>
        <v>1.9368510717565266E-2</v>
      </c>
      <c r="AC72" s="145">
        <f t="shared" si="12"/>
        <v>1.3218063623202758E-3</v>
      </c>
      <c r="AD72" s="145">
        <f t="shared" si="15"/>
        <v>2.7283242994331297E-2</v>
      </c>
      <c r="AE72" s="146">
        <f t="shared" si="13"/>
        <v>-0.85420115848014144</v>
      </c>
      <c r="AF72" s="146">
        <f t="shared" si="14"/>
        <v>2.1955548870656515E-4</v>
      </c>
      <c r="AI72" s="184"/>
      <c r="AJ72" s="184"/>
    </row>
    <row r="73" spans="2:36" x14ac:dyDescent="0.25">
      <c r="B73" s="119"/>
      <c r="C73" s="120"/>
      <c r="D73" s="120"/>
      <c r="E73" s="120"/>
      <c r="F73" s="120"/>
      <c r="G73" s="120"/>
      <c r="H73" s="165">
        <v>0.72899999999999998</v>
      </c>
      <c r="I73" s="126">
        <v>1.61767811713E-2</v>
      </c>
      <c r="J73" s="127">
        <v>2.1876866911918726E-2</v>
      </c>
      <c r="K73" s="127">
        <v>1.38834284719381E-3</v>
      </c>
      <c r="L73" s="67">
        <v>2.8072388056749515E-2</v>
      </c>
      <c r="N73" s="18">
        <v>-2.0178494146628934E-6</v>
      </c>
      <c r="O73" s="18">
        <v>1.5335369008357155E-10</v>
      </c>
      <c r="P73" s="18">
        <v>5.0313054073681245E-8</v>
      </c>
      <c r="Q73" s="28">
        <v>13.324728933252164</v>
      </c>
      <c r="R73" s="61">
        <v>121.30798841519858</v>
      </c>
      <c r="S73" s="58">
        <v>2.1344124338829085E-6</v>
      </c>
      <c r="U73" s="173">
        <v>7.9314228561024568E-3</v>
      </c>
      <c r="V73" s="173">
        <v>2.8072388056749515E-2</v>
      </c>
      <c r="W73" s="174">
        <v>4.9413903167906108E-2</v>
      </c>
      <c r="X73" s="174">
        <f t="shared" si="8"/>
        <v>2.83725255343769E-2</v>
      </c>
      <c r="Y73" s="187">
        <f t="shared" si="9"/>
        <v>21.890361367557471</v>
      </c>
      <c r="AA73" s="144">
        <f t="shared" si="10"/>
        <v>0.161767811713</v>
      </c>
      <c r="AB73" s="145">
        <f t="shared" si="11"/>
        <v>2.1876866911918726E-2</v>
      </c>
      <c r="AC73" s="145">
        <f t="shared" si="12"/>
        <v>1.38834284719381E-3</v>
      </c>
      <c r="AD73" s="145">
        <f t="shared" si="15"/>
        <v>2.83725255343769E-2</v>
      </c>
      <c r="AE73" s="146">
        <f t="shared" si="13"/>
        <v>-0.85420115848014144</v>
      </c>
      <c r="AF73" s="146">
        <f t="shared" si="14"/>
        <v>2.1344124338829086E-4</v>
      </c>
      <c r="AI73" s="184"/>
      <c r="AJ73" s="184"/>
    </row>
    <row r="74" spans="2:36" ht="18.75" x14ac:dyDescent="0.25">
      <c r="B74" s="119"/>
      <c r="C74" s="120"/>
      <c r="D74" s="120"/>
      <c r="E74" s="120"/>
      <c r="F74" s="120"/>
      <c r="G74" s="120"/>
      <c r="H74" s="116" t="s">
        <v>677</v>
      </c>
      <c r="I74" s="126">
        <v>1.6338548982999999E-2</v>
      </c>
      <c r="J74" s="127">
        <v>2.2742387528029828E-2</v>
      </c>
      <c r="K74" s="127">
        <v>1.3690967900753183E-3</v>
      </c>
      <c r="L74" s="67">
        <v>2.950480612773141E-2</v>
      </c>
      <c r="N74" s="18">
        <v>-1.9934353122372501E-6</v>
      </c>
      <c r="O74" s="18">
        <v>1.4922017457497579E-10</v>
      </c>
      <c r="P74" s="18">
        <v>4.8893304722426312E-8</v>
      </c>
      <c r="Q74" s="28">
        <v>9.9221469142188514</v>
      </c>
      <c r="R74" s="61">
        <v>121.66483490763021</v>
      </c>
      <c r="S74" s="58">
        <v>2.1344124338829085E-6</v>
      </c>
      <c r="U74" s="173">
        <v>9.0322892691731011E-3</v>
      </c>
      <c r="V74" s="173">
        <v>2.950480612773141E-2</v>
      </c>
      <c r="W74" s="174">
        <v>4.9496854467508594E-2</v>
      </c>
      <c r="X74" s="174">
        <f t="shared" si="8"/>
        <v>2.9384688998036129E-2</v>
      </c>
      <c r="Y74" s="187">
        <f t="shared" si="9"/>
        <v>23.537962199464985</v>
      </c>
      <c r="AA74" s="144">
        <f t="shared" si="10"/>
        <v>0.16338548982999998</v>
      </c>
      <c r="AB74" s="145">
        <f t="shared" si="11"/>
        <v>2.2742387528029828E-2</v>
      </c>
      <c r="AC74" s="145">
        <f t="shared" si="12"/>
        <v>1.3690967900753183E-3</v>
      </c>
      <c r="AD74" s="145">
        <f t="shared" si="15"/>
        <v>2.9384688998036129E-2</v>
      </c>
      <c r="AE74" s="146">
        <f t="shared" si="13"/>
        <v>-0.81851650923697861</v>
      </c>
      <c r="AF74" s="146">
        <f t="shared" si="14"/>
        <v>2.1344124338829086E-4</v>
      </c>
      <c r="AI74" s="184"/>
      <c r="AJ74" s="184"/>
    </row>
    <row r="75" spans="2:36" x14ac:dyDescent="0.25">
      <c r="B75" s="119"/>
      <c r="C75" s="120"/>
      <c r="D75" s="120"/>
      <c r="E75" s="120"/>
      <c r="F75" s="120"/>
      <c r="G75" s="120"/>
      <c r="H75" s="156">
        <v>0.90809677190880689</v>
      </c>
      <c r="I75" s="126">
        <v>1.65019344729E-2</v>
      </c>
      <c r="J75" s="127">
        <v>2.1771707361316534E-2</v>
      </c>
      <c r="K75" s="127">
        <v>1.269464082852936E-3</v>
      </c>
      <c r="L75" s="67">
        <v>3.0841959322312359E-2</v>
      </c>
      <c r="N75" s="18">
        <v>-1.9581166471430781E-6</v>
      </c>
      <c r="O75" s="18">
        <v>1.4324042371768765E-10</v>
      </c>
      <c r="P75" s="18">
        <v>4.6839424101282796E-8</v>
      </c>
      <c r="Q75" s="28">
        <v>5.5214655584257724</v>
      </c>
      <c r="R75" s="61">
        <v>121.66483490763021</v>
      </c>
      <c r="S75" s="58">
        <v>2.0512816153881834E-6</v>
      </c>
      <c r="U75" s="173">
        <v>1.0191550518085074E-2</v>
      </c>
      <c r="V75" s="173">
        <v>3.0841959322312359E-2</v>
      </c>
      <c r="W75" s="174">
        <v>4.9358991872795563E-2</v>
      </c>
      <c r="X75" s="174">
        <f t="shared" si="8"/>
        <v>3.0308615258876338E-2</v>
      </c>
      <c r="Y75" s="187">
        <f t="shared" si="9"/>
        <v>45.223102788168454</v>
      </c>
      <c r="AA75" s="144">
        <f t="shared" si="10"/>
        <v>0.16501934472899998</v>
      </c>
      <c r="AB75" s="145">
        <f t="shared" si="11"/>
        <v>2.1771707361316534E-2</v>
      </c>
      <c r="AC75" s="145">
        <f t="shared" si="12"/>
        <v>1.269464082852936E-3</v>
      </c>
      <c r="AD75" s="145">
        <f t="shared" si="15"/>
        <v>3.0308615258876338E-2</v>
      </c>
      <c r="AE75" s="146">
        <f t="shared" si="13"/>
        <v>-0.81851650923697861</v>
      </c>
      <c r="AF75" s="146">
        <f t="shared" si="14"/>
        <v>2.0512816153881835E-4</v>
      </c>
      <c r="AI75" s="184"/>
      <c r="AJ75" s="184"/>
    </row>
    <row r="76" spans="2:36" ht="19.5" x14ac:dyDescent="0.3">
      <c r="B76" s="117" t="s">
        <v>653</v>
      </c>
      <c r="C76" s="117" t="s">
        <v>654</v>
      </c>
      <c r="D76" s="117" t="s">
        <v>678</v>
      </c>
      <c r="E76" s="136"/>
      <c r="F76" s="136"/>
      <c r="H76" s="116" t="s">
        <v>679</v>
      </c>
      <c r="I76" s="126">
        <v>1.66669538176E-2</v>
      </c>
      <c r="J76" s="127">
        <v>2.3267842742467598E-2</v>
      </c>
      <c r="K76" s="127">
        <v>1.2567263575159397E-3</v>
      </c>
      <c r="L76" s="67">
        <v>3.206948275885272E-2</v>
      </c>
      <c r="N76" s="18">
        <v>-1.9181517298453074E-6</v>
      </c>
      <c r="O76" s="18">
        <v>1.364740227839154E-10</v>
      </c>
      <c r="P76" s="18">
        <v>4.4515350726917373E-8</v>
      </c>
      <c r="Q76" s="28">
        <v>4.0454058184610373</v>
      </c>
      <c r="R76" s="61">
        <v>122.37852789249347</v>
      </c>
      <c r="S76" s="58">
        <v>2.0512816153881834E-6</v>
      </c>
      <c r="U76" s="173">
        <v>1.1397225216300818E-2</v>
      </c>
      <c r="V76" s="173">
        <v>3.206948275885272E-2</v>
      </c>
      <c r="W76" s="174">
        <v>4.8999483701156456E-2</v>
      </c>
      <c r="X76" s="174">
        <f t="shared" si="8"/>
        <v>3.1133918608790681E-2</v>
      </c>
      <c r="Y76" s="187">
        <f t="shared" si="9"/>
        <v>39.177328135239982</v>
      </c>
      <c r="AA76" s="144">
        <f t="shared" si="10"/>
        <v>0.166669538176</v>
      </c>
      <c r="AB76" s="145">
        <f t="shared" si="11"/>
        <v>2.3267842742467598E-2</v>
      </c>
      <c r="AC76" s="145">
        <f t="shared" si="12"/>
        <v>1.2567263575159397E-3</v>
      </c>
      <c r="AD76" s="145">
        <f t="shared" si="15"/>
        <v>3.1133918608790681E-2</v>
      </c>
      <c r="AE76" s="146">
        <f t="shared" si="13"/>
        <v>-0.74714721075065282</v>
      </c>
      <c r="AF76" s="146">
        <f t="shared" si="14"/>
        <v>2.0512816153881835E-4</v>
      </c>
      <c r="AI76" s="184"/>
      <c r="AJ76" s="184"/>
    </row>
    <row r="77" spans="2:36" x14ac:dyDescent="0.25">
      <c r="B77" s="164">
        <v>86.1</v>
      </c>
      <c r="C77" s="164">
        <v>92.1</v>
      </c>
      <c r="D77" s="164">
        <v>111.16</v>
      </c>
      <c r="E77" s="124"/>
      <c r="F77" s="124"/>
      <c r="H77" s="164">
        <f>H67/F64</f>
        <v>0.64958828138823055</v>
      </c>
      <c r="I77" s="126">
        <v>1.68336233558E-2</v>
      </c>
      <c r="J77" s="127">
        <v>2.6054626484540756E-2</v>
      </c>
      <c r="K77" s="127">
        <v>2.641733564755082E-3</v>
      </c>
      <c r="L77" s="67">
        <v>3.3173957292579173E-2</v>
      </c>
      <c r="N77" s="18">
        <v>-1.8759747469759228E-6</v>
      </c>
      <c r="O77" s="18">
        <v>1.2933310030571428E-10</v>
      </c>
      <c r="P77" s="18">
        <v>4.2062639460997382E-8</v>
      </c>
      <c r="Q77" s="28">
        <v>3.2920958739615873</v>
      </c>
      <c r="R77" s="61">
        <v>122.37852789249347</v>
      </c>
      <c r="S77" s="58">
        <v>1.9409852165690451E-6</v>
      </c>
      <c r="U77" s="173">
        <v>1.2636705675212277E-2</v>
      </c>
      <c r="V77" s="173">
        <v>3.3173957292579173E-2</v>
      </c>
      <c r="W77" s="174">
        <v>4.8419656323052264E-2</v>
      </c>
      <c r="X77" s="174">
        <f t="shared" si="8"/>
        <v>3.1851069145855719E-2</v>
      </c>
      <c r="Y77" s="187">
        <f t="shared" si="9"/>
        <v>4.8144320323416609</v>
      </c>
      <c r="AA77" s="144">
        <f t="shared" si="10"/>
        <v>0.16833623355799998</v>
      </c>
      <c r="AB77" s="145">
        <f t="shared" si="11"/>
        <v>2.6054626484540756E-2</v>
      </c>
      <c r="AC77" s="145">
        <f t="shared" si="12"/>
        <v>2.641733564755082E-3</v>
      </c>
      <c r="AD77" s="145">
        <f t="shared" si="15"/>
        <v>3.1851069145855719E-2</v>
      </c>
      <c r="AE77" s="146">
        <f t="shared" si="13"/>
        <v>-0.74714721075065282</v>
      </c>
      <c r="AF77" s="146">
        <f t="shared" si="14"/>
        <v>1.9409852165690452E-4</v>
      </c>
      <c r="AI77" s="184"/>
      <c r="AJ77" s="184"/>
    </row>
    <row r="78" spans="2:36" ht="19.5" x14ac:dyDescent="0.3">
      <c r="B78" s="117" t="s">
        <v>659</v>
      </c>
      <c r="C78" s="117" t="s">
        <v>660</v>
      </c>
      <c r="D78" s="117" t="s">
        <v>680</v>
      </c>
      <c r="H78" s="152"/>
      <c r="I78" s="126">
        <v>1.7001959589300002E-2</v>
      </c>
      <c r="J78" s="127">
        <v>2.2904670845001952E-2</v>
      </c>
      <c r="K78" s="127">
        <v>2.3159096095397252E-3</v>
      </c>
      <c r="L78" s="67">
        <v>3.4143059019931483E-2</v>
      </c>
      <c r="N78" s="18">
        <v>-1.8327000498530519E-6</v>
      </c>
      <c r="O78" s="18">
        <v>1.220063254536808E-10</v>
      </c>
      <c r="P78" s="18">
        <v>3.9546092995565262E-8</v>
      </c>
      <c r="Q78" s="28">
        <v>2.8427430643462008</v>
      </c>
      <c r="R78" s="61">
        <v>123.09222087735672</v>
      </c>
      <c r="S78" s="58">
        <v>1.9409852165690451E-6</v>
      </c>
      <c r="U78" s="173">
        <v>1.3896883085548574E-2</v>
      </c>
      <c r="V78" s="173">
        <v>3.4143059019931483E-2</v>
      </c>
      <c r="W78" s="174">
        <v>4.7623044744864299E-2</v>
      </c>
      <c r="X78" s="174">
        <f t="shared" si="8"/>
        <v>3.2451511467568958E-2</v>
      </c>
      <c r="Y78" s="187">
        <f t="shared" si="9"/>
        <v>16.99323781417829</v>
      </c>
      <c r="AA78" s="144">
        <f t="shared" si="10"/>
        <v>0.17001959589300003</v>
      </c>
      <c r="AB78" s="145">
        <f t="shared" si="11"/>
        <v>2.2904670845001952E-2</v>
      </c>
      <c r="AC78" s="145">
        <f t="shared" si="12"/>
        <v>2.3159096095397252E-3</v>
      </c>
      <c r="AD78" s="145">
        <f t="shared" si="15"/>
        <v>3.2451511467568958E-2</v>
      </c>
      <c r="AE78" s="146">
        <f t="shared" si="13"/>
        <v>-0.67577791226432704</v>
      </c>
      <c r="AF78" s="146">
        <f t="shared" si="14"/>
        <v>1.9409852165690452E-4</v>
      </c>
      <c r="AI78" s="184"/>
      <c r="AJ78" s="184"/>
    </row>
    <row r="79" spans="2:36" x14ac:dyDescent="0.25">
      <c r="B79" s="110">
        <v>11000000000</v>
      </c>
      <c r="C79" s="110">
        <v>51100000000</v>
      </c>
      <c r="D79" s="110">
        <v>11600000000</v>
      </c>
      <c r="H79" s="108"/>
      <c r="I79" s="126">
        <v>1.7171979185200002E-2</v>
      </c>
      <c r="J79" s="127">
        <v>2.4279216429026321E-2</v>
      </c>
      <c r="K79" s="127">
        <v>2.3181088321076078E-3</v>
      </c>
      <c r="L79" s="67">
        <v>3.4965701527100324E-2</v>
      </c>
      <c r="N79" s="18">
        <v>-1.7888831554742094E-6</v>
      </c>
      <c r="O79" s="18">
        <v>1.145877519875839E-10</v>
      </c>
      <c r="P79" s="18">
        <v>3.6998016220765337E-8</v>
      </c>
      <c r="Q79" s="28">
        <v>2.5537583400237032</v>
      </c>
      <c r="R79" s="61">
        <v>123.09222087735672</v>
      </c>
      <c r="S79" s="58">
        <v>1.8322667487261017E-6</v>
      </c>
      <c r="U79" s="173">
        <v>1.5164281233289422E-2</v>
      </c>
      <c r="V79" s="173">
        <v>3.4965701527100324E-2</v>
      </c>
      <c r="W79" s="174">
        <v>4.6615424296420113E-2</v>
      </c>
      <c r="X79" s="174">
        <f t="shared" si="8"/>
        <v>3.2927777145977541E-2</v>
      </c>
      <c r="Y79" s="187">
        <f t="shared" si="9"/>
        <v>13.919384578686943</v>
      </c>
      <c r="AA79" s="144">
        <f t="shared" si="10"/>
        <v>0.17171979185200001</v>
      </c>
      <c r="AB79" s="145">
        <f t="shared" si="11"/>
        <v>2.4279216429026321E-2</v>
      </c>
      <c r="AC79" s="145">
        <f t="shared" si="12"/>
        <v>2.3181088321076078E-3</v>
      </c>
      <c r="AD79" s="145">
        <f t="shared" si="15"/>
        <v>3.2927777145977541E-2</v>
      </c>
      <c r="AE79" s="146">
        <f t="shared" si="13"/>
        <v>-0.67577791226432704</v>
      </c>
      <c r="AF79" s="146">
        <f t="shared" si="14"/>
        <v>1.8322667487261017E-4</v>
      </c>
      <c r="AI79" s="184"/>
      <c r="AJ79" s="184"/>
    </row>
    <row r="80" spans="2:36" x14ac:dyDescent="0.25">
      <c r="I80" s="126">
        <v>1.7343698977099999E-2</v>
      </c>
      <c r="J80" s="127">
        <v>2.5333978395798769E-2</v>
      </c>
      <c r="K80" s="127">
        <v>2.4100002899700127E-3</v>
      </c>
      <c r="L80" s="67">
        <v>3.5632169777859289E-2</v>
      </c>
      <c r="N80" s="18">
        <v>-1.7448109990331378E-6</v>
      </c>
      <c r="O80" s="18">
        <v>1.0712596047993935E-10</v>
      </c>
      <c r="P80" s="18">
        <v>3.4435095232529613E-8</v>
      </c>
      <c r="Q80" s="28">
        <v>2.3622274222565238</v>
      </c>
      <c r="R80" s="61">
        <v>123.80591386221998</v>
      </c>
      <c r="S80" s="58">
        <v>1.8322667487261017E-6</v>
      </c>
      <c r="U80" s="173">
        <v>1.6425197119312389E-2</v>
      </c>
      <c r="V80" s="173">
        <v>3.5632169777859289E-2</v>
      </c>
      <c r="W80" s="174">
        <v>4.5404820763931507E-2</v>
      </c>
      <c r="X80" s="174">
        <f t="shared" si="8"/>
        <v>3.3273589359740618E-2</v>
      </c>
      <c r="Y80" s="187">
        <f t="shared" si="9"/>
        <v>10.85336118343093</v>
      </c>
      <c r="AA80" s="144">
        <f t="shared" si="10"/>
        <v>0.173436989771</v>
      </c>
      <c r="AB80" s="145">
        <f t="shared" si="11"/>
        <v>2.5333978395798769E-2</v>
      </c>
      <c r="AC80" s="145">
        <f t="shared" si="12"/>
        <v>2.4100002899700127E-3</v>
      </c>
      <c r="AD80" s="145">
        <f t="shared" si="15"/>
        <v>3.3273589359740618E-2</v>
      </c>
      <c r="AE80" s="146">
        <f t="shared" si="13"/>
        <v>-0.60440861377800137</v>
      </c>
      <c r="AF80" s="146">
        <f t="shared" si="14"/>
        <v>1.8322667487261017E-4</v>
      </c>
      <c r="AI80" s="184"/>
      <c r="AJ80" s="184"/>
    </row>
    <row r="81" spans="2:36" x14ac:dyDescent="0.25">
      <c r="I81" s="126">
        <v>1.7517135966800001E-2</v>
      </c>
      <c r="J81" s="127">
        <v>2.5281045067340729E-2</v>
      </c>
      <c r="K81" s="127">
        <v>2.2902708953004675E-3</v>
      </c>
      <c r="L81" s="67">
        <v>3.6134244556841083E-2</v>
      </c>
      <c r="N81" s="18">
        <v>-1.7006306227958832E-6</v>
      </c>
      <c r="O81" s="18">
        <v>9.9645846438946616E-11</v>
      </c>
      <c r="P81" s="18">
        <v>3.1865880955982683E-8</v>
      </c>
      <c r="Q81" s="28">
        <v>2.2366481786536836</v>
      </c>
      <c r="R81" s="61">
        <v>123.80591386221998</v>
      </c>
      <c r="S81" s="58">
        <v>1.7260766697915212E-6</v>
      </c>
      <c r="U81" s="173">
        <v>1.7665846827077489E-2</v>
      </c>
      <c r="V81" s="173">
        <v>3.6134244556841083E-2</v>
      </c>
      <c r="W81" s="174">
        <v>4.400149605174062E-2</v>
      </c>
      <c r="X81" s="174">
        <f t="shared" si="8"/>
        <v>3.348395799812507E-2</v>
      </c>
      <c r="Y81" s="187">
        <f t="shared" si="9"/>
        <v>12.828104683941683</v>
      </c>
      <c r="AA81" s="144">
        <f t="shared" si="10"/>
        <v>0.17517135966800002</v>
      </c>
      <c r="AB81" s="145">
        <f t="shared" si="11"/>
        <v>2.5281045067340729E-2</v>
      </c>
      <c r="AC81" s="145">
        <f t="shared" si="12"/>
        <v>2.2902708953004675E-3</v>
      </c>
      <c r="AD81" s="145">
        <f t="shared" si="15"/>
        <v>3.348395799812507E-2</v>
      </c>
      <c r="AE81" s="146">
        <f t="shared" si="13"/>
        <v>-0.60440861377800137</v>
      </c>
      <c r="AF81" s="146">
        <f t="shared" si="14"/>
        <v>1.7260766697915211E-4</v>
      </c>
      <c r="AI81" s="184"/>
      <c r="AJ81" s="184"/>
    </row>
    <row r="82" spans="2:36" x14ac:dyDescent="0.25">
      <c r="I82" s="126">
        <v>1.7692307326500002E-2</v>
      </c>
      <c r="J82" s="127">
        <v>2.2726220812635575E-2</v>
      </c>
      <c r="K82" s="127">
        <v>2.0154655575015724E-3</v>
      </c>
      <c r="L82" s="67">
        <v>3.6465316326296869E-2</v>
      </c>
      <c r="N82" s="18">
        <v>-1.6564127596027067E-6</v>
      </c>
      <c r="O82" s="18">
        <v>9.2159385536989183E-11</v>
      </c>
      <c r="P82" s="18">
        <v>2.9294486706548655E-8</v>
      </c>
      <c r="Q82" s="28">
        <v>2.1601746947148919</v>
      </c>
      <c r="R82" s="61">
        <v>124.51960684708324</v>
      </c>
      <c r="S82" s="58">
        <v>1.7260766697915212E-6</v>
      </c>
      <c r="U82" s="173">
        <v>1.8872514950934737E-2</v>
      </c>
      <c r="V82" s="173">
        <v>3.6465316326296869E-2</v>
      </c>
      <c r="W82" s="174">
        <v>4.2417906294865741E-2</v>
      </c>
      <c r="X82" s="174">
        <f t="shared" si="8"/>
        <v>3.3555263474598557E-2</v>
      </c>
      <c r="Y82" s="187">
        <f t="shared" si="9"/>
        <v>28.868842266124393</v>
      </c>
      <c r="AA82" s="144">
        <f t="shared" si="10"/>
        <v>0.17692307326500001</v>
      </c>
      <c r="AB82" s="145">
        <f t="shared" si="11"/>
        <v>2.2726220812635575E-2</v>
      </c>
      <c r="AC82" s="145">
        <f t="shared" si="12"/>
        <v>2.0154655575015724E-3</v>
      </c>
      <c r="AD82" s="145">
        <f t="shared" si="15"/>
        <v>3.3555263474598557E-2</v>
      </c>
      <c r="AE82" s="146">
        <f t="shared" si="13"/>
        <v>-0.53303931529167559</v>
      </c>
      <c r="AF82" s="146">
        <f t="shared" si="14"/>
        <v>1.7260766697915211E-4</v>
      </c>
      <c r="AI82" s="184"/>
      <c r="AJ82" s="184"/>
    </row>
    <row r="83" spans="2:36" x14ac:dyDescent="0.25">
      <c r="I83" s="126">
        <v>1.7869230399799998E-2</v>
      </c>
      <c r="J83" s="127">
        <v>2.5729959343906827E-2</v>
      </c>
      <c r="K83" s="127">
        <v>2.1944882543641609E-3</v>
      </c>
      <c r="L83" s="67">
        <v>3.6620487269818307E-2</v>
      </c>
      <c r="N83" s="18">
        <v>-1.6121862461507893E-6</v>
      </c>
      <c r="O83" s="18">
        <v>8.467146007254098E-11</v>
      </c>
      <c r="P83" s="18">
        <v>2.6722589420016585E-8</v>
      </c>
      <c r="Q83" s="28">
        <v>2.1238874184932852</v>
      </c>
      <c r="R83" s="61">
        <v>124.51960684708324</v>
      </c>
      <c r="S83" s="58">
        <v>1.6232363684760336E-6</v>
      </c>
      <c r="U83" s="173">
        <v>2.0031705895674701E-2</v>
      </c>
      <c r="V83" s="173">
        <v>3.6620487269818307E-2</v>
      </c>
      <c r="W83" s="174">
        <v>4.0668629315575126E-2</v>
      </c>
      <c r="X83" s="174">
        <f t="shared" si="8"/>
        <v>3.3485327437721611E-2</v>
      </c>
      <c r="Y83" s="187">
        <f t="shared" si="9"/>
        <v>12.489306098880022</v>
      </c>
      <c r="AA83" s="144">
        <f t="shared" si="10"/>
        <v>0.17869230399799998</v>
      </c>
      <c r="AB83" s="145">
        <f t="shared" si="11"/>
        <v>2.5729959343906827E-2</v>
      </c>
      <c r="AC83" s="145">
        <f t="shared" si="12"/>
        <v>2.1944882543641609E-3</v>
      </c>
      <c r="AD83" s="145">
        <f t="shared" si="15"/>
        <v>3.3485327437721611E-2</v>
      </c>
      <c r="AE83" s="146">
        <f t="shared" si="13"/>
        <v>-0.53303931529167559</v>
      </c>
      <c r="AF83" s="146">
        <f t="shared" si="14"/>
        <v>1.6232363684760335E-4</v>
      </c>
      <c r="AI83" s="184"/>
      <c r="AJ83" s="184"/>
    </row>
    <row r="84" spans="2:36" x14ac:dyDescent="0.25">
      <c r="I84" s="126">
        <v>1.8047922703799998E-2</v>
      </c>
      <c r="J84" s="127">
        <v>2.6993885059453535E-2</v>
      </c>
      <c r="K84" s="127">
        <v>2.1666109649184783E-3</v>
      </c>
      <c r="L84" s="67">
        <v>3.6596660187811894E-2</v>
      </c>
      <c r="N84" s="18">
        <v>-1.5679587688061151E-6</v>
      </c>
      <c r="O84" s="18">
        <v>7.7183371412838295E-11</v>
      </c>
      <c r="P84" s="18">
        <v>2.4150636080384871E-8</v>
      </c>
      <c r="Q84" s="28">
        <v>2.1238874184932852</v>
      </c>
      <c r="R84" s="61">
        <v>125.2332998319465</v>
      </c>
      <c r="S84" s="58">
        <v>1.6232363684760336E-6</v>
      </c>
      <c r="U84" s="173">
        <v>2.1130295421274068E-2</v>
      </c>
      <c r="V84" s="173">
        <v>3.6596660187811894E-2</v>
      </c>
      <c r="W84" s="174">
        <v>3.877025838552714E-2</v>
      </c>
      <c r="X84" s="174">
        <f t="shared" si="8"/>
        <v>3.3273468545606248E-2</v>
      </c>
      <c r="Y84" s="187">
        <f t="shared" si="9"/>
        <v>8.4003968605045305</v>
      </c>
      <c r="AA84" s="144">
        <f t="shared" si="10"/>
        <v>0.18047922703799998</v>
      </c>
      <c r="AB84" s="145">
        <f t="shared" si="11"/>
        <v>2.6993885059453535E-2</v>
      </c>
      <c r="AC84" s="145">
        <f t="shared" si="12"/>
        <v>2.1666109649184783E-3</v>
      </c>
      <c r="AD84" s="145">
        <f t="shared" si="15"/>
        <v>3.3273468545606248E-2</v>
      </c>
      <c r="AE84" s="146">
        <f t="shared" si="13"/>
        <v>-0.4616700168053498</v>
      </c>
      <c r="AF84" s="146">
        <f t="shared" si="14"/>
        <v>1.6232363684760335E-4</v>
      </c>
      <c r="AI84" s="184"/>
      <c r="AJ84" s="184"/>
    </row>
    <row r="85" spans="2:36" x14ac:dyDescent="0.25">
      <c r="I85" s="126">
        <v>1.8228401930800001E-2</v>
      </c>
      <c r="J85" s="127">
        <v>2.7457081397867428E-2</v>
      </c>
      <c r="K85" s="127">
        <v>2.1704366909428984E-3</v>
      </c>
      <c r="L85" s="67">
        <v>3.6392612745560445E-2</v>
      </c>
      <c r="N85" s="18">
        <v>-1.5237322553541978E-6</v>
      </c>
      <c r="O85" s="18">
        <v>6.9695445948390079E-11</v>
      </c>
      <c r="P85" s="18">
        <v>2.1578738793852801E-8</v>
      </c>
      <c r="Q85" s="28">
        <v>2.1601746947148919</v>
      </c>
      <c r="R85" s="61">
        <v>125.2332998319465</v>
      </c>
      <c r="S85" s="58">
        <v>1.5244128807446223E-6</v>
      </c>
      <c r="U85" s="173">
        <v>2.2155680827731467E-2</v>
      </c>
      <c r="V85" s="173">
        <v>3.6392612745560445E-2</v>
      </c>
      <c r="W85" s="174">
        <v>3.6741259573168338E-2</v>
      </c>
      <c r="X85" s="174">
        <f t="shared" si="8"/>
        <v>3.2920541473005174E-2</v>
      </c>
      <c r="Y85" s="187">
        <f t="shared" si="9"/>
        <v>6.3363812842286817</v>
      </c>
      <c r="AA85" s="144">
        <f t="shared" si="10"/>
        <v>0.18228401930800001</v>
      </c>
      <c r="AB85" s="145">
        <f t="shared" si="11"/>
        <v>2.7457081397867428E-2</v>
      </c>
      <c r="AC85" s="145">
        <f t="shared" si="12"/>
        <v>2.1704366909428984E-3</v>
      </c>
      <c r="AD85" s="145">
        <f t="shared" si="15"/>
        <v>3.2920541473005174E-2</v>
      </c>
      <c r="AE85" s="146">
        <f t="shared" si="13"/>
        <v>-0.4616700168053498</v>
      </c>
      <c r="AF85" s="146">
        <f t="shared" si="14"/>
        <v>1.5244128807446222E-4</v>
      </c>
      <c r="AI85" s="184"/>
      <c r="AJ85" s="184"/>
    </row>
    <row r="86" spans="2:36" x14ac:dyDescent="0.25">
      <c r="I86" s="126">
        <v>1.8410685950100002E-2</v>
      </c>
      <c r="J86" s="127">
        <v>2.6870325841708956E-2</v>
      </c>
      <c r="K86" s="127">
        <v>2.0749122076291569E-3</v>
      </c>
      <c r="L86" s="67">
        <v>3.6009055409249507E-2</v>
      </c>
      <c r="N86" s="18">
        <v>-1.4795143921610213E-6</v>
      </c>
      <c r="O86" s="18">
        <v>6.2208985046432659E-11</v>
      </c>
      <c r="P86" s="18">
        <v>1.9007344544418777E-8</v>
      </c>
      <c r="Q86" s="28">
        <v>2.2366481786536836</v>
      </c>
      <c r="R86" s="61">
        <v>125.94699281680975</v>
      </c>
      <c r="S86" s="58">
        <v>1.5244128807446223E-6</v>
      </c>
      <c r="U86" s="173">
        <v>2.3095928246485431E-2</v>
      </c>
      <c r="V86" s="173">
        <v>3.6009055409249507E-2</v>
      </c>
      <c r="W86" s="174">
        <v>3.4601790445694655E-2</v>
      </c>
      <c r="X86" s="174">
        <f t="shared" si="8"/>
        <v>3.2428957377669779E-2</v>
      </c>
      <c r="Y86" s="187">
        <f t="shared" si="9"/>
        <v>7.1768905359011326</v>
      </c>
      <c r="AA86" s="144">
        <f t="shared" si="10"/>
        <v>0.18410685950100003</v>
      </c>
      <c r="AB86" s="145">
        <f t="shared" si="11"/>
        <v>2.6870325841708956E-2</v>
      </c>
      <c r="AC86" s="145">
        <f t="shared" si="12"/>
        <v>2.0749122076291569E-3</v>
      </c>
      <c r="AD86" s="145">
        <f t="shared" si="15"/>
        <v>3.2428957377669779E-2</v>
      </c>
      <c r="AE86" s="146">
        <f t="shared" si="13"/>
        <v>-0.39030071831902402</v>
      </c>
      <c r="AF86" s="146">
        <f t="shared" si="14"/>
        <v>1.5244128807446222E-4</v>
      </c>
      <c r="AI86" s="184"/>
      <c r="AJ86" s="184"/>
    </row>
    <row r="87" spans="2:36" x14ac:dyDescent="0.25">
      <c r="I87" s="126">
        <v>1.85947928096E-2</v>
      </c>
      <c r="J87" s="127">
        <v>2.5789780964439114E-2</v>
      </c>
      <c r="K87" s="127">
        <v>2.0558105534295903E-3</v>
      </c>
      <c r="L87" s="67">
        <v>3.5448671224738215E-2</v>
      </c>
      <c r="N87" s="18">
        <v>-1.4353340159237666E-6</v>
      </c>
      <c r="O87" s="18">
        <v>5.4728871005439923E-11</v>
      </c>
      <c r="P87" s="18">
        <v>1.6438130267871843E-8</v>
      </c>
      <c r="Q87" s="28">
        <v>2.3622274222565238</v>
      </c>
      <c r="R87" s="61">
        <v>125.94699281680975</v>
      </c>
      <c r="S87" s="58">
        <v>1.4301026768375632E-6</v>
      </c>
      <c r="U87" s="173">
        <v>2.3939915560074607E-2</v>
      </c>
      <c r="V87" s="173">
        <v>3.5448671224738215E-2</v>
      </c>
      <c r="W87" s="174">
        <v>3.2373478643060692E-2</v>
      </c>
      <c r="X87" s="174">
        <f t="shared" si="8"/>
        <v>3.1802684163152933E-2</v>
      </c>
      <c r="Y87" s="187">
        <f t="shared" si="9"/>
        <v>8.5546499282574331</v>
      </c>
      <c r="AA87" s="144">
        <f t="shared" si="10"/>
        <v>0.185947928096</v>
      </c>
      <c r="AB87" s="145">
        <f t="shared" si="11"/>
        <v>2.5789780964439114E-2</v>
      </c>
      <c r="AC87" s="145">
        <f t="shared" si="12"/>
        <v>2.0558105534295903E-3</v>
      </c>
      <c r="AD87" s="145">
        <f t="shared" si="15"/>
        <v>3.1802684163152933E-2</v>
      </c>
      <c r="AE87" s="146">
        <f t="shared" si="13"/>
        <v>-0.39030071831902402</v>
      </c>
      <c r="AF87" s="146">
        <f t="shared" si="14"/>
        <v>1.4301026768375632E-4</v>
      </c>
      <c r="AI87" s="184"/>
      <c r="AJ87" s="184"/>
    </row>
    <row r="88" spans="2:36" x14ac:dyDescent="0.25">
      <c r="B88" s="42"/>
      <c r="C88" s="42"/>
      <c r="D88" s="20"/>
      <c r="E88" s="20"/>
      <c r="F88" s="43"/>
      <c r="G88" s="43"/>
      <c r="I88" s="126">
        <v>1.8780740737699999E-2</v>
      </c>
      <c r="J88" s="127">
        <v>2.5251170942435949E-2</v>
      </c>
      <c r="K88" s="127">
        <v>2.0318525129941005E-3</v>
      </c>
      <c r="L88" s="67">
        <v>3.4716135421615398E-2</v>
      </c>
      <c r="N88" s="18">
        <v>-1.391261859482695E-6</v>
      </c>
      <c r="O88" s="18">
        <v>4.7267079497795363E-11</v>
      </c>
      <c r="P88" s="18">
        <v>1.3875209279636116E-8</v>
      </c>
      <c r="Q88" s="28">
        <v>2.5537583400237032</v>
      </c>
      <c r="R88" s="61">
        <v>126.66068580167301</v>
      </c>
      <c r="S88" s="58">
        <v>1.4301026768375632E-6</v>
      </c>
      <c r="U88" s="173">
        <v>2.4677469529588703E-2</v>
      </c>
      <c r="V88" s="173">
        <v>3.4716135421615398E-2</v>
      </c>
      <c r="W88" s="174">
        <v>3.0079159825971029E-2</v>
      </c>
      <c r="X88" s="174">
        <f t="shared" si="8"/>
        <v>3.1047225049697633E-2</v>
      </c>
      <c r="Y88" s="187">
        <f t="shared" si="9"/>
        <v>8.1373032543881862</v>
      </c>
      <c r="AA88" s="144">
        <f t="shared" si="10"/>
        <v>0.187807407377</v>
      </c>
      <c r="AB88" s="145">
        <f t="shared" si="11"/>
        <v>2.5251170942435949E-2</v>
      </c>
      <c r="AC88" s="145">
        <f t="shared" si="12"/>
        <v>2.0318525129941005E-3</v>
      </c>
      <c r="AD88" s="145">
        <f t="shared" si="15"/>
        <v>3.1047225049697633E-2</v>
      </c>
      <c r="AE88" s="146">
        <f t="shared" si="13"/>
        <v>-0.31893141983269829</v>
      </c>
      <c r="AF88" s="146">
        <f t="shared" si="14"/>
        <v>1.4301026768375632E-4</v>
      </c>
      <c r="AI88" s="184"/>
      <c r="AJ88" s="184"/>
    </row>
    <row r="89" spans="2:36" x14ac:dyDescent="0.25">
      <c r="I89" s="126">
        <v>1.89685481451E-2</v>
      </c>
      <c r="J89" s="127">
        <v>2.5474939716468508E-2</v>
      </c>
      <c r="K89" s="127">
        <v>2.0959385548299002E-3</v>
      </c>
      <c r="L89" s="67">
        <v>3.3818112684724781E-2</v>
      </c>
      <c r="N89" s="18">
        <v>-1.3474449651038526E-6</v>
      </c>
      <c r="O89" s="18">
        <v>3.9848506031698479E-11</v>
      </c>
      <c r="P89" s="18">
        <v>1.1327132504836196E-8</v>
      </c>
      <c r="Q89" s="28">
        <v>2.8427430643462008</v>
      </c>
      <c r="R89" s="61">
        <v>126.66068580167301</v>
      </c>
      <c r="S89" s="58">
        <v>1.340625219720954E-6</v>
      </c>
      <c r="U89" s="173">
        <v>2.5299495744625543E-2</v>
      </c>
      <c r="V89" s="173">
        <v>3.3818112684724781E-2</v>
      </c>
      <c r="W89" s="174">
        <v>2.7742575756575443E-2</v>
      </c>
      <c r="X89" s="174">
        <f t="shared" si="8"/>
        <v>3.0169574217662639E-2</v>
      </c>
      <c r="Y89" s="187">
        <f t="shared" si="9"/>
        <v>5.017027470884706</v>
      </c>
      <c r="AA89" s="144">
        <f t="shared" si="10"/>
        <v>0.189685481451</v>
      </c>
      <c r="AB89" s="145">
        <f t="shared" si="11"/>
        <v>2.5474939716468508E-2</v>
      </c>
      <c r="AC89" s="145">
        <f t="shared" si="12"/>
        <v>2.0959385548299002E-3</v>
      </c>
      <c r="AD89" s="145">
        <f t="shared" si="15"/>
        <v>3.0169574217662639E-2</v>
      </c>
      <c r="AE89" s="146">
        <f t="shared" si="13"/>
        <v>-0.31893141983269829</v>
      </c>
      <c r="AF89" s="146">
        <f t="shared" si="14"/>
        <v>1.3406252197209541E-4</v>
      </c>
      <c r="AI89" s="184"/>
      <c r="AJ89" s="184"/>
    </row>
    <row r="90" spans="2:36" x14ac:dyDescent="0.25">
      <c r="I90" s="126">
        <v>1.9158233626600001E-2</v>
      </c>
      <c r="J90" s="127">
        <v>2.5706752830006247E-2</v>
      </c>
      <c r="K90" s="127">
        <v>1.9588149608926555E-3</v>
      </c>
      <c r="L90" s="67">
        <v>3.2763229845995528E-2</v>
      </c>
      <c r="N90" s="18">
        <v>-1.3041702679809817E-6</v>
      </c>
      <c r="O90" s="18">
        <v>3.2521731179664998E-11</v>
      </c>
      <c r="P90" s="18">
        <v>8.8105860394040743E-9</v>
      </c>
      <c r="Q90" s="28">
        <v>3.2920958739615873</v>
      </c>
      <c r="R90" s="61">
        <v>127.37437878653627</v>
      </c>
      <c r="S90" s="58">
        <v>1.340625219720954E-6</v>
      </c>
      <c r="U90" s="173">
        <v>2.5798100037149031E-2</v>
      </c>
      <c r="V90" s="173">
        <v>3.2763229845995528E-2</v>
      </c>
      <c r="W90" s="174">
        <v>2.5388034742514703E-2</v>
      </c>
      <c r="X90" s="174">
        <f t="shared" si="8"/>
        <v>2.9178148617913697E-2</v>
      </c>
      <c r="Y90" s="187">
        <f t="shared" si="9"/>
        <v>3.1406637334581555</v>
      </c>
      <c r="AA90" s="144">
        <f t="shared" si="10"/>
        <v>0.19158233626600002</v>
      </c>
      <c r="AB90" s="145">
        <f t="shared" si="11"/>
        <v>2.5706752830006247E-2</v>
      </c>
      <c r="AC90" s="145">
        <f t="shared" si="12"/>
        <v>1.9588149608926555E-3</v>
      </c>
      <c r="AD90" s="145">
        <f t="shared" si="15"/>
        <v>2.9178148617913697E-2</v>
      </c>
      <c r="AE90" s="146">
        <f t="shared" si="13"/>
        <v>-0.24756212134637251</v>
      </c>
      <c r="AF90" s="146">
        <f t="shared" si="14"/>
        <v>1.3406252197209541E-4</v>
      </c>
      <c r="AI90" s="184"/>
      <c r="AJ90" s="184"/>
    </row>
    <row r="91" spans="2:36" x14ac:dyDescent="0.25">
      <c r="I91" s="126">
        <v>1.9349815962799999E-2</v>
      </c>
      <c r="J91" s="127">
        <v>2.1980732658298766E-2</v>
      </c>
      <c r="K91" s="127">
        <v>1.7385593038625015E-3</v>
      </c>
      <c r="L91" s="67">
        <v>3.1562021737886185E-2</v>
      </c>
      <c r="N91" s="18">
        <v>-1.2619932851115971E-6</v>
      </c>
      <c r="O91" s="18">
        <v>2.5380808701463882E-11</v>
      </c>
      <c r="P91" s="18">
        <v>6.3578747734840806E-9</v>
      </c>
      <c r="Q91" s="28">
        <v>4.0454058184610373</v>
      </c>
      <c r="R91" s="61">
        <v>127.37437878653627</v>
      </c>
      <c r="S91" s="58">
        <v>1.2561263150230266E-6</v>
      </c>
      <c r="U91" s="173">
        <v>2.6166700002790852E-2</v>
      </c>
      <c r="V91" s="173">
        <v>3.1562021737886185E-2</v>
      </c>
      <c r="W91" s="174">
        <v>2.3040038346339296E-2</v>
      </c>
      <c r="X91" s="174">
        <f t="shared" si="8"/>
        <v>2.8082695456225631E-2</v>
      </c>
      <c r="Y91" s="187">
        <f t="shared" si="9"/>
        <v>12.318564225887402</v>
      </c>
      <c r="AA91" s="144">
        <f t="shared" si="10"/>
        <v>0.19349815962799999</v>
      </c>
      <c r="AB91" s="145">
        <f t="shared" si="11"/>
        <v>2.1980732658298766E-2</v>
      </c>
      <c r="AC91" s="145">
        <f t="shared" si="12"/>
        <v>1.7385593038625015E-3</v>
      </c>
      <c r="AD91" s="145">
        <f t="shared" si="15"/>
        <v>2.8082695456225631E-2</v>
      </c>
      <c r="AE91" s="146">
        <f t="shared" si="13"/>
        <v>-0.24756212134637251</v>
      </c>
      <c r="AF91" s="146">
        <f t="shared" si="14"/>
        <v>1.2561263150230267E-4</v>
      </c>
      <c r="AI91" s="184"/>
      <c r="AJ91" s="184"/>
    </row>
    <row r="92" spans="2:36" x14ac:dyDescent="0.25">
      <c r="I92" s="126">
        <v>1.9543314122399999E-2</v>
      </c>
      <c r="J92" s="127">
        <v>2.3815505222217502E-2</v>
      </c>
      <c r="K92" s="127">
        <v>1.8006194526158257E-3</v>
      </c>
      <c r="L92" s="67">
        <v>3.022684803744384E-2</v>
      </c>
      <c r="N92" s="18">
        <v>-1.2220283678138263E-6</v>
      </c>
      <c r="O92" s="18">
        <v>1.861440776769163E-11</v>
      </c>
      <c r="P92" s="18">
        <v>4.0338013991186592E-9</v>
      </c>
      <c r="Q92" s="28">
        <v>5.5214655584257724</v>
      </c>
      <c r="R92" s="61">
        <v>128.08807177139954</v>
      </c>
      <c r="S92" s="58">
        <v>1.2561263150230266E-6</v>
      </c>
      <c r="U92" s="173">
        <v>2.6400125254288871E-2</v>
      </c>
      <c r="V92" s="173">
        <v>3.022684803744384E-2</v>
      </c>
      <c r="W92" s="174">
        <v>2.0722880056375428E-2</v>
      </c>
      <c r="X92" s="174">
        <f t="shared" si="8"/>
        <v>2.6894175346387994E-2</v>
      </c>
      <c r="Y92" s="187">
        <f t="shared" si="9"/>
        <v>2.9233609354385575</v>
      </c>
      <c r="AA92" s="144">
        <f t="shared" si="10"/>
        <v>0.19543314122399999</v>
      </c>
      <c r="AB92" s="145">
        <f t="shared" si="11"/>
        <v>2.3815505222217502E-2</v>
      </c>
      <c r="AC92" s="145">
        <f t="shared" si="12"/>
        <v>1.8006194526158257E-3</v>
      </c>
      <c r="AD92" s="145">
        <f t="shared" si="15"/>
        <v>2.6894175346387994E-2</v>
      </c>
      <c r="AE92" s="146">
        <f t="shared" si="13"/>
        <v>-0.17619282286004534</v>
      </c>
      <c r="AF92" s="146">
        <f t="shared" si="14"/>
        <v>1.2561263150230267E-4</v>
      </c>
      <c r="AI92" s="184"/>
      <c r="AJ92" s="184"/>
    </row>
    <row r="93" spans="2:36" x14ac:dyDescent="0.25">
      <c r="I93" s="126">
        <v>1.97387472637E-2</v>
      </c>
      <c r="J93" s="127">
        <v>1.9998491821508178E-2</v>
      </c>
      <c r="K93" s="127">
        <v>1.5518406913514471E-3</v>
      </c>
      <c r="L93" s="67">
        <v>2.8771779165609336E-2</v>
      </c>
      <c r="N93" s="18">
        <v>-1.1867097027196541E-6</v>
      </c>
      <c r="O93" s="18">
        <v>1.2634656910403476E-11</v>
      </c>
      <c r="P93" s="18">
        <v>1.9799207779751451E-9</v>
      </c>
      <c r="Q93" s="28">
        <v>9.9221469142188514</v>
      </c>
      <c r="R93" s="61">
        <v>128.08807177139954</v>
      </c>
      <c r="S93" s="58">
        <v>1.1765906014711193E-6</v>
      </c>
      <c r="U93" s="173">
        <v>2.6494704986466524E-2</v>
      </c>
      <c r="V93" s="173">
        <v>2.8771779165609336E-2</v>
      </c>
      <c r="W93" s="174">
        <v>1.8460223492261982E-2</v>
      </c>
      <c r="X93" s="174">
        <f t="shared" si="8"/>
        <v>2.5624621702486795E-2</v>
      </c>
      <c r="Y93" s="187">
        <f t="shared" si="9"/>
        <v>13.143929971950847</v>
      </c>
      <c r="AA93" s="144">
        <f t="shared" si="10"/>
        <v>0.19738747263700002</v>
      </c>
      <c r="AB93" s="145">
        <f t="shared" si="11"/>
        <v>1.9998491821508178E-2</v>
      </c>
      <c r="AC93" s="145">
        <f t="shared" si="12"/>
        <v>1.5518406913514471E-3</v>
      </c>
      <c r="AD93" s="145">
        <f t="shared" si="15"/>
        <v>2.5624621702486795E-2</v>
      </c>
      <c r="AE93" s="146">
        <f t="shared" si="13"/>
        <v>-0.17619282286004534</v>
      </c>
      <c r="AF93" s="146">
        <f t="shared" si="14"/>
        <v>1.1765906014711193E-4</v>
      </c>
      <c r="AI93" s="184"/>
      <c r="AJ93" s="184"/>
    </row>
    <row r="94" spans="2:36" x14ac:dyDescent="0.25">
      <c r="I94" s="126">
        <v>1.9936134736300001E-2</v>
      </c>
      <c r="J94" s="127">
        <v>1.7585913274364512E-2</v>
      </c>
      <c r="K94" s="127">
        <v>1.4466041130598666E-3</v>
      </c>
      <c r="L94" s="67">
        <v>2.7212449667015842E-2</v>
      </c>
      <c r="N94" s="18">
        <v>-1.1622956002940111E-6</v>
      </c>
      <c r="O94" s="18">
        <v>8.5011414018077235E-12</v>
      </c>
      <c r="P94" s="18">
        <v>5.6017142672021119E-10</v>
      </c>
      <c r="Q94" s="28">
        <v>13.324728933252164</v>
      </c>
      <c r="R94" s="61">
        <v>128.8017647562628</v>
      </c>
      <c r="S94" s="58">
        <v>1.1765906014711193E-6</v>
      </c>
      <c r="U94" s="173">
        <v>2.6448341380521476E-2</v>
      </c>
      <c r="V94" s="173">
        <v>2.7212449667015842E-2</v>
      </c>
      <c r="W94" s="174">
        <v>1.6274669481423965E-2</v>
      </c>
      <c r="X94" s="174">
        <f t="shared" si="8"/>
        <v>2.4286977548994278E-2</v>
      </c>
      <c r="Y94" s="187">
        <f t="shared" si="9"/>
        <v>21.457947382709602</v>
      </c>
      <c r="AA94" s="144">
        <f t="shared" si="10"/>
        <v>0.19936134736300001</v>
      </c>
      <c r="AB94" s="145">
        <f t="shared" si="11"/>
        <v>1.7585913274364512E-2</v>
      </c>
      <c r="AC94" s="145">
        <f t="shared" si="12"/>
        <v>1.4466041130598666E-3</v>
      </c>
      <c r="AD94" s="145">
        <f t="shared" si="15"/>
        <v>2.4286977548994278E-2</v>
      </c>
      <c r="AE94" s="146">
        <f t="shared" si="13"/>
        <v>-0.10482352437371958</v>
      </c>
      <c r="AF94" s="146">
        <f t="shared" si="14"/>
        <v>1.1765906014711193E-4</v>
      </c>
      <c r="AI94" s="184"/>
      <c r="AJ94" s="184"/>
    </row>
    <row r="95" spans="2:36" x14ac:dyDescent="0.25">
      <c r="I95" s="126">
        <v>2.0135496083700001E-2</v>
      </c>
      <c r="J95" s="127">
        <v>1.7402961376302022E-2</v>
      </c>
      <c r="K95" s="127">
        <v>1.3660638481633187E-3</v>
      </c>
      <c r="L95" s="67">
        <v>2.556587804280357E-2</v>
      </c>
      <c r="N95" s="18">
        <v>-1.1589222236478458E-6</v>
      </c>
      <c r="O95" s="18">
        <v>7.9300000000000003E-12</v>
      </c>
      <c r="P95" s="18">
        <v>3.6399999999999998E-10</v>
      </c>
      <c r="Q95" s="28">
        <v>2.8366278088117838</v>
      </c>
      <c r="R95" s="61">
        <v>128.8017647562628</v>
      </c>
      <c r="S95" s="58">
        <v>1.1018619269977937E-6</v>
      </c>
      <c r="U95" s="173">
        <v>2.6260567299508739E-2</v>
      </c>
      <c r="V95" s="173">
        <v>2.556587804280357E-2</v>
      </c>
      <c r="W95" s="174">
        <v>1.4187322976385704E-2</v>
      </c>
      <c r="X95" s="174">
        <f t="shared" si="8"/>
        <v>2.2894911590375398E-2</v>
      </c>
      <c r="Y95" s="187">
        <f t="shared" si="9"/>
        <v>16.162598579210744</v>
      </c>
      <c r="AA95" s="144">
        <f t="shared" si="10"/>
        <v>0.201354960837</v>
      </c>
      <c r="AB95" s="145">
        <f t="shared" si="11"/>
        <v>1.7402961376302022E-2</v>
      </c>
      <c r="AC95" s="145">
        <f t="shared" si="12"/>
        <v>1.3660638481633187E-3</v>
      </c>
      <c r="AD95" s="145">
        <f t="shared" si="15"/>
        <v>2.2894911590375398E-2</v>
      </c>
      <c r="AE95" s="146">
        <f t="shared" si="13"/>
        <v>-0.10482352437371958</v>
      </c>
      <c r="AF95" s="146">
        <f t="shared" si="14"/>
        <v>1.1018619269977937E-4</v>
      </c>
      <c r="AI95" s="184"/>
      <c r="AJ95" s="184"/>
    </row>
    <row r="96" spans="2:36" x14ac:dyDescent="0.25">
      <c r="I96" s="126">
        <v>2.03368510445E-2</v>
      </c>
      <c r="J96" s="127">
        <v>1.6536523230797063E-2</v>
      </c>
      <c r="K96" s="127">
        <v>1.3613841733866473E-3</v>
      </c>
      <c r="L96" s="67">
        <v>2.385025276889717E-2</v>
      </c>
      <c r="N96" s="18">
        <v>-1.1622956002940111E-6</v>
      </c>
      <c r="O96" s="18">
        <v>8.5011414018077235E-12</v>
      </c>
      <c r="P96" s="18">
        <v>5.6017142672021119E-10</v>
      </c>
      <c r="Q96" s="28">
        <v>13.324728933252164</v>
      </c>
      <c r="R96" s="61">
        <v>129.51545774112606</v>
      </c>
      <c r="S96" s="58">
        <v>1.1018619269977937E-6</v>
      </c>
      <c r="U96" s="173">
        <v>2.5932586656540867E-2</v>
      </c>
      <c r="V96" s="173">
        <v>2.385025276889717E-2</v>
      </c>
      <c r="W96" s="174">
        <v>1.2217372149154459E-2</v>
      </c>
      <c r="X96" s="174">
        <f t="shared" si="8"/>
        <v>2.1462616085872417E-2</v>
      </c>
      <c r="Y96" s="187">
        <f t="shared" si="9"/>
        <v>13.093139432741388</v>
      </c>
      <c r="AA96" s="144">
        <f t="shared" si="10"/>
        <v>0.20336851044500001</v>
      </c>
      <c r="AB96" s="145">
        <f t="shared" si="11"/>
        <v>1.6536523230797063E-2</v>
      </c>
      <c r="AC96" s="145">
        <f t="shared" si="12"/>
        <v>1.3613841733866473E-3</v>
      </c>
      <c r="AD96" s="145">
        <f t="shared" si="15"/>
        <v>2.1462616085872417E-2</v>
      </c>
      <c r="AE96" s="146">
        <f t="shared" si="13"/>
        <v>-3.3454225887393815E-2</v>
      </c>
      <c r="AF96" s="146">
        <f t="shared" si="14"/>
        <v>1.1018619269977937E-4</v>
      </c>
      <c r="AI96" s="184"/>
      <c r="AJ96" s="184"/>
    </row>
    <row r="97" spans="9:36" x14ac:dyDescent="0.25">
      <c r="I97" s="126">
        <v>2.0540219554899999E-2</v>
      </c>
      <c r="J97" s="127">
        <v>1.524350841290947E-2</v>
      </c>
      <c r="K97" s="127">
        <v>1.2790816212539398E-3</v>
      </c>
      <c r="L97" s="67">
        <v>2.2084685113206947E-2</v>
      </c>
      <c r="N97" s="18">
        <v>-1.1867097027196541E-6</v>
      </c>
      <c r="O97" s="18">
        <v>1.2634656910403476E-11</v>
      </c>
      <c r="P97" s="18">
        <v>1.9799207779751451E-9</v>
      </c>
      <c r="Q97" s="28">
        <v>9.9221469142188514</v>
      </c>
      <c r="R97" s="61">
        <v>129.51545774112606</v>
      </c>
      <c r="S97" s="58">
        <v>1.0316698680685561E-6</v>
      </c>
      <c r="U97" s="173">
        <v>2.5467295774677452E-2</v>
      </c>
      <c r="V97" s="173">
        <v>2.2084685113206947E-2</v>
      </c>
      <c r="W97" s="174">
        <v>1.0381692856145231E-2</v>
      </c>
      <c r="X97" s="174">
        <f t="shared" si="8"/>
        <v>2.0004589714309146E-2</v>
      </c>
      <c r="Y97" s="187">
        <f t="shared" si="9"/>
        <v>13.85525993403748</v>
      </c>
      <c r="AA97" s="144">
        <f t="shared" si="10"/>
        <v>0.20540219554899999</v>
      </c>
      <c r="AB97" s="145">
        <f t="shared" si="11"/>
        <v>1.524350841290947E-2</v>
      </c>
      <c r="AC97" s="145">
        <f t="shared" si="12"/>
        <v>1.2790816212539398E-3</v>
      </c>
      <c r="AD97" s="145">
        <f t="shared" si="15"/>
        <v>2.0004589714309146E-2</v>
      </c>
      <c r="AE97" s="146">
        <f t="shared" si="13"/>
        <v>-3.3454225887393815E-2</v>
      </c>
      <c r="AF97" s="146">
        <f t="shared" si="14"/>
        <v>1.0316698680685561E-4</v>
      </c>
      <c r="AI97" s="184"/>
      <c r="AJ97" s="184"/>
    </row>
    <row r="98" spans="9:36" x14ac:dyDescent="0.25">
      <c r="I98" s="126">
        <v>2.0745621750500001E-2</v>
      </c>
      <c r="J98" s="127">
        <v>1.545722031387921E-2</v>
      </c>
      <c r="K98" s="127">
        <v>1.2700218437211575E-3</v>
      </c>
      <c r="L98" s="67">
        <v>2.0288930502050523E-2</v>
      </c>
      <c r="N98" s="18">
        <v>-1.2220283678138263E-6</v>
      </c>
      <c r="O98" s="18">
        <v>1.861440776769163E-11</v>
      </c>
      <c r="P98" s="18">
        <v>4.0338013991186592E-9</v>
      </c>
      <c r="Q98" s="28">
        <v>5.5214655584257724</v>
      </c>
      <c r="R98" s="61">
        <v>130.22915072598931</v>
      </c>
      <c r="S98" s="58">
        <v>1.0316698680685561E-6</v>
      </c>
      <c r="U98" s="173">
        <v>2.4869284020715879E-2</v>
      </c>
      <c r="V98" s="173">
        <v>2.0288930502050523E-2</v>
      </c>
      <c r="W98" s="174">
        <v>8.6944921107699937E-3</v>
      </c>
      <c r="X98" s="174">
        <f t="shared" si="8"/>
        <v>1.8535409283896728E-2</v>
      </c>
      <c r="Y98" s="187">
        <f t="shared" si="9"/>
        <v>5.8744630164294369</v>
      </c>
      <c r="AA98" s="144">
        <f t="shared" si="10"/>
        <v>0.20745621750500001</v>
      </c>
      <c r="AB98" s="145">
        <f t="shared" si="11"/>
        <v>1.545722031387921E-2</v>
      </c>
      <c r="AC98" s="145">
        <f t="shared" si="12"/>
        <v>1.2700218437211575E-3</v>
      </c>
      <c r="AD98" s="145">
        <f t="shared" si="15"/>
        <v>1.8535409283896728E-2</v>
      </c>
      <c r="AE98" s="146">
        <f t="shared" si="13"/>
        <v>3.791507259893194E-2</v>
      </c>
      <c r="AF98" s="146">
        <f t="shared" si="14"/>
        <v>1.0316698680685561E-4</v>
      </c>
      <c r="AI98" s="184"/>
      <c r="AJ98" s="184"/>
    </row>
    <row r="99" spans="9:36" x14ac:dyDescent="0.25">
      <c r="I99" s="126">
        <v>2.0953077968E-2</v>
      </c>
      <c r="J99" s="127">
        <v>1.3112997723266731E-2</v>
      </c>
      <c r="K99" s="127">
        <v>1.13799091349358E-3</v>
      </c>
      <c r="L99" s="67">
        <v>1.8483081418073116E-2</v>
      </c>
      <c r="N99" s="18">
        <v>-1.2619932851115971E-6</v>
      </c>
      <c r="O99" s="18">
        <v>2.5380808701463882E-11</v>
      </c>
      <c r="P99" s="18">
        <v>6.3578747734840806E-9</v>
      </c>
      <c r="Q99" s="28">
        <v>4.0454058184610373</v>
      </c>
      <c r="R99" s="61">
        <v>130.22915072598931</v>
      </c>
      <c r="S99" s="58">
        <v>9.6566031464803162E-7</v>
      </c>
      <c r="U99" s="173">
        <v>2.4144811999051542E-2</v>
      </c>
      <c r="V99" s="173">
        <v>1.8483081418073116E-2</v>
      </c>
      <c r="W99" s="174">
        <v>7.1670039519555464E-3</v>
      </c>
      <c r="X99" s="174">
        <f t="shared" si="8"/>
        <v>1.7069494696788329E-2</v>
      </c>
      <c r="Y99" s="187">
        <f t="shared" si="9"/>
        <v>12.087711525711242</v>
      </c>
      <c r="AA99" s="144">
        <f t="shared" si="10"/>
        <v>0.20953077968</v>
      </c>
      <c r="AB99" s="145">
        <f t="shared" si="11"/>
        <v>1.3112997723266731E-2</v>
      </c>
      <c r="AC99" s="145">
        <f t="shared" si="12"/>
        <v>1.13799091349358E-3</v>
      </c>
      <c r="AD99" s="145">
        <f t="shared" si="15"/>
        <v>1.7069494696788329E-2</v>
      </c>
      <c r="AE99" s="146">
        <f t="shared" si="13"/>
        <v>3.791507259893194E-2</v>
      </c>
      <c r="AF99" s="146">
        <f t="shared" si="14"/>
        <v>9.6566031464803158E-5</v>
      </c>
      <c r="AI99" s="184"/>
      <c r="AJ99" s="184"/>
    </row>
    <row r="100" spans="9:36" x14ac:dyDescent="0.25">
      <c r="I100" s="126">
        <v>2.1162608747699999E-2</v>
      </c>
      <c r="J100" s="127">
        <v>1.4031469959979859E-2</v>
      </c>
      <c r="K100" s="127">
        <v>1.1605043910749081E-3</v>
      </c>
      <c r="L100" s="67">
        <v>1.6687236174929013E-2</v>
      </c>
      <c r="N100" s="18">
        <v>-1.3041702679809817E-6</v>
      </c>
      <c r="O100" s="18">
        <v>3.2521731179664998E-11</v>
      </c>
      <c r="P100" s="18">
        <v>8.8105860394040743E-9</v>
      </c>
      <c r="Q100" s="28">
        <v>3.2920958739615873</v>
      </c>
      <c r="R100" s="61">
        <v>130.94284371085257</v>
      </c>
      <c r="S100" s="58">
        <v>9.6566031464803162E-7</v>
      </c>
      <c r="U100" s="173">
        <v>2.3301765650834059E-2</v>
      </c>
      <c r="V100" s="173">
        <v>1.6687236174929013E-2</v>
      </c>
      <c r="W100" s="174">
        <v>5.8072502213461314E-3</v>
      </c>
      <c r="X100" s="174">
        <f t="shared" si="8"/>
        <v>1.5620872055509554E-2</v>
      </c>
      <c r="Y100" s="187">
        <f t="shared" si="9"/>
        <v>1.8757458161003653</v>
      </c>
      <c r="AA100" s="144">
        <f t="shared" si="10"/>
        <v>0.21162608747699999</v>
      </c>
      <c r="AB100" s="145">
        <f t="shared" si="11"/>
        <v>1.4031469959979859E-2</v>
      </c>
      <c r="AC100" s="145">
        <f t="shared" si="12"/>
        <v>1.1605043910749081E-3</v>
      </c>
      <c r="AD100" s="145">
        <f t="shared" si="15"/>
        <v>1.5620872055509554E-2</v>
      </c>
      <c r="AE100" s="146">
        <f t="shared" si="13"/>
        <v>0.10928437108525771</v>
      </c>
      <c r="AF100" s="146">
        <f t="shared" si="14"/>
        <v>9.6566031464803158E-5</v>
      </c>
      <c r="AI100" s="184"/>
      <c r="AJ100" s="184"/>
    </row>
    <row r="101" spans="9:36" x14ac:dyDescent="0.25">
      <c r="I101" s="126">
        <v>2.1374234835199998E-2</v>
      </c>
      <c r="J101" s="127">
        <v>1.1502537753955723E-2</v>
      </c>
      <c r="K101" s="127">
        <v>1.0822358091968571E-3</v>
      </c>
      <c r="L101" s="67">
        <v>1.4921149362407583E-2</v>
      </c>
      <c r="N101" s="18">
        <v>-1.3474449651038526E-6</v>
      </c>
      <c r="O101" s="18">
        <v>3.9848506031698479E-11</v>
      </c>
      <c r="P101" s="18">
        <v>1.1327132504836196E-8</v>
      </c>
      <c r="Q101" s="28">
        <v>2.8427430643462008</v>
      </c>
      <c r="R101" s="61">
        <v>130.94284371085257</v>
      </c>
      <c r="S101" s="58">
        <v>9.0342788124486571E-7</v>
      </c>
      <c r="U101" s="173">
        <v>2.2349584755139103E-2</v>
      </c>
      <c r="V101" s="173">
        <v>1.4921149362407583E-2</v>
      </c>
      <c r="W101" s="174">
        <v>4.6198772396918841E-3</v>
      </c>
      <c r="X101" s="174">
        <f t="shared" si="8"/>
        <v>1.4202940179911538E-2</v>
      </c>
      <c r="Y101" s="187">
        <f t="shared" si="9"/>
        <v>6.226058245819365</v>
      </c>
      <c r="AA101" s="144">
        <f t="shared" si="10"/>
        <v>0.21374234835199998</v>
      </c>
      <c r="AB101" s="145">
        <f t="shared" si="11"/>
        <v>1.1502537753955723E-2</v>
      </c>
      <c r="AC101" s="145">
        <f t="shared" si="12"/>
        <v>1.0822358091968571E-3</v>
      </c>
      <c r="AD101" s="145">
        <f t="shared" si="15"/>
        <v>1.4202940179911538E-2</v>
      </c>
      <c r="AE101" s="146">
        <f t="shared" si="13"/>
        <v>0.10928437108525771</v>
      </c>
      <c r="AF101" s="146">
        <f t="shared" si="14"/>
        <v>9.0342788124486568E-5</v>
      </c>
      <c r="AI101" s="184"/>
      <c r="AJ101" s="184"/>
    </row>
    <row r="102" spans="9:36" x14ac:dyDescent="0.25">
      <c r="I102" s="126">
        <v>2.1587977183500001E-2</v>
      </c>
      <c r="J102" s="127">
        <v>1.0036004379545852E-2</v>
      </c>
      <c r="K102" s="127">
        <v>9.5043483699482729E-4</v>
      </c>
      <c r="L102" s="67">
        <v>1.3205977370111905E-2</v>
      </c>
      <c r="N102" s="18">
        <v>-1.391261859482695E-6</v>
      </c>
      <c r="O102" s="18">
        <v>4.7267079497795369E-11</v>
      </c>
      <c r="P102" s="18">
        <v>1.3875209279636119E-8</v>
      </c>
      <c r="Q102" s="28">
        <v>2.5537583400237032</v>
      </c>
      <c r="R102" s="61">
        <v>131.65653669571583</v>
      </c>
      <c r="S102" s="58">
        <v>9.0342788124486571E-7</v>
      </c>
      <c r="U102" s="173">
        <v>2.1300945909623156E-2</v>
      </c>
      <c r="V102" s="173">
        <v>1.3205977370111905E-2</v>
      </c>
      <c r="W102" s="174">
        <v>3.6068613432834063E-3</v>
      </c>
      <c r="X102" s="174">
        <f t="shared" si="8"/>
        <v>1.2829940498282594E-2</v>
      </c>
      <c r="Y102" s="187">
        <f t="shared" si="9"/>
        <v>8.6414824296359161</v>
      </c>
      <c r="AA102" s="144">
        <f t="shared" si="10"/>
        <v>0.21587977183500001</v>
      </c>
      <c r="AB102" s="145">
        <f t="shared" si="11"/>
        <v>1.0036004379545852E-2</v>
      </c>
      <c r="AC102" s="145">
        <f t="shared" si="12"/>
        <v>9.5043483699482729E-4</v>
      </c>
      <c r="AD102" s="145">
        <f t="shared" si="15"/>
        <v>1.2829940498282594E-2</v>
      </c>
      <c r="AE102" s="146">
        <f t="shared" si="13"/>
        <v>0.18065366957158346</v>
      </c>
      <c r="AF102" s="146">
        <f t="shared" si="14"/>
        <v>9.0342788124486568E-5</v>
      </c>
      <c r="AI102" s="184"/>
      <c r="AJ102" s="184"/>
    </row>
    <row r="103" spans="9:36" x14ac:dyDescent="0.25">
      <c r="I103" s="126">
        <v>2.1803856955299999E-2</v>
      </c>
      <c r="J103" s="127">
        <v>8.4028159671411529E-3</v>
      </c>
      <c r="K103" s="127">
        <v>8.6317358007079322E-4</v>
      </c>
      <c r="L103" s="67">
        <v>1.1555266010044512E-2</v>
      </c>
      <c r="N103" s="18">
        <v>-1.4353340159237666E-6</v>
      </c>
      <c r="O103" s="18">
        <v>5.4728871005439923E-11</v>
      </c>
      <c r="P103" s="18">
        <v>1.6438130267871843E-8</v>
      </c>
      <c r="Q103" s="28">
        <v>2.3622274222565238</v>
      </c>
      <c r="R103" s="61">
        <v>131.65653669571583</v>
      </c>
      <c r="S103" s="58">
        <v>8.4454791977566301E-7</v>
      </c>
      <c r="U103" s="173">
        <v>2.016450880148956E-2</v>
      </c>
      <c r="V103" s="173">
        <v>1.1555266010044512E-2</v>
      </c>
      <c r="W103" s="174">
        <v>2.7641554073648284E-3</v>
      </c>
      <c r="X103" s="174">
        <f t="shared" si="8"/>
        <v>1.1509799057235853E-2</v>
      </c>
      <c r="Y103" s="187">
        <f t="shared" si="9"/>
        <v>12.956315085747534</v>
      </c>
      <c r="AA103" s="144">
        <f t="shared" si="10"/>
        <v>0.21803856955299999</v>
      </c>
      <c r="AB103" s="145">
        <f t="shared" si="11"/>
        <v>8.4028159671411529E-3</v>
      </c>
      <c r="AC103" s="145">
        <f t="shared" si="12"/>
        <v>8.6317358007079322E-4</v>
      </c>
      <c r="AD103" s="145">
        <f t="shared" si="15"/>
        <v>1.1509799057235853E-2</v>
      </c>
      <c r="AE103" s="146">
        <f t="shared" si="13"/>
        <v>0.18065366957158346</v>
      </c>
      <c r="AF103" s="146">
        <f t="shared" si="14"/>
        <v>8.4454791977566307E-5</v>
      </c>
      <c r="AI103" s="184"/>
      <c r="AJ103" s="184"/>
    </row>
    <row r="104" spans="9:36" x14ac:dyDescent="0.25">
      <c r="I104" s="126">
        <v>2.2021895524900002E-2</v>
      </c>
      <c r="J104" s="127">
        <v>6.9488930701929463E-3</v>
      </c>
      <c r="K104" s="127">
        <v>7.881061439105881E-4</v>
      </c>
      <c r="L104" s="67">
        <v>9.9879032803698916E-3</v>
      </c>
      <c r="N104" s="18">
        <v>-1.4795143921610213E-6</v>
      </c>
      <c r="O104" s="18">
        <v>6.2208985046432659E-11</v>
      </c>
      <c r="P104" s="18">
        <v>1.9007344544418777E-8</v>
      </c>
      <c r="Q104" s="28">
        <v>2.2366481786536836</v>
      </c>
      <c r="R104" s="61">
        <v>132.37022968057909</v>
      </c>
      <c r="S104" s="58">
        <v>8.4454791977566301E-7</v>
      </c>
      <c r="U104" s="173">
        <v>1.8955433811918183E-2</v>
      </c>
      <c r="V104" s="173">
        <v>9.9879032803698916E-3</v>
      </c>
      <c r="W104" s="174">
        <v>2.0872200457516189E-3</v>
      </c>
      <c r="X104" s="174">
        <f t="shared" si="8"/>
        <v>1.0254615104602396E-2</v>
      </c>
      <c r="Y104" s="187">
        <f t="shared" si="9"/>
        <v>17.593945357489059</v>
      </c>
      <c r="AA104" s="144">
        <f t="shared" si="10"/>
        <v>0.22021895524900001</v>
      </c>
      <c r="AB104" s="145">
        <f t="shared" si="11"/>
        <v>6.9488930701929463E-3</v>
      </c>
      <c r="AC104" s="145">
        <f t="shared" si="12"/>
        <v>7.881061439105881E-4</v>
      </c>
      <c r="AD104" s="145">
        <f t="shared" si="15"/>
        <v>1.0254615104602396E-2</v>
      </c>
      <c r="AE104" s="146">
        <f t="shared" si="13"/>
        <v>0.25202296805790925</v>
      </c>
      <c r="AF104" s="146">
        <f t="shared" si="14"/>
        <v>8.4454791977566307E-5</v>
      </c>
      <c r="AI104" s="184"/>
      <c r="AJ104" s="184"/>
    </row>
    <row r="105" spans="9:36" x14ac:dyDescent="0.25">
      <c r="I105" s="126">
        <v>2.2242114480200002E-2</v>
      </c>
      <c r="J105" s="127">
        <v>6.4604905860052315E-3</v>
      </c>
      <c r="K105" s="127">
        <v>7.2344628686808754E-4</v>
      </c>
      <c r="L105" s="67">
        <v>8.5186884422753569E-3</v>
      </c>
      <c r="N105" s="18">
        <v>-1.5237322553541978E-6</v>
      </c>
      <c r="O105" s="18">
        <v>6.9695445948390079E-11</v>
      </c>
      <c r="P105" s="18">
        <v>2.1578738793852801E-8</v>
      </c>
      <c r="Q105" s="28">
        <v>2.1601746947148919</v>
      </c>
      <c r="R105" s="61">
        <v>132.37022968057909</v>
      </c>
      <c r="S105" s="58">
        <v>7.8860609086676947E-7</v>
      </c>
      <c r="U105" s="173">
        <v>1.7688115014086694E-2</v>
      </c>
      <c r="V105" s="173">
        <v>8.5186884422753569E-3</v>
      </c>
      <c r="W105" s="174">
        <v>1.5673323822916916E-3</v>
      </c>
      <c r="X105" s="174">
        <f t="shared" si="8"/>
        <v>9.0732060702322752E-3</v>
      </c>
      <c r="Y105" s="187">
        <f t="shared" si="9"/>
        <v>13.042824613071202</v>
      </c>
      <c r="AA105" s="144">
        <f t="shared" si="10"/>
        <v>0.22242114480200001</v>
      </c>
      <c r="AB105" s="145">
        <f t="shared" si="11"/>
        <v>6.4604905860052315E-3</v>
      </c>
      <c r="AC105" s="145">
        <f t="shared" si="12"/>
        <v>7.2344628686808754E-4</v>
      </c>
      <c r="AD105" s="145">
        <f t="shared" si="15"/>
        <v>9.0732060702322752E-3</v>
      </c>
      <c r="AE105" s="146">
        <f t="shared" si="13"/>
        <v>0.25202296805790925</v>
      </c>
      <c r="AF105" s="146">
        <f t="shared" si="14"/>
        <v>7.8860609086676942E-5</v>
      </c>
      <c r="AI105" s="184"/>
      <c r="AJ105" s="184"/>
    </row>
    <row r="106" spans="9:36" x14ac:dyDescent="0.25">
      <c r="I106" s="126">
        <v>2.2464535625E-2</v>
      </c>
      <c r="J106" s="127">
        <v>5.4550928164388262E-3</v>
      </c>
      <c r="K106" s="127">
        <v>6.5665585070003279E-4</v>
      </c>
      <c r="L106" s="67">
        <v>7.1603469295333164E-3</v>
      </c>
      <c r="N106" s="18">
        <v>-1.5679587688061151E-6</v>
      </c>
      <c r="O106" s="18">
        <v>7.7183371412838295E-11</v>
      </c>
      <c r="P106" s="18">
        <v>2.4150636080384871E-8</v>
      </c>
      <c r="Q106" s="28">
        <v>2.1238874184932852</v>
      </c>
      <c r="R106" s="61">
        <v>133.08392266544234</v>
      </c>
      <c r="S106" s="58">
        <v>7.8860609086676947E-7</v>
      </c>
      <c r="U106" s="173">
        <v>1.637772979790738E-2</v>
      </c>
      <c r="V106" s="173">
        <v>7.1603469295333164E-3</v>
      </c>
      <c r="W106" s="174">
        <v>1.1929205149256974E-3</v>
      </c>
      <c r="X106" s="174">
        <f t="shared" si="8"/>
        <v>7.9728360429749279E-3</v>
      </c>
      <c r="Y106" s="187">
        <f t="shared" si="9"/>
        <v>14.701012142621861</v>
      </c>
      <c r="AA106" s="144">
        <f t="shared" si="10"/>
        <v>0.22464535625000001</v>
      </c>
      <c r="AB106" s="145">
        <f t="shared" si="11"/>
        <v>5.4550928164388262E-3</v>
      </c>
      <c r="AC106" s="145">
        <f t="shared" si="12"/>
        <v>6.5665585070003279E-4</v>
      </c>
      <c r="AD106" s="145">
        <f t="shared" si="15"/>
        <v>7.9728360429749279E-3</v>
      </c>
      <c r="AE106" s="146">
        <f t="shared" si="13"/>
        <v>0.32339226654423497</v>
      </c>
      <c r="AF106" s="146">
        <f t="shared" si="14"/>
        <v>7.8860609086676942E-5</v>
      </c>
      <c r="AI106" s="184"/>
      <c r="AJ106" s="184"/>
    </row>
    <row r="107" spans="9:36" x14ac:dyDescent="0.25">
      <c r="I107" s="126">
        <v>2.2689180981199999E-2</v>
      </c>
      <c r="J107" s="127">
        <v>4.6093420081263518E-3</v>
      </c>
      <c r="K107" s="127">
        <v>6.4230350016542123E-4</v>
      </c>
      <c r="L107" s="67">
        <v>5.9232592239480287E-3</v>
      </c>
      <c r="N107" s="18">
        <v>-1.6121862461507893E-6</v>
      </c>
      <c r="O107" s="18">
        <v>8.467146007254098E-11</v>
      </c>
      <c r="P107" s="18">
        <v>2.6722589420016585E-8</v>
      </c>
      <c r="Q107" s="28">
        <v>2.1238874184932852</v>
      </c>
      <c r="R107" s="61">
        <v>133.08392266544234</v>
      </c>
      <c r="S107" s="58">
        <v>7.3522377138454587E-7</v>
      </c>
      <c r="U107" s="173">
        <v>1.5040004090814076E-2</v>
      </c>
      <c r="V107" s="173">
        <v>5.9232592239480287E-3</v>
      </c>
      <c r="W107" s="174">
        <v>9.4993431473918257E-4</v>
      </c>
      <c r="X107" s="174">
        <f t="shared" si="8"/>
        <v>6.9591142133623293E-3</v>
      </c>
      <c r="Y107" s="187">
        <f t="shared" si="9"/>
        <v>13.383538339782023</v>
      </c>
      <c r="AA107" s="144">
        <f t="shared" si="10"/>
        <v>0.22689180981199999</v>
      </c>
      <c r="AB107" s="145">
        <f t="shared" si="11"/>
        <v>4.6093420081263518E-3</v>
      </c>
      <c r="AC107" s="145">
        <f t="shared" si="12"/>
        <v>6.4230350016542123E-4</v>
      </c>
      <c r="AD107" s="145">
        <f t="shared" si="15"/>
        <v>6.9591142133623293E-3</v>
      </c>
      <c r="AE107" s="146">
        <f t="shared" si="13"/>
        <v>0.32339226654423497</v>
      </c>
      <c r="AF107" s="146">
        <f t="shared" si="14"/>
        <v>7.3522377138454586E-5</v>
      </c>
      <c r="AI107" s="184"/>
      <c r="AJ107" s="184"/>
    </row>
    <row r="108" spans="9:36" x14ac:dyDescent="0.25">
      <c r="I108" s="126">
        <v>2.2916072791000001E-2</v>
      </c>
      <c r="J108" s="127">
        <v>3.4098037039702973E-3</v>
      </c>
      <c r="K108" s="127">
        <v>5.6232009553256639E-4</v>
      </c>
      <c r="L108" s="67">
        <v>4.8152396794819774E-3</v>
      </c>
      <c r="N108" s="18">
        <v>-1.6564127596027067E-6</v>
      </c>
      <c r="O108" s="18">
        <v>9.2159385536989183E-11</v>
      </c>
      <c r="P108" s="18">
        <v>2.9294486706548655E-8</v>
      </c>
      <c r="Q108" s="28">
        <v>2.1601746947148919</v>
      </c>
      <c r="R108" s="61">
        <v>133.7976156503056</v>
      </c>
      <c r="S108" s="58">
        <v>7.3522377138454587E-7</v>
      </c>
      <c r="U108" s="173">
        <v>1.3690955114644611E-2</v>
      </c>
      <c r="V108" s="173">
        <v>4.8152396794819774E-3</v>
      </c>
      <c r="W108" s="174">
        <v>8.2228789249529641E-4</v>
      </c>
      <c r="X108" s="174">
        <f t="shared" si="8"/>
        <v>6.0359305915259655E-3</v>
      </c>
      <c r="Y108" s="187">
        <f t="shared" si="9"/>
        <v>21.810428812364837</v>
      </c>
      <c r="AA108" s="144">
        <f t="shared" si="10"/>
        <v>0.22916072791</v>
      </c>
      <c r="AB108" s="145">
        <f t="shared" si="11"/>
        <v>3.4098037039702973E-3</v>
      </c>
      <c r="AC108" s="145">
        <f t="shared" si="12"/>
        <v>5.6232009553256639E-4</v>
      </c>
      <c r="AD108" s="145">
        <f t="shared" si="15"/>
        <v>6.0359305915259655E-3</v>
      </c>
      <c r="AE108" s="146">
        <f t="shared" si="13"/>
        <v>0.39476156503056076</v>
      </c>
      <c r="AF108" s="146">
        <f t="shared" si="14"/>
        <v>7.3522377138454586E-5</v>
      </c>
      <c r="AI108" s="184"/>
      <c r="AJ108" s="184"/>
    </row>
    <row r="109" spans="9:36" x14ac:dyDescent="0.25">
      <c r="I109" s="126">
        <v>2.3145233518900001E-2</v>
      </c>
      <c r="J109" s="127">
        <v>3.3605514471883821E-3</v>
      </c>
      <c r="K109" s="127">
        <v>4.7801774121672907E-4</v>
      </c>
      <c r="L109" s="67">
        <v>3.8413748411251351E-3</v>
      </c>
      <c r="N109" s="18">
        <v>-1.7006306227958832E-6</v>
      </c>
      <c r="O109" s="18">
        <v>9.9645846438946616E-11</v>
      </c>
      <c r="P109" s="18">
        <v>3.1865880955982683E-8</v>
      </c>
      <c r="Q109" s="28">
        <v>2.2366481786536836</v>
      </c>
      <c r="R109" s="61">
        <v>133.7976156503056</v>
      </c>
      <c r="S109" s="58">
        <v>6.8407800190767042E-7</v>
      </c>
      <c r="U109" s="173">
        <v>1.2346615548589738E-2</v>
      </c>
      <c r="V109" s="173">
        <v>3.8413748411251351E-3</v>
      </c>
      <c r="W109" s="174">
        <v>7.9236054195841335E-4</v>
      </c>
      <c r="X109" s="174">
        <f t="shared" si="8"/>
        <v>5.2054314431996054E-3</v>
      </c>
      <c r="Y109" s="187">
        <f t="shared" si="9"/>
        <v>14.895264273766537</v>
      </c>
      <c r="AA109" s="144">
        <f t="shared" si="10"/>
        <v>0.23145233518899999</v>
      </c>
      <c r="AB109" s="145">
        <f t="shared" si="11"/>
        <v>3.3605514471883821E-3</v>
      </c>
      <c r="AC109" s="145">
        <f t="shared" si="12"/>
        <v>4.7801774121672907E-4</v>
      </c>
      <c r="AD109" s="145">
        <f t="shared" si="15"/>
        <v>5.2054314431996054E-3</v>
      </c>
      <c r="AE109" s="146">
        <f t="shared" si="13"/>
        <v>0.39476156503056076</v>
      </c>
      <c r="AF109" s="146">
        <f t="shared" si="14"/>
        <v>6.8407800190767038E-5</v>
      </c>
      <c r="AI109" s="184"/>
      <c r="AJ109" s="184"/>
    </row>
    <row r="110" spans="9:36" x14ac:dyDescent="0.25">
      <c r="I110" s="126">
        <v>2.33766858541E-2</v>
      </c>
      <c r="J110" s="127">
        <v>1.4981869886533041E-3</v>
      </c>
      <c r="K110" s="127">
        <v>4.2337015180176496E-4</v>
      </c>
      <c r="L110" s="67">
        <v>3.0039293032728558E-3</v>
      </c>
      <c r="N110" s="18">
        <v>-1.7448109990331378E-6</v>
      </c>
      <c r="O110" s="18">
        <v>1.0712596047993935E-10</v>
      </c>
      <c r="P110" s="18">
        <v>3.4435095232529613E-8</v>
      </c>
      <c r="Q110" s="28">
        <v>2.3622274222565238</v>
      </c>
      <c r="R110" s="61">
        <v>134.51130863516886</v>
      </c>
      <c r="S110" s="58">
        <v>6.8407800190767042E-7</v>
      </c>
      <c r="U110" s="173">
        <v>1.1022744059430037E-2</v>
      </c>
      <c r="V110" s="173">
        <v>3.0039293032728558E-3</v>
      </c>
      <c r="W110" s="174">
        <v>8.4154072423915714E-4</v>
      </c>
      <c r="X110" s="174">
        <f t="shared" si="8"/>
        <v>4.4680358475537264E-3</v>
      </c>
      <c r="Y110" s="187">
        <f t="shared" si="9"/>
        <v>49.20715122118569</v>
      </c>
      <c r="AA110" s="144">
        <f t="shared" si="10"/>
        <v>0.23376685854099999</v>
      </c>
      <c r="AB110" s="145">
        <f t="shared" si="11"/>
        <v>1.4981869886533041E-3</v>
      </c>
      <c r="AC110" s="145">
        <f t="shared" si="12"/>
        <v>4.2337015180176496E-4</v>
      </c>
      <c r="AD110" s="145">
        <f t="shared" si="15"/>
        <v>4.4680358475537264E-3</v>
      </c>
      <c r="AE110" s="146">
        <f t="shared" si="13"/>
        <v>0.46613086351688648</v>
      </c>
      <c r="AF110" s="146">
        <f t="shared" si="14"/>
        <v>6.8407800190767038E-5</v>
      </c>
      <c r="AI110" s="184"/>
      <c r="AJ110" s="184"/>
    </row>
    <row r="111" spans="9:36" x14ac:dyDescent="0.25">
      <c r="I111" s="126">
        <v>2.36104527127E-2</v>
      </c>
      <c r="J111" s="127">
        <v>2.790547622971486E-3</v>
      </c>
      <c r="K111" s="127">
        <v>4.5983212898304524E-4</v>
      </c>
      <c r="L111" s="67">
        <v>2.3023251884950855E-3</v>
      </c>
      <c r="N111" s="18">
        <v>-1.7888831554742094E-6</v>
      </c>
      <c r="O111" s="18">
        <v>1.1458775198758391E-10</v>
      </c>
      <c r="P111" s="18">
        <v>3.6998016220765344E-8</v>
      </c>
      <c r="Q111" s="28">
        <v>2.5537583400237032</v>
      </c>
      <c r="R111" s="61">
        <v>134.51130863516886</v>
      </c>
      <c r="S111" s="58">
        <v>6.3491516671453625E-7</v>
      </c>
      <c r="U111" s="173">
        <v>9.7345282440352513E-3</v>
      </c>
      <c r="V111" s="173">
        <v>2.3023251884950855E-3</v>
      </c>
      <c r="W111" s="174">
        <v>9.5079597700024909E-4</v>
      </c>
      <c r="X111" s="174">
        <f t="shared" si="8"/>
        <v>3.822493649506418E-3</v>
      </c>
      <c r="Y111" s="187">
        <f t="shared" si="9"/>
        <v>5.0363434752670679</v>
      </c>
      <c r="AA111" s="144">
        <f t="shared" si="10"/>
        <v>0.236104527127</v>
      </c>
      <c r="AB111" s="145">
        <f t="shared" si="11"/>
        <v>2.790547622971486E-3</v>
      </c>
      <c r="AC111" s="145">
        <f t="shared" si="12"/>
        <v>4.5983212898304524E-4</v>
      </c>
      <c r="AD111" s="145">
        <f t="shared" si="15"/>
        <v>3.822493649506418E-3</v>
      </c>
      <c r="AE111" s="146">
        <f t="shared" si="13"/>
        <v>0.46613086351688648</v>
      </c>
      <c r="AF111" s="146">
        <f t="shared" si="14"/>
        <v>6.3491516671453619E-5</v>
      </c>
      <c r="AI111" s="184"/>
      <c r="AJ111" s="184"/>
    </row>
    <row r="112" spans="9:36" x14ac:dyDescent="0.25">
      <c r="I112" s="126">
        <v>2.38465572398E-2</v>
      </c>
      <c r="J112" s="127">
        <v>2.679009751902901E-3</v>
      </c>
      <c r="K112" s="127">
        <v>4.4477151922669669E-4</v>
      </c>
      <c r="L112" s="67">
        <v>1.733198952611655E-3</v>
      </c>
      <c r="N112" s="18">
        <v>-1.8327000498530519E-6</v>
      </c>
      <c r="O112" s="18">
        <v>1.220063254536808E-10</v>
      </c>
      <c r="P112" s="18">
        <v>3.9546092995565262E-8</v>
      </c>
      <c r="Q112" s="28">
        <v>2.8427430643462008</v>
      </c>
      <c r="R112" s="61">
        <v>135.22500162003212</v>
      </c>
      <c r="S112" s="58">
        <v>6.3491516671453625E-7</v>
      </c>
      <c r="U112" s="173">
        <v>8.4962870167541501E-3</v>
      </c>
      <c r="V112" s="173">
        <v>1.733198952611655E-3</v>
      </c>
      <c r="W112" s="174">
        <v>1.1012505401837135E-3</v>
      </c>
      <c r="X112" s="174">
        <f t="shared" si="8"/>
        <v>3.2659838655402936E-3</v>
      </c>
      <c r="Y112" s="187">
        <f t="shared" si="9"/>
        <v>1.7416623280698724</v>
      </c>
      <c r="AA112" s="144">
        <f t="shared" si="10"/>
        <v>0.23846557239800001</v>
      </c>
      <c r="AB112" s="145">
        <f t="shared" si="11"/>
        <v>2.679009751902901E-3</v>
      </c>
      <c r="AC112" s="145">
        <f t="shared" si="12"/>
        <v>4.4477151922669669E-4</v>
      </c>
      <c r="AD112" s="145">
        <f t="shared" si="15"/>
        <v>3.2659838655402936E-3</v>
      </c>
      <c r="AE112" s="146">
        <f t="shared" si="13"/>
        <v>0.53750016200321227</v>
      </c>
      <c r="AF112" s="146">
        <f t="shared" si="14"/>
        <v>6.3491516671453619E-5</v>
      </c>
      <c r="AI112" s="184"/>
      <c r="AJ112" s="184"/>
    </row>
    <row r="113" spans="9:36" x14ac:dyDescent="0.25">
      <c r="I113" s="126">
        <v>2.4085022812199999E-2</v>
      </c>
      <c r="J113" s="127">
        <v>2.3649392302323297E-3</v>
      </c>
      <c r="K113" s="127">
        <v>4.0849910043658314E-4</v>
      </c>
      <c r="L113" s="67">
        <v>1.2905365546540327E-3</v>
      </c>
      <c r="N113" s="18">
        <v>-1.8759747469759228E-6</v>
      </c>
      <c r="O113" s="18">
        <v>1.2933310030571428E-10</v>
      </c>
      <c r="P113" s="18">
        <v>4.2062639460997382E-8</v>
      </c>
      <c r="Q113" s="28">
        <v>3.2920958739615873</v>
      </c>
      <c r="R113" s="61">
        <v>135.22500162003212</v>
      </c>
      <c r="S113" s="58">
        <v>5.8755810675903254E-7</v>
      </c>
      <c r="U113" s="173">
        <v>7.3211803125703048E-3</v>
      </c>
      <c r="V113" s="173">
        <v>1.2905365546540327E-3</v>
      </c>
      <c r="W113" s="174">
        <v>1.2747519842912091E-3</v>
      </c>
      <c r="X113" s="174">
        <f t="shared" si="8"/>
        <v>2.7942513515423948E-3</v>
      </c>
      <c r="Y113" s="187">
        <f t="shared" si="9"/>
        <v>1.1044958598251007</v>
      </c>
      <c r="AA113" s="144">
        <f t="shared" si="10"/>
        <v>0.24085022812199999</v>
      </c>
      <c r="AB113" s="145">
        <f t="shared" si="11"/>
        <v>2.3649392302323297E-3</v>
      </c>
      <c r="AC113" s="145">
        <f t="shared" si="12"/>
        <v>4.0849910043658314E-4</v>
      </c>
      <c r="AD113" s="145">
        <f t="shared" si="15"/>
        <v>2.7942513515423948E-3</v>
      </c>
      <c r="AE113" s="146">
        <f t="shared" si="13"/>
        <v>0.53750016200321227</v>
      </c>
      <c r="AF113" s="146">
        <f t="shared" si="14"/>
        <v>5.8755810675903254E-5</v>
      </c>
      <c r="AI113" s="184"/>
      <c r="AJ113" s="184"/>
    </row>
    <row r="114" spans="9:36" x14ac:dyDescent="0.25">
      <c r="I114" s="126">
        <v>2.4325873040300001E-2</v>
      </c>
      <c r="J114" s="127">
        <v>1.7292893233319382E-3</v>
      </c>
      <c r="K114" s="127">
        <v>3.6125026026791304E-4</v>
      </c>
      <c r="L114" s="67">
        <v>9.6588519471137331E-4</v>
      </c>
      <c r="N114" s="18">
        <v>-1.9181517298453074E-6</v>
      </c>
      <c r="O114" s="18">
        <v>1.364740227839154E-10</v>
      </c>
      <c r="P114" s="18">
        <v>4.4515350726917373E-8</v>
      </c>
      <c r="Q114" s="28">
        <v>4.0454058184610373</v>
      </c>
      <c r="R114" s="61">
        <v>135.93869460489537</v>
      </c>
      <c r="S114" s="58">
        <v>5.8755810675903254E-7</v>
      </c>
      <c r="U114" s="173">
        <v>6.2209346080768389E-3</v>
      </c>
      <c r="V114" s="173">
        <v>9.6588519471137331E-4</v>
      </c>
      <c r="W114" s="174">
        <v>1.4544081753407735E-3</v>
      </c>
      <c r="X114" s="174">
        <f t="shared" si="8"/>
        <v>2.4017782932100897E-3</v>
      </c>
      <c r="Y114" s="187">
        <f t="shared" si="9"/>
        <v>3.4654049675491878</v>
      </c>
      <c r="AA114" s="144">
        <f t="shared" si="10"/>
        <v>0.243258730403</v>
      </c>
      <c r="AB114" s="145">
        <f t="shared" si="11"/>
        <v>1.7292893233319382E-3</v>
      </c>
      <c r="AC114" s="145">
        <f t="shared" si="12"/>
        <v>3.6125026026791304E-4</v>
      </c>
      <c r="AD114" s="145">
        <f t="shared" si="15"/>
        <v>2.4017782932100897E-3</v>
      </c>
      <c r="AE114" s="146">
        <f t="shared" si="13"/>
        <v>0.60886946048953805</v>
      </c>
      <c r="AF114" s="146">
        <f t="shared" si="14"/>
        <v>5.8755810675903254E-5</v>
      </c>
      <c r="AI114" s="184"/>
      <c r="AJ114" s="184"/>
    </row>
    <row r="115" spans="9:36" x14ac:dyDescent="0.25">
      <c r="I115" s="126">
        <v>2.4569131770700001E-2</v>
      </c>
      <c r="J115" s="50">
        <v>1.2390037351443894E-3</v>
      </c>
      <c r="K115" s="50">
        <v>3.5641958993331104E-4</v>
      </c>
      <c r="L115" s="67">
        <v>7.4863693349607287E-4</v>
      </c>
      <c r="N115" s="18">
        <v>-1.9581166471430781E-6</v>
      </c>
      <c r="O115" s="18">
        <v>1.4324042371768765E-10</v>
      </c>
      <c r="P115" s="18">
        <v>4.6839424101282796E-8</v>
      </c>
      <c r="Q115" s="28">
        <v>5.5214655584257724</v>
      </c>
      <c r="R115" s="61">
        <v>135.93869460489537</v>
      </c>
      <c r="S115" s="58">
        <v>5.4190685106150309E-7</v>
      </c>
      <c r="U115" s="173">
        <v>5.2055930779837008E-3</v>
      </c>
      <c r="V115" s="173">
        <v>7.4863693349607287E-4</v>
      </c>
      <c r="W115" s="174">
        <v>1.6250764795997855E-3</v>
      </c>
      <c r="X115" s="174">
        <f t="shared" si="8"/>
        <v>2.0819858561439081E-3</v>
      </c>
      <c r="Y115" s="187">
        <f t="shared" si="9"/>
        <v>5.5938857871186745</v>
      </c>
      <c r="AA115" s="144">
        <f t="shared" si="10"/>
        <v>0.24569131770700001</v>
      </c>
      <c r="AB115" s="145">
        <f t="shared" si="11"/>
        <v>1.2390037351443894E-3</v>
      </c>
      <c r="AC115" s="145">
        <f t="shared" si="12"/>
        <v>3.5641958993331104E-4</v>
      </c>
      <c r="AD115" s="145">
        <f t="shared" si="15"/>
        <v>2.0819858561439081E-3</v>
      </c>
      <c r="AE115" s="146">
        <f t="shared" si="13"/>
        <v>0.60886946048953805</v>
      </c>
      <c r="AF115" s="146">
        <f t="shared" si="14"/>
        <v>5.4190685106150306E-5</v>
      </c>
      <c r="AI115" s="184"/>
      <c r="AJ115" s="184"/>
    </row>
    <row r="116" spans="9:36" x14ac:dyDescent="0.25">
      <c r="I116" s="126">
        <v>2.4814823088399999E-2</v>
      </c>
      <c r="J116" s="50">
        <v>1.6325507961287634E-3</v>
      </c>
      <c r="K116" s="50">
        <v>3.4170264388709012E-4</v>
      </c>
      <c r="L116" s="67">
        <v>6.2637672742514605E-4</v>
      </c>
      <c r="N116" s="18">
        <v>-1.9934353122372501E-6</v>
      </c>
      <c r="O116" s="18">
        <v>1.4922017457497579E-10</v>
      </c>
      <c r="P116" s="18">
        <v>4.8893304722426312E-8</v>
      </c>
      <c r="Q116" s="28">
        <v>9.9221469142188514</v>
      </c>
      <c r="R116" s="61">
        <v>136.65238758975863</v>
      </c>
      <c r="S116" s="58">
        <v>5.4190685106150309E-7</v>
      </c>
      <c r="U116" s="173">
        <v>4.2832992064784038E-3</v>
      </c>
      <c r="V116" s="173">
        <v>6.2637672742514605E-4</v>
      </c>
      <c r="W116" s="174">
        <v>1.7737881588148884E-3</v>
      </c>
      <c r="X116" s="174">
        <f t="shared" si="8"/>
        <v>1.8274602050358962E-3</v>
      </c>
      <c r="Y116" s="187">
        <f t="shared" si="9"/>
        <v>0.32536357446352293</v>
      </c>
      <c r="AA116" s="144">
        <f t="shared" si="10"/>
        <v>0.24814823088399998</v>
      </c>
      <c r="AB116" s="145">
        <f t="shared" si="11"/>
        <v>1.6325507961287634E-3</v>
      </c>
      <c r="AC116" s="145">
        <f t="shared" si="12"/>
        <v>3.4170264388709012E-4</v>
      </c>
      <c r="AD116" s="145">
        <f t="shared" si="15"/>
        <v>1.8274602050358962E-3</v>
      </c>
      <c r="AE116" s="146">
        <f t="shared" si="13"/>
        <v>0.68023875897586383</v>
      </c>
      <c r="AF116" s="146">
        <f t="shared" si="14"/>
        <v>5.4190685106150306E-5</v>
      </c>
      <c r="AI116" s="184"/>
      <c r="AJ116" s="184"/>
    </row>
    <row r="117" spans="9:36" x14ac:dyDescent="0.25">
      <c r="I117" s="126">
        <v>2.5062971319299999E-2</v>
      </c>
      <c r="J117" s="50">
        <v>8.2130463802644171E-4</v>
      </c>
      <c r="K117" s="50">
        <v>3.1989919678354731E-4</v>
      </c>
      <c r="L117" s="67">
        <v>5.8528484203442541E-4</v>
      </c>
      <c r="N117" s="18">
        <v>-2.0178494146628934E-6</v>
      </c>
      <c r="O117" s="18">
        <v>1.5335369008357155E-10</v>
      </c>
      <c r="P117" s="18">
        <v>5.0313054073681245E-8</v>
      </c>
      <c r="Q117" s="28">
        <v>13.324728933252164</v>
      </c>
      <c r="R117" s="61">
        <v>136.65238758975863</v>
      </c>
      <c r="S117" s="58">
        <v>5.08768648145125E-7</v>
      </c>
      <c r="U117" s="173">
        <v>3.4601222656371121E-3</v>
      </c>
      <c r="V117" s="173">
        <v>5.8528484203442541E-4</v>
      </c>
      <c r="W117" s="174">
        <v>1.8900924170933448E-3</v>
      </c>
      <c r="X117" s="174">
        <f t="shared" si="8"/>
        <v>1.6301960916998268E-3</v>
      </c>
      <c r="Y117" s="187">
        <f t="shared" si="9"/>
        <v>6.3937285569889717</v>
      </c>
      <c r="AA117" s="144">
        <f t="shared" si="10"/>
        <v>0.25062971319299998</v>
      </c>
      <c r="AB117" s="145">
        <f t="shared" si="11"/>
        <v>8.2130463802644171E-4</v>
      </c>
      <c r="AC117" s="145">
        <f t="shared" si="12"/>
        <v>3.1989919678354731E-4</v>
      </c>
      <c r="AD117" s="145">
        <f t="shared" si="15"/>
        <v>1.6301960916998268E-3</v>
      </c>
      <c r="AE117" s="146">
        <f t="shared" si="13"/>
        <v>0.68023875897586383</v>
      </c>
      <c r="AF117" s="146">
        <f t="shared" si="14"/>
        <v>5.0876864814512502E-5</v>
      </c>
      <c r="AI117" s="184"/>
      <c r="AJ117" s="184"/>
    </row>
    <row r="118" spans="9:36" x14ac:dyDescent="0.25">
      <c r="I118" s="126">
        <v>2.5313601032500001E-2</v>
      </c>
      <c r="J118" s="50">
        <v>1.3278630072806512E-3</v>
      </c>
      <c r="K118" s="50">
        <v>3.1192695386206715E-4</v>
      </c>
      <c r="L118" s="67">
        <v>6.1058136747658856E-4</v>
      </c>
      <c r="N118" s="18">
        <v>-2.0212227913090586E-6</v>
      </c>
      <c r="O118" s="18">
        <v>1.5392483148537927E-10</v>
      </c>
      <c r="P118" s="18">
        <v>5.0509225500401457E-8</v>
      </c>
      <c r="Q118" s="28">
        <v>92.467000830792756</v>
      </c>
      <c r="R118" s="61">
        <v>137.00923408219026</v>
      </c>
      <c r="S118" s="58">
        <v>5.08768648145125E-7</v>
      </c>
      <c r="U118" s="173">
        <v>2.7399322718569745E-3</v>
      </c>
      <c r="V118" s="173">
        <v>6.1058136747658856E-4</v>
      </c>
      <c r="W118" s="174">
        <v>1.9663065286951919E-3</v>
      </c>
      <c r="X118" s="174">
        <f t="shared" si="8"/>
        <v>1.4818503838763359E-3</v>
      </c>
      <c r="Y118" s="187">
        <f t="shared" si="9"/>
        <v>0.24370499585727279</v>
      </c>
      <c r="AA118" s="144">
        <f t="shared" si="10"/>
        <v>0.25313601032499999</v>
      </c>
      <c r="AB118" s="145">
        <f t="shared" si="11"/>
        <v>1.3278630072806512E-3</v>
      </c>
      <c r="AC118" s="145">
        <f t="shared" si="12"/>
        <v>3.1192695386206715E-4</v>
      </c>
      <c r="AD118" s="145">
        <f t="shared" si="15"/>
        <v>1.4818503838763359E-3</v>
      </c>
      <c r="AE118" s="146">
        <f t="shared" si="13"/>
        <v>0.71592340821902667</v>
      </c>
      <c r="AF118" s="146">
        <f t="shared" si="14"/>
        <v>5.0876864814512502E-5</v>
      </c>
      <c r="AI118" s="184"/>
      <c r="AJ118" s="184"/>
    </row>
    <row r="119" spans="9:36" x14ac:dyDescent="0.25">
      <c r="I119" s="126">
        <v>2.5566737042799999E-2</v>
      </c>
      <c r="J119" s="50">
        <v>1.5929557432019618E-3</v>
      </c>
      <c r="K119" s="50">
        <v>3.1214968509990238E-4</v>
      </c>
      <c r="L119" s="67">
        <v>6.8699872867137505E-4</v>
      </c>
      <c r="N119" s="18">
        <v>-2.0178494146628934E-6</v>
      </c>
      <c r="O119" s="18">
        <v>1.5335369008357155E-10</v>
      </c>
      <c r="P119" s="18">
        <v>5.0313054073681245E-8</v>
      </c>
      <c r="Q119" s="28">
        <v>13.324728933252164</v>
      </c>
      <c r="R119" s="61">
        <v>137.00923408219026</v>
      </c>
      <c r="S119" s="58">
        <v>4.5255895576945192E-7</v>
      </c>
      <c r="U119" s="173">
        <v>2.1243308145664774E-3</v>
      </c>
      <c r="V119" s="173">
        <v>6.8699872867137505E-4</v>
      </c>
      <c r="W119" s="174">
        <v>1.9976609270697457E-3</v>
      </c>
      <c r="X119" s="174">
        <f t="shared" si="8"/>
        <v>1.3739972997447434E-3</v>
      </c>
      <c r="Y119" s="187">
        <f t="shared" si="9"/>
        <v>0.49203680736076655</v>
      </c>
      <c r="AA119" s="144">
        <f t="shared" si="10"/>
        <v>0.25566737042799997</v>
      </c>
      <c r="AB119" s="145">
        <f t="shared" si="11"/>
        <v>1.5929557432019618E-3</v>
      </c>
      <c r="AC119" s="145">
        <f t="shared" si="12"/>
        <v>3.1214968509990238E-4</v>
      </c>
      <c r="AD119" s="145">
        <f t="shared" si="15"/>
        <v>1.3739972997447434E-3</v>
      </c>
      <c r="AE119" s="146">
        <f t="shared" si="13"/>
        <v>0.71592340821902667</v>
      </c>
      <c r="AF119" s="146">
        <f t="shared" si="14"/>
        <v>4.525589557694519E-5</v>
      </c>
      <c r="AI119" s="184"/>
      <c r="AJ119" s="184"/>
    </row>
    <row r="120" spans="9:36" x14ac:dyDescent="0.25">
      <c r="I120" s="126">
        <v>2.5822404413199999E-2</v>
      </c>
      <c r="J120" s="50">
        <v>8.1927347171892274E-4</v>
      </c>
      <c r="K120" s="50">
        <v>2.4742769134726192E-4</v>
      </c>
      <c r="L120" s="67">
        <v>7.9930902743276851E-4</v>
      </c>
      <c r="N120" s="18">
        <v>-1.9934353122372501E-6</v>
      </c>
      <c r="O120" s="18">
        <v>1.4922017457497579E-10</v>
      </c>
      <c r="P120" s="18">
        <v>4.8893304722426312E-8</v>
      </c>
      <c r="Q120" s="28">
        <v>9.9221469142188514</v>
      </c>
      <c r="R120" s="61">
        <v>137.87070113516458</v>
      </c>
      <c r="S120" s="58">
        <v>4.5255895576945192E-7</v>
      </c>
      <c r="U120" s="173">
        <v>1.6115846370674445E-3</v>
      </c>
      <c r="V120" s="173">
        <v>7.9930902743276851E-4</v>
      </c>
      <c r="W120" s="174">
        <v>1.9824319841499774E-3</v>
      </c>
      <c r="X120" s="174">
        <f t="shared" si="8"/>
        <v>1.2981586690207396E-3</v>
      </c>
      <c r="Y120" s="187">
        <f t="shared" si="9"/>
        <v>3.7459866037306799</v>
      </c>
      <c r="AA120" s="144">
        <f t="shared" si="10"/>
        <v>0.25822404413200001</v>
      </c>
      <c r="AB120" s="145">
        <f t="shared" si="11"/>
        <v>8.1927347171892274E-4</v>
      </c>
      <c r="AC120" s="145">
        <f t="shared" si="12"/>
        <v>2.4742769134726192E-4</v>
      </c>
      <c r="AD120" s="145">
        <f t="shared" si="15"/>
        <v>1.2981586690207396E-3</v>
      </c>
      <c r="AE120" s="146">
        <f t="shared" si="13"/>
        <v>0.80207011351645863</v>
      </c>
      <c r="AF120" s="146">
        <f t="shared" si="14"/>
        <v>4.525589557694519E-5</v>
      </c>
      <c r="AI120" s="184"/>
      <c r="AJ120" s="184"/>
    </row>
    <row r="121" spans="9:36" x14ac:dyDescent="0.25">
      <c r="I121" s="126">
        <v>2.6080628457400001E-2</v>
      </c>
      <c r="J121" s="50">
        <v>8.9486847890382843E-4</v>
      </c>
      <c r="K121" s="50">
        <v>2.9958209534918027E-4</v>
      </c>
      <c r="L121" s="67">
        <v>9.3270542127063245E-4</v>
      </c>
      <c r="N121" s="18">
        <v>-1.9581166471430781E-6</v>
      </c>
      <c r="O121" s="18">
        <v>1.4324042371768765E-10</v>
      </c>
      <c r="P121" s="18">
        <v>4.6839424101282796E-8</v>
      </c>
      <c r="Q121" s="28">
        <v>5.5214655584257724</v>
      </c>
      <c r="R121" s="61">
        <v>137.87070113516458</v>
      </c>
      <c r="S121" s="58">
        <v>4.0890061012726321E-7</v>
      </c>
      <c r="U121" s="173">
        <v>1.2010969301006363E-3</v>
      </c>
      <c r="V121" s="173">
        <v>9.3270542127063245E-4</v>
      </c>
      <c r="W121" s="174">
        <v>1.9213852920780686E-3</v>
      </c>
      <c r="X121" s="174">
        <f t="shared" si="8"/>
        <v>1.2469732661799925E-3</v>
      </c>
      <c r="Y121" s="187">
        <f t="shared" si="9"/>
        <v>1.3813767804652253</v>
      </c>
      <c r="AA121" s="144">
        <f t="shared" si="10"/>
        <v>0.26080628457400001</v>
      </c>
      <c r="AB121" s="145">
        <f t="shared" si="11"/>
        <v>8.9486847890382843E-4</v>
      </c>
      <c r="AC121" s="145">
        <f t="shared" si="12"/>
        <v>2.9958209534918027E-4</v>
      </c>
      <c r="AD121" s="145">
        <f t="shared" si="15"/>
        <v>1.2469732661799925E-3</v>
      </c>
      <c r="AE121" s="146">
        <f t="shared" si="13"/>
        <v>0.80207011351645863</v>
      </c>
      <c r="AF121" s="146">
        <f t="shared" si="14"/>
        <v>4.0890061012726321E-5</v>
      </c>
      <c r="AI121" s="184"/>
      <c r="AJ121" s="184"/>
    </row>
    <row r="122" spans="9:36" x14ac:dyDescent="0.25">
      <c r="I122" s="126">
        <v>2.63414347419E-2</v>
      </c>
      <c r="J122" s="50">
        <v>1.1672419978168394E-3</v>
      </c>
      <c r="K122" s="50">
        <v>2.8271475557932859E-4</v>
      </c>
      <c r="L122" s="67">
        <v>1.0732830603648609E-3</v>
      </c>
      <c r="N122" s="18">
        <v>-1.9181517298453074E-6</v>
      </c>
      <c r="O122" s="18">
        <v>1.364740227839154E-10</v>
      </c>
      <c r="P122" s="18">
        <v>4.4515350726917373E-8</v>
      </c>
      <c r="Q122" s="28">
        <v>4.0454058184610373</v>
      </c>
      <c r="R122" s="61">
        <v>138.74688662030948</v>
      </c>
      <c r="S122" s="58">
        <v>4.0890061012726321E-7</v>
      </c>
      <c r="U122" s="173">
        <v>8.8661338855664461E-4</v>
      </c>
      <c r="V122" s="173">
        <v>1.0732830603648609E-3</v>
      </c>
      <c r="W122" s="174">
        <v>1.8183809231393443E-3</v>
      </c>
      <c r="X122" s="174">
        <f t="shared" si="8"/>
        <v>1.2128901081064276E-3</v>
      </c>
      <c r="Y122" s="187">
        <f t="shared" si="9"/>
        <v>2.6070457665493058E-2</v>
      </c>
      <c r="AA122" s="144">
        <f t="shared" si="10"/>
        <v>0.26341434741899999</v>
      </c>
      <c r="AB122" s="145">
        <f t="shared" si="11"/>
        <v>1.1672419978168394E-3</v>
      </c>
      <c r="AC122" s="145">
        <f t="shared" si="12"/>
        <v>2.8271475557932859E-4</v>
      </c>
      <c r="AD122" s="145">
        <f t="shared" si="15"/>
        <v>1.2128901081064276E-3</v>
      </c>
      <c r="AE122" s="146">
        <f t="shared" si="13"/>
        <v>0.88968866203094876</v>
      </c>
      <c r="AF122" s="146">
        <f t="shared" si="14"/>
        <v>4.0890061012726321E-5</v>
      </c>
      <c r="AI122" s="184"/>
      <c r="AJ122" s="184"/>
    </row>
    <row r="123" spans="9:36" x14ac:dyDescent="0.25">
      <c r="I123" s="126">
        <v>2.6604849089400001E-2</v>
      </c>
      <c r="J123" s="50">
        <v>1.1398751551695166E-3</v>
      </c>
      <c r="K123" s="50">
        <v>8.4789827405593778E-5</v>
      </c>
      <c r="L123" s="67">
        <v>1.2085558853104342E-3</v>
      </c>
      <c r="N123" s="18">
        <v>-1.8759747469759228E-6</v>
      </c>
      <c r="O123" s="18">
        <v>1.2933310030571428E-10</v>
      </c>
      <c r="P123" s="18">
        <v>4.2062639460997382E-8</v>
      </c>
      <c r="Q123" s="28">
        <v>3.2920958739615873</v>
      </c>
      <c r="R123" s="61">
        <v>138.74688662030948</v>
      </c>
      <c r="S123" s="58">
        <v>3.6525080361593808E-7</v>
      </c>
      <c r="U123" s="173">
        <v>6.6121142710568067E-4</v>
      </c>
      <c r="V123" s="173">
        <v>1.2085558853104342E-3</v>
      </c>
      <c r="W123" s="174">
        <v>1.6794490920140543E-3</v>
      </c>
      <c r="X123" s="174">
        <f t="shared" si="8"/>
        <v>1.1894430724351509E-3</v>
      </c>
      <c r="Y123" s="187">
        <f t="shared" si="9"/>
        <v>0.3417541837641645</v>
      </c>
      <c r="AA123" s="144">
        <f t="shared" si="10"/>
        <v>0.26604849089400001</v>
      </c>
      <c r="AB123" s="145">
        <f t="shared" si="11"/>
        <v>1.1398751551695166E-3</v>
      </c>
      <c r="AC123" s="145">
        <f t="shared" si="12"/>
        <v>8.4789827405593778E-5</v>
      </c>
      <c r="AD123" s="145">
        <f t="shared" si="15"/>
        <v>1.1894430724351509E-3</v>
      </c>
      <c r="AE123" s="146">
        <f t="shared" si="13"/>
        <v>0.88968866203094876</v>
      </c>
      <c r="AF123" s="146">
        <f t="shared" si="14"/>
        <v>3.652508036159381E-5</v>
      </c>
      <c r="AI123" s="184"/>
      <c r="AJ123" s="184"/>
    </row>
    <row r="124" spans="9:36" x14ac:dyDescent="0.25">
      <c r="I124" s="126">
        <v>2.68708975803E-2</v>
      </c>
      <c r="J124" s="50">
        <v>1.1960816190931837E-3</v>
      </c>
      <c r="K124" s="50">
        <v>8.9784170489340561E-5</v>
      </c>
      <c r="L124" s="67">
        <v>1.3277724633145446E-3</v>
      </c>
      <c r="N124" s="18">
        <v>-1.8327000498530519E-6</v>
      </c>
      <c r="O124" s="18">
        <v>1.220063254536808E-10</v>
      </c>
      <c r="P124" s="18">
        <v>3.9546092995565262E-8</v>
      </c>
      <c r="Q124" s="28">
        <v>2.8427430643462008</v>
      </c>
      <c r="R124" s="61">
        <v>139.65409041003392</v>
      </c>
      <c r="S124" s="58">
        <v>3.6525080361593808E-7</v>
      </c>
      <c r="U124" s="173">
        <v>5.1628899044195529E-4</v>
      </c>
      <c r="V124" s="173">
        <v>1.3277724633145446E-3</v>
      </c>
      <c r="W124" s="174">
        <v>1.5125333121685527E-3</v>
      </c>
      <c r="X124" s="174">
        <f t="shared" si="8"/>
        <v>1.1710918073098992E-3</v>
      </c>
      <c r="Y124" s="187">
        <f t="shared" si="9"/>
        <v>7.7468727288499628E-2</v>
      </c>
      <c r="AA124" s="144">
        <f t="shared" si="10"/>
        <v>0.26870897580300002</v>
      </c>
      <c r="AB124" s="145">
        <f t="shared" si="11"/>
        <v>1.1960816190931837E-3</v>
      </c>
      <c r="AC124" s="145">
        <f t="shared" si="12"/>
        <v>8.9784170489340561E-5</v>
      </c>
      <c r="AD124" s="145">
        <f t="shared" si="15"/>
        <v>1.1710918073098992E-3</v>
      </c>
      <c r="AE124" s="146">
        <f t="shared" si="13"/>
        <v>0.98040904100339221</v>
      </c>
      <c r="AF124" s="146">
        <f t="shared" si="14"/>
        <v>3.652508036159381E-5</v>
      </c>
      <c r="AI124" s="184"/>
      <c r="AJ124" s="184"/>
    </row>
    <row r="125" spans="9:36" x14ac:dyDescent="0.25">
      <c r="I125" s="126">
        <v>2.71396065561E-2</v>
      </c>
      <c r="J125" s="50">
        <v>1.1622244910458083E-3</v>
      </c>
      <c r="K125" s="50">
        <v>8.2442111074768098E-5</v>
      </c>
      <c r="L125" s="67">
        <v>1.42221965541807E-3</v>
      </c>
      <c r="N125" s="18">
        <v>-1.7888831554742094E-6</v>
      </c>
      <c r="O125" s="18">
        <v>1.145877519875839E-10</v>
      </c>
      <c r="P125" s="18">
        <v>3.6998016220765337E-8</v>
      </c>
      <c r="Q125" s="28">
        <v>2.5537583400237032</v>
      </c>
      <c r="R125" s="61">
        <v>139.65409041003392</v>
      </c>
      <c r="S125" s="58">
        <v>3.2163800247426499E-7</v>
      </c>
      <c r="U125" s="173">
        <v>4.4185738078576743E-4</v>
      </c>
      <c r="V125" s="173">
        <v>1.42221965541807E-3</v>
      </c>
      <c r="W125" s="174">
        <v>1.3269781723330135E-3</v>
      </c>
      <c r="X125" s="174">
        <f t="shared" si="8"/>
        <v>1.1533187159887303E-3</v>
      </c>
      <c r="Y125" s="187">
        <f t="shared" si="9"/>
        <v>1.166931154541891E-2</v>
      </c>
      <c r="AA125" s="144">
        <f t="shared" si="10"/>
        <v>0.27139606556099999</v>
      </c>
      <c r="AB125" s="145">
        <f t="shared" si="11"/>
        <v>1.1622244910458083E-3</v>
      </c>
      <c r="AC125" s="145">
        <f t="shared" si="12"/>
        <v>8.2442111074768098E-5</v>
      </c>
      <c r="AD125" s="145">
        <f t="shared" si="15"/>
        <v>1.1533187159887303E-3</v>
      </c>
      <c r="AE125" s="146">
        <f t="shared" si="13"/>
        <v>0.98040904100339221</v>
      </c>
      <c r="AF125" s="146">
        <f t="shared" si="14"/>
        <v>3.2163800247426501E-5</v>
      </c>
      <c r="AI125" s="184"/>
      <c r="AJ125" s="184"/>
    </row>
    <row r="126" spans="9:36" x14ac:dyDescent="0.25">
      <c r="I126" s="126">
        <v>2.7411002621600001E-2</v>
      </c>
      <c r="J126" s="50">
        <v>1.0104695966231133E-3</v>
      </c>
      <c r="K126" s="50">
        <v>7.6195964415871434E-5</v>
      </c>
      <c r="L126" s="67">
        <v>1.4854461856098906E-3</v>
      </c>
      <c r="N126" s="18">
        <v>-1.7448109990331378E-6</v>
      </c>
      <c r="O126" s="18">
        <v>1.0712596047993935E-10</v>
      </c>
      <c r="P126" s="18">
        <v>3.4435095232529613E-8</v>
      </c>
      <c r="Q126" s="28">
        <v>2.3622274222565238</v>
      </c>
      <c r="R126" s="61">
        <v>140.61223022393708</v>
      </c>
      <c r="S126" s="58">
        <v>3.2163800247426499E-7</v>
      </c>
      <c r="U126" s="173">
        <v>4.2687772361797071E-4</v>
      </c>
      <c r="V126" s="173">
        <v>1.4854461856098906E-3</v>
      </c>
      <c r="W126" s="174">
        <v>1.132948508304204E-3</v>
      </c>
      <c r="X126" s="174">
        <f t="shared" si="8"/>
        <v>1.132679650785489E-3</v>
      </c>
      <c r="Y126" s="187">
        <f t="shared" si="9"/>
        <v>2.5724677122884407</v>
      </c>
      <c r="AA126" s="144">
        <f t="shared" si="10"/>
        <v>0.274110026216</v>
      </c>
      <c r="AB126" s="145">
        <f t="shared" si="11"/>
        <v>1.0104695966231133E-3</v>
      </c>
      <c r="AC126" s="145">
        <f t="shared" si="12"/>
        <v>7.6195964415871434E-5</v>
      </c>
      <c r="AD126" s="145">
        <f t="shared" si="15"/>
        <v>1.132679650785489E-3</v>
      </c>
      <c r="AE126" s="146">
        <f t="shared" si="13"/>
        <v>1.0762230223937082</v>
      </c>
      <c r="AF126" s="146">
        <f t="shared" si="14"/>
        <v>3.2163800247426501E-5</v>
      </c>
      <c r="AI126" s="184"/>
      <c r="AJ126" s="184"/>
    </row>
    <row r="127" spans="9:36" x14ac:dyDescent="0.25">
      <c r="I127" s="126">
        <v>2.7685112647799999E-2</v>
      </c>
      <c r="J127" s="50">
        <v>9.5872768815771369E-4</v>
      </c>
      <c r="K127" s="50">
        <v>7.7254468423509226E-5</v>
      </c>
      <c r="L127" s="67">
        <v>1.5133956039884604E-3</v>
      </c>
      <c r="N127" s="18">
        <v>-1.7006306227958832E-6</v>
      </c>
      <c r="O127" s="18">
        <v>9.9645846438946616E-11</v>
      </c>
      <c r="P127" s="18">
        <v>3.1865880955982683E-8</v>
      </c>
      <c r="Q127" s="28">
        <v>2.2366481786536836</v>
      </c>
      <c r="R127" s="61">
        <v>140.61223022393708</v>
      </c>
      <c r="S127" s="58">
        <v>2.7813203085403311E-7</v>
      </c>
      <c r="U127" s="173">
        <v>4.5963053728112496E-4</v>
      </c>
      <c r="V127" s="173">
        <v>1.5133956039884604E-3</v>
      </c>
      <c r="W127" s="174">
        <v>9.4080621289690353E-4</v>
      </c>
      <c r="X127" s="174">
        <f t="shared" si="8"/>
        <v>1.1068069895387373E-3</v>
      </c>
      <c r="Y127" s="187">
        <f t="shared" si="9"/>
        <v>3.6740198340275301</v>
      </c>
      <c r="AA127" s="144">
        <f t="shared" si="10"/>
        <v>0.27685112647799998</v>
      </c>
      <c r="AB127" s="145">
        <f t="shared" si="11"/>
        <v>9.5872768815771369E-4</v>
      </c>
      <c r="AC127" s="145">
        <f t="shared" si="12"/>
        <v>7.7254468423509226E-5</v>
      </c>
      <c r="AD127" s="145">
        <f t="shared" si="15"/>
        <v>1.1068069895387373E-3</v>
      </c>
      <c r="AE127" s="146">
        <f t="shared" si="13"/>
        <v>1.0762230223937082</v>
      </c>
      <c r="AF127" s="146">
        <f t="shared" si="14"/>
        <v>2.7813203085403311E-5</v>
      </c>
      <c r="AI127" s="184"/>
      <c r="AJ127" s="184"/>
    </row>
    <row r="128" spans="9:36" x14ac:dyDescent="0.25">
      <c r="I128" s="126">
        <v>2.7961963774299999E-2</v>
      </c>
      <c r="J128" s="50">
        <v>1.0530158062838624E-3</v>
      </c>
      <c r="K128" s="50">
        <v>7.9676729887221491E-5</v>
      </c>
      <c r="L128" s="67">
        <v>1.5044409864634815E-3</v>
      </c>
      <c r="N128" s="18">
        <v>-1.6564127596027067E-6</v>
      </c>
      <c r="O128" s="18">
        <v>9.2159385536989183E-11</v>
      </c>
      <c r="P128" s="18">
        <v>2.9294486706548655E-8</v>
      </c>
      <c r="Q128" s="28">
        <v>2.1601746947148919</v>
      </c>
      <c r="R128" s="61">
        <v>141.64805662981573</v>
      </c>
      <c r="S128" s="58">
        <v>2.7813203085403311E-7</v>
      </c>
      <c r="U128" s="173">
        <v>5.2810624830933596E-4</v>
      </c>
      <c r="V128" s="173">
        <v>1.5044409864634815E-3</v>
      </c>
      <c r="W128" s="174">
        <v>7.6047564465606696E-4</v>
      </c>
      <c r="X128" s="174">
        <f t="shared" si="8"/>
        <v>1.0743659664730915E-3</v>
      </c>
      <c r="Y128" s="187">
        <f t="shared" si="9"/>
        <v>7.1802451617919316E-2</v>
      </c>
      <c r="AA128" s="144">
        <f t="shared" si="10"/>
        <v>0.27961963774299997</v>
      </c>
      <c r="AB128" s="145">
        <f t="shared" si="11"/>
        <v>1.0530158062838624E-3</v>
      </c>
      <c r="AC128" s="145">
        <f t="shared" si="12"/>
        <v>7.9676729887221491E-5</v>
      </c>
      <c r="AD128" s="145">
        <f t="shared" si="15"/>
        <v>1.0743659664730915E-3</v>
      </c>
      <c r="AE128" s="146">
        <f t="shared" si="13"/>
        <v>1.1798056629815732</v>
      </c>
      <c r="AF128" s="146">
        <f t="shared" si="14"/>
        <v>2.7813203085403311E-5</v>
      </c>
      <c r="AI128" s="184"/>
      <c r="AJ128" s="184"/>
    </row>
    <row r="129" spans="9:36" x14ac:dyDescent="0.25">
      <c r="I129" s="126">
        <v>2.8241583412100001E-2</v>
      </c>
      <c r="J129" s="50">
        <v>1.0100524469768776E-3</v>
      </c>
      <c r="K129" s="50">
        <v>7.7391778298681313E-5</v>
      </c>
      <c r="L129" s="67">
        <v>1.4593171326039928E-3</v>
      </c>
      <c r="N129" s="18">
        <v>-1.6121862461507893E-6</v>
      </c>
      <c r="O129" s="18">
        <v>8.467146007254098E-11</v>
      </c>
      <c r="P129" s="18">
        <v>2.6722589420016585E-8</v>
      </c>
      <c r="Q129" s="28">
        <v>2.1238874184932852</v>
      </c>
      <c r="R129" s="61">
        <v>141.64805662981573</v>
      </c>
      <c r="S129" s="58">
        <v>2.3487804200323804E-7</v>
      </c>
      <c r="U129" s="173">
        <v>6.2040326179267516E-4</v>
      </c>
      <c r="V129" s="173">
        <v>1.4593171326039928E-3</v>
      </c>
      <c r="W129" s="174">
        <v>6.0083206900061852E-4</v>
      </c>
      <c r="X129" s="174">
        <f t="shared" si="8"/>
        <v>1.0349673990003197E-3</v>
      </c>
      <c r="Y129" s="187">
        <f t="shared" si="9"/>
        <v>0.10364072887033189</v>
      </c>
      <c r="AA129" s="144">
        <f t="shared" si="10"/>
        <v>0.28241583412100002</v>
      </c>
      <c r="AB129" s="145">
        <f t="shared" si="11"/>
        <v>1.0100524469768776E-3</v>
      </c>
      <c r="AC129" s="145">
        <f t="shared" si="12"/>
        <v>7.7391778298681313E-5</v>
      </c>
      <c r="AD129" s="145">
        <f t="shared" si="15"/>
        <v>1.0349673990003197E-3</v>
      </c>
      <c r="AE129" s="146">
        <f t="shared" si="13"/>
        <v>1.1798056629815732</v>
      </c>
      <c r="AF129" s="146">
        <f t="shared" si="14"/>
        <v>2.3487804200323804E-5</v>
      </c>
      <c r="AI129" s="184"/>
      <c r="AJ129" s="184"/>
    </row>
    <row r="130" spans="9:36" x14ac:dyDescent="0.25">
      <c r="I130" s="126">
        <v>2.8523999246199999E-2</v>
      </c>
      <c r="J130" s="50">
        <v>8.4755457080567403E-4</v>
      </c>
      <c r="K130" s="50">
        <v>6.8378422718842177E-5</v>
      </c>
      <c r="L130" s="67">
        <v>1.3809499947127729E-3</v>
      </c>
      <c r="N130" s="18">
        <v>-1.5679587688061151E-6</v>
      </c>
      <c r="O130" s="18">
        <v>7.7183371412838295E-11</v>
      </c>
      <c r="P130" s="18">
        <v>2.4150636080384871E-8</v>
      </c>
      <c r="Q130" s="28">
        <v>2.1238874184932852</v>
      </c>
      <c r="R130" s="61">
        <v>142.80109773203327</v>
      </c>
      <c r="S130" s="58">
        <v>2.3487804200323804E-7</v>
      </c>
      <c r="U130" s="173">
        <v>7.2511940869946509E-4</v>
      </c>
      <c r="V130" s="173">
        <v>1.3809499947127729E-3</v>
      </c>
      <c r="W130" s="173">
        <v>4.6914927407038491E-4</v>
      </c>
      <c r="X130" s="174">
        <f t="shared" si="8"/>
        <v>9.8904216804884901E-4</v>
      </c>
      <c r="Y130" s="187">
        <f t="shared" si="9"/>
        <v>4.2815259971189281</v>
      </c>
      <c r="AA130" s="144">
        <f t="shared" si="10"/>
        <v>0.28523999246199999</v>
      </c>
      <c r="AB130" s="145">
        <f t="shared" si="11"/>
        <v>8.4755457080567403E-4</v>
      </c>
      <c r="AC130" s="145">
        <f t="shared" si="12"/>
        <v>6.8378422718842177E-5</v>
      </c>
      <c r="AD130" s="145">
        <f t="shared" si="15"/>
        <v>9.8904216804884901E-4</v>
      </c>
      <c r="AE130" s="146">
        <f t="shared" si="13"/>
        <v>1.2951097732033277</v>
      </c>
      <c r="AF130" s="146">
        <f t="shared" si="14"/>
        <v>2.3487804200323804E-5</v>
      </c>
      <c r="AI130" s="184"/>
      <c r="AJ130" s="184"/>
    </row>
    <row r="131" spans="9:36" x14ac:dyDescent="0.25">
      <c r="I131" s="126">
        <v>2.8809239238600001E-2</v>
      </c>
      <c r="J131" s="50">
        <v>9.1835825233183661E-4</v>
      </c>
      <c r="K131" s="50">
        <v>7.030972714249645E-5</v>
      </c>
      <c r="L131" s="67">
        <v>1.2741875433416561E-3</v>
      </c>
      <c r="N131" s="18">
        <v>-1.5237322553541978E-6</v>
      </c>
      <c r="O131" s="18">
        <v>6.9695445948390079E-11</v>
      </c>
      <c r="P131" s="18">
        <v>2.1578738793852801E-8</v>
      </c>
      <c r="Q131" s="28">
        <v>2.1601746947148919</v>
      </c>
      <c r="R131" s="61">
        <v>142.80109773203327</v>
      </c>
      <c r="S131" s="58">
        <v>1.9215928492541964E-7</v>
      </c>
      <c r="U131" s="173">
        <v>8.3172228552680686E-4</v>
      </c>
      <c r="V131" s="173">
        <v>1.2741875433416561E-3</v>
      </c>
      <c r="W131" s="173">
        <v>3.7064197713872161E-4</v>
      </c>
      <c r="X131" s="174">
        <f t="shared" ref="X131:X194" si="16">(U131+2*V131+W131)/4</f>
        <v>9.3768483733721014E-4</v>
      </c>
      <c r="Y131" s="187">
        <f t="shared" ref="Y131:Y194" si="17">(J131-X131)*(J131-X131)/(K131*K131)</f>
        <v>7.5557819709632837E-2</v>
      </c>
      <c r="AA131" s="144">
        <f t="shared" ref="AA131:AA194" si="18">I131*10</f>
        <v>0.28809239238600004</v>
      </c>
      <c r="AB131" s="145">
        <f t="shared" ref="AB131:AB194" si="19">J131</f>
        <v>9.1835825233183661E-4</v>
      </c>
      <c r="AC131" s="145">
        <f t="shared" ref="AC131:AC194" si="20">K131</f>
        <v>7.030972714249645E-5</v>
      </c>
      <c r="AD131" s="145">
        <f t="shared" si="15"/>
        <v>9.3768483733721014E-4</v>
      </c>
      <c r="AE131" s="146">
        <f t="shared" ref="AE131:AE194" si="21">(R131-129.85)/10</f>
        <v>1.2951097732033277</v>
      </c>
      <c r="AF131" s="146">
        <f t="shared" ref="AF131:AF194" si="22">S131*100</f>
        <v>1.9215928492541964E-5</v>
      </c>
      <c r="AI131" s="184"/>
      <c r="AJ131" s="184"/>
    </row>
    <row r="132" spans="9:36" x14ac:dyDescent="0.25">
      <c r="I132" s="126">
        <v>2.9097331630999999E-2</v>
      </c>
      <c r="J132" s="50">
        <v>7.6954270663612474E-4</v>
      </c>
      <c r="K132" s="50">
        <v>6.2578648343009999E-5</v>
      </c>
      <c r="L132" s="67">
        <v>1.1454411355874569E-3</v>
      </c>
      <c r="N132" s="18">
        <v>-1.4795143921610213E-6</v>
      </c>
      <c r="O132" s="18">
        <v>6.2208985046432659E-11</v>
      </c>
      <c r="P132" s="18">
        <v>1.9007344544418777E-8</v>
      </c>
      <c r="Q132" s="28">
        <v>2.2366481786536836</v>
      </c>
      <c r="R132" s="61">
        <v>144.1364002089708</v>
      </c>
      <c r="S132" s="58">
        <v>1.9215928492541964E-7</v>
      </c>
      <c r="U132" s="173">
        <v>9.3088420170834945E-4</v>
      </c>
      <c r="V132" s="173">
        <v>1.1454411355874569E-3</v>
      </c>
      <c r="W132" s="173">
        <v>3.0813554315191626E-4</v>
      </c>
      <c r="X132" s="174">
        <f t="shared" si="16"/>
        <v>8.8247550400879496E-4</v>
      </c>
      <c r="Y132" s="187">
        <f t="shared" si="17"/>
        <v>3.2567754440708212</v>
      </c>
      <c r="AA132" s="144">
        <f t="shared" si="18"/>
        <v>0.29097331631000001</v>
      </c>
      <c r="AB132" s="145">
        <f t="shared" si="19"/>
        <v>7.6954270663612474E-4</v>
      </c>
      <c r="AC132" s="145">
        <f t="shared" si="20"/>
        <v>6.2578648343009999E-5</v>
      </c>
      <c r="AD132" s="145">
        <f t="shared" ref="AD132:AD195" si="23">X132</f>
        <v>8.8247550400879496E-4</v>
      </c>
      <c r="AE132" s="146">
        <f t="shared" si="21"/>
        <v>1.4286400208970804</v>
      </c>
      <c r="AF132" s="146">
        <f t="shared" si="22"/>
        <v>1.9215928492541964E-5</v>
      </c>
      <c r="AI132" s="184"/>
      <c r="AJ132" s="184"/>
    </row>
    <row r="133" spans="9:36" x14ac:dyDescent="0.25">
      <c r="I133" s="126">
        <v>2.9388304947299999E-2</v>
      </c>
      <c r="J133" s="50">
        <v>6.5503366860873941E-4</v>
      </c>
      <c r="K133" s="50">
        <v>5.7300732226123928E-5</v>
      </c>
      <c r="L133" s="67">
        <v>1.0022515172963421E-3</v>
      </c>
      <c r="N133" s="18">
        <v>-1.4353340159237666E-6</v>
      </c>
      <c r="O133" s="18">
        <v>5.4728871005439923E-11</v>
      </c>
      <c r="P133" s="18">
        <v>1.6438130267871843E-8</v>
      </c>
      <c r="Q133" s="28">
        <v>2.3622274222565238</v>
      </c>
      <c r="R133" s="61">
        <v>144.1364002089708</v>
      </c>
      <c r="S133" s="58">
        <v>1.5052414001945294E-7</v>
      </c>
      <c r="U133" s="173">
        <v>1.0147681771234024E-3</v>
      </c>
      <c r="V133" s="173">
        <v>1.0022515172963421E-3</v>
      </c>
      <c r="W133" s="173">
        <v>2.8188973298072636E-4</v>
      </c>
      <c r="X133" s="174">
        <f t="shared" si="16"/>
        <v>8.2529023617420325E-4</v>
      </c>
      <c r="Y133" s="187">
        <f t="shared" si="17"/>
        <v>8.8285098077512796</v>
      </c>
      <c r="AA133" s="144">
        <f t="shared" si="18"/>
        <v>0.29388304947299998</v>
      </c>
      <c r="AB133" s="145">
        <f t="shared" si="19"/>
        <v>6.5503366860873941E-4</v>
      </c>
      <c r="AC133" s="145">
        <f t="shared" si="20"/>
        <v>5.7300732226123928E-5</v>
      </c>
      <c r="AD133" s="145">
        <f t="shared" si="23"/>
        <v>8.2529023617420325E-4</v>
      </c>
      <c r="AE133" s="146">
        <f t="shared" si="21"/>
        <v>1.4286400208970804</v>
      </c>
      <c r="AF133" s="146">
        <f t="shared" si="22"/>
        <v>1.5052414001945294E-5</v>
      </c>
      <c r="AI133" s="184"/>
      <c r="AJ133" s="184"/>
    </row>
    <row r="134" spans="9:36" x14ac:dyDescent="0.25">
      <c r="I134" s="126">
        <v>2.9682187996799999E-2</v>
      </c>
      <c r="J134" s="50">
        <v>6.8625322519560062E-4</v>
      </c>
      <c r="K134" s="50">
        <v>5.8871170005924939E-5</v>
      </c>
      <c r="L134" s="67">
        <v>8.5279859220246924E-4</v>
      </c>
      <c r="N134" s="18">
        <v>-1.391261859482695E-6</v>
      </c>
      <c r="O134" s="18">
        <v>4.7267079497795363E-11</v>
      </c>
      <c r="P134" s="18">
        <v>1.3875209279636116E-8</v>
      </c>
      <c r="Q134" s="28">
        <v>2.5537583400237032</v>
      </c>
      <c r="R134" s="61">
        <v>145.77725169581046</v>
      </c>
      <c r="S134" s="58">
        <v>1.5052414001945294E-7</v>
      </c>
      <c r="U134" s="173">
        <v>1.0772526988627245E-3</v>
      </c>
      <c r="V134" s="173">
        <v>8.5279859220246924E-4</v>
      </c>
      <c r="W134" s="173">
        <v>2.8959479543476743E-4</v>
      </c>
      <c r="X134" s="174">
        <f t="shared" si="16"/>
        <v>7.6811116967560758E-4</v>
      </c>
      <c r="Y134" s="187">
        <f t="shared" si="17"/>
        <v>1.9333760561266511</v>
      </c>
      <c r="AA134" s="144">
        <f t="shared" si="18"/>
        <v>0.29682187996799997</v>
      </c>
      <c r="AB134" s="145">
        <f t="shared" si="19"/>
        <v>6.8625322519560062E-4</v>
      </c>
      <c r="AC134" s="145">
        <f t="shared" si="20"/>
        <v>5.8871170005924939E-5</v>
      </c>
      <c r="AD134" s="145">
        <f t="shared" si="23"/>
        <v>7.6811116967560758E-4</v>
      </c>
      <c r="AE134" s="146">
        <f t="shared" si="21"/>
        <v>1.5927251695810469</v>
      </c>
      <c r="AF134" s="146">
        <f t="shared" si="22"/>
        <v>1.5052414001945294E-5</v>
      </c>
      <c r="AI134" s="184"/>
      <c r="AJ134" s="184"/>
    </row>
    <row r="135" spans="9:36" x14ac:dyDescent="0.25">
      <c r="I135" s="126">
        <v>2.9979009876800002E-2</v>
      </c>
      <c r="J135" s="50">
        <v>4.5936712753607835E-4</v>
      </c>
      <c r="K135" s="50">
        <v>4.8102698053933838E-5</v>
      </c>
      <c r="L135" s="67">
        <v>7.0537868794045514E-4</v>
      </c>
      <c r="N135" s="18">
        <v>-1.3474449651038526E-6</v>
      </c>
      <c r="O135" s="18">
        <v>3.9848506031698479E-11</v>
      </c>
      <c r="P135" s="18">
        <v>1.1327132504836196E-8</v>
      </c>
      <c r="Q135" s="28">
        <v>2.8427430643462008</v>
      </c>
      <c r="R135" s="61">
        <v>145.77725169581046</v>
      </c>
      <c r="S135" s="58">
        <v>1.1107264278930188E-7</v>
      </c>
      <c r="U135" s="173">
        <v>1.1140847615770443E-3</v>
      </c>
      <c r="V135" s="173">
        <v>7.0537868794045514E-4</v>
      </c>
      <c r="W135" s="173">
        <v>3.2654758855753425E-4</v>
      </c>
      <c r="X135" s="174">
        <f t="shared" si="16"/>
        <v>7.128474315038722E-4</v>
      </c>
      <c r="Y135" s="187">
        <f t="shared" si="17"/>
        <v>27.768317457669852</v>
      </c>
      <c r="AA135" s="144">
        <f t="shared" si="18"/>
        <v>0.299790098768</v>
      </c>
      <c r="AB135" s="145">
        <f t="shared" si="19"/>
        <v>4.5936712753607835E-4</v>
      </c>
      <c r="AC135" s="145">
        <f t="shared" si="20"/>
        <v>4.8102698053933838E-5</v>
      </c>
      <c r="AD135" s="145">
        <f t="shared" si="23"/>
        <v>7.128474315038722E-4</v>
      </c>
      <c r="AE135" s="146">
        <f t="shared" si="21"/>
        <v>1.5927251695810469</v>
      </c>
      <c r="AF135" s="146">
        <f t="shared" si="22"/>
        <v>1.1107264278930188E-5</v>
      </c>
      <c r="AI135" s="184"/>
      <c r="AJ135" s="184"/>
    </row>
    <row r="136" spans="9:36" x14ac:dyDescent="0.25">
      <c r="I136" s="126">
        <v>3.0278799975499999E-2</v>
      </c>
      <c r="J136" s="50">
        <v>5.2306240889408973E-4</v>
      </c>
      <c r="K136" s="50">
        <v>5.1550900459428809E-5</v>
      </c>
      <c r="L136" s="67">
        <v>5.6787683060004017E-4</v>
      </c>
      <c r="N136" s="18">
        <v>-1.3041702679809817E-6</v>
      </c>
      <c r="O136" s="18">
        <v>3.2521731179664998E-11</v>
      </c>
      <c r="P136" s="18">
        <v>8.8105860394040743E-9</v>
      </c>
      <c r="Q136" s="28">
        <v>3.2920958739615873</v>
      </c>
      <c r="R136" s="61">
        <v>148.01680574246072</v>
      </c>
      <c r="S136" s="58">
        <v>1.1107264278930188E-7</v>
      </c>
      <c r="U136" s="173">
        <v>1.1229530850453285E-3</v>
      </c>
      <c r="V136" s="173">
        <v>5.6787683060004017E-4</v>
      </c>
      <c r="W136" s="173">
        <v>3.8600319186397138E-4</v>
      </c>
      <c r="X136" s="174">
        <f t="shared" si="16"/>
        <v>6.611774845273451E-4</v>
      </c>
      <c r="Y136" s="187">
        <f t="shared" si="17"/>
        <v>7.1781025701662386</v>
      </c>
      <c r="AA136" s="144">
        <f t="shared" si="18"/>
        <v>0.30278799975499998</v>
      </c>
      <c r="AB136" s="145">
        <f t="shared" si="19"/>
        <v>5.2306240889408973E-4</v>
      </c>
      <c r="AC136" s="145">
        <f t="shared" si="20"/>
        <v>5.1550900459428809E-5</v>
      </c>
      <c r="AD136" s="145">
        <f t="shared" si="23"/>
        <v>6.611774845273451E-4</v>
      </c>
      <c r="AE136" s="146">
        <f t="shared" si="21"/>
        <v>1.8166805742460723</v>
      </c>
      <c r="AF136" s="146">
        <f t="shared" si="22"/>
        <v>1.1107264278930188E-5</v>
      </c>
      <c r="AI136" s="184"/>
      <c r="AJ136" s="184"/>
    </row>
    <row r="137" spans="9:36" x14ac:dyDescent="0.25">
      <c r="I137" s="126">
        <v>3.0581587975300001E-2</v>
      </c>
      <c r="J137" s="50">
        <v>5.1277984741213828E-4</v>
      </c>
      <c r="K137" s="50">
        <v>5.125768396287796E-5</v>
      </c>
      <c r="L137" s="67">
        <v>4.4726407426559135E-4</v>
      </c>
      <c r="N137" s="18">
        <v>-1.2619932851115971E-6</v>
      </c>
      <c r="O137" s="18">
        <v>2.5380808701463882E-11</v>
      </c>
      <c r="P137" s="18">
        <v>6.3578747734840806E-9</v>
      </c>
      <c r="Q137" s="28">
        <v>4.0454058184610373</v>
      </c>
      <c r="R137" s="61">
        <v>148.01680574246072</v>
      </c>
      <c r="S137" s="58">
        <v>7.6207708433161019E-8</v>
      </c>
      <c r="U137" s="173">
        <v>1.1034763129624363E-3</v>
      </c>
      <c r="V137" s="173">
        <v>4.4726407426559135E-4</v>
      </c>
      <c r="W137" s="173">
        <v>4.5968449605357628E-4</v>
      </c>
      <c r="X137" s="174">
        <f t="shared" si="16"/>
        <v>6.1442223938679879E-4</v>
      </c>
      <c r="Y137" s="187">
        <f t="shared" si="17"/>
        <v>3.9321655647653611</v>
      </c>
      <c r="AA137" s="144">
        <f t="shared" si="18"/>
        <v>0.30581587975300001</v>
      </c>
      <c r="AB137" s="145">
        <f t="shared" si="19"/>
        <v>5.1277984741213828E-4</v>
      </c>
      <c r="AC137" s="145">
        <f t="shared" si="20"/>
        <v>5.125768396287796E-5</v>
      </c>
      <c r="AD137" s="145">
        <f t="shared" si="23"/>
        <v>6.1442223938679879E-4</v>
      </c>
      <c r="AE137" s="146">
        <f t="shared" si="21"/>
        <v>1.8166805742460723</v>
      </c>
      <c r="AF137" s="146">
        <f t="shared" si="22"/>
        <v>7.6207708433161019E-6</v>
      </c>
      <c r="AI137" s="184"/>
      <c r="AJ137" s="184"/>
    </row>
    <row r="138" spans="9:36" x14ac:dyDescent="0.25">
      <c r="I138" s="126">
        <v>3.0887403855099999E-2</v>
      </c>
      <c r="J138" s="50">
        <v>4.0311106184124561E-4</v>
      </c>
      <c r="K138" s="50">
        <v>4.4963879328156983E-5</v>
      </c>
      <c r="L138" s="67">
        <v>3.4915079946974057E-4</v>
      </c>
      <c r="N138" s="18">
        <v>-1.2220283678138263E-6</v>
      </c>
      <c r="O138" s="18">
        <v>1.861440776769163E-11</v>
      </c>
      <c r="P138" s="18">
        <v>4.0338013991186592E-9</v>
      </c>
      <c r="Q138" s="28">
        <v>5.5214655584257724</v>
      </c>
      <c r="R138" s="61">
        <v>152.04131409772654</v>
      </c>
      <c r="S138" s="58">
        <v>7.6207708433161019E-8</v>
      </c>
      <c r="U138" s="173">
        <v>1.0571044185730075E-3</v>
      </c>
      <c r="V138" s="173">
        <v>3.4915079946974057E-4</v>
      </c>
      <c r="W138" s="173">
        <v>5.3841950978672558E-4</v>
      </c>
      <c r="X138" s="174">
        <f t="shared" si="16"/>
        <v>5.7345638182480351E-4</v>
      </c>
      <c r="Y138" s="187">
        <f t="shared" si="17"/>
        <v>14.35267548624228</v>
      </c>
      <c r="AA138" s="144">
        <f t="shared" si="18"/>
        <v>0.30887403855099999</v>
      </c>
      <c r="AB138" s="145">
        <f t="shared" si="19"/>
        <v>4.0311106184124561E-4</v>
      </c>
      <c r="AC138" s="145">
        <f t="shared" si="20"/>
        <v>4.4963879328156983E-5</v>
      </c>
      <c r="AD138" s="145">
        <f t="shared" si="23"/>
        <v>5.7345638182480351E-4</v>
      </c>
      <c r="AE138" s="146">
        <f t="shared" si="21"/>
        <v>2.2191314097726549</v>
      </c>
      <c r="AF138" s="146">
        <f t="shared" si="22"/>
        <v>7.6207708433161019E-6</v>
      </c>
      <c r="AI138" s="184"/>
      <c r="AJ138" s="184"/>
    </row>
    <row r="139" spans="9:36" x14ac:dyDescent="0.25">
      <c r="I139" s="126">
        <v>3.1196277893600001E-2</v>
      </c>
      <c r="J139" s="50">
        <v>4.2956456468169155E-4</v>
      </c>
      <c r="K139" s="50">
        <v>4.6101806094405721E-5</v>
      </c>
      <c r="L139" s="67">
        <v>2.7742574456433009E-4</v>
      </c>
      <c r="N139" s="18">
        <v>-1.1867097027196541E-6</v>
      </c>
      <c r="O139" s="18">
        <v>1.2634656910403476E-11</v>
      </c>
      <c r="P139" s="18">
        <v>1.9799207779751451E-9</v>
      </c>
      <c r="Q139" s="28">
        <v>9.9221469142188514</v>
      </c>
      <c r="R139" s="61">
        <v>152.04131409772654</v>
      </c>
      <c r="S139" s="58">
        <v>5.2107248345993402E-8</v>
      </c>
      <c r="U139" s="173">
        <v>9.8693540960321483E-4</v>
      </c>
      <c r="V139" s="173">
        <v>2.7742574456433009E-4</v>
      </c>
      <c r="W139" s="173">
        <v>6.1286464178598836E-4</v>
      </c>
      <c r="X139" s="174">
        <f t="shared" si="16"/>
        <v>5.386628851294659E-4</v>
      </c>
      <c r="Y139" s="187">
        <f t="shared" si="17"/>
        <v>5.6001576114117464</v>
      </c>
      <c r="AA139" s="144">
        <f t="shared" si="18"/>
        <v>0.311962778936</v>
      </c>
      <c r="AB139" s="145">
        <f t="shared" si="19"/>
        <v>4.2956456468169155E-4</v>
      </c>
      <c r="AC139" s="145">
        <f t="shared" si="20"/>
        <v>4.6101806094405721E-5</v>
      </c>
      <c r="AD139" s="145">
        <f t="shared" si="23"/>
        <v>5.386628851294659E-4</v>
      </c>
      <c r="AE139" s="146">
        <f t="shared" si="21"/>
        <v>2.2191314097726549</v>
      </c>
      <c r="AF139" s="146">
        <f t="shared" si="22"/>
        <v>5.2107248345993402E-6</v>
      </c>
      <c r="AI139" s="184"/>
      <c r="AJ139" s="184"/>
    </row>
    <row r="140" spans="9:36" x14ac:dyDescent="0.25">
      <c r="I140" s="126">
        <v>3.15082406725E-2</v>
      </c>
      <c r="J140" s="50">
        <v>3.544184144549285E-4</v>
      </c>
      <c r="K140" s="50">
        <v>4.3920983575569217E-5</v>
      </c>
      <c r="L140" s="67">
        <v>2.3400715356424343E-4</v>
      </c>
      <c r="N140" s="18">
        <v>-1.1622956002940111E-6</v>
      </c>
      <c r="O140" s="18">
        <v>8.5011414018077235E-12</v>
      </c>
      <c r="P140" s="18">
        <v>5.6017142672021119E-10</v>
      </c>
      <c r="Q140" s="28">
        <v>13.324728933252164</v>
      </c>
      <c r="R140" s="61">
        <v>157.4459390631842</v>
      </c>
      <c r="S140" s="58">
        <v>5.2107248345993402E-8</v>
      </c>
      <c r="U140" s="173">
        <v>8.9745362656998577E-4</v>
      </c>
      <c r="V140" s="173">
        <v>2.3400715356424343E-4</v>
      </c>
      <c r="W140" s="173">
        <v>6.7426299953311385E-4</v>
      </c>
      <c r="X140" s="174">
        <f t="shared" si="16"/>
        <v>5.0993273330789666E-4</v>
      </c>
      <c r="Y140" s="187">
        <f t="shared" si="17"/>
        <v>12.537087315754114</v>
      </c>
      <c r="AA140" s="144">
        <f t="shared" si="18"/>
        <v>0.31508240672499999</v>
      </c>
      <c r="AB140" s="145">
        <f t="shared" si="19"/>
        <v>3.544184144549285E-4</v>
      </c>
      <c r="AC140" s="145">
        <f t="shared" si="20"/>
        <v>4.3920983575569217E-5</v>
      </c>
      <c r="AD140" s="145">
        <f t="shared" si="23"/>
        <v>5.0993273330789666E-4</v>
      </c>
      <c r="AE140" s="146">
        <f t="shared" si="21"/>
        <v>2.7595939063184205</v>
      </c>
      <c r="AF140" s="146">
        <f t="shared" si="22"/>
        <v>5.2107248345993402E-6</v>
      </c>
      <c r="AI140" s="184"/>
      <c r="AJ140" s="184"/>
    </row>
    <row r="141" spans="9:36" x14ac:dyDescent="0.25">
      <c r="I141" s="126">
        <v>3.1823323079299998E-2</v>
      </c>
      <c r="J141" s="50">
        <v>3.3717317419301143E-4</v>
      </c>
      <c r="K141" s="50">
        <v>4.3297092627955615E-5</v>
      </c>
      <c r="L141" s="67">
        <v>2.1872676598690127E-4</v>
      </c>
      <c r="N141" s="18">
        <v>-1.1589222236492081E-6</v>
      </c>
      <c r="O141" s="18">
        <v>7.9300000001071687E-12</v>
      </c>
      <c r="P141" s="18">
        <v>3.6400000004933257E-10</v>
      </c>
      <c r="Q141" s="28">
        <v>2.8366278088117838</v>
      </c>
      <c r="R141" s="61">
        <v>157.4459390631842</v>
      </c>
      <c r="S141" s="58">
        <v>4.8777208690941478E-8</v>
      </c>
      <c r="U141" s="173">
        <v>7.942003006985533E-4</v>
      </c>
      <c r="V141" s="173">
        <v>2.1872676598690127E-4</v>
      </c>
      <c r="W141" s="173">
        <v>7.1518068824169231E-4</v>
      </c>
      <c r="X141" s="174">
        <f t="shared" si="16"/>
        <v>4.8670863022851204E-4</v>
      </c>
      <c r="Y141" s="187">
        <f t="shared" si="17"/>
        <v>11.928089512685519</v>
      </c>
      <c r="AA141" s="144">
        <f t="shared" si="18"/>
        <v>0.31823323079299998</v>
      </c>
      <c r="AB141" s="145">
        <f t="shared" si="19"/>
        <v>3.3717317419301143E-4</v>
      </c>
      <c r="AC141" s="145">
        <f t="shared" si="20"/>
        <v>4.3297092627955615E-5</v>
      </c>
      <c r="AD141" s="145">
        <f t="shared" si="23"/>
        <v>4.8670863022851204E-4</v>
      </c>
      <c r="AE141" s="146">
        <f t="shared" si="21"/>
        <v>2.7595939063184205</v>
      </c>
      <c r="AF141" s="146">
        <f t="shared" si="22"/>
        <v>4.8777208690941478E-6</v>
      </c>
      <c r="AI141" s="184"/>
      <c r="AJ141" s="184"/>
    </row>
    <row r="142" spans="9:36" x14ac:dyDescent="0.25">
      <c r="I142" s="126">
        <v>3.2141556310100003E-2</v>
      </c>
      <c r="J142" s="50">
        <v>3.4045716769243991E-4</v>
      </c>
      <c r="K142" s="50">
        <v>4.2688373080075563E-5</v>
      </c>
      <c r="L142" s="67">
        <v>2.2935961208865108E-4</v>
      </c>
      <c r="N142" s="18">
        <v>-1.1622956002974041E-6</v>
      </c>
      <c r="O142" s="18">
        <v>8.5011414020739464E-12</v>
      </c>
      <c r="P142" s="18">
        <v>5.601714268429162E-10</v>
      </c>
      <c r="Q142" s="28">
        <v>13.324728933252164</v>
      </c>
      <c r="R142" s="61">
        <v>252.75018938665619</v>
      </c>
      <c r="S142" s="58">
        <v>4.8777208690941478E-8</v>
      </c>
      <c r="U142" s="173">
        <v>6.8339135314222335E-4</v>
      </c>
      <c r="V142" s="173">
        <v>2.2935961208865108E-4</v>
      </c>
      <c r="W142" s="173">
        <v>7.3016192032389815E-4</v>
      </c>
      <c r="X142" s="174">
        <f t="shared" si="16"/>
        <v>4.6806812441085594E-4</v>
      </c>
      <c r="Y142" s="187">
        <f t="shared" si="17"/>
        <v>8.9362790593846828</v>
      </c>
      <c r="AA142" s="144">
        <f t="shared" si="18"/>
        <v>0.32141556310100006</v>
      </c>
      <c r="AB142" s="145">
        <f t="shared" si="19"/>
        <v>3.4045716769243991E-4</v>
      </c>
      <c r="AC142" s="145">
        <f t="shared" si="20"/>
        <v>4.2688373080075563E-5</v>
      </c>
      <c r="AD142" s="145">
        <f t="shared" si="23"/>
        <v>4.6806812441085594E-4</v>
      </c>
      <c r="AE142" s="146">
        <f t="shared" si="21"/>
        <v>12.29001893866562</v>
      </c>
      <c r="AF142" s="146">
        <f t="shared" si="22"/>
        <v>4.8777208690941478E-6</v>
      </c>
      <c r="AI142" s="184"/>
      <c r="AJ142" s="184"/>
    </row>
    <row r="143" spans="9:36" x14ac:dyDescent="0.25">
      <c r="I143" s="126">
        <v>3.2462971873199999E-2</v>
      </c>
      <c r="J143" s="50">
        <v>2.832372053552714E-4</v>
      </c>
      <c r="K143" s="50">
        <v>4.0460780399292716E-5</v>
      </c>
      <c r="L143" s="67">
        <v>2.6180310358578753E-4</v>
      </c>
      <c r="N143" s="18">
        <v>-1.1867097027317457E-6</v>
      </c>
      <c r="O143" s="18">
        <v>1.2634656911333653E-11</v>
      </c>
      <c r="P143" s="18">
        <v>1.97992077840794E-9</v>
      </c>
      <c r="Q143" s="28">
        <v>9.9221469142188514</v>
      </c>
      <c r="R143" s="61">
        <v>252.75018938665619</v>
      </c>
      <c r="S143" s="58">
        <v>5.215058533710673E-8</v>
      </c>
      <c r="U143" s="173">
        <v>5.7150139392314321E-4</v>
      </c>
      <c r="V143" s="173">
        <v>2.6180310358578753E-4</v>
      </c>
      <c r="W143" s="173">
        <v>7.1624596933558425E-4</v>
      </c>
      <c r="X143" s="174">
        <f t="shared" si="16"/>
        <v>4.5283839260757569E-4</v>
      </c>
      <c r="Y143" s="187">
        <f t="shared" si="17"/>
        <v>17.570708184374666</v>
      </c>
      <c r="AA143" s="144">
        <f t="shared" si="18"/>
        <v>0.32462971873199997</v>
      </c>
      <c r="AB143" s="145">
        <f t="shared" si="19"/>
        <v>2.832372053552714E-4</v>
      </c>
      <c r="AC143" s="145">
        <f t="shared" si="20"/>
        <v>4.0460780399292716E-5</v>
      </c>
      <c r="AD143" s="145">
        <f t="shared" si="23"/>
        <v>4.5283839260757569E-4</v>
      </c>
      <c r="AE143" s="146">
        <f t="shared" si="21"/>
        <v>12.29001893866562</v>
      </c>
      <c r="AF143" s="146">
        <f t="shared" si="22"/>
        <v>5.215058533710673E-6</v>
      </c>
      <c r="AI143" s="184"/>
      <c r="AJ143" s="184"/>
    </row>
    <row r="144" spans="9:36" x14ac:dyDescent="0.25">
      <c r="I144" s="126">
        <v>3.2787601591900001E-2</v>
      </c>
      <c r="J144" s="50">
        <v>3.5248358940448985E-4</v>
      </c>
      <c r="K144" s="50">
        <v>4.4172333285886401E-5</v>
      </c>
      <c r="L144" s="67">
        <v>3.1039832101328955E-4</v>
      </c>
      <c r="N144" s="18">
        <v>-1.2220283678410639E-6</v>
      </c>
      <c r="O144" s="30">
        <v>1.8614407769723854E-11</v>
      </c>
      <c r="P144" s="18">
        <v>4.0338014000783087E-9</v>
      </c>
      <c r="Q144" s="28">
        <v>5.5214655584257724</v>
      </c>
      <c r="R144" s="61">
        <v>266.07491831990836</v>
      </c>
      <c r="S144" s="58">
        <v>5.215058533710673E-8</v>
      </c>
      <c r="U144" s="173">
        <v>4.6483619091612839E-4</v>
      </c>
      <c r="V144" s="173">
        <v>3.1039832101328955E-4</v>
      </c>
      <c r="W144" s="173">
        <v>6.7329589398420651E-4</v>
      </c>
      <c r="X144" s="174">
        <f t="shared" si="16"/>
        <v>4.3973218173172849E-4</v>
      </c>
      <c r="Y144" s="187">
        <f t="shared" si="17"/>
        <v>3.901361347359392</v>
      </c>
      <c r="AA144" s="144">
        <f t="shared" si="18"/>
        <v>0.32787601591900001</v>
      </c>
      <c r="AB144" s="145">
        <f t="shared" si="19"/>
        <v>3.5248358940448985E-4</v>
      </c>
      <c r="AC144" s="145">
        <f t="shared" si="20"/>
        <v>4.4172333285886401E-5</v>
      </c>
      <c r="AD144" s="145">
        <f t="shared" si="23"/>
        <v>4.3973218173172849E-4</v>
      </c>
      <c r="AE144" s="146">
        <f t="shared" si="21"/>
        <v>13.622491831990837</v>
      </c>
      <c r="AF144" s="146">
        <f t="shared" si="22"/>
        <v>5.215058533710673E-6</v>
      </c>
      <c r="AI144" s="184"/>
      <c r="AJ144" s="184"/>
    </row>
    <row r="145" spans="9:36" x14ac:dyDescent="0.25">
      <c r="I145" s="126">
        <v>3.3115477607800002E-2</v>
      </c>
      <c r="J145" s="50">
        <v>3.4171533494044921E-4</v>
      </c>
      <c r="K145" s="50">
        <v>4.3155062856869777E-5</v>
      </c>
      <c r="L145" s="67">
        <v>3.6837545367320994E-4</v>
      </c>
      <c r="N145" s="18">
        <v>-1.2619932851557127E-6</v>
      </c>
      <c r="O145" s="18">
        <v>2.5380808704633335E-11</v>
      </c>
      <c r="P145" s="18">
        <v>6.3578747750088392E-9</v>
      </c>
      <c r="Q145" s="28">
        <v>4.0454058184610373</v>
      </c>
      <c r="R145" s="61">
        <v>266.07491831990836</v>
      </c>
      <c r="S145" s="58">
        <v>7.656468776274994E-8</v>
      </c>
      <c r="U145" s="173">
        <v>3.691181745001565E-4</v>
      </c>
      <c r="V145" s="173">
        <v>3.6837545367320994E-4</v>
      </c>
      <c r="W145" s="173">
        <v>6.0410050759588817E-4</v>
      </c>
      <c r="X145" s="174">
        <f t="shared" si="16"/>
        <v>4.2749239736061611E-4</v>
      </c>
      <c r="Y145" s="187">
        <f t="shared" si="17"/>
        <v>3.9507434704511888</v>
      </c>
      <c r="AA145" s="144">
        <f t="shared" si="18"/>
        <v>0.33115477607800003</v>
      </c>
      <c r="AB145" s="145">
        <f t="shared" si="19"/>
        <v>3.4171533494044921E-4</v>
      </c>
      <c r="AC145" s="145">
        <f t="shared" si="20"/>
        <v>4.3155062856869777E-5</v>
      </c>
      <c r="AD145" s="145">
        <f t="shared" si="23"/>
        <v>4.2749239736061611E-4</v>
      </c>
      <c r="AE145" s="146">
        <f t="shared" si="21"/>
        <v>13.622491831990837</v>
      </c>
      <c r="AF145" s="146">
        <f t="shared" si="22"/>
        <v>7.656468776274994E-6</v>
      </c>
      <c r="AI145" s="184"/>
      <c r="AJ145" s="184"/>
    </row>
    <row r="146" spans="9:36" x14ac:dyDescent="0.25">
      <c r="I146" s="126">
        <v>3.3446632383899999E-2</v>
      </c>
      <c r="J146" s="50">
        <v>2.5265389636162564E-4</v>
      </c>
      <c r="K146" s="50">
        <v>4.1200648617233638E-5</v>
      </c>
      <c r="L146" s="67">
        <v>4.2839490562830479E-4</v>
      </c>
      <c r="N146" s="18">
        <v>-1.30417026804401E-6</v>
      </c>
      <c r="O146" s="18">
        <v>3.2521731183997796E-11</v>
      </c>
      <c r="P146" s="18">
        <v>8.8105860415352075E-9</v>
      </c>
      <c r="Q146" s="28">
        <v>3.2920958739615873</v>
      </c>
      <c r="R146" s="61">
        <v>275.99706523412721</v>
      </c>
      <c r="S146" s="58">
        <v>7.656468776274994E-8</v>
      </c>
      <c r="U146" s="173">
        <v>2.8911049107919454E-4</v>
      </c>
      <c r="V146" s="173">
        <v>4.2839490562830479E-4</v>
      </c>
      <c r="W146" s="173">
        <v>5.1422693812512479E-4</v>
      </c>
      <c r="X146" s="174">
        <f t="shared" si="16"/>
        <v>4.1503181011523223E-4</v>
      </c>
      <c r="Y146" s="187">
        <f t="shared" si="17"/>
        <v>15.532659009457099</v>
      </c>
      <c r="AA146" s="144">
        <f t="shared" si="18"/>
        <v>0.33446632383899999</v>
      </c>
      <c r="AB146" s="145">
        <f t="shared" si="19"/>
        <v>2.5265389636162564E-4</v>
      </c>
      <c r="AC146" s="145">
        <f t="shared" si="20"/>
        <v>4.1200648617233638E-5</v>
      </c>
      <c r="AD146" s="145">
        <f t="shared" si="23"/>
        <v>4.1503181011523223E-4</v>
      </c>
      <c r="AE146" s="146">
        <f t="shared" si="21"/>
        <v>14.614706523412721</v>
      </c>
      <c r="AF146" s="146">
        <f t="shared" si="22"/>
        <v>7.656468776274994E-6</v>
      </c>
      <c r="AI146" s="184"/>
      <c r="AJ146" s="184"/>
    </row>
    <row r="147" spans="9:36" x14ac:dyDescent="0.25">
      <c r="I147" s="126">
        <v>3.3781098707699998E-2</v>
      </c>
      <c r="J147" s="50">
        <v>4.2040595780417196E-4</v>
      </c>
      <c r="K147" s="50">
        <v>4.6327563442501761E-5</v>
      </c>
      <c r="L147" s="67">
        <v>4.8314652642002221E-4</v>
      </c>
      <c r="N147" s="18">
        <v>-1.3474449651879788E-6</v>
      </c>
      <c r="O147" s="18">
        <v>3.9848506037196173E-11</v>
      </c>
      <c r="P147" s="18">
        <v>1.1327132507611609E-8</v>
      </c>
      <c r="Q147" s="28">
        <v>2.8427430643462008</v>
      </c>
      <c r="R147" s="61">
        <v>275.99706523412721</v>
      </c>
      <c r="S147" s="58">
        <v>1.1188335285692195E-7</v>
      </c>
      <c r="U147" s="173">
        <v>2.2830443567140946E-4</v>
      </c>
      <c r="V147" s="173">
        <v>4.8314652642002221E-4</v>
      </c>
      <c r="W147" s="173">
        <v>4.1162059421689587E-4</v>
      </c>
      <c r="X147" s="174">
        <f t="shared" si="16"/>
        <v>4.0155452068208744E-4</v>
      </c>
      <c r="Y147" s="187">
        <f t="shared" si="17"/>
        <v>0.16558081228180452</v>
      </c>
      <c r="AA147" s="144">
        <f t="shared" si="18"/>
        <v>0.33781098707699997</v>
      </c>
      <c r="AB147" s="145">
        <f t="shared" si="19"/>
        <v>4.2040595780417196E-4</v>
      </c>
      <c r="AC147" s="145">
        <f t="shared" si="20"/>
        <v>4.6327563442501761E-5</v>
      </c>
      <c r="AD147" s="145">
        <f t="shared" si="23"/>
        <v>4.0155452068208744E-4</v>
      </c>
      <c r="AE147" s="146">
        <f t="shared" si="21"/>
        <v>14.614706523412721</v>
      </c>
      <c r="AF147" s="146">
        <f t="shared" si="22"/>
        <v>1.1188335285692195E-5</v>
      </c>
      <c r="AI147" s="184"/>
      <c r="AJ147" s="184"/>
    </row>
    <row r="148" spans="9:36" x14ac:dyDescent="0.25">
      <c r="I148" s="126">
        <v>3.4118909694799998E-2</v>
      </c>
      <c r="J148" s="50">
        <v>2.231446614948215E-4</v>
      </c>
      <c r="K148" s="50">
        <v>3.7779870536595208E-5</v>
      </c>
      <c r="L148" s="67">
        <v>5.2596259691381432E-4</v>
      </c>
      <c r="N148" s="18">
        <v>-1.3912618595903366E-6</v>
      </c>
      <c r="O148" s="18">
        <v>4.7267079504433985E-11</v>
      </c>
      <c r="P148" s="18">
        <v>1.3875209283091526E-8</v>
      </c>
      <c r="Q148" s="28">
        <v>2.5537583400237032</v>
      </c>
      <c r="R148" s="61">
        <v>281.51853079255295</v>
      </c>
      <c r="S148" s="58">
        <v>1.1188335285692195E-7</v>
      </c>
      <c r="U148" s="173">
        <v>1.8869259931231317E-4</v>
      </c>
      <c r="V148" s="173">
        <v>5.2596259691381432E-4</v>
      </c>
      <c r="W148" s="173">
        <v>3.0597126518315136E-4</v>
      </c>
      <c r="X148" s="174">
        <f t="shared" si="16"/>
        <v>3.8664726458077331E-4</v>
      </c>
      <c r="Y148" s="187">
        <f t="shared" si="17"/>
        <v>18.729596099433707</v>
      </c>
      <c r="AA148" s="144">
        <f t="shared" si="18"/>
        <v>0.34118909694799998</v>
      </c>
      <c r="AB148" s="145">
        <f t="shared" si="19"/>
        <v>2.231446614948215E-4</v>
      </c>
      <c r="AC148" s="145">
        <f t="shared" si="20"/>
        <v>3.7779870536595208E-5</v>
      </c>
      <c r="AD148" s="145">
        <f t="shared" si="23"/>
        <v>3.8664726458077331E-4</v>
      </c>
      <c r="AE148" s="146">
        <f t="shared" si="21"/>
        <v>15.166853079255295</v>
      </c>
      <c r="AF148" s="146">
        <f t="shared" si="22"/>
        <v>1.1188335285692195E-5</v>
      </c>
      <c r="AI148" s="184"/>
      <c r="AJ148" s="184"/>
    </row>
    <row r="149" spans="9:36" x14ac:dyDescent="0.25">
      <c r="I149" s="126">
        <v>3.4460098791800002E-2</v>
      </c>
      <c r="J149" s="50">
        <v>2.7587099520784723E-4</v>
      </c>
      <c r="K149" s="50">
        <v>4.1881569472536287E-5</v>
      </c>
      <c r="L149" s="67">
        <v>5.5139632505616883E-4</v>
      </c>
      <c r="N149" s="18">
        <v>-1.4353340160576836E-6</v>
      </c>
      <c r="O149" s="18">
        <v>5.4728871013167276E-11</v>
      </c>
      <c r="P149" s="18">
        <v>1.6438130272042012E-8</v>
      </c>
      <c r="Q149" s="28">
        <v>2.3622274222565238</v>
      </c>
      <c r="R149" s="61">
        <v>281.51853079255295</v>
      </c>
      <c r="S149" s="58">
        <v>1.5184827015469272E-7</v>
      </c>
      <c r="U149" s="173">
        <v>1.7064571591487833E-4</v>
      </c>
      <c r="V149" s="173">
        <v>5.5139632505616883E-4</v>
      </c>
      <c r="W149" s="173">
        <v>2.0788681235689977E-4</v>
      </c>
      <c r="X149" s="174">
        <f t="shared" si="16"/>
        <v>3.7033129459602894E-4</v>
      </c>
      <c r="Y149" s="187">
        <f t="shared" si="17"/>
        <v>5.0868946009596527</v>
      </c>
      <c r="AA149" s="144">
        <f t="shared" si="18"/>
        <v>0.34460098791800003</v>
      </c>
      <c r="AB149" s="145">
        <f t="shared" si="19"/>
        <v>2.7587099520784723E-4</v>
      </c>
      <c r="AC149" s="145">
        <f t="shared" si="20"/>
        <v>4.1881569472536287E-5</v>
      </c>
      <c r="AD149" s="145">
        <f t="shared" si="23"/>
        <v>3.7033129459602894E-4</v>
      </c>
      <c r="AE149" s="146">
        <f t="shared" si="21"/>
        <v>15.166853079255295</v>
      </c>
      <c r="AF149" s="146">
        <f t="shared" si="22"/>
        <v>1.5184827015469272E-5</v>
      </c>
      <c r="AI149" s="184"/>
      <c r="AJ149" s="184"/>
    </row>
    <row r="150" spans="9:36" x14ac:dyDescent="0.25">
      <c r="I150" s="126">
        <v>3.48046997797E-2</v>
      </c>
      <c r="J150" s="50">
        <v>3.4592383584306836E-4</v>
      </c>
      <c r="K150" s="50">
        <v>4.0942468891284742E-5</v>
      </c>
      <c r="L150" s="67">
        <v>5.5571724514187366E-4</v>
      </c>
      <c r="N150" s="18">
        <v>-1.4795143923244531E-6</v>
      </c>
      <c r="O150" s="18">
        <v>6.2208985055162659E-11</v>
      </c>
      <c r="P150" s="18">
        <v>1.9007344549338506E-8</v>
      </c>
      <c r="Q150" s="28">
        <v>2.2366481786536836</v>
      </c>
      <c r="R150" s="61">
        <v>285.56393661101401</v>
      </c>
      <c r="S150" s="58">
        <v>1.5184827015469272E-7</v>
      </c>
      <c r="U150" s="173">
        <v>1.7290510423004701E-4</v>
      </c>
      <c r="V150" s="173">
        <v>5.5571724514187366E-4</v>
      </c>
      <c r="W150" s="173">
        <v>1.2793739158844204E-4</v>
      </c>
      <c r="X150" s="174">
        <f t="shared" si="16"/>
        <v>3.530692465255591E-4</v>
      </c>
      <c r="Y150" s="187">
        <f t="shared" si="17"/>
        <v>3.0458347301438676E-2</v>
      </c>
      <c r="AA150" s="144">
        <f t="shared" si="18"/>
        <v>0.34804699779699999</v>
      </c>
      <c r="AB150" s="145">
        <f t="shared" si="19"/>
        <v>3.4592383584306836E-4</v>
      </c>
      <c r="AC150" s="145">
        <f t="shared" si="20"/>
        <v>4.0942468891284742E-5</v>
      </c>
      <c r="AD150" s="145">
        <f t="shared" si="23"/>
        <v>3.530692465255591E-4</v>
      </c>
      <c r="AE150" s="146">
        <f t="shared" si="21"/>
        <v>15.571393661101402</v>
      </c>
      <c r="AF150" s="146">
        <f t="shared" si="22"/>
        <v>1.5184827015469272E-5</v>
      </c>
      <c r="AI150" s="184"/>
      <c r="AJ150" s="184"/>
    </row>
    <row r="151" spans="9:36" x14ac:dyDescent="0.25">
      <c r="I151" s="126">
        <v>3.51527467775E-2</v>
      </c>
      <c r="J151" s="50">
        <v>2.9153904071600419E-4</v>
      </c>
      <c r="K151" s="50">
        <v>4.0708558077596536E-5</v>
      </c>
      <c r="L151" s="67">
        <v>5.3727841735560459E-4</v>
      </c>
      <c r="N151" s="18">
        <v>-1.5237322555510463E-6</v>
      </c>
      <c r="O151" s="18">
        <v>6.9695445957993245E-11</v>
      </c>
      <c r="P151" s="18">
        <v>2.157873879955776E-8</v>
      </c>
      <c r="Q151" s="28">
        <v>2.1601746947148919</v>
      </c>
      <c r="R151" s="61">
        <v>285.56393661101401</v>
      </c>
      <c r="S151" s="58">
        <v>1.9402525302407732E-7</v>
      </c>
      <c r="U151" s="173">
        <v>1.9269507165953583E-4</v>
      </c>
      <c r="V151" s="173">
        <v>5.3727841735560459E-4</v>
      </c>
      <c r="W151" s="173">
        <v>7.5651008709526262E-5</v>
      </c>
      <c r="X151" s="174">
        <f t="shared" si="16"/>
        <v>3.3572572877006783E-4</v>
      </c>
      <c r="Y151" s="187">
        <f t="shared" si="17"/>
        <v>1.1781795016187306</v>
      </c>
      <c r="AA151" s="144">
        <f t="shared" si="18"/>
        <v>0.35152746777499999</v>
      </c>
      <c r="AB151" s="145">
        <f t="shared" si="19"/>
        <v>2.9153904071600419E-4</v>
      </c>
      <c r="AC151" s="145">
        <f t="shared" si="20"/>
        <v>4.0708558077596536E-5</v>
      </c>
      <c r="AD151" s="145">
        <f t="shared" si="23"/>
        <v>3.3572572877006783E-4</v>
      </c>
      <c r="AE151" s="146">
        <f t="shared" si="21"/>
        <v>15.571393661101402</v>
      </c>
      <c r="AF151" s="146">
        <f t="shared" si="22"/>
        <v>1.9402525302407731E-5</v>
      </c>
      <c r="AI151" s="184"/>
      <c r="AJ151" s="184"/>
    </row>
    <row r="152" spans="9:36" x14ac:dyDescent="0.25">
      <c r="I152" s="126">
        <v>3.5504274245200002E-2</v>
      </c>
      <c r="J152" s="50">
        <v>3.7418079585078604E-4</v>
      </c>
      <c r="K152" s="50">
        <v>4.6588296269896395E-5</v>
      </c>
      <c r="L152" s="67">
        <v>4.967178000171049E-4</v>
      </c>
      <c r="N152" s="18">
        <v>-1.5679587690411985E-6</v>
      </c>
      <c r="O152" s="18">
        <v>7.7183371423126858E-11</v>
      </c>
      <c r="P152" s="18">
        <v>2.4150636086912359E-8</v>
      </c>
      <c r="Q152" s="28">
        <v>2.1238874184932852</v>
      </c>
      <c r="R152" s="61">
        <v>288.85603248497563</v>
      </c>
      <c r="S152" s="58">
        <v>1.9402525302407732E-7</v>
      </c>
      <c r="U152" s="173">
        <v>2.2595113903390224E-4</v>
      </c>
      <c r="V152" s="173">
        <v>4.967178000171049E-4</v>
      </c>
      <c r="W152" s="173">
        <v>5.8552993451726832E-5</v>
      </c>
      <c r="X152" s="174">
        <f t="shared" si="16"/>
        <v>3.1948493312995973E-4</v>
      </c>
      <c r="Y152" s="187">
        <f t="shared" si="17"/>
        <v>1.3783366255306482</v>
      </c>
      <c r="AA152" s="144">
        <f t="shared" si="18"/>
        <v>0.35504274245200002</v>
      </c>
      <c r="AB152" s="145">
        <f t="shared" si="19"/>
        <v>3.7418079585078604E-4</v>
      </c>
      <c r="AC152" s="145">
        <f t="shared" si="20"/>
        <v>4.6588296269896395E-5</v>
      </c>
      <c r="AD152" s="145">
        <f t="shared" si="23"/>
        <v>3.1948493312995973E-4</v>
      </c>
      <c r="AE152" s="146">
        <f t="shared" si="21"/>
        <v>15.900603248497564</v>
      </c>
      <c r="AF152" s="146">
        <f t="shared" si="22"/>
        <v>1.9402525302407731E-5</v>
      </c>
      <c r="AI152" s="184"/>
      <c r="AJ152" s="184"/>
    </row>
    <row r="153" spans="9:36" x14ac:dyDescent="0.25">
      <c r="I153" s="126">
        <v>3.58593169877E-2</v>
      </c>
      <c r="J153" s="50">
        <v>3.5478640741351438E-4</v>
      </c>
      <c r="K153" s="50">
        <v>4.2088941031588029E-5</v>
      </c>
      <c r="L153" s="67">
        <v>4.3696744129289087E-4</v>
      </c>
      <c r="N153" s="18">
        <v>-1.6121862464302162E-6</v>
      </c>
      <c r="O153" s="18">
        <v>8.4671460083245899E-11</v>
      </c>
      <c r="P153" s="18">
        <v>2.6722589427406388E-8</v>
      </c>
      <c r="Q153" s="28">
        <v>2.1238874184932852</v>
      </c>
      <c r="R153" s="61">
        <v>288.85603248497563</v>
      </c>
      <c r="S153" s="58">
        <v>2.3729995014694822E-7</v>
      </c>
      <c r="U153" s="173">
        <v>2.6765106075542596E-4</v>
      </c>
      <c r="V153" s="173">
        <v>4.3696744129289087E-4</v>
      </c>
      <c r="W153" s="173">
        <v>8.1345479858458837E-5</v>
      </c>
      <c r="X153" s="174">
        <f t="shared" si="16"/>
        <v>3.0573285579991663E-4</v>
      </c>
      <c r="Y153" s="187">
        <f t="shared" si="17"/>
        <v>1.3583288224687022</v>
      </c>
      <c r="AA153" s="144">
        <f t="shared" si="18"/>
        <v>0.35859316987700002</v>
      </c>
      <c r="AB153" s="145">
        <f t="shared" si="19"/>
        <v>3.5478640741351438E-4</v>
      </c>
      <c r="AC153" s="145">
        <f t="shared" si="20"/>
        <v>4.2088941031588029E-5</v>
      </c>
      <c r="AD153" s="145">
        <f t="shared" si="23"/>
        <v>3.0573285579991663E-4</v>
      </c>
      <c r="AE153" s="146">
        <f t="shared" si="21"/>
        <v>15.900603248497564</v>
      </c>
      <c r="AF153" s="146">
        <f t="shared" si="22"/>
        <v>2.372999501469482E-5</v>
      </c>
      <c r="AI153" s="184"/>
      <c r="AJ153" s="184"/>
    </row>
    <row r="154" spans="9:36" x14ac:dyDescent="0.25">
      <c r="I154" s="126">
        <v>3.6217910157600001E-2</v>
      </c>
      <c r="J154" s="50">
        <v>4.0824462572182851E-4</v>
      </c>
      <c r="K154" s="50">
        <v>4.5583757826596256E-5</v>
      </c>
      <c r="L154" s="67">
        <v>3.6305872196545154E-4</v>
      </c>
      <c r="N154" s="18">
        <v>-1.6564127599344501E-6</v>
      </c>
      <c r="O154" s="18">
        <v>9.2159385547724243E-11</v>
      </c>
      <c r="P154" s="18">
        <v>2.9294486714844225E-8</v>
      </c>
      <c r="Q154" s="28">
        <v>2.1601746947148919</v>
      </c>
      <c r="R154" s="61">
        <v>291.69877554932185</v>
      </c>
      <c r="S154" s="58">
        <v>2.3729995014694822E-7</v>
      </c>
      <c r="U154" s="173">
        <v>3.1222704461953278E-4</v>
      </c>
      <c r="V154" s="173">
        <v>3.6305872196545154E-4</v>
      </c>
      <c r="W154" s="173">
        <v>1.4531664750274423E-4</v>
      </c>
      <c r="X154" s="174">
        <f t="shared" si="16"/>
        <v>2.9591528401329503E-4</v>
      </c>
      <c r="Y154" s="187">
        <f t="shared" si="17"/>
        <v>6.0724811910288592</v>
      </c>
      <c r="AA154" s="144">
        <f t="shared" si="18"/>
        <v>0.36217910157600003</v>
      </c>
      <c r="AB154" s="145">
        <f t="shared" si="19"/>
        <v>4.0824462572182851E-4</v>
      </c>
      <c r="AC154" s="145">
        <f t="shared" si="20"/>
        <v>4.5583757826596256E-5</v>
      </c>
      <c r="AD154" s="145">
        <f t="shared" si="23"/>
        <v>2.9591528401329503E-4</v>
      </c>
      <c r="AE154" s="146">
        <f t="shared" si="21"/>
        <v>16.184877554932186</v>
      </c>
      <c r="AF154" s="146">
        <f t="shared" si="22"/>
        <v>2.372999501469482E-5</v>
      </c>
      <c r="AI154" s="184"/>
      <c r="AJ154" s="184"/>
    </row>
    <row r="155" spans="9:36" x14ac:dyDescent="0.25">
      <c r="I155" s="126">
        <v>3.6580089259100002E-2</v>
      </c>
      <c r="J155" s="50">
        <v>3.7907441226906174E-4</v>
      </c>
      <c r="K155" s="50">
        <v>4.5123270747432911E-5</v>
      </c>
      <c r="L155" s="67">
        <v>2.8172893921276027E-4</v>
      </c>
      <c r="N155" s="18">
        <v>-1.7006306231907047E-6</v>
      </c>
      <c r="O155" s="18">
        <v>9.9645846449150264E-11</v>
      </c>
      <c r="P155" s="18">
        <v>3.1865880965232925E-8</v>
      </c>
      <c r="Q155" s="28">
        <v>2.2366481786536836</v>
      </c>
      <c r="R155" s="61">
        <v>291.69877554932185</v>
      </c>
      <c r="S155" s="58">
        <v>2.8111684452579068E-7</v>
      </c>
      <c r="U155" s="173">
        <v>3.5403004772259229E-4</v>
      </c>
      <c r="V155" s="173">
        <v>2.8172893921276027E-4</v>
      </c>
      <c r="W155" s="173">
        <v>2.4805277024189898E-4</v>
      </c>
      <c r="X155" s="174">
        <f t="shared" si="16"/>
        <v>2.9138517409750298E-4</v>
      </c>
      <c r="Y155" s="187">
        <f t="shared" si="17"/>
        <v>3.7765170553898044</v>
      </c>
      <c r="AA155" s="144">
        <f t="shared" si="18"/>
        <v>0.36580089259100002</v>
      </c>
      <c r="AB155" s="145">
        <f t="shared" si="19"/>
        <v>3.7907441226906174E-4</v>
      </c>
      <c r="AC155" s="145">
        <f t="shared" si="20"/>
        <v>4.5123270747432911E-5</v>
      </c>
      <c r="AD155" s="145">
        <f t="shared" si="23"/>
        <v>2.9138517409750298E-4</v>
      </c>
      <c r="AE155" s="146">
        <f t="shared" si="21"/>
        <v>16.184877554932186</v>
      </c>
      <c r="AF155" s="146">
        <f t="shared" si="22"/>
        <v>2.8111684452579069E-5</v>
      </c>
      <c r="AI155" s="184"/>
      <c r="AJ155" s="184"/>
    </row>
    <row r="156" spans="9:36" x14ac:dyDescent="0.25">
      <c r="I156" s="126">
        <v>3.6945890151700002E-2</v>
      </c>
      <c r="J156" s="50">
        <v>4.4224083048904201E-4</v>
      </c>
      <c r="K156" s="50">
        <v>5.0998465875192972E-5</v>
      </c>
      <c r="L156" s="67">
        <v>2.0085285477688936E-4</v>
      </c>
      <c r="N156" s="18">
        <v>-1.7448109995061589E-6</v>
      </c>
      <c r="O156" s="18">
        <v>1.0712596048877693E-10</v>
      </c>
      <c r="P156" s="18">
        <v>3.4435095242792191E-8</v>
      </c>
      <c r="Q156" s="28">
        <v>2.3622274222565238</v>
      </c>
      <c r="R156" s="61">
        <v>294.25253388934556</v>
      </c>
      <c r="S156" s="58">
        <v>2.8111684452579068E-7</v>
      </c>
      <c r="U156" s="173">
        <v>3.8781123849811715E-4</v>
      </c>
      <c r="V156" s="173">
        <v>2.0085285477688936E-4</v>
      </c>
      <c r="W156" s="173">
        <v>3.8349979253401973E-4</v>
      </c>
      <c r="X156" s="174">
        <f t="shared" si="16"/>
        <v>2.9325418514647889E-4</v>
      </c>
      <c r="Y156" s="187">
        <f t="shared" si="17"/>
        <v>8.5345466983639291</v>
      </c>
      <c r="AA156" s="144">
        <f t="shared" si="18"/>
        <v>0.369458901517</v>
      </c>
      <c r="AB156" s="145">
        <f t="shared" si="19"/>
        <v>4.4224083048904201E-4</v>
      </c>
      <c r="AC156" s="145">
        <f t="shared" si="20"/>
        <v>5.0998465875192972E-5</v>
      </c>
      <c r="AD156" s="145">
        <f t="shared" si="23"/>
        <v>2.9325418514647889E-4</v>
      </c>
      <c r="AE156" s="146">
        <f t="shared" si="21"/>
        <v>16.440253388934558</v>
      </c>
      <c r="AF156" s="146">
        <f t="shared" si="22"/>
        <v>2.8111684452579069E-5</v>
      </c>
      <c r="AI156" s="184"/>
      <c r="AJ156" s="184"/>
    </row>
    <row r="157" spans="9:36" x14ac:dyDescent="0.25">
      <c r="I157" s="126">
        <v>3.7315349053300001E-2</v>
      </c>
      <c r="J157" s="50">
        <v>5.0267455507279691E-4</v>
      </c>
      <c r="K157" s="50">
        <v>5.4701263363757367E-5</v>
      </c>
      <c r="L157" s="67">
        <v>1.2874089318896939E-4</v>
      </c>
      <c r="N157" s="18">
        <v>-1.7888831560477655E-6</v>
      </c>
      <c r="O157" s="18">
        <v>1.1458775199377312E-10</v>
      </c>
      <c r="P157" s="18">
        <v>3.6998016232113474E-8</v>
      </c>
      <c r="Q157" s="28">
        <v>2.5537583400237032</v>
      </c>
      <c r="R157" s="61">
        <v>294.25253388934556</v>
      </c>
      <c r="S157" s="58">
        <v>3.2518900096686226E-7</v>
      </c>
      <c r="U157" s="173">
        <v>4.091822879178918E-4</v>
      </c>
      <c r="V157" s="173">
        <v>1.2874089318896939E-4</v>
      </c>
      <c r="W157" s="173">
        <v>5.4238732963935235E-4</v>
      </c>
      <c r="X157" s="174">
        <f t="shared" si="16"/>
        <v>3.0226285098379572E-4</v>
      </c>
      <c r="Y157" s="187">
        <f t="shared" si="17"/>
        <v>13.423057423702733</v>
      </c>
      <c r="AA157" s="144">
        <f t="shared" si="18"/>
        <v>0.37315349053300001</v>
      </c>
      <c r="AB157" s="145">
        <f t="shared" si="19"/>
        <v>5.0267455507279691E-4</v>
      </c>
      <c r="AC157" s="145">
        <f t="shared" si="20"/>
        <v>5.4701263363757367E-5</v>
      </c>
      <c r="AD157" s="145">
        <f t="shared" si="23"/>
        <v>3.0226285098379572E-4</v>
      </c>
      <c r="AE157" s="146">
        <f t="shared" si="21"/>
        <v>16.440253388934558</v>
      </c>
      <c r="AF157" s="146">
        <f t="shared" si="22"/>
        <v>3.2518900096686227E-5</v>
      </c>
      <c r="AI157" s="184"/>
      <c r="AJ157" s="184"/>
    </row>
    <row r="158" spans="9:36" x14ac:dyDescent="0.25">
      <c r="I158" s="126">
        <v>3.7688502543799997E-2</v>
      </c>
      <c r="J158" s="50">
        <v>6.2134663805992862E-4</v>
      </c>
      <c r="K158" s="50">
        <v>5.8278051223455389E-5</v>
      </c>
      <c r="L158" s="67">
        <v>7.3361652726623813E-5</v>
      </c>
      <c r="N158" s="18">
        <v>-1.8327000505623338E-6</v>
      </c>
      <c r="O158" s="18">
        <v>1.2200632545515566E-10</v>
      </c>
      <c r="P158" s="18">
        <v>3.9546093008103268E-8</v>
      </c>
      <c r="Q158" s="28">
        <v>2.8427430643462008</v>
      </c>
      <c r="R158" s="61">
        <v>296.61476131160208</v>
      </c>
      <c r="S158" s="58">
        <v>3.2518900096686226E-7</v>
      </c>
      <c r="U158" s="173">
        <v>4.1501556644460197E-4</v>
      </c>
      <c r="V158" s="173">
        <v>7.3361652726623813E-5</v>
      </c>
      <c r="W158" s="173">
        <v>7.1299001360510428E-4</v>
      </c>
      <c r="X158" s="174">
        <f t="shared" si="16"/>
        <v>3.1868222137573847E-4</v>
      </c>
      <c r="Y158" s="187">
        <f t="shared" si="17"/>
        <v>26.971971302270614</v>
      </c>
      <c r="AA158" s="144">
        <f t="shared" si="18"/>
        <v>0.37688502543799995</v>
      </c>
      <c r="AB158" s="145">
        <f t="shared" si="19"/>
        <v>6.2134663805992862E-4</v>
      </c>
      <c r="AC158" s="145">
        <f t="shared" si="20"/>
        <v>5.8278051223455389E-5</v>
      </c>
      <c r="AD158" s="145">
        <f t="shared" si="23"/>
        <v>3.1868222137573847E-4</v>
      </c>
      <c r="AE158" s="146">
        <f t="shared" si="21"/>
        <v>16.676476131160207</v>
      </c>
      <c r="AF158" s="146">
        <f t="shared" si="22"/>
        <v>3.2518900096686227E-5</v>
      </c>
      <c r="AI158" s="184"/>
      <c r="AJ158" s="184"/>
    </row>
    <row r="159" spans="9:36" x14ac:dyDescent="0.25">
      <c r="I159" s="126">
        <v>3.8065387569199999E-2</v>
      </c>
      <c r="J159" s="50">
        <v>6.8336725736428293E-4</v>
      </c>
      <c r="K159" s="50">
        <v>5.8946127846803227E-5</v>
      </c>
      <c r="L159" s="67">
        <v>4.1558351954961327E-5</v>
      </c>
      <c r="N159" s="18">
        <v>-1.8759747478814721E-6</v>
      </c>
      <c r="O159" s="18">
        <v>1.293331002989062E-10</v>
      </c>
      <c r="P159" s="18">
        <v>4.2062639474901249E-8</v>
      </c>
      <c r="Q159" s="28">
        <v>3.2920958739615873</v>
      </c>
      <c r="R159" s="61">
        <v>296.61476131160208</v>
      </c>
      <c r="S159" s="58">
        <v>3.6936937720411694E-7</v>
      </c>
      <c r="U159" s="173">
        <v>4.0374787991740254E-4</v>
      </c>
      <c r="V159" s="173">
        <v>4.1558351954961327E-5</v>
      </c>
      <c r="W159" s="173">
        <v>8.8216316966943274E-4</v>
      </c>
      <c r="X159" s="174">
        <f t="shared" si="16"/>
        <v>3.4225693837418948E-4</v>
      </c>
      <c r="Y159" s="187">
        <f t="shared" si="17"/>
        <v>33.487224344281607</v>
      </c>
      <c r="AA159" s="144">
        <f t="shared" si="18"/>
        <v>0.38065387569199999</v>
      </c>
      <c r="AB159" s="145">
        <f t="shared" si="19"/>
        <v>6.8336725736428293E-4</v>
      </c>
      <c r="AC159" s="145">
        <f t="shared" si="20"/>
        <v>5.8946127846803227E-5</v>
      </c>
      <c r="AD159" s="145">
        <f t="shared" si="23"/>
        <v>3.4225693837418948E-4</v>
      </c>
      <c r="AE159" s="146">
        <f t="shared" si="21"/>
        <v>16.676476131160207</v>
      </c>
      <c r="AF159" s="146">
        <f t="shared" si="22"/>
        <v>3.6936937720411696E-5</v>
      </c>
      <c r="AI159" s="184"/>
      <c r="AJ159" s="184"/>
    </row>
    <row r="160" spans="9:36" x14ac:dyDescent="0.25">
      <c r="I160" s="126">
        <v>3.8446041444899999E-2</v>
      </c>
      <c r="J160" s="50">
        <v>8.146531905341163E-4</v>
      </c>
      <c r="K160" s="50">
        <v>6.6737073430777106E-5</v>
      </c>
      <c r="L160" s="70">
        <v>3.8334946486149502E-5</v>
      </c>
      <c r="M160" s="32"/>
      <c r="N160" s="18">
        <v>-1.9181517310656116E-6</v>
      </c>
      <c r="O160" s="18">
        <v>1.3647402276195582E-10</v>
      </c>
      <c r="P160" s="18">
        <v>4.4515350742559524E-8</v>
      </c>
      <c r="Q160" s="28">
        <v>4.0454058184610373</v>
      </c>
      <c r="R160" s="61">
        <v>298.85140949025578</v>
      </c>
      <c r="S160" s="58">
        <v>3.6936937720411694E-7</v>
      </c>
      <c r="U160" s="173">
        <v>3.7555716828098897E-4</v>
      </c>
      <c r="V160" s="173">
        <v>3.8334946486149502E-5</v>
      </c>
      <c r="W160" s="173">
        <v>1.0365564160822653E-3</v>
      </c>
      <c r="X160" s="174">
        <f t="shared" si="16"/>
        <v>3.7219586933388832E-4</v>
      </c>
      <c r="Y160" s="187">
        <f t="shared" si="17"/>
        <v>43.955017302546047</v>
      </c>
      <c r="AA160" s="144">
        <f t="shared" si="18"/>
        <v>0.38446041444899998</v>
      </c>
      <c r="AB160" s="145">
        <f t="shared" si="19"/>
        <v>8.146531905341163E-4</v>
      </c>
      <c r="AC160" s="145">
        <f t="shared" si="20"/>
        <v>6.6737073430777106E-5</v>
      </c>
      <c r="AD160" s="145">
        <f t="shared" si="23"/>
        <v>3.7219586933388832E-4</v>
      </c>
      <c r="AE160" s="146">
        <f t="shared" si="21"/>
        <v>16.900140949025577</v>
      </c>
      <c r="AF160" s="146">
        <f t="shared" si="22"/>
        <v>3.6936937720411696E-5</v>
      </c>
      <c r="AI160" s="184"/>
      <c r="AJ160" s="184"/>
    </row>
    <row r="161" spans="1:36" x14ac:dyDescent="0.25">
      <c r="I161" s="126">
        <v>3.8830501859399999E-2</v>
      </c>
      <c r="J161" s="50">
        <v>7.2528406852889683E-4</v>
      </c>
      <c r="K161" s="50">
        <v>6.0655874578814156E-5</v>
      </c>
      <c r="L161" s="70">
        <v>6.6286463155334677E-5</v>
      </c>
      <c r="M161" s="32"/>
      <c r="N161" s="18">
        <v>-1.9581166489658071E-6</v>
      </c>
      <c r="O161" s="18">
        <v>1.4324042366457999E-10</v>
      </c>
      <c r="P161" s="18">
        <v>4.6839424119731822E-8</v>
      </c>
      <c r="Q161" s="28">
        <v>5.5214655584257724</v>
      </c>
      <c r="R161" s="61">
        <v>298.85140949025578</v>
      </c>
      <c r="S161" s="58">
        <v>4.1358724039729343E-7</v>
      </c>
      <c r="U161" s="173">
        <v>3.323904622922602E-4</v>
      </c>
      <c r="V161" s="173">
        <v>6.6286463155334677E-5</v>
      </c>
      <c r="W161" s="173">
        <v>1.1638841777513438E-3</v>
      </c>
      <c r="X161" s="174">
        <f t="shared" si="16"/>
        <v>4.0721189158856837E-4</v>
      </c>
      <c r="Y161" s="187">
        <f t="shared" si="17"/>
        <v>27.498285987995533</v>
      </c>
      <c r="AA161" s="144">
        <f t="shared" si="18"/>
        <v>0.38830501859400002</v>
      </c>
      <c r="AB161" s="145">
        <f t="shared" si="19"/>
        <v>7.2528406852889683E-4</v>
      </c>
      <c r="AC161" s="145">
        <f t="shared" si="20"/>
        <v>6.0655874578814156E-5</v>
      </c>
      <c r="AD161" s="145">
        <f t="shared" si="23"/>
        <v>4.0721189158856837E-4</v>
      </c>
      <c r="AE161" s="146">
        <f t="shared" si="21"/>
        <v>16.900140949025577</v>
      </c>
      <c r="AF161" s="146">
        <f t="shared" si="22"/>
        <v>4.1358724039729342E-5</v>
      </c>
      <c r="AI161" s="184"/>
      <c r="AJ161" s="184"/>
    </row>
    <row r="162" spans="1:36" x14ac:dyDescent="0.25">
      <c r="I162" s="126">
        <v>3.9218806878000001E-2</v>
      </c>
      <c r="J162" s="50">
        <v>9.3629299950604501E-4</v>
      </c>
      <c r="K162" s="50">
        <v>6.9630100151482914E-5</v>
      </c>
      <c r="L162" s="70">
        <v>1.2523883193101026E-4</v>
      </c>
      <c r="M162" s="32"/>
      <c r="N162" s="18">
        <v>-1.9934353158174323E-6</v>
      </c>
      <c r="O162" s="18">
        <v>1.4922017443124328E-10</v>
      </c>
      <c r="P162" s="18">
        <v>4.8893304749122752E-8</v>
      </c>
      <c r="Q162" s="28">
        <v>9.9221469142188514</v>
      </c>
      <c r="R162" s="61">
        <v>301.01158418497067</v>
      </c>
      <c r="S162" s="58">
        <v>4.1358724039729343E-7</v>
      </c>
      <c r="U162" s="173">
        <v>2.7783292301538531E-4</v>
      </c>
      <c r="V162" s="173">
        <v>1.2523883193101026E-4</v>
      </c>
      <c r="W162" s="173">
        <v>1.2541197183537898E-3</v>
      </c>
      <c r="X162" s="174">
        <f t="shared" si="16"/>
        <v>4.4560757630779889E-4</v>
      </c>
      <c r="Y162" s="187">
        <f t="shared" si="17"/>
        <v>49.660635571161805</v>
      </c>
      <c r="AA162" s="144">
        <f t="shared" si="18"/>
        <v>0.39218806878000001</v>
      </c>
      <c r="AB162" s="145">
        <f t="shared" si="19"/>
        <v>9.3629299950604501E-4</v>
      </c>
      <c r="AC162" s="145">
        <f t="shared" si="20"/>
        <v>6.9630100151482914E-5</v>
      </c>
      <c r="AD162" s="145">
        <f t="shared" si="23"/>
        <v>4.4560757630779889E-4</v>
      </c>
      <c r="AE162" s="146">
        <f t="shared" si="21"/>
        <v>17.116158418497069</v>
      </c>
      <c r="AF162" s="146">
        <f t="shared" si="22"/>
        <v>4.1358724039729342E-5</v>
      </c>
      <c r="AI162" s="184"/>
      <c r="AJ162" s="184"/>
    </row>
    <row r="163" spans="1:36" x14ac:dyDescent="0.25">
      <c r="I163" s="126">
        <v>3.96109949467E-2</v>
      </c>
      <c r="J163" s="50">
        <v>9.3338619840105559E-4</v>
      </c>
      <c r="K163" s="50">
        <v>6.6973991492875578E-5</v>
      </c>
      <c r="L163" s="70">
        <v>2.1214627327795414E-4</v>
      </c>
      <c r="M163" s="32"/>
      <c r="N163" s="18">
        <v>-2.01784942469794E-6</v>
      </c>
      <c r="O163" s="18">
        <v>1.5335368959686868E-10</v>
      </c>
      <c r="P163" s="18">
        <v>5.0313054128220108E-8</v>
      </c>
      <c r="Q163" s="28">
        <v>13.324728933252164</v>
      </c>
      <c r="R163" s="61">
        <v>301.01158418497067</v>
      </c>
      <c r="S163" s="58">
        <v>4.5781375384921078E-7</v>
      </c>
      <c r="U163" s="173">
        <v>2.168212718548888E-4</v>
      </c>
      <c r="V163" s="173">
        <v>2.1214627327795414E-4</v>
      </c>
      <c r="W163" s="173">
        <v>1.300481337989295E-3</v>
      </c>
      <c r="X163" s="174">
        <f t="shared" si="16"/>
        <v>4.8539878910002301E-4</v>
      </c>
      <c r="Y163" s="187">
        <f t="shared" si="17"/>
        <v>44.742397447896586</v>
      </c>
      <c r="AA163" s="144">
        <f t="shared" si="18"/>
        <v>0.39610994946700001</v>
      </c>
      <c r="AB163" s="145">
        <f t="shared" si="19"/>
        <v>9.3338619840105559E-4</v>
      </c>
      <c r="AC163" s="145">
        <f t="shared" si="20"/>
        <v>6.6973991492875578E-5</v>
      </c>
      <c r="AD163" s="145">
        <f t="shared" si="23"/>
        <v>4.8539878910002301E-4</v>
      </c>
      <c r="AE163" s="146">
        <f t="shared" si="21"/>
        <v>17.116158418497069</v>
      </c>
      <c r="AF163" s="146">
        <f t="shared" si="22"/>
        <v>4.5781375384921079E-5</v>
      </c>
      <c r="AI163" s="184"/>
      <c r="AJ163" s="184"/>
    </row>
    <row r="164" spans="1:36" x14ac:dyDescent="0.25">
      <c r="I164" s="126">
        <v>4.0007104896199998E-2</v>
      </c>
      <c r="J164" s="50">
        <v>1.04317116123202E-3</v>
      </c>
      <c r="K164" s="50">
        <v>7.2499233708581023E-5</v>
      </c>
      <c r="L164" s="70">
        <v>3.2127028331820344E-4</v>
      </c>
      <c r="M164" s="32"/>
      <c r="N164" s="18">
        <v>-2.0212236455268171E-6</v>
      </c>
      <c r="O164" s="18">
        <v>1.5392478902457413E-10</v>
      </c>
      <c r="P164" s="18">
        <v>5.0509229893400778E-8</v>
      </c>
      <c r="Q164" s="28">
        <v>92.467000830792756</v>
      </c>
      <c r="R164" s="61">
        <v>303.13547160346394</v>
      </c>
      <c r="S164" s="58">
        <v>4.5781375384921078E-7</v>
      </c>
      <c r="U164" s="173">
        <v>1.5521936578892373E-4</v>
      </c>
      <c r="V164" s="173">
        <v>3.2127028331820344E-4</v>
      </c>
      <c r="W164" s="173">
        <v>1.3000965717915734E-3</v>
      </c>
      <c r="X164" s="174">
        <f t="shared" si="16"/>
        <v>5.2446412605422596E-4</v>
      </c>
      <c r="Y164" s="187">
        <f t="shared" si="17"/>
        <v>51.189094135286211</v>
      </c>
      <c r="AA164" s="144">
        <f t="shared" si="18"/>
        <v>0.40007104896199996</v>
      </c>
      <c r="AB164" s="145">
        <f t="shared" si="19"/>
        <v>1.04317116123202E-3</v>
      </c>
      <c r="AC164" s="145">
        <f t="shared" si="20"/>
        <v>7.2499233708581023E-5</v>
      </c>
      <c r="AD164" s="145">
        <f t="shared" si="23"/>
        <v>5.2446412605422596E-4</v>
      </c>
      <c r="AE164" s="146">
        <f t="shared" si="21"/>
        <v>17.328547160346396</v>
      </c>
      <c r="AF164" s="146">
        <f t="shared" si="22"/>
        <v>4.5781375384921079E-5</v>
      </c>
      <c r="AI164" s="184"/>
      <c r="AJ164" s="184"/>
    </row>
    <row r="165" spans="1:36" x14ac:dyDescent="0.25">
      <c r="I165" s="126">
        <v>4.0407175945199998E-2</v>
      </c>
      <c r="J165" s="50">
        <v>1.1584908644138245E-3</v>
      </c>
      <c r="K165" s="50">
        <v>7.5634901581577734E-5</v>
      </c>
      <c r="L165" s="70">
        <v>4.446356259198764E-4</v>
      </c>
      <c r="M165" s="32"/>
      <c r="N165" s="18">
        <v>-2.017886602188888E-6</v>
      </c>
      <c r="O165" s="18">
        <v>1.5335188647710316E-10</v>
      </c>
      <c r="P165" s="18">
        <v>5.031325618188777E-8</v>
      </c>
      <c r="Q165" s="28">
        <v>13.324728933252164</v>
      </c>
      <c r="R165" s="61">
        <v>303.13547160346394</v>
      </c>
      <c r="S165" s="58">
        <v>5.0204123119388497E-7</v>
      </c>
      <c r="U165" s="173">
        <v>9.928783999846842E-5</v>
      </c>
      <c r="V165" s="173">
        <v>4.446356259198764E-4</v>
      </c>
      <c r="W165" s="173">
        <v>1.2542616578641492E-3</v>
      </c>
      <c r="X165" s="174">
        <f t="shared" si="16"/>
        <v>5.6070518742559262E-4</v>
      </c>
      <c r="Y165" s="187">
        <f t="shared" si="17"/>
        <v>62.466405765436321</v>
      </c>
      <c r="AA165" s="144">
        <f t="shared" si="18"/>
        <v>0.40407175945199997</v>
      </c>
      <c r="AB165" s="145">
        <f t="shared" si="19"/>
        <v>1.1584908644138245E-3</v>
      </c>
      <c r="AC165" s="145">
        <f t="shared" si="20"/>
        <v>7.5634901581577734E-5</v>
      </c>
      <c r="AD165" s="145">
        <f t="shared" si="23"/>
        <v>5.6070518742559262E-4</v>
      </c>
      <c r="AE165" s="146">
        <f t="shared" si="21"/>
        <v>17.328547160346396</v>
      </c>
      <c r="AF165" s="146">
        <f t="shared" si="22"/>
        <v>5.02041231193885E-5</v>
      </c>
      <c r="AI165" s="184"/>
      <c r="AJ165" s="184"/>
    </row>
    <row r="166" spans="1:36" x14ac:dyDescent="0.25">
      <c r="I166" s="126">
        <v>4.0811247704599998E-2</v>
      </c>
      <c r="J166" s="50">
        <v>9.9613481462012296E-4</v>
      </c>
      <c r="K166" s="50">
        <v>7.1485225689685918E-5</v>
      </c>
      <c r="L166" s="70">
        <v>5.7272848359322254E-4</v>
      </c>
      <c r="M166" s="32"/>
      <c r="N166" s="18">
        <v>-1.9935161605649619E-6</v>
      </c>
      <c r="O166" s="18">
        <v>1.4921692878079068E-10</v>
      </c>
      <c r="P166" s="18">
        <v>4.8893907586330157E-8</v>
      </c>
      <c r="Q166" s="28">
        <v>9.9221469142188514</v>
      </c>
      <c r="R166" s="61">
        <v>305.25935902195721</v>
      </c>
      <c r="S166" s="58">
        <v>5.0204123119388497E-7</v>
      </c>
      <c r="U166" s="173">
        <v>5.5092201350801701E-5</v>
      </c>
      <c r="V166" s="173">
        <v>5.7272848359322254E-4</v>
      </c>
      <c r="W166" s="173">
        <v>1.1682566711756263E-3</v>
      </c>
      <c r="X166" s="174">
        <f t="shared" si="16"/>
        <v>5.9220145992821822E-4</v>
      </c>
      <c r="Y166" s="187">
        <f t="shared" si="17"/>
        <v>31.929112531925355</v>
      </c>
      <c r="AA166" s="144">
        <f t="shared" si="18"/>
        <v>0.40811247704599996</v>
      </c>
      <c r="AB166" s="145">
        <f t="shared" si="19"/>
        <v>9.9613481462012296E-4</v>
      </c>
      <c r="AC166" s="145">
        <f t="shared" si="20"/>
        <v>7.1485225689685918E-5</v>
      </c>
      <c r="AD166" s="145">
        <f t="shared" si="23"/>
        <v>5.9220145992821822E-4</v>
      </c>
      <c r="AE166" s="146">
        <f t="shared" si="21"/>
        <v>17.54093590219572</v>
      </c>
      <c r="AF166" s="146">
        <f t="shared" si="22"/>
        <v>5.02041231193885E-5</v>
      </c>
      <c r="AI166" s="184"/>
      <c r="AJ166" s="184"/>
    </row>
    <row r="167" spans="1:36" x14ac:dyDescent="0.25">
      <c r="I167" s="126">
        <v>4.1219360181699999E-2</v>
      </c>
      <c r="J167" s="50">
        <v>1.1397344913549742E-3</v>
      </c>
      <c r="K167" s="50">
        <v>7.2273985082769917E-5</v>
      </c>
      <c r="L167" s="70">
        <v>6.9537350302279551E-4</v>
      </c>
      <c r="M167" s="32"/>
      <c r="N167" s="18">
        <v>-1.9582534608499172E-6</v>
      </c>
      <c r="O167" s="18">
        <v>1.4323643746623065E-10</v>
      </c>
      <c r="P167" s="18">
        <v>4.6840808882052883E-8</v>
      </c>
      <c r="Q167" s="28">
        <v>5.5214655584257724</v>
      </c>
      <c r="R167" s="61">
        <v>305.25935902195721</v>
      </c>
      <c r="S167" s="58">
        <v>5.4626774464580233E-7</v>
      </c>
      <c r="U167" s="173">
        <v>2.7903024542168171E-5</v>
      </c>
      <c r="V167" s="173">
        <v>6.9537350302279551E-4</v>
      </c>
      <c r="W167" s="173">
        <v>1.0507274149190763E-3</v>
      </c>
      <c r="X167" s="174">
        <f t="shared" si="16"/>
        <v>6.1734436137670886E-4</v>
      </c>
      <c r="Y167" s="187">
        <f t="shared" si="17"/>
        <v>52.242737063674497</v>
      </c>
      <c r="AA167" s="144">
        <f t="shared" si="18"/>
        <v>0.41219360181699999</v>
      </c>
      <c r="AB167" s="145">
        <f t="shared" si="19"/>
        <v>1.1397344913549742E-3</v>
      </c>
      <c r="AC167" s="145">
        <f t="shared" si="20"/>
        <v>7.2273985082769917E-5</v>
      </c>
      <c r="AD167" s="145">
        <f t="shared" si="23"/>
        <v>6.1734436137670886E-4</v>
      </c>
      <c r="AE167" s="146">
        <f t="shared" si="21"/>
        <v>17.54093590219572</v>
      </c>
      <c r="AF167" s="146">
        <f t="shared" si="22"/>
        <v>5.462677446458023E-5</v>
      </c>
      <c r="AI167" s="184"/>
      <c r="AJ167" s="184"/>
    </row>
    <row r="168" spans="1:36" x14ac:dyDescent="0.25">
      <c r="I168" s="126">
        <v>4.1631553783500003E-2</v>
      </c>
      <c r="J168" s="50">
        <v>1.1559718494716796E-3</v>
      </c>
      <c r="K168" s="50">
        <v>7.5087754854441359E-5</v>
      </c>
      <c r="L168" s="70">
        <v>8.0270341003347504E-4</v>
      </c>
      <c r="M168" s="32"/>
      <c r="N168" s="18">
        <v>-1.9183445340556415E-6</v>
      </c>
      <c r="O168" s="18">
        <v>1.364705532409826E-10</v>
      </c>
      <c r="P168" s="18">
        <v>4.4517822137852506E-8</v>
      </c>
      <c r="Q168" s="28">
        <v>4.0454058184610373</v>
      </c>
      <c r="R168" s="61">
        <v>307.41953371667211</v>
      </c>
      <c r="S168" s="58">
        <v>5.4626774464580233E-7</v>
      </c>
      <c r="U168" s="173">
        <v>2.1646595210500007E-5</v>
      </c>
      <c r="V168" s="173">
        <v>8.0270341003347504E-4</v>
      </c>
      <c r="W168" s="173">
        <v>9.1269790392252187E-4</v>
      </c>
      <c r="X168" s="174">
        <f t="shared" si="16"/>
        <v>6.3493782979999296E-4</v>
      </c>
      <c r="Y168" s="187">
        <f t="shared" si="17"/>
        <v>48.149737400653876</v>
      </c>
      <c r="AA168" s="144">
        <f t="shared" si="18"/>
        <v>0.41631553783500003</v>
      </c>
      <c r="AB168" s="145">
        <f t="shared" si="19"/>
        <v>1.1559718494716796E-3</v>
      </c>
      <c r="AC168" s="145">
        <f t="shared" si="20"/>
        <v>7.5087754854441359E-5</v>
      </c>
      <c r="AD168" s="145">
        <f t="shared" si="23"/>
        <v>6.3493782979999296E-4</v>
      </c>
      <c r="AE168" s="146">
        <f t="shared" si="21"/>
        <v>17.756953371667212</v>
      </c>
      <c r="AF168" s="146">
        <f t="shared" si="22"/>
        <v>5.462677446458023E-5</v>
      </c>
      <c r="AI168" s="184"/>
      <c r="AJ168" s="184"/>
    </row>
    <row r="169" spans="1:36" x14ac:dyDescent="0.25">
      <c r="I169" s="126">
        <v>4.2047869321300002E-2</v>
      </c>
      <c r="J169" s="50">
        <v>1.1388898233273149E-3</v>
      </c>
      <c r="K169" s="50">
        <v>7.3112428470609972E-5</v>
      </c>
      <c r="L169" s="70">
        <v>8.8612026911282231E-4</v>
      </c>
      <c r="M169" s="32"/>
      <c r="N169" s="18">
        <v>-1.8762279870235307E-6</v>
      </c>
      <c r="O169" s="18">
        <v>1.2933119639989462E-10</v>
      </c>
      <c r="P169" s="18">
        <v>4.2066527725678074E-8</v>
      </c>
      <c r="Q169" s="28">
        <v>3.2920958739615873</v>
      </c>
      <c r="R169" s="61">
        <v>307.41953371667211</v>
      </c>
      <c r="S169" s="58">
        <v>5.9048560783897882E-7</v>
      </c>
      <c r="U169" s="173">
        <v>3.8463390203780204E-5</v>
      </c>
      <c r="V169" s="173">
        <v>8.8612026911282231E-4</v>
      </c>
      <c r="W169" s="173">
        <v>7.6632553212973447E-4</v>
      </c>
      <c r="X169" s="174">
        <f t="shared" si="16"/>
        <v>6.4425736513978979E-4</v>
      </c>
      <c r="Y169" s="187">
        <f t="shared" si="17"/>
        <v>45.770199402564444</v>
      </c>
      <c r="AA169" s="144">
        <f t="shared" si="18"/>
        <v>0.42047869321300002</v>
      </c>
      <c r="AB169" s="145">
        <f t="shared" si="19"/>
        <v>1.1388898233273149E-3</v>
      </c>
      <c r="AC169" s="145">
        <f t="shared" si="20"/>
        <v>7.3112428470609972E-5</v>
      </c>
      <c r="AD169" s="145">
        <f t="shared" si="23"/>
        <v>6.4425736513978979E-4</v>
      </c>
      <c r="AE169" s="146">
        <f t="shared" si="21"/>
        <v>17.756953371667212</v>
      </c>
      <c r="AF169" s="146">
        <f t="shared" si="22"/>
        <v>5.9048560783897883E-5</v>
      </c>
      <c r="AI169" s="184"/>
      <c r="AJ169" s="184"/>
    </row>
    <row r="170" spans="1:36" x14ac:dyDescent="0.25">
      <c r="I170" s="126">
        <v>4.2468348014500001E-2</v>
      </c>
      <c r="J170" s="50">
        <v>1.1360377875568391E-3</v>
      </c>
      <c r="K170" s="50">
        <v>7.4979747210615486E-5</v>
      </c>
      <c r="L170" s="70">
        <v>9.3914361896416663E-4</v>
      </c>
      <c r="M170" s="32"/>
      <c r="N170" s="18">
        <v>-1.8330197965719432E-6</v>
      </c>
      <c r="O170" s="18">
        <v>1.2200699032182129E-10</v>
      </c>
      <c r="P170" s="18">
        <v>3.9551745170173251E-8</v>
      </c>
      <c r="Q170" s="28">
        <v>2.8427430643462008</v>
      </c>
      <c r="R170" s="61">
        <v>309.6561818953258</v>
      </c>
      <c r="S170" s="58">
        <v>5.9048560783897882E-7</v>
      </c>
      <c r="U170" s="173">
        <v>7.8424629757009053E-5</v>
      </c>
      <c r="V170" s="173">
        <v>9.3914361896416663E-4</v>
      </c>
      <c r="W170" s="173">
        <v>6.235479038792101E-4</v>
      </c>
      <c r="X170" s="174">
        <f t="shared" si="16"/>
        <v>6.4506494289113809E-4</v>
      </c>
      <c r="Y170" s="187">
        <f t="shared" si="17"/>
        <v>42.877257639499497</v>
      </c>
      <c r="AA170" s="144">
        <f t="shared" si="18"/>
        <v>0.42468348014500001</v>
      </c>
      <c r="AB170" s="145">
        <f t="shared" si="19"/>
        <v>1.1360377875568391E-3</v>
      </c>
      <c r="AC170" s="145">
        <f t="shared" si="20"/>
        <v>7.4979747210615486E-5</v>
      </c>
      <c r="AD170" s="145">
        <f t="shared" si="23"/>
        <v>6.4506494289113809E-4</v>
      </c>
      <c r="AE170" s="146">
        <f t="shared" si="21"/>
        <v>17.980618189532581</v>
      </c>
      <c r="AF170" s="146">
        <f t="shared" si="22"/>
        <v>5.9048560783897883E-5</v>
      </c>
      <c r="AI170" s="184"/>
      <c r="AJ170" s="184"/>
    </row>
    <row r="171" spans="1:36" x14ac:dyDescent="0.25">
      <c r="I171" s="126">
        <v>4.2893031494700001E-2</v>
      </c>
      <c r="J171" s="50">
        <v>1.0557698360441892E-3</v>
      </c>
      <c r="K171" s="50">
        <v>7.0346623705730543E-5</v>
      </c>
      <c r="L171" s="70">
        <v>9.5804882061288155E-4</v>
      </c>
      <c r="M171" s="32"/>
      <c r="N171" s="18">
        <v>-1.7892767091630781E-6</v>
      </c>
      <c r="O171" s="18">
        <v>1.1459199880402567E-10</v>
      </c>
      <c r="P171" s="18">
        <v>3.7005802905460006E-8</v>
      </c>
      <c r="Q171" s="28">
        <v>2.5537583400237032</v>
      </c>
      <c r="R171" s="61">
        <v>309.6561818953258</v>
      </c>
      <c r="S171" s="58">
        <v>6.3466598407623349E-7</v>
      </c>
      <c r="U171" s="173">
        <v>1.3944390721904088E-4</v>
      </c>
      <c r="V171" s="173">
        <v>9.5804882061288155E-4</v>
      </c>
      <c r="W171" s="173">
        <v>4.9478952369104174E-4</v>
      </c>
      <c r="X171" s="174">
        <f t="shared" si="16"/>
        <v>6.3758276803396144E-4</v>
      </c>
      <c r="Y171" s="187">
        <f t="shared" si="17"/>
        <v>35.339034559321618</v>
      </c>
      <c r="AA171" s="144">
        <f t="shared" si="18"/>
        <v>0.42893031494700001</v>
      </c>
      <c r="AB171" s="145">
        <f t="shared" si="19"/>
        <v>1.0557698360441892E-3</v>
      </c>
      <c r="AC171" s="145">
        <f t="shared" si="20"/>
        <v>7.0346623705730543E-5</v>
      </c>
      <c r="AD171" s="145">
        <f t="shared" si="23"/>
        <v>6.3758276803396144E-4</v>
      </c>
      <c r="AE171" s="146">
        <f t="shared" si="21"/>
        <v>17.980618189532581</v>
      </c>
      <c r="AF171" s="146">
        <f t="shared" si="22"/>
        <v>6.3466598407623345E-5</v>
      </c>
      <c r="AI171" s="184"/>
      <c r="AJ171" s="184"/>
    </row>
    <row r="172" spans="1:36" s="17" customFormat="1" x14ac:dyDescent="0.25">
      <c r="A172" s="65"/>
      <c r="B172" s="21"/>
      <c r="C172" s="21"/>
      <c r="D172" s="19"/>
      <c r="E172" s="19"/>
      <c r="F172" s="39"/>
      <c r="G172" s="39"/>
      <c r="H172" s="41"/>
      <c r="I172" s="126">
        <v>4.3321961809599997E-2</v>
      </c>
      <c r="J172" s="50">
        <v>1.0514037929423132E-3</v>
      </c>
      <c r="K172" s="50">
        <v>6.9237550349012485E-5</v>
      </c>
      <c r="L172" s="70">
        <v>9.4221888717070472E-4</v>
      </c>
      <c r="M172" s="32"/>
      <c r="N172" s="18">
        <v>-1.745286915856242E-6</v>
      </c>
      <c r="O172" s="18">
        <v>1.0713485216916475E-10</v>
      </c>
      <c r="P172" s="30">
        <v>3.4445420636817518E-8</v>
      </c>
      <c r="Q172" s="66">
        <v>2.3622274222565238</v>
      </c>
      <c r="R172" s="63">
        <v>312.01840931758233</v>
      </c>
      <c r="S172" s="62">
        <v>6.3466598407623349E-7</v>
      </c>
      <c r="T172" s="80"/>
      <c r="U172" s="173">
        <v>2.1740250601649208E-4</v>
      </c>
      <c r="V172" s="173">
        <v>9.4221888717070472E-4</v>
      </c>
      <c r="W172" s="173">
        <v>3.878935350267004E-4</v>
      </c>
      <c r="X172" s="174">
        <f t="shared" si="16"/>
        <v>6.2243345384615048E-4</v>
      </c>
      <c r="Y172" s="187">
        <f t="shared" si="17"/>
        <v>38.38584810368657</v>
      </c>
      <c r="AA172" s="144">
        <f t="shared" si="18"/>
        <v>0.43321961809599996</v>
      </c>
      <c r="AB172" s="145">
        <f t="shared" si="19"/>
        <v>1.0514037929423132E-3</v>
      </c>
      <c r="AC172" s="145">
        <f t="shared" si="20"/>
        <v>6.9237550349012485E-5</v>
      </c>
      <c r="AD172" s="145">
        <f t="shared" si="23"/>
        <v>6.2243345384615048E-4</v>
      </c>
      <c r="AE172" s="146">
        <f t="shared" si="21"/>
        <v>18.216840931758234</v>
      </c>
      <c r="AF172" s="146">
        <f t="shared" si="22"/>
        <v>6.3466598407623345E-5</v>
      </c>
      <c r="AG172" s="80"/>
      <c r="AH172" s="79"/>
      <c r="AI172" s="184"/>
      <c r="AJ172" s="184"/>
    </row>
    <row r="173" spans="1:36" x14ac:dyDescent="0.25">
      <c r="I173" s="126">
        <v>4.3755181427699998E-2</v>
      </c>
      <c r="J173" s="50">
        <v>9.2301952980436864E-4</v>
      </c>
      <c r="K173" s="50">
        <v>6.8432812925070763E-5</v>
      </c>
      <c r="L173" s="70">
        <v>8.9416332369637289E-4</v>
      </c>
      <c r="M173" s="32"/>
      <c r="N173" s="18">
        <v>-1.7011989189513582E-6</v>
      </c>
      <c r="O173" s="18">
        <v>9.9660533319360384E-11</v>
      </c>
      <c r="P173" s="18">
        <v>3.1879195516277013E-8</v>
      </c>
      <c r="Q173" s="28">
        <v>2.2366481786536836</v>
      </c>
      <c r="R173" s="61">
        <v>312.01840931758233</v>
      </c>
      <c r="S173" s="58">
        <v>6.7873814051730507E-7</v>
      </c>
      <c r="U173" s="173">
        <v>3.0648511368233736E-4</v>
      </c>
      <c r="V173" s="173">
        <v>8.9416332369637289E-4</v>
      </c>
      <c r="W173" s="173">
        <v>3.0741682886050245E-4</v>
      </c>
      <c r="X173" s="174">
        <f t="shared" si="16"/>
        <v>6.0055714748389634E-4</v>
      </c>
      <c r="Y173" s="187">
        <f t="shared" si="17"/>
        <v>22.203903560467285</v>
      </c>
      <c r="AA173" s="144">
        <f t="shared" si="18"/>
        <v>0.43755181427699996</v>
      </c>
      <c r="AB173" s="145">
        <f t="shared" si="19"/>
        <v>9.2301952980436864E-4</v>
      </c>
      <c r="AC173" s="145">
        <f t="shared" si="20"/>
        <v>6.8432812925070763E-5</v>
      </c>
      <c r="AD173" s="145">
        <f t="shared" si="23"/>
        <v>6.0055714748389634E-4</v>
      </c>
      <c r="AE173" s="146">
        <f t="shared" si="21"/>
        <v>18.216840931758234</v>
      </c>
      <c r="AF173" s="146">
        <f t="shared" si="22"/>
        <v>6.7873814051730503E-5</v>
      </c>
      <c r="AI173" s="184"/>
      <c r="AJ173" s="184"/>
    </row>
    <row r="174" spans="1:36" x14ac:dyDescent="0.25">
      <c r="I174" s="126">
        <v>4.4192733242000001E-2</v>
      </c>
      <c r="J174" s="50">
        <v>8.1889671259576023E-4</v>
      </c>
      <c r="K174" s="50">
        <v>6.2574421616344987E-5</v>
      </c>
      <c r="L174" s="70">
        <v>8.1919523001719734E-4</v>
      </c>
      <c r="M174" s="32"/>
      <c r="N174" s="18">
        <v>-1.6570852534291992E-6</v>
      </c>
      <c r="O174" s="18">
        <v>9.2181147112189119E-11</v>
      </c>
      <c r="P174" s="18">
        <v>2.931130307649726E-8</v>
      </c>
      <c r="Q174" s="28">
        <v>2.1601746947148919</v>
      </c>
      <c r="R174" s="61">
        <v>314.57216765760603</v>
      </c>
      <c r="S174" s="58">
        <v>6.7873814051730507E-7</v>
      </c>
      <c r="U174" s="173">
        <v>3.9969951983476366E-4</v>
      </c>
      <c r="V174" s="173">
        <v>8.1919523001719734E-4</v>
      </c>
      <c r="W174" s="173">
        <v>2.5437821106239714E-4</v>
      </c>
      <c r="X174" s="174">
        <f t="shared" si="16"/>
        <v>5.7311704773288887E-4</v>
      </c>
      <c r="Y174" s="187">
        <f t="shared" si="17"/>
        <v>15.427594214647327</v>
      </c>
      <c r="AA174" s="144">
        <f t="shared" si="18"/>
        <v>0.44192733242000004</v>
      </c>
      <c r="AB174" s="145">
        <f t="shared" si="19"/>
        <v>8.1889671259576023E-4</v>
      </c>
      <c r="AC174" s="145">
        <f t="shared" si="20"/>
        <v>6.2574421616344987E-5</v>
      </c>
      <c r="AD174" s="145">
        <f t="shared" si="23"/>
        <v>5.7311704773288887E-4</v>
      </c>
      <c r="AE174" s="146">
        <f t="shared" si="21"/>
        <v>18.472216765760603</v>
      </c>
      <c r="AF174" s="146">
        <f t="shared" si="22"/>
        <v>6.7873814051730503E-5</v>
      </c>
      <c r="AI174" s="184"/>
      <c r="AJ174" s="184"/>
    </row>
    <row r="175" spans="1:36" x14ac:dyDescent="0.25">
      <c r="I175" s="126">
        <v>4.4634660574399999E-2</v>
      </c>
      <c r="J175" s="50">
        <v>6.9485202119248541E-4</v>
      </c>
      <c r="K175" s="50">
        <v>5.5799413778875474E-5</v>
      </c>
      <c r="L175" s="70">
        <v>7.2479903532166241E-4</v>
      </c>
      <c r="M175" s="32"/>
      <c r="N175" s="18">
        <v>-1.6129770589353675E-6</v>
      </c>
      <c r="O175" s="18">
        <v>8.4701756338053227E-11</v>
      </c>
      <c r="P175" s="18">
        <v>2.6743503489430002E-8</v>
      </c>
      <c r="Q175" s="28">
        <v>2.1238874184932852</v>
      </c>
      <c r="R175" s="61">
        <v>314.57216765760603</v>
      </c>
      <c r="S175" s="58">
        <v>7.2255503489614754E-7</v>
      </c>
      <c r="U175" s="173">
        <v>4.8953219300117937E-4</v>
      </c>
      <c r="V175" s="173">
        <v>7.2479903532166241E-4</v>
      </c>
      <c r="W175" s="173">
        <v>2.2648498228090835E-4</v>
      </c>
      <c r="X175" s="174">
        <f t="shared" si="16"/>
        <v>5.4140381148135312E-4</v>
      </c>
      <c r="Y175" s="187">
        <f t="shared" si="17"/>
        <v>7.5624824372044674</v>
      </c>
      <c r="AA175" s="144">
        <f t="shared" si="18"/>
        <v>0.44634660574399998</v>
      </c>
      <c r="AB175" s="145">
        <f t="shared" si="19"/>
        <v>6.9485202119248541E-4</v>
      </c>
      <c r="AC175" s="145">
        <f t="shared" si="20"/>
        <v>5.5799413778875474E-5</v>
      </c>
      <c r="AD175" s="145">
        <f t="shared" si="23"/>
        <v>5.4140381148135312E-4</v>
      </c>
      <c r="AE175" s="146">
        <f t="shared" si="21"/>
        <v>18.472216765760603</v>
      </c>
      <c r="AF175" s="146">
        <f t="shared" si="22"/>
        <v>7.2255503489614752E-5</v>
      </c>
      <c r="AI175" s="184"/>
      <c r="AJ175" s="184"/>
    </row>
    <row r="176" spans="1:36" x14ac:dyDescent="0.25">
      <c r="I176" s="126">
        <v>4.50810071802E-2</v>
      </c>
      <c r="J176" s="50">
        <v>6.8672615521602289E-4</v>
      </c>
      <c r="K176" s="50">
        <v>5.9041841518563789E-5</v>
      </c>
      <c r="L176" s="70">
        <v>6.1976075499809173E-4</v>
      </c>
      <c r="M176" s="32"/>
      <c r="N176" s="18">
        <v>-1.5688850456541724E-6</v>
      </c>
      <c r="O176" s="18">
        <v>7.7223910435583864E-11</v>
      </c>
      <c r="P176" s="18">
        <v>2.4176355712073115E-8</v>
      </c>
      <c r="Q176" s="28">
        <v>2.1238874184932852</v>
      </c>
      <c r="R176" s="61">
        <v>317.41491072195225</v>
      </c>
      <c r="S176" s="58">
        <v>7.2255503489614754E-7</v>
      </c>
      <c r="U176" s="173">
        <v>5.6867406946129275E-4</v>
      </c>
      <c r="V176" s="173">
        <v>6.1976075499809173E-4</v>
      </c>
      <c r="W176" s="173">
        <v>2.1879266125494882E-4</v>
      </c>
      <c r="X176" s="174">
        <f t="shared" si="16"/>
        <v>5.067470601781063E-4</v>
      </c>
      <c r="Y176" s="187">
        <f t="shared" si="17"/>
        <v>9.2923238722624486</v>
      </c>
      <c r="AA176" s="144">
        <f t="shared" si="18"/>
        <v>0.450810071802</v>
      </c>
      <c r="AB176" s="145">
        <f t="shared" si="19"/>
        <v>6.8672615521602289E-4</v>
      </c>
      <c r="AC176" s="145">
        <f t="shared" si="20"/>
        <v>5.9041841518563789E-5</v>
      </c>
      <c r="AD176" s="145">
        <f t="shared" si="23"/>
        <v>5.067470601781063E-4</v>
      </c>
      <c r="AE176" s="146">
        <f t="shared" si="21"/>
        <v>18.756491072195224</v>
      </c>
      <c r="AF176" s="146">
        <f t="shared" si="22"/>
        <v>7.2255503489614752E-5</v>
      </c>
      <c r="AI176" s="184"/>
      <c r="AJ176" s="184"/>
    </row>
    <row r="177" spans="9:36" x14ac:dyDescent="0.25">
      <c r="I177" s="126">
        <v>4.5531817251999999E-2</v>
      </c>
      <c r="J177" s="50">
        <v>5.4036339834810079E-4</v>
      </c>
      <c r="K177" s="50">
        <v>5.212653749340577E-5</v>
      </c>
      <c r="L177" s="67">
        <v>5.1316518130807836E-4</v>
      </c>
      <c r="M177" s="33"/>
      <c r="N177" s="18">
        <v>-1.5248152191556915E-6</v>
      </c>
      <c r="O177" s="18">
        <v>6.9748277828612797E-11</v>
      </c>
      <c r="P177" s="18">
        <v>2.1610124666533065E-8</v>
      </c>
      <c r="Q177" s="28">
        <v>2.1601746947148919</v>
      </c>
      <c r="R177" s="61">
        <v>317.41491072195225</v>
      </c>
      <c r="S177" s="58">
        <v>7.6582973201901843E-7</v>
      </c>
      <c r="U177" s="173">
        <v>6.3073986288591339E-4</v>
      </c>
      <c r="V177" s="173">
        <v>5.1316518130807836E-4</v>
      </c>
      <c r="W177" s="173">
        <v>2.2468701157404877E-4</v>
      </c>
      <c r="X177" s="174">
        <f t="shared" si="16"/>
        <v>4.7043930926902972E-4</v>
      </c>
      <c r="Y177" s="187">
        <f t="shared" si="17"/>
        <v>1.7994338215834813</v>
      </c>
      <c r="AA177" s="144">
        <f t="shared" si="18"/>
        <v>0.45531817252000001</v>
      </c>
      <c r="AB177" s="145">
        <f t="shared" si="19"/>
        <v>5.4036339834810079E-4</v>
      </c>
      <c r="AC177" s="145">
        <f t="shared" si="20"/>
        <v>5.212653749340577E-5</v>
      </c>
      <c r="AD177" s="145">
        <f t="shared" si="23"/>
        <v>4.7043930926902972E-4</v>
      </c>
      <c r="AE177" s="146">
        <f t="shared" si="21"/>
        <v>18.756491072195224</v>
      </c>
      <c r="AF177" s="146">
        <f t="shared" si="22"/>
        <v>7.6582973201901844E-5</v>
      </c>
      <c r="AI177" s="184"/>
      <c r="AJ177" s="184"/>
    </row>
    <row r="178" spans="9:36" x14ac:dyDescent="0.25">
      <c r="I178" s="126">
        <v>4.5987135424500003E-2</v>
      </c>
      <c r="J178" s="50">
        <v>4.1866490475449963E-4</v>
      </c>
      <c r="K178" s="50">
        <v>4.6555178043494374E-5</v>
      </c>
      <c r="L178" s="67">
        <v>4.1338480503524678E-4</v>
      </c>
      <c r="M178" s="33"/>
      <c r="N178" s="18">
        <v>-1.4807809366178216E-6</v>
      </c>
      <c r="O178" s="18">
        <v>6.2276639747099405E-11</v>
      </c>
      <c r="P178" s="18">
        <v>1.9045470870918301E-8</v>
      </c>
      <c r="Q178" s="28">
        <v>2.2366481786536836</v>
      </c>
      <c r="R178" s="61">
        <v>320.70700659591387</v>
      </c>
      <c r="S178" s="58">
        <v>7.6582973201901843E-7</v>
      </c>
      <c r="U178" s="173">
        <v>6.7090150504742034E-4</v>
      </c>
      <c r="V178" s="173">
        <v>4.1338480503524678E-4</v>
      </c>
      <c r="W178" s="173">
        <v>2.3702830340265342E-4</v>
      </c>
      <c r="X178" s="174">
        <f t="shared" si="16"/>
        <v>4.3367485463014182E-4</v>
      </c>
      <c r="Y178" s="187">
        <f t="shared" si="17"/>
        <v>0.10394952284547627</v>
      </c>
      <c r="AA178" s="144">
        <f t="shared" si="18"/>
        <v>0.45987135424500003</v>
      </c>
      <c r="AB178" s="145">
        <f t="shared" si="19"/>
        <v>4.1866490475449963E-4</v>
      </c>
      <c r="AC178" s="145">
        <f t="shared" si="20"/>
        <v>4.6555178043494374E-5</v>
      </c>
      <c r="AD178" s="145">
        <f t="shared" si="23"/>
        <v>4.3367485463014182E-4</v>
      </c>
      <c r="AE178" s="146">
        <f t="shared" si="21"/>
        <v>19.085700659591389</v>
      </c>
      <c r="AF178" s="146">
        <f t="shared" si="22"/>
        <v>7.6582973201901844E-5</v>
      </c>
      <c r="AI178" s="184"/>
      <c r="AJ178" s="184"/>
    </row>
    <row r="179" spans="9:36" x14ac:dyDescent="0.25">
      <c r="I179" s="126">
        <v>4.6447006778699999E-2</v>
      </c>
      <c r="J179" s="50">
        <v>4.6217735920870036E-4</v>
      </c>
      <c r="K179" s="50">
        <v>4.5800826205700957E-5</v>
      </c>
      <c r="L179" s="67">
        <v>3.2718950694449986E-4</v>
      </c>
      <c r="M179" s="33"/>
      <c r="N179" s="18">
        <v>-1.4368192164202359E-6</v>
      </c>
      <c r="O179" s="18">
        <v>5.4814570927738295E-11</v>
      </c>
      <c r="P179" s="18">
        <v>1.6484379367535476E-8</v>
      </c>
      <c r="Q179" s="28">
        <v>2.3622274222565238</v>
      </c>
      <c r="R179" s="61">
        <v>320.70700659591387</v>
      </c>
      <c r="S179" s="58">
        <v>8.0800671488840303E-7</v>
      </c>
      <c r="U179" s="173">
        <v>6.8636286557098559E-4</v>
      </c>
      <c r="V179" s="173">
        <v>3.2718950694449986E-4</v>
      </c>
      <c r="W179" s="173">
        <v>2.4927395420060909E-4</v>
      </c>
      <c r="X179" s="174">
        <f t="shared" si="16"/>
        <v>3.9750395841514857E-4</v>
      </c>
      <c r="Y179" s="187">
        <f t="shared" si="17"/>
        <v>1.9939064229908374</v>
      </c>
      <c r="AA179" s="144">
        <f t="shared" si="18"/>
        <v>0.46447006778700001</v>
      </c>
      <c r="AB179" s="145">
        <f t="shared" si="19"/>
        <v>4.6217735920870036E-4</v>
      </c>
      <c r="AC179" s="145">
        <f t="shared" si="20"/>
        <v>4.5800826205700957E-5</v>
      </c>
      <c r="AD179" s="145">
        <f t="shared" si="23"/>
        <v>3.9750395841514857E-4</v>
      </c>
      <c r="AE179" s="146">
        <f t="shared" si="21"/>
        <v>19.085700659591389</v>
      </c>
      <c r="AF179" s="146">
        <f t="shared" si="22"/>
        <v>8.0800671488840306E-5</v>
      </c>
      <c r="AI179" s="184"/>
      <c r="AJ179" s="184"/>
    </row>
    <row r="180" spans="9:36" x14ac:dyDescent="0.25">
      <c r="I180" s="126">
        <v>4.6911476846500003E-2</v>
      </c>
      <c r="J180" s="50">
        <v>4.2637545102187159E-4</v>
      </c>
      <c r="K180" s="50">
        <v>4.4416186550810691E-5</v>
      </c>
      <c r="L180" s="67">
        <v>2.5909213855384542E-4</v>
      </c>
      <c r="M180" s="33"/>
      <c r="N180" s="18">
        <v>-1.3930131593293883E-6</v>
      </c>
      <c r="O180" s="18">
        <v>4.7375088008794788E-11</v>
      </c>
      <c r="P180" s="18">
        <v>1.3931427828760223E-8</v>
      </c>
      <c r="Q180" s="28">
        <v>2.5537583400237032</v>
      </c>
      <c r="R180" s="61">
        <v>324.75241241437493</v>
      </c>
      <c r="S180" s="58">
        <v>8.0800671488840303E-7</v>
      </c>
      <c r="U180" s="173">
        <v>6.7661853831927482E-4</v>
      </c>
      <c r="V180" s="173">
        <v>2.5909213855384542E-4</v>
      </c>
      <c r="W180" s="173">
        <v>2.5640241440992877E-4</v>
      </c>
      <c r="X180" s="174">
        <f t="shared" si="16"/>
        <v>3.6280130745922361E-4</v>
      </c>
      <c r="Y180" s="187">
        <f t="shared" si="17"/>
        <v>2.0487006233896152</v>
      </c>
      <c r="AA180" s="144">
        <f t="shared" si="18"/>
        <v>0.469114768465</v>
      </c>
      <c r="AB180" s="145">
        <f t="shared" si="19"/>
        <v>4.2637545102187159E-4</v>
      </c>
      <c r="AC180" s="145">
        <f t="shared" si="20"/>
        <v>4.4416186550810691E-5</v>
      </c>
      <c r="AD180" s="145">
        <f t="shared" si="23"/>
        <v>3.6280130745922361E-4</v>
      </c>
      <c r="AE180" s="146">
        <f t="shared" si="21"/>
        <v>19.490241241437495</v>
      </c>
      <c r="AF180" s="146">
        <f t="shared" si="22"/>
        <v>8.0800671488840306E-5</v>
      </c>
      <c r="AI180" s="184"/>
      <c r="AJ180" s="184"/>
    </row>
    <row r="181" spans="9:36" x14ac:dyDescent="0.25">
      <c r="I181" s="126">
        <v>4.7380591615000002E-2</v>
      </c>
      <c r="J181" s="50">
        <v>2.9553622869621799E-4</v>
      </c>
      <c r="K181" s="50">
        <v>3.8358035377040172E-5</v>
      </c>
      <c r="L181" s="67">
        <v>2.110137114679599E-4</v>
      </c>
      <c r="M181" s="33"/>
      <c r="N181" s="18">
        <v>-1.3495296846933706E-6</v>
      </c>
      <c r="O181" s="18">
        <v>3.9984743628047477E-11</v>
      </c>
      <c r="P181" s="18">
        <v>1.1395909632051132E-8</v>
      </c>
      <c r="Q181" s="28">
        <v>2.8427430643462008</v>
      </c>
      <c r="R181" s="61">
        <v>324.75241241437493</v>
      </c>
      <c r="S181" s="58">
        <v>8.479716321861738E-7</v>
      </c>
      <c r="U181" s="173">
        <v>6.4346296244085057E-4</v>
      </c>
      <c r="V181" s="173">
        <v>2.110137114679599E-4</v>
      </c>
      <c r="W181" s="173">
        <v>2.5549826325683354E-4</v>
      </c>
      <c r="X181" s="174">
        <f t="shared" si="16"/>
        <v>3.3024716215840095E-4</v>
      </c>
      <c r="Y181" s="187">
        <f t="shared" si="17"/>
        <v>0.81887926693345992</v>
      </c>
      <c r="AA181" s="144">
        <f t="shared" si="18"/>
        <v>0.47380591615000001</v>
      </c>
      <c r="AB181" s="145">
        <f t="shared" si="19"/>
        <v>2.9553622869621799E-4</v>
      </c>
      <c r="AC181" s="145">
        <f t="shared" si="20"/>
        <v>3.8358035377040172E-5</v>
      </c>
      <c r="AD181" s="145">
        <f t="shared" si="23"/>
        <v>3.3024716215840095E-4</v>
      </c>
      <c r="AE181" s="146">
        <f t="shared" si="21"/>
        <v>19.490241241437495</v>
      </c>
      <c r="AF181" s="146">
        <f t="shared" si="22"/>
        <v>8.4797163218617382E-5</v>
      </c>
      <c r="AI181" s="184"/>
      <c r="AJ181" s="184"/>
    </row>
    <row r="182" spans="9:36" x14ac:dyDescent="0.25">
      <c r="I182" s="126">
        <v>4.7854397531099997E-2</v>
      </c>
      <c r="J182" s="50">
        <v>3.5637296962130874E-4</v>
      </c>
      <c r="K182" s="50">
        <v>4.2482577242407761E-5</v>
      </c>
      <c r="L182" s="67">
        <v>1.8230669928417698E-4</v>
      </c>
      <c r="M182" s="33"/>
      <c r="N182" s="18">
        <v>-1.3066904886186736E-6</v>
      </c>
      <c r="O182" s="18">
        <v>3.2694980519701796E-11</v>
      </c>
      <c r="P182" s="18">
        <v>8.8958006004012356E-9</v>
      </c>
      <c r="Q182" s="28">
        <v>3.2920958739615873</v>
      </c>
      <c r="R182" s="61">
        <v>330.27387797280068</v>
      </c>
      <c r="S182" s="58">
        <v>8.479716321861738E-7</v>
      </c>
      <c r="U182" s="173">
        <v>5.9074511958401527E-4</v>
      </c>
      <c r="V182" s="173">
        <v>1.8230669928417698E-4</v>
      </c>
      <c r="W182" s="173">
        <v>2.4592033593294894E-4</v>
      </c>
      <c r="X182" s="174">
        <f t="shared" si="16"/>
        <v>3.0031971352132954E-4</v>
      </c>
      <c r="Y182" s="187">
        <f t="shared" si="17"/>
        <v>1.7409246705451387</v>
      </c>
      <c r="AA182" s="144">
        <f t="shared" si="18"/>
        <v>0.47854397531099996</v>
      </c>
      <c r="AB182" s="145">
        <f t="shared" si="19"/>
        <v>3.5637296962130874E-4</v>
      </c>
      <c r="AC182" s="145">
        <f t="shared" si="20"/>
        <v>4.2482577242407761E-5</v>
      </c>
      <c r="AD182" s="145">
        <f t="shared" si="23"/>
        <v>3.0031971352132954E-4</v>
      </c>
      <c r="AE182" s="146">
        <f t="shared" si="21"/>
        <v>20.042387797280067</v>
      </c>
      <c r="AF182" s="146">
        <f t="shared" si="22"/>
        <v>8.4797163218617382E-5</v>
      </c>
      <c r="AH182" s="78"/>
      <c r="AI182" s="184"/>
      <c r="AJ182" s="184"/>
    </row>
    <row r="183" spans="9:36" x14ac:dyDescent="0.25">
      <c r="I183" s="126">
        <v>4.8332941506400003E-2</v>
      </c>
      <c r="J183" s="50">
        <v>2.8458822012733341E-4</v>
      </c>
      <c r="K183" s="50">
        <v>3.7666696600468052E-5</v>
      </c>
      <c r="L183" s="67">
        <v>1.7012231578409731E-4</v>
      </c>
      <c r="M183" s="33"/>
      <c r="N183" s="18">
        <v>-1.2651199940048593E-6</v>
      </c>
      <c r="O183" s="18">
        <v>2.5605444695067948E-11</v>
      </c>
      <c r="P183" s="18">
        <v>6.4659425339639595E-9</v>
      </c>
      <c r="Q183" s="28">
        <v>4.0454058184610373</v>
      </c>
      <c r="R183" s="61">
        <v>330.27387797280068</v>
      </c>
      <c r="S183" s="58">
        <v>8.8329029728034602E-7</v>
      </c>
      <c r="U183" s="173">
        <v>5.2389522975886712E-4</v>
      </c>
      <c r="V183" s="173">
        <v>1.7012231578409731E-4</v>
      </c>
      <c r="W183" s="173">
        <v>2.2905087236858033E-4</v>
      </c>
      <c r="X183" s="174">
        <f t="shared" si="16"/>
        <v>2.7329768342391049E-4</v>
      </c>
      <c r="Y183" s="187">
        <f t="shared" si="17"/>
        <v>8.9849177536356503E-2</v>
      </c>
      <c r="AA183" s="144">
        <f t="shared" si="18"/>
        <v>0.48332941506400001</v>
      </c>
      <c r="AB183" s="145">
        <f t="shared" si="19"/>
        <v>2.8458822012733341E-4</v>
      </c>
      <c r="AC183" s="145">
        <f t="shared" si="20"/>
        <v>3.7666696600468052E-5</v>
      </c>
      <c r="AD183" s="145">
        <f t="shared" si="23"/>
        <v>2.7329768342391049E-4</v>
      </c>
      <c r="AE183" s="146">
        <f t="shared" si="21"/>
        <v>20.042387797280067</v>
      </c>
      <c r="AF183" s="146">
        <f t="shared" si="22"/>
        <v>8.8329029728034596E-5</v>
      </c>
      <c r="AH183" s="78"/>
      <c r="AI183" s="184"/>
      <c r="AJ183" s="184"/>
    </row>
    <row r="184" spans="9:36" x14ac:dyDescent="0.25">
      <c r="I184" s="126">
        <v>4.8816270921500003E-2</v>
      </c>
      <c r="J184" s="50">
        <v>2.6811887478246193E-4</v>
      </c>
      <c r="K184" s="50">
        <v>3.8297108439281137E-5</v>
      </c>
      <c r="L184" s="67">
        <v>1.7005580195875086E-4</v>
      </c>
      <c r="M184" s="33"/>
      <c r="N184" s="18">
        <v>-1.2261013316091997E-6</v>
      </c>
      <c r="O184" s="18">
        <v>1.891829456690457E-11</v>
      </c>
      <c r="P184" s="18">
        <v>4.1773016096252235E-9</v>
      </c>
      <c r="Q184" s="28">
        <v>5.5214655584257724</v>
      </c>
      <c r="R184" s="61">
        <v>340.19602488701952</v>
      </c>
      <c r="S184" s="58">
        <v>8.8329029728034602E-7</v>
      </c>
      <c r="U184" s="173">
        <v>4.4927932565760951E-4</v>
      </c>
      <c r="V184" s="173">
        <v>1.7005580195875086E-4</v>
      </c>
      <c r="W184" s="173">
        <v>2.0770045138018001E-4</v>
      </c>
      <c r="X184" s="174">
        <f t="shared" si="16"/>
        <v>2.4927284523882282E-4</v>
      </c>
      <c r="Y184" s="187">
        <f t="shared" si="17"/>
        <v>0.24216298773258607</v>
      </c>
      <c r="AA184" s="144">
        <f t="shared" si="18"/>
        <v>0.48816270921500005</v>
      </c>
      <c r="AB184" s="145">
        <f t="shared" si="19"/>
        <v>2.6811887478246193E-4</v>
      </c>
      <c r="AC184" s="145">
        <f t="shared" si="20"/>
        <v>3.8297108439281137E-5</v>
      </c>
      <c r="AD184" s="145">
        <f t="shared" si="23"/>
        <v>2.4927284523882282E-4</v>
      </c>
      <c r="AE184" s="146">
        <f t="shared" si="21"/>
        <v>21.034602488701953</v>
      </c>
      <c r="AF184" s="146">
        <f t="shared" si="22"/>
        <v>8.8329029728034596E-5</v>
      </c>
      <c r="AH184" s="78"/>
      <c r="AI184" s="184"/>
      <c r="AJ184" s="184"/>
    </row>
    <row r="185" spans="9:36" x14ac:dyDescent="0.25">
      <c r="I185" s="126">
        <v>4.9304433630700001E-2</v>
      </c>
      <c r="J185" s="50">
        <v>1.7366944948366087E-4</v>
      </c>
      <c r="K185" s="50">
        <v>3.3792995184056254E-5</v>
      </c>
      <c r="L185" s="67">
        <v>1.7696144882589117E-4</v>
      </c>
      <c r="M185" s="33"/>
      <c r="N185" s="18">
        <v>-1.192748548627224E-6</v>
      </c>
      <c r="O185" s="18">
        <v>1.3099213688499582E-11</v>
      </c>
      <c r="P185" s="18">
        <v>2.196070793699068E-9</v>
      </c>
      <c r="Q185" s="28">
        <v>9.9221469142188514</v>
      </c>
      <c r="R185" s="61">
        <v>340.19602488701952</v>
      </c>
      <c r="S185" s="58">
        <v>9.0770439970598902E-7</v>
      </c>
      <c r="U185" s="173">
        <v>3.7346117689528407E-4</v>
      </c>
      <c r="V185" s="173">
        <v>1.7696144882589117E-4</v>
      </c>
      <c r="W185" s="173">
        <v>1.8530618280860448E-4</v>
      </c>
      <c r="X185" s="174">
        <f t="shared" si="16"/>
        <v>2.2817256433891773E-4</v>
      </c>
      <c r="Y185" s="187">
        <f t="shared" si="17"/>
        <v>2.6012930044531388</v>
      </c>
      <c r="AA185" s="144">
        <f t="shared" si="18"/>
        <v>0.49304433630700001</v>
      </c>
      <c r="AB185" s="145">
        <f t="shared" si="19"/>
        <v>1.7366944948366087E-4</v>
      </c>
      <c r="AC185" s="145">
        <f t="shared" si="20"/>
        <v>3.3792995184056254E-5</v>
      </c>
      <c r="AD185" s="145">
        <f t="shared" si="23"/>
        <v>2.2817256433891773E-4</v>
      </c>
      <c r="AE185" s="146">
        <f t="shared" si="21"/>
        <v>21.034602488701953</v>
      </c>
      <c r="AF185" s="146">
        <f t="shared" si="22"/>
        <v>9.0770439970598907E-5</v>
      </c>
      <c r="AI185" s="184"/>
      <c r="AJ185" s="184"/>
    </row>
    <row r="186" spans="9:36" x14ac:dyDescent="0.25">
      <c r="I186" s="126">
        <v>4.9797477967000001E-2</v>
      </c>
      <c r="J186" s="50">
        <v>2.7925721746885167E-4</v>
      </c>
      <c r="K186" s="50">
        <v>3.7569211551138131E-5</v>
      </c>
      <c r="L186" s="67">
        <v>1.8580390215738415E-4</v>
      </c>
      <c r="M186" s="33"/>
      <c r="N186" s="18">
        <v>-1.1727234273355068E-6</v>
      </c>
      <c r="O186" s="18">
        <v>9.3193582286687611E-12</v>
      </c>
      <c r="P186" s="18">
        <v>9.3729587155785951E-10</v>
      </c>
      <c r="Q186" s="28">
        <v>13.324728933252164</v>
      </c>
      <c r="R186" s="61">
        <v>353.52075382027169</v>
      </c>
      <c r="S186" s="58">
        <v>9.0770439970598902E-7</v>
      </c>
      <c r="U186" s="173">
        <v>3.0246498268496022E-4</v>
      </c>
      <c r="V186" s="173">
        <v>1.8580390215738415E-4</v>
      </c>
      <c r="W186" s="173">
        <v>1.6509642128952388E-4</v>
      </c>
      <c r="X186" s="174">
        <f t="shared" si="16"/>
        <v>2.0979230207231311E-4</v>
      </c>
      <c r="Y186" s="187">
        <f t="shared" si="17"/>
        <v>3.4187461972572861</v>
      </c>
      <c r="AA186" s="144">
        <f t="shared" si="18"/>
        <v>0.49797477967000003</v>
      </c>
      <c r="AB186" s="145">
        <f t="shared" si="19"/>
        <v>2.7925721746885167E-4</v>
      </c>
      <c r="AC186" s="145">
        <f t="shared" si="20"/>
        <v>3.7569211551138131E-5</v>
      </c>
      <c r="AD186" s="145">
        <f t="shared" si="23"/>
        <v>2.0979230207231311E-4</v>
      </c>
      <c r="AE186" s="146">
        <f t="shared" si="21"/>
        <v>22.367075382027171</v>
      </c>
      <c r="AF186" s="146">
        <f t="shared" si="22"/>
        <v>9.0770439970598907E-5</v>
      </c>
      <c r="AI186" s="184"/>
      <c r="AJ186" s="184"/>
    </row>
    <row r="187" spans="9:36" x14ac:dyDescent="0.25">
      <c r="I187" s="126">
        <v>5.0295452746699998E-2</v>
      </c>
      <c r="J187" s="50">
        <v>1.9195670503714668E-4</v>
      </c>
      <c r="K187" s="50">
        <v>3.3029020361098832E-5</v>
      </c>
      <c r="L187" s="67">
        <v>1.9240921367703702E-4</v>
      </c>
      <c r="M187" s="33"/>
      <c r="N187" s="18">
        <v>-1.1737507080516673E-6</v>
      </c>
      <c r="O187" s="18">
        <v>9.0966023230924863E-12</v>
      </c>
      <c r="P187" s="18">
        <v>9.0102275679039617E-10</v>
      </c>
      <c r="Q187" s="28">
        <v>2.8366278088117838</v>
      </c>
      <c r="R187" s="61">
        <v>353.52075382027169</v>
      </c>
      <c r="S187" s="58">
        <v>9.1107777635215427E-7</v>
      </c>
      <c r="U187" s="173">
        <v>2.4113378194607656E-4</v>
      </c>
      <c r="V187" s="173">
        <v>1.9240921367703702E-4</v>
      </c>
      <c r="W187" s="173">
        <v>1.4939591597887999E-4</v>
      </c>
      <c r="X187" s="174">
        <f t="shared" si="16"/>
        <v>1.9383703131975764E-4</v>
      </c>
      <c r="Y187" s="187">
        <f t="shared" si="17"/>
        <v>3.2409702728826823E-3</v>
      </c>
      <c r="AA187" s="144">
        <f t="shared" si="18"/>
        <v>0.50295452746699998</v>
      </c>
      <c r="AB187" s="145">
        <f t="shared" si="19"/>
        <v>1.9195670503714668E-4</v>
      </c>
      <c r="AC187" s="145">
        <f t="shared" si="20"/>
        <v>3.3029020361098832E-5</v>
      </c>
      <c r="AD187" s="145">
        <f t="shared" si="23"/>
        <v>1.9383703131975764E-4</v>
      </c>
      <c r="AE187" s="146">
        <f t="shared" si="21"/>
        <v>22.367075382027171</v>
      </c>
      <c r="AF187" s="146">
        <f t="shared" si="22"/>
        <v>9.1107777635215424E-5</v>
      </c>
      <c r="AI187" s="184"/>
      <c r="AJ187" s="184"/>
    </row>
    <row r="188" spans="9:36" x14ac:dyDescent="0.25">
      <c r="I188" s="126">
        <v>5.07984072742E-2</v>
      </c>
      <c r="J188" s="50">
        <v>2.1160469602141406E-4</v>
      </c>
      <c r="K188" s="50">
        <v>3.3862177149499573E-5</v>
      </c>
      <c r="L188" s="67">
        <v>1.9399937114562073E-4</v>
      </c>
      <c r="M188" s="33"/>
      <c r="N188" s="18">
        <v>-1.1829743739645074E-6</v>
      </c>
      <c r="O188" s="18">
        <v>1.0123696178437785E-11</v>
      </c>
      <c r="P188" s="18">
        <v>1.3080234009979409E-9</v>
      </c>
      <c r="Q188" s="28">
        <v>13.324728933252164</v>
      </c>
      <c r="R188" s="61">
        <v>356.35738162908348</v>
      </c>
      <c r="S188" s="58">
        <v>9.1107777635215427E-7</v>
      </c>
      <c r="U188" s="173">
        <v>1.9266649483764739E-4</v>
      </c>
      <c r="V188" s="173">
        <v>1.9399937114562073E-4</v>
      </c>
      <c r="W188" s="173">
        <v>1.3920948171852594E-4</v>
      </c>
      <c r="X188" s="174">
        <f t="shared" si="16"/>
        <v>1.7996867971185369E-4</v>
      </c>
      <c r="Y188" s="187">
        <f t="shared" si="17"/>
        <v>0.87283836428035366</v>
      </c>
      <c r="AA188" s="144">
        <f t="shared" si="18"/>
        <v>0.50798407274199997</v>
      </c>
      <c r="AB188" s="145">
        <f t="shared" si="19"/>
        <v>2.1160469602141406E-4</v>
      </c>
      <c r="AC188" s="145">
        <f t="shared" si="20"/>
        <v>3.3862177149499573E-5</v>
      </c>
      <c r="AD188" s="145">
        <f t="shared" si="23"/>
        <v>1.7996867971185369E-4</v>
      </c>
      <c r="AE188" s="146">
        <f t="shared" si="21"/>
        <v>22.650738162908347</v>
      </c>
      <c r="AF188" s="146">
        <f t="shared" si="22"/>
        <v>9.1107777635215424E-5</v>
      </c>
      <c r="AI188" s="184"/>
      <c r="AJ188" s="184"/>
    </row>
    <row r="189" spans="9:36" x14ac:dyDescent="0.25">
      <c r="I189" s="126">
        <v>5.1306391346900002E-2</v>
      </c>
      <c r="J189" s="50">
        <v>1.5945256282576031E-4</v>
      </c>
      <c r="K189" s="50">
        <v>3.0345984302246374E-5</v>
      </c>
      <c r="L189" s="67">
        <v>1.8943471083776532E-4</v>
      </c>
      <c r="M189" s="33"/>
      <c r="N189" s="18">
        <v>-1.2187834905257577E-6</v>
      </c>
      <c r="O189" s="18">
        <v>1.5102031596328725E-11</v>
      </c>
      <c r="P189" s="18">
        <v>3.1279463849747247E-9</v>
      </c>
      <c r="Q189" s="28">
        <v>9.9221469142188514</v>
      </c>
      <c r="R189" s="61">
        <v>356.35738162908348</v>
      </c>
      <c r="S189" s="58">
        <v>9.0770439970598902E-7</v>
      </c>
      <c r="U189" s="173">
        <v>1.5839182588626722E-4</v>
      </c>
      <c r="V189" s="173">
        <v>1.8943471083776532E-4</v>
      </c>
      <c r="W189" s="173">
        <v>1.3415654263825892E-4</v>
      </c>
      <c r="X189" s="174">
        <f t="shared" si="16"/>
        <v>1.6785444755001422E-4</v>
      </c>
      <c r="Y189" s="187">
        <f t="shared" si="17"/>
        <v>7.6656851840969611E-2</v>
      </c>
      <c r="AA189" s="144">
        <f t="shared" si="18"/>
        <v>0.51306391346900004</v>
      </c>
      <c r="AB189" s="145">
        <f t="shared" si="19"/>
        <v>1.5945256282576031E-4</v>
      </c>
      <c r="AC189" s="145">
        <f t="shared" si="20"/>
        <v>3.0345984302246374E-5</v>
      </c>
      <c r="AD189" s="145">
        <f t="shared" si="23"/>
        <v>1.6785444755001422E-4</v>
      </c>
      <c r="AE189" s="146">
        <f t="shared" si="21"/>
        <v>22.650738162908347</v>
      </c>
      <c r="AF189" s="146">
        <f t="shared" si="22"/>
        <v>9.0770439970598907E-5</v>
      </c>
      <c r="AI189" s="184"/>
      <c r="AJ189" s="184"/>
    </row>
    <row r="190" spans="9:36" x14ac:dyDescent="0.25">
      <c r="I190" s="126">
        <v>5.1819455260400001E-2</v>
      </c>
      <c r="J190" s="50">
        <v>2.1444248591627913E-4</v>
      </c>
      <c r="K190" s="50">
        <v>3.3220725081942076E-5</v>
      </c>
      <c r="L190" s="67">
        <v>1.7914282308856874E-4</v>
      </c>
      <c r="M190" s="33"/>
      <c r="N190" s="18">
        <v>-1.2636752164052104E-6</v>
      </c>
      <c r="O190" s="18">
        <v>2.172170951442407E-11</v>
      </c>
      <c r="P190" s="18">
        <v>5.5011190184373908E-9</v>
      </c>
      <c r="Q190" s="28">
        <v>5.5214655584257724</v>
      </c>
      <c r="R190" s="61">
        <v>369.68211056233565</v>
      </c>
      <c r="S190" s="58">
        <v>9.0770439970598902E-7</v>
      </c>
      <c r="U190" s="173">
        <v>1.3780302685227925E-4</v>
      </c>
      <c r="V190" s="173">
        <v>1.7914282308856874E-4</v>
      </c>
      <c r="W190" s="173">
        <v>1.3274703165503703E-4</v>
      </c>
      <c r="X190" s="174">
        <f t="shared" si="16"/>
        <v>1.5720892617111342E-4</v>
      </c>
      <c r="Y190" s="187">
        <f t="shared" si="17"/>
        <v>2.9681326244964827</v>
      </c>
      <c r="AA190" s="144">
        <f t="shared" si="18"/>
        <v>0.51819455260400005</v>
      </c>
      <c r="AB190" s="145">
        <f t="shared" si="19"/>
        <v>2.1444248591627913E-4</v>
      </c>
      <c r="AC190" s="145">
        <f t="shared" si="20"/>
        <v>3.3220725081942076E-5</v>
      </c>
      <c r="AD190" s="145">
        <f t="shared" si="23"/>
        <v>1.5720892617111342E-4</v>
      </c>
      <c r="AE190" s="146">
        <f t="shared" si="21"/>
        <v>23.983211056233564</v>
      </c>
      <c r="AF190" s="146">
        <f t="shared" si="22"/>
        <v>9.0770439970598907E-5</v>
      </c>
      <c r="AI190" s="184"/>
      <c r="AJ190" s="184"/>
    </row>
    <row r="191" spans="9:36" x14ac:dyDescent="0.25">
      <c r="I191" s="126">
        <v>5.2337649813000001E-2</v>
      </c>
      <c r="J191" s="50">
        <v>1.0576755459651306E-4</v>
      </c>
      <c r="K191" s="50">
        <v>1.1144851726243897E-5</v>
      </c>
      <c r="L191" s="67">
        <v>1.6477053499100891E-4</v>
      </c>
      <c r="M191" s="33"/>
      <c r="N191" s="18">
        <v>-1.3099795814993923E-6</v>
      </c>
      <c r="O191" s="18">
        <v>2.8828347227253783E-11</v>
      </c>
      <c r="P191" s="18">
        <v>8.0164147148030525E-9</v>
      </c>
      <c r="Q191" s="28">
        <v>4.0454058184610373</v>
      </c>
      <c r="R191" s="61">
        <v>369.68211056233565</v>
      </c>
      <c r="S191" s="58">
        <v>8.8329029728034602E-7</v>
      </c>
      <c r="U191" s="173">
        <v>1.2883872976727963E-4</v>
      </c>
      <c r="V191" s="173">
        <v>1.6477053499100891E-4</v>
      </c>
      <c r="W191" s="173">
        <v>1.3290951261023395E-4</v>
      </c>
      <c r="X191" s="174">
        <f t="shared" si="16"/>
        <v>1.4782232808988285E-4</v>
      </c>
      <c r="Y191" s="187">
        <f t="shared" si="17"/>
        <v>14.239082510967799</v>
      </c>
      <c r="AA191" s="144">
        <f t="shared" si="18"/>
        <v>0.52337649812999998</v>
      </c>
      <c r="AB191" s="145">
        <f t="shared" si="19"/>
        <v>1.0576755459651306E-4</v>
      </c>
      <c r="AC191" s="145">
        <f t="shared" si="20"/>
        <v>1.1144851726243897E-5</v>
      </c>
      <c r="AD191" s="145">
        <f t="shared" si="23"/>
        <v>1.4782232808988285E-4</v>
      </c>
      <c r="AE191" s="146">
        <f t="shared" si="21"/>
        <v>23.983211056233564</v>
      </c>
      <c r="AF191" s="146">
        <f t="shared" si="22"/>
        <v>8.8329029728034596E-5</v>
      </c>
      <c r="AI191" s="184"/>
      <c r="AJ191" s="184"/>
    </row>
    <row r="192" spans="9:36" x14ac:dyDescent="0.25">
      <c r="I192" s="126">
        <v>5.2861026311099998E-2</v>
      </c>
      <c r="J192" s="50">
        <v>1.0942785917954601E-4</v>
      </c>
      <c r="K192" s="50">
        <v>1.1636389918505902E-5</v>
      </c>
      <c r="L192" s="67">
        <v>1.4864627573654845E-4</v>
      </c>
      <c r="M192" s="33"/>
      <c r="N192" s="18">
        <v>-1.3569921517085934E-6</v>
      </c>
      <c r="O192" s="18">
        <v>3.6152903926385477E-11</v>
      </c>
      <c r="P192" s="18">
        <v>1.0596617613613344E-8</v>
      </c>
      <c r="Q192" s="28">
        <v>3.2920958739615873</v>
      </c>
      <c r="R192" s="61">
        <v>379.60425747655449</v>
      </c>
      <c r="S192" s="58">
        <v>8.8329029728034602E-7</v>
      </c>
      <c r="U192" s="173">
        <v>1.2835788504872252E-4</v>
      </c>
      <c r="V192" s="173">
        <v>1.4864627573654845E-4</v>
      </c>
      <c r="W192" s="173">
        <v>1.3262395859729094E-4</v>
      </c>
      <c r="X192" s="174">
        <f t="shared" si="16"/>
        <v>1.3956859877977759E-4</v>
      </c>
      <c r="Y192" s="187">
        <f t="shared" si="17"/>
        <v>6.7092083538217082</v>
      </c>
      <c r="AA192" s="144">
        <f t="shared" si="18"/>
        <v>0.52861026311100001</v>
      </c>
      <c r="AB192" s="145">
        <f t="shared" si="19"/>
        <v>1.0942785917954601E-4</v>
      </c>
      <c r="AC192" s="145">
        <f t="shared" si="20"/>
        <v>1.1636389918505902E-5</v>
      </c>
      <c r="AD192" s="145">
        <f t="shared" si="23"/>
        <v>1.3956859877977759E-4</v>
      </c>
      <c r="AE192" s="146">
        <f t="shared" si="21"/>
        <v>24.97542574765545</v>
      </c>
      <c r="AF192" s="146">
        <f t="shared" si="22"/>
        <v>8.8329029728034596E-5</v>
      </c>
      <c r="AI192" s="184"/>
      <c r="AJ192" s="184"/>
    </row>
    <row r="193" spans="9:36" x14ac:dyDescent="0.25">
      <c r="I193" s="126">
        <v>5.3389636574199997E-2</v>
      </c>
      <c r="J193" s="50">
        <v>9.6887762579708184E-5</v>
      </c>
      <c r="K193" s="50">
        <v>1.095094868566796E-5</v>
      </c>
      <c r="L193" s="67">
        <v>1.3317340874653745E-4</v>
      </c>
      <c r="M193" s="33"/>
      <c r="N193" s="18">
        <v>-1.4041534010023095E-6</v>
      </c>
      <c r="O193" s="18">
        <v>4.3554434175877722E-11</v>
      </c>
      <c r="P193" s="18">
        <v>1.3198004409891656E-8</v>
      </c>
      <c r="Q193" s="28">
        <v>2.8427430643462008</v>
      </c>
      <c r="R193" s="61">
        <v>379.60425747655449</v>
      </c>
      <c r="S193" s="58">
        <v>8.479716321861738E-7</v>
      </c>
      <c r="U193" s="173">
        <v>1.327275830217557E-4</v>
      </c>
      <c r="V193" s="173">
        <v>1.3317340874653745E-4</v>
      </c>
      <c r="W193" s="173">
        <v>1.304892131084363E-4</v>
      </c>
      <c r="X193" s="174">
        <f t="shared" si="16"/>
        <v>1.3239090340581673E-4</v>
      </c>
      <c r="Y193" s="187">
        <f t="shared" si="17"/>
        <v>10.510661806697149</v>
      </c>
      <c r="AA193" s="144">
        <f t="shared" si="18"/>
        <v>0.53389636574199995</v>
      </c>
      <c r="AB193" s="145">
        <f t="shared" si="19"/>
        <v>9.6887762579708184E-5</v>
      </c>
      <c r="AC193" s="145">
        <f t="shared" si="20"/>
        <v>1.095094868566796E-5</v>
      </c>
      <c r="AD193" s="145">
        <f t="shared" si="23"/>
        <v>1.3239090340581673E-4</v>
      </c>
      <c r="AE193" s="146">
        <f t="shared" si="21"/>
        <v>24.97542574765545</v>
      </c>
      <c r="AF193" s="146">
        <f t="shared" si="22"/>
        <v>8.4797163218617382E-5</v>
      </c>
      <c r="AI193" s="184"/>
      <c r="AJ193" s="184"/>
    </row>
    <row r="194" spans="9:36" x14ac:dyDescent="0.25">
      <c r="I194" s="126">
        <v>5.3923532939999998E-2</v>
      </c>
      <c r="J194" s="50">
        <v>1.0112785421429817E-4</v>
      </c>
      <c r="K194" s="50">
        <v>1.095014172058274E-5</v>
      </c>
      <c r="L194" s="67">
        <v>1.2028374793921009E-4</v>
      </c>
      <c r="M194" s="33"/>
      <c r="N194" s="18">
        <v>-1.4511871906319555E-6</v>
      </c>
      <c r="O194" s="18">
        <v>5.0962874824221254E-11</v>
      </c>
      <c r="P194" s="18">
        <v>1.5798874824034061E-8</v>
      </c>
      <c r="Q194" s="28">
        <v>2.5537583400237032</v>
      </c>
      <c r="R194" s="61">
        <v>385.12572303498024</v>
      </c>
      <c r="S194" s="58">
        <v>8.479716321861738E-7</v>
      </c>
      <c r="U194" s="173">
        <v>1.3842647486409618E-4</v>
      </c>
      <c r="V194" s="173">
        <v>1.2028374793921009E-4</v>
      </c>
      <c r="W194" s="173">
        <v>1.2607548784500434E-4</v>
      </c>
      <c r="X194" s="174">
        <f t="shared" si="16"/>
        <v>1.2626736464688018E-4</v>
      </c>
      <c r="Y194" s="187">
        <f t="shared" si="17"/>
        <v>5.2707710505896648</v>
      </c>
      <c r="AA194" s="144">
        <f t="shared" si="18"/>
        <v>0.53923532939999996</v>
      </c>
      <c r="AB194" s="145">
        <f t="shared" si="19"/>
        <v>1.0112785421429817E-4</v>
      </c>
      <c r="AC194" s="145">
        <f t="shared" si="20"/>
        <v>1.095014172058274E-5</v>
      </c>
      <c r="AD194" s="145">
        <f t="shared" si="23"/>
        <v>1.2626736464688018E-4</v>
      </c>
      <c r="AE194" s="146">
        <f t="shared" si="21"/>
        <v>25.527572303498026</v>
      </c>
      <c r="AF194" s="146">
        <f t="shared" si="22"/>
        <v>8.4797163218617382E-5</v>
      </c>
      <c r="AI194" s="184"/>
      <c r="AJ194" s="184"/>
    </row>
    <row r="195" spans="9:36" x14ac:dyDescent="0.25">
      <c r="I195" s="125">
        <v>5.4462768269399997E-2</v>
      </c>
      <c r="J195" s="50">
        <v>6.873568895883448E-5</v>
      </c>
      <c r="K195" s="50">
        <v>9.4312764695332139E-6</v>
      </c>
      <c r="L195" s="67">
        <v>1.1106205451294981E-4</v>
      </c>
      <c r="M195" s="33"/>
      <c r="N195" s="18">
        <v>-1.497974836322466E-6</v>
      </c>
      <c r="O195" s="18">
        <v>5.8343408876681173E-11</v>
      </c>
      <c r="P195" s="18">
        <v>1.8388763567899824E-8</v>
      </c>
      <c r="Q195" s="28">
        <v>2.3622274222565238</v>
      </c>
      <c r="R195" s="61">
        <v>385.12572303498024</v>
      </c>
      <c r="S195" s="58">
        <v>8.0800671488840303E-7</v>
      </c>
      <c r="U195" s="173">
        <v>1.4256682335585843E-4</v>
      </c>
      <c r="V195" s="173">
        <v>1.1106205451294981E-4</v>
      </c>
      <c r="W195" s="173">
        <v>1.1997155570302916E-4</v>
      </c>
      <c r="X195" s="174">
        <f t="shared" ref="X195:X258" si="24">(U195+2*V195+W195)/4</f>
        <v>1.2116562202119679E-4</v>
      </c>
      <c r="Y195" s="187">
        <f t="shared" ref="Y195:Y258" si="25">(J195-X195)*(J195-X195)/(K195*K195)</f>
        <v>30.904210586089558</v>
      </c>
      <c r="AA195" s="144">
        <f t="shared" ref="AA195:AA258" si="26">I195*10</f>
        <v>0.54462768269399997</v>
      </c>
      <c r="AB195" s="145">
        <f t="shared" ref="AB195:AB258" si="27">J195</f>
        <v>6.873568895883448E-5</v>
      </c>
      <c r="AC195" s="145">
        <f t="shared" ref="AC195:AC258" si="28">K195</f>
        <v>9.4312764695332139E-6</v>
      </c>
      <c r="AD195" s="145">
        <f t="shared" si="23"/>
        <v>1.2116562202119679E-4</v>
      </c>
      <c r="AE195" s="146">
        <f t="shared" ref="AE195:AE258" si="29">(R195-129.85)/10</f>
        <v>25.527572303498026</v>
      </c>
      <c r="AF195" s="146">
        <f t="shared" ref="AF195:AF258" si="30">S195*100</f>
        <v>8.0800671488840306E-5</v>
      </c>
      <c r="AI195" s="184"/>
      <c r="AJ195" s="184"/>
    </row>
    <row r="196" spans="9:36" x14ac:dyDescent="0.25">
      <c r="I196" s="125">
        <v>5.5007395952099997E-2</v>
      </c>
      <c r="J196" s="50">
        <v>8.275216322069691E-5</v>
      </c>
      <c r="K196" s="50">
        <v>1.0039619864008965E-5</v>
      </c>
      <c r="L196" s="67">
        <v>1.0561018984207423E-4</v>
      </c>
      <c r="M196" s="33"/>
      <c r="N196" s="18">
        <v>-1.5444822373874384E-6</v>
      </c>
      <c r="O196" s="18">
        <v>6.5679356811242874E-11</v>
      </c>
      <c r="P196" s="18">
        <v>2.0963047927567611E-8</v>
      </c>
      <c r="Q196" s="28">
        <v>2.2366481786536836</v>
      </c>
      <c r="R196" s="61">
        <v>389.1711288534413</v>
      </c>
      <c r="S196" s="58">
        <v>8.0800671488840303E-7</v>
      </c>
      <c r="U196" s="173">
        <v>1.4325525601595281E-4</v>
      </c>
      <c r="V196" s="173">
        <v>1.0561018984207423E-4</v>
      </c>
      <c r="W196" s="173">
        <v>1.1352051226289548E-4</v>
      </c>
      <c r="X196" s="174">
        <f t="shared" si="24"/>
        <v>1.1699903699074919E-4</v>
      </c>
      <c r="Y196" s="187">
        <f t="shared" si="25"/>
        <v>11.63609685946062</v>
      </c>
      <c r="AA196" s="144">
        <f t="shared" si="26"/>
        <v>0.55007395952100002</v>
      </c>
      <c r="AB196" s="145">
        <f t="shared" si="27"/>
        <v>8.275216322069691E-5</v>
      </c>
      <c r="AC196" s="145">
        <f t="shared" si="28"/>
        <v>1.0039619864008965E-5</v>
      </c>
      <c r="AD196" s="145">
        <f t="shared" ref="AD196:AD259" si="31">X196</f>
        <v>1.1699903699074919E-4</v>
      </c>
      <c r="AE196" s="146">
        <f t="shared" si="29"/>
        <v>25.932112885344132</v>
      </c>
      <c r="AF196" s="146">
        <f t="shared" si="30"/>
        <v>8.0800671488840306E-5</v>
      </c>
      <c r="AI196" s="184"/>
      <c r="AJ196" s="184"/>
    </row>
    <row r="197" spans="9:36" x14ac:dyDescent="0.25">
      <c r="I197" s="125">
        <v>5.5557469911600002E-2</v>
      </c>
      <c r="J197" s="50">
        <v>6.0087626225012949E-5</v>
      </c>
      <c r="K197" s="50">
        <v>9.2958826992330986E-6</v>
      </c>
      <c r="L197" s="67">
        <v>1.0316264153584131E-4</v>
      </c>
      <c r="M197" s="33"/>
      <c r="N197" s="18">
        <v>-1.5907211588999805E-6</v>
      </c>
      <c r="O197" s="18">
        <v>7.2963468132973185E-11</v>
      </c>
      <c r="P197" s="18">
        <v>2.3520175058646213E-8</v>
      </c>
      <c r="Q197" s="28">
        <v>2.1601746947148919</v>
      </c>
      <c r="R197" s="61">
        <v>389.1711288534413</v>
      </c>
      <c r="S197" s="58">
        <v>7.6582973201901843E-7</v>
      </c>
      <c r="U197" s="173">
        <v>1.3974334020261164E-4</v>
      </c>
      <c r="V197" s="173">
        <v>1.0316264153584131E-4</v>
      </c>
      <c r="W197" s="173">
        <v>1.083255813905221E-4</v>
      </c>
      <c r="X197" s="174">
        <f t="shared" si="24"/>
        <v>1.1359855116620409E-4</v>
      </c>
      <c r="Y197" s="187">
        <f t="shared" si="25"/>
        <v>33.136271956201405</v>
      </c>
      <c r="AA197" s="144">
        <f t="shared" si="26"/>
        <v>0.55557469911599999</v>
      </c>
      <c r="AB197" s="145">
        <f t="shared" si="27"/>
        <v>6.0087626225012949E-5</v>
      </c>
      <c r="AC197" s="145">
        <f t="shared" si="28"/>
        <v>9.2958826992330986E-6</v>
      </c>
      <c r="AD197" s="145">
        <f t="shared" si="31"/>
        <v>1.1359855116620409E-4</v>
      </c>
      <c r="AE197" s="146">
        <f t="shared" si="29"/>
        <v>25.932112885344132</v>
      </c>
      <c r="AF197" s="146">
        <f t="shared" si="30"/>
        <v>7.6582973201901844E-5</v>
      </c>
      <c r="AI197" s="184"/>
      <c r="AJ197" s="184"/>
    </row>
    <row r="198" spans="9:36" x14ac:dyDescent="0.25">
      <c r="I198" s="125">
        <v>5.6113044610699998E-2</v>
      </c>
      <c r="J198" s="50">
        <v>6.8080431968158128E-5</v>
      </c>
      <c r="K198" s="50">
        <v>9.0245211268578059E-6</v>
      </c>
      <c r="L198" s="67">
        <v>1.02406093334545E-4</v>
      </c>
      <c r="M198" s="33"/>
      <c r="N198" s="18">
        <v>-1.636728115085401E-6</v>
      </c>
      <c r="O198" s="18">
        <v>8.0193100198418168E-11</v>
      </c>
      <c r="P198" s="18">
        <v>2.6060132427458938E-8</v>
      </c>
      <c r="Q198" s="28">
        <v>2.1238874184932852</v>
      </c>
      <c r="R198" s="61">
        <v>392.46322472740292</v>
      </c>
      <c r="S198" s="58">
        <v>7.6582973201901843E-7</v>
      </c>
      <c r="U198" s="173">
        <v>1.3235868040621451E-4</v>
      </c>
      <c r="V198" s="173">
        <v>1.02406093334545E-4</v>
      </c>
      <c r="W198" s="173">
        <v>1.0567457891373694E-4</v>
      </c>
      <c r="X198" s="174">
        <f t="shared" si="24"/>
        <v>1.1071136149726035E-4</v>
      </c>
      <c r="Y198" s="187">
        <f t="shared" si="25"/>
        <v>22.315225114865775</v>
      </c>
      <c r="AA198" s="144">
        <f t="shared" si="26"/>
        <v>0.56113044610700002</v>
      </c>
      <c r="AB198" s="145">
        <f t="shared" si="27"/>
        <v>6.8080431968158128E-5</v>
      </c>
      <c r="AC198" s="145">
        <f t="shared" si="28"/>
        <v>9.0245211268578059E-6</v>
      </c>
      <c r="AD198" s="145">
        <f t="shared" si="31"/>
        <v>1.1071136149726035E-4</v>
      </c>
      <c r="AE198" s="146">
        <f t="shared" si="29"/>
        <v>26.261322472740289</v>
      </c>
      <c r="AF198" s="146">
        <f t="shared" si="30"/>
        <v>7.6582973201901844E-5</v>
      </c>
      <c r="AI198" s="184"/>
      <c r="AJ198" s="184"/>
    </row>
    <row r="199" spans="9:36" x14ac:dyDescent="0.25">
      <c r="I199" s="125">
        <v>5.6674175056800002E-2</v>
      </c>
      <c r="J199" s="50">
        <v>5.2637243647758738E-5</v>
      </c>
      <c r="K199" s="50">
        <v>8.1339107645277784E-6</v>
      </c>
      <c r="L199" s="67">
        <v>1.0190845068126472E-4</v>
      </c>
      <c r="M199" s="33"/>
      <c r="N199" s="18">
        <v>-1.654561816348625E-6</v>
      </c>
      <c r="O199" s="18">
        <v>8.2625710620967854E-11</v>
      </c>
      <c r="P199" s="18">
        <v>2.6955188029432948E-8</v>
      </c>
      <c r="Q199" s="28">
        <v>2.1415551743561405</v>
      </c>
      <c r="R199" s="61">
        <v>392.46322472740292</v>
      </c>
      <c r="S199" s="58">
        <v>7.2255503489614754E-7</v>
      </c>
      <c r="U199" s="173">
        <v>1.2224801188526641E-4</v>
      </c>
      <c r="V199" s="173">
        <v>1.0190845068126472E-4</v>
      </c>
      <c r="W199" s="173">
        <v>1.0605847484912883E-4</v>
      </c>
      <c r="X199" s="174">
        <f t="shared" si="24"/>
        <v>1.0803084702423117E-4</v>
      </c>
      <c r="Y199" s="187">
        <f t="shared" si="25"/>
        <v>46.378898200999828</v>
      </c>
      <c r="AA199" s="144">
        <f t="shared" si="26"/>
        <v>0.56674175056800002</v>
      </c>
      <c r="AB199" s="145">
        <f t="shared" si="27"/>
        <v>5.2637243647758738E-5</v>
      </c>
      <c r="AC199" s="145">
        <f t="shared" si="28"/>
        <v>8.1339107645277784E-6</v>
      </c>
      <c r="AD199" s="145">
        <f t="shared" si="31"/>
        <v>1.0803084702423117E-4</v>
      </c>
      <c r="AE199" s="146">
        <f t="shared" si="29"/>
        <v>26.261322472740289</v>
      </c>
      <c r="AF199" s="146">
        <f t="shared" si="30"/>
        <v>7.2255503489614752E-5</v>
      </c>
      <c r="AI199" s="184"/>
      <c r="AJ199" s="184"/>
    </row>
    <row r="200" spans="9:36" x14ac:dyDescent="0.25">
      <c r="I200" s="125">
        <v>5.7240916807399997E-2</v>
      </c>
      <c r="J200" s="50">
        <v>6.5376530228203851E-5</v>
      </c>
      <c r="K200" s="50">
        <v>8.5181006046089708E-6</v>
      </c>
      <c r="L200" s="67">
        <v>1.0053893805921577E-4</v>
      </c>
      <c r="M200" s="33"/>
      <c r="N200" s="18">
        <v>-1.7250902124869835E-6</v>
      </c>
      <c r="O200" s="18">
        <v>9.3625565162185234E-11</v>
      </c>
      <c r="P200" s="18">
        <v>3.0828807440561383E-8</v>
      </c>
      <c r="Q200" s="28">
        <v>4.283110348712281</v>
      </c>
      <c r="R200" s="61">
        <v>395.30596779174914</v>
      </c>
      <c r="S200" s="58">
        <v>7.2255503489614754E-7</v>
      </c>
      <c r="U200" s="173">
        <v>1.1099784266476308E-4</v>
      </c>
      <c r="V200" s="173">
        <v>1.0053893805921577E-4</v>
      </c>
      <c r="W200" s="173">
        <v>1.0893612553683199E-4</v>
      </c>
      <c r="X200" s="174">
        <f t="shared" si="24"/>
        <v>1.0525296108000665E-4</v>
      </c>
      <c r="Y200" s="187">
        <f t="shared" si="25"/>
        <v>21.91528028150006</v>
      </c>
      <c r="AA200" s="144">
        <f t="shared" si="26"/>
        <v>0.572409168074</v>
      </c>
      <c r="AB200" s="145">
        <f t="shared" si="27"/>
        <v>6.5376530228203851E-5</v>
      </c>
      <c r="AC200" s="145">
        <f t="shared" si="28"/>
        <v>8.5181006046089708E-6</v>
      </c>
      <c r="AD200" s="145">
        <f t="shared" si="31"/>
        <v>1.0525296108000665E-4</v>
      </c>
      <c r="AE200" s="146">
        <f t="shared" si="29"/>
        <v>26.545596779174911</v>
      </c>
      <c r="AF200" s="146">
        <f t="shared" si="30"/>
        <v>7.2255503489614752E-5</v>
      </c>
      <c r="AI200" s="184"/>
      <c r="AJ200" s="184"/>
    </row>
    <row r="201" spans="9:36" x14ac:dyDescent="0.25">
      <c r="I201" s="125">
        <v>5.7813325975400003E-2</v>
      </c>
      <c r="J201" s="50">
        <v>5.8393053520005134E-5</v>
      </c>
      <c r="K201" s="50">
        <v>8.3027901072259826E-6</v>
      </c>
      <c r="L201" s="67">
        <v>9.7766956955833639E-5</v>
      </c>
      <c r="M201" s="33"/>
      <c r="N201" s="18">
        <v>-1.8141668675002627E-6</v>
      </c>
      <c r="O201" s="18">
        <v>1.0734054666489258E-10</v>
      </c>
      <c r="P201" s="18">
        <v>3.5678133810868018E-8</v>
      </c>
      <c r="Q201" s="28">
        <v>4.283110348712281</v>
      </c>
      <c r="R201" s="61">
        <v>395.30596779174914</v>
      </c>
      <c r="S201" s="58">
        <v>6.7873814051730507E-7</v>
      </c>
      <c r="U201" s="173">
        <v>1.0021869564609713E-4</v>
      </c>
      <c r="V201" s="173">
        <v>9.7766956955833639E-5</v>
      </c>
      <c r="W201" s="173">
        <v>1.1282757962264661E-4</v>
      </c>
      <c r="X201" s="174">
        <f t="shared" si="24"/>
        <v>1.0214504729510276E-4</v>
      </c>
      <c r="Y201" s="187">
        <f t="shared" si="25"/>
        <v>27.768190415622879</v>
      </c>
      <c r="AA201" s="144">
        <f t="shared" si="26"/>
        <v>0.57813325975399998</v>
      </c>
      <c r="AB201" s="145">
        <f t="shared" si="27"/>
        <v>5.8393053520005134E-5</v>
      </c>
      <c r="AC201" s="145">
        <f t="shared" si="28"/>
        <v>8.3027901072259826E-6</v>
      </c>
      <c r="AD201" s="145">
        <f t="shared" si="31"/>
        <v>1.0214504729510276E-4</v>
      </c>
      <c r="AE201" s="146">
        <f t="shared" si="29"/>
        <v>26.545596779174911</v>
      </c>
      <c r="AF201" s="146">
        <f t="shared" si="30"/>
        <v>6.7873814051730503E-5</v>
      </c>
      <c r="AI201" s="184"/>
      <c r="AJ201" s="184"/>
    </row>
    <row r="202" spans="9:36" x14ac:dyDescent="0.25">
      <c r="I202" s="125">
        <v>5.8391459235199998E-2</v>
      </c>
      <c r="J202" s="50">
        <v>3.2476431156383347E-5</v>
      </c>
      <c r="K202" s="50">
        <v>6.8507823544116723E-6</v>
      </c>
      <c r="L202" s="67">
        <v>9.3762484919543106E-5</v>
      </c>
      <c r="M202" s="33"/>
      <c r="N202" s="18">
        <v>-1.8933902354108262E-6</v>
      </c>
      <c r="O202" s="18">
        <v>1.1925435288365444E-10</v>
      </c>
      <c r="P202" s="18">
        <v>3.9922289503816581E-8</v>
      </c>
      <c r="Q202" s="28">
        <v>4.283110348712281</v>
      </c>
      <c r="R202" s="61">
        <v>397.85972613177285</v>
      </c>
      <c r="S202" s="58">
        <v>6.7873814051730507E-7</v>
      </c>
      <c r="U202" s="173">
        <v>9.1181556774802796E-5</v>
      </c>
      <c r="V202" s="173">
        <v>9.3762484919543106E-5</v>
      </c>
      <c r="W202" s="173">
        <v>1.1572027841498333E-4</v>
      </c>
      <c r="X202" s="174">
        <f t="shared" si="24"/>
        <v>9.8606701257218077E-5</v>
      </c>
      <c r="Y202" s="187">
        <f t="shared" si="25"/>
        <v>93.179473497309601</v>
      </c>
      <c r="AA202" s="144">
        <f t="shared" si="26"/>
        <v>0.58391459235199994</v>
      </c>
      <c r="AB202" s="145">
        <f t="shared" si="27"/>
        <v>3.2476431156383347E-5</v>
      </c>
      <c r="AC202" s="145">
        <f t="shared" si="28"/>
        <v>6.8507823544116723E-6</v>
      </c>
      <c r="AD202" s="145">
        <f t="shared" si="31"/>
        <v>9.8606701257218077E-5</v>
      </c>
      <c r="AE202" s="146">
        <f t="shared" si="29"/>
        <v>26.800972613177283</v>
      </c>
      <c r="AF202" s="146">
        <f t="shared" si="30"/>
        <v>6.7873814051730503E-5</v>
      </c>
      <c r="AI202" s="184"/>
      <c r="AJ202" s="184"/>
    </row>
    <row r="203" spans="9:36" x14ac:dyDescent="0.25">
      <c r="I203" s="125">
        <v>5.89753738276E-2</v>
      </c>
      <c r="J203" s="50">
        <v>6.0319808404098067E-5</v>
      </c>
      <c r="K203" s="50">
        <v>7.8427372616168643E-6</v>
      </c>
      <c r="L203" s="67">
        <v>8.9276525187772398E-5</v>
      </c>
      <c r="M203" s="33"/>
      <c r="N203" s="18">
        <v>-1.959977955529369E-6</v>
      </c>
      <c r="O203" s="18">
        <v>1.2889059411907048E-10</v>
      </c>
      <c r="P203" s="18">
        <v>4.3398186561802307E-8</v>
      </c>
      <c r="Q203" s="28">
        <v>4.283110348712281</v>
      </c>
      <c r="R203" s="61">
        <v>397.85972613177285</v>
      </c>
      <c r="S203" s="58">
        <v>6.3466598407623349E-7</v>
      </c>
      <c r="U203" s="173">
        <v>8.4579015487115528E-5</v>
      </c>
      <c r="V203" s="173">
        <v>8.9276525187772398E-5</v>
      </c>
      <c r="W203" s="173">
        <v>1.1567383867772836E-4</v>
      </c>
      <c r="X203" s="174">
        <f t="shared" si="24"/>
        <v>9.470147613509717E-5</v>
      </c>
      <c r="Y203" s="187">
        <f t="shared" si="25"/>
        <v>19.218458303506836</v>
      </c>
      <c r="AA203" s="144">
        <f t="shared" si="26"/>
        <v>0.58975373827599997</v>
      </c>
      <c r="AB203" s="145">
        <f t="shared" si="27"/>
        <v>6.0319808404098067E-5</v>
      </c>
      <c r="AC203" s="145">
        <f t="shared" si="28"/>
        <v>7.8427372616168643E-6</v>
      </c>
      <c r="AD203" s="145">
        <f t="shared" si="31"/>
        <v>9.470147613509717E-5</v>
      </c>
      <c r="AE203" s="146">
        <f t="shared" si="29"/>
        <v>26.800972613177283</v>
      </c>
      <c r="AF203" s="146">
        <f t="shared" si="30"/>
        <v>6.3466598407623345E-5</v>
      </c>
      <c r="AI203" s="184"/>
      <c r="AJ203" s="184"/>
    </row>
    <row r="204" spans="9:36" x14ac:dyDescent="0.25">
      <c r="I204" s="125">
        <v>5.95651275658E-2</v>
      </c>
      <c r="J204" s="50">
        <v>4.5665668119221817E-5</v>
      </c>
      <c r="K204" s="50">
        <v>7.5151311595240054E-6</v>
      </c>
      <c r="L204" s="67">
        <v>8.5342236683061615E-5</v>
      </c>
      <c r="M204" s="33"/>
      <c r="N204" s="18">
        <v>-2.0132315098922826E-6</v>
      </c>
      <c r="O204" s="18">
        <v>1.3612654252436546E-10</v>
      </c>
      <c r="P204" s="18">
        <v>4.6064124014415701E-8</v>
      </c>
      <c r="Q204" s="28">
        <v>4.283110348712281</v>
      </c>
      <c r="R204" s="61">
        <v>400.22195355402937</v>
      </c>
      <c r="S204" s="58">
        <v>6.3466598407623349E-7</v>
      </c>
      <c r="U204" s="173">
        <v>8.0452125073002744E-5</v>
      </c>
      <c r="V204" s="173">
        <v>8.5342236683061615E-5</v>
      </c>
      <c r="W204" s="173">
        <v>1.1144024944253515E-4</v>
      </c>
      <c r="X204" s="174">
        <f t="shared" si="24"/>
        <v>9.0644211970415282E-5</v>
      </c>
      <c r="Y204" s="187">
        <f t="shared" si="25"/>
        <v>35.820995692153559</v>
      </c>
      <c r="AA204" s="144">
        <f t="shared" si="26"/>
        <v>0.59565127565800002</v>
      </c>
      <c r="AB204" s="145">
        <f t="shared" si="27"/>
        <v>4.5665668119221817E-5</v>
      </c>
      <c r="AC204" s="145">
        <f t="shared" si="28"/>
        <v>7.5151311595240054E-6</v>
      </c>
      <c r="AD204" s="145">
        <f t="shared" si="31"/>
        <v>9.0644211970415282E-5</v>
      </c>
      <c r="AE204" s="146">
        <f t="shared" si="29"/>
        <v>27.037195355402936</v>
      </c>
      <c r="AF204" s="146">
        <f t="shared" si="30"/>
        <v>6.3466598407623345E-5</v>
      </c>
      <c r="AI204" s="184"/>
      <c r="AJ204" s="184"/>
    </row>
    <row r="205" spans="9:36" x14ac:dyDescent="0.25">
      <c r="I205" s="126">
        <v>6.01607788415E-2</v>
      </c>
      <c r="J205" s="50">
        <v>5.989983854193978E-5</v>
      </c>
      <c r="K205" s="50">
        <v>7.841105974418392E-6</v>
      </c>
      <c r="L205" s="67">
        <v>8.288914816354026E-5</v>
      </c>
      <c r="M205" s="33"/>
      <c r="N205" s="18">
        <v>-2.0542275135446383E-6</v>
      </c>
      <c r="O205" s="18">
        <v>1.4114100569669349E-10</v>
      </c>
      <c r="P205" s="18">
        <v>4.7981869605334478E-8</v>
      </c>
      <c r="Q205" s="28">
        <v>4.283110348712281</v>
      </c>
      <c r="R205" s="61">
        <v>400.22195355402937</v>
      </c>
      <c r="S205" s="58">
        <v>5.9048560783897882E-7</v>
      </c>
      <c r="U205" s="173">
        <v>7.8284133280677671E-5</v>
      </c>
      <c r="V205" s="173">
        <v>8.288914816354026E-5</v>
      </c>
      <c r="W205" s="173">
        <v>1.0290089105699737E-4</v>
      </c>
      <c r="X205" s="174">
        <f t="shared" si="24"/>
        <v>8.6740830166188884E-5</v>
      </c>
      <c r="Y205" s="187">
        <f t="shared" si="25"/>
        <v>11.717702461325649</v>
      </c>
      <c r="AA205" s="144">
        <f t="shared" si="26"/>
        <v>0.60160778841499996</v>
      </c>
      <c r="AB205" s="145">
        <f t="shared" si="27"/>
        <v>5.989983854193978E-5</v>
      </c>
      <c r="AC205" s="145">
        <f t="shared" si="28"/>
        <v>7.841105974418392E-6</v>
      </c>
      <c r="AD205" s="145">
        <f t="shared" si="31"/>
        <v>8.6740830166188884E-5</v>
      </c>
      <c r="AE205" s="146">
        <f t="shared" si="29"/>
        <v>27.037195355402936</v>
      </c>
      <c r="AF205" s="146">
        <f t="shared" si="30"/>
        <v>5.9048560783897883E-5</v>
      </c>
      <c r="AI205" s="184"/>
      <c r="AJ205" s="184"/>
    </row>
    <row r="206" spans="9:36" x14ac:dyDescent="0.25">
      <c r="I206" s="126">
        <v>6.0762386629900002E-2</v>
      </c>
      <c r="J206" s="50">
        <v>6.8561351817548574E-5</v>
      </c>
      <c r="K206" s="50">
        <v>8.5898882412209508E-6</v>
      </c>
      <c r="L206" s="67">
        <v>8.2389427902219381E-5</v>
      </c>
      <c r="M206" s="33"/>
      <c r="N206" s="18">
        <v>-2.0851790532017485E-6</v>
      </c>
      <c r="O206" s="18">
        <v>1.4430632979799857E-10</v>
      </c>
      <c r="P206" s="18">
        <v>4.9279552237888645E-8</v>
      </c>
      <c r="Q206" s="28">
        <v>4.283110348712281</v>
      </c>
      <c r="R206" s="61">
        <v>402.45860173268306</v>
      </c>
      <c r="S206" s="58">
        <v>5.9048560783897882E-7</v>
      </c>
      <c r="U206" s="173">
        <v>7.7223054334696033E-5</v>
      </c>
      <c r="V206" s="173">
        <v>8.2389427902219381E-5</v>
      </c>
      <c r="W206" s="173">
        <v>9.1168742762362987E-5</v>
      </c>
      <c r="X206" s="174">
        <f t="shared" si="24"/>
        <v>8.3292663225374442E-5</v>
      </c>
      <c r="Y206" s="187">
        <f t="shared" si="25"/>
        <v>2.941086471804697</v>
      </c>
      <c r="AA206" s="144">
        <f t="shared" si="26"/>
        <v>0.607623866299</v>
      </c>
      <c r="AB206" s="145">
        <f t="shared" si="27"/>
        <v>6.8561351817548574E-5</v>
      </c>
      <c r="AC206" s="145">
        <f t="shared" si="28"/>
        <v>8.5898882412209508E-6</v>
      </c>
      <c r="AD206" s="145">
        <f t="shared" si="31"/>
        <v>8.3292663225374442E-5</v>
      </c>
      <c r="AE206" s="146">
        <f t="shared" si="29"/>
        <v>27.260860173268306</v>
      </c>
      <c r="AF206" s="146">
        <f t="shared" si="30"/>
        <v>5.9048560783897883E-5</v>
      </c>
      <c r="AI206" s="184"/>
      <c r="AJ206" s="184"/>
    </row>
    <row r="207" spans="9:36" x14ac:dyDescent="0.25">
      <c r="I207" s="126">
        <v>6.13700104962E-2</v>
      </c>
      <c r="J207" s="50">
        <v>7.2083020521841178E-5</v>
      </c>
      <c r="K207" s="50">
        <v>8.0709052162514159E-6</v>
      </c>
      <c r="L207" s="67">
        <v>8.364784930233375E-5</v>
      </c>
      <c r="M207" s="33"/>
      <c r="N207" s="18">
        <v>-2.1087267595463498E-6</v>
      </c>
      <c r="O207" s="18">
        <v>1.4606849533447367E-10</v>
      </c>
      <c r="P207" s="18">
        <v>5.0110465655033199E-8</v>
      </c>
      <c r="Q207" s="28">
        <v>4.283110348712281</v>
      </c>
      <c r="R207" s="61">
        <v>402.45860173268306</v>
      </c>
      <c r="S207" s="58">
        <v>5.4626774464580233E-7</v>
      </c>
      <c r="U207" s="173">
        <v>7.6365835622645709E-5</v>
      </c>
      <c r="V207" s="173">
        <v>8.364784930233375E-5</v>
      </c>
      <c r="W207" s="173">
        <v>7.8303410338159812E-5</v>
      </c>
      <c r="X207" s="174">
        <f t="shared" si="24"/>
        <v>8.0491236141368259E-5</v>
      </c>
      <c r="Y207" s="187">
        <f t="shared" si="25"/>
        <v>1.0853334452252166</v>
      </c>
      <c r="AA207" s="144">
        <f t="shared" si="26"/>
        <v>0.613700104962</v>
      </c>
      <c r="AB207" s="145">
        <f t="shared" si="27"/>
        <v>7.2083020521841178E-5</v>
      </c>
      <c r="AC207" s="145">
        <f t="shared" si="28"/>
        <v>8.0709052162514159E-6</v>
      </c>
      <c r="AD207" s="145">
        <f t="shared" si="31"/>
        <v>8.0491236141368259E-5</v>
      </c>
      <c r="AE207" s="146">
        <f t="shared" si="29"/>
        <v>27.260860173268306</v>
      </c>
      <c r="AF207" s="146">
        <f t="shared" si="30"/>
        <v>5.462677446458023E-5</v>
      </c>
      <c r="AI207" s="184"/>
      <c r="AJ207" s="184"/>
    </row>
    <row r="208" spans="9:36" x14ac:dyDescent="0.25">
      <c r="I208" s="126">
        <v>6.1983710601199997E-2</v>
      </c>
      <c r="J208" s="50">
        <v>8.7774963597080915E-5</v>
      </c>
      <c r="K208" s="50">
        <v>9.2295652807901292E-6</v>
      </c>
      <c r="L208" s="67">
        <v>8.5806328550490441E-5</v>
      </c>
      <c r="M208" s="33"/>
      <c r="N208" s="18">
        <v>-2.1273696212079262E-6</v>
      </c>
      <c r="O208" s="18">
        <v>1.4685085794454341E-10</v>
      </c>
      <c r="P208" s="18">
        <v>5.0619994997652899E-8</v>
      </c>
      <c r="Q208" s="28">
        <v>4.283110348712281</v>
      </c>
      <c r="R208" s="61">
        <v>404.61877642739796</v>
      </c>
      <c r="S208" s="58">
        <v>5.4626774464580233E-7</v>
      </c>
      <c r="U208" s="173">
        <v>7.5024766864976961E-5</v>
      </c>
      <c r="V208" s="173">
        <v>8.5806328550490441E-5</v>
      </c>
      <c r="W208" s="173">
        <v>6.671028665310005E-5</v>
      </c>
      <c r="X208" s="174">
        <f t="shared" si="24"/>
        <v>7.8336927654764477E-5</v>
      </c>
      <c r="Y208" s="187">
        <f t="shared" si="25"/>
        <v>1.0456847200121779</v>
      </c>
      <c r="AA208" s="144">
        <f t="shared" si="26"/>
        <v>0.61983710601199993</v>
      </c>
      <c r="AB208" s="145">
        <f t="shared" si="27"/>
        <v>8.7774963597080915E-5</v>
      </c>
      <c r="AC208" s="145">
        <f t="shared" si="28"/>
        <v>9.2295652807901292E-6</v>
      </c>
      <c r="AD208" s="145">
        <f t="shared" si="31"/>
        <v>7.8336927654764477E-5</v>
      </c>
      <c r="AE208" s="146">
        <f t="shared" si="29"/>
        <v>27.476877642739794</v>
      </c>
      <c r="AF208" s="146">
        <f t="shared" si="30"/>
        <v>5.462677446458023E-5</v>
      </c>
      <c r="AI208" s="184"/>
      <c r="AJ208" s="184"/>
    </row>
    <row r="209" spans="9:36" x14ac:dyDescent="0.25">
      <c r="I209" s="125">
        <v>6.2603547707200002E-2</v>
      </c>
      <c r="J209" s="50">
        <v>9.0193554717377117E-5</v>
      </c>
      <c r="K209" s="50">
        <v>9.1525649789255038E-6</v>
      </c>
      <c r="L209" s="67">
        <v>8.7569984365081757E-5</v>
      </c>
      <c r="M209" s="33"/>
      <c r="N209" s="18">
        <v>-2.143134071435836E-6</v>
      </c>
      <c r="O209" s="18">
        <v>1.4699821265583161E-10</v>
      </c>
      <c r="P209" s="18">
        <v>5.0926395208700189E-8</v>
      </c>
      <c r="Q209" s="28">
        <v>4.283110348712281</v>
      </c>
      <c r="R209" s="61">
        <v>404.61877642739796</v>
      </c>
      <c r="S209" s="58">
        <v>5.0204123119388497E-7</v>
      </c>
      <c r="U209" s="173">
        <v>7.2904930413472238E-5</v>
      </c>
      <c r="V209" s="173">
        <v>8.7569984365081757E-5</v>
      </c>
      <c r="W209" s="173">
        <v>5.8404598459392338E-5</v>
      </c>
      <c r="X209" s="174">
        <f t="shared" si="24"/>
        <v>7.6612374400757024E-5</v>
      </c>
      <c r="Y209" s="187">
        <f t="shared" si="25"/>
        <v>2.2018584134783556</v>
      </c>
      <c r="AA209" s="144">
        <f t="shared" si="26"/>
        <v>0.62603547707200002</v>
      </c>
      <c r="AB209" s="145">
        <f t="shared" si="27"/>
        <v>9.0193554717377117E-5</v>
      </c>
      <c r="AC209" s="145">
        <f t="shared" si="28"/>
        <v>9.1525649789255038E-6</v>
      </c>
      <c r="AD209" s="145">
        <f t="shared" si="31"/>
        <v>7.6612374400757024E-5</v>
      </c>
      <c r="AE209" s="146">
        <f t="shared" si="29"/>
        <v>27.476877642739794</v>
      </c>
      <c r="AF209" s="146">
        <f t="shared" si="30"/>
        <v>5.02041231193885E-5</v>
      </c>
      <c r="AI209" s="184"/>
      <c r="AJ209" s="184"/>
    </row>
    <row r="210" spans="9:36" x14ac:dyDescent="0.25">
      <c r="I210" s="125">
        <v>6.3229583184199994E-2</v>
      </c>
      <c r="J210" s="50">
        <v>9.6497715382227138E-5</v>
      </c>
      <c r="K210" s="50">
        <v>9.3823895417467911E-6</v>
      </c>
      <c r="L210" s="70">
        <v>8.7592477690099266E-5</v>
      </c>
      <c r="M210" s="18"/>
      <c r="N210" s="18">
        <v>-2.1574717151748815E-6</v>
      </c>
      <c r="O210" s="18">
        <v>1.4675954735614139E-10</v>
      </c>
      <c r="P210" s="18">
        <v>5.1114860308863503E-8</v>
      </c>
      <c r="Q210" s="28">
        <v>4.283110348712281</v>
      </c>
      <c r="R210" s="61">
        <v>406.74266384589123</v>
      </c>
      <c r="S210" s="58">
        <v>5.0204123119388497E-7</v>
      </c>
      <c r="U210" s="173">
        <v>7.0148026505387139E-5</v>
      </c>
      <c r="V210" s="173">
        <v>8.7592477690099266E-5</v>
      </c>
      <c r="W210" s="173">
        <v>5.4378347325610601E-5</v>
      </c>
      <c r="X210" s="174">
        <f t="shared" si="24"/>
        <v>7.4927832302799065E-5</v>
      </c>
      <c r="Y210" s="187">
        <f t="shared" si="25"/>
        <v>5.2852880513956562</v>
      </c>
      <c r="AA210" s="144">
        <f t="shared" si="26"/>
        <v>0.632295831842</v>
      </c>
      <c r="AB210" s="145">
        <f t="shared" si="27"/>
        <v>9.6497715382227138E-5</v>
      </c>
      <c r="AC210" s="145">
        <f t="shared" si="28"/>
        <v>9.3823895417467911E-6</v>
      </c>
      <c r="AD210" s="145">
        <f t="shared" si="31"/>
        <v>7.4927832302799065E-5</v>
      </c>
      <c r="AE210" s="146">
        <f t="shared" si="29"/>
        <v>27.689266384589121</v>
      </c>
      <c r="AF210" s="146">
        <f t="shared" si="30"/>
        <v>5.02041231193885E-5</v>
      </c>
      <c r="AI210" s="184"/>
      <c r="AJ210" s="184"/>
    </row>
    <row r="211" spans="9:36" x14ac:dyDescent="0.25">
      <c r="I211" s="125">
        <v>6.3861879016100007E-2</v>
      </c>
      <c r="J211" s="50">
        <v>8.7736204203048502E-5</v>
      </c>
      <c r="K211" s="50">
        <v>8.7153780766891173E-6</v>
      </c>
      <c r="L211" s="70">
        <v>8.4904751972594218E-5</v>
      </c>
      <c r="M211" s="18"/>
      <c r="N211" s="18">
        <v>-2.1713128451310679E-6</v>
      </c>
      <c r="O211" s="18">
        <v>1.4629714807122305E-10</v>
      </c>
      <c r="P211" s="18">
        <v>5.1240646290953324E-8</v>
      </c>
      <c r="Q211" s="28">
        <v>4.283110348712281</v>
      </c>
      <c r="R211" s="61">
        <v>406.74266384589123</v>
      </c>
      <c r="S211" s="58">
        <v>4.5781375384921078E-7</v>
      </c>
      <c r="U211" s="173">
        <v>6.7236152199559628E-5</v>
      </c>
      <c r="V211" s="173">
        <v>8.4904751972594218E-5</v>
      </c>
      <c r="W211" s="173">
        <v>5.4288820965878462E-5</v>
      </c>
      <c r="X211" s="174">
        <f t="shared" si="24"/>
        <v>7.2833619277656633E-5</v>
      </c>
      <c r="Y211" s="187">
        <f t="shared" si="25"/>
        <v>2.9238207734268382</v>
      </c>
      <c r="AA211" s="144">
        <f t="shared" si="26"/>
        <v>0.63861879016100009</v>
      </c>
      <c r="AB211" s="145">
        <f t="shared" si="27"/>
        <v>8.7736204203048502E-5</v>
      </c>
      <c r="AC211" s="145">
        <f t="shared" si="28"/>
        <v>8.7153780766891173E-6</v>
      </c>
      <c r="AD211" s="145">
        <f t="shared" si="31"/>
        <v>7.2833619277656633E-5</v>
      </c>
      <c r="AE211" s="146">
        <f t="shared" si="29"/>
        <v>27.689266384589121</v>
      </c>
      <c r="AF211" s="146">
        <f t="shared" si="30"/>
        <v>4.5781375384921079E-5</v>
      </c>
      <c r="AI211" s="184"/>
      <c r="AJ211" s="184"/>
    </row>
    <row r="212" spans="9:36" x14ac:dyDescent="0.25">
      <c r="I212" s="125">
        <v>6.45004978062E-2</v>
      </c>
      <c r="J212" s="50">
        <v>8.0869426065876876E-5</v>
      </c>
      <c r="K212" s="50">
        <v>8.7487487435759698E-6</v>
      </c>
      <c r="L212" s="70">
        <v>7.9250894866158132E-5</v>
      </c>
      <c r="M212" s="18"/>
      <c r="N212" s="18">
        <v>-2.1851908428131202E-6</v>
      </c>
      <c r="O212" s="18">
        <v>1.4570767854123779E-10</v>
      </c>
      <c r="P212" s="18">
        <v>5.1336309609965359E-8</v>
      </c>
      <c r="Q212" s="28">
        <v>4.283110348712281</v>
      </c>
      <c r="R212" s="61">
        <v>408.8665512643845</v>
      </c>
      <c r="S212" s="58">
        <v>4.5781375384921078E-7</v>
      </c>
      <c r="U212" s="173">
        <v>6.4789068844375058E-5</v>
      </c>
      <c r="V212" s="173">
        <v>7.9250894866158132E-5</v>
      </c>
      <c r="W212" s="173">
        <v>5.6590664849300971E-5</v>
      </c>
      <c r="X212" s="174">
        <f t="shared" si="24"/>
        <v>6.9970380856498068E-5</v>
      </c>
      <c r="Y212" s="187">
        <f t="shared" si="25"/>
        <v>1.551976067221736</v>
      </c>
      <c r="AA212" s="144">
        <f t="shared" si="26"/>
        <v>0.64500497806199997</v>
      </c>
      <c r="AB212" s="145">
        <f t="shared" si="27"/>
        <v>8.0869426065876876E-5</v>
      </c>
      <c r="AC212" s="145">
        <f t="shared" si="28"/>
        <v>8.7487487435759698E-6</v>
      </c>
      <c r="AD212" s="145">
        <f t="shared" si="31"/>
        <v>6.9970380856498068E-5</v>
      </c>
      <c r="AE212" s="146">
        <f t="shared" si="29"/>
        <v>27.901655126438449</v>
      </c>
      <c r="AF212" s="146">
        <f t="shared" si="30"/>
        <v>4.5781375384921079E-5</v>
      </c>
      <c r="AI212" s="184"/>
      <c r="AJ212" s="184"/>
    </row>
    <row r="213" spans="9:36" x14ac:dyDescent="0.25">
      <c r="I213" s="125">
        <v>6.5145502784299994E-2</v>
      </c>
      <c r="J213" s="50">
        <v>7.7308725380186472E-5</v>
      </c>
      <c r="K213" s="50">
        <v>9.3707841136749942E-6</v>
      </c>
      <c r="L213" s="70">
        <v>7.1216502207318948E-5</v>
      </c>
      <c r="M213" s="18"/>
      <c r="N213" s="18">
        <v>-2.1993736518322356E-6</v>
      </c>
      <c r="O213" s="18">
        <v>1.4504442814314288E-10</v>
      </c>
      <c r="P213" s="18">
        <v>5.1419349914402084E-8</v>
      </c>
      <c r="Q213" s="28">
        <v>4.283110348712281</v>
      </c>
      <c r="R213" s="61">
        <v>408.8665512643845</v>
      </c>
      <c r="S213" s="58">
        <v>4.1358724039729343E-7</v>
      </c>
      <c r="U213" s="173">
        <v>6.3319300028690146E-5</v>
      </c>
      <c r="V213" s="173">
        <v>7.1216502207318948E-5</v>
      </c>
      <c r="W213" s="173">
        <v>5.9085694012538249E-5</v>
      </c>
      <c r="X213" s="174">
        <f t="shared" si="24"/>
        <v>6.6209499613966574E-5</v>
      </c>
      <c r="Y213" s="187">
        <f t="shared" si="25"/>
        <v>1.4029219346562587</v>
      </c>
      <c r="AA213" s="144">
        <f t="shared" si="26"/>
        <v>0.65145502784299991</v>
      </c>
      <c r="AB213" s="145">
        <f t="shared" si="27"/>
        <v>7.7308725380186472E-5</v>
      </c>
      <c r="AC213" s="145">
        <f t="shared" si="28"/>
        <v>9.3707841136749942E-6</v>
      </c>
      <c r="AD213" s="145">
        <f t="shared" si="31"/>
        <v>6.6209499613966574E-5</v>
      </c>
      <c r="AE213" s="146">
        <f t="shared" si="29"/>
        <v>27.901655126438449</v>
      </c>
      <c r="AF213" s="146">
        <f t="shared" si="30"/>
        <v>4.1358724039729342E-5</v>
      </c>
      <c r="AI213" s="184"/>
      <c r="AJ213" s="184"/>
    </row>
    <row r="214" spans="9:36" x14ac:dyDescent="0.25">
      <c r="I214" s="125">
        <v>6.5796957812200005E-2</v>
      </c>
      <c r="J214" s="50">
        <v>6.7799520645670747E-5</v>
      </c>
      <c r="K214" s="50">
        <v>8.1941097507899243E-6</v>
      </c>
      <c r="L214" s="70">
        <v>6.2095018143863237E-5</v>
      </c>
      <c r="M214" s="18"/>
      <c r="N214" s="18">
        <v>-2.213969332892533E-6</v>
      </c>
      <c r="O214" s="18">
        <v>1.4433514137191115E-10</v>
      </c>
      <c r="P214" s="18">
        <v>5.149833823254611E-8</v>
      </c>
      <c r="Q214" s="28">
        <v>4.283110348712281</v>
      </c>
      <c r="R214" s="61">
        <v>411.02672595909939</v>
      </c>
      <c r="S214" s="58">
        <v>4.1358724039729343E-7</v>
      </c>
      <c r="U214" s="173">
        <v>6.3022217436026182E-5</v>
      </c>
      <c r="V214" s="173">
        <v>6.2095018143863237E-5</v>
      </c>
      <c r="W214" s="173">
        <v>5.9713228800257016E-5</v>
      </c>
      <c r="X214" s="174">
        <f t="shared" si="24"/>
        <v>6.173137063100242E-5</v>
      </c>
      <c r="Y214" s="187">
        <f t="shared" si="25"/>
        <v>0.54841467100250341</v>
      </c>
      <c r="AA214" s="144">
        <f t="shared" si="26"/>
        <v>0.65796957812200008</v>
      </c>
      <c r="AB214" s="145">
        <f t="shared" si="27"/>
        <v>6.7799520645670747E-5</v>
      </c>
      <c r="AC214" s="145">
        <f t="shared" si="28"/>
        <v>8.1941097507899243E-6</v>
      </c>
      <c r="AD214" s="145">
        <f t="shared" si="31"/>
        <v>6.173137063100242E-5</v>
      </c>
      <c r="AE214" s="146">
        <f t="shared" si="29"/>
        <v>28.117672595909937</v>
      </c>
      <c r="AF214" s="146">
        <f t="shared" si="30"/>
        <v>4.1358724039729342E-5</v>
      </c>
      <c r="AI214" s="184"/>
      <c r="AJ214" s="184"/>
    </row>
    <row r="215" spans="9:36" x14ac:dyDescent="0.25">
      <c r="I215" s="125">
        <v>6.6454927390299998E-2</v>
      </c>
      <c r="J215" s="50">
        <v>7.1649717206111684E-5</v>
      </c>
      <c r="K215" s="50">
        <v>9.1594928528914599E-6</v>
      </c>
      <c r="L215" s="70">
        <v>5.3519851250983325E-5</v>
      </c>
      <c r="M215" s="18"/>
      <c r="N215" s="18">
        <v>-2.2289974443038216E-6</v>
      </c>
      <c r="O215" s="18">
        <v>1.435940306224636E-10</v>
      </c>
      <c r="P215" s="18">
        <v>5.1577050392771019E-8</v>
      </c>
      <c r="Q215" s="28">
        <v>4.283110348712281</v>
      </c>
      <c r="R215" s="61">
        <v>411.02672595909939</v>
      </c>
      <c r="S215" s="58">
        <v>3.6936937720411694E-7</v>
      </c>
      <c r="U215" s="173">
        <v>6.3668828735784886E-5</v>
      </c>
      <c r="V215" s="173">
        <v>5.3519851250983325E-5</v>
      </c>
      <c r="W215" s="173">
        <v>5.7303386284047036E-5</v>
      </c>
      <c r="X215" s="174">
        <f t="shared" si="24"/>
        <v>5.7002979380449645E-5</v>
      </c>
      <c r="Y215" s="187">
        <f t="shared" si="25"/>
        <v>2.5570484645501574</v>
      </c>
      <c r="AA215" s="144">
        <f t="shared" si="26"/>
        <v>0.664549273903</v>
      </c>
      <c r="AB215" s="145">
        <f t="shared" si="27"/>
        <v>7.1649717206111684E-5</v>
      </c>
      <c r="AC215" s="145">
        <f t="shared" si="28"/>
        <v>9.1594928528914599E-6</v>
      </c>
      <c r="AD215" s="145">
        <f t="shared" si="31"/>
        <v>5.7002979380449645E-5</v>
      </c>
      <c r="AE215" s="146">
        <f t="shared" si="29"/>
        <v>28.117672595909937</v>
      </c>
      <c r="AF215" s="146">
        <f t="shared" si="30"/>
        <v>3.6936937720411696E-5</v>
      </c>
      <c r="AI215" s="184"/>
      <c r="AJ215" s="184"/>
    </row>
    <row r="216" spans="9:36" x14ac:dyDescent="0.25">
      <c r="I216" s="125">
        <v>6.7119476664199998E-2</v>
      </c>
      <c r="J216" s="50">
        <v>7.5607870499418638E-5</v>
      </c>
      <c r="K216" s="50">
        <v>8.7188162156164065E-6</v>
      </c>
      <c r="L216" s="70">
        <v>4.696964745573201E-5</v>
      </c>
      <c r="M216" s="18"/>
      <c r="N216" s="18">
        <v>-2.2444314394907127E-6</v>
      </c>
      <c r="O216" s="18">
        <v>1.4282885164359204E-10</v>
      </c>
      <c r="P216" s="18">
        <v>5.1656907676196253E-8</v>
      </c>
      <c r="Q216" s="28">
        <v>4.283110348712281</v>
      </c>
      <c r="R216" s="61">
        <v>413.26337413775309</v>
      </c>
      <c r="S216" s="58">
        <v>3.6936937720411694E-7</v>
      </c>
      <c r="U216" s="173">
        <v>6.4639089992039186E-5</v>
      </c>
      <c r="V216" s="173">
        <v>4.696964745573201E-5</v>
      </c>
      <c r="W216" s="173">
        <v>5.2009211081016723E-5</v>
      </c>
      <c r="X216" s="174">
        <f t="shared" si="24"/>
        <v>5.2646898996129984E-5</v>
      </c>
      <c r="Y216" s="187">
        <f t="shared" si="25"/>
        <v>6.9353035227192636</v>
      </c>
      <c r="AA216" s="144">
        <f t="shared" si="26"/>
        <v>0.67119476664199995</v>
      </c>
      <c r="AB216" s="145">
        <f t="shared" si="27"/>
        <v>7.5607870499418638E-5</v>
      </c>
      <c r="AC216" s="145">
        <f t="shared" si="28"/>
        <v>8.7188162156164065E-6</v>
      </c>
      <c r="AD216" s="145">
        <f t="shared" si="31"/>
        <v>5.2646898996129984E-5</v>
      </c>
      <c r="AE216" s="146">
        <f t="shared" si="29"/>
        <v>28.341337413775307</v>
      </c>
      <c r="AF216" s="146">
        <f t="shared" si="30"/>
        <v>3.6936937720411696E-5</v>
      </c>
      <c r="AI216" s="184"/>
      <c r="AJ216" s="184"/>
    </row>
    <row r="217" spans="9:36" x14ac:dyDescent="0.25">
      <c r="I217" s="125">
        <v>6.7790671430800004E-2</v>
      </c>
      <c r="J217" s="50">
        <v>9.9477033681803843E-5</v>
      </c>
      <c r="K217" s="50">
        <v>9.5269765656805486E-6</v>
      </c>
      <c r="L217" s="70">
        <v>4.3304240794449658E-5</v>
      </c>
      <c r="M217" s="18"/>
      <c r="N217" s="18">
        <v>-2.2602213607947816E-6</v>
      </c>
      <c r="O217" s="18">
        <v>1.4204461398188399E-10</v>
      </c>
      <c r="P217" s="18">
        <v>5.1738264622651499E-8</v>
      </c>
      <c r="Q217" s="28">
        <v>4.283110348712281</v>
      </c>
      <c r="R217" s="61">
        <v>413.26337413775309</v>
      </c>
      <c r="S217" s="58">
        <v>3.2518900096686226E-7</v>
      </c>
      <c r="U217" s="173">
        <v>6.5091032182150341E-5</v>
      </c>
      <c r="V217" s="173">
        <v>4.3304240794449658E-5</v>
      </c>
      <c r="W217" s="173">
        <v>4.5234095040630518E-5</v>
      </c>
      <c r="X217" s="174">
        <f t="shared" si="24"/>
        <v>4.9233402202920045E-5</v>
      </c>
      <c r="Y217" s="187">
        <f t="shared" si="25"/>
        <v>27.813257025581635</v>
      </c>
      <c r="AA217" s="144">
        <f t="shared" si="26"/>
        <v>0.67790671430799998</v>
      </c>
      <c r="AB217" s="145">
        <f t="shared" si="27"/>
        <v>9.9477033681803843E-5</v>
      </c>
      <c r="AC217" s="145">
        <f t="shared" si="28"/>
        <v>9.5269765656805486E-6</v>
      </c>
      <c r="AD217" s="145">
        <f t="shared" si="31"/>
        <v>4.9233402202920045E-5</v>
      </c>
      <c r="AE217" s="146">
        <f t="shared" si="29"/>
        <v>28.341337413775307</v>
      </c>
      <c r="AF217" s="146">
        <f t="shared" si="30"/>
        <v>3.2518900096686227E-5</v>
      </c>
      <c r="AI217" s="184"/>
      <c r="AJ217" s="184"/>
    </row>
    <row r="218" spans="9:36" x14ac:dyDescent="0.25">
      <c r="I218" s="125">
        <v>6.8468578145100004E-2</v>
      </c>
      <c r="J218" s="50">
        <v>6.8388166781471442E-5</v>
      </c>
      <c r="K218" s="50">
        <v>8.2821628901564596E-6</v>
      </c>
      <c r="L218" s="70">
        <v>4.2489669986503674E-5</v>
      </c>
      <c r="M218" s="18"/>
      <c r="N218" s="18">
        <v>-2.2763050801365425E-6</v>
      </c>
      <c r="O218" s="18">
        <v>1.4124532538728135E-10</v>
      </c>
      <c r="P218" s="18">
        <v>5.1821024287360585E-8</v>
      </c>
      <c r="Q218" s="28">
        <v>4.283110348712281</v>
      </c>
      <c r="R218" s="61">
        <v>415.62560156000961</v>
      </c>
      <c r="S218" s="58">
        <v>3.2518900096686226E-7</v>
      </c>
      <c r="U218" s="173">
        <v>6.4217826088438295E-5</v>
      </c>
      <c r="V218" s="173">
        <v>4.2489669986503674E-5</v>
      </c>
      <c r="W218" s="173">
        <v>3.9052960191311923E-5</v>
      </c>
      <c r="X218" s="174">
        <f t="shared" si="24"/>
        <v>4.7062531563189385E-5</v>
      </c>
      <c r="Y218" s="187">
        <f t="shared" si="25"/>
        <v>6.6300440952751636</v>
      </c>
      <c r="AA218" s="144">
        <f t="shared" si="26"/>
        <v>0.68468578145100001</v>
      </c>
      <c r="AB218" s="145">
        <f t="shared" si="27"/>
        <v>6.8388166781471442E-5</v>
      </c>
      <c r="AC218" s="145">
        <f t="shared" si="28"/>
        <v>8.2821628901564596E-6</v>
      </c>
      <c r="AD218" s="145">
        <f t="shared" si="31"/>
        <v>4.7062531563189385E-5</v>
      </c>
      <c r="AE218" s="146">
        <f t="shared" si="29"/>
        <v>28.57756015600096</v>
      </c>
      <c r="AF218" s="146">
        <f t="shared" si="30"/>
        <v>3.2518900096686227E-5</v>
      </c>
      <c r="AH218" s="78"/>
      <c r="AI218" s="184"/>
      <c r="AJ218" s="184"/>
    </row>
    <row r="219" spans="9:36" x14ac:dyDescent="0.25">
      <c r="I219" s="125">
        <v>6.9153263926599998E-2</v>
      </c>
      <c r="J219" s="50">
        <v>6.2865383001996995E-5</v>
      </c>
      <c r="K219" s="50">
        <v>8.2471450177086662E-6</v>
      </c>
      <c r="L219" s="70">
        <v>4.3616844167667149E-5</v>
      </c>
      <c r="M219" s="18"/>
      <c r="N219" s="18">
        <v>-2.2926136901288657E-6</v>
      </c>
      <c r="O219" s="18">
        <v>1.4043472177358291E-10</v>
      </c>
      <c r="P219" s="18">
        <v>5.1904907504729775E-8</v>
      </c>
      <c r="Q219" s="28">
        <v>4.283110348712281</v>
      </c>
      <c r="R219" s="61">
        <v>415.62560156000961</v>
      </c>
      <c r="S219" s="58">
        <v>2.8111684452579068E-7</v>
      </c>
      <c r="U219" s="173">
        <v>6.1514159884511251E-5</v>
      </c>
      <c r="V219" s="173">
        <v>4.3616844167667149E-5</v>
      </c>
      <c r="W219" s="173">
        <v>3.5328121123102052E-5</v>
      </c>
      <c r="X219" s="174">
        <f t="shared" si="24"/>
        <v>4.6018992335736903E-5</v>
      </c>
      <c r="Y219" s="187">
        <f t="shared" si="25"/>
        <v>4.1725973021552205</v>
      </c>
      <c r="AA219" s="144">
        <f t="shared" si="26"/>
        <v>0.69153263926599995</v>
      </c>
      <c r="AB219" s="145">
        <f t="shared" si="27"/>
        <v>6.2865383001996995E-5</v>
      </c>
      <c r="AC219" s="145">
        <f t="shared" si="28"/>
        <v>8.2471450177086662E-6</v>
      </c>
      <c r="AD219" s="145">
        <f t="shared" si="31"/>
        <v>4.6018992335736903E-5</v>
      </c>
      <c r="AE219" s="146">
        <f t="shared" si="29"/>
        <v>28.57756015600096</v>
      </c>
      <c r="AF219" s="146">
        <f t="shared" si="30"/>
        <v>2.8111684452579069E-5</v>
      </c>
      <c r="AH219" s="78"/>
      <c r="AI219" s="184"/>
      <c r="AJ219" s="184"/>
    </row>
    <row r="220" spans="9:36" x14ac:dyDescent="0.25">
      <c r="I220" s="125">
        <v>6.9844796565800005E-2</v>
      </c>
      <c r="J220" s="50">
        <v>7.1501366811848574E-5</v>
      </c>
      <c r="K220" s="50">
        <v>8.1585637451006099E-6</v>
      </c>
      <c r="L220" s="70">
        <v>4.5222864219268958E-5</v>
      </c>
      <c r="M220" s="18"/>
      <c r="N220" s="18">
        <v>-2.3090742389097672E-6</v>
      </c>
      <c r="O220" s="18">
        <v>1.3961652693583984E-10</v>
      </c>
      <c r="P220" s="18">
        <v>5.1989562717154961E-8</v>
      </c>
      <c r="Q220" s="28">
        <v>4.283110348712281</v>
      </c>
      <c r="R220" s="61">
        <v>418.17935990003332</v>
      </c>
      <c r="S220" s="58">
        <v>2.8111684452579068E-7</v>
      </c>
      <c r="U220" s="173">
        <v>5.6965302658048093E-5</v>
      </c>
      <c r="V220" s="173">
        <v>4.5222864219268958E-5</v>
      </c>
      <c r="W220" s="173">
        <v>3.4865159212360207E-5</v>
      </c>
      <c r="X220" s="174">
        <f t="shared" si="24"/>
        <v>4.5569047577236554E-5</v>
      </c>
      <c r="Y220" s="187">
        <f t="shared" si="25"/>
        <v>10.103114995237805</v>
      </c>
      <c r="AA220" s="144">
        <f t="shared" si="26"/>
        <v>0.69844796565800005</v>
      </c>
      <c r="AB220" s="145">
        <f t="shared" si="27"/>
        <v>7.1501366811848574E-5</v>
      </c>
      <c r="AC220" s="145">
        <f t="shared" si="28"/>
        <v>8.1585637451006099E-6</v>
      </c>
      <c r="AD220" s="145">
        <f t="shared" si="31"/>
        <v>4.5569047577236554E-5</v>
      </c>
      <c r="AE220" s="146">
        <f t="shared" si="29"/>
        <v>28.832935990003328</v>
      </c>
      <c r="AF220" s="146">
        <f t="shared" si="30"/>
        <v>2.8111684452579069E-5</v>
      </c>
      <c r="AH220" s="78"/>
      <c r="AI220" s="184"/>
      <c r="AJ220" s="184"/>
    </row>
    <row r="221" spans="9:36" x14ac:dyDescent="0.25">
      <c r="I221" s="125">
        <v>7.0543244531500002E-2</v>
      </c>
      <c r="J221" s="50">
        <v>7.3942477563700314E-5</v>
      </c>
      <c r="K221" s="50">
        <v>8.3430244679719207E-6</v>
      </c>
      <c r="L221" s="70">
        <v>4.5816015044775548E-5</v>
      </c>
      <c r="M221" s="18"/>
      <c r="N221" s="18">
        <v>-2.3214740940104845E-6</v>
      </c>
      <c r="O221" s="18">
        <v>1.3900016724349577E-10</v>
      </c>
      <c r="P221" s="18">
        <v>5.2053332340525485E-8</v>
      </c>
      <c r="Q221" s="28">
        <v>2.1415551743561405</v>
      </c>
      <c r="R221" s="61">
        <v>418.17935990003332</v>
      </c>
      <c r="S221" s="58">
        <v>2.3729995014694822E-7</v>
      </c>
      <c r="U221" s="173">
        <v>5.1091264714867542E-5</v>
      </c>
      <c r="V221" s="173">
        <v>4.5816015044775548E-5</v>
      </c>
      <c r="W221" s="173">
        <v>3.6973252959963455E-5</v>
      </c>
      <c r="X221" s="174">
        <f t="shared" si="24"/>
        <v>4.4924136941095527E-5</v>
      </c>
      <c r="Y221" s="187">
        <f t="shared" si="25"/>
        <v>12.09756916965895</v>
      </c>
      <c r="AA221" s="144">
        <f t="shared" si="26"/>
        <v>0.70543244531500005</v>
      </c>
      <c r="AB221" s="145">
        <f t="shared" si="27"/>
        <v>7.3942477563700314E-5</v>
      </c>
      <c r="AC221" s="145">
        <f t="shared" si="28"/>
        <v>8.3430244679719207E-6</v>
      </c>
      <c r="AD221" s="145">
        <f t="shared" si="31"/>
        <v>4.4924136941095527E-5</v>
      </c>
      <c r="AE221" s="146">
        <f t="shared" si="29"/>
        <v>28.832935990003328</v>
      </c>
      <c r="AF221" s="146">
        <f t="shared" si="30"/>
        <v>2.372999501469482E-5</v>
      </c>
      <c r="AH221" s="78"/>
      <c r="AI221" s="184"/>
      <c r="AJ221" s="184"/>
    </row>
    <row r="222" spans="9:36" x14ac:dyDescent="0.25">
      <c r="I222" s="125">
        <v>7.1248676976799999E-2</v>
      </c>
      <c r="J222" s="50">
        <v>9.2455031954100968E-5</v>
      </c>
      <c r="K222" s="50">
        <v>9.390488482527453E-6</v>
      </c>
      <c r="L222" s="70">
        <v>4.4422881833462232E-5</v>
      </c>
      <c r="M222" s="18"/>
      <c r="N222" s="18">
        <v>-2.3412235158450331E-6</v>
      </c>
      <c r="O222" s="18">
        <v>1.3801847941812032E-10</v>
      </c>
      <c r="P222" s="18">
        <v>5.2154898341782817E-8</v>
      </c>
      <c r="Q222" s="28">
        <v>8.1201916423886029</v>
      </c>
      <c r="R222" s="61">
        <v>421.02210296437954</v>
      </c>
      <c r="S222" s="58">
        <v>2.3729995014694822E-7</v>
      </c>
      <c r="U222" s="173">
        <v>4.4820874862760078E-5</v>
      </c>
      <c r="V222" s="173">
        <v>4.4422881833462232E-5</v>
      </c>
      <c r="W222" s="173">
        <v>3.9662088329800635E-5</v>
      </c>
      <c r="X222" s="174">
        <f t="shared" si="24"/>
        <v>4.3332181714871291E-5</v>
      </c>
      <c r="Y222" s="187">
        <f t="shared" si="25"/>
        <v>27.364703499912171</v>
      </c>
      <c r="AA222" s="144">
        <f t="shared" si="26"/>
        <v>0.71248676976799996</v>
      </c>
      <c r="AB222" s="145">
        <f t="shared" si="27"/>
        <v>9.2455031954100968E-5</v>
      </c>
      <c r="AC222" s="145">
        <f t="shared" si="28"/>
        <v>9.390488482527453E-6</v>
      </c>
      <c r="AD222" s="145">
        <f t="shared" si="31"/>
        <v>4.3332181714871291E-5</v>
      </c>
      <c r="AE222" s="146">
        <f t="shared" si="29"/>
        <v>29.117210296437953</v>
      </c>
      <c r="AF222" s="146">
        <f t="shared" si="30"/>
        <v>2.372999501469482E-5</v>
      </c>
      <c r="AH222" s="78"/>
      <c r="AI222" s="184"/>
      <c r="AJ222" s="184"/>
    </row>
    <row r="223" spans="9:36" x14ac:dyDescent="0.25">
      <c r="I223" s="125">
        <v>7.1961163746599999E-2</v>
      </c>
      <c r="J223" s="50">
        <v>5.4153851888337624E-5</v>
      </c>
      <c r="K223" s="50">
        <v>7.4355647015042033E-6</v>
      </c>
      <c r="L223" s="70">
        <v>4.0952780839589497E-5</v>
      </c>
      <c r="M223" s="18"/>
      <c r="N223" s="18">
        <v>-2.3724470757255698E-6</v>
      </c>
      <c r="O223" s="18">
        <v>1.3646644250641287E-10</v>
      </c>
      <c r="P223" s="18">
        <v>5.2315472242298679E-8</v>
      </c>
      <c r="Q223" s="28">
        <v>8.2589276387196939</v>
      </c>
      <c r="R223" s="61">
        <v>421.02210296437954</v>
      </c>
      <c r="S223" s="58">
        <v>1.9402525302407732E-7</v>
      </c>
      <c r="U223" s="173">
        <v>3.9224966005259937E-5</v>
      </c>
      <c r="V223" s="173">
        <v>4.0952780839589497E-5</v>
      </c>
      <c r="W223" s="173">
        <v>4.0457722993738123E-5</v>
      </c>
      <c r="X223" s="174">
        <f t="shared" si="24"/>
        <v>4.0397062669544263E-5</v>
      </c>
      <c r="Y223" s="187">
        <f t="shared" si="25"/>
        <v>3.4229948999714175</v>
      </c>
      <c r="AA223" s="144">
        <f t="shared" si="26"/>
        <v>0.71961163746599999</v>
      </c>
      <c r="AB223" s="145">
        <f t="shared" si="27"/>
        <v>5.4153851888337624E-5</v>
      </c>
      <c r="AC223" s="145">
        <f t="shared" si="28"/>
        <v>7.4355647015042033E-6</v>
      </c>
      <c r="AD223" s="145">
        <f t="shared" si="31"/>
        <v>4.0397062669544263E-5</v>
      </c>
      <c r="AE223" s="146">
        <f t="shared" si="29"/>
        <v>29.117210296437953</v>
      </c>
      <c r="AF223" s="146">
        <f t="shared" si="30"/>
        <v>1.9402525302407731E-5</v>
      </c>
      <c r="AH223" s="78"/>
      <c r="AI223" s="184"/>
      <c r="AJ223" s="184"/>
    </row>
    <row r="224" spans="9:36" x14ac:dyDescent="0.25">
      <c r="I224" s="125">
        <v>7.2680775384100005E-2</v>
      </c>
      <c r="J224" s="50">
        <v>5.9980455339972289E-5</v>
      </c>
      <c r="K224" s="50">
        <v>7.8541316683114684E-6</v>
      </c>
      <c r="L224" s="70">
        <v>3.6227307337472045E-5</v>
      </c>
      <c r="M224" s="18"/>
      <c r="N224" s="18">
        <v>-2.403664528593577E-6</v>
      </c>
      <c r="O224" s="18">
        <v>1.3491470915742863E-10</v>
      </c>
      <c r="P224" s="18">
        <v>5.2476014736183582E-8</v>
      </c>
      <c r="Q224" s="28">
        <v>8.5513062929445223</v>
      </c>
      <c r="R224" s="61">
        <v>424.31419883834116</v>
      </c>
      <c r="S224" s="58">
        <v>1.9402525302407732E-7</v>
      </c>
      <c r="U224" s="173">
        <v>3.5187614336124852E-5</v>
      </c>
      <c r="V224" s="173">
        <v>3.6227307337472045E-5</v>
      </c>
      <c r="W224" s="173">
        <v>3.754355071475495E-5</v>
      </c>
      <c r="X224" s="174">
        <f t="shared" si="24"/>
        <v>3.6296444931455976E-5</v>
      </c>
      <c r="Y224" s="187">
        <f t="shared" si="25"/>
        <v>9.0931453121376951</v>
      </c>
      <c r="AA224" s="144">
        <f t="shared" si="26"/>
        <v>0.72680775384100005</v>
      </c>
      <c r="AB224" s="145">
        <f t="shared" si="27"/>
        <v>5.9980455339972289E-5</v>
      </c>
      <c r="AC224" s="145">
        <f t="shared" si="28"/>
        <v>7.8541316683114684E-6</v>
      </c>
      <c r="AD224" s="145">
        <f t="shared" si="31"/>
        <v>3.6296444931455976E-5</v>
      </c>
      <c r="AE224" s="146">
        <f t="shared" si="29"/>
        <v>29.446419883834118</v>
      </c>
      <c r="AF224" s="146">
        <f t="shared" si="30"/>
        <v>1.9402525302407731E-5</v>
      </c>
      <c r="AH224" s="78"/>
      <c r="AI224" s="184"/>
      <c r="AJ224" s="184"/>
    </row>
    <row r="225" spans="9:36" x14ac:dyDescent="0.25">
      <c r="I225" s="125">
        <v>7.3407583137899995E-2</v>
      </c>
      <c r="J225" s="50">
        <v>6.1227952695484732E-5</v>
      </c>
      <c r="K225" s="50">
        <v>8.5557849720748663E-6</v>
      </c>
      <c r="L225" s="70">
        <v>3.1641141009787374E-5</v>
      </c>
      <c r="M225" s="18"/>
      <c r="N225" s="18">
        <v>-2.4348555159746714E-6</v>
      </c>
      <c r="O225" s="18">
        <v>1.3336429133469229E-10</v>
      </c>
      <c r="P225" s="18">
        <v>5.2636421125585883E-8</v>
      </c>
      <c r="Q225" s="28">
        <v>9.0314294461221412</v>
      </c>
      <c r="R225" s="61">
        <v>424.31419883834116</v>
      </c>
      <c r="S225" s="58">
        <v>1.5184827015469272E-7</v>
      </c>
      <c r="U225" s="173">
        <v>3.3122331957100635E-5</v>
      </c>
      <c r="V225" s="173">
        <v>3.1641141009787374E-5</v>
      </c>
      <c r="W225" s="173">
        <v>3.0748293822830281E-5</v>
      </c>
      <c r="X225" s="174">
        <f t="shared" si="24"/>
        <v>3.1788226949876414E-5</v>
      </c>
      <c r="Y225" s="187">
        <f t="shared" si="25"/>
        <v>11.839893542475998</v>
      </c>
      <c r="AA225" s="144">
        <f t="shared" si="26"/>
        <v>0.7340758313789999</v>
      </c>
      <c r="AB225" s="145">
        <f t="shared" si="27"/>
        <v>6.1227952695484732E-5</v>
      </c>
      <c r="AC225" s="145">
        <f t="shared" si="28"/>
        <v>8.5557849720748663E-6</v>
      </c>
      <c r="AD225" s="145">
        <f t="shared" si="31"/>
        <v>3.1788226949876414E-5</v>
      </c>
      <c r="AE225" s="146">
        <f t="shared" si="29"/>
        <v>29.446419883834118</v>
      </c>
      <c r="AF225" s="146">
        <f t="shared" si="30"/>
        <v>1.5184827015469272E-5</v>
      </c>
      <c r="AH225" s="78"/>
      <c r="AI225" s="184"/>
      <c r="AJ225" s="184"/>
    </row>
    <row r="226" spans="9:36" x14ac:dyDescent="0.25">
      <c r="I226" s="125">
        <v>7.4141658969300001E-2</v>
      </c>
      <c r="J226" s="50">
        <v>6.6919723574190488E-5</v>
      </c>
      <c r="K226" s="50">
        <v>8.7676025425343074E-6</v>
      </c>
      <c r="L226" s="70">
        <v>2.8564794758326827E-5</v>
      </c>
      <c r="M226" s="18"/>
      <c r="N226" s="18">
        <v>-2.4659701010571752E-6</v>
      </c>
      <c r="O226" s="18">
        <v>1.3181767125917008E-10</v>
      </c>
      <c r="P226" s="18">
        <v>5.2796434599665906E-8</v>
      </c>
      <c r="Q226" s="28">
        <v>9.7637035507521297</v>
      </c>
      <c r="R226" s="61">
        <v>428.35960465680222</v>
      </c>
      <c r="S226" s="58">
        <v>1.5184827015469272E-7</v>
      </c>
      <c r="U226" s="173">
        <v>3.2833784831330319E-5</v>
      </c>
      <c r="V226" s="173">
        <v>2.8564794758326827E-5</v>
      </c>
      <c r="W226" s="173">
        <v>2.1907338444272189E-5</v>
      </c>
      <c r="X226" s="174">
        <f t="shared" si="24"/>
        <v>2.7967678198064041E-5</v>
      </c>
      <c r="Y226" s="187">
        <f t="shared" si="25"/>
        <v>19.737803774066169</v>
      </c>
      <c r="AA226" s="144">
        <f t="shared" si="26"/>
        <v>0.74141658969300006</v>
      </c>
      <c r="AB226" s="145">
        <f t="shared" si="27"/>
        <v>6.6919723574190488E-5</v>
      </c>
      <c r="AC226" s="145">
        <f t="shared" si="28"/>
        <v>8.7676025425343074E-6</v>
      </c>
      <c r="AD226" s="145">
        <f t="shared" si="31"/>
        <v>2.7967678198064041E-5</v>
      </c>
      <c r="AE226" s="146">
        <f t="shared" si="29"/>
        <v>29.850960465680224</v>
      </c>
      <c r="AF226" s="146">
        <f t="shared" si="30"/>
        <v>1.5184827015469272E-5</v>
      </c>
      <c r="AH226" s="78"/>
      <c r="AI226" s="184"/>
      <c r="AJ226" s="184"/>
    </row>
    <row r="227" spans="9:36" x14ac:dyDescent="0.25">
      <c r="I227" s="125">
        <v>7.4883075559000006E-2</v>
      </c>
      <c r="J227" s="50">
        <v>4.5417497434742752E-5</v>
      </c>
      <c r="K227" s="50">
        <v>7.8709403781399807E-6</v>
      </c>
      <c r="L227" s="70">
        <v>2.7729863912998486E-5</v>
      </c>
      <c r="M227" s="18"/>
      <c r="N227" s="18">
        <v>-2.4969044731935714E-6</v>
      </c>
      <c r="O227" s="18">
        <v>1.3028000907139025E-10</v>
      </c>
      <c r="P227" s="18">
        <v>5.2955521289747224E-8</v>
      </c>
      <c r="Q227" s="28">
        <v>10.86856971399078</v>
      </c>
      <c r="R227" s="61">
        <v>428.35960465680222</v>
      </c>
      <c r="S227" s="58">
        <v>1.1188335285692195E-7</v>
      </c>
      <c r="U227" s="173">
        <v>3.3586432476250097E-5</v>
      </c>
      <c r="V227" s="173">
        <v>2.7729863912998486E-5</v>
      </c>
      <c r="W227" s="173">
        <v>1.434379921906805E-5</v>
      </c>
      <c r="X227" s="174">
        <f t="shared" si="24"/>
        <v>2.5847489880328782E-5</v>
      </c>
      <c r="Y227" s="187">
        <f t="shared" si="25"/>
        <v>6.1819963071074433</v>
      </c>
      <c r="AA227" s="144">
        <f t="shared" si="26"/>
        <v>0.74883075559000001</v>
      </c>
      <c r="AB227" s="145">
        <f t="shared" si="27"/>
        <v>4.5417497434742752E-5</v>
      </c>
      <c r="AC227" s="145">
        <f t="shared" si="28"/>
        <v>7.8709403781399807E-6</v>
      </c>
      <c r="AD227" s="145">
        <f t="shared" si="31"/>
        <v>2.5847489880328782E-5</v>
      </c>
      <c r="AE227" s="146">
        <f t="shared" si="29"/>
        <v>29.850960465680224</v>
      </c>
      <c r="AF227" s="146">
        <f t="shared" si="30"/>
        <v>1.1188335285692195E-5</v>
      </c>
      <c r="AH227" s="78"/>
      <c r="AI227" s="184"/>
      <c r="AJ227" s="184"/>
    </row>
    <row r="228" spans="9:36" x14ac:dyDescent="0.25">
      <c r="I228" s="125">
        <v>7.5631906314599998E-2</v>
      </c>
      <c r="J228" s="50">
        <v>4.1277523741044923E-5</v>
      </c>
      <c r="K228" s="50">
        <v>7.1834069838502721E-6</v>
      </c>
      <c r="L228" s="70">
        <v>2.884016088024622E-5</v>
      </c>
      <c r="M228" s="18"/>
      <c r="N228" s="18">
        <v>-2.5274560584637294E-6</v>
      </c>
      <c r="O228" s="18">
        <v>1.2876137416134526E-10</v>
      </c>
      <c r="P228" s="18">
        <v>5.3112639415692571E-8</v>
      </c>
      <c r="Q228" s="28">
        <v>12.586566109351148</v>
      </c>
      <c r="R228" s="61">
        <v>433.88107021522796</v>
      </c>
      <c r="S228" s="58">
        <v>1.1188335285692195E-7</v>
      </c>
      <c r="U228" s="173">
        <v>3.4359308401977324E-5</v>
      </c>
      <c r="V228" s="173">
        <v>2.884016088024622E-5</v>
      </c>
      <c r="W228" s="173">
        <v>1.1622135274678801E-5</v>
      </c>
      <c r="X228" s="174">
        <f t="shared" si="24"/>
        <v>2.5915441359287142E-5</v>
      </c>
      <c r="Y228" s="187">
        <f t="shared" si="25"/>
        <v>4.5734004945384319</v>
      </c>
      <c r="AA228" s="144">
        <f t="shared" si="26"/>
        <v>0.75631906314599995</v>
      </c>
      <c r="AB228" s="145">
        <f t="shared" si="27"/>
        <v>4.1277523741044923E-5</v>
      </c>
      <c r="AC228" s="145">
        <f t="shared" si="28"/>
        <v>7.1834069838502721E-6</v>
      </c>
      <c r="AD228" s="145">
        <f t="shared" si="31"/>
        <v>2.5915441359287142E-5</v>
      </c>
      <c r="AE228" s="146">
        <f t="shared" si="29"/>
        <v>30.403107021522793</v>
      </c>
      <c r="AF228" s="146">
        <f t="shared" si="30"/>
        <v>1.1188335285692195E-5</v>
      </c>
      <c r="AH228" s="78"/>
      <c r="AI228" s="184"/>
      <c r="AJ228" s="184"/>
    </row>
    <row r="229" spans="9:36" x14ac:dyDescent="0.25">
      <c r="I229" s="125">
        <v>7.63882253777E-2</v>
      </c>
      <c r="J229" s="50">
        <v>6.3966050331352764E-5</v>
      </c>
      <c r="K229" s="50">
        <v>8.369957287891664E-6</v>
      </c>
      <c r="L229" s="70">
        <v>3.0627871348864274E-5</v>
      </c>
      <c r="M229" s="18"/>
      <c r="N229" s="18">
        <v>-2.5572326663718868E-6</v>
      </c>
      <c r="O229" s="18">
        <v>1.272812612352177E-10</v>
      </c>
      <c r="P229" s="18">
        <v>5.3265772053170106E-8</v>
      </c>
      <c r="Q229" s="28">
        <v>15.466672212052273</v>
      </c>
      <c r="R229" s="61">
        <v>433.88107021522796</v>
      </c>
      <c r="S229" s="58">
        <v>7.656468776274994E-8</v>
      </c>
      <c r="U229" s="173">
        <v>3.4221887984036701E-5</v>
      </c>
      <c r="V229" s="173">
        <v>3.0627871348864274E-5</v>
      </c>
      <c r="W229" s="173">
        <v>1.5981233155314962E-5</v>
      </c>
      <c r="X229" s="174">
        <f t="shared" si="24"/>
        <v>2.7864715959270056E-5</v>
      </c>
      <c r="Y229" s="187">
        <f t="shared" si="25"/>
        <v>18.603729897993784</v>
      </c>
      <c r="AA229" s="144">
        <f t="shared" si="26"/>
        <v>0.76388225377700003</v>
      </c>
      <c r="AB229" s="145">
        <f t="shared" si="27"/>
        <v>6.3966050331352764E-5</v>
      </c>
      <c r="AC229" s="145">
        <f t="shared" si="28"/>
        <v>8.369957287891664E-6</v>
      </c>
      <c r="AD229" s="145">
        <f t="shared" si="31"/>
        <v>2.7864715959270056E-5</v>
      </c>
      <c r="AE229" s="146">
        <f t="shared" si="29"/>
        <v>30.403107021522793</v>
      </c>
      <c r="AF229" s="146">
        <f t="shared" si="30"/>
        <v>7.656468776274994E-6</v>
      </c>
      <c r="AH229" s="78"/>
      <c r="AI229" s="184"/>
      <c r="AJ229" s="184"/>
    </row>
    <row r="230" spans="9:36" x14ac:dyDescent="0.25">
      <c r="I230" s="125">
        <v>7.7152107631500003E-2</v>
      </c>
      <c r="J230" s="50">
        <v>4.3552549316020004E-5</v>
      </c>
      <c r="K230" s="50">
        <v>7.3875737193133906E-6</v>
      </c>
      <c r="L230" s="70">
        <v>3.13657882076853E-5</v>
      </c>
      <c r="M230" s="27"/>
      <c r="N230" s="18">
        <v>-2.5854475739233107E-6</v>
      </c>
      <c r="O230" s="18">
        <v>1.2587877611988274E-10</v>
      </c>
      <c r="P230" s="18">
        <v>5.3410873309258807E-8</v>
      </c>
      <c r="Q230" s="28">
        <v>21.110044765495285</v>
      </c>
      <c r="R230" s="61">
        <v>443.80321712944681</v>
      </c>
      <c r="S230" s="58">
        <v>7.656468776274994E-8</v>
      </c>
      <c r="U230" s="173">
        <v>3.2683469918334238E-5</v>
      </c>
      <c r="V230" s="173">
        <v>3.13657882076853E-5</v>
      </c>
      <c r="W230" s="173">
        <v>2.719773540278906E-5</v>
      </c>
      <c r="X230" s="174">
        <f t="shared" si="24"/>
        <v>3.0653195434123474E-5</v>
      </c>
      <c r="Y230" s="187">
        <f t="shared" si="25"/>
        <v>3.0488233328099836</v>
      </c>
      <c r="AA230" s="144">
        <f t="shared" si="26"/>
        <v>0.771521076315</v>
      </c>
      <c r="AB230" s="145">
        <f t="shared" si="27"/>
        <v>4.3552549316020004E-5</v>
      </c>
      <c r="AC230" s="145">
        <f t="shared" si="28"/>
        <v>7.3875737193133906E-6</v>
      </c>
      <c r="AD230" s="145">
        <f t="shared" si="31"/>
        <v>3.0653195434123474E-5</v>
      </c>
      <c r="AE230" s="146">
        <f t="shared" si="29"/>
        <v>31.395321712944678</v>
      </c>
      <c r="AF230" s="146">
        <f t="shared" si="30"/>
        <v>7.656468776274994E-6</v>
      </c>
      <c r="AH230" s="78"/>
      <c r="AI230" s="184"/>
      <c r="AJ230" s="184"/>
    </row>
    <row r="231" spans="9:36" x14ac:dyDescent="0.25">
      <c r="I231" s="125">
        <v>7.7923628707799994E-2</v>
      </c>
      <c r="J231" s="50">
        <v>3.3256231837897358E-5</v>
      </c>
      <c r="K231" s="50">
        <v>6.7221429882185854E-6</v>
      </c>
      <c r="L231" s="70">
        <v>2.9657504196091119E-5</v>
      </c>
      <c r="M231" s="27"/>
      <c r="N231" s="18">
        <v>-2.6103822650937424E-6</v>
      </c>
      <c r="O231" s="18">
        <v>1.2463934149978808E-10</v>
      </c>
      <c r="P231" s="18">
        <v>5.3539105344129711E-8</v>
      </c>
      <c r="Q231" s="28">
        <v>37.935030711067085</v>
      </c>
      <c r="R231" s="61">
        <v>443.80321712944681</v>
      </c>
      <c r="S231" s="58">
        <v>5.215058533710673E-8</v>
      </c>
      <c r="U231" s="173">
        <v>2.9883364855943281E-5</v>
      </c>
      <c r="V231" s="173">
        <v>2.9657504196091119E-5</v>
      </c>
      <c r="W231" s="173">
        <v>4.240269564290649E-5</v>
      </c>
      <c r="X231" s="174">
        <f t="shared" si="24"/>
        <v>3.2900267222758E-5</v>
      </c>
      <c r="Y231" s="187">
        <f t="shared" si="25"/>
        <v>2.8041301389267396E-3</v>
      </c>
      <c r="AA231" s="144">
        <f t="shared" si="26"/>
        <v>0.77923628707799997</v>
      </c>
      <c r="AB231" s="145">
        <f t="shared" si="27"/>
        <v>3.3256231837897358E-5</v>
      </c>
      <c r="AC231" s="145">
        <f t="shared" si="28"/>
        <v>6.7221429882185854E-6</v>
      </c>
      <c r="AD231" s="145">
        <f t="shared" si="31"/>
        <v>3.2900267222758E-5</v>
      </c>
      <c r="AE231" s="146">
        <f t="shared" si="29"/>
        <v>31.395321712944678</v>
      </c>
      <c r="AF231" s="146">
        <f t="shared" si="30"/>
        <v>5.215058533710673E-6</v>
      </c>
      <c r="AH231" s="78"/>
      <c r="AI231" s="184"/>
      <c r="AJ231" s="184"/>
    </row>
    <row r="232" spans="9:36" x14ac:dyDescent="0.25">
      <c r="I232" s="125">
        <v>7.8702864994899993E-2</v>
      </c>
      <c r="J232" s="50">
        <v>3.8182245474719065E-5</v>
      </c>
      <c r="K232" s="50">
        <v>6.5687578354136445E-6</v>
      </c>
      <c r="L232" s="70">
        <v>2.5174470584321608E-5</v>
      </c>
      <c r="M232" s="27"/>
      <c r="N232" s="18">
        <v>-2.6276184234412771E-6</v>
      </c>
      <c r="O232" s="18">
        <v>1.237825796803876E-10</v>
      </c>
      <c r="P232" s="18">
        <v>5.3627746011188882E-8</v>
      </c>
      <c r="Q232" s="28">
        <v>50.944015006994064</v>
      </c>
      <c r="R232" s="61">
        <v>457.12794606269898</v>
      </c>
      <c r="S232" s="58">
        <v>5.215058533710673E-8</v>
      </c>
      <c r="U232" s="173">
        <v>2.653315967139601E-5</v>
      </c>
      <c r="V232" s="173">
        <v>2.5174470584321608E-5</v>
      </c>
      <c r="W232" s="173">
        <v>5.7028183124217101E-5</v>
      </c>
      <c r="X232" s="174">
        <f t="shared" si="24"/>
        <v>3.347757099106408E-5</v>
      </c>
      <c r="Y232" s="187">
        <f t="shared" si="25"/>
        <v>0.51297081511098697</v>
      </c>
      <c r="AA232" s="144">
        <f t="shared" si="26"/>
        <v>0.7870286499489999</v>
      </c>
      <c r="AB232" s="145">
        <f t="shared" si="27"/>
        <v>3.8182245474719065E-5</v>
      </c>
      <c r="AC232" s="145">
        <f t="shared" si="28"/>
        <v>6.5687578354136445E-6</v>
      </c>
      <c r="AD232" s="145">
        <f t="shared" si="31"/>
        <v>3.347757099106408E-5</v>
      </c>
      <c r="AE232" s="146">
        <f t="shared" si="29"/>
        <v>32.727794606269903</v>
      </c>
      <c r="AF232" s="146">
        <f t="shared" si="30"/>
        <v>5.215058533710673E-6</v>
      </c>
      <c r="AH232" s="78"/>
      <c r="AI232" s="184"/>
      <c r="AJ232" s="184"/>
    </row>
    <row r="233" spans="9:36" x14ac:dyDescent="0.25">
      <c r="I233" s="125">
        <v>7.9489893644799997E-2</v>
      </c>
      <c r="J233" s="50">
        <v>3.9091457740286717E-5</v>
      </c>
      <c r="K233" s="50">
        <v>7.0200773667345378E-6</v>
      </c>
      <c r="L233" s="70">
        <v>1.8989899531201524E-5</v>
      </c>
      <c r="M233" s="27"/>
      <c r="N233" s="18">
        <v>-2.6300000000000002E-6</v>
      </c>
      <c r="O233" s="18">
        <v>1.2366419808836742E-10</v>
      </c>
      <c r="P233" s="18">
        <v>5.3639993783027661E-8</v>
      </c>
      <c r="Q233" s="28">
        <v>200</v>
      </c>
      <c r="R233" s="61">
        <v>457.12794606269898</v>
      </c>
      <c r="S233" s="58">
        <v>4.8777208690941478E-8</v>
      </c>
      <c r="U233" s="173">
        <v>2.361609042058999E-5</v>
      </c>
      <c r="V233" s="173">
        <v>1.8989899531201524E-5</v>
      </c>
      <c r="W233" s="173">
        <v>6.6539720403991677E-5</v>
      </c>
      <c r="X233" s="174">
        <f t="shared" si="24"/>
        <v>3.2033902471746174E-5</v>
      </c>
      <c r="Y233" s="187">
        <f t="shared" si="25"/>
        <v>1.0107058486639513</v>
      </c>
      <c r="AA233" s="144">
        <f t="shared" si="26"/>
        <v>0.79489893644799992</v>
      </c>
      <c r="AB233" s="145">
        <f t="shared" si="27"/>
        <v>3.9091457740286717E-5</v>
      </c>
      <c r="AC233" s="145">
        <f t="shared" si="28"/>
        <v>7.0200773667345378E-6</v>
      </c>
      <c r="AD233" s="145">
        <f t="shared" si="31"/>
        <v>3.2033902471746174E-5</v>
      </c>
      <c r="AE233" s="146">
        <f t="shared" si="29"/>
        <v>32.727794606269903</v>
      </c>
      <c r="AF233" s="146">
        <f t="shared" si="30"/>
        <v>4.8777208690941478E-6</v>
      </c>
      <c r="AH233" s="78"/>
      <c r="AI233" s="184"/>
      <c r="AJ233" s="184"/>
    </row>
    <row r="234" spans="9:36" x14ac:dyDescent="0.25">
      <c r="I234" s="125">
        <v>8.0284792581300002E-2</v>
      </c>
      <c r="J234" s="50">
        <v>5.7170071333298497E-5</v>
      </c>
      <c r="K234" s="50">
        <v>7.4093857624935877E-6</v>
      </c>
      <c r="L234" s="70">
        <v>1.3302186801777006E-5</v>
      </c>
      <c r="M234" s="27"/>
      <c r="R234" s="61">
        <v>549.59494689349174</v>
      </c>
      <c r="S234" s="58">
        <v>4.8777208690941478E-8</v>
      </c>
      <c r="U234" s="173">
        <v>2.1951981855534692E-5</v>
      </c>
      <c r="V234" s="173">
        <v>1.3302186801777006E-5</v>
      </c>
      <c r="W234" s="173">
        <v>6.821750127946149E-5</v>
      </c>
      <c r="X234" s="174">
        <f t="shared" si="24"/>
        <v>2.9193464184637549E-5</v>
      </c>
      <c r="Y234" s="187">
        <f t="shared" si="25"/>
        <v>14.256918795243877</v>
      </c>
      <c r="AA234" s="144">
        <f t="shared" si="26"/>
        <v>0.80284792581300002</v>
      </c>
      <c r="AB234" s="145">
        <f t="shared" si="27"/>
        <v>5.7170071333298497E-5</v>
      </c>
      <c r="AC234" s="145">
        <f t="shared" si="28"/>
        <v>7.4093857624935877E-6</v>
      </c>
      <c r="AD234" s="145">
        <f t="shared" si="31"/>
        <v>2.9193464184637549E-5</v>
      </c>
      <c r="AE234" s="146">
        <f t="shared" si="29"/>
        <v>41.974494689349171</v>
      </c>
      <c r="AF234" s="146">
        <f t="shared" si="30"/>
        <v>4.8777208690941478E-6</v>
      </c>
      <c r="AH234" s="78"/>
      <c r="AI234" s="184"/>
      <c r="AJ234" s="184"/>
    </row>
    <row r="235" spans="9:36" x14ac:dyDescent="0.25">
      <c r="I235" s="125">
        <v>8.1087640507100003E-2</v>
      </c>
      <c r="J235" s="50">
        <v>3.7712339329179671E-5</v>
      </c>
      <c r="K235" s="50">
        <v>6.9406905206745709E-6</v>
      </c>
      <c r="L235" s="70">
        <v>1.060075653113938E-5</v>
      </c>
      <c r="M235" s="27"/>
      <c r="R235" s="61">
        <v>549.59494689349174</v>
      </c>
      <c r="S235" s="58">
        <v>5.215058533710673E-8</v>
      </c>
      <c r="U235" s="173">
        <v>2.1806691462693781E-5</v>
      </c>
      <c r="V235" s="173">
        <v>1.060075653113938E-5</v>
      </c>
      <c r="W235" s="173">
        <v>6.2186386195185034E-5</v>
      </c>
      <c r="X235" s="174">
        <f t="shared" si="24"/>
        <v>2.6298647680039393E-5</v>
      </c>
      <c r="Y235" s="187">
        <f t="shared" si="25"/>
        <v>2.7042504522350455</v>
      </c>
      <c r="AA235" s="144">
        <f t="shared" si="26"/>
        <v>0.81087640507100001</v>
      </c>
      <c r="AB235" s="145">
        <f t="shared" si="27"/>
        <v>3.7712339329179671E-5</v>
      </c>
      <c r="AC235" s="145">
        <f t="shared" si="28"/>
        <v>6.9406905206745709E-6</v>
      </c>
      <c r="AD235" s="145">
        <f t="shared" si="31"/>
        <v>2.6298647680039393E-5</v>
      </c>
      <c r="AE235" s="146">
        <f t="shared" si="29"/>
        <v>41.974494689349171</v>
      </c>
      <c r="AF235" s="146">
        <f t="shared" si="30"/>
        <v>5.215058533710673E-6</v>
      </c>
      <c r="AH235" s="78"/>
      <c r="AI235" s="184"/>
      <c r="AJ235" s="184"/>
    </row>
    <row r="236" spans="9:36" x14ac:dyDescent="0.25">
      <c r="I236" s="125">
        <v>8.1898516912200001E-2</v>
      </c>
      <c r="J236" s="50">
        <v>4.1535803191009912E-5</v>
      </c>
      <c r="K236" s="50">
        <v>6.5372670179668222E-6</v>
      </c>
      <c r="L236" s="70">
        <v>1.259572420791923E-5</v>
      </c>
      <c r="M236" s="27"/>
      <c r="R236" s="61">
        <v>562.91967582674386</v>
      </c>
      <c r="S236" s="58">
        <v>5.215058533710673E-8</v>
      </c>
      <c r="U236" s="173">
        <v>2.272568867882397E-5</v>
      </c>
      <c r="V236" s="173">
        <v>1.259572420791923E-5</v>
      </c>
      <c r="W236" s="173">
        <v>5.1220527041819158E-5</v>
      </c>
      <c r="X236" s="174">
        <f t="shared" si="24"/>
        <v>2.4784416034120394E-5</v>
      </c>
      <c r="Y236" s="187">
        <f t="shared" si="25"/>
        <v>6.5661243568862009</v>
      </c>
      <c r="AA236" s="144">
        <f t="shared" si="26"/>
        <v>0.81898516912200003</v>
      </c>
      <c r="AB236" s="145">
        <f t="shared" si="27"/>
        <v>4.1535803191009912E-5</v>
      </c>
      <c r="AC236" s="145">
        <f t="shared" si="28"/>
        <v>6.5372670179668222E-6</v>
      </c>
      <c r="AD236" s="145">
        <f t="shared" si="31"/>
        <v>2.4784416034120394E-5</v>
      </c>
      <c r="AE236" s="146">
        <f t="shared" si="29"/>
        <v>43.306967582674382</v>
      </c>
      <c r="AF236" s="146">
        <f t="shared" si="30"/>
        <v>5.215058533710673E-6</v>
      </c>
      <c r="AH236" s="78"/>
      <c r="AI236" s="184"/>
      <c r="AJ236" s="184"/>
    </row>
    <row r="237" spans="9:36" x14ac:dyDescent="0.25">
      <c r="I237" s="125">
        <v>8.2717502081300007E-2</v>
      </c>
      <c r="J237" s="50">
        <v>5.2354044815404379E-5</v>
      </c>
      <c r="K237" s="50">
        <v>6.6740558726133944E-6</v>
      </c>
      <c r="L237" s="70">
        <v>1.9379080053737462E-5</v>
      </c>
      <c r="M237" s="27"/>
      <c r="R237" s="61">
        <v>562.91967582674386</v>
      </c>
      <c r="S237" s="58">
        <v>7.656468776274994E-8</v>
      </c>
      <c r="U237" s="173">
        <v>2.3690740994124114E-5</v>
      </c>
      <c r="V237" s="173">
        <v>1.9379080053737462E-5</v>
      </c>
      <c r="W237" s="173">
        <v>3.9422659004309716E-5</v>
      </c>
      <c r="X237" s="174">
        <f t="shared" si="24"/>
        <v>2.5467890026477189E-5</v>
      </c>
      <c r="Y237" s="187">
        <f t="shared" si="25"/>
        <v>16.228475084822758</v>
      </c>
      <c r="AA237" s="144">
        <f t="shared" si="26"/>
        <v>0.82717502081300009</v>
      </c>
      <c r="AB237" s="145">
        <f t="shared" si="27"/>
        <v>5.2354044815404379E-5</v>
      </c>
      <c r="AC237" s="145">
        <f t="shared" si="28"/>
        <v>6.6740558726133944E-6</v>
      </c>
      <c r="AD237" s="145">
        <f t="shared" si="31"/>
        <v>2.5467890026477189E-5</v>
      </c>
      <c r="AE237" s="146">
        <f t="shared" si="29"/>
        <v>43.306967582674382</v>
      </c>
      <c r="AF237" s="146">
        <f t="shared" si="30"/>
        <v>7.656468776274994E-6</v>
      </c>
      <c r="AH237" s="78"/>
      <c r="AI237" s="184"/>
      <c r="AJ237" s="184"/>
    </row>
    <row r="238" spans="9:36" x14ac:dyDescent="0.25">
      <c r="I238" s="125">
        <v>8.3544677102100007E-2</v>
      </c>
      <c r="J238" s="50">
        <v>2.7785453416244287E-5</v>
      </c>
      <c r="K238" s="50">
        <v>6.430751330322815E-6</v>
      </c>
      <c r="L238" s="70">
        <v>2.9221636485566577E-5</v>
      </c>
      <c r="M238" s="27"/>
      <c r="R238" s="61">
        <v>572.8418227409627</v>
      </c>
      <c r="S238" s="58">
        <v>7.656468776274994E-8</v>
      </c>
      <c r="U238" s="173">
        <v>2.3561390446445893E-5</v>
      </c>
      <c r="V238" s="173">
        <v>2.9221636485566577E-5</v>
      </c>
      <c r="W238" s="173">
        <v>3.0417840521708427E-5</v>
      </c>
      <c r="X238" s="174">
        <f t="shared" si="24"/>
        <v>2.8105625984821869E-5</v>
      </c>
      <c r="Y238" s="187">
        <f t="shared" si="25"/>
        <v>2.4788189511640323E-3</v>
      </c>
      <c r="AA238" s="144">
        <f t="shared" si="26"/>
        <v>0.83544677102100007</v>
      </c>
      <c r="AB238" s="145">
        <f t="shared" si="27"/>
        <v>2.7785453416244287E-5</v>
      </c>
      <c r="AC238" s="145">
        <f t="shared" si="28"/>
        <v>6.430751330322815E-6</v>
      </c>
      <c r="AD238" s="145">
        <f t="shared" si="31"/>
        <v>2.8105625984821869E-5</v>
      </c>
      <c r="AE238" s="146">
        <f t="shared" si="29"/>
        <v>44.299182274096268</v>
      </c>
      <c r="AF238" s="146">
        <f t="shared" si="30"/>
        <v>7.656468776274994E-6</v>
      </c>
      <c r="AH238" s="78"/>
      <c r="AI238" s="184"/>
      <c r="AJ238" s="184"/>
    </row>
    <row r="239" spans="9:36" x14ac:dyDescent="0.25">
      <c r="I239" s="125">
        <v>8.4380123873099996E-2</v>
      </c>
      <c r="J239" s="50">
        <v>2.9346317821593123E-5</v>
      </c>
      <c r="K239" s="50">
        <v>6.3040340426515942E-6</v>
      </c>
      <c r="L239" s="70">
        <v>3.9144844900383607E-5</v>
      </c>
      <c r="M239" s="27"/>
      <c r="R239" s="61">
        <v>572.8418227409627</v>
      </c>
      <c r="S239" s="58">
        <v>1.1188335285692195E-7</v>
      </c>
      <c r="U239" s="173">
        <v>2.1625350204080111E-5</v>
      </c>
      <c r="V239" s="173">
        <v>3.9144844900383607E-5</v>
      </c>
      <c r="W239" s="173">
        <v>2.5925361174293899E-5</v>
      </c>
      <c r="X239" s="174">
        <f t="shared" si="24"/>
        <v>3.1460100294785308E-5</v>
      </c>
      <c r="Y239" s="187">
        <f t="shared" si="25"/>
        <v>0.11243033006121957</v>
      </c>
      <c r="AA239" s="144">
        <f t="shared" si="26"/>
        <v>0.84380123873099999</v>
      </c>
      <c r="AB239" s="145">
        <f t="shared" si="27"/>
        <v>2.9346317821593123E-5</v>
      </c>
      <c r="AC239" s="145">
        <f t="shared" si="28"/>
        <v>6.3040340426515942E-6</v>
      </c>
      <c r="AD239" s="145">
        <f t="shared" si="31"/>
        <v>3.1460100294785308E-5</v>
      </c>
      <c r="AE239" s="146">
        <f t="shared" si="29"/>
        <v>44.299182274096268</v>
      </c>
      <c r="AF239" s="146">
        <f t="shared" si="30"/>
        <v>1.1188335285692195E-5</v>
      </c>
      <c r="AH239" s="78"/>
      <c r="AI239" s="184"/>
      <c r="AJ239" s="184"/>
    </row>
    <row r="240" spans="9:36" x14ac:dyDescent="0.25">
      <c r="I240" s="125">
        <v>8.5223925111800006E-2</v>
      </c>
      <c r="J240" s="50">
        <v>3.7270293871763791E-5</v>
      </c>
      <c r="K240" s="50">
        <v>6.3021014030305223E-6</v>
      </c>
      <c r="L240" s="70">
        <v>4.6052743827238483E-5</v>
      </c>
      <c r="M240" s="27"/>
      <c r="R240" s="61">
        <v>578.3632882993885</v>
      </c>
      <c r="S240" s="58">
        <v>1.1188335285692195E-7</v>
      </c>
      <c r="U240" s="173">
        <v>1.8010167831382796E-5</v>
      </c>
      <c r="V240" s="173">
        <v>4.6052743827238483E-5</v>
      </c>
      <c r="W240" s="173">
        <v>2.5357083746934681E-5</v>
      </c>
      <c r="X240" s="174">
        <f t="shared" si="24"/>
        <v>3.3868184808198613E-5</v>
      </c>
      <c r="Y240" s="187">
        <f t="shared" si="25"/>
        <v>0.29142425185028598</v>
      </c>
      <c r="AA240" s="144">
        <f t="shared" si="26"/>
        <v>0.85223925111800003</v>
      </c>
      <c r="AB240" s="145">
        <f t="shared" si="27"/>
        <v>3.7270293871763791E-5</v>
      </c>
      <c r="AC240" s="145">
        <f t="shared" si="28"/>
        <v>6.3021014030305223E-6</v>
      </c>
      <c r="AD240" s="145">
        <f t="shared" si="31"/>
        <v>3.3868184808198613E-5</v>
      </c>
      <c r="AE240" s="146">
        <f t="shared" si="29"/>
        <v>44.851328829938851</v>
      </c>
      <c r="AF240" s="146">
        <f t="shared" si="30"/>
        <v>1.1188335285692195E-5</v>
      </c>
      <c r="AH240" s="78"/>
      <c r="AI240" s="184"/>
      <c r="AJ240" s="184"/>
    </row>
    <row r="241" spans="9:36" x14ac:dyDescent="0.25">
      <c r="I241" s="125">
        <v>8.6076164363000002E-2</v>
      </c>
      <c r="J241" s="50">
        <v>3.2216632155249986E-5</v>
      </c>
      <c r="K241" s="50">
        <v>6.563078064746806E-6</v>
      </c>
      <c r="L241" s="70">
        <v>4.7937081483503578E-5</v>
      </c>
      <c r="M241" s="27"/>
      <c r="R241" s="61">
        <v>578.3632882993885</v>
      </c>
      <c r="S241" s="58">
        <v>1.5184827015469272E-7</v>
      </c>
      <c r="U241" s="173">
        <v>1.374646914468948E-5</v>
      </c>
      <c r="V241" s="173">
        <v>4.7937081483503578E-5</v>
      </c>
      <c r="W241" s="173">
        <v>2.654723709552062E-5</v>
      </c>
      <c r="X241" s="174">
        <f t="shared" si="24"/>
        <v>3.4041967301804317E-5</v>
      </c>
      <c r="Y241" s="187">
        <f t="shared" si="25"/>
        <v>7.7351740859988874E-2</v>
      </c>
      <c r="AA241" s="144">
        <f t="shared" si="26"/>
        <v>0.86076164363000007</v>
      </c>
      <c r="AB241" s="145">
        <f t="shared" si="27"/>
        <v>3.2216632155249986E-5</v>
      </c>
      <c r="AC241" s="145">
        <f t="shared" si="28"/>
        <v>6.563078064746806E-6</v>
      </c>
      <c r="AD241" s="145">
        <f t="shared" si="31"/>
        <v>3.4041967301804317E-5</v>
      </c>
      <c r="AE241" s="146">
        <f t="shared" si="29"/>
        <v>44.851328829938851</v>
      </c>
      <c r="AF241" s="146">
        <f t="shared" si="30"/>
        <v>1.5184827015469272E-5</v>
      </c>
      <c r="AH241" s="78"/>
      <c r="AI241" s="184"/>
      <c r="AJ241" s="184"/>
    </row>
    <row r="242" spans="9:36" x14ac:dyDescent="0.25">
      <c r="I242" s="125">
        <v>8.6936926006599996E-2</v>
      </c>
      <c r="J242" s="50">
        <v>3.5468650768567642E-5</v>
      </c>
      <c r="K242" s="50">
        <v>6.0497958045737078E-6</v>
      </c>
      <c r="L242" s="70">
        <v>4.4620055269855244E-5</v>
      </c>
      <c r="M242" s="27"/>
      <c r="R242" s="61">
        <v>582.40869411784956</v>
      </c>
      <c r="S242" s="58">
        <v>1.5184827015469272E-7</v>
      </c>
      <c r="U242" s="173">
        <v>1.0416327356132954E-5</v>
      </c>
      <c r="V242" s="173">
        <v>4.4620055269855244E-5</v>
      </c>
      <c r="W242" s="173">
        <v>2.713969897574794E-5</v>
      </c>
      <c r="X242" s="174">
        <f t="shared" si="24"/>
        <v>3.1699034217897846E-5</v>
      </c>
      <c r="Y242" s="187">
        <f t="shared" si="25"/>
        <v>0.38825129978786155</v>
      </c>
      <c r="AA242" s="144">
        <f t="shared" si="26"/>
        <v>0.8693692600659999</v>
      </c>
      <c r="AB242" s="145">
        <f t="shared" si="27"/>
        <v>3.5468650768567642E-5</v>
      </c>
      <c r="AC242" s="145">
        <f t="shared" si="28"/>
        <v>6.0497958045737078E-6</v>
      </c>
      <c r="AD242" s="145">
        <f t="shared" si="31"/>
        <v>3.1699034217897846E-5</v>
      </c>
      <c r="AE242" s="146">
        <f t="shared" si="29"/>
        <v>45.255869411784957</v>
      </c>
      <c r="AF242" s="146">
        <f t="shared" si="30"/>
        <v>1.5184827015469272E-5</v>
      </c>
      <c r="AH242" s="78"/>
      <c r="AI242" s="184"/>
      <c r="AJ242" s="184"/>
    </row>
    <row r="243" spans="9:36" x14ac:dyDescent="0.25">
      <c r="I243" s="125">
        <v>8.7806295266700002E-2</v>
      </c>
      <c r="J243" s="50">
        <v>3.7701684705892242E-5</v>
      </c>
      <c r="K243" s="50">
        <v>6.3989680376946408E-6</v>
      </c>
      <c r="L243" s="70">
        <v>3.7708790278633975E-5</v>
      </c>
      <c r="M243" s="27"/>
      <c r="R243" s="61">
        <v>582.40869411784956</v>
      </c>
      <c r="S243" s="58">
        <v>1.9402525302407732E-7</v>
      </c>
      <c r="U243" s="173">
        <v>9.5104789363623764E-6</v>
      </c>
      <c r="V243" s="173">
        <v>3.7708790278633975E-5</v>
      </c>
      <c r="W243" s="173">
        <v>2.5854790655306329E-5</v>
      </c>
      <c r="X243" s="174">
        <f t="shared" si="24"/>
        <v>2.7695712537234163E-5</v>
      </c>
      <c r="Y243" s="187">
        <f t="shared" si="25"/>
        <v>2.4451116748897199</v>
      </c>
      <c r="AA243" s="144">
        <f t="shared" si="26"/>
        <v>0.87806295266700007</v>
      </c>
      <c r="AB243" s="145">
        <f t="shared" si="27"/>
        <v>3.7701684705892242E-5</v>
      </c>
      <c r="AC243" s="145">
        <f t="shared" si="28"/>
        <v>6.3989680376946408E-6</v>
      </c>
      <c r="AD243" s="145">
        <f t="shared" si="31"/>
        <v>2.7695712537234163E-5</v>
      </c>
      <c r="AE243" s="146">
        <f t="shared" si="29"/>
        <v>45.255869411784957</v>
      </c>
      <c r="AF243" s="146">
        <f t="shared" si="30"/>
        <v>1.9402525302407731E-5</v>
      </c>
      <c r="AH243" s="78"/>
      <c r="AI243" s="184"/>
      <c r="AJ243" s="184"/>
    </row>
    <row r="244" spans="9:36" x14ac:dyDescent="0.25">
      <c r="I244" s="125">
        <v>8.86843582193E-2</v>
      </c>
      <c r="J244" s="50">
        <v>3.0667475299700236E-5</v>
      </c>
      <c r="K244" s="50">
        <v>6.2920991835693954E-6</v>
      </c>
      <c r="L244" s="70">
        <v>2.9805404599321335E-5</v>
      </c>
      <c r="M244" s="27"/>
      <c r="R244" s="61">
        <v>585.70078999181112</v>
      </c>
      <c r="S244" s="58">
        <v>1.9402525302407732E-7</v>
      </c>
      <c r="U244" s="173">
        <v>1.1765917051369328E-5</v>
      </c>
      <c r="V244" s="173">
        <v>2.9805404599321335E-5</v>
      </c>
      <c r="W244" s="173">
        <v>2.2982876187861521E-5</v>
      </c>
      <c r="X244" s="174">
        <f t="shared" si="24"/>
        <v>2.3589900609468377E-5</v>
      </c>
      <c r="Y244" s="187">
        <f t="shared" si="25"/>
        <v>1.2652542438424288</v>
      </c>
      <c r="AA244" s="144">
        <f t="shared" si="26"/>
        <v>0.88684358219299997</v>
      </c>
      <c r="AB244" s="145">
        <f t="shared" si="27"/>
        <v>3.0667475299700236E-5</v>
      </c>
      <c r="AC244" s="145">
        <f t="shared" si="28"/>
        <v>6.2920991835693954E-6</v>
      </c>
      <c r="AD244" s="145">
        <f t="shared" si="31"/>
        <v>2.3589900609468377E-5</v>
      </c>
      <c r="AE244" s="146">
        <f t="shared" si="29"/>
        <v>45.585078999181107</v>
      </c>
      <c r="AF244" s="146">
        <f t="shared" si="30"/>
        <v>1.9402525302407731E-5</v>
      </c>
      <c r="AH244" s="78"/>
      <c r="AI244" s="184"/>
      <c r="AJ244" s="184"/>
    </row>
    <row r="245" spans="9:36" x14ac:dyDescent="0.25">
      <c r="I245" s="125">
        <v>8.9571201801499994E-2</v>
      </c>
      <c r="J245" s="50">
        <v>3.1645121742018301E-5</v>
      </c>
      <c r="K245" s="50">
        <v>5.982963776370444E-6</v>
      </c>
      <c r="L245" s="70">
        <v>2.3362314617657445E-5</v>
      </c>
      <c r="M245" s="27"/>
      <c r="R245" s="61">
        <v>585.70078999181112</v>
      </c>
      <c r="S245" s="58">
        <v>2.3729995014694822E-7</v>
      </c>
      <c r="U245" s="173">
        <v>1.6783745408284256E-5</v>
      </c>
      <c r="V245" s="173">
        <v>2.3362314617657445E-5</v>
      </c>
      <c r="W245" s="173">
        <v>1.9921021083674934E-5</v>
      </c>
      <c r="X245" s="174">
        <f t="shared" si="24"/>
        <v>2.0857348931818518E-5</v>
      </c>
      <c r="Y245" s="187">
        <f t="shared" si="25"/>
        <v>3.2511038056908115</v>
      </c>
      <c r="AA245" s="144">
        <f t="shared" si="26"/>
        <v>0.895712018015</v>
      </c>
      <c r="AB245" s="145">
        <f t="shared" si="27"/>
        <v>3.1645121742018301E-5</v>
      </c>
      <c r="AC245" s="145">
        <f t="shared" si="28"/>
        <v>5.982963776370444E-6</v>
      </c>
      <c r="AD245" s="145">
        <f t="shared" si="31"/>
        <v>2.0857348931818518E-5</v>
      </c>
      <c r="AE245" s="146">
        <f t="shared" si="29"/>
        <v>45.585078999181107</v>
      </c>
      <c r="AF245" s="146">
        <f t="shared" si="30"/>
        <v>2.372999501469482E-5</v>
      </c>
      <c r="AH245" s="78"/>
      <c r="AI245" s="184"/>
      <c r="AJ245" s="184"/>
    </row>
    <row r="246" spans="9:36" x14ac:dyDescent="0.25">
      <c r="I246" s="125">
        <v>9.0466913819500006E-2</v>
      </c>
      <c r="J246" s="50">
        <v>3.5779634094344446E-5</v>
      </c>
      <c r="K246" s="50">
        <v>6.6210424182327953E-6</v>
      </c>
      <c r="L246" s="70">
        <v>1.9721401054106547E-5</v>
      </c>
      <c r="M246" s="27"/>
      <c r="R246" s="61">
        <v>588.54353305615734</v>
      </c>
      <c r="S246" s="58">
        <v>2.3729995014694822E-7</v>
      </c>
      <c r="U246" s="173">
        <v>2.3113416040807569E-5</v>
      </c>
      <c r="V246" s="173">
        <v>1.9721401054106547E-5</v>
      </c>
      <c r="W246" s="173">
        <v>1.8110948822968204E-5</v>
      </c>
      <c r="X246" s="174">
        <f t="shared" si="24"/>
        <v>2.0166791742997217E-5</v>
      </c>
      <c r="Y246" s="187">
        <f t="shared" si="25"/>
        <v>5.5604662429641225</v>
      </c>
      <c r="AA246" s="144">
        <f t="shared" si="26"/>
        <v>0.90466913819500006</v>
      </c>
      <c r="AB246" s="145">
        <f t="shared" si="27"/>
        <v>3.5779634094344446E-5</v>
      </c>
      <c r="AC246" s="145">
        <f t="shared" si="28"/>
        <v>6.6210424182327953E-6</v>
      </c>
      <c r="AD246" s="145">
        <f t="shared" si="31"/>
        <v>2.0166791742997217E-5</v>
      </c>
      <c r="AE246" s="146">
        <f t="shared" si="29"/>
        <v>45.869353305615732</v>
      </c>
      <c r="AF246" s="146">
        <f t="shared" si="30"/>
        <v>2.372999501469482E-5</v>
      </c>
      <c r="AH246" s="78"/>
      <c r="AI246" s="184"/>
      <c r="AJ246" s="184"/>
    </row>
    <row r="247" spans="9:36" x14ac:dyDescent="0.25">
      <c r="I247" s="125">
        <v>9.1371582957699995E-2</v>
      </c>
      <c r="J247" s="50">
        <v>2.5746048753708465E-5</v>
      </c>
      <c r="K247" s="50">
        <v>5.85902857419972E-6</v>
      </c>
      <c r="L247" s="70">
        <v>1.8758087285026604E-5</v>
      </c>
      <c r="M247" s="27"/>
      <c r="R247" s="61">
        <v>588.54353305615734</v>
      </c>
      <c r="S247" s="58">
        <v>2.8111684452579068E-7</v>
      </c>
      <c r="U247" s="173">
        <v>2.8782132794804412E-5</v>
      </c>
      <c r="V247" s="173">
        <v>1.8758087285026604E-5</v>
      </c>
      <c r="W247" s="173">
        <v>1.8051149644773536E-5</v>
      </c>
      <c r="X247" s="174">
        <f t="shared" si="24"/>
        <v>2.1087364252407787E-5</v>
      </c>
      <c r="Y247" s="187">
        <f t="shared" si="25"/>
        <v>0.63223038995265668</v>
      </c>
      <c r="AA247" s="144">
        <f t="shared" si="26"/>
        <v>0.91371582957699993</v>
      </c>
      <c r="AB247" s="145">
        <f t="shared" si="27"/>
        <v>2.5746048753708465E-5</v>
      </c>
      <c r="AC247" s="145">
        <f t="shared" si="28"/>
        <v>5.85902857419972E-6</v>
      </c>
      <c r="AD247" s="145">
        <f t="shared" si="31"/>
        <v>2.1087364252407787E-5</v>
      </c>
      <c r="AE247" s="146">
        <f t="shared" si="29"/>
        <v>45.869353305615732</v>
      </c>
      <c r="AF247" s="146">
        <f t="shared" si="30"/>
        <v>2.8111684452579069E-5</v>
      </c>
      <c r="AH247" s="78"/>
      <c r="AI247" s="184"/>
      <c r="AJ247" s="184"/>
    </row>
    <row r="248" spans="9:36" x14ac:dyDescent="0.25">
      <c r="I248" s="125">
        <v>9.2285298787300005E-2</v>
      </c>
      <c r="J248" s="50">
        <v>3.4153870734879093E-5</v>
      </c>
      <c r="K248" s="50">
        <v>6.2358111641134253E-6</v>
      </c>
      <c r="L248" s="70">
        <v>1.9235523073841143E-5</v>
      </c>
      <c r="M248" s="27"/>
      <c r="R248" s="61">
        <v>591.09729139618105</v>
      </c>
      <c r="S248" s="58">
        <v>2.8111684452579068E-7</v>
      </c>
      <c r="U248" s="173">
        <v>3.2045692932810078E-5</v>
      </c>
      <c r="V248" s="173">
        <v>1.9235523073841143E-5</v>
      </c>
      <c r="W248" s="173">
        <v>1.8976740318098406E-5</v>
      </c>
      <c r="X248" s="174">
        <f t="shared" si="24"/>
        <v>2.2373369849647691E-5</v>
      </c>
      <c r="Y248" s="187">
        <f t="shared" si="25"/>
        <v>3.5689593555295764</v>
      </c>
      <c r="AA248" s="144">
        <f t="shared" si="26"/>
        <v>0.92285298787300007</v>
      </c>
      <c r="AB248" s="145">
        <f t="shared" si="27"/>
        <v>3.4153870734879093E-5</v>
      </c>
      <c r="AC248" s="145">
        <f t="shared" si="28"/>
        <v>6.2358111641134253E-6</v>
      </c>
      <c r="AD248" s="145">
        <f t="shared" si="31"/>
        <v>2.2373369849647691E-5</v>
      </c>
      <c r="AE248" s="146">
        <f t="shared" si="29"/>
        <v>46.124729139618104</v>
      </c>
      <c r="AF248" s="146">
        <f t="shared" si="30"/>
        <v>2.8111684452579069E-5</v>
      </c>
      <c r="AH248" s="78"/>
      <c r="AI248" s="184"/>
      <c r="AJ248" s="184"/>
    </row>
    <row r="249" spans="9:36" x14ac:dyDescent="0.25">
      <c r="I249" s="125">
        <v>9.3208151775200004E-2</v>
      </c>
      <c r="J249" s="50">
        <v>2.6306833995659837E-5</v>
      </c>
      <c r="K249" s="50">
        <v>5.8652324481853869E-6</v>
      </c>
      <c r="L249" s="70">
        <v>1.9625263528552234E-5</v>
      </c>
      <c r="M249" s="27"/>
      <c r="R249" s="61">
        <v>591.09729139618105</v>
      </c>
      <c r="S249" s="58">
        <v>3.2518900096686226E-7</v>
      </c>
      <c r="U249" s="173">
        <v>3.2037563528523641E-5</v>
      </c>
      <c r="V249" s="173">
        <v>1.9625263528552234E-5</v>
      </c>
      <c r="W249" s="173">
        <v>1.9380303835343628E-5</v>
      </c>
      <c r="X249" s="174">
        <f t="shared" si="24"/>
        <v>2.2667098605242933E-5</v>
      </c>
      <c r="Y249" s="187">
        <f t="shared" si="25"/>
        <v>0.38509614032934025</v>
      </c>
      <c r="AA249" s="144">
        <f t="shared" si="26"/>
        <v>0.9320815177520001</v>
      </c>
      <c r="AB249" s="145">
        <f t="shared" si="27"/>
        <v>2.6306833995659837E-5</v>
      </c>
      <c r="AC249" s="145">
        <f t="shared" si="28"/>
        <v>5.8652324481853869E-6</v>
      </c>
      <c r="AD249" s="145">
        <f t="shared" si="31"/>
        <v>2.2667098605242933E-5</v>
      </c>
      <c r="AE249" s="146">
        <f t="shared" si="29"/>
        <v>46.124729139618104</v>
      </c>
      <c r="AF249" s="146">
        <f t="shared" si="30"/>
        <v>3.2518900096686227E-5</v>
      </c>
      <c r="AH249" s="78"/>
      <c r="AI249" s="184"/>
      <c r="AJ249" s="184"/>
    </row>
    <row r="250" spans="9:36" x14ac:dyDescent="0.25">
      <c r="I250" s="125">
        <v>9.41402332929E-2</v>
      </c>
      <c r="J250" s="50">
        <v>2.3228476090571699E-5</v>
      </c>
      <c r="K250" s="50">
        <v>5.560492242257919E-6</v>
      </c>
      <c r="L250" s="70">
        <v>1.8942275850489894E-5</v>
      </c>
      <c r="M250" s="27"/>
      <c r="R250" s="61">
        <v>593.45951881843757</v>
      </c>
      <c r="S250" s="58">
        <v>3.2518900096686226E-7</v>
      </c>
      <c r="U250" s="173">
        <v>2.9043288934273222E-5</v>
      </c>
      <c r="V250" s="173">
        <v>1.8942275850489894E-5</v>
      </c>
      <c r="W250" s="173">
        <v>1.8027762934155686E-5</v>
      </c>
      <c r="X250" s="174">
        <f t="shared" si="24"/>
        <v>2.1238900892352175E-5</v>
      </c>
      <c r="Y250" s="187">
        <f t="shared" si="25"/>
        <v>0.12802483904970449</v>
      </c>
      <c r="AA250" s="144">
        <f t="shared" si="26"/>
        <v>0.941402332929</v>
      </c>
      <c r="AB250" s="145">
        <f t="shared" si="27"/>
        <v>2.3228476090571699E-5</v>
      </c>
      <c r="AC250" s="145">
        <f t="shared" si="28"/>
        <v>5.560492242257919E-6</v>
      </c>
      <c r="AD250" s="145">
        <f t="shared" si="31"/>
        <v>2.1238900892352175E-5</v>
      </c>
      <c r="AE250" s="146">
        <f t="shared" si="29"/>
        <v>46.360951881843754</v>
      </c>
      <c r="AF250" s="146">
        <f t="shared" si="30"/>
        <v>3.2518900096686227E-5</v>
      </c>
      <c r="AH250" s="78"/>
      <c r="AI250" s="184"/>
      <c r="AJ250" s="184"/>
    </row>
    <row r="251" spans="9:36" x14ac:dyDescent="0.25">
      <c r="I251" s="125">
        <v>9.5081635625899996E-2</v>
      </c>
      <c r="J251" s="50">
        <v>2.157012890733872E-5</v>
      </c>
      <c r="K251" s="50">
        <v>5.7255836951783467E-6</v>
      </c>
      <c r="L251" s="70">
        <v>1.7169258723675765E-5</v>
      </c>
      <c r="M251" s="27"/>
      <c r="R251" s="61">
        <v>593.45951881843757</v>
      </c>
      <c r="S251" s="58">
        <v>3.6936937720411694E-7</v>
      </c>
      <c r="U251" s="173">
        <v>2.4299774015984707E-5</v>
      </c>
      <c r="V251" s="173">
        <v>1.7169258723675765E-5</v>
      </c>
      <c r="W251" s="173">
        <v>1.4810768906567361E-5</v>
      </c>
      <c r="X251" s="174">
        <f t="shared" si="24"/>
        <v>1.8362265092475899E-5</v>
      </c>
      <c r="Y251" s="187">
        <f t="shared" si="25"/>
        <v>0.31390071896451904</v>
      </c>
      <c r="AA251" s="144">
        <f t="shared" si="26"/>
        <v>0.95081635625899996</v>
      </c>
      <c r="AB251" s="145">
        <f t="shared" si="27"/>
        <v>2.157012890733872E-5</v>
      </c>
      <c r="AC251" s="145">
        <f t="shared" si="28"/>
        <v>5.7255836951783467E-6</v>
      </c>
      <c r="AD251" s="145">
        <f t="shared" si="31"/>
        <v>1.8362265092475899E-5</v>
      </c>
      <c r="AE251" s="146">
        <f t="shared" si="29"/>
        <v>46.360951881843754</v>
      </c>
      <c r="AF251" s="146">
        <f t="shared" si="30"/>
        <v>3.6936937720411696E-5</v>
      </c>
      <c r="AH251" s="78"/>
      <c r="AI251" s="184"/>
      <c r="AJ251" s="184"/>
    </row>
    <row r="252" spans="9:36" x14ac:dyDescent="0.25">
      <c r="I252" s="125">
        <v>9.6032451982100003E-2</v>
      </c>
      <c r="J252" s="50">
        <v>3.7682605262059821E-5</v>
      </c>
      <c r="K252" s="50">
        <v>6.3005878501630674E-6</v>
      </c>
      <c r="L252" s="70">
        <v>1.5085778082197175E-5</v>
      </c>
      <c r="M252" s="27"/>
      <c r="R252" s="61">
        <v>595.69616699709127</v>
      </c>
      <c r="S252" s="58">
        <v>3.6936937720411694E-7</v>
      </c>
      <c r="U252" s="173">
        <v>1.9429149934187319E-5</v>
      </c>
      <c r="V252" s="173">
        <v>1.5085778082197175E-5</v>
      </c>
      <c r="W252" s="173">
        <v>1.0872038897635728E-5</v>
      </c>
      <c r="X252" s="174">
        <f t="shared" si="24"/>
        <v>1.511818624905435E-5</v>
      </c>
      <c r="Y252" s="187">
        <f t="shared" si="25"/>
        <v>12.825850365749472</v>
      </c>
      <c r="AA252" s="144">
        <f t="shared" si="26"/>
        <v>0.96032451982099998</v>
      </c>
      <c r="AB252" s="145">
        <f t="shared" si="27"/>
        <v>3.7682605262059821E-5</v>
      </c>
      <c r="AC252" s="145">
        <f t="shared" si="28"/>
        <v>6.3005878501630674E-6</v>
      </c>
      <c r="AD252" s="145">
        <f t="shared" si="31"/>
        <v>1.511818624905435E-5</v>
      </c>
      <c r="AE252" s="146">
        <f t="shared" si="29"/>
        <v>46.584616699709123</v>
      </c>
      <c r="AF252" s="146">
        <f t="shared" si="30"/>
        <v>3.6936937720411696E-5</v>
      </c>
      <c r="AH252" s="78"/>
      <c r="AI252" s="184"/>
      <c r="AJ252" s="184"/>
    </row>
    <row r="253" spans="9:36" x14ac:dyDescent="0.25">
      <c r="I253" s="125">
        <v>9.6992776501899997E-2</v>
      </c>
      <c r="J253" s="50">
        <v>2.9043987744262785E-5</v>
      </c>
      <c r="K253" s="50">
        <v>5.90537874439317E-6</v>
      </c>
      <c r="L253" s="70">
        <v>1.3647143750876145E-5</v>
      </c>
      <c r="M253" s="27"/>
      <c r="R253" s="61">
        <v>595.69616699709127</v>
      </c>
      <c r="S253" s="58">
        <v>4.1358724039729343E-7</v>
      </c>
      <c r="U253" s="173">
        <v>1.5768733081082846E-5</v>
      </c>
      <c r="V253" s="173">
        <v>1.3647143750876145E-5</v>
      </c>
      <c r="W253" s="173">
        <v>7.9071542572436336E-6</v>
      </c>
      <c r="X253" s="174">
        <f t="shared" si="24"/>
        <v>1.2742543710019693E-5</v>
      </c>
      <c r="Y253" s="187">
        <f t="shared" si="25"/>
        <v>7.6200293049842243</v>
      </c>
      <c r="AA253" s="144">
        <f t="shared" si="26"/>
        <v>0.96992776501899991</v>
      </c>
      <c r="AB253" s="145">
        <f t="shared" si="27"/>
        <v>2.9043987744262785E-5</v>
      </c>
      <c r="AC253" s="145">
        <f t="shared" si="28"/>
        <v>5.90537874439317E-6</v>
      </c>
      <c r="AD253" s="145">
        <f t="shared" si="31"/>
        <v>1.2742543710019693E-5</v>
      </c>
      <c r="AE253" s="146">
        <f t="shared" si="29"/>
        <v>46.584616699709123</v>
      </c>
      <c r="AF253" s="146">
        <f t="shared" si="30"/>
        <v>4.1358724039729342E-5</v>
      </c>
      <c r="AH253" s="78"/>
      <c r="AI253" s="184"/>
      <c r="AJ253" s="184"/>
    </row>
    <row r="254" spans="9:36" x14ac:dyDescent="0.25">
      <c r="I254" s="125">
        <v>9.7962704267000003E-2</v>
      </c>
      <c r="J254" s="50">
        <v>2.3216518459919591E-5</v>
      </c>
      <c r="K254" s="50">
        <v>5.348534062216194E-6</v>
      </c>
      <c r="L254" s="70">
        <v>1.3306323154326511E-5</v>
      </c>
      <c r="M254" s="27"/>
      <c r="R254" s="61">
        <v>597.85634169180616</v>
      </c>
      <c r="S254" s="58">
        <v>4.1358724039729343E-7</v>
      </c>
      <c r="U254" s="173">
        <v>1.3889383734214103E-5</v>
      </c>
      <c r="V254" s="173">
        <v>1.3306323154326511E-5</v>
      </c>
      <c r="W254" s="173">
        <v>7.1007178138775615E-6</v>
      </c>
      <c r="X254" s="174">
        <f t="shared" si="24"/>
        <v>1.1900686964186172E-5</v>
      </c>
      <c r="Y254" s="187">
        <f t="shared" si="25"/>
        <v>4.4761374243260619</v>
      </c>
      <c r="AA254" s="144">
        <f t="shared" si="26"/>
        <v>0.97962704267</v>
      </c>
      <c r="AB254" s="145">
        <f t="shared" si="27"/>
        <v>2.3216518459919591E-5</v>
      </c>
      <c r="AC254" s="145">
        <f t="shared" si="28"/>
        <v>5.348534062216194E-6</v>
      </c>
      <c r="AD254" s="145">
        <f t="shared" si="31"/>
        <v>1.1900686964186172E-5</v>
      </c>
      <c r="AE254" s="146">
        <f t="shared" si="29"/>
        <v>46.800634169180611</v>
      </c>
      <c r="AF254" s="146">
        <f t="shared" si="30"/>
        <v>4.1358724039729342E-5</v>
      </c>
      <c r="AH254" s="78"/>
      <c r="AI254" s="184"/>
      <c r="AJ254" s="184"/>
    </row>
    <row r="255" spans="9:36" x14ac:dyDescent="0.25">
      <c r="I255" s="125">
        <v>9.8942331309600007E-2</v>
      </c>
      <c r="J255" s="50">
        <v>1.8537135790425825E-5</v>
      </c>
      <c r="K255" s="50">
        <v>5.5096897368707261E-6</v>
      </c>
      <c r="L255" s="70">
        <v>1.3700757848892999E-5</v>
      </c>
      <c r="M255" s="27"/>
      <c r="R255" s="61">
        <v>597.85634169180616</v>
      </c>
      <c r="S255" s="58">
        <v>4.5781375384921078E-7</v>
      </c>
      <c r="U255" s="173">
        <v>1.3497521465002416E-5</v>
      </c>
      <c r="V255" s="173">
        <v>1.3700757848892999E-5</v>
      </c>
      <c r="W255" s="173">
        <v>8.4154670096345346E-6</v>
      </c>
      <c r="X255" s="174">
        <f t="shared" si="24"/>
        <v>1.2328626043105737E-5</v>
      </c>
      <c r="Y255" s="187">
        <f t="shared" si="25"/>
        <v>1.2697565088526268</v>
      </c>
      <c r="AA255" s="144">
        <f t="shared" si="26"/>
        <v>0.98942331309600007</v>
      </c>
      <c r="AB255" s="145">
        <f t="shared" si="27"/>
        <v>1.8537135790425825E-5</v>
      </c>
      <c r="AC255" s="145">
        <f t="shared" si="28"/>
        <v>5.5096897368707261E-6</v>
      </c>
      <c r="AD255" s="145">
        <f t="shared" si="31"/>
        <v>1.2328626043105737E-5</v>
      </c>
      <c r="AE255" s="146">
        <f t="shared" si="29"/>
        <v>46.800634169180611</v>
      </c>
      <c r="AF255" s="146">
        <f t="shared" si="30"/>
        <v>4.5781375384921079E-5</v>
      </c>
      <c r="AH255" s="78"/>
      <c r="AI255" s="184"/>
      <c r="AJ255" s="184"/>
    </row>
    <row r="256" spans="9:36" x14ac:dyDescent="0.25">
      <c r="I256" s="125">
        <v>9.99317546227E-2</v>
      </c>
      <c r="J256" s="50">
        <v>2.4208027005750876E-5</v>
      </c>
      <c r="K256" s="50">
        <v>5.4265035854573303E-6</v>
      </c>
      <c r="L256" s="70">
        <v>1.3902290684236134E-5</v>
      </c>
      <c r="M256" s="27"/>
      <c r="R256" s="61">
        <v>599.98022911029943</v>
      </c>
      <c r="S256" s="58">
        <v>4.5781375384921078E-7</v>
      </c>
      <c r="U256" s="173">
        <v>1.373599593225219E-5</v>
      </c>
      <c r="V256" s="173">
        <v>1.3902290684236134E-5</v>
      </c>
      <c r="W256" s="173">
        <v>1.0707562427037127E-5</v>
      </c>
      <c r="X256" s="174">
        <f t="shared" si="24"/>
        <v>1.3062034931940395E-5</v>
      </c>
      <c r="Y256" s="187">
        <f t="shared" si="25"/>
        <v>4.2188809568317307</v>
      </c>
      <c r="AA256" s="144">
        <f t="shared" si="26"/>
        <v>0.99931754622699998</v>
      </c>
      <c r="AB256" s="145">
        <f t="shared" si="27"/>
        <v>2.4208027005750876E-5</v>
      </c>
      <c r="AC256" s="145">
        <f t="shared" si="28"/>
        <v>5.4265035854573303E-6</v>
      </c>
      <c r="AD256" s="145">
        <f t="shared" si="31"/>
        <v>1.3062034931940395E-5</v>
      </c>
      <c r="AE256" s="146">
        <f t="shared" si="29"/>
        <v>47.013022911029942</v>
      </c>
      <c r="AF256" s="146">
        <f t="shared" si="30"/>
        <v>4.5781375384921079E-5</v>
      </c>
      <c r="AH256" s="78"/>
      <c r="AI256" s="184"/>
      <c r="AJ256" s="184"/>
    </row>
    <row r="257" spans="9:36" x14ac:dyDescent="0.25">
      <c r="I257" s="125">
        <v>0.10093107216900001</v>
      </c>
      <c r="J257" s="50">
        <v>2.3108077864989426E-5</v>
      </c>
      <c r="K257" s="50">
        <v>5.7008057639048611E-6</v>
      </c>
      <c r="L257" s="70">
        <v>1.3066727292967108E-5</v>
      </c>
      <c r="M257" s="27"/>
      <c r="R257" s="61">
        <v>599.98022911029943</v>
      </c>
      <c r="S257" s="58">
        <v>5.0204123119388497E-7</v>
      </c>
      <c r="U257" s="173">
        <v>1.3712743545887961E-5</v>
      </c>
      <c r="V257" s="173">
        <v>1.3066727292967108E-5</v>
      </c>
      <c r="W257" s="173">
        <v>1.2542831414519008E-5</v>
      </c>
      <c r="X257" s="174">
        <f t="shared" si="24"/>
        <v>1.3097257386585297E-5</v>
      </c>
      <c r="Y257" s="187">
        <f t="shared" si="25"/>
        <v>3.083662635353106</v>
      </c>
      <c r="AA257" s="144">
        <f t="shared" si="26"/>
        <v>1.0093107216900001</v>
      </c>
      <c r="AB257" s="145">
        <f t="shared" si="27"/>
        <v>2.3108077864989426E-5</v>
      </c>
      <c r="AC257" s="145">
        <f t="shared" si="28"/>
        <v>5.7008057639048611E-6</v>
      </c>
      <c r="AD257" s="145">
        <f t="shared" si="31"/>
        <v>1.3097257386585297E-5</v>
      </c>
      <c r="AE257" s="146">
        <f t="shared" si="29"/>
        <v>47.013022911029942</v>
      </c>
      <c r="AF257" s="146">
        <f t="shared" si="30"/>
        <v>5.02041231193885E-5</v>
      </c>
      <c r="AH257" s="78"/>
      <c r="AI257" s="184"/>
      <c r="AJ257" s="184"/>
    </row>
    <row r="258" spans="9:36" x14ac:dyDescent="0.25">
      <c r="I258" s="125">
        <v>0.10194038289100001</v>
      </c>
      <c r="J258" s="50">
        <v>1.9528615399391846E-5</v>
      </c>
      <c r="K258" s="50">
        <v>5.2533115874418869E-6</v>
      </c>
      <c r="L258" s="70">
        <v>1.1041952092598725E-5</v>
      </c>
      <c r="M258" s="27"/>
      <c r="R258" s="61">
        <v>602.1041165287927</v>
      </c>
      <c r="S258" s="58">
        <v>5.0204123119388497E-7</v>
      </c>
      <c r="U258" s="173">
        <v>1.2976687529864404E-5</v>
      </c>
      <c r="V258" s="173">
        <v>1.1041952092598725E-5</v>
      </c>
      <c r="W258" s="173">
        <v>1.3087279536168518E-5</v>
      </c>
      <c r="X258" s="174">
        <f t="shared" si="24"/>
        <v>1.2036967812807593E-5</v>
      </c>
      <c r="Y258" s="187">
        <f t="shared" si="25"/>
        <v>2.0337068799266458</v>
      </c>
      <c r="AA258" s="144">
        <f t="shared" si="26"/>
        <v>1.01940382891</v>
      </c>
      <c r="AB258" s="145">
        <f t="shared" si="27"/>
        <v>1.9528615399391846E-5</v>
      </c>
      <c r="AC258" s="145">
        <f t="shared" si="28"/>
        <v>5.2533115874418869E-6</v>
      </c>
      <c r="AD258" s="145">
        <f t="shared" si="31"/>
        <v>1.2036967812807593E-5</v>
      </c>
      <c r="AE258" s="146">
        <f t="shared" si="29"/>
        <v>47.225411652879266</v>
      </c>
      <c r="AF258" s="146">
        <f t="shared" si="30"/>
        <v>5.02041231193885E-5</v>
      </c>
      <c r="AH258" s="78"/>
      <c r="AI258" s="184"/>
      <c r="AJ258" s="184"/>
    </row>
    <row r="259" spans="9:36" x14ac:dyDescent="0.25">
      <c r="I259" s="125">
        <v>0.10295978672</v>
      </c>
      <c r="J259" s="50">
        <v>2.2596407832179288E-5</v>
      </c>
      <c r="K259" s="50">
        <v>5.532931870506373E-6</v>
      </c>
      <c r="L259" s="70">
        <v>8.5074213507049049E-6</v>
      </c>
      <c r="M259" s="27"/>
      <c r="R259" s="61">
        <v>602.1041165287927</v>
      </c>
      <c r="S259" s="58">
        <v>5.4626774464580233E-7</v>
      </c>
      <c r="U259" s="173">
        <v>1.1690459351471633E-5</v>
      </c>
      <c r="V259" s="173">
        <v>8.5074213507049049E-6</v>
      </c>
      <c r="W259" s="173">
        <v>1.2443772045279985E-5</v>
      </c>
      <c r="X259" s="174">
        <f t="shared" ref="X259:X260" si="32">(U259+2*V259+W259)/4</f>
        <v>1.0287268524540357E-5</v>
      </c>
      <c r="Y259" s="187">
        <f t="shared" ref="Y259:Y260" si="33">(J259-X259)*(J259-X259)/(K259*K259)</f>
        <v>4.9493108176804972</v>
      </c>
      <c r="AA259" s="144">
        <f t="shared" ref="AA259:AA260" si="34">I259*10</f>
        <v>1.0295978672000001</v>
      </c>
      <c r="AB259" s="145">
        <f t="shared" ref="AB259:AB260" si="35">J259</f>
        <v>2.2596407832179288E-5</v>
      </c>
      <c r="AC259" s="145">
        <f t="shared" ref="AC259:AC260" si="36">K259</f>
        <v>5.532931870506373E-6</v>
      </c>
      <c r="AD259" s="145">
        <f t="shared" si="31"/>
        <v>1.0287268524540357E-5</v>
      </c>
      <c r="AE259" s="146">
        <f t="shared" ref="AE259:AE322" si="37">(R259-129.85)/10</f>
        <v>47.225411652879266</v>
      </c>
      <c r="AF259" s="146">
        <f t="shared" ref="AF259:AF322" si="38">S259*100</f>
        <v>5.462677446458023E-5</v>
      </c>
      <c r="AH259" s="78"/>
      <c r="AI259" s="184"/>
      <c r="AJ259" s="184"/>
    </row>
    <row r="260" spans="9:36" x14ac:dyDescent="0.25">
      <c r="I260" s="125">
        <v>0.10398938458699999</v>
      </c>
      <c r="J260" s="50">
        <v>1.6179017806482463E-5</v>
      </c>
      <c r="K260" s="50">
        <v>3.1083773088015299E-6</v>
      </c>
      <c r="L260" s="70">
        <v>6.5474022517903741E-6</v>
      </c>
      <c r="M260" s="27"/>
      <c r="R260" s="61">
        <v>604.2642912235076</v>
      </c>
      <c r="S260" s="58">
        <v>5.4626774464580233E-7</v>
      </c>
      <c r="U260" s="173">
        <v>1.042472317845313E-5</v>
      </c>
      <c r="V260" s="173">
        <v>6.5474022517903741E-6</v>
      </c>
      <c r="W260" s="173">
        <v>1.1305562960475382E-5</v>
      </c>
      <c r="X260" s="174">
        <f t="shared" si="32"/>
        <v>8.7062726606273146E-6</v>
      </c>
      <c r="Y260" s="187">
        <f t="shared" si="33"/>
        <v>5.7795347903888192</v>
      </c>
      <c r="AA260" s="144">
        <f t="shared" si="34"/>
        <v>1.03989384587</v>
      </c>
      <c r="AB260" s="145">
        <f t="shared" si="35"/>
        <v>1.6179017806482463E-5</v>
      </c>
      <c r="AC260" s="145">
        <f t="shared" si="36"/>
        <v>3.1083773088015299E-6</v>
      </c>
      <c r="AD260" s="145">
        <f t="shared" ref="AD260" si="39">X260</f>
        <v>8.7062726606273146E-6</v>
      </c>
      <c r="AE260" s="146">
        <f t="shared" si="37"/>
        <v>47.441429122350755</v>
      </c>
      <c r="AF260" s="146">
        <f t="shared" si="38"/>
        <v>5.462677446458023E-5</v>
      </c>
      <c r="AH260" s="78"/>
      <c r="AI260" s="184"/>
      <c r="AJ260" s="184"/>
    </row>
    <row r="261" spans="9:36" x14ac:dyDescent="0.25">
      <c r="I261" s="125"/>
      <c r="J261" s="50"/>
      <c r="K261" s="50"/>
      <c r="L261" s="70"/>
      <c r="M261" s="27"/>
      <c r="R261" s="61">
        <v>604.2642912235076</v>
      </c>
      <c r="S261" s="58">
        <v>5.9048560783897882E-7</v>
      </c>
      <c r="U261" s="173"/>
      <c r="V261" s="173"/>
      <c r="W261" s="173"/>
      <c r="X261" s="174"/>
      <c r="Y261" s="187"/>
      <c r="AA261" s="144"/>
      <c r="AB261" s="145"/>
      <c r="AC261" s="145"/>
      <c r="AD261" s="145"/>
      <c r="AE261" s="146">
        <f t="shared" si="37"/>
        <v>47.441429122350755</v>
      </c>
      <c r="AF261" s="146">
        <f t="shared" si="38"/>
        <v>5.9048560783897883E-5</v>
      </c>
      <c r="AH261" s="78"/>
      <c r="AI261" s="184"/>
      <c r="AJ261" s="184"/>
    </row>
    <row r="262" spans="9:36" x14ac:dyDescent="0.25">
      <c r="I262" s="125"/>
      <c r="J262" s="50"/>
      <c r="K262" s="50"/>
      <c r="L262" s="70"/>
      <c r="M262" s="27"/>
      <c r="R262" s="61">
        <v>606.50093940216129</v>
      </c>
      <c r="S262" s="58">
        <v>5.9048560783897882E-7</v>
      </c>
      <c r="U262" s="173"/>
      <c r="V262" s="173"/>
      <c r="W262" s="173"/>
      <c r="X262" s="174"/>
      <c r="Y262" s="187"/>
      <c r="AA262" s="144"/>
      <c r="AB262" s="145"/>
      <c r="AC262" s="145"/>
      <c r="AD262" s="145"/>
      <c r="AE262" s="146">
        <f t="shared" si="37"/>
        <v>47.665093940216124</v>
      </c>
      <c r="AF262" s="146">
        <f t="shared" si="38"/>
        <v>5.9048560783897883E-5</v>
      </c>
      <c r="AH262" s="78"/>
      <c r="AI262" s="184"/>
      <c r="AJ262" s="184"/>
    </row>
    <row r="263" spans="9:36" x14ac:dyDescent="0.25">
      <c r="I263" s="125"/>
      <c r="J263" s="50"/>
      <c r="K263" s="50"/>
      <c r="L263" s="70"/>
      <c r="M263" s="27"/>
      <c r="R263" s="61">
        <v>606.50093940216129</v>
      </c>
      <c r="S263" s="58">
        <v>6.3466598407623349E-7</v>
      </c>
      <c r="U263" s="173"/>
      <c r="V263" s="173"/>
      <c r="W263" s="173"/>
      <c r="X263" s="174"/>
      <c r="Y263" s="187"/>
      <c r="AA263" s="144"/>
      <c r="AB263" s="145"/>
      <c r="AC263" s="145"/>
      <c r="AD263" s="145"/>
      <c r="AE263" s="146">
        <f t="shared" si="37"/>
        <v>47.665093940216124</v>
      </c>
      <c r="AF263" s="146">
        <f t="shared" si="38"/>
        <v>6.3466598407623345E-5</v>
      </c>
      <c r="AH263" s="78"/>
      <c r="AI263" s="184"/>
      <c r="AJ263" s="184"/>
    </row>
    <row r="264" spans="9:36" x14ac:dyDescent="0.25">
      <c r="I264" s="125"/>
      <c r="J264" s="50"/>
      <c r="K264" s="50"/>
      <c r="L264" s="70"/>
      <c r="M264" s="27"/>
      <c r="R264" s="61">
        <v>608.86316682441782</v>
      </c>
      <c r="S264" s="58">
        <v>6.3466598407623349E-7</v>
      </c>
      <c r="U264" s="173"/>
      <c r="V264" s="173"/>
      <c r="W264" s="173"/>
      <c r="X264" s="174"/>
      <c r="Y264" s="187"/>
      <c r="AA264" s="144"/>
      <c r="AB264" s="145"/>
      <c r="AC264" s="145"/>
      <c r="AD264" s="145"/>
      <c r="AE264" s="146">
        <f t="shared" si="37"/>
        <v>47.901316682441781</v>
      </c>
      <c r="AF264" s="146">
        <f t="shared" si="38"/>
        <v>6.3466598407623345E-5</v>
      </c>
      <c r="AH264" s="78"/>
      <c r="AI264" s="184"/>
      <c r="AJ264" s="184"/>
    </row>
    <row r="265" spans="9:36" x14ac:dyDescent="0.25">
      <c r="I265" s="125"/>
      <c r="J265" s="50"/>
      <c r="K265" s="50"/>
      <c r="L265" s="70"/>
      <c r="M265" s="27"/>
      <c r="R265" s="61">
        <v>608.86316682441782</v>
      </c>
      <c r="S265" s="58">
        <v>6.7873814051730507E-7</v>
      </c>
      <c r="U265" s="173"/>
      <c r="V265" s="173"/>
      <c r="W265" s="173"/>
      <c r="X265" s="174"/>
      <c r="Y265" s="187"/>
      <c r="AA265" s="144"/>
      <c r="AB265" s="145"/>
      <c r="AC265" s="145"/>
      <c r="AD265" s="145"/>
      <c r="AE265" s="146">
        <f t="shared" si="37"/>
        <v>47.901316682441781</v>
      </c>
      <c r="AF265" s="146">
        <f t="shared" si="38"/>
        <v>6.7873814051730503E-5</v>
      </c>
      <c r="AH265" s="78"/>
      <c r="AI265" s="184"/>
      <c r="AJ265" s="184"/>
    </row>
    <row r="266" spans="9:36" x14ac:dyDescent="0.25">
      <c r="I266" s="125"/>
      <c r="J266" s="50"/>
      <c r="K266" s="50"/>
      <c r="L266" s="70"/>
      <c r="M266" s="27"/>
      <c r="R266" s="61">
        <v>611.41692516444152</v>
      </c>
      <c r="S266" s="58">
        <v>6.7873814051730507E-7</v>
      </c>
      <c r="U266" s="173"/>
      <c r="V266" s="173"/>
      <c r="W266" s="173"/>
      <c r="X266" s="174"/>
      <c r="Y266" s="187"/>
      <c r="AA266" s="144"/>
      <c r="AB266" s="145"/>
      <c r="AC266" s="145"/>
      <c r="AD266" s="145"/>
      <c r="AE266" s="146">
        <f t="shared" si="37"/>
        <v>48.156692516444153</v>
      </c>
      <c r="AF266" s="146">
        <f t="shared" si="38"/>
        <v>6.7873814051730503E-5</v>
      </c>
      <c r="AH266" s="78"/>
      <c r="AI266" s="184"/>
      <c r="AJ266" s="184"/>
    </row>
    <row r="267" spans="9:36" x14ac:dyDescent="0.25">
      <c r="I267" s="125"/>
      <c r="J267" s="50"/>
      <c r="K267" s="50"/>
      <c r="M267" s="34"/>
      <c r="R267" s="61">
        <v>611.41692516444152</v>
      </c>
      <c r="S267" s="58">
        <v>7.2255503489614754E-7</v>
      </c>
      <c r="U267" s="173"/>
      <c r="V267" s="173"/>
      <c r="W267" s="173"/>
      <c r="X267" s="174"/>
      <c r="Y267" s="187"/>
      <c r="AA267" s="144"/>
      <c r="AB267" s="145"/>
      <c r="AC267" s="145"/>
      <c r="AD267" s="145"/>
      <c r="AE267" s="146">
        <f t="shared" si="37"/>
        <v>48.156692516444153</v>
      </c>
      <c r="AF267" s="146">
        <f t="shared" si="38"/>
        <v>7.2255503489614752E-5</v>
      </c>
      <c r="AH267" s="78"/>
      <c r="AI267" s="184"/>
      <c r="AJ267" s="184"/>
    </row>
    <row r="268" spans="9:36" x14ac:dyDescent="0.25">
      <c r="I268" s="125"/>
      <c r="J268" s="50"/>
      <c r="K268" s="50"/>
      <c r="M268" s="34"/>
      <c r="R268" s="61">
        <v>614.25966822878775</v>
      </c>
      <c r="S268" s="58">
        <v>7.2255503489614754E-7</v>
      </c>
      <c r="U268" s="173"/>
      <c r="V268" s="173"/>
      <c r="W268" s="173"/>
      <c r="X268" s="174"/>
      <c r="Y268" s="187"/>
      <c r="AA268" s="144"/>
      <c r="AB268" s="145"/>
      <c r="AC268" s="145"/>
      <c r="AD268" s="145"/>
      <c r="AE268" s="146">
        <f t="shared" si="37"/>
        <v>48.440966822878771</v>
      </c>
      <c r="AF268" s="146">
        <f t="shared" si="38"/>
        <v>7.2255503489614752E-5</v>
      </c>
      <c r="AH268" s="78"/>
      <c r="AI268" s="184"/>
      <c r="AJ268" s="184"/>
    </row>
    <row r="269" spans="9:36" x14ac:dyDescent="0.25">
      <c r="I269" s="125"/>
      <c r="J269" s="50"/>
      <c r="K269" s="50"/>
      <c r="M269" s="33"/>
      <c r="R269" s="61">
        <v>614.25966822878775</v>
      </c>
      <c r="S269" s="58">
        <v>7.6582973201901843E-7</v>
      </c>
      <c r="U269" s="173"/>
      <c r="V269" s="173"/>
      <c r="W269" s="173"/>
      <c r="X269" s="174"/>
      <c r="Y269" s="187"/>
      <c r="AA269" s="144"/>
      <c r="AB269" s="145"/>
      <c r="AC269" s="145"/>
      <c r="AD269" s="145"/>
      <c r="AE269" s="146">
        <f t="shared" si="37"/>
        <v>48.440966822878771</v>
      </c>
      <c r="AF269" s="146">
        <f t="shared" si="38"/>
        <v>7.6582973201901844E-5</v>
      </c>
      <c r="AH269" s="78"/>
      <c r="AI269" s="184"/>
      <c r="AJ269" s="184"/>
    </row>
    <row r="270" spans="9:36" x14ac:dyDescent="0.25">
      <c r="I270" s="125"/>
      <c r="J270" s="50"/>
      <c r="K270" s="50"/>
      <c r="M270" s="34"/>
      <c r="R270" s="61">
        <v>617.5517641027493</v>
      </c>
      <c r="S270" s="58">
        <v>7.6582973201901843E-7</v>
      </c>
      <c r="U270" s="173"/>
      <c r="V270" s="173"/>
      <c r="W270" s="173"/>
      <c r="X270" s="174"/>
      <c r="Y270" s="187"/>
      <c r="AA270" s="144"/>
      <c r="AB270" s="145"/>
      <c r="AC270" s="145"/>
      <c r="AD270" s="145"/>
      <c r="AE270" s="146">
        <f t="shared" si="37"/>
        <v>48.770176410274928</v>
      </c>
      <c r="AF270" s="146">
        <f t="shared" si="38"/>
        <v>7.6582973201901844E-5</v>
      </c>
      <c r="AH270" s="78"/>
      <c r="AI270" s="184"/>
      <c r="AJ270" s="184"/>
    </row>
    <row r="271" spans="9:36" x14ac:dyDescent="0.25">
      <c r="I271" s="125"/>
      <c r="J271" s="50"/>
      <c r="K271" s="50"/>
      <c r="M271" s="35"/>
      <c r="R271" s="61">
        <v>617.5517641027493</v>
      </c>
      <c r="S271" s="58">
        <v>8.0800671488840303E-7</v>
      </c>
      <c r="U271" s="173"/>
      <c r="V271" s="173"/>
      <c r="W271" s="173"/>
      <c r="X271" s="174"/>
      <c r="Y271" s="187"/>
      <c r="AA271" s="144"/>
      <c r="AB271" s="145"/>
      <c r="AC271" s="145"/>
      <c r="AD271" s="145"/>
      <c r="AE271" s="146">
        <f t="shared" si="37"/>
        <v>48.770176410274928</v>
      </c>
      <c r="AF271" s="146">
        <f t="shared" si="38"/>
        <v>8.0800671488840306E-5</v>
      </c>
      <c r="AH271" s="78"/>
      <c r="AI271" s="184"/>
      <c r="AJ271" s="184"/>
    </row>
    <row r="272" spans="9:36" x14ac:dyDescent="0.25">
      <c r="I272" s="125"/>
      <c r="J272" s="50"/>
      <c r="K272" s="50"/>
      <c r="M272" s="34"/>
      <c r="R272" s="61">
        <v>621.59716992121037</v>
      </c>
      <c r="S272" s="58">
        <v>8.0800671488840303E-7</v>
      </c>
      <c r="U272" s="173"/>
      <c r="V272" s="173"/>
      <c r="W272" s="173"/>
      <c r="X272" s="174"/>
      <c r="Y272" s="187"/>
      <c r="AA272" s="144"/>
      <c r="AB272" s="145"/>
      <c r="AC272" s="145"/>
      <c r="AD272" s="145"/>
      <c r="AE272" s="146">
        <f t="shared" si="37"/>
        <v>49.174716992121034</v>
      </c>
      <c r="AF272" s="146">
        <f t="shared" si="38"/>
        <v>8.0800671488840306E-5</v>
      </c>
      <c r="AH272" s="78"/>
      <c r="AI272" s="184"/>
      <c r="AJ272" s="184"/>
    </row>
    <row r="273" spans="9:36" x14ac:dyDescent="0.25">
      <c r="I273" s="125"/>
      <c r="J273" s="50"/>
      <c r="K273" s="50"/>
      <c r="M273" s="33"/>
      <c r="R273" s="61">
        <v>621.59716992121037</v>
      </c>
      <c r="S273" s="58">
        <v>8.479716321861738E-7</v>
      </c>
      <c r="U273" s="173"/>
      <c r="V273" s="173"/>
      <c r="W273" s="173"/>
      <c r="X273" s="174"/>
      <c r="Y273" s="187"/>
      <c r="AA273" s="144"/>
      <c r="AB273" s="145"/>
      <c r="AC273" s="145"/>
      <c r="AD273" s="145"/>
      <c r="AE273" s="146">
        <f t="shared" si="37"/>
        <v>49.174716992121034</v>
      </c>
      <c r="AF273" s="146">
        <f t="shared" si="38"/>
        <v>8.4797163218617382E-5</v>
      </c>
      <c r="AH273" s="78"/>
      <c r="AI273" s="184"/>
      <c r="AJ273" s="184"/>
    </row>
    <row r="274" spans="9:36" x14ac:dyDescent="0.25">
      <c r="I274" s="125"/>
      <c r="J274" s="50"/>
      <c r="K274" s="50"/>
      <c r="M274" s="34"/>
      <c r="R274" s="61">
        <v>627.11863547963617</v>
      </c>
      <c r="S274" s="58">
        <v>8.479716321861738E-7</v>
      </c>
      <c r="U274" s="173"/>
      <c r="V274" s="173"/>
      <c r="W274" s="173"/>
      <c r="X274" s="174"/>
      <c r="Y274" s="187"/>
      <c r="AA274" s="144"/>
      <c r="AB274" s="145"/>
      <c r="AC274" s="145"/>
      <c r="AD274" s="145"/>
      <c r="AE274" s="146">
        <f t="shared" si="37"/>
        <v>49.726863547963617</v>
      </c>
      <c r="AF274" s="146">
        <f t="shared" si="38"/>
        <v>8.4797163218617382E-5</v>
      </c>
      <c r="AH274" s="78"/>
      <c r="AI274" s="184"/>
      <c r="AJ274" s="184"/>
    </row>
    <row r="275" spans="9:36" x14ac:dyDescent="0.25">
      <c r="I275" s="125"/>
      <c r="J275" s="50"/>
      <c r="K275" s="50"/>
      <c r="M275" s="34"/>
      <c r="R275" s="61">
        <v>627.11863547963617</v>
      </c>
      <c r="S275" s="58">
        <v>8.8329029728034602E-7</v>
      </c>
      <c r="U275" s="173"/>
      <c r="V275" s="173"/>
      <c r="W275" s="173"/>
      <c r="X275" s="174"/>
      <c r="Y275" s="187"/>
      <c r="AA275" s="144"/>
      <c r="AB275" s="145"/>
      <c r="AC275" s="145"/>
      <c r="AD275" s="145"/>
      <c r="AE275" s="146">
        <f t="shared" si="37"/>
        <v>49.726863547963617</v>
      </c>
      <c r="AF275" s="146">
        <f t="shared" si="38"/>
        <v>8.8329029728034596E-5</v>
      </c>
      <c r="AI275" s="184"/>
      <c r="AJ275" s="184"/>
    </row>
    <row r="276" spans="9:36" x14ac:dyDescent="0.25">
      <c r="I276" s="125"/>
      <c r="J276" s="50"/>
      <c r="K276" s="50"/>
      <c r="M276" s="33"/>
      <c r="R276" s="61">
        <v>637.04078239385501</v>
      </c>
      <c r="S276" s="58">
        <v>8.8329029728034602E-7</v>
      </c>
      <c r="U276" s="173"/>
      <c r="V276" s="173"/>
      <c r="W276" s="173"/>
      <c r="X276" s="174"/>
      <c r="Y276" s="187"/>
      <c r="AA276" s="144"/>
      <c r="AB276" s="145"/>
      <c r="AC276" s="145"/>
      <c r="AD276" s="145"/>
      <c r="AE276" s="146">
        <f t="shared" si="37"/>
        <v>50.719078239385496</v>
      </c>
      <c r="AF276" s="146">
        <f t="shared" si="38"/>
        <v>8.8329029728034596E-5</v>
      </c>
      <c r="AI276" s="184"/>
      <c r="AJ276" s="184"/>
    </row>
    <row r="277" spans="9:36" x14ac:dyDescent="0.25">
      <c r="I277" s="125"/>
      <c r="J277" s="50"/>
      <c r="K277" s="50"/>
      <c r="M277" s="34"/>
      <c r="R277" s="61">
        <v>637.04078239385501</v>
      </c>
      <c r="S277" s="58">
        <v>9.0770439970598902E-7</v>
      </c>
      <c r="U277" s="173"/>
      <c r="V277" s="173"/>
      <c r="W277" s="173"/>
      <c r="X277" s="174"/>
      <c r="Y277" s="187"/>
      <c r="AA277" s="144"/>
      <c r="AB277" s="145"/>
      <c r="AC277" s="145"/>
      <c r="AD277" s="145"/>
      <c r="AE277" s="146">
        <f t="shared" si="37"/>
        <v>50.719078239385496</v>
      </c>
      <c r="AF277" s="146">
        <f t="shared" si="38"/>
        <v>9.0770439970598907E-5</v>
      </c>
      <c r="AI277" s="184"/>
      <c r="AJ277" s="184"/>
    </row>
    <row r="278" spans="9:36" x14ac:dyDescent="0.25">
      <c r="I278" s="125"/>
      <c r="J278" s="50"/>
      <c r="K278" s="50"/>
      <c r="M278" s="34"/>
      <c r="R278" s="61">
        <v>650.36551132710713</v>
      </c>
      <c r="S278" s="58">
        <v>9.0770439970598902E-7</v>
      </c>
      <c r="U278" s="173"/>
      <c r="V278" s="173"/>
      <c r="W278" s="173"/>
      <c r="X278" s="174"/>
      <c r="Y278" s="187"/>
      <c r="AA278" s="144"/>
      <c r="AB278" s="145"/>
      <c r="AC278" s="145"/>
      <c r="AD278" s="145"/>
      <c r="AE278" s="146">
        <f t="shared" si="37"/>
        <v>52.051551132710713</v>
      </c>
      <c r="AF278" s="146">
        <f t="shared" si="38"/>
        <v>9.0770439970598907E-5</v>
      </c>
      <c r="AI278" s="184"/>
      <c r="AJ278" s="184"/>
    </row>
    <row r="279" spans="9:36" x14ac:dyDescent="0.25">
      <c r="I279" s="125"/>
      <c r="J279" s="50"/>
      <c r="K279" s="50"/>
      <c r="M279" s="35"/>
      <c r="R279" s="61">
        <v>650.36551132710713</v>
      </c>
      <c r="S279" s="58">
        <v>9.1107777635079203E-7</v>
      </c>
      <c r="U279" s="173"/>
      <c r="V279" s="173"/>
      <c r="W279" s="173"/>
      <c r="X279" s="174"/>
      <c r="Y279" s="187"/>
      <c r="AA279" s="144"/>
      <c r="AB279" s="145"/>
      <c r="AC279" s="145"/>
      <c r="AD279" s="145"/>
      <c r="AE279" s="146">
        <f t="shared" si="37"/>
        <v>52.051551132710713</v>
      </c>
      <c r="AF279" s="146">
        <f t="shared" si="38"/>
        <v>9.1107777635079208E-5</v>
      </c>
      <c r="AI279" s="184"/>
      <c r="AJ279" s="184"/>
    </row>
    <row r="280" spans="9:36" x14ac:dyDescent="0.25">
      <c r="I280" s="125"/>
      <c r="J280" s="50"/>
      <c r="K280" s="50"/>
      <c r="M280" s="33"/>
      <c r="R280" s="61">
        <v>653.20213913591897</v>
      </c>
      <c r="S280" s="58">
        <v>9.1107777635079203E-7</v>
      </c>
      <c r="U280" s="173"/>
      <c r="V280" s="173"/>
      <c r="W280" s="173"/>
      <c r="X280" s="174"/>
      <c r="Y280" s="187"/>
      <c r="AA280" s="144"/>
      <c r="AB280" s="145"/>
      <c r="AC280" s="145"/>
      <c r="AD280" s="145"/>
      <c r="AE280" s="146">
        <f t="shared" si="37"/>
        <v>52.335213913591893</v>
      </c>
      <c r="AF280" s="146">
        <f t="shared" si="38"/>
        <v>9.1107777635079208E-5</v>
      </c>
      <c r="AI280" s="184"/>
      <c r="AJ280" s="184"/>
    </row>
    <row r="281" spans="9:36" x14ac:dyDescent="0.25">
      <c r="I281" s="125"/>
      <c r="J281" s="50"/>
      <c r="K281" s="50"/>
      <c r="M281" s="34"/>
      <c r="R281" s="61">
        <v>653.20213913591897</v>
      </c>
      <c r="S281" s="58">
        <v>9.0770439970259602E-7</v>
      </c>
      <c r="U281" s="173"/>
      <c r="V281" s="173"/>
      <c r="W281" s="173"/>
      <c r="X281" s="174"/>
      <c r="Y281" s="187"/>
      <c r="AA281" s="144"/>
      <c r="AB281" s="145"/>
      <c r="AC281" s="145"/>
      <c r="AD281" s="145"/>
      <c r="AE281" s="146">
        <f t="shared" si="37"/>
        <v>52.335213913591893</v>
      </c>
      <c r="AF281" s="146">
        <f t="shared" si="38"/>
        <v>9.0770439970259606E-5</v>
      </c>
      <c r="AI281" s="184"/>
      <c r="AJ281" s="184"/>
    </row>
    <row r="282" spans="9:36" x14ac:dyDescent="0.25">
      <c r="I282" s="125"/>
      <c r="J282" s="50"/>
      <c r="K282" s="50"/>
      <c r="M282" s="34"/>
      <c r="R282" s="61">
        <v>666.52686806917109</v>
      </c>
      <c r="S282" s="58">
        <v>9.0770439970259602E-7</v>
      </c>
      <c r="U282" s="173"/>
      <c r="V282" s="173"/>
      <c r="W282" s="173"/>
      <c r="X282" s="174"/>
      <c r="Y282" s="187"/>
      <c r="AA282" s="144"/>
      <c r="AB282" s="145"/>
      <c r="AC282" s="145"/>
      <c r="AD282" s="145"/>
      <c r="AE282" s="146">
        <f t="shared" si="37"/>
        <v>53.667686806917104</v>
      </c>
      <c r="AF282" s="146">
        <f t="shared" si="38"/>
        <v>9.0770439970259606E-5</v>
      </c>
      <c r="AI282" s="184"/>
      <c r="AJ282" s="184"/>
    </row>
    <row r="283" spans="9:36" x14ac:dyDescent="0.25">
      <c r="I283" s="125"/>
      <c r="J283" s="50"/>
      <c r="K283" s="50"/>
      <c r="M283" s="33"/>
      <c r="R283" s="61">
        <v>666.52686806917109</v>
      </c>
      <c r="S283" s="58">
        <v>8.8329029726825442E-7</v>
      </c>
      <c r="U283" s="173"/>
      <c r="V283" s="173"/>
      <c r="W283" s="173"/>
      <c r="X283" s="174"/>
      <c r="Y283" s="187"/>
      <c r="AA283" s="144"/>
      <c r="AB283" s="145"/>
      <c r="AC283" s="145"/>
      <c r="AD283" s="145"/>
      <c r="AE283" s="146">
        <f t="shared" si="37"/>
        <v>53.667686806917104</v>
      </c>
      <c r="AF283" s="146">
        <f t="shared" si="38"/>
        <v>8.832902972682544E-5</v>
      </c>
      <c r="AI283" s="184"/>
      <c r="AJ283" s="184"/>
    </row>
    <row r="284" spans="9:36" x14ac:dyDescent="0.25">
      <c r="I284" s="125"/>
      <c r="J284" s="50"/>
      <c r="K284" s="50"/>
      <c r="M284" s="34"/>
      <c r="R284" s="61">
        <v>676.44901498338993</v>
      </c>
      <c r="S284" s="58">
        <v>8.8329029726825442E-7</v>
      </c>
      <c r="U284" s="173"/>
      <c r="V284" s="173"/>
      <c r="W284" s="173"/>
      <c r="X284" s="174"/>
      <c r="Y284" s="187"/>
      <c r="AA284" s="144"/>
      <c r="AB284" s="145"/>
      <c r="AC284" s="145"/>
      <c r="AD284" s="145"/>
      <c r="AE284" s="146">
        <f t="shared" si="37"/>
        <v>54.659901498338989</v>
      </c>
      <c r="AF284" s="146">
        <f t="shared" si="38"/>
        <v>8.832902972682544E-5</v>
      </c>
      <c r="AI284" s="184"/>
      <c r="AJ284" s="184"/>
    </row>
    <row r="285" spans="9:36" x14ac:dyDescent="0.25">
      <c r="I285" s="125"/>
      <c r="J285" s="50"/>
      <c r="K285" s="50"/>
      <c r="M285" s="34"/>
      <c r="R285" s="61">
        <v>676.44901498338993</v>
      </c>
      <c r="S285" s="58">
        <v>8.4797163215893618E-7</v>
      </c>
      <c r="U285" s="173"/>
      <c r="V285" s="173"/>
      <c r="W285" s="173"/>
      <c r="X285" s="174"/>
      <c r="Y285" s="187"/>
      <c r="AA285" s="144"/>
      <c r="AB285" s="145"/>
      <c r="AC285" s="145"/>
      <c r="AD285" s="145"/>
      <c r="AE285" s="146">
        <f t="shared" si="37"/>
        <v>54.659901498338989</v>
      </c>
      <c r="AF285" s="146">
        <f t="shared" si="38"/>
        <v>8.4797163215893622E-5</v>
      </c>
      <c r="AI285" s="184"/>
      <c r="AJ285" s="184"/>
    </row>
    <row r="286" spans="9:36" x14ac:dyDescent="0.25">
      <c r="I286" s="125"/>
      <c r="J286" s="50"/>
      <c r="K286" s="50"/>
      <c r="M286" s="34"/>
      <c r="R286" s="61">
        <v>681.97048054181573</v>
      </c>
      <c r="S286" s="58">
        <v>8.4797163215893618E-7</v>
      </c>
      <c r="U286" s="173"/>
      <c r="V286" s="173"/>
      <c r="W286" s="173"/>
      <c r="X286" s="174"/>
      <c r="Y286" s="187"/>
      <c r="AA286" s="144"/>
      <c r="AB286" s="145"/>
      <c r="AC286" s="145"/>
      <c r="AD286" s="145"/>
      <c r="AE286" s="146">
        <f t="shared" si="37"/>
        <v>55.212048054181572</v>
      </c>
      <c r="AF286" s="146">
        <f t="shared" si="38"/>
        <v>8.4797163215893622E-5</v>
      </c>
      <c r="AI286" s="184"/>
      <c r="AJ286" s="184"/>
    </row>
    <row r="287" spans="9:36" x14ac:dyDescent="0.25">
      <c r="I287" s="125"/>
      <c r="J287" s="50"/>
      <c r="K287" s="50"/>
      <c r="M287" s="33"/>
      <c r="R287" s="61">
        <v>681.97048054181573</v>
      </c>
      <c r="S287" s="58">
        <v>8.0800671484428743E-7</v>
      </c>
      <c r="U287" s="173"/>
      <c r="V287" s="173"/>
      <c r="W287" s="173"/>
      <c r="X287" s="174"/>
      <c r="Y287" s="187"/>
      <c r="AA287" s="144"/>
      <c r="AB287" s="145"/>
      <c r="AC287" s="145"/>
      <c r="AD287" s="145"/>
      <c r="AE287" s="146">
        <f t="shared" si="37"/>
        <v>55.212048054181572</v>
      </c>
      <c r="AF287" s="146">
        <f t="shared" si="38"/>
        <v>8.0800671484428742E-5</v>
      </c>
      <c r="AI287" s="184"/>
      <c r="AJ287" s="184"/>
    </row>
    <row r="288" spans="9:36" x14ac:dyDescent="0.25">
      <c r="I288" s="125"/>
      <c r="J288" s="50"/>
      <c r="K288" s="50"/>
      <c r="M288" s="35"/>
      <c r="R288" s="61">
        <v>686.0158863602768</v>
      </c>
      <c r="S288" s="58">
        <v>8.0800671484428743E-7</v>
      </c>
      <c r="U288" s="173"/>
      <c r="V288" s="173"/>
      <c r="W288" s="173"/>
      <c r="X288" s="174"/>
      <c r="Y288" s="187"/>
      <c r="AA288" s="144"/>
      <c r="AB288" s="145"/>
      <c r="AC288" s="145"/>
      <c r="AD288" s="145"/>
      <c r="AE288" s="146">
        <f t="shared" si="37"/>
        <v>55.616588636027679</v>
      </c>
      <c r="AF288" s="146">
        <f t="shared" si="38"/>
        <v>8.0800671484428742E-5</v>
      </c>
      <c r="AI288" s="184"/>
      <c r="AJ288" s="184"/>
    </row>
    <row r="289" spans="9:36" x14ac:dyDescent="0.25">
      <c r="I289" s="125"/>
      <c r="J289" s="50"/>
      <c r="K289" s="50"/>
      <c r="M289" s="34"/>
      <c r="R289" s="61">
        <v>686.0158863602768</v>
      </c>
      <c r="S289" s="58">
        <v>7.6582973195599008E-7</v>
      </c>
      <c r="U289" s="173"/>
      <c r="V289" s="173"/>
      <c r="W289" s="173"/>
      <c r="X289" s="174"/>
      <c r="Y289" s="187"/>
      <c r="AA289" s="144"/>
      <c r="AB289" s="145"/>
      <c r="AC289" s="145"/>
      <c r="AD289" s="145"/>
      <c r="AE289" s="146">
        <f t="shared" si="37"/>
        <v>55.616588636027679</v>
      </c>
      <c r="AF289" s="146">
        <f t="shared" si="38"/>
        <v>7.6582973195599011E-5</v>
      </c>
      <c r="AI289" s="184"/>
      <c r="AJ289" s="184"/>
    </row>
    <row r="290" spans="9:36" x14ac:dyDescent="0.25">
      <c r="I290" s="125"/>
      <c r="J290" s="50"/>
      <c r="K290" s="50"/>
      <c r="M290" s="34"/>
      <c r="R290" s="61">
        <v>689.30798223423835</v>
      </c>
      <c r="S290" s="58">
        <v>7.6582973195599008E-7</v>
      </c>
      <c r="U290" s="173"/>
      <c r="V290" s="173"/>
      <c r="W290" s="173"/>
      <c r="X290" s="174"/>
      <c r="Y290" s="187"/>
      <c r="AA290" s="144"/>
      <c r="AB290" s="145"/>
      <c r="AC290" s="145"/>
      <c r="AD290" s="145"/>
      <c r="AE290" s="146">
        <f t="shared" si="37"/>
        <v>55.945798223423836</v>
      </c>
      <c r="AF290" s="146">
        <f t="shared" si="38"/>
        <v>7.6582973195599011E-5</v>
      </c>
      <c r="AI290" s="184"/>
      <c r="AJ290" s="184"/>
    </row>
    <row r="291" spans="9:36" x14ac:dyDescent="0.25">
      <c r="I291" s="125"/>
      <c r="J291" s="50"/>
      <c r="K291" s="50"/>
      <c r="M291" s="33"/>
      <c r="R291" s="61">
        <v>689.30798223423835</v>
      </c>
      <c r="S291" s="58">
        <v>7.2255503481202128E-7</v>
      </c>
      <c r="U291" s="173"/>
      <c r="V291" s="173"/>
      <c r="W291" s="173"/>
      <c r="X291" s="174"/>
      <c r="Y291" s="187"/>
      <c r="AA291" s="144"/>
      <c r="AB291" s="145"/>
      <c r="AC291" s="145"/>
      <c r="AD291" s="145"/>
      <c r="AE291" s="146">
        <f t="shared" si="37"/>
        <v>55.945798223423836</v>
      </c>
      <c r="AF291" s="146">
        <f t="shared" si="38"/>
        <v>7.2255503481202129E-5</v>
      </c>
      <c r="AI291" s="184"/>
      <c r="AJ291" s="184"/>
    </row>
    <row r="292" spans="9:36" x14ac:dyDescent="0.25">
      <c r="I292" s="125"/>
      <c r="J292" s="50"/>
      <c r="K292" s="50"/>
      <c r="M292" s="34"/>
      <c r="R292" s="61">
        <v>692.15072529858458</v>
      </c>
      <c r="S292" s="58">
        <v>7.2255503481202128E-7</v>
      </c>
      <c r="U292" s="173"/>
      <c r="V292" s="173"/>
      <c r="W292" s="173"/>
      <c r="X292" s="174"/>
      <c r="Y292" s="187"/>
      <c r="AA292" s="144"/>
      <c r="AB292" s="145"/>
      <c r="AC292" s="145"/>
      <c r="AD292" s="145"/>
      <c r="AE292" s="146">
        <f t="shared" si="37"/>
        <v>56.230072529858454</v>
      </c>
      <c r="AF292" s="146">
        <f t="shared" si="38"/>
        <v>7.2255503481202129E-5</v>
      </c>
      <c r="AI292" s="184"/>
      <c r="AJ292" s="184"/>
    </row>
    <row r="293" spans="9:36" x14ac:dyDescent="0.25">
      <c r="I293" s="125"/>
      <c r="J293" s="50"/>
      <c r="K293" s="50"/>
      <c r="M293" s="34"/>
      <c r="R293" s="61">
        <v>692.15072529858458</v>
      </c>
      <c r="S293" s="58">
        <v>6.7873814040966349E-7</v>
      </c>
      <c r="U293" s="173"/>
      <c r="V293" s="173"/>
      <c r="W293" s="173"/>
      <c r="X293" s="174"/>
      <c r="Y293" s="187"/>
      <c r="AA293" s="144"/>
      <c r="AB293" s="145"/>
      <c r="AC293" s="145"/>
      <c r="AD293" s="145"/>
      <c r="AE293" s="146">
        <f t="shared" si="37"/>
        <v>56.230072529858454</v>
      </c>
      <c r="AF293" s="146">
        <f t="shared" si="38"/>
        <v>6.7873814040966354E-5</v>
      </c>
      <c r="AI293" s="184"/>
      <c r="AJ293" s="184"/>
    </row>
    <row r="294" spans="9:36" x14ac:dyDescent="0.25">
      <c r="I294" s="125"/>
      <c r="J294" s="50"/>
      <c r="K294" s="50"/>
      <c r="M294" s="33"/>
      <c r="R294" s="61">
        <v>694.70448363860828</v>
      </c>
      <c r="S294" s="58">
        <v>6.7873814040966349E-7</v>
      </c>
      <c r="U294" s="173"/>
      <c r="V294" s="173"/>
      <c r="W294" s="173"/>
      <c r="X294" s="174"/>
      <c r="Y294" s="187"/>
      <c r="AA294" s="144"/>
      <c r="AB294" s="145"/>
      <c r="AC294" s="145"/>
      <c r="AD294" s="145"/>
      <c r="AE294" s="146">
        <f t="shared" si="37"/>
        <v>56.485448363860826</v>
      </c>
      <c r="AF294" s="146">
        <f t="shared" si="38"/>
        <v>6.7873814040966354E-5</v>
      </c>
      <c r="AI294" s="184"/>
      <c r="AJ294" s="184"/>
    </row>
    <row r="295" spans="9:36" x14ac:dyDescent="0.25">
      <c r="I295" s="125"/>
      <c r="J295" s="50"/>
      <c r="K295" s="50"/>
      <c r="M295" s="34"/>
      <c r="R295" s="61">
        <v>694.70448363860828</v>
      </c>
      <c r="S295" s="58">
        <v>6.3466598394231652E-7</v>
      </c>
      <c r="U295" s="173"/>
      <c r="V295" s="173"/>
      <c r="W295" s="173"/>
      <c r="X295" s="174"/>
      <c r="Y295" s="187"/>
      <c r="AA295" s="144"/>
      <c r="AB295" s="145"/>
      <c r="AC295" s="145"/>
      <c r="AD295" s="145"/>
      <c r="AE295" s="146">
        <f t="shared" si="37"/>
        <v>56.485448363860826</v>
      </c>
      <c r="AF295" s="146">
        <f t="shared" si="38"/>
        <v>6.3466598394231659E-5</v>
      </c>
      <c r="AI295" s="184"/>
      <c r="AJ295" s="184"/>
    </row>
    <row r="296" spans="9:36" x14ac:dyDescent="0.25">
      <c r="I296" s="126"/>
      <c r="J296" s="127"/>
      <c r="K296" s="127"/>
      <c r="M296" s="35"/>
      <c r="R296" s="61">
        <v>697.0667110608648</v>
      </c>
      <c r="S296" s="58">
        <v>6.3466598394231652E-7</v>
      </c>
      <c r="U296" s="173"/>
      <c r="V296" s="173"/>
      <c r="W296" s="173"/>
      <c r="X296" s="174"/>
      <c r="Y296" s="187"/>
      <c r="AA296" s="144"/>
      <c r="AB296" s="145"/>
      <c r="AC296" s="145"/>
      <c r="AD296" s="145"/>
      <c r="AE296" s="146">
        <f t="shared" si="37"/>
        <v>56.721671106086475</v>
      </c>
      <c r="AF296" s="146">
        <f t="shared" si="38"/>
        <v>6.3466598394231659E-5</v>
      </c>
      <c r="AI296" s="184"/>
      <c r="AJ296" s="184"/>
    </row>
    <row r="297" spans="9:36" x14ac:dyDescent="0.25">
      <c r="I297" s="126"/>
      <c r="J297" s="127"/>
      <c r="K297" s="127"/>
      <c r="M297" s="34"/>
      <c r="R297" s="61">
        <v>697.0667110608648</v>
      </c>
      <c r="S297" s="58">
        <v>5.9048560767554699E-7</v>
      </c>
      <c r="U297" s="173"/>
      <c r="V297" s="175"/>
      <c r="W297" s="174"/>
      <c r="X297" s="174"/>
      <c r="Y297" s="187"/>
      <c r="AA297" s="144"/>
      <c r="AB297" s="145"/>
      <c r="AC297" s="145"/>
      <c r="AD297" s="145"/>
      <c r="AE297" s="146">
        <f t="shared" si="37"/>
        <v>56.721671106086475</v>
      </c>
      <c r="AF297" s="146">
        <f t="shared" si="38"/>
        <v>5.90485607675547E-5</v>
      </c>
      <c r="AI297" s="184"/>
      <c r="AJ297" s="184"/>
    </row>
    <row r="298" spans="9:36" x14ac:dyDescent="0.25">
      <c r="I298" s="126"/>
      <c r="J298" s="127"/>
      <c r="K298" s="127"/>
      <c r="M298" s="33"/>
      <c r="R298" s="61">
        <v>699.3033592395185</v>
      </c>
      <c r="S298" s="58">
        <v>5.9048560767554699E-7</v>
      </c>
      <c r="U298" s="173"/>
      <c r="V298" s="175"/>
      <c r="W298" s="174"/>
      <c r="X298" s="174"/>
      <c r="Y298" s="187"/>
      <c r="AA298" s="144"/>
      <c r="AB298" s="145"/>
      <c r="AC298" s="145"/>
      <c r="AD298" s="145"/>
      <c r="AE298" s="146">
        <f t="shared" si="37"/>
        <v>56.945335923951845</v>
      </c>
      <c r="AF298" s="146">
        <f t="shared" si="38"/>
        <v>5.90485607675547E-5</v>
      </c>
      <c r="AI298" s="184"/>
      <c r="AJ298" s="184"/>
    </row>
    <row r="299" spans="9:36" x14ac:dyDescent="0.25">
      <c r="I299" s="126"/>
      <c r="J299" s="127"/>
      <c r="K299" s="127"/>
      <c r="M299" s="34"/>
      <c r="R299" s="61">
        <v>699.3033592395185</v>
      </c>
      <c r="S299" s="58">
        <v>5.4626774444895378E-7</v>
      </c>
      <c r="U299" s="173"/>
      <c r="V299" s="175"/>
      <c r="W299" s="174"/>
      <c r="X299" s="174"/>
      <c r="Y299" s="187"/>
      <c r="AA299" s="144"/>
      <c r="AB299" s="145"/>
      <c r="AC299" s="145"/>
      <c r="AD299" s="145"/>
      <c r="AE299" s="146">
        <f t="shared" si="37"/>
        <v>56.945335923951845</v>
      </c>
      <c r="AF299" s="146">
        <f t="shared" si="38"/>
        <v>5.4626774444895381E-5</v>
      </c>
      <c r="AI299" s="184"/>
      <c r="AJ299" s="184"/>
    </row>
    <row r="300" spans="9:36" x14ac:dyDescent="0.25">
      <c r="I300" s="126"/>
      <c r="J300" s="127"/>
      <c r="K300" s="127"/>
      <c r="M300" s="34"/>
      <c r="R300" s="61">
        <v>701.4635339342334</v>
      </c>
      <c r="S300" s="58">
        <v>5.4626774444895378E-7</v>
      </c>
      <c r="U300" s="173"/>
      <c r="V300" s="175"/>
      <c r="W300" s="174"/>
      <c r="X300" s="174"/>
      <c r="Y300" s="187"/>
      <c r="AA300" s="144"/>
      <c r="AB300" s="145"/>
      <c r="AC300" s="145"/>
      <c r="AD300" s="145"/>
      <c r="AE300" s="146">
        <f t="shared" si="37"/>
        <v>57.16135339342334</v>
      </c>
      <c r="AF300" s="146">
        <f t="shared" si="38"/>
        <v>5.4626774444895381E-5</v>
      </c>
      <c r="AI300" s="184"/>
      <c r="AJ300" s="184"/>
    </row>
    <row r="301" spans="9:36" x14ac:dyDescent="0.25">
      <c r="I301" s="126"/>
      <c r="J301" s="127"/>
      <c r="K301" s="127"/>
      <c r="M301" s="33"/>
      <c r="R301" s="61">
        <v>701.4635339342334</v>
      </c>
      <c r="S301" s="58">
        <v>5.0204123095880157E-7</v>
      </c>
      <c r="U301" s="173"/>
      <c r="V301" s="175"/>
      <c r="W301" s="174"/>
      <c r="X301" s="174"/>
      <c r="Y301" s="187"/>
      <c r="AA301" s="144"/>
      <c r="AB301" s="145"/>
      <c r="AC301" s="145"/>
      <c r="AD301" s="145"/>
      <c r="AE301" s="146">
        <f t="shared" si="37"/>
        <v>57.16135339342334</v>
      </c>
      <c r="AF301" s="146">
        <f t="shared" si="38"/>
        <v>5.0204123095880158E-5</v>
      </c>
      <c r="AI301" s="184"/>
      <c r="AJ301" s="184"/>
    </row>
    <row r="302" spans="9:36" x14ac:dyDescent="0.25">
      <c r="I302" s="126"/>
      <c r="J302" s="127"/>
      <c r="K302" s="127"/>
      <c r="M302" s="34"/>
      <c r="R302" s="61">
        <v>703.58742135272666</v>
      </c>
      <c r="S302" s="58">
        <v>5.0204123095880157E-7</v>
      </c>
      <c r="U302" s="173"/>
      <c r="V302" s="175"/>
      <c r="W302" s="174"/>
      <c r="X302" s="174"/>
      <c r="Y302" s="187"/>
      <c r="AA302" s="144"/>
      <c r="AB302" s="145"/>
      <c r="AC302" s="145"/>
      <c r="AD302" s="145"/>
      <c r="AE302" s="146">
        <f t="shared" si="37"/>
        <v>57.373742135272664</v>
      </c>
      <c r="AF302" s="146">
        <f t="shared" si="38"/>
        <v>5.0204123095880158E-5</v>
      </c>
      <c r="AI302" s="184"/>
      <c r="AJ302" s="184"/>
    </row>
    <row r="303" spans="9:36" x14ac:dyDescent="0.25">
      <c r="I303" s="126"/>
      <c r="J303" s="127"/>
      <c r="K303" s="127"/>
      <c r="M303" s="34"/>
      <c r="R303" s="61">
        <v>703.58742135272666</v>
      </c>
      <c r="S303" s="58">
        <v>4.5781375356978393E-7</v>
      </c>
      <c r="U303" s="173"/>
      <c r="V303" s="175"/>
      <c r="W303" s="174"/>
      <c r="X303" s="174"/>
      <c r="Y303" s="187"/>
      <c r="AA303" s="144"/>
      <c r="AB303" s="145"/>
      <c r="AC303" s="145"/>
      <c r="AD303" s="145"/>
      <c r="AE303" s="146">
        <f t="shared" si="37"/>
        <v>57.373742135272664</v>
      </c>
      <c r="AF303" s="146">
        <f t="shared" si="38"/>
        <v>4.578137535697839E-5</v>
      </c>
      <c r="AI303" s="184"/>
      <c r="AJ303" s="184"/>
    </row>
    <row r="304" spans="9:36" x14ac:dyDescent="0.25">
      <c r="I304" s="126"/>
      <c r="J304" s="127"/>
      <c r="K304" s="127"/>
      <c r="M304" s="35"/>
      <c r="R304" s="61">
        <v>705.71130877121993</v>
      </c>
      <c r="S304" s="58">
        <v>4.5781375356978393E-7</v>
      </c>
      <c r="U304" s="173"/>
      <c r="V304" s="175"/>
      <c r="W304" s="174"/>
      <c r="X304" s="174"/>
      <c r="Y304" s="187"/>
      <c r="AA304" s="144"/>
      <c r="AB304" s="145"/>
      <c r="AC304" s="145"/>
      <c r="AD304" s="145"/>
      <c r="AE304" s="146">
        <f t="shared" si="37"/>
        <v>57.586130877121988</v>
      </c>
      <c r="AF304" s="146">
        <f t="shared" si="38"/>
        <v>4.578137535697839E-5</v>
      </c>
      <c r="AI304" s="184"/>
      <c r="AJ304" s="184"/>
    </row>
    <row r="305" spans="9:36" x14ac:dyDescent="0.25">
      <c r="I305" s="126"/>
      <c r="J305" s="127"/>
      <c r="K305" s="127"/>
      <c r="M305" s="33"/>
      <c r="R305" s="61">
        <v>705.71130877121993</v>
      </c>
      <c r="S305" s="58">
        <v>4.1358724006555001E-7</v>
      </c>
      <c r="U305" s="173"/>
      <c r="V305" s="175"/>
      <c r="W305" s="174"/>
      <c r="X305" s="174"/>
      <c r="Y305" s="187"/>
      <c r="AA305" s="144"/>
      <c r="AB305" s="145"/>
      <c r="AC305" s="145"/>
      <c r="AD305" s="145"/>
      <c r="AE305" s="146">
        <f t="shared" si="37"/>
        <v>57.586130877121988</v>
      </c>
      <c r="AF305" s="146">
        <f t="shared" si="38"/>
        <v>4.1358724006554998E-5</v>
      </c>
      <c r="AI305" s="184"/>
      <c r="AJ305" s="184"/>
    </row>
    <row r="306" spans="9:36" x14ac:dyDescent="0.25">
      <c r="I306" s="126"/>
      <c r="J306" s="127"/>
      <c r="K306" s="127"/>
      <c r="M306" s="34"/>
      <c r="R306" s="61">
        <v>707.87148346593483</v>
      </c>
      <c r="S306" s="58">
        <v>4.1358724006555001E-7</v>
      </c>
      <c r="U306" s="173"/>
      <c r="V306" s="175"/>
      <c r="W306" s="174"/>
      <c r="X306" s="174"/>
      <c r="Y306" s="187"/>
      <c r="AA306" s="144"/>
      <c r="AB306" s="145"/>
      <c r="AC306" s="145"/>
      <c r="AD306" s="145"/>
      <c r="AE306" s="146">
        <f t="shared" si="37"/>
        <v>57.802148346593484</v>
      </c>
      <c r="AF306" s="146">
        <f t="shared" si="38"/>
        <v>4.1358724006554998E-5</v>
      </c>
      <c r="AI306" s="184"/>
      <c r="AJ306" s="184"/>
    </row>
    <row r="307" spans="9:36" x14ac:dyDescent="0.25">
      <c r="I307" s="126"/>
      <c r="J307" s="127"/>
      <c r="K307" s="127"/>
      <c r="M307" s="34"/>
      <c r="R307" s="61">
        <v>707.87148346593483</v>
      </c>
      <c r="S307" s="58">
        <v>3.693693768092954E-7</v>
      </c>
      <c r="U307" s="173"/>
      <c r="V307" s="175"/>
      <c r="W307" s="174"/>
      <c r="X307" s="174"/>
      <c r="Y307" s="187"/>
      <c r="AA307" s="144"/>
      <c r="AB307" s="145"/>
      <c r="AC307" s="145"/>
      <c r="AD307" s="145"/>
      <c r="AE307" s="146">
        <f t="shared" si="37"/>
        <v>57.802148346593484</v>
      </c>
      <c r="AF307" s="146">
        <f t="shared" si="38"/>
        <v>3.6936937680929539E-5</v>
      </c>
      <c r="AI307" s="184"/>
      <c r="AJ307" s="184"/>
    </row>
    <row r="308" spans="9:36" x14ac:dyDescent="0.25">
      <c r="I308" s="126"/>
      <c r="J308" s="127"/>
      <c r="K308" s="127"/>
      <c r="M308" s="33"/>
      <c r="R308" s="61">
        <v>710.10813164458852</v>
      </c>
      <c r="S308" s="58">
        <v>3.693693768092954E-7</v>
      </c>
      <c r="U308" s="173"/>
      <c r="V308" s="175"/>
      <c r="W308" s="174"/>
      <c r="X308" s="174"/>
      <c r="Y308" s="187"/>
      <c r="AA308" s="144"/>
      <c r="AB308" s="145"/>
      <c r="AC308" s="145"/>
      <c r="AD308" s="145"/>
      <c r="AE308" s="146">
        <f t="shared" si="37"/>
        <v>58.025813164458853</v>
      </c>
      <c r="AF308" s="146">
        <f t="shared" si="38"/>
        <v>3.6936937680929539E-5</v>
      </c>
      <c r="AI308" s="184"/>
      <c r="AJ308" s="184"/>
    </row>
    <row r="309" spans="9:36" x14ac:dyDescent="0.25">
      <c r="I309" s="126"/>
      <c r="J309" s="127"/>
      <c r="K309" s="127"/>
      <c r="M309" s="34"/>
      <c r="R309" s="61">
        <v>710.10813164458852</v>
      </c>
      <c r="S309" s="58">
        <v>3.2518900049384116E-7</v>
      </c>
      <c r="U309" s="173"/>
      <c r="V309" s="175"/>
      <c r="W309" s="174"/>
      <c r="X309" s="174"/>
      <c r="Y309" s="187"/>
      <c r="AA309" s="144"/>
      <c r="AB309" s="145"/>
      <c r="AC309" s="145"/>
      <c r="AD309" s="145"/>
      <c r="AE309" s="146">
        <f t="shared" si="37"/>
        <v>58.025813164458853</v>
      </c>
      <c r="AF309" s="146">
        <f t="shared" si="38"/>
        <v>3.2518900049384119E-5</v>
      </c>
      <c r="AI309" s="184"/>
      <c r="AJ309" s="184"/>
    </row>
    <row r="310" spans="9:36" x14ac:dyDescent="0.25">
      <c r="I310" s="126"/>
      <c r="J310" s="127"/>
      <c r="K310" s="127"/>
      <c r="M310" s="34"/>
      <c r="R310" s="61">
        <v>712.47035906684505</v>
      </c>
      <c r="S310" s="58">
        <v>3.2518900049384116E-7</v>
      </c>
      <c r="U310" s="173"/>
      <c r="V310" s="175"/>
      <c r="W310" s="174"/>
      <c r="X310" s="174"/>
      <c r="Y310" s="187"/>
      <c r="AA310" s="144"/>
      <c r="AB310" s="145"/>
      <c r="AC310" s="145"/>
      <c r="AD310" s="145"/>
      <c r="AE310" s="146">
        <f t="shared" si="37"/>
        <v>58.262035906684503</v>
      </c>
      <c r="AF310" s="146">
        <f t="shared" si="38"/>
        <v>3.2518900049384119E-5</v>
      </c>
      <c r="AI310" s="184"/>
      <c r="AJ310" s="184"/>
    </row>
    <row r="311" spans="9:36" x14ac:dyDescent="0.25">
      <c r="I311" s="126"/>
      <c r="J311" s="127"/>
      <c r="K311" s="127"/>
      <c r="M311" s="34"/>
      <c r="R311" s="61">
        <v>712.47035906684505</v>
      </c>
      <c r="S311" s="58">
        <v>2.811168439522346E-7</v>
      </c>
      <c r="U311" s="173"/>
      <c r="V311" s="175"/>
      <c r="W311" s="174"/>
      <c r="X311" s="174"/>
      <c r="Y311" s="187"/>
      <c r="AA311" s="144"/>
      <c r="AB311" s="145"/>
      <c r="AC311" s="145"/>
      <c r="AD311" s="145"/>
      <c r="AE311" s="146">
        <f t="shared" si="37"/>
        <v>58.262035906684503</v>
      </c>
      <c r="AF311" s="146">
        <f t="shared" si="38"/>
        <v>2.8111684395223459E-5</v>
      </c>
      <c r="AI311" s="184"/>
      <c r="AJ311" s="184"/>
    </row>
    <row r="312" spans="9:36" x14ac:dyDescent="0.25">
      <c r="I312" s="126"/>
      <c r="J312" s="127"/>
      <c r="K312" s="127"/>
      <c r="M312" s="33"/>
      <c r="R312" s="61">
        <v>715.02411740686875</v>
      </c>
      <c r="S312" s="58">
        <v>2.811168439522346E-7</v>
      </c>
      <c r="U312" s="173"/>
      <c r="V312" s="175"/>
      <c r="W312" s="174"/>
      <c r="X312" s="174"/>
      <c r="Y312" s="187"/>
      <c r="AA312" s="144"/>
      <c r="AB312" s="145"/>
      <c r="AC312" s="145"/>
      <c r="AD312" s="145"/>
      <c r="AE312" s="146">
        <f t="shared" si="37"/>
        <v>58.517411740686875</v>
      </c>
      <c r="AF312" s="146">
        <f t="shared" si="38"/>
        <v>2.8111684395223459E-5</v>
      </c>
      <c r="AI312" s="184"/>
      <c r="AJ312" s="184"/>
    </row>
    <row r="313" spans="9:36" x14ac:dyDescent="0.25">
      <c r="I313" s="126"/>
      <c r="J313" s="127"/>
      <c r="K313" s="127"/>
      <c r="M313" s="34"/>
      <c r="R313" s="61">
        <v>715.02411740686875</v>
      </c>
      <c r="S313" s="58">
        <v>2.3729994943766633E-7</v>
      </c>
      <c r="U313" s="173"/>
      <c r="V313" s="175"/>
      <c r="W313" s="174"/>
      <c r="X313" s="174"/>
      <c r="Y313" s="187"/>
      <c r="AA313" s="144"/>
      <c r="AB313" s="145"/>
      <c r="AC313" s="145"/>
      <c r="AD313" s="145"/>
      <c r="AE313" s="146">
        <f t="shared" si="37"/>
        <v>58.517411740686875</v>
      </c>
      <c r="AF313" s="146">
        <f t="shared" si="38"/>
        <v>2.3729994943766632E-5</v>
      </c>
      <c r="AI313" s="184"/>
      <c r="AJ313" s="184"/>
    </row>
    <row r="314" spans="9:36" x14ac:dyDescent="0.25">
      <c r="I314" s="126"/>
      <c r="J314" s="127"/>
      <c r="K314" s="127"/>
      <c r="M314" s="34"/>
      <c r="R314" s="61">
        <v>717.86686047121498</v>
      </c>
      <c r="S314" s="58">
        <v>2.3729994943766633E-7</v>
      </c>
      <c r="U314" s="173"/>
      <c r="V314" s="175"/>
      <c r="W314" s="174"/>
      <c r="X314" s="174"/>
      <c r="Y314" s="187"/>
      <c r="AA314" s="144"/>
      <c r="AB314" s="145"/>
      <c r="AC314" s="145"/>
      <c r="AD314" s="145"/>
      <c r="AE314" s="146">
        <f t="shared" si="37"/>
        <v>58.801686047121493</v>
      </c>
      <c r="AF314" s="146">
        <f t="shared" si="38"/>
        <v>2.3729994943766632E-5</v>
      </c>
      <c r="AI314" s="184"/>
      <c r="AJ314" s="184"/>
    </row>
    <row r="315" spans="9:36" x14ac:dyDescent="0.25">
      <c r="I315" s="126"/>
      <c r="J315" s="127"/>
      <c r="K315" s="127"/>
      <c r="M315" s="33"/>
      <c r="R315" s="61">
        <v>717.86686047121498</v>
      </c>
      <c r="S315" s="58">
        <v>1.9402525211852795E-7</v>
      </c>
      <c r="U315" s="173"/>
      <c r="V315" s="175"/>
      <c r="W315" s="174"/>
      <c r="X315" s="174"/>
      <c r="Y315" s="187"/>
      <c r="AA315" s="144"/>
      <c r="AB315" s="145"/>
      <c r="AC315" s="145"/>
      <c r="AD315" s="145"/>
      <c r="AE315" s="146">
        <f t="shared" si="37"/>
        <v>58.801686047121493</v>
      </c>
      <c r="AF315" s="146">
        <f t="shared" si="38"/>
        <v>1.9402525211852794E-5</v>
      </c>
      <c r="AI315" s="184"/>
      <c r="AJ315" s="184"/>
    </row>
    <row r="316" spans="9:36" x14ac:dyDescent="0.25">
      <c r="I316" s="126"/>
      <c r="J316" s="127"/>
      <c r="K316" s="127"/>
      <c r="M316" s="34"/>
      <c r="R316" s="61">
        <v>721.15895634517653</v>
      </c>
      <c r="S316" s="58">
        <v>1.9402525211852795E-7</v>
      </c>
      <c r="U316" s="173"/>
      <c r="V316" s="175"/>
      <c r="W316" s="174"/>
      <c r="X316" s="174"/>
      <c r="Y316" s="187"/>
      <c r="AA316" s="144"/>
      <c r="AB316" s="145"/>
      <c r="AC316" s="145"/>
      <c r="AD316" s="145"/>
      <c r="AE316" s="146">
        <f t="shared" si="37"/>
        <v>59.13089563451765</v>
      </c>
      <c r="AF316" s="146">
        <f t="shared" si="38"/>
        <v>1.9402525211852794E-5</v>
      </c>
      <c r="AI316" s="184"/>
      <c r="AJ316" s="184"/>
    </row>
    <row r="317" spans="9:36" x14ac:dyDescent="0.25">
      <c r="I317" s="126"/>
      <c r="J317" s="127"/>
      <c r="K317" s="127"/>
      <c r="M317" s="34"/>
      <c r="R317" s="61">
        <v>721.15895634517653</v>
      </c>
      <c r="S317" s="58">
        <v>1.5184826893438845E-7</v>
      </c>
      <c r="U317" s="173"/>
      <c r="V317" s="175"/>
      <c r="W317" s="174"/>
      <c r="X317" s="174"/>
      <c r="Y317" s="187"/>
      <c r="AA317" s="144"/>
      <c r="AB317" s="145"/>
      <c r="AC317" s="145"/>
      <c r="AD317" s="145"/>
      <c r="AE317" s="146">
        <f t="shared" si="37"/>
        <v>59.13089563451765</v>
      </c>
      <c r="AF317" s="146">
        <f t="shared" si="38"/>
        <v>1.5184826893438845E-5</v>
      </c>
      <c r="AI317" s="184"/>
      <c r="AJ317" s="184"/>
    </row>
    <row r="318" spans="9:36" x14ac:dyDescent="0.25">
      <c r="I318" s="126"/>
      <c r="J318" s="127"/>
      <c r="K318" s="127"/>
      <c r="M318" s="33"/>
      <c r="R318" s="61">
        <v>725.2043621636376</v>
      </c>
      <c r="S318" s="58">
        <v>1.5184826893438845E-7</v>
      </c>
      <c r="U318" s="173"/>
      <c r="V318" s="175"/>
      <c r="W318" s="174"/>
      <c r="X318" s="174"/>
      <c r="Y318" s="187"/>
      <c r="AA318" s="144"/>
      <c r="AB318" s="145"/>
      <c r="AC318" s="145"/>
      <c r="AD318" s="145"/>
      <c r="AE318" s="146">
        <f t="shared" si="37"/>
        <v>59.535436216363756</v>
      </c>
      <c r="AF318" s="146">
        <f t="shared" si="38"/>
        <v>1.5184826893438845E-5</v>
      </c>
      <c r="AI318" s="184"/>
      <c r="AJ318" s="184"/>
    </row>
    <row r="319" spans="9:36" x14ac:dyDescent="0.25">
      <c r="I319" s="126"/>
      <c r="J319" s="127"/>
      <c r="K319" s="127"/>
      <c r="M319" s="34"/>
      <c r="R319" s="61">
        <v>725.2043621636376</v>
      </c>
      <c r="S319" s="58">
        <v>1.1188335103419303E-7</v>
      </c>
      <c r="U319" s="173"/>
      <c r="V319" s="175"/>
      <c r="W319" s="174"/>
      <c r="X319" s="174"/>
      <c r="Y319" s="187"/>
      <c r="AA319" s="144"/>
      <c r="AB319" s="145"/>
      <c r="AC319" s="145"/>
      <c r="AD319" s="145"/>
      <c r="AE319" s="146">
        <f t="shared" si="37"/>
        <v>59.535436216363756</v>
      </c>
      <c r="AF319" s="146">
        <f t="shared" si="38"/>
        <v>1.1188335103419303E-5</v>
      </c>
      <c r="AI319" s="184"/>
      <c r="AJ319" s="184"/>
    </row>
    <row r="320" spans="9:36" x14ac:dyDescent="0.25">
      <c r="I320" s="126"/>
      <c r="J320" s="127"/>
      <c r="K320" s="127"/>
      <c r="M320" s="34"/>
      <c r="R320" s="61">
        <v>730.7258277220634</v>
      </c>
      <c r="S320" s="58">
        <v>1.1188335103419303E-7</v>
      </c>
      <c r="U320" s="173"/>
      <c r="V320" s="175"/>
      <c r="W320" s="174"/>
      <c r="X320" s="174"/>
      <c r="Y320" s="187"/>
      <c r="AA320" s="144"/>
      <c r="AB320" s="145"/>
      <c r="AC320" s="145"/>
      <c r="AD320" s="145"/>
      <c r="AE320" s="146">
        <f t="shared" si="37"/>
        <v>60.087582772206339</v>
      </c>
      <c r="AF320" s="146">
        <f t="shared" si="38"/>
        <v>1.1188335103419303E-5</v>
      </c>
      <c r="AI320" s="184"/>
      <c r="AJ320" s="184"/>
    </row>
    <row r="321" spans="9:36" x14ac:dyDescent="0.25">
      <c r="I321" s="126"/>
      <c r="J321" s="127"/>
      <c r="K321" s="127"/>
      <c r="M321" s="33"/>
      <c r="R321" s="61">
        <v>730.7258277220634</v>
      </c>
      <c r="S321" s="58">
        <v>7.656468418256783E-8</v>
      </c>
      <c r="U321" s="173"/>
      <c r="V321" s="175"/>
      <c r="W321" s="174"/>
      <c r="X321" s="174"/>
      <c r="Y321" s="187"/>
      <c r="AA321" s="144"/>
      <c r="AB321" s="145"/>
      <c r="AC321" s="145"/>
      <c r="AD321" s="145"/>
      <c r="AE321" s="146">
        <f t="shared" si="37"/>
        <v>60.087582772206339</v>
      </c>
      <c r="AF321" s="146">
        <f t="shared" si="38"/>
        <v>7.656468418256783E-6</v>
      </c>
      <c r="AI321" s="184"/>
      <c r="AJ321" s="184"/>
    </row>
    <row r="322" spans="9:36" x14ac:dyDescent="0.25">
      <c r="I322" s="126"/>
      <c r="J322" s="127"/>
      <c r="K322" s="127"/>
      <c r="M322" s="34"/>
      <c r="R322" s="61">
        <v>740.64797463628224</v>
      </c>
      <c r="S322" s="58">
        <v>7.656468418256783E-8</v>
      </c>
      <c r="U322" s="173"/>
      <c r="V322" s="175"/>
      <c r="W322" s="174"/>
      <c r="X322" s="174"/>
      <c r="Y322" s="187"/>
      <c r="AA322" s="144"/>
      <c r="AB322" s="145"/>
      <c r="AC322" s="145"/>
      <c r="AD322" s="145"/>
      <c r="AE322" s="146">
        <f t="shared" si="37"/>
        <v>61.079797463628225</v>
      </c>
      <c r="AF322" s="146">
        <f t="shared" si="38"/>
        <v>7.656468418256783E-6</v>
      </c>
      <c r="AI322" s="184"/>
      <c r="AJ322" s="184"/>
    </row>
    <row r="323" spans="9:36" x14ac:dyDescent="0.25">
      <c r="I323" s="126"/>
      <c r="J323" s="127"/>
      <c r="K323" s="127"/>
      <c r="M323" s="34"/>
      <c r="R323" s="61">
        <v>740.64797463628224</v>
      </c>
      <c r="S323" s="58">
        <v>5.215057530206007E-8</v>
      </c>
      <c r="U323" s="173"/>
      <c r="V323" s="175"/>
      <c r="W323" s="174"/>
      <c r="X323" s="174"/>
      <c r="Y323" s="187"/>
      <c r="AA323" s="144"/>
      <c r="AB323" s="145"/>
      <c r="AC323" s="145"/>
      <c r="AD323" s="145"/>
      <c r="AE323" s="146">
        <f t="shared" ref="AE323:AE386" si="40">(R323-129.85)/10</f>
        <v>61.079797463628225</v>
      </c>
      <c r="AF323" s="146">
        <f t="shared" ref="AF323:AF386" si="41">S323*100</f>
        <v>5.215057530206007E-6</v>
      </c>
      <c r="AI323" s="184"/>
      <c r="AJ323" s="184"/>
    </row>
    <row r="324" spans="9:36" x14ac:dyDescent="0.25">
      <c r="I324" s="126"/>
      <c r="J324" s="127"/>
      <c r="K324" s="127"/>
      <c r="M324" s="33"/>
      <c r="R324" s="61">
        <v>753.97270356953436</v>
      </c>
      <c r="S324" s="58">
        <v>5.215057530206007E-8</v>
      </c>
      <c r="U324" s="173"/>
      <c r="V324" s="175"/>
      <c r="W324" s="174"/>
      <c r="X324" s="174"/>
      <c r="Y324" s="187"/>
      <c r="AA324" s="144"/>
      <c r="AB324" s="145"/>
      <c r="AC324" s="145"/>
      <c r="AD324" s="145"/>
      <c r="AE324" s="146">
        <f t="shared" si="40"/>
        <v>62.412270356953435</v>
      </c>
      <c r="AF324" s="146">
        <f t="shared" si="41"/>
        <v>5.215057530206007E-6</v>
      </c>
      <c r="AI324" s="184"/>
      <c r="AJ324" s="184"/>
    </row>
    <row r="325" spans="9:36" x14ac:dyDescent="0.25">
      <c r="I325" s="126"/>
      <c r="J325" s="127"/>
      <c r="K325" s="127"/>
      <c r="M325" s="34"/>
      <c r="R325" s="61">
        <v>753.97270356953436</v>
      </c>
      <c r="S325" s="58">
        <v>4.8776354473182939E-8</v>
      </c>
      <c r="U325" s="173"/>
      <c r="V325" s="175"/>
      <c r="W325" s="174"/>
      <c r="X325" s="174"/>
      <c r="Y325" s="187"/>
      <c r="AA325" s="144"/>
      <c r="AB325" s="145"/>
      <c r="AC325" s="145"/>
      <c r="AD325" s="145"/>
      <c r="AE325" s="146">
        <f t="shared" si="40"/>
        <v>62.412270356953435</v>
      </c>
      <c r="AF325" s="146">
        <f t="shared" si="41"/>
        <v>4.8776354473182939E-6</v>
      </c>
      <c r="AI325" s="184"/>
      <c r="AJ325" s="184"/>
    </row>
    <row r="326" spans="9:36" x14ac:dyDescent="0.25">
      <c r="I326" s="126"/>
      <c r="J326" s="127"/>
      <c r="K326" s="127"/>
      <c r="M326" s="34"/>
      <c r="R326" s="61">
        <v>846.43970440032717</v>
      </c>
      <c r="S326" s="58">
        <v>4.8776354473182939E-8</v>
      </c>
      <c r="U326" s="173"/>
      <c r="V326" s="175"/>
      <c r="W326" s="174"/>
      <c r="X326" s="174"/>
      <c r="Y326" s="187"/>
      <c r="AA326" s="144"/>
      <c r="AB326" s="145"/>
      <c r="AC326" s="145"/>
      <c r="AD326" s="145"/>
      <c r="AE326" s="146">
        <f t="shared" si="40"/>
        <v>71.658970440032718</v>
      </c>
      <c r="AF326" s="146">
        <f t="shared" si="41"/>
        <v>4.8776354473182939E-6</v>
      </c>
      <c r="AI326" s="184"/>
      <c r="AJ326" s="184"/>
    </row>
    <row r="327" spans="9:36" x14ac:dyDescent="0.25">
      <c r="I327" s="126"/>
      <c r="J327" s="127"/>
      <c r="K327" s="127"/>
      <c r="M327" s="33"/>
      <c r="R327" s="61">
        <v>846.43970440032717</v>
      </c>
      <c r="S327" s="58">
        <v>5.2113397811112076E-8</v>
      </c>
      <c r="U327" s="173"/>
      <c r="V327" s="175"/>
      <c r="W327" s="174"/>
      <c r="X327" s="174"/>
      <c r="Y327" s="187"/>
      <c r="AA327" s="144"/>
      <c r="AB327" s="145"/>
      <c r="AC327" s="145"/>
      <c r="AD327" s="145"/>
      <c r="AE327" s="146">
        <f t="shared" si="40"/>
        <v>71.658970440032718</v>
      </c>
      <c r="AF327" s="146">
        <f t="shared" si="41"/>
        <v>5.2113397811112076E-6</v>
      </c>
      <c r="AI327" s="184"/>
      <c r="AJ327" s="184"/>
    </row>
    <row r="328" spans="9:36" x14ac:dyDescent="0.25">
      <c r="I328" s="126"/>
      <c r="J328" s="127"/>
      <c r="K328" s="127"/>
      <c r="M328" s="34"/>
      <c r="R328" s="61">
        <v>859.76443333357929</v>
      </c>
      <c r="S328" s="58">
        <v>5.2113397811112076E-8</v>
      </c>
      <c r="U328" s="173"/>
      <c r="V328" s="175"/>
      <c r="W328" s="174"/>
      <c r="X328" s="174"/>
      <c r="Y328" s="187"/>
      <c r="AA328" s="144"/>
      <c r="AB328" s="145"/>
      <c r="AC328" s="145"/>
      <c r="AD328" s="145"/>
      <c r="AE328" s="146">
        <f t="shared" si="40"/>
        <v>72.991443333357921</v>
      </c>
      <c r="AF328" s="146">
        <f t="shared" si="41"/>
        <v>5.2113397811112076E-6</v>
      </c>
      <c r="AI328" s="184"/>
      <c r="AJ328" s="184"/>
    </row>
    <row r="329" spans="9:36" x14ac:dyDescent="0.25">
      <c r="I329" s="126"/>
      <c r="J329" s="127"/>
      <c r="K329" s="127"/>
      <c r="M329" s="34"/>
      <c r="R329" s="61">
        <v>859.76443333357929</v>
      </c>
      <c r="S329" s="58">
        <v>7.6483839435038196E-8</v>
      </c>
      <c r="U329" s="173"/>
      <c r="V329" s="175"/>
      <c r="W329" s="174"/>
      <c r="X329" s="174"/>
      <c r="Y329" s="187"/>
      <c r="AA329" s="144"/>
      <c r="AB329" s="145"/>
      <c r="AC329" s="145"/>
      <c r="AD329" s="145"/>
      <c r="AE329" s="146">
        <f t="shared" si="40"/>
        <v>72.991443333357921</v>
      </c>
      <c r="AF329" s="146">
        <f t="shared" si="41"/>
        <v>7.6483839435038196E-6</v>
      </c>
      <c r="AI329" s="184"/>
      <c r="AJ329" s="184"/>
    </row>
    <row r="330" spans="9:36" x14ac:dyDescent="0.25">
      <c r="I330" s="49"/>
      <c r="J330" s="49"/>
      <c r="K330" s="49"/>
      <c r="M330" s="36"/>
      <c r="R330" s="61">
        <v>869.68658024779813</v>
      </c>
      <c r="S330" s="58">
        <v>7.6483839435038196E-8</v>
      </c>
      <c r="U330" s="173"/>
      <c r="V330" s="175"/>
      <c r="W330" s="174"/>
      <c r="X330" s="174"/>
      <c r="Y330" s="187"/>
      <c r="AA330" s="144"/>
      <c r="AB330" s="145"/>
      <c r="AC330" s="145"/>
      <c r="AD330" s="145"/>
      <c r="AE330" s="146">
        <f t="shared" si="40"/>
        <v>73.983658024779814</v>
      </c>
      <c r="AF330" s="146">
        <f t="shared" si="41"/>
        <v>7.6483839435038196E-6</v>
      </c>
      <c r="AI330" s="184"/>
      <c r="AJ330" s="184"/>
    </row>
    <row r="331" spans="9:36" x14ac:dyDescent="0.25">
      <c r="I331" s="49"/>
      <c r="J331" s="49"/>
      <c r="K331" s="49"/>
      <c r="M331" s="34"/>
      <c r="R331" s="61">
        <v>869.68658024779813</v>
      </c>
      <c r="S331" s="58">
        <v>1.1174653915008288E-7</v>
      </c>
      <c r="U331" s="173"/>
      <c r="V331" s="175"/>
      <c r="W331" s="174"/>
      <c r="X331" s="174"/>
      <c r="Y331" s="187"/>
      <c r="AA331" s="144"/>
      <c r="AB331" s="145"/>
      <c r="AC331" s="145"/>
      <c r="AD331" s="145"/>
      <c r="AE331" s="146">
        <f t="shared" si="40"/>
        <v>73.983658024779814</v>
      </c>
      <c r="AF331" s="146">
        <f t="shared" si="41"/>
        <v>1.1174653915008288E-5</v>
      </c>
      <c r="AI331" s="184"/>
      <c r="AJ331" s="184"/>
    </row>
    <row r="332" spans="9:36" x14ac:dyDescent="0.25">
      <c r="I332" s="49"/>
      <c r="J332" s="49"/>
      <c r="K332" s="49"/>
      <c r="M332" s="34"/>
      <c r="R332" s="61">
        <v>875.20804580622394</v>
      </c>
      <c r="S332" s="58">
        <v>1.1174653915008288E-7</v>
      </c>
      <c r="U332" s="173"/>
      <c r="V332" s="175"/>
      <c r="W332" s="174"/>
      <c r="X332" s="174"/>
      <c r="Y332" s="187"/>
      <c r="AA332" s="144"/>
      <c r="AB332" s="145"/>
      <c r="AC332" s="145"/>
      <c r="AD332" s="145"/>
      <c r="AE332" s="146">
        <f t="shared" si="40"/>
        <v>74.535804580622397</v>
      </c>
      <c r="AF332" s="146">
        <f t="shared" si="41"/>
        <v>1.1174653915008288E-5</v>
      </c>
      <c r="AI332" s="184"/>
      <c r="AJ332" s="184"/>
    </row>
    <row r="333" spans="9:36" x14ac:dyDescent="0.25">
      <c r="I333" s="49"/>
      <c r="J333" s="49"/>
      <c r="K333" s="49"/>
      <c r="M333" s="33"/>
      <c r="R333" s="61">
        <v>875.20804580622394</v>
      </c>
      <c r="S333" s="58">
        <v>1.516554659443586E-7</v>
      </c>
      <c r="U333" s="173"/>
      <c r="V333" s="175"/>
      <c r="W333" s="174"/>
      <c r="X333" s="174"/>
      <c r="Y333" s="187"/>
      <c r="AA333" s="144"/>
      <c r="AB333" s="145"/>
      <c r="AC333" s="145"/>
      <c r="AD333" s="145"/>
      <c r="AE333" s="146">
        <f t="shared" si="40"/>
        <v>74.535804580622397</v>
      </c>
      <c r="AF333" s="146">
        <f t="shared" si="41"/>
        <v>1.516554659443586E-5</v>
      </c>
      <c r="AI333" s="184"/>
      <c r="AJ333" s="184"/>
    </row>
    <row r="334" spans="9:36" x14ac:dyDescent="0.25">
      <c r="I334" s="49"/>
      <c r="J334" s="49"/>
      <c r="K334" s="49"/>
      <c r="M334" s="34"/>
      <c r="R334" s="61">
        <v>879.253451624685</v>
      </c>
      <c r="S334" s="58">
        <v>1.516554659443586E-7</v>
      </c>
      <c r="U334" s="173"/>
      <c r="V334" s="175"/>
      <c r="W334" s="174"/>
      <c r="X334" s="174"/>
      <c r="Y334" s="187"/>
      <c r="AA334" s="144"/>
      <c r="AB334" s="145"/>
      <c r="AC334" s="145"/>
      <c r="AD334" s="145"/>
      <c r="AE334" s="146">
        <f t="shared" si="40"/>
        <v>74.940345162468503</v>
      </c>
      <c r="AF334" s="146">
        <f t="shared" si="41"/>
        <v>1.516554659443586E-5</v>
      </c>
      <c r="AI334" s="184"/>
      <c r="AJ334" s="184"/>
    </row>
    <row r="335" spans="9:36" x14ac:dyDescent="0.25">
      <c r="I335" s="49"/>
      <c r="J335" s="49"/>
      <c r="K335" s="49"/>
      <c r="M335" s="34"/>
      <c r="R335" s="61">
        <v>879.253451624685</v>
      </c>
      <c r="S335" s="58">
        <v>1.9377201297646939E-7</v>
      </c>
      <c r="U335" s="173"/>
      <c r="V335" s="174"/>
      <c r="W335" s="174"/>
      <c r="X335" s="174"/>
      <c r="Y335" s="187"/>
      <c r="AA335" s="78"/>
      <c r="AC335" s="82"/>
      <c r="AE335" s="146">
        <f t="shared" si="40"/>
        <v>74.940345162468503</v>
      </c>
      <c r="AF335" s="146">
        <f t="shared" si="41"/>
        <v>1.9377201297646938E-5</v>
      </c>
      <c r="AI335" s="184"/>
      <c r="AJ335" s="184"/>
    </row>
    <row r="336" spans="9:36" x14ac:dyDescent="0.25">
      <c r="I336" s="49"/>
      <c r="J336" s="49"/>
      <c r="K336" s="49"/>
      <c r="M336" s="33"/>
      <c r="R336" s="61">
        <v>882.54554749864656</v>
      </c>
      <c r="S336" s="58">
        <v>1.9377201297646939E-7</v>
      </c>
      <c r="V336" s="174"/>
      <c r="W336" s="174"/>
      <c r="X336" s="174"/>
      <c r="Y336" s="187"/>
      <c r="AA336" s="78"/>
      <c r="AC336" s="79"/>
      <c r="AE336" s="146">
        <f t="shared" si="40"/>
        <v>75.269554749864653</v>
      </c>
      <c r="AF336" s="146">
        <f t="shared" si="41"/>
        <v>1.9377201297646938E-5</v>
      </c>
      <c r="AI336" s="184"/>
      <c r="AJ336" s="184"/>
    </row>
    <row r="337" spans="9:35" x14ac:dyDescent="0.25">
      <c r="I337" s="49"/>
      <c r="J337" s="49"/>
      <c r="K337" s="49"/>
      <c r="M337" s="34"/>
      <c r="R337" s="61">
        <v>882.54554749864656</v>
      </c>
      <c r="S337" s="58">
        <v>2.3698020342805688E-7</v>
      </c>
      <c r="V337" s="174"/>
      <c r="W337" s="174"/>
      <c r="X337" s="174"/>
      <c r="Y337" s="187"/>
      <c r="AA337" s="78"/>
      <c r="AC337" s="82"/>
      <c r="AE337" s="146">
        <f t="shared" si="40"/>
        <v>75.269554749864653</v>
      </c>
      <c r="AF337" s="146">
        <f t="shared" si="41"/>
        <v>2.369802034280569E-5</v>
      </c>
      <c r="AI337" s="184"/>
    </row>
    <row r="338" spans="9:35" x14ac:dyDescent="0.25">
      <c r="I338" s="49"/>
      <c r="J338" s="49"/>
      <c r="K338" s="49"/>
      <c r="M338" s="34"/>
      <c r="R338" s="61">
        <v>885.38829056299278</v>
      </c>
      <c r="S338" s="58">
        <v>2.3698020342805688E-7</v>
      </c>
      <c r="V338" s="174"/>
      <c r="W338" s="174"/>
      <c r="X338" s="174"/>
      <c r="Y338" s="187"/>
      <c r="AA338" s="78"/>
      <c r="AC338" s="82"/>
      <c r="AE338" s="146">
        <f t="shared" si="40"/>
        <v>75.553829056299278</v>
      </c>
      <c r="AF338" s="146">
        <f t="shared" si="41"/>
        <v>2.369802034280569E-5</v>
      </c>
    </row>
    <row r="339" spans="9:35" x14ac:dyDescent="0.25">
      <c r="I339" s="49"/>
      <c r="J339" s="49"/>
      <c r="K339" s="49"/>
      <c r="M339" s="33"/>
      <c r="R339" s="61">
        <v>885.38829056299278</v>
      </c>
      <c r="S339" s="58">
        <v>2.8072329083692203E-7</v>
      </c>
      <c r="V339" s="174"/>
      <c r="W339" s="174"/>
      <c r="X339" s="174"/>
      <c r="Y339" s="187"/>
      <c r="AA339" s="78"/>
      <c r="AC339" s="79"/>
      <c r="AE339" s="146">
        <f t="shared" si="40"/>
        <v>75.553829056299278</v>
      </c>
      <c r="AF339" s="146">
        <f t="shared" si="41"/>
        <v>2.8072329083692203E-5</v>
      </c>
    </row>
    <row r="340" spans="9:35" x14ac:dyDescent="0.25">
      <c r="I340" s="49"/>
      <c r="J340" s="49"/>
      <c r="K340" s="49"/>
      <c r="M340" s="34"/>
      <c r="R340" s="61">
        <v>887.94204890301648</v>
      </c>
      <c r="S340" s="58">
        <v>2.8072329083692203E-7</v>
      </c>
      <c r="V340" s="174"/>
      <c r="W340" s="174"/>
      <c r="X340" s="174"/>
      <c r="Y340" s="187"/>
      <c r="AA340" s="78"/>
      <c r="AC340" s="82"/>
      <c r="AE340" s="146">
        <f t="shared" si="40"/>
        <v>75.809204890301643</v>
      </c>
      <c r="AF340" s="146">
        <f t="shared" si="41"/>
        <v>2.8072329083692203E-5</v>
      </c>
    </row>
    <row r="341" spans="9:35" x14ac:dyDescent="0.25">
      <c r="I341" s="49"/>
      <c r="J341" s="49"/>
      <c r="K341" s="49"/>
      <c r="M341" s="34"/>
      <c r="R341" s="61">
        <v>887.94204890301648</v>
      </c>
      <c r="S341" s="58">
        <v>3.2471308414375808E-7</v>
      </c>
      <c r="V341" s="174"/>
      <c r="W341" s="174"/>
      <c r="X341" s="174"/>
      <c r="Y341" s="187"/>
      <c r="AA341" s="78"/>
      <c r="AC341" s="82"/>
      <c r="AE341" s="146">
        <f t="shared" si="40"/>
        <v>75.809204890301643</v>
      </c>
      <c r="AF341" s="146">
        <f t="shared" si="41"/>
        <v>3.2471308414375806E-5</v>
      </c>
    </row>
    <row r="342" spans="9:35" x14ac:dyDescent="0.25">
      <c r="I342" s="49"/>
      <c r="J342" s="49"/>
      <c r="K342" s="49"/>
      <c r="M342" s="33"/>
      <c r="R342" s="61">
        <v>890.30427632527301</v>
      </c>
      <c r="S342" s="58">
        <v>3.2471308414375808E-7</v>
      </c>
      <c r="V342" s="174"/>
      <c r="W342" s="174"/>
      <c r="X342" s="174"/>
      <c r="Y342" s="187"/>
      <c r="AA342" s="78"/>
      <c r="AC342" s="79"/>
      <c r="AE342" s="146">
        <f t="shared" si="40"/>
        <v>76.045427632527293</v>
      </c>
      <c r="AF342" s="146">
        <f t="shared" si="41"/>
        <v>3.2471308414375806E-5</v>
      </c>
    </row>
    <row r="343" spans="9:35" x14ac:dyDescent="0.25">
      <c r="I343" s="49"/>
      <c r="J343" s="49"/>
      <c r="K343" s="49"/>
      <c r="M343" s="34"/>
      <c r="R343" s="61">
        <v>890.30427632527301</v>
      </c>
      <c r="S343" s="58">
        <v>3.688010810486419E-7</v>
      </c>
      <c r="V343" s="174"/>
      <c r="W343" s="174"/>
      <c r="X343" s="174"/>
      <c r="Y343" s="187"/>
      <c r="AA343" s="78"/>
      <c r="AC343" s="82"/>
      <c r="AE343" s="146">
        <f t="shared" si="40"/>
        <v>76.045427632527293</v>
      </c>
      <c r="AF343" s="146">
        <f t="shared" si="41"/>
        <v>3.6880108104864191E-5</v>
      </c>
    </row>
    <row r="344" spans="9:35" x14ac:dyDescent="0.25">
      <c r="I344" s="49"/>
      <c r="J344" s="49"/>
      <c r="K344" s="49"/>
      <c r="M344" s="34"/>
      <c r="R344" s="61">
        <v>892.5409245039267</v>
      </c>
      <c r="S344" s="58">
        <v>3.688010810486419E-7</v>
      </c>
      <c r="V344" s="174"/>
      <c r="W344" s="174"/>
      <c r="X344" s="174"/>
      <c r="Y344" s="187"/>
      <c r="AA344" s="78"/>
      <c r="AC344" s="82"/>
      <c r="AE344" s="146">
        <f t="shared" si="40"/>
        <v>76.269092450392662</v>
      </c>
      <c r="AF344" s="146">
        <f t="shared" si="41"/>
        <v>3.6880108104864191E-5</v>
      </c>
    </row>
    <row r="345" spans="9:35" x14ac:dyDescent="0.25">
      <c r="I345" s="49"/>
      <c r="J345" s="49"/>
      <c r="K345" s="49"/>
      <c r="M345" s="33"/>
      <c r="R345" s="61">
        <v>892.5409245039267</v>
      </c>
      <c r="S345" s="58">
        <v>4.1291474657080091E-7</v>
      </c>
      <c r="V345" s="174"/>
      <c r="W345" s="174"/>
      <c r="X345" s="174"/>
      <c r="Y345" s="187"/>
      <c r="AA345" s="78"/>
      <c r="AC345" s="79"/>
      <c r="AE345" s="146">
        <f t="shared" si="40"/>
        <v>76.269092450392662</v>
      </c>
      <c r="AF345" s="146">
        <f t="shared" si="41"/>
        <v>4.1291474657080088E-5</v>
      </c>
    </row>
    <row r="346" spans="9:35" x14ac:dyDescent="0.25">
      <c r="I346" s="49"/>
      <c r="J346" s="49"/>
      <c r="K346" s="49"/>
      <c r="M346" s="34"/>
      <c r="R346" s="61">
        <v>894.7010991986416</v>
      </c>
      <c r="S346" s="58">
        <v>4.1291474657080091E-7</v>
      </c>
      <c r="V346" s="174"/>
      <c r="W346" s="174"/>
      <c r="X346" s="174"/>
      <c r="Y346" s="187"/>
      <c r="AA346" s="78"/>
      <c r="AC346" s="82"/>
      <c r="AE346" s="146">
        <f t="shared" si="40"/>
        <v>76.485109919864158</v>
      </c>
      <c r="AF346" s="146">
        <f t="shared" si="41"/>
        <v>4.1291474657080088E-5</v>
      </c>
    </row>
    <row r="347" spans="9:35" x14ac:dyDescent="0.25">
      <c r="I347" s="49"/>
      <c r="J347" s="49"/>
      <c r="K347" s="49"/>
      <c r="M347" s="34"/>
      <c r="R347" s="61">
        <v>894.7010991986416</v>
      </c>
      <c r="S347" s="58">
        <v>4.5702294106463256E-7</v>
      </c>
      <c r="V347" s="174"/>
      <c r="W347" s="174"/>
      <c r="X347" s="174"/>
      <c r="Y347" s="187"/>
      <c r="AA347" s="78"/>
      <c r="AC347" s="82"/>
      <c r="AE347" s="146">
        <f t="shared" si="40"/>
        <v>76.485109919864158</v>
      </c>
      <c r="AF347" s="146">
        <f t="shared" si="41"/>
        <v>4.5702294106463254E-5</v>
      </c>
    </row>
    <row r="348" spans="9:35" x14ac:dyDescent="0.25">
      <c r="I348" s="49"/>
      <c r="J348" s="49"/>
      <c r="K348" s="49"/>
      <c r="M348" s="33"/>
      <c r="R348" s="61">
        <v>896.82498661713487</v>
      </c>
      <c r="S348" s="58">
        <v>4.5702294106463256E-7</v>
      </c>
      <c r="V348" s="174"/>
      <c r="W348" s="174"/>
      <c r="X348" s="174"/>
      <c r="Y348" s="187"/>
      <c r="AA348" s="78"/>
      <c r="AC348" s="79"/>
      <c r="AE348" s="146">
        <f t="shared" si="40"/>
        <v>76.697498661713482</v>
      </c>
      <c r="AF348" s="146">
        <f t="shared" si="41"/>
        <v>4.5702294106463254E-5</v>
      </c>
    </row>
    <row r="349" spans="9:35" x14ac:dyDescent="0.25">
      <c r="I349" s="49"/>
      <c r="J349" s="49"/>
      <c r="K349" s="49"/>
      <c r="M349" s="34"/>
      <c r="R349" s="61">
        <v>896.82498661713487</v>
      </c>
      <c r="S349" s="58">
        <v>5.0111495434582766E-7</v>
      </c>
      <c r="V349" s="174"/>
      <c r="W349" s="174"/>
      <c r="X349" s="174"/>
      <c r="Y349" s="187"/>
      <c r="AA349" s="78"/>
      <c r="AC349" s="82"/>
      <c r="AE349" s="146">
        <f t="shared" si="40"/>
        <v>76.697498661713482</v>
      </c>
      <c r="AF349" s="146">
        <f t="shared" si="41"/>
        <v>5.0111495434582765E-5</v>
      </c>
    </row>
    <row r="350" spans="9:35" x14ac:dyDescent="0.25">
      <c r="I350" s="49"/>
      <c r="J350" s="49"/>
      <c r="K350" s="49"/>
      <c r="M350" s="34"/>
      <c r="R350" s="61">
        <v>898.94887403562814</v>
      </c>
      <c r="S350" s="58">
        <v>5.0111495434582766E-7</v>
      </c>
      <c r="V350" s="174"/>
      <c r="W350" s="174"/>
      <c r="X350" s="174"/>
      <c r="Y350" s="187"/>
      <c r="AA350" s="78"/>
      <c r="AC350" s="82"/>
      <c r="AE350" s="146">
        <f t="shared" si="40"/>
        <v>76.909887403562806</v>
      </c>
      <c r="AF350" s="146">
        <f t="shared" si="41"/>
        <v>5.0111495434582765E-5</v>
      </c>
    </row>
    <row r="351" spans="9:35" x14ac:dyDescent="0.25">
      <c r="I351" s="49"/>
      <c r="J351" s="49"/>
      <c r="K351" s="49"/>
      <c r="M351" s="33"/>
      <c r="R351" s="61">
        <v>898.94887403562814</v>
      </c>
      <c r="S351" s="58">
        <v>5.4518478084430862E-7</v>
      </c>
      <c r="V351" s="174"/>
      <c r="W351" s="174"/>
      <c r="X351" s="174"/>
      <c r="Y351" s="187"/>
      <c r="AA351" s="78"/>
      <c r="AC351" s="79"/>
      <c r="AE351" s="146">
        <f t="shared" si="40"/>
        <v>76.909887403562806</v>
      </c>
      <c r="AF351" s="146">
        <f t="shared" si="41"/>
        <v>5.4518478084430858E-5</v>
      </c>
    </row>
    <row r="352" spans="9:35" x14ac:dyDescent="0.25">
      <c r="I352" s="49"/>
      <c r="J352" s="49"/>
      <c r="K352" s="49"/>
      <c r="M352" s="34"/>
      <c r="R352" s="61">
        <v>901.10904873034303</v>
      </c>
      <c r="S352" s="58">
        <v>5.4518478084430862E-7</v>
      </c>
      <c r="V352" s="174"/>
      <c r="W352" s="174"/>
      <c r="X352" s="174"/>
      <c r="Y352" s="187"/>
      <c r="AA352" s="78"/>
      <c r="AC352" s="82"/>
      <c r="AE352" s="146">
        <f t="shared" si="40"/>
        <v>77.125904873034301</v>
      </c>
      <c r="AF352" s="146">
        <f t="shared" si="41"/>
        <v>5.4518478084430858E-5</v>
      </c>
    </row>
    <row r="353" spans="9:32" x14ac:dyDescent="0.25">
      <c r="I353" s="49"/>
      <c r="J353" s="49"/>
      <c r="K353" s="49"/>
      <c r="M353" s="34"/>
      <c r="R353" s="61">
        <v>901.10904873034303</v>
      </c>
      <c r="S353" s="58">
        <v>5.8921906338217853E-7</v>
      </c>
      <c r="V353" s="174"/>
      <c r="W353" s="174"/>
      <c r="X353" s="174"/>
      <c r="Y353" s="187"/>
      <c r="AA353" s="78"/>
      <c r="AC353" s="82"/>
      <c r="AE353" s="146">
        <f t="shared" si="40"/>
        <v>77.125904873034301</v>
      </c>
      <c r="AF353" s="146">
        <f t="shared" si="41"/>
        <v>5.8921906338217856E-5</v>
      </c>
    </row>
    <row r="354" spans="9:32" x14ac:dyDescent="0.25">
      <c r="I354" s="49"/>
      <c r="J354" s="49"/>
      <c r="K354" s="49"/>
      <c r="M354" s="34"/>
      <c r="R354" s="61">
        <v>903.34569690899673</v>
      </c>
      <c r="S354" s="58">
        <v>5.8921906338217853E-7</v>
      </c>
      <c r="V354" s="174"/>
      <c r="W354" s="174"/>
      <c r="X354" s="174"/>
      <c r="Y354" s="187"/>
      <c r="AA354" s="78"/>
      <c r="AC354" s="82"/>
      <c r="AE354" s="146">
        <f t="shared" si="40"/>
        <v>77.349569690899671</v>
      </c>
      <c r="AF354" s="146">
        <f t="shared" si="41"/>
        <v>5.8921906338217856E-5</v>
      </c>
    </row>
    <row r="355" spans="9:32" x14ac:dyDescent="0.25">
      <c r="I355" s="49"/>
      <c r="J355" s="49"/>
      <c r="K355" s="49"/>
      <c r="M355" s="33"/>
      <c r="R355" s="61">
        <v>903.34569690899673</v>
      </c>
      <c r="S355" s="58">
        <v>6.3318078357976419E-7</v>
      </c>
      <c r="V355" s="174"/>
      <c r="W355" s="174"/>
      <c r="X355" s="174"/>
      <c r="Y355" s="187"/>
      <c r="AA355" s="78"/>
      <c r="AC355" s="79"/>
      <c r="AE355" s="146">
        <f t="shared" si="40"/>
        <v>77.349569690899671</v>
      </c>
      <c r="AF355" s="146">
        <f t="shared" si="41"/>
        <v>6.3318078357976418E-5</v>
      </c>
    </row>
    <row r="356" spans="9:32" x14ac:dyDescent="0.25">
      <c r="I356" s="49"/>
      <c r="J356" s="49"/>
      <c r="K356" s="49"/>
      <c r="M356" s="34"/>
      <c r="R356" s="61">
        <v>905.70792433125325</v>
      </c>
      <c r="S356" s="58">
        <v>6.3318078357976419E-7</v>
      </c>
      <c r="V356" s="174"/>
      <c r="W356" s="174"/>
      <c r="X356" s="174"/>
      <c r="Y356" s="187"/>
      <c r="AA356" s="78"/>
      <c r="AC356" s="82"/>
      <c r="AE356" s="146">
        <f t="shared" si="40"/>
        <v>77.58579243312532</v>
      </c>
      <c r="AF356" s="146">
        <f t="shared" si="41"/>
        <v>6.3318078357976418E-5</v>
      </c>
    </row>
    <row r="357" spans="9:32" x14ac:dyDescent="0.25">
      <c r="I357" s="49"/>
      <c r="J357" s="49"/>
      <c r="K357" s="49"/>
      <c r="M357" s="34"/>
      <c r="R357" s="61">
        <v>905.70792433125325</v>
      </c>
      <c r="S357" s="58">
        <v>6.7698684067061181E-7</v>
      </c>
      <c r="V357" s="174"/>
      <c r="W357" s="174"/>
      <c r="X357" s="174"/>
      <c r="Y357" s="187"/>
      <c r="AA357" s="78"/>
      <c r="AC357" s="82"/>
      <c r="AE357" s="146">
        <f t="shared" si="40"/>
        <v>77.58579243312532</v>
      </c>
      <c r="AF357" s="146">
        <f t="shared" si="41"/>
        <v>6.7698684067061176E-5</v>
      </c>
    </row>
    <row r="358" spans="9:32" x14ac:dyDescent="0.25">
      <c r="I358" s="49"/>
      <c r="J358" s="49"/>
      <c r="K358" s="49"/>
      <c r="M358" s="33"/>
      <c r="R358" s="61">
        <v>908.26168267127696</v>
      </c>
      <c r="S358" s="58">
        <v>6.7698684067061181E-7</v>
      </c>
      <c r="V358" s="174"/>
      <c r="W358" s="174"/>
      <c r="X358" s="174"/>
      <c r="Y358" s="187"/>
      <c r="AA358" s="78"/>
      <c r="AC358" s="79"/>
      <c r="AE358" s="146">
        <f t="shared" si="40"/>
        <v>77.841168267127699</v>
      </c>
      <c r="AF358" s="146">
        <f t="shared" si="41"/>
        <v>6.7698684067061176E-5</v>
      </c>
    </row>
    <row r="359" spans="9:32" x14ac:dyDescent="0.25">
      <c r="I359" s="49"/>
      <c r="J359" s="49"/>
      <c r="K359" s="49"/>
      <c r="M359" s="37"/>
      <c r="R359" s="61">
        <v>908.26168267127696</v>
      </c>
      <c r="S359" s="58">
        <v>7.2047031530662944E-7</v>
      </c>
      <c r="V359" s="174"/>
      <c r="W359" s="174"/>
      <c r="X359" s="174"/>
      <c r="Y359" s="187"/>
      <c r="AA359" s="78"/>
      <c r="AC359" s="84"/>
      <c r="AE359" s="146">
        <f t="shared" si="40"/>
        <v>77.841168267127699</v>
      </c>
      <c r="AF359" s="146">
        <f t="shared" si="41"/>
        <v>7.2047031530662951E-5</v>
      </c>
    </row>
    <row r="360" spans="9:32" x14ac:dyDescent="0.25">
      <c r="I360" s="49"/>
      <c r="J360" s="49"/>
      <c r="K360" s="49"/>
      <c r="M360" s="34"/>
      <c r="R360" s="61">
        <v>911.10442573562318</v>
      </c>
      <c r="S360" s="58">
        <v>7.2047031530662944E-7</v>
      </c>
      <c r="V360" s="174"/>
      <c r="W360" s="174"/>
      <c r="X360" s="174"/>
      <c r="Y360" s="187"/>
      <c r="AA360" s="78"/>
      <c r="AC360" s="82"/>
      <c r="AE360" s="146">
        <f t="shared" si="40"/>
        <v>78.12544257356231</v>
      </c>
      <c r="AF360" s="146">
        <f t="shared" si="41"/>
        <v>7.2047031530662951E-5</v>
      </c>
    </row>
    <row r="361" spans="9:32" x14ac:dyDescent="0.25">
      <c r="I361" s="49"/>
      <c r="J361" s="49"/>
      <c r="K361" s="49"/>
      <c r="M361" s="37"/>
      <c r="R361" s="61">
        <v>911.10442573562318</v>
      </c>
      <c r="S361" s="58">
        <v>7.6330951138132645E-7</v>
      </c>
      <c r="V361" s="174"/>
      <c r="W361" s="174"/>
      <c r="X361" s="174"/>
      <c r="Y361" s="187"/>
      <c r="AA361" s="78"/>
      <c r="AC361" s="84"/>
      <c r="AE361" s="146">
        <f t="shared" si="40"/>
        <v>78.12544257356231</v>
      </c>
      <c r="AF361" s="146">
        <f t="shared" si="41"/>
        <v>7.6330951138132646E-5</v>
      </c>
    </row>
    <row r="362" spans="9:32" x14ac:dyDescent="0.25">
      <c r="I362" s="49"/>
      <c r="J362" s="49"/>
      <c r="K362" s="49"/>
      <c r="M362" s="34"/>
      <c r="R362" s="61">
        <v>914.39652160958474</v>
      </c>
      <c r="S362" s="58">
        <v>7.6330951138132645E-7</v>
      </c>
      <c r="V362" s="174"/>
      <c r="W362" s="174"/>
      <c r="X362" s="174"/>
      <c r="Y362" s="187"/>
      <c r="AA362" s="78"/>
      <c r="AC362" s="82"/>
      <c r="AE362" s="146">
        <f t="shared" si="40"/>
        <v>78.454652160958474</v>
      </c>
      <c r="AF362" s="146">
        <f t="shared" si="41"/>
        <v>7.6330951138132646E-5</v>
      </c>
    </row>
    <row r="363" spans="9:32" x14ac:dyDescent="0.25">
      <c r="I363" s="49"/>
      <c r="J363" s="49"/>
      <c r="K363" s="49"/>
      <c r="M363" s="37"/>
      <c r="R363" s="61">
        <v>914.39652160958474</v>
      </c>
      <c r="S363" s="58">
        <v>8.048800059951408E-7</v>
      </c>
      <c r="V363" s="174"/>
      <c r="W363" s="174"/>
      <c r="X363" s="174"/>
      <c r="Y363" s="187"/>
      <c r="AA363" s="78"/>
      <c r="AC363" s="84"/>
      <c r="AE363" s="146">
        <f t="shared" si="40"/>
        <v>78.454652160958474</v>
      </c>
      <c r="AF363" s="146">
        <f t="shared" si="41"/>
        <v>8.0488000599514083E-5</v>
      </c>
    </row>
    <row r="364" spans="9:32" x14ac:dyDescent="0.25">
      <c r="I364" s="49"/>
      <c r="J364" s="49"/>
      <c r="K364" s="49"/>
      <c r="M364" s="33"/>
      <c r="R364" s="61">
        <v>918.4419274280458</v>
      </c>
      <c r="S364" s="58">
        <v>8.048800059951408E-7</v>
      </c>
      <c r="V364" s="174"/>
      <c r="W364" s="174"/>
      <c r="X364" s="174"/>
      <c r="Y364" s="187"/>
      <c r="AA364" s="78"/>
      <c r="AC364" s="79"/>
      <c r="AE364" s="146">
        <f t="shared" si="40"/>
        <v>78.859192742804581</v>
      </c>
      <c r="AF364" s="146">
        <f t="shared" si="41"/>
        <v>8.0488000599514083E-5</v>
      </c>
    </row>
    <row r="365" spans="9:32" x14ac:dyDescent="0.25">
      <c r="I365" s="49"/>
      <c r="J365" s="49"/>
      <c r="K365" s="49"/>
      <c r="M365" s="37"/>
      <c r="R365" s="61">
        <v>918.4419274280458</v>
      </c>
      <c r="S365" s="58">
        <v>8.4389866839080037E-7</v>
      </c>
      <c r="V365" s="174"/>
      <c r="W365" s="174"/>
      <c r="X365" s="174"/>
      <c r="Y365" s="187"/>
      <c r="AA365" s="78"/>
      <c r="AC365" s="84"/>
      <c r="AE365" s="146">
        <f t="shared" si="40"/>
        <v>78.859192742804581</v>
      </c>
      <c r="AF365" s="146">
        <f t="shared" si="41"/>
        <v>8.4389866839080043E-5</v>
      </c>
    </row>
    <row r="366" spans="9:32" x14ac:dyDescent="0.25">
      <c r="I366" s="49"/>
      <c r="J366" s="49"/>
      <c r="K366" s="49"/>
      <c r="M366" s="34"/>
      <c r="R366" s="61">
        <v>923.9633929864716</v>
      </c>
      <c r="S366" s="58">
        <v>8.4389866839080037E-7</v>
      </c>
      <c r="V366" s="174"/>
      <c r="W366" s="174"/>
      <c r="X366" s="174"/>
      <c r="Y366" s="187"/>
      <c r="AA366" s="78"/>
      <c r="AC366" s="82"/>
      <c r="AE366" s="146">
        <f t="shared" si="40"/>
        <v>79.411339298647164</v>
      </c>
      <c r="AF366" s="146">
        <f t="shared" si="41"/>
        <v>8.4389866839080043E-5</v>
      </c>
    </row>
    <row r="367" spans="9:32" x14ac:dyDescent="0.25">
      <c r="I367" s="49"/>
      <c r="J367" s="49"/>
      <c r="K367" s="49"/>
      <c r="M367" s="34"/>
      <c r="R367" s="61">
        <v>923.9633929864716</v>
      </c>
      <c r="S367" s="58">
        <v>8.7725145137277604E-7</v>
      </c>
      <c r="V367" s="174"/>
      <c r="W367" s="174"/>
      <c r="X367" s="174"/>
      <c r="Y367" s="187"/>
      <c r="AA367" s="78"/>
      <c r="AC367" s="82"/>
      <c r="AE367" s="146">
        <f t="shared" si="40"/>
        <v>79.411339298647164</v>
      </c>
      <c r="AF367" s="146">
        <f t="shared" si="41"/>
        <v>8.7725145137277608E-5</v>
      </c>
    </row>
    <row r="368" spans="9:32" x14ac:dyDescent="0.25">
      <c r="I368" s="49"/>
      <c r="J368" s="49"/>
      <c r="K368" s="49"/>
      <c r="M368" s="37"/>
      <c r="R368" s="61">
        <v>933.88553990069045</v>
      </c>
      <c r="S368" s="58">
        <v>8.7725145137277604E-7</v>
      </c>
      <c r="V368" s="174"/>
      <c r="W368" s="174"/>
      <c r="X368" s="174"/>
      <c r="Y368" s="187"/>
      <c r="AA368" s="78"/>
      <c r="AC368" s="84"/>
      <c r="AE368" s="146">
        <f t="shared" si="40"/>
        <v>80.403553990069042</v>
      </c>
      <c r="AF368" s="146">
        <f t="shared" si="41"/>
        <v>8.7725145137277608E-5</v>
      </c>
    </row>
    <row r="369" spans="9:32" x14ac:dyDescent="0.25">
      <c r="I369" s="49"/>
      <c r="J369" s="49"/>
      <c r="K369" s="49"/>
      <c r="M369" s="33"/>
      <c r="R369" s="61">
        <v>933.88553990069045</v>
      </c>
      <c r="S369" s="58">
        <v>8.9727657266449333E-7</v>
      </c>
      <c r="V369" s="174"/>
      <c r="W369" s="174"/>
      <c r="X369" s="174"/>
      <c r="Y369" s="187"/>
      <c r="AA369" s="78"/>
      <c r="AC369" s="79"/>
      <c r="AE369" s="146">
        <f t="shared" si="40"/>
        <v>80.403553990069042</v>
      </c>
      <c r="AF369" s="146">
        <f t="shared" si="41"/>
        <v>8.9727657266449332E-5</v>
      </c>
    </row>
    <row r="370" spans="9:32" x14ac:dyDescent="0.25">
      <c r="I370" s="49"/>
      <c r="J370" s="49"/>
      <c r="K370" s="49"/>
      <c r="M370" s="37"/>
      <c r="R370" s="61">
        <v>947.21026883394256</v>
      </c>
      <c r="S370" s="58">
        <v>8.9727657266449333E-7</v>
      </c>
      <c r="V370" s="174"/>
      <c r="W370" s="174"/>
      <c r="X370" s="174"/>
      <c r="Y370" s="187"/>
      <c r="AA370" s="78"/>
      <c r="AC370" s="84"/>
      <c r="AE370" s="146">
        <f t="shared" si="40"/>
        <v>81.73602688339426</v>
      </c>
      <c r="AF370" s="146">
        <f t="shared" si="41"/>
        <v>8.9727657266449332E-5</v>
      </c>
    </row>
    <row r="371" spans="9:32" x14ac:dyDescent="0.25">
      <c r="I371" s="49"/>
      <c r="J371" s="49"/>
      <c r="K371" s="49"/>
      <c r="M371" s="34"/>
      <c r="R371" s="61">
        <v>947.21026883394256</v>
      </c>
      <c r="S371" s="58">
        <v>8.9624929194833276E-7</v>
      </c>
      <c r="V371" s="174"/>
      <c r="W371" s="174"/>
      <c r="X371" s="174"/>
      <c r="Y371" s="187"/>
      <c r="AA371" s="78"/>
      <c r="AC371" s="82"/>
      <c r="AE371" s="146">
        <f t="shared" si="40"/>
        <v>81.73602688339426</v>
      </c>
      <c r="AF371" s="146">
        <f t="shared" si="41"/>
        <v>8.9624929194833281E-5</v>
      </c>
    </row>
    <row r="372" spans="9:32" x14ac:dyDescent="0.25">
      <c r="I372" s="49"/>
      <c r="J372" s="49"/>
      <c r="K372" s="49"/>
      <c r="M372" s="37"/>
      <c r="R372" s="61">
        <v>950.04689664275429</v>
      </c>
      <c r="S372" s="58">
        <v>8.9624929194833276E-7</v>
      </c>
      <c r="V372" s="174"/>
      <c r="W372" s="174"/>
      <c r="X372" s="174"/>
      <c r="Y372" s="187"/>
      <c r="AA372" s="78"/>
      <c r="AC372" s="84"/>
      <c r="AE372" s="146">
        <f t="shared" si="40"/>
        <v>82.019689664275433</v>
      </c>
      <c r="AF372" s="146">
        <f t="shared" si="41"/>
        <v>8.9624929194833281E-5</v>
      </c>
    </row>
    <row r="373" spans="9:32" x14ac:dyDescent="0.25">
      <c r="I373" s="49"/>
      <c r="J373" s="49"/>
      <c r="K373" s="49"/>
      <c r="M373" s="37"/>
      <c r="R373" s="61">
        <v>950.04689664275429</v>
      </c>
      <c r="S373" s="58">
        <v>8.8702562603549273E-7</v>
      </c>
      <c r="V373" s="174"/>
      <c r="W373" s="174"/>
      <c r="X373" s="174"/>
      <c r="Y373" s="187"/>
      <c r="AA373" s="78"/>
      <c r="AC373" s="84"/>
      <c r="AE373" s="146">
        <f t="shared" si="40"/>
        <v>82.019689664275433</v>
      </c>
      <c r="AF373" s="146">
        <f t="shared" si="41"/>
        <v>8.870256260354927E-5</v>
      </c>
    </row>
    <row r="374" spans="9:32" x14ac:dyDescent="0.25">
      <c r="I374" s="49"/>
      <c r="J374" s="49"/>
      <c r="K374" s="49"/>
      <c r="M374" s="34"/>
      <c r="R374" s="61">
        <v>963.37162557600641</v>
      </c>
      <c r="S374" s="58">
        <v>8.8702562603549273E-7</v>
      </c>
      <c r="V374" s="174"/>
      <c r="W374" s="174"/>
      <c r="X374" s="174"/>
      <c r="Y374" s="187"/>
      <c r="AA374" s="78"/>
      <c r="AC374" s="82"/>
      <c r="AE374" s="146">
        <f t="shared" si="40"/>
        <v>83.352162557600636</v>
      </c>
      <c r="AF374" s="146">
        <f t="shared" si="41"/>
        <v>8.870256260354927E-5</v>
      </c>
    </row>
    <row r="375" spans="9:32" x14ac:dyDescent="0.25">
      <c r="I375" s="49"/>
      <c r="J375" s="49"/>
      <c r="K375" s="49"/>
      <c r="M375" s="37"/>
      <c r="R375" s="61">
        <v>963.37162557600641</v>
      </c>
      <c r="S375" s="58">
        <v>8.5121650947424238E-7</v>
      </c>
      <c r="V375" s="174"/>
      <c r="W375" s="174"/>
      <c r="X375" s="174"/>
      <c r="Y375" s="187"/>
      <c r="AA375" s="78"/>
      <c r="AC375" s="84"/>
      <c r="AE375" s="146">
        <f t="shared" si="40"/>
        <v>83.352162557600636</v>
      </c>
      <c r="AF375" s="146">
        <f t="shared" si="41"/>
        <v>8.5121650947424232E-5</v>
      </c>
    </row>
    <row r="376" spans="9:32" x14ac:dyDescent="0.25">
      <c r="I376" s="49"/>
      <c r="J376" s="49"/>
      <c r="K376" s="49"/>
      <c r="M376" s="33"/>
      <c r="R376" s="61">
        <v>973.29377249022525</v>
      </c>
      <c r="S376" s="58">
        <v>8.5121650947424238E-7</v>
      </c>
      <c r="V376" s="174"/>
      <c r="W376" s="174"/>
      <c r="X376" s="174"/>
      <c r="Y376" s="187"/>
      <c r="AA376" s="78"/>
      <c r="AC376" s="79"/>
      <c r="AE376" s="146">
        <f t="shared" si="40"/>
        <v>84.344377249022529</v>
      </c>
      <c r="AF376" s="146">
        <f t="shared" si="41"/>
        <v>8.5121650947424232E-5</v>
      </c>
    </row>
    <row r="377" spans="9:32" x14ac:dyDescent="0.25">
      <c r="I377" s="49"/>
      <c r="J377" s="49"/>
      <c r="K377" s="49"/>
      <c r="M377" s="37"/>
      <c r="R377" s="61">
        <v>973.29377249022525</v>
      </c>
      <c r="S377" s="58">
        <v>8.0632478359478973E-7</v>
      </c>
      <c r="V377" s="174"/>
      <c r="W377" s="174"/>
      <c r="X377" s="174"/>
      <c r="Y377" s="187"/>
      <c r="AA377" s="78"/>
      <c r="AC377" s="84"/>
      <c r="AE377" s="146">
        <f t="shared" si="40"/>
        <v>84.344377249022529</v>
      </c>
      <c r="AF377" s="146">
        <f t="shared" si="41"/>
        <v>8.0632478359478978E-5</v>
      </c>
    </row>
    <row r="378" spans="9:32" x14ac:dyDescent="0.25">
      <c r="I378" s="49"/>
      <c r="J378" s="49"/>
      <c r="K378" s="49"/>
      <c r="M378" s="34"/>
      <c r="R378" s="61">
        <v>978.81523804865105</v>
      </c>
      <c r="S378" s="58">
        <v>8.0632478359478973E-7</v>
      </c>
      <c r="V378" s="174"/>
      <c r="W378" s="174"/>
      <c r="X378" s="174"/>
      <c r="Y378" s="187"/>
      <c r="AA378" s="78"/>
      <c r="AC378" s="82"/>
      <c r="AE378" s="146">
        <f t="shared" si="40"/>
        <v>84.896523804865097</v>
      </c>
      <c r="AF378" s="146">
        <f t="shared" si="41"/>
        <v>8.0632478359478978E-5</v>
      </c>
    </row>
    <row r="379" spans="9:32" x14ac:dyDescent="0.25">
      <c r="I379" s="49"/>
      <c r="J379" s="49"/>
      <c r="K379" s="49"/>
      <c r="M379" s="34"/>
      <c r="R379" s="61">
        <v>978.81523804865105</v>
      </c>
      <c r="S379" s="58">
        <v>7.6002041850060778E-7</v>
      </c>
      <c r="V379" s="174"/>
      <c r="W379" s="174"/>
      <c r="X379" s="174"/>
      <c r="Y379" s="187"/>
      <c r="AA379" s="78"/>
      <c r="AC379" s="82"/>
      <c r="AE379" s="146">
        <f t="shared" si="40"/>
        <v>84.896523804865097</v>
      </c>
      <c r="AF379" s="146">
        <f t="shared" si="41"/>
        <v>7.6002041850060779E-5</v>
      </c>
    </row>
    <row r="380" spans="9:32" x14ac:dyDescent="0.25">
      <c r="I380" s="49"/>
      <c r="J380" s="49"/>
      <c r="K380" s="49"/>
      <c r="M380" s="37"/>
      <c r="R380" s="61">
        <v>982.86064386711212</v>
      </c>
      <c r="S380" s="58">
        <v>7.6002041850060778E-7</v>
      </c>
      <c r="V380" s="174"/>
      <c r="W380" s="174"/>
      <c r="X380" s="174"/>
      <c r="Y380" s="187"/>
      <c r="AA380" s="78"/>
      <c r="AC380" s="84"/>
      <c r="AE380" s="146">
        <f t="shared" si="40"/>
        <v>85.301064386711204</v>
      </c>
      <c r="AF380" s="146">
        <f t="shared" si="41"/>
        <v>7.6002041850060779E-5</v>
      </c>
    </row>
    <row r="381" spans="9:32" x14ac:dyDescent="0.25">
      <c r="I381" s="49"/>
      <c r="J381" s="49"/>
      <c r="K381" s="49"/>
      <c r="M381" s="33"/>
      <c r="R381" s="61">
        <v>982.86064386711212</v>
      </c>
      <c r="S381" s="58">
        <v>7.1300784829140674E-7</v>
      </c>
      <c r="V381" s="174"/>
      <c r="W381" s="174"/>
      <c r="X381" s="174"/>
      <c r="Y381" s="187"/>
      <c r="AA381" s="78"/>
      <c r="AC381" s="79"/>
      <c r="AE381" s="146">
        <f t="shared" si="40"/>
        <v>85.301064386711204</v>
      </c>
      <c r="AF381" s="146">
        <f t="shared" si="41"/>
        <v>7.1300784829140667E-5</v>
      </c>
    </row>
    <row r="382" spans="9:32" x14ac:dyDescent="0.25">
      <c r="I382" s="49"/>
      <c r="J382" s="49"/>
      <c r="K382" s="49"/>
      <c r="M382" s="34"/>
      <c r="R382" s="61">
        <v>986.15273974107367</v>
      </c>
      <c r="S382" s="58">
        <v>7.1300784829140674E-7</v>
      </c>
      <c r="V382" s="174"/>
      <c r="W382" s="174"/>
      <c r="X382" s="174"/>
      <c r="Y382" s="187"/>
      <c r="AA382" s="78"/>
      <c r="AC382" s="82"/>
      <c r="AE382" s="146">
        <f t="shared" si="40"/>
        <v>85.630273974107368</v>
      </c>
      <c r="AF382" s="146">
        <f t="shared" si="41"/>
        <v>7.1300784829140667E-5</v>
      </c>
    </row>
    <row r="383" spans="9:32" x14ac:dyDescent="0.25">
      <c r="I383" s="49"/>
      <c r="J383" s="49"/>
      <c r="K383" s="49"/>
      <c r="M383" s="37"/>
      <c r="R383" s="61">
        <v>986.15273974107367</v>
      </c>
      <c r="S383" s="58">
        <v>6.6584659899769056E-7</v>
      </c>
      <c r="V383" s="174"/>
      <c r="W383" s="174"/>
      <c r="X383" s="174"/>
      <c r="Y383" s="187"/>
      <c r="AA383" s="78"/>
      <c r="AC383" s="84"/>
      <c r="AE383" s="146">
        <f t="shared" si="40"/>
        <v>85.630273974107368</v>
      </c>
      <c r="AF383" s="146">
        <f t="shared" si="41"/>
        <v>6.658465989976905E-5</v>
      </c>
    </row>
    <row r="384" spans="9:32" x14ac:dyDescent="0.25">
      <c r="I384" s="49"/>
      <c r="J384" s="49"/>
      <c r="K384" s="49"/>
      <c r="M384" s="34"/>
      <c r="R384" s="61">
        <v>988.9954828054199</v>
      </c>
      <c r="S384" s="58">
        <v>6.6584659899769056E-7</v>
      </c>
      <c r="V384" s="174"/>
      <c r="W384" s="174"/>
      <c r="X384" s="174"/>
      <c r="Y384" s="187"/>
      <c r="AA384" s="78"/>
      <c r="AC384" s="82"/>
      <c r="AE384" s="146">
        <f t="shared" si="40"/>
        <v>85.914548280541993</v>
      </c>
      <c r="AF384" s="146">
        <f t="shared" si="41"/>
        <v>6.658465989976905E-5</v>
      </c>
    </row>
    <row r="385" spans="9:33" x14ac:dyDescent="0.25">
      <c r="I385" s="49"/>
      <c r="J385" s="49"/>
      <c r="K385" s="49"/>
      <c r="M385" s="37"/>
      <c r="R385" s="61">
        <v>988.9954828054199</v>
      </c>
      <c r="S385" s="58">
        <v>6.188128093680446E-7</v>
      </c>
      <c r="V385" s="174"/>
      <c r="W385" s="174"/>
      <c r="X385" s="174"/>
      <c r="Y385" s="187"/>
      <c r="AA385" s="78"/>
      <c r="AC385" s="84"/>
      <c r="AE385" s="146">
        <f t="shared" si="40"/>
        <v>85.914548280541993</v>
      </c>
      <c r="AF385" s="146">
        <f t="shared" si="41"/>
        <v>6.1881280936804459E-5</v>
      </c>
    </row>
    <row r="386" spans="9:33" x14ac:dyDescent="0.25">
      <c r="I386" s="49"/>
      <c r="J386" s="49"/>
      <c r="K386" s="49"/>
      <c r="M386" s="37"/>
      <c r="R386" s="61">
        <v>991.5492411454436</v>
      </c>
      <c r="S386" s="58">
        <v>6.188128093680446E-7</v>
      </c>
      <c r="V386" s="174"/>
      <c r="W386" s="174"/>
      <c r="X386" s="174"/>
      <c r="Y386" s="187"/>
      <c r="AA386" s="78"/>
      <c r="AC386" s="84"/>
      <c r="AE386" s="146">
        <f t="shared" si="40"/>
        <v>86.169924114544358</v>
      </c>
      <c r="AF386" s="146">
        <f t="shared" si="41"/>
        <v>6.1881280936804459E-5</v>
      </c>
    </row>
    <row r="387" spans="9:33" x14ac:dyDescent="0.25">
      <c r="I387" s="49"/>
      <c r="J387" s="49"/>
      <c r="K387" s="49"/>
      <c r="M387" s="33"/>
      <c r="R387" s="61">
        <v>991.5492411454436</v>
      </c>
      <c r="S387" s="58">
        <v>5.7202516367753413E-7</v>
      </c>
      <c r="V387" s="174"/>
      <c r="W387" s="174"/>
      <c r="X387" s="174"/>
      <c r="Y387" s="187"/>
      <c r="AA387" s="78"/>
      <c r="AC387" s="79"/>
      <c r="AE387" s="146">
        <f t="shared" ref="AE387:AE450" si="42">(R387-129.85)/10</f>
        <v>86.169924114544358</v>
      </c>
      <c r="AF387" s="146">
        <f t="shared" ref="AF387:AF450" si="43">S387*100</f>
        <v>5.7202516367753412E-5</v>
      </c>
    </row>
    <row r="388" spans="9:33" x14ac:dyDescent="0.25">
      <c r="I388" s="49"/>
      <c r="J388" s="49"/>
      <c r="K388" s="49"/>
      <c r="M388" s="34"/>
      <c r="R388" s="61">
        <v>993.91146856770013</v>
      </c>
      <c r="S388" s="58">
        <v>5.7202516367753413E-7</v>
      </c>
      <c r="V388" s="174"/>
      <c r="W388" s="174"/>
      <c r="X388" s="174"/>
      <c r="Y388" s="187"/>
      <c r="AA388" s="78"/>
      <c r="AC388" s="82"/>
      <c r="AE388" s="146">
        <f t="shared" si="42"/>
        <v>86.406146856770008</v>
      </c>
      <c r="AF388" s="146">
        <f t="shared" si="43"/>
        <v>5.7202516367753412E-5</v>
      </c>
    </row>
    <row r="389" spans="9:33" x14ac:dyDescent="0.25">
      <c r="I389" s="49"/>
      <c r="J389" s="49"/>
      <c r="K389" s="49"/>
      <c r="M389" s="37"/>
      <c r="R389" s="61">
        <v>993.91146856770013</v>
      </c>
      <c r="S389" s="58">
        <v>5.2551776261256167E-7</v>
      </c>
      <c r="V389" s="174"/>
      <c r="W389" s="174"/>
      <c r="X389" s="174"/>
      <c r="Y389" s="187"/>
      <c r="AA389" s="78"/>
      <c r="AC389" s="84"/>
      <c r="AE389" s="146">
        <f t="shared" si="42"/>
        <v>86.406146856770008</v>
      </c>
      <c r="AF389" s="146">
        <f t="shared" si="43"/>
        <v>5.2551776261256167E-5</v>
      </c>
    </row>
    <row r="390" spans="9:33" x14ac:dyDescent="0.25">
      <c r="I390" s="49"/>
      <c r="J390" s="49"/>
      <c r="K390" s="49"/>
      <c r="M390" s="37"/>
      <c r="R390" s="61">
        <v>996.14811674635382</v>
      </c>
      <c r="S390" s="58">
        <v>5.2551776261256167E-7</v>
      </c>
      <c r="V390" s="174"/>
      <c r="W390" s="174"/>
      <c r="X390" s="174"/>
      <c r="Y390" s="187"/>
      <c r="AA390" s="78"/>
      <c r="AC390" s="84"/>
      <c r="AE390" s="146">
        <f t="shared" si="42"/>
        <v>86.629811674635377</v>
      </c>
      <c r="AF390" s="146">
        <f t="shared" si="43"/>
        <v>5.2551776261256167E-5</v>
      </c>
    </row>
    <row r="391" spans="9:33" x14ac:dyDescent="0.25">
      <c r="I391" s="49"/>
      <c r="J391" s="49"/>
      <c r="K391" s="49"/>
      <c r="M391" s="34"/>
      <c r="R391" s="61">
        <v>996.14811674635382</v>
      </c>
      <c r="S391" s="58">
        <v>4.7927884110001957E-7</v>
      </c>
      <c r="V391" s="174"/>
      <c r="W391" s="174"/>
      <c r="X391" s="174"/>
      <c r="Y391" s="187"/>
      <c r="AA391" s="78"/>
      <c r="AC391" s="82"/>
      <c r="AE391" s="146">
        <f t="shared" si="42"/>
        <v>86.629811674635377</v>
      </c>
      <c r="AF391" s="146">
        <f t="shared" si="43"/>
        <v>4.7927884110001955E-5</v>
      </c>
    </row>
    <row r="392" spans="9:33" x14ac:dyDescent="0.25">
      <c r="I392" s="49"/>
      <c r="J392" s="49"/>
      <c r="K392" s="49"/>
      <c r="M392" s="37"/>
      <c r="R392" s="61">
        <v>998.30829144106872</v>
      </c>
      <c r="S392" s="58">
        <v>4.7927884110001957E-7</v>
      </c>
      <c r="V392" s="174"/>
      <c r="W392" s="174"/>
      <c r="X392" s="174"/>
      <c r="Y392" s="187"/>
      <c r="AA392" s="78"/>
      <c r="AC392" s="84"/>
      <c r="AE392" s="146">
        <f t="shared" si="42"/>
        <v>86.845829144106872</v>
      </c>
      <c r="AF392" s="146">
        <f t="shared" si="43"/>
        <v>4.7927884110001955E-5</v>
      </c>
    </row>
    <row r="393" spans="9:33" x14ac:dyDescent="0.25">
      <c r="I393" s="49"/>
      <c r="J393" s="49"/>
      <c r="K393" s="49"/>
      <c r="M393" s="37"/>
      <c r="R393" s="61">
        <v>998.30829144106872</v>
      </c>
      <c r="S393" s="58">
        <v>4.3327188491459909E-7</v>
      </c>
      <c r="V393" s="174"/>
      <c r="W393" s="174"/>
      <c r="X393" s="174"/>
      <c r="Y393" s="187"/>
      <c r="AA393" s="78"/>
      <c r="AC393" s="84"/>
      <c r="AE393" s="146">
        <f t="shared" si="42"/>
        <v>86.845829144106872</v>
      </c>
      <c r="AF393" s="146">
        <f t="shared" si="43"/>
        <v>4.3327188491459908E-5</v>
      </c>
    </row>
    <row r="394" spans="9:33" x14ac:dyDescent="0.25">
      <c r="I394" s="49"/>
      <c r="J394" s="49"/>
      <c r="K394" s="49"/>
      <c r="M394" s="34"/>
      <c r="R394" s="61">
        <v>1000.432178859562</v>
      </c>
      <c r="S394" s="58">
        <v>4.3327188491459909E-7</v>
      </c>
      <c r="V394" s="174"/>
      <c r="W394" s="174"/>
      <c r="X394" s="174"/>
      <c r="Y394" s="187"/>
      <c r="AA394" s="78"/>
      <c r="AC394" s="82"/>
      <c r="AE394" s="146">
        <f t="shared" si="42"/>
        <v>87.058217885956196</v>
      </c>
      <c r="AF394" s="146">
        <f t="shared" si="43"/>
        <v>4.3327188491459908E-5</v>
      </c>
    </row>
    <row r="395" spans="9:33" x14ac:dyDescent="0.25">
      <c r="I395" s="49"/>
      <c r="J395" s="49"/>
      <c r="K395" s="49"/>
      <c r="M395" s="33"/>
      <c r="R395" s="61">
        <v>1000.432178859562</v>
      </c>
      <c r="S395" s="58">
        <v>4.1543818365137511E-7</v>
      </c>
      <c r="V395" s="174"/>
      <c r="W395" s="174"/>
      <c r="X395" s="174"/>
      <c r="Y395" s="187"/>
      <c r="AA395" s="78"/>
      <c r="AC395" s="79"/>
      <c r="AE395" s="146">
        <f t="shared" si="42"/>
        <v>87.058217885956196</v>
      </c>
      <c r="AF395" s="146">
        <f t="shared" si="43"/>
        <v>4.1543818365137509E-5</v>
      </c>
    </row>
    <row r="396" spans="9:33" x14ac:dyDescent="0.25">
      <c r="I396" s="49"/>
      <c r="J396" s="49"/>
      <c r="K396" s="49"/>
      <c r="M396" s="37"/>
      <c r="R396" s="61">
        <v>1002.5737340339181</v>
      </c>
      <c r="S396" s="58">
        <v>4.1543818365137511E-7</v>
      </c>
      <c r="V396" s="174"/>
      <c r="W396" s="174"/>
      <c r="X396" s="174"/>
      <c r="Y396" s="187"/>
      <c r="AA396" s="78"/>
      <c r="AC396" s="84"/>
      <c r="AE396" s="146">
        <f t="shared" si="42"/>
        <v>87.272373403391811</v>
      </c>
      <c r="AF396" s="146">
        <f t="shared" si="43"/>
        <v>4.1543818365137509E-5</v>
      </c>
    </row>
    <row r="397" spans="9:33" x14ac:dyDescent="0.25">
      <c r="I397" s="49"/>
      <c r="J397" s="49"/>
      <c r="K397" s="49"/>
      <c r="M397" s="37"/>
      <c r="R397" s="61">
        <v>1002.5737340339181</v>
      </c>
      <c r="S397" s="58">
        <v>3.4490978751301663E-7</v>
      </c>
      <c r="V397" s="174"/>
      <c r="W397" s="174"/>
      <c r="X397" s="174"/>
      <c r="Y397" s="187"/>
      <c r="AA397" s="78"/>
      <c r="AC397" s="84"/>
      <c r="AE397" s="146">
        <f t="shared" si="42"/>
        <v>87.272373403391811</v>
      </c>
      <c r="AF397" s="146">
        <f t="shared" si="43"/>
        <v>3.4490978751301662E-5</v>
      </c>
    </row>
    <row r="398" spans="9:33" x14ac:dyDescent="0.25">
      <c r="I398" s="49"/>
      <c r="J398" s="49"/>
      <c r="K398" s="49"/>
      <c r="M398" s="34"/>
      <c r="R398" s="61">
        <v>1006.8568443826304</v>
      </c>
      <c r="S398" s="58">
        <v>3.4490978751301663E-7</v>
      </c>
      <c r="V398" s="174"/>
      <c r="W398" s="174"/>
      <c r="X398" s="174"/>
      <c r="Y398" s="187"/>
      <c r="AA398" s="78"/>
      <c r="AC398" s="82"/>
      <c r="AE398" s="146">
        <f t="shared" si="42"/>
        <v>87.700684438263039</v>
      </c>
      <c r="AF398" s="146">
        <f t="shared" si="43"/>
        <v>3.4490978751301662E-5</v>
      </c>
      <c r="AG398" s="81"/>
    </row>
    <row r="399" spans="9:33" x14ac:dyDescent="0.25">
      <c r="I399" s="49"/>
      <c r="J399" s="49"/>
      <c r="K399" s="49"/>
      <c r="M399" s="37"/>
      <c r="R399" s="61">
        <v>1006.8568443826304</v>
      </c>
      <c r="S399" s="58">
        <v>2.5583313249973744E-7</v>
      </c>
      <c r="V399" s="174"/>
      <c r="W399" s="174"/>
      <c r="X399" s="174"/>
      <c r="Y399" s="187"/>
      <c r="AA399" s="78"/>
      <c r="AC399" s="84"/>
      <c r="AE399" s="146">
        <f t="shared" si="42"/>
        <v>87.700684438263039</v>
      </c>
      <c r="AF399" s="146">
        <f t="shared" si="43"/>
        <v>2.5583313249973743E-5</v>
      </c>
      <c r="AG399" s="81"/>
    </row>
    <row r="400" spans="9:33" x14ac:dyDescent="0.25">
      <c r="I400" s="49"/>
      <c r="J400" s="49"/>
      <c r="K400" s="49"/>
      <c r="M400" s="37"/>
      <c r="R400" s="61">
        <v>1011.1399547313426</v>
      </c>
      <c r="S400" s="58">
        <v>2.5583313249973744E-7</v>
      </c>
      <c r="V400" s="174"/>
      <c r="W400" s="174"/>
      <c r="X400" s="174"/>
      <c r="Y400" s="187"/>
      <c r="AA400" s="78"/>
      <c r="AC400" s="84"/>
      <c r="AE400" s="146">
        <f t="shared" si="42"/>
        <v>88.128995473134268</v>
      </c>
      <c r="AF400" s="146">
        <f t="shared" si="43"/>
        <v>2.5583313249973743E-5</v>
      </c>
      <c r="AG400" s="81"/>
    </row>
    <row r="401" spans="9:33" x14ac:dyDescent="0.25">
      <c r="I401" s="49"/>
      <c r="J401" s="49"/>
      <c r="K401" s="49"/>
      <c r="M401" s="34"/>
      <c r="R401" s="61">
        <v>1011.1399547313426</v>
      </c>
      <c r="S401" s="58">
        <v>1.7660976458917387E-7</v>
      </c>
      <c r="V401" s="174"/>
      <c r="W401" s="174"/>
      <c r="X401" s="174"/>
      <c r="Y401" s="187"/>
      <c r="AA401" s="78"/>
      <c r="AC401" s="82"/>
      <c r="AE401" s="146">
        <f t="shared" si="42"/>
        <v>88.128995473134268</v>
      </c>
      <c r="AF401" s="146">
        <f t="shared" si="43"/>
        <v>1.7660976458917386E-5</v>
      </c>
      <c r="AG401" s="81"/>
    </row>
    <row r="402" spans="9:33" x14ac:dyDescent="0.25">
      <c r="I402" s="49"/>
      <c r="J402" s="49"/>
      <c r="K402" s="49"/>
      <c r="M402" s="33"/>
      <c r="R402" s="61">
        <v>1015.4230650800549</v>
      </c>
      <c r="S402" s="58">
        <v>1.7660976458917387E-7</v>
      </c>
      <c r="V402" s="174"/>
      <c r="W402" s="174"/>
      <c r="X402" s="174"/>
      <c r="Y402" s="187"/>
      <c r="AA402" s="78"/>
      <c r="AC402" s="79"/>
      <c r="AE402" s="146">
        <f t="shared" si="42"/>
        <v>88.557306508005496</v>
      </c>
      <c r="AF402" s="146">
        <f t="shared" si="43"/>
        <v>1.7660976458917386E-5</v>
      </c>
      <c r="AG402" s="81"/>
    </row>
    <row r="403" spans="9:33" x14ac:dyDescent="0.25">
      <c r="I403" s="49"/>
      <c r="J403" s="49"/>
      <c r="K403" s="49"/>
      <c r="M403" s="37"/>
      <c r="R403" s="61">
        <v>1015.4230650800549</v>
      </c>
      <c r="S403" s="58">
        <v>1.1002204447063112E-7</v>
      </c>
      <c r="V403" s="174"/>
      <c r="W403" s="174"/>
      <c r="X403" s="174"/>
      <c r="Y403" s="187"/>
      <c r="AA403" s="78"/>
      <c r="AC403" s="84"/>
      <c r="AE403" s="146">
        <f t="shared" si="42"/>
        <v>88.557306508005496</v>
      </c>
      <c r="AF403" s="146">
        <f t="shared" si="43"/>
        <v>1.1002204447063112E-5</v>
      </c>
      <c r="AG403" s="81"/>
    </row>
    <row r="404" spans="9:33" x14ac:dyDescent="0.25">
      <c r="I404" s="49"/>
      <c r="J404" s="49"/>
      <c r="K404" s="49"/>
      <c r="M404" s="37"/>
      <c r="R404" s="61">
        <v>1019.7061754287672</v>
      </c>
      <c r="S404" s="58">
        <v>1.1002204447063112E-7</v>
      </c>
      <c r="V404" s="174"/>
      <c r="W404" s="174"/>
      <c r="X404" s="174"/>
      <c r="Y404" s="187"/>
      <c r="AA404" s="78"/>
      <c r="AC404" s="84"/>
      <c r="AE404" s="146">
        <f t="shared" si="42"/>
        <v>88.985617542876724</v>
      </c>
      <c r="AF404" s="146">
        <f t="shared" si="43"/>
        <v>1.1002204447063112E-5</v>
      </c>
      <c r="AG404" s="81"/>
    </row>
    <row r="405" spans="9:33" x14ac:dyDescent="0.25">
      <c r="I405" s="49"/>
      <c r="J405" s="49"/>
      <c r="K405" s="49"/>
      <c r="M405" s="34"/>
      <c r="R405" s="61">
        <v>1019.7061754287672</v>
      </c>
      <c r="S405" s="58">
        <v>5.6768490107717471E-8</v>
      </c>
      <c r="V405" s="174"/>
      <c r="W405" s="174"/>
      <c r="X405" s="174"/>
      <c r="Y405" s="187"/>
      <c r="AA405" s="78"/>
      <c r="AC405" s="82"/>
      <c r="AE405" s="146">
        <f t="shared" si="42"/>
        <v>88.985617542876724</v>
      </c>
      <c r="AF405" s="146">
        <f t="shared" si="43"/>
        <v>5.6768490107717471E-6</v>
      </c>
      <c r="AG405" s="81"/>
    </row>
    <row r="406" spans="9:33" x14ac:dyDescent="0.25">
      <c r="I406" s="49"/>
      <c r="J406" s="49"/>
      <c r="K406" s="49"/>
      <c r="M406" s="37"/>
      <c r="R406" s="61">
        <v>1023.9892857774795</v>
      </c>
      <c r="S406" s="58">
        <v>5.6768490107717471E-8</v>
      </c>
      <c r="V406" s="174"/>
      <c r="W406" s="174"/>
      <c r="X406" s="174"/>
      <c r="Y406" s="187"/>
      <c r="AA406" s="78"/>
      <c r="AC406" s="84"/>
      <c r="AE406" s="146">
        <f t="shared" si="42"/>
        <v>89.413928577747953</v>
      </c>
      <c r="AF406" s="146">
        <f t="shared" si="43"/>
        <v>5.6768490107717471E-6</v>
      </c>
      <c r="AG406" s="81"/>
    </row>
    <row r="407" spans="9:33" x14ac:dyDescent="0.25">
      <c r="I407" s="49"/>
      <c r="J407" s="49"/>
      <c r="K407" s="49"/>
      <c r="M407" s="34"/>
      <c r="R407" s="61">
        <v>1023.9892857774795</v>
      </c>
      <c r="S407" s="58">
        <v>1.5772486455361796E-8</v>
      </c>
      <c r="V407" s="174"/>
      <c r="W407" s="174"/>
      <c r="X407" s="174"/>
      <c r="Y407" s="187"/>
      <c r="AA407" s="78"/>
      <c r="AC407" s="82"/>
      <c r="AE407" s="146">
        <f t="shared" si="42"/>
        <v>89.413928577747953</v>
      </c>
      <c r="AF407" s="146">
        <f t="shared" si="43"/>
        <v>1.5772486455361796E-6</v>
      </c>
      <c r="AG407" s="81"/>
    </row>
    <row r="408" spans="9:33" x14ac:dyDescent="0.25">
      <c r="I408" s="49"/>
      <c r="J408" s="49"/>
      <c r="K408" s="49"/>
      <c r="M408" s="37"/>
      <c r="R408" s="61">
        <v>1028.2723961261918</v>
      </c>
      <c r="S408" s="58">
        <v>1.5772486455361796E-8</v>
      </c>
      <c r="V408" s="174"/>
      <c r="W408" s="174"/>
      <c r="X408" s="174"/>
      <c r="Y408" s="187"/>
      <c r="AA408" s="78"/>
      <c r="AC408" s="84"/>
      <c r="AE408" s="146">
        <f t="shared" si="42"/>
        <v>89.842239612619181</v>
      </c>
      <c r="AF408" s="146">
        <f t="shared" si="43"/>
        <v>1.5772486455361796E-6</v>
      </c>
      <c r="AG408" s="81"/>
    </row>
    <row r="409" spans="9:33" x14ac:dyDescent="0.25">
      <c r="I409" s="49"/>
      <c r="J409" s="49"/>
      <c r="K409" s="49"/>
      <c r="M409" s="33"/>
      <c r="R409" s="61">
        <v>1028.2723961261918</v>
      </c>
      <c r="S409" s="58">
        <v>-1.5179053201748438E-8</v>
      </c>
      <c r="V409" s="174"/>
      <c r="W409" s="174"/>
      <c r="X409" s="174"/>
      <c r="Y409" s="187"/>
      <c r="AA409" s="78"/>
      <c r="AC409" s="79"/>
      <c r="AE409" s="146">
        <f t="shared" si="42"/>
        <v>89.842239612619181</v>
      </c>
      <c r="AF409" s="146">
        <f t="shared" si="43"/>
        <v>-1.5179053201748438E-6</v>
      </c>
      <c r="AG409" s="81"/>
    </row>
    <row r="410" spans="9:33" x14ac:dyDescent="0.25">
      <c r="I410" s="49"/>
      <c r="J410" s="49"/>
      <c r="K410" s="49"/>
      <c r="M410" s="37"/>
      <c r="R410" s="61">
        <v>1032.555506474904</v>
      </c>
      <c r="S410" s="58">
        <v>-1.5179053201748438E-8</v>
      </c>
      <c r="V410" s="174"/>
      <c r="W410" s="174"/>
      <c r="X410" s="174"/>
      <c r="Y410" s="187"/>
      <c r="AA410" s="78"/>
      <c r="AC410" s="84"/>
      <c r="AE410" s="146">
        <f t="shared" si="42"/>
        <v>90.270550647490396</v>
      </c>
      <c r="AF410" s="146">
        <f t="shared" si="43"/>
        <v>-1.5179053201748438E-6</v>
      </c>
      <c r="AG410" s="81"/>
    </row>
    <row r="411" spans="9:33" x14ac:dyDescent="0.25">
      <c r="I411" s="49"/>
      <c r="J411" s="49"/>
      <c r="K411" s="49"/>
      <c r="M411" s="34"/>
      <c r="R411" s="61">
        <v>1032.555506474904</v>
      </c>
      <c r="S411" s="58">
        <v>-3.8726759546349723E-8</v>
      </c>
      <c r="V411" s="174"/>
      <c r="W411" s="174"/>
      <c r="X411" s="174"/>
      <c r="Y411" s="187"/>
      <c r="AA411" s="78"/>
      <c r="AC411" s="82"/>
      <c r="AE411" s="146">
        <f t="shared" si="42"/>
        <v>90.270550647490396</v>
      </c>
      <c r="AF411" s="146">
        <f t="shared" si="43"/>
        <v>-3.8726759546349723E-6</v>
      </c>
      <c r="AG411" s="81"/>
    </row>
    <row r="412" spans="9:33" x14ac:dyDescent="0.25">
      <c r="I412" s="49"/>
      <c r="J412" s="49"/>
      <c r="K412" s="49"/>
      <c r="M412" s="37"/>
      <c r="R412" s="61">
        <v>1036.8386168236161</v>
      </c>
      <c r="S412" s="58">
        <v>-3.8726759546349723E-8</v>
      </c>
      <c r="V412" s="174"/>
      <c r="W412" s="174"/>
      <c r="X412" s="174"/>
      <c r="Y412" s="187"/>
      <c r="AA412" s="78"/>
      <c r="AC412" s="84"/>
      <c r="AE412" s="146">
        <f t="shared" si="42"/>
        <v>90.69886168236161</v>
      </c>
      <c r="AF412" s="146">
        <f t="shared" si="43"/>
        <v>-3.8726759546349723E-6</v>
      </c>
      <c r="AG412" s="81"/>
    </row>
    <row r="413" spans="9:33" x14ac:dyDescent="0.25">
      <c r="I413" s="49"/>
      <c r="J413" s="49"/>
      <c r="K413" s="49"/>
      <c r="M413" s="37"/>
      <c r="R413" s="61">
        <v>1036.8386168236161</v>
      </c>
      <c r="S413" s="58">
        <v>-5.7369621207926146E-8</v>
      </c>
      <c r="V413" s="174"/>
      <c r="W413" s="174"/>
      <c r="X413" s="174"/>
      <c r="Y413" s="187"/>
      <c r="AA413" s="78"/>
      <c r="AC413" s="84"/>
      <c r="AE413" s="146">
        <f t="shared" si="42"/>
        <v>90.69886168236161</v>
      </c>
      <c r="AF413" s="146">
        <f t="shared" si="43"/>
        <v>-5.7369621207926146E-6</v>
      </c>
      <c r="AG413" s="81"/>
    </row>
    <row r="414" spans="9:33" x14ac:dyDescent="0.25">
      <c r="I414" s="49"/>
      <c r="J414" s="49"/>
      <c r="K414" s="49"/>
      <c r="M414" s="34"/>
      <c r="R414" s="61">
        <v>1041.1217271723283</v>
      </c>
      <c r="S414" s="58">
        <v>-5.7369621207926146E-8</v>
      </c>
      <c r="V414" s="174"/>
      <c r="W414" s="174"/>
      <c r="X414" s="174"/>
      <c r="Y414" s="187"/>
      <c r="AA414" s="78"/>
      <c r="AC414" s="82"/>
      <c r="AE414" s="146">
        <f t="shared" si="42"/>
        <v>91.127172717232824</v>
      </c>
      <c r="AF414" s="146">
        <f t="shared" si="43"/>
        <v>-5.7369621207926146E-6</v>
      </c>
      <c r="AG414" s="81"/>
    </row>
    <row r="415" spans="9:33" x14ac:dyDescent="0.25">
      <c r="I415" s="49"/>
      <c r="J415" s="49"/>
      <c r="K415" s="49"/>
      <c r="M415" s="37"/>
      <c r="R415" s="61">
        <v>1041.1217271723283</v>
      </c>
      <c r="S415" s="58">
        <v>-7.313407143583595E-8</v>
      </c>
      <c r="V415" s="174"/>
      <c r="W415" s="174"/>
      <c r="X415" s="174"/>
      <c r="Y415" s="187"/>
      <c r="AA415" s="78"/>
      <c r="AC415" s="84"/>
      <c r="AE415" s="146">
        <f t="shared" si="42"/>
        <v>91.127172717232824</v>
      </c>
      <c r="AF415" s="146">
        <f t="shared" si="43"/>
        <v>-7.313407143583595E-6</v>
      </c>
      <c r="AG415" s="81"/>
    </row>
    <row r="416" spans="9:33" x14ac:dyDescent="0.25">
      <c r="I416" s="49"/>
      <c r="J416" s="49"/>
      <c r="K416" s="49"/>
      <c r="M416" s="33"/>
      <c r="R416" s="61">
        <v>1045.4048375210405</v>
      </c>
      <c r="S416" s="58">
        <v>-7.313407143583595E-8</v>
      </c>
      <c r="V416" s="174"/>
      <c r="W416" s="174"/>
      <c r="X416" s="174"/>
      <c r="Y416" s="187"/>
      <c r="AA416" s="78"/>
      <c r="AC416" s="79"/>
      <c r="AE416" s="146">
        <f t="shared" si="42"/>
        <v>91.555483752104038</v>
      </c>
      <c r="AF416" s="146">
        <f t="shared" si="43"/>
        <v>-7.313407143583595E-6</v>
      </c>
      <c r="AG416" s="81"/>
    </row>
    <row r="417" spans="9:33" x14ac:dyDescent="0.25">
      <c r="I417" s="49"/>
      <c r="J417" s="49"/>
      <c r="K417" s="49"/>
      <c r="M417" s="34"/>
      <c r="R417" s="61">
        <v>1045.4048375210405</v>
      </c>
      <c r="S417" s="58">
        <v>-8.7471715174881389E-8</v>
      </c>
      <c r="T417" s="81"/>
      <c r="V417" s="174"/>
      <c r="W417" s="174"/>
      <c r="X417" s="174"/>
      <c r="Y417" s="187"/>
      <c r="AA417" s="78"/>
      <c r="AC417" s="82"/>
      <c r="AE417" s="146">
        <f t="shared" si="42"/>
        <v>91.555483752104038</v>
      </c>
      <c r="AF417" s="146">
        <f t="shared" si="43"/>
        <v>-8.7471715174881389E-6</v>
      </c>
      <c r="AG417" s="81"/>
    </row>
    <row r="418" spans="9:33" x14ac:dyDescent="0.25">
      <c r="I418" s="49"/>
      <c r="J418" s="49"/>
      <c r="K418" s="49"/>
      <c r="M418" s="37"/>
      <c r="R418" s="61">
        <v>1049.6879478697526</v>
      </c>
      <c r="S418" s="58">
        <v>-8.7471715174881389E-8</v>
      </c>
      <c r="T418" s="81"/>
      <c r="V418" s="174"/>
      <c r="W418" s="174"/>
      <c r="X418" s="174"/>
      <c r="Y418" s="187"/>
      <c r="AA418" s="78"/>
      <c r="AC418" s="84"/>
      <c r="AE418" s="146">
        <f t="shared" si="42"/>
        <v>91.983794786975267</v>
      </c>
      <c r="AF418" s="146">
        <f t="shared" si="43"/>
        <v>-8.7471715174881389E-6</v>
      </c>
      <c r="AG418" s="81"/>
    </row>
    <row r="419" spans="9:33" x14ac:dyDescent="0.25">
      <c r="I419" s="49"/>
      <c r="J419" s="49"/>
      <c r="K419" s="49"/>
      <c r="M419" s="37"/>
      <c r="R419" s="61">
        <v>1049.6879478697526</v>
      </c>
      <c r="S419" s="58">
        <v>-1.0131284513106786E-7</v>
      </c>
      <c r="T419" s="81"/>
      <c r="V419" s="174"/>
      <c r="W419" s="174"/>
      <c r="X419" s="174"/>
      <c r="Y419" s="187"/>
      <c r="AA419" s="78"/>
      <c r="AC419" s="84"/>
      <c r="AE419" s="146">
        <f t="shared" si="42"/>
        <v>91.983794786975267</v>
      </c>
      <c r="AF419" s="146">
        <f t="shared" si="43"/>
        <v>-1.0131284513106786E-5</v>
      </c>
      <c r="AG419" s="81"/>
    </row>
    <row r="420" spans="9:33" x14ac:dyDescent="0.25">
      <c r="I420" s="49"/>
      <c r="J420" s="49"/>
      <c r="K420" s="49"/>
      <c r="M420" s="34"/>
      <c r="R420" s="61">
        <v>1053.9710582184648</v>
      </c>
      <c r="S420" s="58">
        <v>-1.0131284513106786E-7</v>
      </c>
      <c r="T420" s="81"/>
      <c r="V420" s="174"/>
      <c r="W420" s="174"/>
      <c r="X420" s="174"/>
      <c r="Y420" s="187"/>
      <c r="AA420" s="78"/>
      <c r="AC420" s="82"/>
      <c r="AE420" s="146">
        <f t="shared" si="42"/>
        <v>92.412105821846481</v>
      </c>
      <c r="AF420" s="146">
        <f t="shared" si="43"/>
        <v>-1.0131284513106786E-5</v>
      </c>
      <c r="AG420" s="81"/>
    </row>
    <row r="421" spans="9:33" x14ac:dyDescent="0.25">
      <c r="I421" s="49"/>
      <c r="J421" s="49"/>
      <c r="K421" s="49"/>
      <c r="M421" s="37"/>
      <c r="R421" s="61">
        <v>1053.9710582184648</v>
      </c>
      <c r="S421" s="58">
        <v>-1.1519084281312008E-7</v>
      </c>
      <c r="T421" s="81"/>
      <c r="V421" s="174"/>
      <c r="W421" s="174"/>
      <c r="X421" s="174"/>
      <c r="Y421" s="187"/>
      <c r="AA421" s="78"/>
      <c r="AC421" s="84"/>
      <c r="AE421" s="146">
        <f t="shared" si="42"/>
        <v>92.412105821846481</v>
      </c>
      <c r="AF421" s="146">
        <f t="shared" si="43"/>
        <v>-1.1519084281312008E-5</v>
      </c>
      <c r="AG421" s="81"/>
    </row>
    <row r="422" spans="9:33" x14ac:dyDescent="0.25">
      <c r="I422" s="49"/>
      <c r="J422" s="49"/>
      <c r="K422" s="49"/>
      <c r="M422" s="33"/>
      <c r="R422" s="61">
        <v>1058.254168567177</v>
      </c>
      <c r="S422" s="58">
        <v>-1.1519084281312008E-7</v>
      </c>
      <c r="T422" s="81"/>
      <c r="V422" s="174"/>
      <c r="W422" s="174"/>
      <c r="X422" s="174"/>
      <c r="Y422" s="187"/>
      <c r="AA422" s="78"/>
      <c r="AC422" s="79"/>
      <c r="AE422" s="146">
        <f t="shared" si="42"/>
        <v>92.840416856717695</v>
      </c>
      <c r="AF422" s="146">
        <f t="shared" si="43"/>
        <v>-1.1519084281312008E-5</v>
      </c>
      <c r="AG422" s="81"/>
    </row>
    <row r="423" spans="9:33" x14ac:dyDescent="0.25">
      <c r="I423" s="49"/>
      <c r="J423" s="49"/>
      <c r="K423" s="49"/>
      <c r="M423" s="37"/>
      <c r="R423" s="61">
        <v>1058.254168567177</v>
      </c>
      <c r="S423" s="58">
        <v>-1.293736518322355E-7</v>
      </c>
      <c r="T423" s="81"/>
      <c r="V423" s="174"/>
      <c r="W423" s="174"/>
      <c r="X423" s="174"/>
      <c r="Y423" s="187"/>
      <c r="AA423" s="78"/>
      <c r="AC423" s="84"/>
      <c r="AE423" s="146">
        <f t="shared" si="42"/>
        <v>92.840416856717695</v>
      </c>
      <c r="AF423" s="146">
        <f t="shared" si="43"/>
        <v>-1.293736518322355E-5</v>
      </c>
      <c r="AG423" s="81"/>
    </row>
    <row r="424" spans="9:33" x14ac:dyDescent="0.25">
      <c r="I424" s="49"/>
      <c r="J424" s="49"/>
      <c r="K424" s="49"/>
      <c r="M424" s="34"/>
      <c r="R424" s="61">
        <v>1062.5372789158891</v>
      </c>
      <c r="S424" s="58">
        <v>-1.293736518322355E-7</v>
      </c>
      <c r="T424" s="81"/>
      <c r="V424" s="174"/>
      <c r="W424" s="174"/>
      <c r="X424" s="174"/>
      <c r="Y424" s="187"/>
      <c r="AA424" s="78"/>
      <c r="AC424" s="82"/>
      <c r="AE424" s="146">
        <f t="shared" si="42"/>
        <v>93.26872789158891</v>
      </c>
      <c r="AF424" s="146">
        <f t="shared" si="43"/>
        <v>-1.293736518322355E-5</v>
      </c>
      <c r="AG424" s="81"/>
    </row>
    <row r="425" spans="9:33" x14ac:dyDescent="0.25">
      <c r="I425" s="49"/>
      <c r="J425" s="49"/>
      <c r="K425" s="49"/>
      <c r="M425" s="37"/>
      <c r="R425" s="61">
        <v>1062.5372789158891</v>
      </c>
      <c r="S425" s="58">
        <v>-1.4396933289253296E-7</v>
      </c>
      <c r="T425" s="81"/>
      <c r="V425" s="174"/>
      <c r="W425" s="174"/>
      <c r="X425" s="174"/>
      <c r="Y425" s="187"/>
      <c r="AA425" s="78"/>
      <c r="AC425" s="84"/>
      <c r="AE425" s="146">
        <f t="shared" si="42"/>
        <v>93.26872789158891</v>
      </c>
      <c r="AF425" s="146">
        <f t="shared" si="43"/>
        <v>-1.4396933289253296E-5</v>
      </c>
      <c r="AG425" s="81"/>
    </row>
    <row r="426" spans="9:33" x14ac:dyDescent="0.25">
      <c r="I426" s="49"/>
      <c r="J426" s="49"/>
      <c r="K426" s="49"/>
      <c r="M426" s="37"/>
      <c r="R426" s="61">
        <v>1066.8203892646013</v>
      </c>
      <c r="S426" s="58">
        <v>-1.4396933289253296E-7</v>
      </c>
      <c r="T426" s="81"/>
      <c r="V426" s="174"/>
      <c r="W426" s="174"/>
      <c r="X426" s="174"/>
      <c r="Y426" s="187"/>
      <c r="AA426" s="78"/>
      <c r="AC426" s="84"/>
      <c r="AE426" s="146">
        <f t="shared" si="42"/>
        <v>93.697038926460124</v>
      </c>
      <c r="AF426" s="146">
        <f t="shared" si="43"/>
        <v>-1.4396933289253296E-5</v>
      </c>
      <c r="AG426" s="81"/>
    </row>
    <row r="427" spans="9:33" x14ac:dyDescent="0.25">
      <c r="I427" s="49"/>
      <c r="J427" s="49"/>
      <c r="K427" s="49"/>
      <c r="M427" s="34"/>
      <c r="R427" s="61">
        <v>1066.8203892646013</v>
      </c>
      <c r="S427" s="58">
        <v>-1.5899744430382153E-7</v>
      </c>
      <c r="T427" s="81"/>
      <c r="V427" s="174"/>
      <c r="W427" s="174"/>
      <c r="X427" s="174"/>
      <c r="Y427" s="187"/>
      <c r="AA427" s="78"/>
      <c r="AC427" s="82"/>
      <c r="AE427" s="146">
        <f t="shared" si="42"/>
        <v>93.697038926460124</v>
      </c>
      <c r="AF427" s="146">
        <f t="shared" si="43"/>
        <v>-1.5899744430382153E-5</v>
      </c>
      <c r="AG427" s="81"/>
    </row>
    <row r="428" spans="9:33" x14ac:dyDescent="0.25">
      <c r="I428" s="49"/>
      <c r="J428" s="49"/>
      <c r="K428" s="49"/>
      <c r="M428" s="37"/>
      <c r="R428" s="61">
        <v>1071.1034996133135</v>
      </c>
      <c r="S428" s="58">
        <v>-1.5899744430382153E-7</v>
      </c>
      <c r="T428" s="81"/>
      <c r="V428" s="174"/>
      <c r="W428" s="174"/>
      <c r="X428" s="174"/>
      <c r="Y428" s="187"/>
      <c r="AA428" s="78"/>
      <c r="AC428" s="84"/>
      <c r="AE428" s="146">
        <f t="shared" si="42"/>
        <v>94.125349961331352</v>
      </c>
      <c r="AF428" s="146">
        <f t="shared" si="43"/>
        <v>-1.5899744430382153E-5</v>
      </c>
      <c r="AG428" s="81"/>
    </row>
    <row r="429" spans="9:33" x14ac:dyDescent="0.25">
      <c r="I429" s="49"/>
      <c r="J429" s="49"/>
      <c r="K429" s="49"/>
      <c r="M429" s="33"/>
      <c r="R429" s="61">
        <v>1071.1034996133135</v>
      </c>
      <c r="S429" s="58">
        <v>-1.7443143949071264E-7</v>
      </c>
      <c r="T429" s="81"/>
      <c r="V429" s="174"/>
      <c r="W429" s="174"/>
      <c r="X429" s="174"/>
      <c r="Y429" s="187"/>
      <c r="AA429" s="78"/>
      <c r="AC429" s="79"/>
      <c r="AE429" s="146">
        <f t="shared" si="42"/>
        <v>94.125349961331352</v>
      </c>
      <c r="AF429" s="146">
        <f t="shared" si="43"/>
        <v>-1.7443143949071266E-5</v>
      </c>
      <c r="AG429" s="81"/>
    </row>
    <row r="430" spans="9:33" x14ac:dyDescent="0.25">
      <c r="I430" s="49"/>
      <c r="J430" s="49"/>
      <c r="K430" s="49"/>
      <c r="M430" s="34"/>
      <c r="R430" s="61">
        <v>1075.3866099620257</v>
      </c>
      <c r="S430" s="58">
        <v>-1.7443143949071264E-7</v>
      </c>
      <c r="T430" s="81"/>
      <c r="V430" s="174"/>
      <c r="W430" s="174"/>
      <c r="X430" s="174"/>
      <c r="Y430" s="187"/>
      <c r="AA430" s="78"/>
      <c r="AC430" s="82"/>
      <c r="AE430" s="146">
        <f t="shared" si="42"/>
        <v>94.553660996202566</v>
      </c>
      <c r="AF430" s="146">
        <f t="shared" si="43"/>
        <v>-1.7443143949071266E-5</v>
      </c>
      <c r="AG430" s="81"/>
    </row>
    <row r="431" spans="9:33" x14ac:dyDescent="0.25">
      <c r="I431" s="49"/>
      <c r="J431" s="49"/>
      <c r="K431" s="49"/>
      <c r="M431" s="37"/>
      <c r="R431" s="61">
        <v>1075.3866099620257</v>
      </c>
      <c r="S431" s="58">
        <v>-1.9022136079478147E-7</v>
      </c>
      <c r="T431" s="81"/>
      <c r="V431" s="174"/>
      <c r="W431" s="174"/>
      <c r="X431" s="174"/>
      <c r="Y431" s="187"/>
      <c r="AA431" s="78"/>
      <c r="AC431" s="84"/>
      <c r="AE431" s="146">
        <f t="shared" si="42"/>
        <v>94.553660996202566</v>
      </c>
      <c r="AF431" s="146">
        <f t="shared" si="43"/>
        <v>-1.9022136079478146E-5</v>
      </c>
      <c r="AG431" s="81"/>
    </row>
    <row r="432" spans="9:33" x14ac:dyDescent="0.25">
      <c r="I432" s="49"/>
      <c r="J432" s="49"/>
      <c r="K432" s="49"/>
      <c r="M432" s="34"/>
      <c r="R432" s="61">
        <v>1079.6697203107378</v>
      </c>
      <c r="S432" s="58">
        <v>-1.9022136079478147E-7</v>
      </c>
      <c r="T432" s="81"/>
      <c r="V432" s="174"/>
      <c r="W432" s="174"/>
      <c r="X432" s="174"/>
      <c r="Y432" s="187"/>
      <c r="AA432" s="78"/>
      <c r="AC432" s="82"/>
      <c r="AE432" s="146">
        <f t="shared" si="42"/>
        <v>94.981972031073781</v>
      </c>
      <c r="AF432" s="146">
        <f t="shared" si="43"/>
        <v>-1.9022136079478146E-5</v>
      </c>
      <c r="AG432" s="81"/>
    </row>
    <row r="433" spans="9:33" x14ac:dyDescent="0.25">
      <c r="I433" s="49"/>
      <c r="J433" s="49"/>
      <c r="K433" s="49"/>
      <c r="M433" s="37"/>
      <c r="R433" s="61">
        <v>1079.6697203107378</v>
      </c>
      <c r="S433" s="58">
        <v>-2.0630508013654239E-7</v>
      </c>
      <c r="T433" s="81"/>
      <c r="V433" s="174"/>
      <c r="W433" s="174"/>
      <c r="X433" s="174"/>
      <c r="Y433" s="187"/>
      <c r="AA433" s="78"/>
      <c r="AC433" s="84"/>
      <c r="AE433" s="146">
        <f t="shared" si="42"/>
        <v>94.981972031073781</v>
      </c>
      <c r="AF433" s="146">
        <f t="shared" si="43"/>
        <v>-2.0630508013654239E-5</v>
      </c>
      <c r="AG433" s="81"/>
    </row>
    <row r="434" spans="9:33" x14ac:dyDescent="0.25">
      <c r="I434" s="49"/>
      <c r="J434" s="49"/>
      <c r="K434" s="49"/>
      <c r="M434" s="37"/>
      <c r="R434" s="61">
        <v>1083.95283065945</v>
      </c>
      <c r="S434" s="58">
        <v>-2.0630508013654239E-7</v>
      </c>
      <c r="T434" s="81"/>
      <c r="V434" s="174"/>
      <c r="W434" s="174"/>
      <c r="X434" s="174"/>
      <c r="Y434" s="187"/>
      <c r="AA434" s="78"/>
      <c r="AC434" s="84"/>
      <c r="AE434" s="146">
        <f t="shared" si="42"/>
        <v>95.410283065944995</v>
      </c>
      <c r="AF434" s="146">
        <f t="shared" si="43"/>
        <v>-2.0630508013654239E-5</v>
      </c>
      <c r="AG434" s="81"/>
    </row>
    <row r="435" spans="9:33" x14ac:dyDescent="0.25">
      <c r="I435" s="49"/>
      <c r="J435" s="49"/>
      <c r="K435" s="49"/>
      <c r="M435" s="33"/>
      <c r="R435" s="61">
        <v>1083.95283065945</v>
      </c>
      <c r="S435" s="58">
        <v>-2.2261369012886558E-7</v>
      </c>
      <c r="T435" s="81"/>
      <c r="V435" s="174"/>
      <c r="W435" s="174"/>
      <c r="X435" s="174"/>
      <c r="Y435" s="187"/>
      <c r="AA435" s="78"/>
      <c r="AC435" s="79"/>
      <c r="AE435" s="146">
        <f t="shared" si="42"/>
        <v>95.410283065944995</v>
      </c>
      <c r="AF435" s="146">
        <f t="shared" si="43"/>
        <v>-2.2261369012886558E-5</v>
      </c>
      <c r="AG435" s="81"/>
    </row>
    <row r="436" spans="9:33" x14ac:dyDescent="0.25">
      <c r="I436" s="49"/>
      <c r="J436" s="49"/>
      <c r="K436" s="49"/>
      <c r="M436" s="34"/>
      <c r="R436" s="61">
        <v>1088.2359410081622</v>
      </c>
      <c r="S436" s="58">
        <v>-2.2261369012886558E-7</v>
      </c>
      <c r="T436" s="81"/>
      <c r="V436" s="174"/>
      <c r="W436" s="174"/>
      <c r="X436" s="174"/>
      <c r="Y436" s="187"/>
      <c r="AA436" s="78"/>
      <c r="AC436" s="82"/>
      <c r="AE436" s="146">
        <f t="shared" si="42"/>
        <v>95.838594100816209</v>
      </c>
      <c r="AF436" s="146">
        <f t="shared" si="43"/>
        <v>-2.2261369012886558E-5</v>
      </c>
      <c r="AG436" s="81"/>
    </row>
    <row r="437" spans="9:33" x14ac:dyDescent="0.25">
      <c r="I437" s="49"/>
      <c r="J437" s="49"/>
      <c r="K437" s="49"/>
      <c r="M437" s="37"/>
      <c r="R437" s="61">
        <v>1088.2359410081622</v>
      </c>
      <c r="S437" s="58">
        <v>-2.3907423890976707E-7</v>
      </c>
      <c r="T437" s="81"/>
      <c r="V437" s="174"/>
      <c r="W437" s="174"/>
      <c r="X437" s="174"/>
      <c r="Y437" s="187"/>
      <c r="AA437" s="78"/>
      <c r="AC437" s="84"/>
      <c r="AE437" s="146">
        <f t="shared" si="42"/>
        <v>95.838594100816209</v>
      </c>
      <c r="AF437" s="146">
        <f t="shared" si="43"/>
        <v>-2.3907423890976709E-5</v>
      </c>
      <c r="AG437" s="81"/>
    </row>
    <row r="438" spans="9:33" x14ac:dyDescent="0.25">
      <c r="I438" s="49"/>
      <c r="J438" s="49"/>
      <c r="K438" s="49"/>
      <c r="M438" s="37"/>
      <c r="R438" s="61">
        <v>1092.5190513568743</v>
      </c>
      <c r="S438" s="58">
        <v>-2.3907423890976707E-7</v>
      </c>
      <c r="T438" s="81"/>
      <c r="V438" s="174"/>
      <c r="W438" s="174"/>
      <c r="X438" s="174"/>
      <c r="Y438" s="187"/>
      <c r="AA438" s="78"/>
      <c r="AC438" s="84"/>
      <c r="AE438" s="146">
        <f t="shared" si="42"/>
        <v>96.266905135687438</v>
      </c>
      <c r="AF438" s="146">
        <f t="shared" si="43"/>
        <v>-2.3907423890976709E-5</v>
      </c>
      <c r="AG438" s="81"/>
    </row>
    <row r="439" spans="9:33" x14ac:dyDescent="0.25">
      <c r="I439" s="49"/>
      <c r="J439" s="49"/>
      <c r="K439" s="49"/>
      <c r="M439" s="34"/>
      <c r="R439" s="61">
        <v>1092.5190513568743</v>
      </c>
      <c r="S439" s="58">
        <v>-2.5147409401048446E-7</v>
      </c>
      <c r="T439" s="81"/>
      <c r="V439" s="174"/>
      <c r="W439" s="174"/>
      <c r="X439" s="174"/>
      <c r="Y439" s="187"/>
      <c r="AA439" s="78"/>
      <c r="AC439" s="82"/>
      <c r="AE439" s="146">
        <f t="shared" si="42"/>
        <v>96.266905135687438</v>
      </c>
      <c r="AF439" s="146">
        <f t="shared" si="43"/>
        <v>-2.5147409401048444E-5</v>
      </c>
      <c r="AG439" s="81"/>
    </row>
    <row r="440" spans="9:33" x14ac:dyDescent="0.25">
      <c r="I440" s="49"/>
      <c r="J440" s="49"/>
      <c r="K440" s="49"/>
      <c r="M440" s="37"/>
      <c r="R440" s="61">
        <v>1094.6606065312305</v>
      </c>
      <c r="S440" s="58">
        <v>-2.5147409401048446E-7</v>
      </c>
      <c r="T440" s="81"/>
      <c r="V440" s="174"/>
      <c r="W440" s="174"/>
      <c r="X440" s="174"/>
      <c r="Y440" s="187"/>
      <c r="AA440" s="78"/>
      <c r="AC440" s="84"/>
      <c r="AE440" s="146">
        <f t="shared" si="42"/>
        <v>96.481060653123052</v>
      </c>
      <c r="AF440" s="146">
        <f t="shared" si="43"/>
        <v>-2.5147409401048444E-5</v>
      </c>
      <c r="AG440" s="81"/>
    </row>
    <row r="441" spans="9:33" x14ac:dyDescent="0.25">
      <c r="I441" s="49"/>
      <c r="J441" s="49"/>
      <c r="K441" s="49"/>
      <c r="M441" s="37"/>
      <c r="R441" s="61">
        <v>1094.6606065312305</v>
      </c>
      <c r="S441" s="58">
        <v>-2.71223515845033E-7</v>
      </c>
      <c r="T441" s="81"/>
      <c r="V441" s="174"/>
      <c r="W441" s="174"/>
      <c r="X441" s="174"/>
      <c r="Y441" s="187"/>
      <c r="AA441" s="78"/>
      <c r="AC441" s="84"/>
      <c r="AE441" s="146">
        <f t="shared" si="42"/>
        <v>96.481060653123052</v>
      </c>
      <c r="AF441" s="146">
        <f t="shared" si="43"/>
        <v>-2.71223515845033E-5</v>
      </c>
      <c r="AG441" s="81"/>
    </row>
    <row r="442" spans="9:33" x14ac:dyDescent="0.25">
      <c r="I442" s="49"/>
      <c r="J442" s="49"/>
      <c r="K442" s="49"/>
      <c r="M442" s="34"/>
      <c r="R442" s="61">
        <v>1102.7807981736191</v>
      </c>
      <c r="S442" s="58">
        <v>-2.71223515845033E-7</v>
      </c>
      <c r="T442" s="81"/>
      <c r="V442" s="174"/>
      <c r="W442" s="174"/>
      <c r="X442" s="174"/>
      <c r="Y442" s="187"/>
      <c r="AA442" s="78"/>
      <c r="AC442" s="82"/>
      <c r="AE442" s="146">
        <f t="shared" si="42"/>
        <v>97.293079817361914</v>
      </c>
      <c r="AF442" s="146">
        <f t="shared" si="43"/>
        <v>-2.71223515845033E-5</v>
      </c>
      <c r="AG442" s="81"/>
    </row>
    <row r="443" spans="9:33" x14ac:dyDescent="0.25">
      <c r="I443" s="49"/>
      <c r="J443" s="49"/>
      <c r="K443" s="49"/>
      <c r="M443" s="33"/>
      <c r="R443" s="61">
        <v>1102.7807981736191</v>
      </c>
      <c r="S443" s="58">
        <v>-3.0244707572556974E-7</v>
      </c>
      <c r="T443" s="81"/>
      <c r="V443" s="174"/>
      <c r="W443" s="174"/>
      <c r="X443" s="174"/>
      <c r="Y443" s="187"/>
      <c r="AA443" s="78"/>
      <c r="AC443" s="79"/>
      <c r="AE443" s="146">
        <f t="shared" si="42"/>
        <v>97.293079817361914</v>
      </c>
      <c r="AF443" s="146">
        <f t="shared" si="43"/>
        <v>-3.0244707572556974E-5</v>
      </c>
      <c r="AG443" s="81"/>
    </row>
    <row r="444" spans="9:33" x14ac:dyDescent="0.25">
      <c r="I444" s="49"/>
      <c r="J444" s="49"/>
      <c r="K444" s="49"/>
      <c r="M444" s="37"/>
      <c r="R444" s="61">
        <v>1111.0397258123389</v>
      </c>
      <c r="S444" s="58">
        <v>-3.0244707572556974E-7</v>
      </c>
      <c r="T444" s="81"/>
      <c r="V444" s="174"/>
      <c r="W444" s="174"/>
      <c r="X444" s="174"/>
      <c r="Y444" s="187"/>
      <c r="AA444" s="78"/>
      <c r="AC444" s="84"/>
      <c r="AE444" s="146">
        <f t="shared" si="42"/>
        <v>98.118972581233891</v>
      </c>
      <c r="AF444" s="146">
        <f t="shared" si="43"/>
        <v>-3.0244707572556974E-5</v>
      </c>
      <c r="AG444" s="81"/>
    </row>
    <row r="445" spans="9:33" x14ac:dyDescent="0.25">
      <c r="I445" s="49"/>
      <c r="J445" s="49"/>
      <c r="K445" s="49"/>
      <c r="M445" s="37"/>
      <c r="R445" s="61">
        <v>1111.0397258123389</v>
      </c>
      <c r="S445" s="58">
        <v>-3.3366452859357692E-7</v>
      </c>
      <c r="T445" s="81"/>
      <c r="V445" s="174"/>
      <c r="W445" s="174"/>
      <c r="X445" s="174"/>
      <c r="Y445" s="187"/>
      <c r="AA445" s="78"/>
      <c r="AC445" s="84"/>
      <c r="AE445" s="146">
        <f t="shared" si="42"/>
        <v>98.118972581233891</v>
      </c>
      <c r="AF445" s="146">
        <f t="shared" si="43"/>
        <v>-3.3366452859357692E-5</v>
      </c>
      <c r="AG445" s="81"/>
    </row>
    <row r="446" spans="9:33" x14ac:dyDescent="0.25">
      <c r="I446" s="49"/>
      <c r="J446" s="49"/>
      <c r="K446" s="49"/>
      <c r="M446" s="34"/>
      <c r="R446" s="61">
        <v>1119.5910321052834</v>
      </c>
      <c r="S446" s="58">
        <v>-3.3366452859357692E-7</v>
      </c>
      <c r="T446" s="81"/>
      <c r="V446" s="174"/>
      <c r="W446" s="174"/>
      <c r="X446" s="174"/>
      <c r="Y446" s="187"/>
      <c r="AA446" s="78"/>
      <c r="AC446" s="82"/>
      <c r="AE446" s="146">
        <f t="shared" si="42"/>
        <v>98.974103210528341</v>
      </c>
      <c r="AF446" s="146">
        <f t="shared" si="43"/>
        <v>-3.3366452859357692E-5</v>
      </c>
      <c r="AG446" s="81"/>
    </row>
    <row r="447" spans="9:33" x14ac:dyDescent="0.25">
      <c r="I447" s="49"/>
      <c r="J447" s="49"/>
      <c r="K447" s="49"/>
      <c r="M447" s="37"/>
      <c r="R447" s="61">
        <v>1119.5910321052834</v>
      </c>
      <c r="S447" s="58">
        <v>-3.6485551597467127E-7</v>
      </c>
      <c r="T447" s="81"/>
      <c r="V447" s="174"/>
      <c r="W447" s="174"/>
      <c r="X447" s="174"/>
      <c r="Y447" s="187"/>
      <c r="AA447" s="78"/>
      <c r="AC447" s="84"/>
      <c r="AE447" s="146">
        <f t="shared" si="42"/>
        <v>98.974103210528341</v>
      </c>
      <c r="AF447" s="146">
        <f t="shared" si="43"/>
        <v>-3.6485551597467125E-5</v>
      </c>
      <c r="AG447" s="81"/>
    </row>
    <row r="448" spans="9:33" x14ac:dyDescent="0.25">
      <c r="I448" s="49"/>
      <c r="J448" s="49"/>
      <c r="K448" s="49"/>
      <c r="M448" s="37"/>
      <c r="R448" s="61">
        <v>1128.6224615514054</v>
      </c>
      <c r="S448" s="58">
        <v>-3.6485551597467127E-7</v>
      </c>
      <c r="T448" s="81"/>
      <c r="V448" s="174"/>
      <c r="W448" s="174"/>
      <c r="X448" s="174"/>
      <c r="Y448" s="187"/>
      <c r="AA448" s="78"/>
      <c r="AC448" s="84"/>
      <c r="AE448" s="146">
        <f t="shared" si="42"/>
        <v>99.87724615514054</v>
      </c>
      <c r="AF448" s="146">
        <f t="shared" si="43"/>
        <v>-3.6485551597467125E-5</v>
      </c>
      <c r="AG448" s="81"/>
    </row>
    <row r="449" spans="9:33" x14ac:dyDescent="0.25">
      <c r="I449" s="49"/>
      <c r="J449" s="49"/>
      <c r="K449" s="49"/>
      <c r="M449" s="34"/>
      <c r="R449" s="61">
        <v>1128.6224615514054</v>
      </c>
      <c r="S449" s="58">
        <v>-3.9597010105717511E-7</v>
      </c>
      <c r="T449" s="81"/>
      <c r="V449" s="174"/>
      <c r="W449" s="174"/>
      <c r="X449" s="174"/>
      <c r="Y449" s="187"/>
      <c r="AA449" s="78"/>
      <c r="AC449" s="82"/>
      <c r="AE449" s="146">
        <f t="shared" si="42"/>
        <v>99.87724615514054</v>
      </c>
      <c r="AF449" s="146">
        <f t="shared" si="43"/>
        <v>-3.9597010105717513E-5</v>
      </c>
      <c r="AG449" s="81"/>
    </row>
    <row r="450" spans="9:33" x14ac:dyDescent="0.25">
      <c r="I450" s="49"/>
      <c r="J450" s="49"/>
      <c r="K450" s="49"/>
      <c r="M450" s="33"/>
      <c r="R450" s="61">
        <v>1138.3861651021575</v>
      </c>
      <c r="S450" s="58">
        <v>-3.9597010105717511E-7</v>
      </c>
      <c r="T450" s="81"/>
      <c r="V450" s="174"/>
      <c r="W450" s="174"/>
      <c r="X450" s="174"/>
      <c r="Y450" s="187"/>
      <c r="AA450" s="78"/>
      <c r="AC450" s="79"/>
      <c r="AE450" s="146">
        <f t="shared" si="42"/>
        <v>100.85361651021574</v>
      </c>
      <c r="AF450" s="146">
        <f t="shared" si="43"/>
        <v>-3.9597010105717513E-5</v>
      </c>
      <c r="AG450" s="81"/>
    </row>
    <row r="451" spans="9:33" x14ac:dyDescent="0.25">
      <c r="I451" s="49"/>
      <c r="J451" s="49"/>
      <c r="K451" s="49"/>
      <c r="M451" s="37"/>
      <c r="R451" s="61">
        <v>1138.3861651021575</v>
      </c>
      <c r="S451" s="58">
        <v>-4.2690447319357129E-7</v>
      </c>
      <c r="T451" s="81"/>
      <c r="V451" s="174"/>
      <c r="W451" s="174"/>
      <c r="X451" s="174"/>
      <c r="Y451" s="187"/>
      <c r="AA451" s="78"/>
      <c r="AC451" s="84"/>
      <c r="AE451" s="146">
        <f t="shared" ref="AE451:AE464" si="44">(R451-129.85)/10</f>
        <v>100.85361651021574</v>
      </c>
      <c r="AF451" s="146">
        <f t="shared" ref="AF451:AF464" si="45">S451*100</f>
        <v>-4.2690447319357133E-5</v>
      </c>
      <c r="AG451" s="81"/>
    </row>
    <row r="452" spans="9:33" x14ac:dyDescent="0.25">
      <c r="I452" s="49"/>
      <c r="J452" s="49"/>
      <c r="K452" s="49"/>
      <c r="M452" s="37"/>
      <c r="R452" s="61">
        <v>1149.2547348161484</v>
      </c>
      <c r="S452" s="58">
        <v>-4.2690447319357129E-7</v>
      </c>
      <c r="T452" s="81"/>
      <c r="V452" s="174"/>
      <c r="W452" s="174"/>
      <c r="X452" s="174"/>
      <c r="Y452" s="187"/>
      <c r="AA452" s="78"/>
      <c r="AC452" s="84"/>
      <c r="AE452" s="146">
        <f t="shared" si="44"/>
        <v>101.94047348161483</v>
      </c>
      <c r="AF452" s="146">
        <f t="shared" si="45"/>
        <v>-4.2690447319357133E-5</v>
      </c>
      <c r="AG452" s="81"/>
    </row>
    <row r="453" spans="9:33" x14ac:dyDescent="0.25">
      <c r="I453" s="49"/>
      <c r="J453" s="49"/>
      <c r="K453" s="49"/>
      <c r="M453" s="34"/>
      <c r="R453" s="61">
        <v>1149.2547348161484</v>
      </c>
      <c r="S453" s="58">
        <v>-4.5745605846372927E-7</v>
      </c>
      <c r="T453" s="81"/>
      <c r="V453" s="174"/>
      <c r="W453" s="174"/>
      <c r="X453" s="174"/>
      <c r="Y453" s="187"/>
      <c r="AA453" s="78"/>
      <c r="AC453" s="82"/>
      <c r="AE453" s="146">
        <f t="shared" si="44"/>
        <v>101.94047348161483</v>
      </c>
      <c r="AF453" s="146">
        <f t="shared" si="45"/>
        <v>-4.5745605846372924E-5</v>
      </c>
      <c r="AG453" s="81"/>
    </row>
    <row r="454" spans="9:33" x14ac:dyDescent="0.25">
      <c r="I454" s="49"/>
      <c r="J454" s="49"/>
      <c r="K454" s="49"/>
      <c r="M454" s="37"/>
      <c r="R454" s="61">
        <v>1161.8413009254996</v>
      </c>
      <c r="S454" s="58">
        <v>-4.5745605846372927E-7</v>
      </c>
      <c r="T454" s="81"/>
      <c r="V454" s="174"/>
      <c r="W454" s="174"/>
      <c r="X454" s="174"/>
      <c r="Y454" s="187"/>
      <c r="AA454" s="78"/>
      <c r="AC454" s="84"/>
      <c r="AE454" s="146">
        <f t="shared" si="44"/>
        <v>103.19913009254996</v>
      </c>
      <c r="AF454" s="146">
        <f t="shared" si="45"/>
        <v>-4.5745605846372924E-5</v>
      </c>
      <c r="AG454" s="81"/>
    </row>
    <row r="455" spans="9:33" x14ac:dyDescent="0.25">
      <c r="I455" s="49"/>
      <c r="J455" s="49"/>
      <c r="K455" s="49"/>
      <c r="M455" s="37"/>
      <c r="R455" s="61">
        <v>1161.8413009254996</v>
      </c>
      <c r="S455" s="58">
        <v>-4.8723266637188673E-7</v>
      </c>
      <c r="T455" s="81"/>
      <c r="V455" s="174"/>
      <c r="W455" s="174"/>
      <c r="X455" s="174"/>
      <c r="Y455" s="187"/>
      <c r="AA455" s="78"/>
      <c r="AC455" s="84"/>
      <c r="AE455" s="146">
        <f t="shared" si="44"/>
        <v>103.19913009254996</v>
      </c>
      <c r="AF455" s="146">
        <f t="shared" si="45"/>
        <v>-4.8723266637188675E-5</v>
      </c>
      <c r="AG455" s="81"/>
    </row>
    <row r="456" spans="9:33" x14ac:dyDescent="0.25">
      <c r="I456" s="49"/>
      <c r="J456" s="49"/>
      <c r="K456" s="49"/>
      <c r="M456" s="34"/>
      <c r="R456" s="61">
        <v>1177.3079731375519</v>
      </c>
      <c r="S456" s="58">
        <v>-4.8723266637188673E-7</v>
      </c>
      <c r="T456" s="81"/>
      <c r="V456" s="174"/>
      <c r="W456" s="174"/>
      <c r="X456" s="174"/>
      <c r="Y456" s="187"/>
      <c r="AA456" s="78"/>
      <c r="AC456" s="82"/>
      <c r="AE456" s="146">
        <f t="shared" si="44"/>
        <v>104.7457973137552</v>
      </c>
      <c r="AF456" s="146">
        <f t="shared" si="45"/>
        <v>-4.8723266637188675E-5</v>
      </c>
      <c r="AG456" s="81"/>
    </row>
    <row r="457" spans="9:33" x14ac:dyDescent="0.25">
      <c r="I457" s="49"/>
      <c r="J457" s="49"/>
      <c r="K457" s="49"/>
      <c r="M457" s="37"/>
      <c r="R457" s="61">
        <v>1177.3079731375519</v>
      </c>
      <c r="S457" s="58">
        <v>-5.1544757392331066E-7</v>
      </c>
      <c r="T457" s="81"/>
      <c r="V457" s="174"/>
      <c r="W457" s="174"/>
      <c r="X457" s="174"/>
      <c r="Y457" s="187"/>
      <c r="AA457" s="78"/>
      <c r="AC457" s="84"/>
      <c r="AE457" s="146">
        <f t="shared" si="44"/>
        <v>104.7457973137552</v>
      </c>
      <c r="AF457" s="146">
        <f t="shared" si="45"/>
        <v>-5.1544757392331069E-5</v>
      </c>
      <c r="AG457" s="81"/>
    </row>
    <row r="458" spans="9:33" x14ac:dyDescent="0.25">
      <c r="I458" s="49"/>
      <c r="J458" s="49"/>
      <c r="K458" s="49"/>
      <c r="M458" s="33"/>
      <c r="R458" s="61">
        <v>1198.4180179030473</v>
      </c>
      <c r="S458" s="58">
        <v>-5.1544757392331066E-7</v>
      </c>
      <c r="T458" s="81"/>
      <c r="V458" s="174"/>
      <c r="W458" s="174"/>
      <c r="X458" s="174"/>
      <c r="Y458" s="187"/>
      <c r="AA458" s="78"/>
      <c r="AC458" s="79"/>
      <c r="AE458" s="146">
        <f t="shared" si="44"/>
        <v>106.85680179030473</v>
      </c>
      <c r="AF458" s="146">
        <f t="shared" si="45"/>
        <v>-5.1544757392331069E-5</v>
      </c>
      <c r="AG458" s="81"/>
    </row>
    <row r="459" spans="9:33" x14ac:dyDescent="0.25">
      <c r="I459" s="49"/>
      <c r="J459" s="49"/>
      <c r="K459" s="49"/>
      <c r="M459" s="37"/>
      <c r="R459" s="61">
        <v>1198.4180179030473</v>
      </c>
      <c r="S459" s="58">
        <v>-5.4038226509374228E-7</v>
      </c>
      <c r="T459" s="81"/>
      <c r="V459" s="174"/>
      <c r="W459" s="174"/>
      <c r="X459" s="174"/>
      <c r="Y459" s="187"/>
      <c r="AA459" s="78"/>
      <c r="AC459" s="84"/>
      <c r="AE459" s="146">
        <f t="shared" si="44"/>
        <v>106.85680179030473</v>
      </c>
      <c r="AF459" s="146">
        <f t="shared" si="45"/>
        <v>-5.4038226509374232E-5</v>
      </c>
      <c r="AG459" s="81"/>
    </row>
    <row r="460" spans="9:33" x14ac:dyDescent="0.25">
      <c r="I460" s="49"/>
      <c r="J460" s="49"/>
      <c r="K460" s="49"/>
      <c r="M460" s="34"/>
      <c r="R460" s="61">
        <v>1236.3530486141144</v>
      </c>
      <c r="S460" s="58">
        <v>-5.4038226509374228E-7</v>
      </c>
      <c r="T460" s="81"/>
      <c r="V460" s="174"/>
      <c r="W460" s="174"/>
      <c r="X460" s="174"/>
      <c r="Y460" s="187"/>
      <c r="AA460" s="78"/>
      <c r="AC460" s="82"/>
      <c r="AE460" s="146">
        <f t="shared" si="44"/>
        <v>110.65030486141146</v>
      </c>
      <c r="AF460" s="146">
        <f t="shared" si="45"/>
        <v>-5.4038226509374232E-5</v>
      </c>
      <c r="AG460" s="81"/>
    </row>
    <row r="461" spans="9:33" x14ac:dyDescent="0.25">
      <c r="I461" s="49"/>
      <c r="J461" s="49"/>
      <c r="K461" s="49"/>
      <c r="M461" s="37"/>
      <c r="R461" s="61">
        <v>1236.3530486141144</v>
      </c>
      <c r="S461" s="58">
        <v>-5.5761842344127704E-7</v>
      </c>
      <c r="T461" s="81"/>
      <c r="V461" s="174"/>
      <c r="W461" s="174"/>
      <c r="X461" s="174"/>
      <c r="Y461" s="187"/>
      <c r="AA461" s="78"/>
      <c r="AC461" s="84"/>
      <c r="AE461" s="146">
        <f t="shared" si="44"/>
        <v>110.65030486141146</v>
      </c>
      <c r="AF461" s="146">
        <f t="shared" si="45"/>
        <v>-5.5761842344127701E-5</v>
      </c>
      <c r="AG461" s="81"/>
    </row>
    <row r="462" spans="9:33" x14ac:dyDescent="0.25">
      <c r="I462" s="49"/>
      <c r="J462" s="49"/>
      <c r="K462" s="49"/>
      <c r="M462" s="37"/>
      <c r="R462" s="61">
        <v>1287.2970636211085</v>
      </c>
      <c r="S462" s="58">
        <v>-5.5761842344127704E-7</v>
      </c>
      <c r="T462" s="81"/>
      <c r="V462" s="174"/>
      <c r="W462" s="174"/>
      <c r="X462" s="174"/>
      <c r="Y462" s="187"/>
      <c r="AA462" s="78"/>
      <c r="AC462" s="84"/>
      <c r="AE462" s="146">
        <f t="shared" si="44"/>
        <v>115.74470636211086</v>
      </c>
      <c r="AF462" s="146">
        <f t="shared" si="45"/>
        <v>-5.5761842344127701E-5</v>
      </c>
      <c r="AG462" s="81"/>
    </row>
    <row r="463" spans="9:33" x14ac:dyDescent="0.25">
      <c r="I463" s="49"/>
      <c r="J463" s="49"/>
      <c r="K463" s="49"/>
      <c r="M463" s="34"/>
      <c r="R463" s="61">
        <v>1287.2970636211085</v>
      </c>
      <c r="S463" s="58">
        <v>-5.6000000000000014E-7</v>
      </c>
      <c r="T463" s="81"/>
      <c r="V463" s="174"/>
      <c r="W463" s="174"/>
      <c r="X463" s="174"/>
      <c r="Y463" s="187"/>
      <c r="AA463" s="78"/>
      <c r="AC463" s="82"/>
      <c r="AE463" s="146">
        <f t="shared" si="44"/>
        <v>115.74470636211086</v>
      </c>
      <c r="AF463" s="146">
        <f t="shared" si="45"/>
        <v>-5.6000000000000013E-5</v>
      </c>
      <c r="AG463" s="81"/>
    </row>
    <row r="464" spans="9:33" x14ac:dyDescent="0.25">
      <c r="I464" s="49"/>
      <c r="J464" s="49"/>
      <c r="K464" s="49"/>
      <c r="M464" s="37"/>
      <c r="R464" s="61">
        <v>1487.2970636211085</v>
      </c>
      <c r="S464" s="58">
        <v>-5.6000000000000014E-7</v>
      </c>
      <c r="T464" s="81"/>
      <c r="V464" s="174"/>
      <c r="W464" s="174"/>
      <c r="X464" s="174"/>
      <c r="Y464" s="187"/>
      <c r="AA464" s="78"/>
      <c r="AC464" s="84"/>
      <c r="AE464" s="146">
        <f t="shared" si="44"/>
        <v>135.74470636211086</v>
      </c>
      <c r="AF464" s="146">
        <f t="shared" si="45"/>
        <v>-5.6000000000000013E-5</v>
      </c>
      <c r="AG464" s="81"/>
    </row>
    <row r="465" spans="9:33" x14ac:dyDescent="0.25">
      <c r="I465" s="49"/>
      <c r="J465" s="49"/>
      <c r="K465" s="49"/>
      <c r="M465" s="33"/>
      <c r="T465" s="81"/>
      <c r="V465" s="174"/>
      <c r="W465" s="174"/>
      <c r="X465" s="174"/>
      <c r="Y465" s="187"/>
      <c r="AA465" s="78"/>
      <c r="AC465" s="79"/>
      <c r="AG465" s="81"/>
    </row>
    <row r="466" spans="9:33" x14ac:dyDescent="0.25">
      <c r="I466" s="49"/>
      <c r="J466" s="49"/>
      <c r="K466" s="49"/>
      <c r="M466" s="37"/>
      <c r="T466" s="81"/>
      <c r="V466" s="174"/>
      <c r="W466" s="174"/>
      <c r="X466" s="174"/>
      <c r="Y466" s="187"/>
      <c r="AA466" s="78"/>
      <c r="AC466" s="84"/>
      <c r="AG466" s="81"/>
    </row>
    <row r="467" spans="9:33" x14ac:dyDescent="0.25">
      <c r="I467" s="49"/>
      <c r="J467" s="49"/>
      <c r="K467" s="49"/>
      <c r="M467" s="34"/>
      <c r="T467" s="81"/>
      <c r="V467" s="174"/>
      <c r="W467" s="174"/>
      <c r="X467" s="174"/>
      <c r="Y467" s="187"/>
      <c r="AA467" s="78"/>
      <c r="AC467" s="82"/>
      <c r="AG467" s="81"/>
    </row>
    <row r="468" spans="9:33" x14ac:dyDescent="0.25">
      <c r="I468" s="49"/>
      <c r="J468" s="49"/>
      <c r="K468" s="49"/>
      <c r="M468" s="37"/>
      <c r="T468" s="81"/>
      <c r="V468" s="174"/>
      <c r="W468" s="174"/>
      <c r="X468" s="174"/>
      <c r="Y468" s="187"/>
      <c r="AA468" s="78"/>
      <c r="AC468" s="84"/>
      <c r="AG468" s="81"/>
    </row>
    <row r="469" spans="9:33" x14ac:dyDescent="0.25">
      <c r="I469" s="49"/>
      <c r="J469" s="49"/>
      <c r="K469" s="49"/>
      <c r="M469" s="37"/>
      <c r="T469" s="81"/>
      <c r="V469" s="174"/>
      <c r="W469" s="174"/>
      <c r="X469" s="174"/>
      <c r="Y469" s="187"/>
      <c r="AA469" s="78"/>
      <c r="AC469" s="84"/>
      <c r="AG469" s="81"/>
    </row>
    <row r="470" spans="9:33" x14ac:dyDescent="0.25">
      <c r="I470" s="49"/>
      <c r="J470" s="49"/>
      <c r="K470" s="49"/>
      <c r="M470" s="34"/>
      <c r="T470" s="81"/>
      <c r="V470" s="174"/>
      <c r="W470" s="174"/>
      <c r="X470" s="174"/>
      <c r="Y470" s="187"/>
      <c r="AA470" s="78"/>
      <c r="AC470" s="82"/>
      <c r="AG470" s="81"/>
    </row>
    <row r="471" spans="9:33" x14ac:dyDescent="0.25">
      <c r="I471" s="49"/>
      <c r="J471" s="49"/>
      <c r="K471" s="49"/>
      <c r="M471" s="37"/>
      <c r="T471" s="81"/>
      <c r="V471" s="174"/>
      <c r="W471" s="174"/>
      <c r="X471" s="174"/>
      <c r="Y471" s="187"/>
      <c r="AA471" s="78"/>
      <c r="AC471" s="84"/>
      <c r="AG471" s="81"/>
    </row>
    <row r="472" spans="9:33" x14ac:dyDescent="0.25">
      <c r="I472" s="49"/>
      <c r="J472" s="49"/>
      <c r="K472" s="49"/>
      <c r="M472" s="33"/>
      <c r="T472" s="81"/>
      <c r="V472" s="174"/>
      <c r="W472" s="174"/>
      <c r="X472" s="174"/>
      <c r="Y472" s="187"/>
      <c r="AA472" s="78"/>
      <c r="AC472" s="79"/>
      <c r="AG472" s="81"/>
    </row>
    <row r="473" spans="9:33" x14ac:dyDescent="0.25">
      <c r="I473" s="49"/>
      <c r="J473" s="49"/>
      <c r="K473" s="49"/>
      <c r="M473" s="37"/>
      <c r="T473" s="81"/>
      <c r="V473" s="174"/>
      <c r="W473" s="174"/>
      <c r="X473" s="174"/>
      <c r="Y473" s="187"/>
      <c r="AA473" s="78"/>
      <c r="AC473" s="84"/>
      <c r="AG473" s="81"/>
    </row>
    <row r="474" spans="9:33" x14ac:dyDescent="0.25">
      <c r="I474" s="49"/>
      <c r="J474" s="49"/>
      <c r="K474" s="49"/>
      <c r="M474" s="34"/>
      <c r="T474" s="81"/>
      <c r="V474" s="174"/>
      <c r="W474" s="174"/>
      <c r="X474" s="174"/>
      <c r="Y474" s="187"/>
      <c r="AA474" s="78"/>
      <c r="AC474" s="82"/>
      <c r="AG474" s="81"/>
    </row>
    <row r="475" spans="9:33" x14ac:dyDescent="0.25">
      <c r="I475" s="49"/>
      <c r="J475" s="49"/>
      <c r="K475" s="49"/>
      <c r="M475" s="37"/>
      <c r="T475" s="81"/>
      <c r="V475" s="174"/>
      <c r="W475" s="174"/>
      <c r="X475" s="174"/>
      <c r="Y475" s="187"/>
      <c r="AA475" s="78"/>
      <c r="AC475" s="84"/>
      <c r="AG475" s="81"/>
    </row>
    <row r="476" spans="9:33" x14ac:dyDescent="0.25">
      <c r="I476" s="49"/>
      <c r="J476" s="49"/>
      <c r="K476" s="49"/>
      <c r="M476" s="37"/>
      <c r="T476" s="81"/>
      <c r="V476" s="174"/>
      <c r="W476" s="174"/>
      <c r="X476" s="174"/>
      <c r="Y476" s="187"/>
      <c r="AA476" s="78"/>
      <c r="AC476" s="84"/>
      <c r="AG476" s="81"/>
    </row>
    <row r="477" spans="9:33" x14ac:dyDescent="0.25">
      <c r="I477" s="49"/>
      <c r="J477" s="49"/>
      <c r="K477" s="49"/>
      <c r="M477" s="34"/>
      <c r="T477" s="81"/>
      <c r="V477" s="174"/>
      <c r="W477" s="174"/>
      <c r="X477" s="174"/>
      <c r="Y477" s="187"/>
      <c r="AA477" s="78"/>
      <c r="AC477" s="82"/>
      <c r="AG477" s="81"/>
    </row>
    <row r="478" spans="9:33" x14ac:dyDescent="0.25">
      <c r="I478" s="49"/>
      <c r="J478" s="49"/>
      <c r="K478" s="49"/>
      <c r="M478" s="37"/>
      <c r="T478" s="81"/>
      <c r="V478" s="174"/>
      <c r="W478" s="174"/>
      <c r="X478" s="174"/>
      <c r="Y478" s="187"/>
      <c r="AA478" s="78"/>
      <c r="AC478" s="84"/>
      <c r="AG478" s="81"/>
    </row>
    <row r="479" spans="9:33" x14ac:dyDescent="0.25">
      <c r="I479" s="49"/>
      <c r="J479" s="49"/>
      <c r="K479" s="49"/>
      <c r="M479" s="37"/>
      <c r="T479" s="81"/>
      <c r="V479" s="174"/>
      <c r="W479" s="174"/>
      <c r="X479" s="174"/>
      <c r="Y479" s="187"/>
      <c r="AA479" s="78"/>
      <c r="AC479" s="84"/>
      <c r="AG479" s="81"/>
    </row>
    <row r="480" spans="9:33" x14ac:dyDescent="0.25">
      <c r="I480" s="49"/>
      <c r="J480" s="49"/>
      <c r="K480" s="49"/>
      <c r="M480" s="33"/>
      <c r="T480" s="81"/>
      <c r="V480" s="174"/>
      <c r="W480" s="174"/>
      <c r="X480" s="174"/>
      <c r="Y480" s="187"/>
      <c r="AA480" s="78"/>
      <c r="AC480" s="79"/>
      <c r="AG480" s="81"/>
    </row>
    <row r="481" spans="9:33" x14ac:dyDescent="0.25">
      <c r="I481" s="49"/>
      <c r="J481" s="49"/>
      <c r="K481" s="49"/>
      <c r="M481" s="34"/>
      <c r="T481" s="81"/>
      <c r="V481" s="174"/>
      <c r="W481" s="174"/>
      <c r="X481" s="174"/>
      <c r="Y481" s="187"/>
      <c r="AA481" s="78"/>
      <c r="AC481" s="82"/>
      <c r="AG481" s="81"/>
    </row>
    <row r="482" spans="9:33" x14ac:dyDescent="0.25">
      <c r="I482" s="49"/>
      <c r="J482" s="49"/>
      <c r="K482" s="49"/>
      <c r="M482" s="37"/>
      <c r="T482" s="81"/>
      <c r="V482" s="174"/>
      <c r="W482" s="174"/>
      <c r="X482" s="174"/>
      <c r="Y482" s="187"/>
      <c r="AA482" s="78"/>
      <c r="AC482" s="84"/>
      <c r="AG482" s="81"/>
    </row>
    <row r="483" spans="9:33" x14ac:dyDescent="0.25">
      <c r="I483" s="49"/>
      <c r="J483" s="49"/>
      <c r="K483" s="49"/>
      <c r="M483" s="37"/>
      <c r="T483" s="81"/>
      <c r="V483" s="174"/>
      <c r="W483" s="174"/>
      <c r="X483" s="174"/>
      <c r="Y483" s="187"/>
      <c r="AA483" s="78"/>
      <c r="AC483" s="84"/>
      <c r="AG483" s="81"/>
    </row>
    <row r="484" spans="9:33" x14ac:dyDescent="0.25">
      <c r="I484" s="49"/>
      <c r="J484" s="49"/>
      <c r="K484" s="49"/>
      <c r="M484" s="34"/>
      <c r="T484" s="81"/>
      <c r="V484" s="174"/>
      <c r="W484" s="174"/>
      <c r="X484" s="174"/>
      <c r="Y484" s="187"/>
      <c r="AA484" s="78"/>
      <c r="AC484" s="82"/>
      <c r="AG484" s="81"/>
    </row>
    <row r="485" spans="9:33" x14ac:dyDescent="0.25">
      <c r="I485" s="49"/>
      <c r="J485" s="49"/>
      <c r="K485" s="49"/>
      <c r="M485" s="37"/>
      <c r="T485" s="81"/>
      <c r="V485" s="174"/>
      <c r="W485" s="174"/>
      <c r="X485" s="174"/>
      <c r="Y485" s="187"/>
      <c r="AA485" s="78"/>
      <c r="AC485" s="84"/>
      <c r="AG485" s="81"/>
    </row>
    <row r="486" spans="9:33" x14ac:dyDescent="0.25">
      <c r="I486" s="49"/>
      <c r="J486" s="49"/>
      <c r="K486" s="49"/>
      <c r="M486" s="37"/>
      <c r="T486" s="81"/>
      <c r="V486" s="174"/>
      <c r="W486" s="174"/>
      <c r="X486" s="174"/>
      <c r="Y486" s="187"/>
      <c r="AA486" s="78"/>
      <c r="AC486" s="84"/>
      <c r="AG486" s="81"/>
    </row>
    <row r="487" spans="9:33" x14ac:dyDescent="0.25">
      <c r="I487" s="49"/>
      <c r="J487" s="49"/>
      <c r="K487" s="49"/>
      <c r="M487" s="33"/>
      <c r="T487" s="81"/>
      <c r="V487" s="174"/>
      <c r="W487" s="174"/>
      <c r="X487" s="174"/>
      <c r="Y487" s="187"/>
      <c r="AA487" s="78"/>
      <c r="AC487" s="79"/>
      <c r="AG487" s="81"/>
    </row>
    <row r="488" spans="9:33" x14ac:dyDescent="0.25">
      <c r="I488" s="49"/>
      <c r="J488" s="49"/>
      <c r="K488" s="49"/>
      <c r="M488" s="34"/>
      <c r="T488" s="81"/>
      <c r="V488" s="174"/>
      <c r="W488" s="174"/>
      <c r="X488" s="174"/>
      <c r="Y488" s="187"/>
      <c r="AA488" s="78"/>
      <c r="AC488" s="82"/>
      <c r="AG488" s="81"/>
    </row>
    <row r="489" spans="9:33" x14ac:dyDescent="0.25">
      <c r="I489" s="49"/>
      <c r="J489" s="49"/>
      <c r="K489" s="49"/>
      <c r="M489" s="37"/>
      <c r="T489" s="81"/>
      <c r="V489" s="174"/>
      <c r="W489" s="174"/>
      <c r="X489" s="174"/>
      <c r="Y489" s="187"/>
      <c r="AA489" s="78"/>
      <c r="AC489" s="84"/>
      <c r="AG489" s="81"/>
    </row>
    <row r="490" spans="9:33" x14ac:dyDescent="0.25">
      <c r="I490" s="49"/>
      <c r="J490" s="49"/>
      <c r="K490" s="49"/>
      <c r="M490" s="37"/>
      <c r="T490" s="81"/>
      <c r="V490" s="174"/>
      <c r="W490" s="174"/>
      <c r="X490" s="174"/>
      <c r="Y490" s="187"/>
      <c r="AA490" s="78"/>
      <c r="AC490" s="84"/>
      <c r="AG490" s="81"/>
    </row>
    <row r="491" spans="9:33" x14ac:dyDescent="0.25">
      <c r="I491" s="49"/>
      <c r="J491" s="49"/>
      <c r="K491" s="49"/>
      <c r="M491" s="34"/>
      <c r="T491" s="81"/>
      <c r="V491" s="174"/>
      <c r="W491" s="174"/>
      <c r="X491" s="174"/>
      <c r="Y491" s="187"/>
      <c r="AA491" s="78"/>
      <c r="AC491" s="82"/>
      <c r="AG491" s="81"/>
    </row>
    <row r="492" spans="9:33" x14ac:dyDescent="0.25">
      <c r="I492" s="49"/>
      <c r="J492" s="49"/>
      <c r="K492" s="49"/>
      <c r="M492" s="37"/>
      <c r="T492" s="81"/>
      <c r="V492" s="174"/>
      <c r="W492" s="174"/>
      <c r="X492" s="174"/>
      <c r="Y492" s="187"/>
      <c r="AA492" s="78"/>
      <c r="AC492" s="84"/>
      <c r="AG492" s="81"/>
    </row>
    <row r="493" spans="9:33" x14ac:dyDescent="0.25">
      <c r="I493" s="49"/>
      <c r="J493" s="49"/>
      <c r="K493" s="49"/>
      <c r="M493" s="37"/>
      <c r="T493" s="81"/>
      <c r="V493" s="174"/>
      <c r="W493" s="174"/>
      <c r="X493" s="174"/>
      <c r="Y493" s="187"/>
      <c r="AA493" s="78"/>
      <c r="AC493" s="84"/>
      <c r="AG493" s="81"/>
    </row>
    <row r="494" spans="9:33" x14ac:dyDescent="0.25">
      <c r="I494" s="49"/>
      <c r="J494" s="49"/>
      <c r="K494" s="49"/>
      <c r="M494" s="34"/>
      <c r="T494" s="81"/>
      <c r="V494" s="174"/>
      <c r="W494" s="174"/>
      <c r="X494" s="174"/>
      <c r="Y494" s="187"/>
      <c r="AA494" s="78"/>
      <c r="AC494" s="82"/>
      <c r="AG494" s="81"/>
    </row>
    <row r="495" spans="9:33" x14ac:dyDescent="0.25">
      <c r="I495" s="49"/>
      <c r="J495" s="49"/>
      <c r="K495" s="49"/>
      <c r="M495" s="33"/>
      <c r="T495" s="81"/>
      <c r="V495" s="174"/>
      <c r="W495" s="174"/>
      <c r="X495" s="174"/>
      <c r="Y495" s="187"/>
      <c r="AA495" s="78"/>
      <c r="AC495" s="79"/>
      <c r="AG495" s="81"/>
    </row>
    <row r="496" spans="9:33" x14ac:dyDescent="0.25">
      <c r="I496" s="49"/>
      <c r="J496" s="49"/>
      <c r="K496" s="49"/>
      <c r="M496" s="37"/>
      <c r="T496" s="81"/>
      <c r="V496" s="174"/>
      <c r="W496" s="174"/>
      <c r="X496" s="174"/>
      <c r="Y496" s="187"/>
      <c r="AA496" s="78"/>
      <c r="AC496" s="84"/>
      <c r="AG496" s="81"/>
    </row>
    <row r="497" spans="9:33" x14ac:dyDescent="0.25">
      <c r="I497" s="49"/>
      <c r="J497" s="49"/>
      <c r="K497" s="49"/>
      <c r="M497" s="37"/>
      <c r="T497" s="81"/>
      <c r="V497" s="174"/>
      <c r="W497" s="174"/>
      <c r="X497" s="174"/>
      <c r="Y497" s="187"/>
      <c r="AA497" s="78"/>
      <c r="AC497" s="84"/>
      <c r="AG497" s="81"/>
    </row>
    <row r="498" spans="9:33" x14ac:dyDescent="0.25">
      <c r="I498" s="49"/>
      <c r="J498" s="49"/>
      <c r="K498" s="49"/>
      <c r="M498" s="34"/>
      <c r="T498" s="81"/>
      <c r="V498" s="174"/>
      <c r="W498" s="174"/>
      <c r="X498" s="174"/>
      <c r="Y498" s="187"/>
      <c r="AA498" s="78"/>
      <c r="AC498" s="82"/>
      <c r="AG498" s="81"/>
    </row>
    <row r="499" spans="9:33" x14ac:dyDescent="0.25">
      <c r="I499" s="49"/>
      <c r="J499" s="49"/>
      <c r="K499" s="49"/>
      <c r="M499" s="37"/>
      <c r="T499" s="81"/>
      <c r="V499" s="174"/>
      <c r="W499" s="174"/>
      <c r="X499" s="174"/>
      <c r="Y499" s="187"/>
      <c r="AA499" s="78"/>
      <c r="AC499" s="84"/>
      <c r="AG499" s="81"/>
    </row>
    <row r="500" spans="9:33" x14ac:dyDescent="0.25">
      <c r="I500" s="49"/>
      <c r="J500" s="49"/>
      <c r="K500" s="49"/>
      <c r="M500" s="37"/>
      <c r="T500" s="81"/>
      <c r="V500" s="174"/>
      <c r="W500" s="174"/>
      <c r="X500" s="174"/>
      <c r="Y500" s="187"/>
      <c r="AA500" s="78"/>
      <c r="AC500" s="84"/>
      <c r="AG500" s="81"/>
    </row>
    <row r="501" spans="9:33" x14ac:dyDescent="0.25">
      <c r="I501" s="49"/>
      <c r="J501" s="49"/>
      <c r="K501" s="49"/>
      <c r="M501" s="34"/>
      <c r="T501" s="81"/>
      <c r="V501" s="174"/>
      <c r="W501" s="174"/>
      <c r="X501" s="174"/>
      <c r="Y501" s="187"/>
      <c r="AA501" s="78"/>
      <c r="AC501" s="82"/>
      <c r="AG501" s="81"/>
    </row>
    <row r="502" spans="9:33" x14ac:dyDescent="0.25">
      <c r="I502" s="49"/>
      <c r="J502" s="49"/>
      <c r="K502" s="49"/>
      <c r="M502" s="33"/>
      <c r="T502" s="81"/>
      <c r="V502" s="174"/>
      <c r="W502" s="174"/>
      <c r="X502" s="174"/>
      <c r="Y502" s="187"/>
      <c r="AA502" s="78"/>
      <c r="AC502" s="79"/>
      <c r="AG502" s="81"/>
    </row>
    <row r="503" spans="9:33" x14ac:dyDescent="0.25">
      <c r="I503" s="49"/>
      <c r="J503" s="49"/>
      <c r="K503" s="49"/>
      <c r="M503" s="37"/>
      <c r="T503" s="81"/>
      <c r="V503" s="174"/>
      <c r="W503" s="174"/>
      <c r="X503" s="174"/>
      <c r="Y503" s="187"/>
      <c r="AA503" s="78"/>
      <c r="AC503" s="84"/>
      <c r="AG503" s="81"/>
    </row>
    <row r="504" spans="9:33" x14ac:dyDescent="0.25">
      <c r="I504" s="49"/>
      <c r="J504" s="49"/>
      <c r="K504" s="49"/>
      <c r="M504" s="37"/>
      <c r="T504" s="81"/>
      <c r="V504" s="174"/>
      <c r="W504" s="174"/>
      <c r="X504" s="174"/>
      <c r="Y504" s="187"/>
      <c r="AA504" s="78"/>
      <c r="AC504" s="84"/>
      <c r="AG504" s="81"/>
    </row>
    <row r="505" spans="9:33" x14ac:dyDescent="0.25">
      <c r="I505" s="49"/>
      <c r="J505" s="49"/>
      <c r="K505" s="49"/>
      <c r="M505" s="34"/>
      <c r="T505" s="81"/>
      <c r="V505" s="174"/>
      <c r="W505" s="174"/>
      <c r="X505" s="174"/>
      <c r="Y505" s="187"/>
      <c r="AA505" s="78"/>
      <c r="AC505" s="82"/>
      <c r="AG505" s="81"/>
    </row>
    <row r="506" spans="9:33" x14ac:dyDescent="0.25">
      <c r="I506" s="49"/>
      <c r="J506" s="49"/>
      <c r="K506" s="49"/>
      <c r="M506" s="37"/>
      <c r="T506" s="81"/>
      <c r="V506" s="174"/>
      <c r="W506" s="174"/>
      <c r="X506" s="174"/>
      <c r="Y506" s="187"/>
      <c r="AA506" s="78"/>
      <c r="AC506" s="84"/>
      <c r="AG506" s="81"/>
    </row>
    <row r="507" spans="9:33" x14ac:dyDescent="0.25">
      <c r="I507" s="49"/>
      <c r="J507" s="49"/>
      <c r="K507" s="49"/>
      <c r="M507" s="37"/>
      <c r="T507" s="81"/>
      <c r="V507" s="174"/>
      <c r="W507" s="174"/>
      <c r="X507" s="174"/>
      <c r="Y507" s="187"/>
      <c r="AA507" s="78"/>
      <c r="AC507" s="84"/>
      <c r="AG507" s="81"/>
    </row>
    <row r="508" spans="9:33" x14ac:dyDescent="0.25">
      <c r="I508" s="49"/>
      <c r="J508" s="49"/>
      <c r="K508" s="49"/>
      <c r="M508" s="34"/>
      <c r="T508" s="81"/>
      <c r="V508" s="174"/>
      <c r="W508" s="174"/>
      <c r="X508" s="174"/>
      <c r="Y508" s="187"/>
      <c r="AA508" s="78"/>
      <c r="AC508" s="82"/>
      <c r="AG508" s="81"/>
    </row>
    <row r="509" spans="9:33" x14ac:dyDescent="0.25">
      <c r="I509" s="49"/>
      <c r="J509" s="49"/>
      <c r="K509" s="49"/>
      <c r="M509" s="37"/>
      <c r="T509" s="81"/>
      <c r="V509" s="174"/>
      <c r="W509" s="174"/>
      <c r="X509" s="174"/>
      <c r="Y509" s="187"/>
      <c r="AA509" s="78"/>
      <c r="AC509" s="84"/>
      <c r="AG509" s="81"/>
    </row>
    <row r="510" spans="9:33" x14ac:dyDescent="0.25">
      <c r="I510" s="49"/>
      <c r="J510" s="49"/>
      <c r="K510" s="49"/>
      <c r="M510" s="33"/>
      <c r="T510" s="81"/>
      <c r="V510" s="174"/>
      <c r="W510" s="174"/>
      <c r="X510" s="174"/>
      <c r="Y510" s="187"/>
      <c r="AA510" s="78"/>
      <c r="AC510" s="79"/>
      <c r="AG510" s="81"/>
    </row>
    <row r="511" spans="9:33" x14ac:dyDescent="0.25">
      <c r="I511" s="49"/>
      <c r="J511" s="49"/>
      <c r="K511" s="49"/>
      <c r="M511" s="37"/>
      <c r="T511" s="81"/>
      <c r="V511" s="174"/>
      <c r="W511" s="174"/>
      <c r="X511" s="174"/>
      <c r="Y511" s="187"/>
      <c r="AA511" s="78"/>
      <c r="AC511" s="84"/>
      <c r="AG511" s="81"/>
    </row>
    <row r="512" spans="9:33" x14ac:dyDescent="0.25">
      <c r="I512" s="49"/>
      <c r="J512" s="49"/>
      <c r="K512" s="49"/>
      <c r="M512" s="34"/>
      <c r="T512" s="81"/>
      <c r="V512" s="174"/>
      <c r="W512" s="174"/>
      <c r="X512" s="174"/>
      <c r="Y512" s="187"/>
      <c r="AA512" s="78"/>
      <c r="AC512" s="82"/>
      <c r="AG512" s="81"/>
    </row>
    <row r="513" spans="9:33" x14ac:dyDescent="0.25">
      <c r="I513" s="49"/>
      <c r="J513" s="49"/>
      <c r="K513" s="49"/>
      <c r="M513" s="37"/>
      <c r="T513" s="81"/>
      <c r="V513" s="174"/>
      <c r="W513" s="174"/>
      <c r="X513" s="174"/>
      <c r="Y513" s="187"/>
      <c r="AA513" s="78"/>
      <c r="AC513" s="84"/>
      <c r="AG513" s="81"/>
    </row>
    <row r="514" spans="9:33" x14ac:dyDescent="0.25">
      <c r="I514" s="49"/>
      <c r="J514" s="49"/>
      <c r="K514" s="49"/>
      <c r="M514" s="37"/>
      <c r="T514" s="81"/>
      <c r="V514" s="174"/>
      <c r="W514" s="174"/>
      <c r="X514" s="174"/>
      <c r="Y514" s="187"/>
      <c r="AA514" s="78"/>
      <c r="AC514" s="84"/>
      <c r="AG514" s="81"/>
    </row>
    <row r="515" spans="9:33" x14ac:dyDescent="0.25">
      <c r="I515" s="49"/>
      <c r="J515" s="49"/>
      <c r="K515" s="49"/>
      <c r="M515" s="34"/>
      <c r="T515" s="81"/>
      <c r="V515" s="174"/>
      <c r="W515" s="174"/>
      <c r="X515" s="174"/>
      <c r="Y515" s="187"/>
      <c r="AA515" s="78"/>
      <c r="AC515" s="82"/>
      <c r="AG515" s="81"/>
    </row>
    <row r="516" spans="9:33" x14ac:dyDescent="0.25">
      <c r="I516" s="49"/>
      <c r="J516" s="49"/>
      <c r="K516" s="49"/>
      <c r="M516" s="37"/>
      <c r="T516" s="81"/>
      <c r="V516" s="174"/>
      <c r="W516" s="174"/>
      <c r="X516" s="174"/>
      <c r="Y516" s="187"/>
      <c r="AA516" s="78"/>
      <c r="AC516" s="84"/>
      <c r="AG516" s="81"/>
    </row>
    <row r="517" spans="9:33" x14ac:dyDescent="0.25">
      <c r="I517" s="49"/>
      <c r="J517" s="49"/>
      <c r="K517" s="49"/>
      <c r="M517" s="33"/>
      <c r="T517" s="81"/>
      <c r="V517" s="174"/>
      <c r="W517" s="174"/>
      <c r="X517" s="174"/>
      <c r="Y517" s="187"/>
      <c r="AA517" s="78"/>
      <c r="AC517" s="79"/>
      <c r="AG517" s="81"/>
    </row>
    <row r="518" spans="9:33" x14ac:dyDescent="0.25">
      <c r="I518" s="49"/>
      <c r="J518" s="49"/>
      <c r="K518" s="49"/>
      <c r="M518" s="37"/>
      <c r="T518" s="81"/>
      <c r="V518" s="174"/>
      <c r="W518" s="174"/>
      <c r="X518" s="174"/>
      <c r="Y518" s="187"/>
      <c r="AA518" s="78"/>
      <c r="AC518" s="84"/>
      <c r="AG518" s="81"/>
    </row>
    <row r="519" spans="9:33" x14ac:dyDescent="0.25">
      <c r="I519" s="49"/>
      <c r="J519" s="49"/>
      <c r="K519" s="49"/>
      <c r="M519" s="34"/>
      <c r="T519" s="81"/>
      <c r="V519" s="174"/>
      <c r="W519" s="174"/>
      <c r="X519" s="174"/>
      <c r="Y519" s="187"/>
      <c r="AA519" s="78"/>
      <c r="AC519" s="82"/>
      <c r="AG519" s="81"/>
    </row>
    <row r="520" spans="9:33" x14ac:dyDescent="0.25">
      <c r="I520" s="49"/>
      <c r="J520" s="49"/>
      <c r="K520" s="49"/>
      <c r="M520" s="37"/>
      <c r="T520" s="81"/>
      <c r="V520" s="174"/>
      <c r="W520" s="174"/>
      <c r="X520" s="174"/>
      <c r="Y520" s="187"/>
      <c r="AA520" s="78"/>
      <c r="AC520" s="84"/>
      <c r="AG520" s="81"/>
    </row>
    <row r="521" spans="9:33" x14ac:dyDescent="0.25">
      <c r="I521" s="49"/>
      <c r="J521" s="49"/>
      <c r="K521" s="49"/>
      <c r="M521" s="37"/>
      <c r="T521" s="81"/>
      <c r="V521" s="174"/>
      <c r="W521" s="174"/>
      <c r="X521" s="174"/>
      <c r="Y521" s="187"/>
      <c r="AA521" s="78"/>
      <c r="AC521" s="84"/>
      <c r="AG521" s="81"/>
    </row>
    <row r="522" spans="9:33" x14ac:dyDescent="0.25">
      <c r="I522" s="49"/>
      <c r="J522" s="49"/>
      <c r="K522" s="49"/>
      <c r="M522" s="34"/>
      <c r="T522" s="81"/>
      <c r="V522" s="174"/>
      <c r="W522" s="174"/>
      <c r="X522" s="174"/>
      <c r="Y522" s="187"/>
      <c r="AA522" s="78"/>
      <c r="AC522" s="82"/>
      <c r="AG522" s="81"/>
    </row>
    <row r="523" spans="9:33" x14ac:dyDescent="0.25">
      <c r="I523" s="49"/>
      <c r="J523" s="49"/>
      <c r="K523" s="49"/>
      <c r="M523" s="37"/>
      <c r="T523" s="81"/>
      <c r="V523" s="174"/>
      <c r="W523" s="174"/>
      <c r="X523" s="174"/>
      <c r="Y523" s="187"/>
      <c r="AA523" s="78"/>
      <c r="AC523" s="84"/>
      <c r="AG523" s="81"/>
    </row>
    <row r="524" spans="9:33" x14ac:dyDescent="0.25">
      <c r="I524" s="49"/>
      <c r="J524" s="49"/>
      <c r="K524" s="49"/>
      <c r="M524" s="33"/>
      <c r="T524" s="81"/>
      <c r="V524" s="174"/>
      <c r="W524" s="174"/>
      <c r="X524" s="174"/>
      <c r="Y524" s="187"/>
      <c r="AA524" s="78"/>
      <c r="AC524" s="79"/>
      <c r="AG524" s="81"/>
    </row>
    <row r="525" spans="9:33" x14ac:dyDescent="0.25">
      <c r="I525" s="49"/>
      <c r="J525" s="49"/>
      <c r="K525" s="49"/>
      <c r="M525" s="37"/>
      <c r="T525" s="81"/>
      <c r="V525" s="174"/>
      <c r="W525" s="174"/>
      <c r="X525" s="174"/>
      <c r="Y525" s="187"/>
      <c r="AA525" s="78"/>
      <c r="AC525" s="84"/>
      <c r="AG525" s="81"/>
    </row>
    <row r="526" spans="9:33" x14ac:dyDescent="0.25">
      <c r="I526" s="49"/>
      <c r="J526" s="49"/>
      <c r="K526" s="49"/>
      <c r="M526" s="34"/>
      <c r="T526" s="81"/>
      <c r="V526" s="174"/>
      <c r="W526" s="174"/>
      <c r="X526" s="174"/>
      <c r="Y526" s="187"/>
      <c r="AA526" s="78"/>
      <c r="AC526" s="82"/>
      <c r="AG526" s="81"/>
    </row>
    <row r="527" spans="9:33" x14ac:dyDescent="0.25">
      <c r="I527" s="49"/>
      <c r="J527" s="49"/>
      <c r="K527" s="49"/>
      <c r="M527" s="37"/>
      <c r="T527" s="81"/>
      <c r="V527" s="174"/>
      <c r="W527" s="174"/>
      <c r="X527" s="174"/>
      <c r="Y527" s="187"/>
      <c r="AA527" s="78"/>
      <c r="AC527" s="84"/>
      <c r="AG527" s="81"/>
    </row>
    <row r="528" spans="9:33" x14ac:dyDescent="0.25">
      <c r="I528" s="49"/>
      <c r="J528" s="49"/>
      <c r="K528" s="49"/>
      <c r="M528" s="37"/>
      <c r="T528" s="81"/>
      <c r="V528" s="174"/>
      <c r="W528" s="174"/>
      <c r="X528" s="174"/>
      <c r="Y528" s="187"/>
      <c r="AA528" s="78"/>
      <c r="AC528" s="84"/>
      <c r="AG528" s="81"/>
    </row>
    <row r="529" spans="9:33" x14ac:dyDescent="0.25">
      <c r="I529" s="49"/>
      <c r="J529" s="49"/>
      <c r="K529" s="49"/>
      <c r="M529" s="34"/>
      <c r="T529" s="81"/>
      <c r="V529" s="174"/>
      <c r="W529" s="174"/>
      <c r="X529" s="174"/>
      <c r="Y529" s="187"/>
      <c r="AA529" s="78"/>
      <c r="AC529" s="82"/>
      <c r="AG529" s="81"/>
    </row>
    <row r="530" spans="9:33" x14ac:dyDescent="0.25">
      <c r="I530" s="49"/>
      <c r="J530" s="49"/>
      <c r="K530" s="49"/>
      <c r="M530" s="37"/>
      <c r="T530" s="81"/>
      <c r="V530" s="174"/>
      <c r="W530" s="174"/>
      <c r="X530" s="174"/>
      <c r="Y530" s="187"/>
      <c r="AA530" s="78"/>
      <c r="AC530" s="84"/>
      <c r="AG530" s="81"/>
    </row>
    <row r="531" spans="9:33" x14ac:dyDescent="0.25">
      <c r="I531" s="49"/>
      <c r="J531" s="49"/>
      <c r="K531" s="49"/>
      <c r="M531" s="37"/>
      <c r="T531" s="81"/>
      <c r="V531" s="174"/>
      <c r="W531" s="174"/>
      <c r="X531" s="174"/>
      <c r="Y531" s="187"/>
      <c r="AA531" s="78"/>
      <c r="AC531" s="84"/>
      <c r="AG531" s="81"/>
    </row>
    <row r="532" spans="9:33" x14ac:dyDescent="0.25">
      <c r="I532" s="49"/>
      <c r="J532" s="49"/>
      <c r="K532" s="49"/>
      <c r="M532" s="33"/>
      <c r="T532" s="81"/>
      <c r="V532" s="174"/>
      <c r="W532" s="174"/>
      <c r="X532" s="174"/>
      <c r="Y532" s="187"/>
      <c r="AA532" s="78"/>
      <c r="AC532" s="79"/>
      <c r="AG532" s="81"/>
    </row>
    <row r="533" spans="9:33" x14ac:dyDescent="0.25">
      <c r="I533" s="49"/>
      <c r="J533" s="49"/>
      <c r="K533" s="49"/>
      <c r="M533" s="34"/>
      <c r="T533" s="81"/>
      <c r="V533" s="174"/>
      <c r="W533" s="174"/>
      <c r="X533" s="174"/>
      <c r="Y533" s="187"/>
      <c r="AA533" s="78"/>
      <c r="AC533" s="82"/>
      <c r="AG533" s="81"/>
    </row>
    <row r="534" spans="9:33" x14ac:dyDescent="0.25">
      <c r="I534" s="49"/>
      <c r="J534" s="49"/>
      <c r="K534" s="49"/>
      <c r="M534" s="37"/>
      <c r="T534" s="81"/>
      <c r="V534" s="174"/>
      <c r="W534" s="174"/>
      <c r="X534" s="174"/>
      <c r="Y534" s="187"/>
      <c r="AA534" s="78"/>
      <c r="AC534" s="84"/>
      <c r="AG534" s="81"/>
    </row>
    <row r="535" spans="9:33" x14ac:dyDescent="0.25">
      <c r="I535" s="49"/>
      <c r="J535" s="49"/>
      <c r="K535" s="49"/>
      <c r="M535" s="37"/>
      <c r="T535" s="81"/>
      <c r="V535" s="174"/>
      <c r="W535" s="174"/>
      <c r="X535" s="174"/>
      <c r="Y535" s="187"/>
      <c r="AA535" s="78"/>
      <c r="AC535" s="84"/>
      <c r="AG535" s="81"/>
    </row>
    <row r="536" spans="9:33" x14ac:dyDescent="0.25">
      <c r="I536" s="49"/>
      <c r="J536" s="49"/>
      <c r="K536" s="49"/>
      <c r="M536" s="34"/>
      <c r="T536" s="81"/>
      <c r="V536" s="174"/>
      <c r="W536" s="174"/>
      <c r="X536" s="174"/>
      <c r="Y536" s="187"/>
      <c r="AA536" s="78"/>
      <c r="AC536" s="82"/>
      <c r="AG536" s="81"/>
    </row>
    <row r="537" spans="9:33" x14ac:dyDescent="0.25">
      <c r="I537" s="49"/>
      <c r="J537" s="49"/>
      <c r="K537" s="49"/>
      <c r="M537" s="37"/>
      <c r="T537" s="81"/>
      <c r="V537" s="174"/>
      <c r="W537" s="174"/>
      <c r="X537" s="174"/>
      <c r="Y537" s="187"/>
      <c r="AA537" s="78"/>
      <c r="AC537" s="84"/>
      <c r="AG537" s="81"/>
    </row>
    <row r="538" spans="9:33" x14ac:dyDescent="0.25">
      <c r="I538" s="49"/>
      <c r="J538" s="49"/>
      <c r="K538" s="49"/>
      <c r="M538" s="37"/>
      <c r="T538" s="81"/>
      <c r="V538" s="174"/>
      <c r="W538" s="174"/>
      <c r="X538" s="174"/>
      <c r="Y538" s="187"/>
      <c r="AA538" s="78"/>
      <c r="AC538" s="84"/>
      <c r="AG538" s="81"/>
    </row>
    <row r="539" spans="9:33" x14ac:dyDescent="0.25">
      <c r="I539" s="49"/>
      <c r="J539" s="49"/>
      <c r="K539" s="49"/>
      <c r="M539" s="33"/>
      <c r="T539" s="81"/>
      <c r="V539" s="174"/>
      <c r="W539" s="174"/>
      <c r="X539" s="174"/>
      <c r="Y539" s="187"/>
      <c r="AA539" s="78"/>
      <c r="AC539" s="79"/>
      <c r="AG539" s="81"/>
    </row>
    <row r="540" spans="9:33" x14ac:dyDescent="0.25">
      <c r="I540" s="49"/>
      <c r="J540" s="49"/>
      <c r="K540" s="49"/>
      <c r="M540" s="34"/>
      <c r="T540" s="81"/>
      <c r="V540" s="174"/>
      <c r="W540" s="174"/>
      <c r="X540" s="174"/>
      <c r="Y540" s="187"/>
      <c r="AA540" s="78"/>
      <c r="AC540" s="82"/>
      <c r="AG540" s="81"/>
    </row>
    <row r="541" spans="9:33" x14ac:dyDescent="0.25">
      <c r="I541" s="49"/>
      <c r="J541" s="49"/>
      <c r="K541" s="49"/>
      <c r="M541" s="37"/>
      <c r="T541" s="81"/>
      <c r="V541" s="174"/>
      <c r="W541" s="174"/>
      <c r="X541" s="174"/>
      <c r="Y541" s="187"/>
      <c r="AA541" s="78"/>
      <c r="AC541" s="84"/>
      <c r="AG541" s="81"/>
    </row>
    <row r="542" spans="9:33" x14ac:dyDescent="0.25">
      <c r="I542" s="49"/>
      <c r="J542" s="49"/>
      <c r="K542" s="49"/>
      <c r="M542" s="37"/>
      <c r="T542" s="81"/>
      <c r="V542" s="174"/>
      <c r="W542" s="174"/>
      <c r="X542" s="174"/>
      <c r="Y542" s="187"/>
      <c r="AA542" s="78"/>
      <c r="AC542" s="84"/>
      <c r="AG542" s="81"/>
    </row>
    <row r="543" spans="9:33" x14ac:dyDescent="0.25">
      <c r="I543" s="49"/>
      <c r="J543" s="49"/>
      <c r="K543" s="49"/>
      <c r="M543" s="34"/>
      <c r="T543" s="81"/>
      <c r="V543" s="174"/>
      <c r="W543" s="174"/>
      <c r="X543" s="174"/>
      <c r="Y543" s="187"/>
      <c r="AA543" s="78"/>
      <c r="AC543" s="82"/>
      <c r="AG543" s="81"/>
    </row>
    <row r="544" spans="9:33" x14ac:dyDescent="0.25">
      <c r="I544" s="49"/>
      <c r="J544" s="49"/>
      <c r="K544" s="49"/>
      <c r="M544" s="37"/>
      <c r="T544" s="81"/>
      <c r="V544" s="174"/>
      <c r="W544" s="174"/>
      <c r="X544" s="174"/>
      <c r="Y544" s="187"/>
      <c r="AA544" s="78"/>
      <c r="AC544" s="84"/>
      <c r="AG544" s="81"/>
    </row>
    <row r="545" spans="9:33" x14ac:dyDescent="0.25">
      <c r="I545" s="49"/>
      <c r="J545" s="49"/>
      <c r="K545" s="49"/>
      <c r="M545" s="37"/>
      <c r="T545" s="81"/>
      <c r="V545" s="174"/>
      <c r="W545" s="174"/>
      <c r="X545" s="174"/>
      <c r="Y545" s="187"/>
      <c r="AA545" s="78"/>
      <c r="AC545" s="84"/>
      <c r="AG545" s="81"/>
    </row>
    <row r="546" spans="9:33" x14ac:dyDescent="0.25">
      <c r="I546" s="49"/>
      <c r="J546" s="49"/>
      <c r="K546" s="49"/>
      <c r="M546" s="34"/>
      <c r="T546" s="81"/>
      <c r="V546" s="174"/>
      <c r="W546" s="174"/>
      <c r="X546" s="174"/>
      <c r="Y546" s="187"/>
      <c r="AA546" s="78"/>
      <c r="AC546" s="82"/>
      <c r="AG546" s="81"/>
    </row>
    <row r="547" spans="9:33" x14ac:dyDescent="0.25">
      <c r="I547" s="49"/>
      <c r="J547" s="49"/>
      <c r="K547" s="49"/>
      <c r="M547" s="33"/>
      <c r="T547" s="81"/>
      <c r="V547" s="174"/>
      <c r="W547" s="174"/>
      <c r="X547" s="174"/>
      <c r="Y547" s="187"/>
      <c r="AA547" s="78"/>
      <c r="AC547" s="79"/>
      <c r="AG547" s="81"/>
    </row>
    <row r="548" spans="9:33" x14ac:dyDescent="0.25">
      <c r="I548" s="49"/>
      <c r="J548" s="49"/>
      <c r="K548" s="49"/>
      <c r="M548" s="37"/>
      <c r="T548" s="81"/>
      <c r="V548" s="174"/>
      <c r="W548" s="174"/>
      <c r="X548" s="174"/>
      <c r="Y548" s="187"/>
      <c r="AA548" s="78"/>
      <c r="AC548" s="84"/>
      <c r="AG548" s="81"/>
    </row>
    <row r="549" spans="9:33" x14ac:dyDescent="0.25">
      <c r="I549" s="49"/>
      <c r="J549" s="49"/>
      <c r="K549" s="49"/>
      <c r="M549" s="37"/>
      <c r="T549" s="81"/>
      <c r="V549" s="174"/>
      <c r="W549" s="174"/>
      <c r="X549" s="174"/>
      <c r="Y549" s="187"/>
      <c r="AA549" s="78"/>
      <c r="AC549" s="84"/>
      <c r="AG549" s="81"/>
    </row>
    <row r="550" spans="9:33" x14ac:dyDescent="0.25">
      <c r="I550" s="49"/>
      <c r="J550" s="49"/>
      <c r="K550" s="49"/>
      <c r="M550" s="34"/>
      <c r="T550" s="81"/>
      <c r="V550" s="174"/>
      <c r="W550" s="174"/>
      <c r="X550" s="174"/>
      <c r="Y550" s="187"/>
      <c r="AA550" s="78"/>
      <c r="AC550" s="82"/>
      <c r="AG550" s="81"/>
    </row>
    <row r="551" spans="9:33" x14ac:dyDescent="0.25">
      <c r="I551" s="49"/>
      <c r="J551" s="49"/>
      <c r="K551" s="49"/>
      <c r="M551" s="37"/>
      <c r="T551" s="81"/>
      <c r="V551" s="174"/>
      <c r="W551" s="174"/>
      <c r="X551" s="174"/>
      <c r="Y551" s="187"/>
      <c r="AA551" s="78"/>
      <c r="AC551" s="84"/>
      <c r="AG551" s="81"/>
    </row>
    <row r="552" spans="9:33" x14ac:dyDescent="0.25">
      <c r="I552" s="49"/>
      <c r="J552" s="49"/>
      <c r="K552" s="49"/>
      <c r="M552" s="37"/>
      <c r="T552" s="81"/>
      <c r="V552" s="174"/>
      <c r="W552" s="174"/>
      <c r="X552" s="174"/>
      <c r="Y552" s="187"/>
      <c r="AA552" s="78"/>
      <c r="AC552" s="84"/>
      <c r="AG552" s="81"/>
    </row>
    <row r="553" spans="9:33" x14ac:dyDescent="0.25">
      <c r="I553" s="49"/>
      <c r="J553" s="49"/>
      <c r="K553" s="49"/>
      <c r="M553" s="34"/>
      <c r="T553" s="81"/>
      <c r="V553" s="174"/>
      <c r="W553" s="174"/>
      <c r="X553" s="174"/>
      <c r="Y553" s="187"/>
      <c r="AA553" s="78"/>
      <c r="AC553" s="82"/>
      <c r="AG553" s="81"/>
    </row>
    <row r="554" spans="9:33" x14ac:dyDescent="0.25">
      <c r="I554" s="49"/>
      <c r="J554" s="49"/>
      <c r="K554" s="49"/>
      <c r="M554" s="33"/>
      <c r="T554" s="81"/>
      <c r="V554" s="174"/>
      <c r="W554" s="174"/>
      <c r="X554" s="174"/>
      <c r="Y554" s="187"/>
      <c r="AA554" s="78"/>
      <c r="AC554" s="79"/>
      <c r="AG554" s="81"/>
    </row>
    <row r="555" spans="9:33" x14ac:dyDescent="0.25">
      <c r="I555" s="49"/>
      <c r="J555" s="49"/>
      <c r="K555" s="49"/>
      <c r="M555" s="37"/>
      <c r="T555" s="81"/>
      <c r="V555" s="174"/>
      <c r="W555" s="174"/>
      <c r="X555" s="174"/>
      <c r="Y555" s="187"/>
      <c r="AA555" s="78"/>
      <c r="AC555" s="84"/>
    </row>
    <row r="556" spans="9:33" x14ac:dyDescent="0.25">
      <c r="I556" s="49"/>
      <c r="J556" s="49"/>
      <c r="K556" s="49"/>
      <c r="M556" s="37"/>
      <c r="T556" s="81"/>
      <c r="V556" s="174"/>
      <c r="W556" s="174"/>
      <c r="X556" s="174"/>
      <c r="Y556" s="187"/>
      <c r="AA556" s="78"/>
      <c r="AC556" s="84"/>
    </row>
    <row r="557" spans="9:33" x14ac:dyDescent="0.25">
      <c r="I557" s="49"/>
      <c r="J557" s="49"/>
      <c r="K557" s="49"/>
      <c r="M557" s="34"/>
      <c r="T557" s="81"/>
      <c r="V557" s="174"/>
      <c r="W557" s="174"/>
      <c r="X557" s="174"/>
      <c r="Y557" s="187"/>
      <c r="AA557" s="78"/>
      <c r="AC557" s="82"/>
    </row>
    <row r="558" spans="9:33" x14ac:dyDescent="0.25">
      <c r="I558" s="49"/>
      <c r="J558" s="49"/>
      <c r="K558" s="49"/>
      <c r="M558" s="37"/>
      <c r="T558" s="81"/>
      <c r="V558" s="174"/>
      <c r="W558" s="174"/>
      <c r="X558" s="174"/>
      <c r="Y558" s="187"/>
      <c r="AA558" s="78"/>
      <c r="AC558" s="84"/>
    </row>
    <row r="559" spans="9:33" x14ac:dyDescent="0.25">
      <c r="I559" s="49"/>
      <c r="J559" s="49"/>
      <c r="K559" s="49"/>
      <c r="M559" s="37"/>
      <c r="T559" s="81"/>
      <c r="V559" s="174"/>
      <c r="W559" s="174"/>
      <c r="X559" s="174"/>
      <c r="Y559" s="187"/>
      <c r="AA559" s="78"/>
      <c r="AC559" s="84"/>
    </row>
    <row r="560" spans="9:33" x14ac:dyDescent="0.25">
      <c r="I560" s="49"/>
      <c r="J560" s="49"/>
      <c r="K560" s="49"/>
      <c r="M560" s="34"/>
      <c r="T560" s="81"/>
      <c r="V560" s="174"/>
      <c r="W560" s="174"/>
      <c r="X560" s="174"/>
      <c r="Y560" s="187"/>
      <c r="AA560" s="78"/>
      <c r="AC560" s="82"/>
    </row>
    <row r="561" spans="9:29" x14ac:dyDescent="0.25">
      <c r="I561" s="49"/>
      <c r="J561" s="49"/>
      <c r="K561" s="49"/>
      <c r="M561" s="37"/>
      <c r="T561" s="81"/>
      <c r="V561" s="174"/>
      <c r="W561" s="174"/>
      <c r="X561" s="174"/>
      <c r="Y561" s="187"/>
      <c r="AA561" s="78"/>
      <c r="AC561" s="84"/>
    </row>
    <row r="562" spans="9:29" x14ac:dyDescent="0.25">
      <c r="I562" s="49"/>
      <c r="J562" s="49"/>
      <c r="K562" s="49"/>
      <c r="M562" s="33"/>
      <c r="T562" s="81"/>
      <c r="V562" s="174"/>
      <c r="W562" s="174"/>
      <c r="X562" s="174"/>
      <c r="Y562" s="187"/>
      <c r="AA562" s="78"/>
      <c r="AC562" s="79"/>
    </row>
    <row r="563" spans="9:29" x14ac:dyDescent="0.25">
      <c r="I563" s="49"/>
      <c r="J563" s="49"/>
      <c r="K563" s="49"/>
      <c r="M563" s="37"/>
      <c r="T563" s="81"/>
      <c r="V563" s="174"/>
      <c r="W563" s="174"/>
      <c r="X563" s="174"/>
      <c r="Y563" s="187"/>
      <c r="AA563" s="78"/>
      <c r="AC563" s="84"/>
    </row>
    <row r="564" spans="9:29" x14ac:dyDescent="0.25">
      <c r="I564" s="49"/>
      <c r="J564" s="49"/>
      <c r="K564" s="49"/>
      <c r="M564" s="34"/>
      <c r="T564" s="81"/>
      <c r="V564" s="174"/>
      <c r="W564" s="174"/>
      <c r="X564" s="174"/>
      <c r="Y564" s="187"/>
      <c r="AA564" s="78"/>
      <c r="AC564" s="82"/>
    </row>
    <row r="565" spans="9:29" x14ac:dyDescent="0.25">
      <c r="I565" s="49"/>
      <c r="J565" s="49"/>
      <c r="K565" s="49"/>
      <c r="M565" s="37"/>
      <c r="T565" s="81"/>
      <c r="V565" s="174"/>
      <c r="W565" s="174"/>
      <c r="X565" s="174"/>
      <c r="Y565" s="187"/>
      <c r="AA565" s="78"/>
      <c r="AC565" s="84"/>
    </row>
    <row r="566" spans="9:29" x14ac:dyDescent="0.25">
      <c r="I566" s="49"/>
      <c r="J566" s="49"/>
      <c r="K566" s="49"/>
      <c r="M566" s="37"/>
      <c r="T566" s="81"/>
      <c r="V566" s="174"/>
      <c r="W566" s="174"/>
      <c r="X566" s="174"/>
      <c r="Y566" s="187"/>
      <c r="AA566" s="78"/>
      <c r="AC566" s="84"/>
    </row>
    <row r="567" spans="9:29" x14ac:dyDescent="0.25">
      <c r="I567" s="49"/>
      <c r="J567" s="49"/>
      <c r="K567" s="49"/>
      <c r="M567" s="34"/>
      <c r="T567" s="81"/>
      <c r="V567" s="174"/>
      <c r="W567" s="174"/>
      <c r="X567" s="174"/>
      <c r="Y567" s="187"/>
      <c r="AA567" s="78"/>
      <c r="AC567" s="82"/>
    </row>
    <row r="568" spans="9:29" x14ac:dyDescent="0.25">
      <c r="I568" s="49"/>
      <c r="J568" s="49"/>
      <c r="K568" s="49"/>
      <c r="M568" s="37"/>
      <c r="T568" s="81"/>
      <c r="V568" s="174"/>
      <c r="W568" s="174"/>
      <c r="X568" s="174"/>
      <c r="Y568" s="187"/>
      <c r="AA568" s="78"/>
      <c r="AC568" s="84"/>
    </row>
    <row r="569" spans="9:29" x14ac:dyDescent="0.25">
      <c r="I569" s="49"/>
      <c r="J569" s="49"/>
      <c r="K569" s="49"/>
      <c r="M569" s="33"/>
      <c r="T569" s="81"/>
      <c r="V569" s="174"/>
      <c r="W569" s="174"/>
      <c r="X569" s="174"/>
      <c r="Y569" s="187"/>
      <c r="AA569" s="78"/>
      <c r="AC569" s="79"/>
    </row>
    <row r="570" spans="9:29" x14ac:dyDescent="0.25">
      <c r="I570" s="49"/>
      <c r="J570" s="49"/>
      <c r="K570" s="49"/>
      <c r="M570" s="37"/>
      <c r="T570" s="81"/>
      <c r="V570" s="174"/>
      <c r="W570" s="174"/>
      <c r="X570" s="174"/>
      <c r="Y570" s="187"/>
      <c r="AA570" s="78"/>
      <c r="AC570" s="84"/>
    </row>
    <row r="571" spans="9:29" x14ac:dyDescent="0.25">
      <c r="I571" s="49"/>
      <c r="J571" s="49"/>
      <c r="K571" s="49"/>
      <c r="M571" s="34"/>
      <c r="T571" s="81"/>
      <c r="V571" s="174"/>
      <c r="W571" s="174"/>
      <c r="X571" s="174"/>
      <c r="Y571" s="187"/>
      <c r="AA571" s="78"/>
      <c r="AC571" s="82"/>
    </row>
    <row r="572" spans="9:29" x14ac:dyDescent="0.25">
      <c r="I572" s="49"/>
      <c r="J572" s="49"/>
      <c r="K572" s="49"/>
      <c r="M572" s="37"/>
      <c r="T572" s="81"/>
      <c r="V572" s="174"/>
      <c r="W572" s="174"/>
      <c r="X572" s="174"/>
      <c r="Y572" s="187"/>
      <c r="AA572" s="78"/>
      <c r="AC572" s="84"/>
    </row>
    <row r="573" spans="9:29" x14ac:dyDescent="0.25">
      <c r="I573" s="49"/>
      <c r="J573" s="49"/>
      <c r="K573" s="49"/>
      <c r="M573" s="37"/>
      <c r="T573" s="81"/>
      <c r="V573" s="174"/>
      <c r="W573" s="174"/>
      <c r="X573" s="174"/>
      <c r="Y573" s="187"/>
      <c r="AA573" s="78"/>
      <c r="AC573" s="84"/>
    </row>
    <row r="574" spans="9:29" x14ac:dyDescent="0.25">
      <c r="I574" s="49"/>
      <c r="J574" s="49"/>
      <c r="K574" s="49"/>
      <c r="M574" s="34"/>
      <c r="V574" s="174"/>
      <c r="W574" s="174"/>
      <c r="X574" s="174"/>
      <c r="Y574" s="187"/>
      <c r="AA574" s="78"/>
      <c r="AC574" s="82"/>
    </row>
    <row r="575" spans="9:29" x14ac:dyDescent="0.25">
      <c r="I575" s="49"/>
      <c r="J575" s="49"/>
      <c r="K575" s="49"/>
      <c r="M575" s="33"/>
      <c r="V575" s="174"/>
      <c r="W575" s="174"/>
      <c r="X575" s="174"/>
      <c r="Y575" s="187"/>
      <c r="AA575" s="78"/>
      <c r="AC575" s="79"/>
    </row>
    <row r="576" spans="9:29" x14ac:dyDescent="0.25">
      <c r="I576" s="49"/>
      <c r="J576" s="49"/>
      <c r="K576" s="49"/>
      <c r="M576" s="37"/>
      <c r="V576" s="174"/>
      <c r="W576" s="174"/>
      <c r="X576" s="174"/>
      <c r="Y576" s="187"/>
      <c r="AA576" s="78"/>
      <c r="AC576" s="84"/>
    </row>
    <row r="577" spans="9:29" x14ac:dyDescent="0.25">
      <c r="I577" s="49"/>
      <c r="J577" s="49"/>
      <c r="K577" s="49"/>
      <c r="M577" s="34"/>
      <c r="V577" s="174"/>
      <c r="W577" s="174"/>
      <c r="X577" s="174"/>
      <c r="Y577" s="187"/>
      <c r="AA577" s="78"/>
      <c r="AC577" s="82"/>
    </row>
    <row r="578" spans="9:29" x14ac:dyDescent="0.25">
      <c r="I578" s="49"/>
      <c r="J578" s="49"/>
      <c r="K578" s="49"/>
      <c r="M578" s="37"/>
      <c r="V578" s="174"/>
      <c r="W578" s="174"/>
      <c r="X578" s="174"/>
      <c r="Y578" s="187"/>
      <c r="AA578" s="78"/>
      <c r="AC578" s="84"/>
    </row>
    <row r="579" spans="9:29" x14ac:dyDescent="0.25">
      <c r="I579" s="49"/>
      <c r="J579" s="49"/>
      <c r="K579" s="49"/>
      <c r="M579" s="37"/>
      <c r="V579" s="174"/>
      <c r="W579" s="174"/>
      <c r="X579" s="174"/>
      <c r="Y579" s="187"/>
      <c r="AA579" s="78"/>
      <c r="AC579" s="84"/>
    </row>
    <row r="580" spans="9:29" x14ac:dyDescent="0.25">
      <c r="I580" s="49"/>
      <c r="J580" s="49"/>
      <c r="K580" s="49"/>
      <c r="M580" s="34"/>
      <c r="V580" s="174"/>
      <c r="W580" s="174"/>
      <c r="X580" s="174"/>
      <c r="Y580" s="187"/>
      <c r="AA580" s="78"/>
      <c r="AC580" s="82"/>
    </row>
    <row r="581" spans="9:29" x14ac:dyDescent="0.25">
      <c r="I581" s="49"/>
      <c r="J581" s="49"/>
      <c r="K581" s="49"/>
      <c r="M581" s="37"/>
      <c r="V581" s="174"/>
      <c r="W581" s="174"/>
      <c r="X581" s="174"/>
      <c r="Y581" s="187"/>
      <c r="AA581" s="78"/>
      <c r="AC581" s="84"/>
    </row>
    <row r="582" spans="9:29" x14ac:dyDescent="0.25">
      <c r="I582" s="49"/>
      <c r="J582" s="49"/>
      <c r="K582" s="49"/>
      <c r="M582" s="33"/>
      <c r="V582" s="174"/>
      <c r="W582" s="174"/>
      <c r="X582" s="174"/>
      <c r="Y582" s="187"/>
      <c r="AA582" s="78"/>
      <c r="AC582" s="79"/>
    </row>
    <row r="583" spans="9:29" x14ac:dyDescent="0.25">
      <c r="I583" s="49"/>
      <c r="J583" s="49"/>
      <c r="K583" s="49"/>
      <c r="M583" s="34"/>
      <c r="V583" s="174"/>
      <c r="W583" s="174"/>
      <c r="X583" s="174"/>
      <c r="Y583" s="187"/>
      <c r="AA583" s="78"/>
      <c r="AC583" s="82"/>
    </row>
    <row r="584" spans="9:29" x14ac:dyDescent="0.25">
      <c r="I584" s="49"/>
      <c r="J584" s="49"/>
      <c r="K584" s="49"/>
      <c r="M584" s="37"/>
      <c r="V584" s="174"/>
      <c r="W584" s="174"/>
      <c r="X584" s="174"/>
      <c r="Y584" s="187"/>
      <c r="AA584" s="78"/>
      <c r="AC584" s="84"/>
    </row>
    <row r="585" spans="9:29" x14ac:dyDescent="0.25">
      <c r="I585" s="49"/>
      <c r="J585" s="49"/>
      <c r="K585" s="49"/>
      <c r="M585" s="37"/>
      <c r="V585" s="174"/>
      <c r="W585" s="174"/>
      <c r="X585" s="174"/>
      <c r="Y585" s="187"/>
      <c r="AA585" s="78"/>
      <c r="AC585" s="84"/>
    </row>
    <row r="586" spans="9:29" x14ac:dyDescent="0.25">
      <c r="I586" s="49"/>
      <c r="J586" s="49"/>
      <c r="K586" s="49"/>
      <c r="M586" s="34"/>
      <c r="V586" s="174"/>
      <c r="W586" s="174"/>
      <c r="X586" s="174"/>
      <c r="Y586" s="187"/>
      <c r="AA586" s="78"/>
      <c r="AC586" s="82"/>
    </row>
    <row r="587" spans="9:29" x14ac:dyDescent="0.25">
      <c r="I587" s="49"/>
      <c r="J587" s="49"/>
      <c r="K587" s="49"/>
      <c r="M587" s="37"/>
      <c r="V587" s="174"/>
      <c r="W587" s="174"/>
      <c r="X587" s="174"/>
      <c r="Y587" s="187"/>
      <c r="AA587" s="78"/>
      <c r="AC587" s="84"/>
    </row>
    <row r="588" spans="9:29" x14ac:dyDescent="0.25">
      <c r="I588" s="49"/>
      <c r="J588" s="49"/>
      <c r="K588" s="49"/>
      <c r="M588" s="37"/>
      <c r="V588" s="174"/>
      <c r="W588" s="174"/>
      <c r="X588" s="174"/>
      <c r="Y588" s="187"/>
      <c r="AA588" s="78"/>
      <c r="AC588" s="84"/>
    </row>
    <row r="589" spans="9:29" x14ac:dyDescent="0.25">
      <c r="I589" s="49"/>
      <c r="J589" s="49"/>
      <c r="K589" s="49"/>
      <c r="M589" s="33"/>
      <c r="V589" s="174"/>
      <c r="W589" s="174"/>
      <c r="X589" s="174"/>
      <c r="Y589" s="187"/>
      <c r="AA589" s="78"/>
      <c r="AC589" s="79"/>
    </row>
    <row r="590" spans="9:29" x14ac:dyDescent="0.25">
      <c r="I590" s="49"/>
      <c r="J590" s="49"/>
      <c r="K590" s="49"/>
      <c r="M590" s="34"/>
      <c r="V590" s="174"/>
      <c r="W590" s="174"/>
      <c r="X590" s="174"/>
      <c r="Y590" s="187"/>
      <c r="AA590" s="78"/>
      <c r="AC590" s="82"/>
    </row>
    <row r="591" spans="9:29" x14ac:dyDescent="0.25">
      <c r="I591" s="49"/>
      <c r="J591" s="49"/>
      <c r="K591" s="49"/>
      <c r="M591" s="37"/>
      <c r="V591" s="174"/>
      <c r="W591" s="174"/>
      <c r="X591" s="174"/>
      <c r="Y591" s="187"/>
      <c r="AA591" s="78"/>
      <c r="AC591" s="84"/>
    </row>
    <row r="592" spans="9:29" x14ac:dyDescent="0.25">
      <c r="I592" s="49"/>
      <c r="J592" s="49"/>
      <c r="K592" s="49"/>
      <c r="L592" s="71"/>
      <c r="M592" s="37"/>
      <c r="V592" s="174"/>
      <c r="W592" s="174"/>
      <c r="X592" s="174"/>
      <c r="Y592" s="187"/>
      <c r="AA592" s="78"/>
      <c r="AC592" s="84"/>
    </row>
    <row r="593" spans="9:34" x14ac:dyDescent="0.25">
      <c r="I593" s="49"/>
      <c r="J593" s="49"/>
      <c r="K593" s="49"/>
      <c r="M593" s="34"/>
      <c r="V593" s="174"/>
      <c r="W593" s="174"/>
      <c r="X593" s="174"/>
      <c r="Y593" s="187"/>
      <c r="AA593" s="78"/>
      <c r="AC593" s="82"/>
    </row>
    <row r="594" spans="9:34" x14ac:dyDescent="0.25">
      <c r="I594" s="49"/>
      <c r="J594" s="49"/>
      <c r="K594" s="49"/>
      <c r="M594" s="37"/>
      <c r="U594" s="177"/>
      <c r="V594" s="174"/>
      <c r="W594" s="174"/>
      <c r="X594" s="174"/>
      <c r="Y594" s="187"/>
      <c r="AA594" s="78"/>
      <c r="AC594" s="84"/>
    </row>
    <row r="595" spans="9:34" x14ac:dyDescent="0.25">
      <c r="I595" s="49"/>
      <c r="J595" s="49"/>
      <c r="K595" s="49"/>
      <c r="M595" s="34"/>
      <c r="V595" s="174"/>
      <c r="W595" s="174"/>
      <c r="X595" s="174"/>
      <c r="Y595" s="187"/>
      <c r="AA595" s="78"/>
      <c r="AC595" s="82"/>
    </row>
    <row r="596" spans="9:34" x14ac:dyDescent="0.25">
      <c r="I596" s="49"/>
      <c r="J596" s="49"/>
      <c r="K596" s="49"/>
      <c r="M596" s="38"/>
      <c r="V596" s="174"/>
      <c r="W596" s="174"/>
      <c r="X596" s="174"/>
      <c r="Y596" s="187"/>
      <c r="AA596" s="78"/>
      <c r="AB596" s="85"/>
      <c r="AC596" s="85"/>
    </row>
    <row r="597" spans="9:34" x14ac:dyDescent="0.25">
      <c r="I597" s="49"/>
      <c r="J597" s="49"/>
      <c r="K597" s="49"/>
      <c r="M597" s="37"/>
      <c r="V597" s="174"/>
      <c r="W597" s="174"/>
      <c r="X597" s="174"/>
      <c r="Y597" s="187"/>
      <c r="AA597" s="78"/>
      <c r="AC597" s="84"/>
    </row>
    <row r="598" spans="9:34" x14ac:dyDescent="0.25">
      <c r="I598" s="49"/>
      <c r="J598" s="49"/>
      <c r="K598" s="49"/>
      <c r="M598" s="34"/>
      <c r="V598" s="174"/>
      <c r="W598" s="174"/>
      <c r="X598" s="174"/>
      <c r="Y598" s="187"/>
      <c r="AA598" s="78"/>
      <c r="AC598" s="82"/>
    </row>
    <row r="599" spans="9:34" x14ac:dyDescent="0.25">
      <c r="I599" s="49"/>
      <c r="J599" s="49"/>
      <c r="K599" s="49"/>
      <c r="M599" s="37"/>
      <c r="V599" s="174"/>
      <c r="W599" s="174"/>
      <c r="X599" s="174"/>
      <c r="Y599" s="187"/>
      <c r="AA599" s="78"/>
      <c r="AC599" s="84"/>
    </row>
    <row r="600" spans="9:34" x14ac:dyDescent="0.25">
      <c r="I600" s="49"/>
      <c r="J600" s="49"/>
      <c r="K600" s="49"/>
      <c r="M600" s="37"/>
      <c r="V600" s="174"/>
      <c r="W600" s="174"/>
      <c r="X600" s="174"/>
      <c r="Y600" s="187"/>
      <c r="AA600" s="78"/>
      <c r="AC600" s="84"/>
    </row>
    <row r="601" spans="9:34" x14ac:dyDescent="0.25">
      <c r="I601" s="49"/>
      <c r="J601" s="49"/>
      <c r="K601" s="49"/>
      <c r="M601" s="34"/>
      <c r="V601" s="174"/>
      <c r="W601" s="174"/>
      <c r="X601" s="174"/>
      <c r="Y601" s="187"/>
      <c r="AA601" s="78"/>
      <c r="AC601" s="82"/>
    </row>
    <row r="602" spans="9:34" x14ac:dyDescent="0.25">
      <c r="I602" s="49"/>
      <c r="J602" s="49"/>
      <c r="K602" s="49"/>
      <c r="M602" s="33"/>
      <c r="V602" s="174"/>
      <c r="W602" s="174"/>
      <c r="X602" s="174"/>
      <c r="Y602" s="187"/>
      <c r="AA602" s="78"/>
      <c r="AC602" s="79"/>
    </row>
    <row r="603" spans="9:34" x14ac:dyDescent="0.25">
      <c r="I603" s="49"/>
      <c r="J603" s="49"/>
      <c r="K603" s="49"/>
      <c r="M603" s="37"/>
      <c r="V603" s="174"/>
      <c r="W603" s="174"/>
      <c r="X603" s="174"/>
      <c r="Y603" s="187"/>
      <c r="AA603" s="78"/>
      <c r="AC603" s="84"/>
    </row>
    <row r="604" spans="9:34" x14ac:dyDescent="0.25">
      <c r="I604" s="49"/>
      <c r="J604" s="49"/>
      <c r="K604" s="49"/>
      <c r="M604" s="37"/>
      <c r="V604" s="174"/>
      <c r="W604" s="174"/>
      <c r="X604" s="174"/>
      <c r="Y604" s="187"/>
      <c r="AA604" s="78"/>
      <c r="AC604" s="84"/>
      <c r="AH604" s="85"/>
    </row>
    <row r="605" spans="9:34" x14ac:dyDescent="0.25">
      <c r="I605" s="49"/>
      <c r="J605" s="49"/>
      <c r="K605" s="49"/>
      <c r="M605" s="34"/>
      <c r="V605" s="174"/>
      <c r="W605" s="174"/>
      <c r="X605" s="174"/>
      <c r="Y605" s="187"/>
      <c r="AA605" s="78"/>
      <c r="AC605" s="82"/>
    </row>
    <row r="606" spans="9:34" x14ac:dyDescent="0.25">
      <c r="I606" s="49"/>
      <c r="J606" s="49"/>
      <c r="K606" s="49"/>
      <c r="M606" s="37"/>
      <c r="V606" s="174"/>
      <c r="W606" s="174"/>
      <c r="X606" s="174"/>
      <c r="Y606" s="187"/>
      <c r="AA606" s="78"/>
      <c r="AC606" s="84"/>
    </row>
    <row r="607" spans="9:34" x14ac:dyDescent="0.25">
      <c r="I607" s="49"/>
      <c r="J607" s="49"/>
      <c r="K607" s="49"/>
      <c r="M607" s="37"/>
      <c r="V607" s="174"/>
      <c r="W607" s="174"/>
      <c r="X607" s="174"/>
      <c r="Y607" s="187"/>
      <c r="AA607" s="78"/>
      <c r="AC607" s="84"/>
    </row>
    <row r="608" spans="9:34" x14ac:dyDescent="0.25">
      <c r="I608" s="49"/>
      <c r="J608" s="49"/>
      <c r="K608" s="49"/>
      <c r="M608" s="34"/>
      <c r="V608" s="174"/>
      <c r="W608" s="174"/>
      <c r="X608" s="174"/>
      <c r="Y608" s="187"/>
      <c r="AA608" s="78"/>
      <c r="AC608" s="82"/>
    </row>
    <row r="609" spans="9:29" x14ac:dyDescent="0.25">
      <c r="I609" s="49"/>
      <c r="J609" s="49"/>
      <c r="K609" s="49"/>
      <c r="M609" s="37"/>
      <c r="V609" s="174"/>
      <c r="W609" s="174"/>
      <c r="X609" s="174"/>
      <c r="Y609" s="187"/>
      <c r="AA609" s="78"/>
      <c r="AC609" s="84"/>
    </row>
    <row r="610" spans="9:29" x14ac:dyDescent="0.25">
      <c r="I610" s="49"/>
      <c r="J610" s="49"/>
      <c r="K610" s="49"/>
      <c r="M610" s="33"/>
      <c r="V610" s="174"/>
      <c r="W610" s="174"/>
      <c r="X610" s="174"/>
      <c r="Y610" s="187"/>
      <c r="AA610" s="78"/>
      <c r="AC610" s="79"/>
    </row>
    <row r="611" spans="9:29" x14ac:dyDescent="0.25">
      <c r="I611" s="49"/>
      <c r="J611" s="49"/>
      <c r="K611" s="49"/>
      <c r="M611" s="37"/>
      <c r="V611" s="174"/>
      <c r="W611" s="174"/>
      <c r="X611" s="174"/>
      <c r="Y611" s="187"/>
      <c r="AA611" s="78"/>
      <c r="AC611" s="84"/>
    </row>
    <row r="612" spans="9:29" x14ac:dyDescent="0.25">
      <c r="I612" s="49"/>
      <c r="J612" s="49"/>
      <c r="K612" s="49"/>
      <c r="M612" s="34"/>
      <c r="V612" s="174"/>
      <c r="W612" s="174"/>
      <c r="X612" s="174"/>
      <c r="Y612" s="187"/>
      <c r="AA612" s="78"/>
      <c r="AC612" s="82"/>
    </row>
    <row r="613" spans="9:29" x14ac:dyDescent="0.25">
      <c r="I613" s="49"/>
      <c r="J613" s="49"/>
      <c r="K613" s="49"/>
      <c r="M613" s="37"/>
      <c r="V613" s="174"/>
      <c r="W613" s="174"/>
      <c r="X613" s="174"/>
      <c r="Y613" s="187"/>
      <c r="AA613" s="78"/>
      <c r="AC613" s="84"/>
    </row>
    <row r="614" spans="9:29" x14ac:dyDescent="0.25">
      <c r="I614" s="49"/>
      <c r="J614" s="49"/>
      <c r="K614" s="49"/>
      <c r="M614" s="37"/>
      <c r="V614" s="174"/>
      <c r="W614" s="174"/>
      <c r="X614" s="174"/>
      <c r="Y614" s="187"/>
      <c r="AA614" s="78"/>
      <c r="AC614" s="84"/>
    </row>
    <row r="615" spans="9:29" x14ac:dyDescent="0.25">
      <c r="I615" s="49"/>
      <c r="J615" s="49"/>
      <c r="K615" s="49"/>
      <c r="M615" s="34"/>
      <c r="V615" s="174"/>
      <c r="W615" s="174"/>
      <c r="X615" s="174"/>
      <c r="Y615" s="187"/>
      <c r="AA615" s="78"/>
      <c r="AC615" s="82"/>
    </row>
    <row r="616" spans="9:29" x14ac:dyDescent="0.25">
      <c r="I616" s="49"/>
      <c r="J616" s="49"/>
      <c r="K616" s="49"/>
      <c r="M616" s="37"/>
      <c r="V616" s="174"/>
      <c r="W616" s="174"/>
      <c r="X616" s="174"/>
      <c r="Y616" s="187"/>
      <c r="AA616" s="78"/>
      <c r="AC616" s="84"/>
    </row>
    <row r="617" spans="9:29" x14ac:dyDescent="0.25">
      <c r="I617" s="49"/>
      <c r="J617" s="49"/>
      <c r="K617" s="49"/>
      <c r="M617" s="33"/>
      <c r="V617" s="174"/>
      <c r="W617" s="174"/>
      <c r="X617" s="174"/>
      <c r="Y617" s="187"/>
      <c r="AA617" s="78"/>
      <c r="AC617" s="79"/>
    </row>
    <row r="618" spans="9:29" x14ac:dyDescent="0.25">
      <c r="I618" s="49"/>
      <c r="J618" s="49"/>
      <c r="K618" s="49"/>
      <c r="M618" s="37"/>
      <c r="V618" s="174"/>
      <c r="W618" s="174"/>
      <c r="X618" s="174"/>
      <c r="Y618" s="187"/>
      <c r="AA618" s="78"/>
      <c r="AC618" s="84"/>
    </row>
    <row r="619" spans="9:29" x14ac:dyDescent="0.25">
      <c r="I619" s="49"/>
      <c r="J619" s="49"/>
      <c r="K619" s="49"/>
      <c r="M619" s="34"/>
      <c r="V619" s="174"/>
      <c r="W619" s="174"/>
      <c r="X619" s="174"/>
      <c r="Y619" s="187"/>
      <c r="AA619" s="78"/>
      <c r="AC619" s="82"/>
    </row>
    <row r="620" spans="9:29" x14ac:dyDescent="0.25">
      <c r="I620" s="49"/>
      <c r="J620" s="49"/>
      <c r="K620" s="49"/>
      <c r="M620" s="37"/>
      <c r="V620" s="174"/>
      <c r="W620" s="174"/>
      <c r="X620" s="174"/>
      <c r="Y620" s="187"/>
      <c r="AA620" s="78"/>
      <c r="AC620" s="84"/>
    </row>
    <row r="621" spans="9:29" x14ac:dyDescent="0.25">
      <c r="I621" s="49"/>
      <c r="J621" s="49"/>
      <c r="K621" s="49"/>
      <c r="M621" s="37"/>
      <c r="V621" s="174"/>
      <c r="W621" s="174"/>
      <c r="X621" s="174"/>
      <c r="Y621" s="187"/>
      <c r="AA621" s="78"/>
      <c r="AC621" s="84"/>
    </row>
    <row r="622" spans="9:29" x14ac:dyDescent="0.25">
      <c r="I622" s="49"/>
      <c r="J622" s="49"/>
      <c r="K622" s="49"/>
      <c r="M622" s="34"/>
      <c r="V622" s="174"/>
      <c r="W622" s="174"/>
      <c r="X622" s="174"/>
      <c r="Y622" s="187"/>
      <c r="AA622" s="78"/>
      <c r="AC622" s="82"/>
    </row>
    <row r="623" spans="9:29" x14ac:dyDescent="0.25">
      <c r="I623" s="49"/>
      <c r="J623" s="49"/>
      <c r="K623" s="49"/>
      <c r="M623" s="37"/>
      <c r="V623" s="174"/>
      <c r="W623" s="174"/>
      <c r="X623" s="174"/>
      <c r="Y623" s="187"/>
      <c r="AA623" s="78"/>
      <c r="AC623" s="84"/>
    </row>
    <row r="624" spans="9:29" x14ac:dyDescent="0.25">
      <c r="I624" s="49"/>
      <c r="J624" s="49"/>
      <c r="K624" s="49"/>
      <c r="M624" s="33"/>
      <c r="V624" s="174"/>
      <c r="W624" s="174"/>
      <c r="X624" s="174"/>
      <c r="Y624" s="187"/>
      <c r="AA624" s="78"/>
      <c r="AC624" s="79"/>
    </row>
    <row r="625" spans="9:29" x14ac:dyDescent="0.25">
      <c r="I625" s="49"/>
      <c r="J625" s="49"/>
      <c r="K625" s="49"/>
      <c r="M625" s="37"/>
      <c r="V625" s="174"/>
      <c r="W625" s="174"/>
      <c r="X625" s="174"/>
      <c r="Y625" s="187"/>
      <c r="AA625" s="78"/>
      <c r="AC625" s="84"/>
    </row>
    <row r="626" spans="9:29" x14ac:dyDescent="0.25">
      <c r="I626" s="49"/>
      <c r="J626" s="49"/>
      <c r="K626" s="49"/>
      <c r="M626" s="34"/>
      <c r="V626" s="174"/>
      <c r="W626" s="174"/>
      <c r="X626" s="174"/>
      <c r="Y626" s="187"/>
      <c r="AA626" s="78"/>
      <c r="AC626" s="82"/>
    </row>
    <row r="627" spans="9:29" x14ac:dyDescent="0.25">
      <c r="I627" s="49"/>
      <c r="J627" s="49"/>
      <c r="K627" s="49"/>
      <c r="M627" s="37"/>
      <c r="V627" s="174"/>
      <c r="W627" s="174"/>
      <c r="X627" s="174"/>
      <c r="Y627" s="187"/>
      <c r="AA627" s="78"/>
      <c r="AC627" s="84"/>
    </row>
    <row r="628" spans="9:29" x14ac:dyDescent="0.25">
      <c r="I628" s="49"/>
      <c r="J628" s="49"/>
      <c r="K628" s="49"/>
      <c r="M628" s="37"/>
      <c r="V628" s="174"/>
      <c r="W628" s="174"/>
      <c r="X628" s="174"/>
      <c r="Y628" s="187"/>
      <c r="AA628" s="78"/>
      <c r="AC628" s="84"/>
    </row>
    <row r="629" spans="9:29" x14ac:dyDescent="0.25">
      <c r="I629" s="49"/>
      <c r="J629" s="49"/>
      <c r="K629" s="49"/>
      <c r="M629" s="34"/>
      <c r="V629" s="174"/>
      <c r="W629" s="174"/>
      <c r="X629" s="174"/>
      <c r="Y629" s="187"/>
      <c r="AA629" s="78"/>
      <c r="AC629" s="82"/>
    </row>
    <row r="630" spans="9:29" x14ac:dyDescent="0.25">
      <c r="I630" s="49"/>
      <c r="J630" s="49"/>
      <c r="K630" s="49"/>
      <c r="M630" s="37"/>
      <c r="V630" s="174"/>
      <c r="W630" s="174"/>
      <c r="X630" s="174"/>
      <c r="Y630" s="187"/>
      <c r="AA630" s="78"/>
      <c r="AC630" s="84"/>
    </row>
    <row r="631" spans="9:29" x14ac:dyDescent="0.25">
      <c r="I631" s="49"/>
      <c r="J631" s="49"/>
      <c r="K631" s="49"/>
      <c r="M631" s="33"/>
      <c r="V631" s="174"/>
      <c r="W631" s="174"/>
      <c r="X631" s="174"/>
      <c r="Y631" s="187"/>
      <c r="AA631" s="78"/>
      <c r="AC631" s="79"/>
    </row>
    <row r="632" spans="9:29" x14ac:dyDescent="0.25">
      <c r="I632" s="49"/>
      <c r="J632" s="49"/>
      <c r="K632" s="49"/>
      <c r="M632" s="34"/>
      <c r="V632" s="174"/>
      <c r="W632" s="174"/>
      <c r="X632" s="174"/>
      <c r="Y632" s="187"/>
      <c r="AA632" s="78"/>
      <c r="AC632" s="82"/>
    </row>
    <row r="633" spans="9:29" x14ac:dyDescent="0.25">
      <c r="I633" s="49"/>
      <c r="J633" s="49"/>
      <c r="K633" s="49"/>
      <c r="M633" s="37"/>
      <c r="V633" s="174"/>
      <c r="W633" s="174"/>
      <c r="X633" s="174"/>
      <c r="Y633" s="187"/>
      <c r="AA633" s="78"/>
      <c r="AC633" s="84"/>
    </row>
    <row r="634" spans="9:29" x14ac:dyDescent="0.25">
      <c r="I634" s="49"/>
      <c r="J634" s="49"/>
      <c r="K634" s="49"/>
      <c r="M634" s="37"/>
      <c r="V634" s="174"/>
      <c r="W634" s="174"/>
      <c r="X634" s="174"/>
      <c r="Y634" s="187"/>
      <c r="AA634" s="78"/>
      <c r="AC634" s="84"/>
    </row>
    <row r="635" spans="9:29" x14ac:dyDescent="0.25">
      <c r="I635" s="49"/>
      <c r="J635" s="49"/>
      <c r="K635" s="49"/>
      <c r="M635" s="34"/>
      <c r="V635" s="174"/>
      <c r="W635" s="174"/>
      <c r="X635" s="174"/>
      <c r="Y635" s="187"/>
      <c r="AA635" s="78"/>
      <c r="AC635" s="82"/>
    </row>
    <row r="636" spans="9:29" x14ac:dyDescent="0.25">
      <c r="I636" s="49"/>
      <c r="J636" s="49"/>
      <c r="K636" s="49"/>
      <c r="M636" s="37"/>
      <c r="V636" s="174"/>
      <c r="W636" s="174"/>
      <c r="X636" s="174"/>
      <c r="Y636" s="187"/>
      <c r="AA636" s="78"/>
      <c r="AC636" s="84"/>
    </row>
    <row r="637" spans="9:29" x14ac:dyDescent="0.25">
      <c r="I637" s="49"/>
      <c r="J637" s="49"/>
      <c r="K637" s="49"/>
      <c r="M637" s="37"/>
      <c r="V637" s="174"/>
      <c r="W637" s="174"/>
      <c r="X637" s="174"/>
      <c r="Y637" s="187"/>
      <c r="AA637" s="78"/>
      <c r="AC637" s="84"/>
    </row>
    <row r="638" spans="9:29" x14ac:dyDescent="0.25">
      <c r="I638" s="49"/>
      <c r="J638" s="49"/>
      <c r="K638" s="49"/>
      <c r="M638" s="36"/>
      <c r="V638" s="174"/>
      <c r="W638" s="174"/>
      <c r="X638" s="174"/>
      <c r="Y638" s="187"/>
      <c r="AA638" s="78"/>
      <c r="AC638" s="83"/>
    </row>
    <row r="639" spans="9:29" x14ac:dyDescent="0.25">
      <c r="I639" s="49"/>
      <c r="J639" s="49"/>
      <c r="K639" s="49"/>
      <c r="M639" s="34"/>
      <c r="V639" s="174"/>
      <c r="W639" s="174"/>
      <c r="X639" s="174"/>
      <c r="Y639" s="187"/>
      <c r="AA639" s="78"/>
      <c r="AC639" s="82"/>
    </row>
    <row r="640" spans="9:29" x14ac:dyDescent="0.25">
      <c r="I640" s="49"/>
      <c r="J640" s="49"/>
      <c r="K640" s="49"/>
      <c r="M640" s="37"/>
      <c r="V640" s="174"/>
      <c r="W640" s="174"/>
      <c r="X640" s="174"/>
      <c r="Y640" s="187"/>
      <c r="AA640" s="78"/>
      <c r="AC640" s="84"/>
    </row>
    <row r="641" spans="9:29" x14ac:dyDescent="0.25">
      <c r="I641" s="49"/>
      <c r="J641" s="49"/>
      <c r="K641" s="49"/>
      <c r="M641" s="37"/>
      <c r="V641" s="174"/>
      <c r="W641" s="174"/>
      <c r="X641" s="174"/>
      <c r="Y641" s="187"/>
      <c r="AA641" s="78"/>
      <c r="AC641" s="84"/>
    </row>
    <row r="642" spans="9:29" x14ac:dyDescent="0.25">
      <c r="I642" s="49"/>
      <c r="J642" s="49"/>
      <c r="K642" s="49"/>
      <c r="M642" s="34"/>
      <c r="V642" s="174"/>
      <c r="W642" s="174"/>
      <c r="X642" s="174"/>
      <c r="Y642" s="187"/>
      <c r="AA642" s="78"/>
      <c r="AC642" s="82"/>
    </row>
    <row r="643" spans="9:29" x14ac:dyDescent="0.25">
      <c r="I643" s="49"/>
      <c r="J643" s="49"/>
      <c r="K643" s="49"/>
      <c r="M643" s="37"/>
      <c r="V643" s="174"/>
      <c r="W643" s="174"/>
      <c r="X643" s="174"/>
      <c r="Y643" s="187"/>
      <c r="AA643" s="78"/>
      <c r="AC643" s="84"/>
    </row>
    <row r="644" spans="9:29" x14ac:dyDescent="0.25">
      <c r="I644" s="49"/>
      <c r="J644" s="49"/>
      <c r="K644" s="49"/>
      <c r="M644" s="37"/>
      <c r="V644" s="174"/>
      <c r="W644" s="174"/>
      <c r="X644" s="174"/>
      <c r="Y644" s="187"/>
      <c r="AA644" s="78"/>
      <c r="AC644" s="84"/>
    </row>
    <row r="645" spans="9:29" x14ac:dyDescent="0.25">
      <c r="I645" s="49"/>
      <c r="J645" s="49"/>
      <c r="K645" s="49"/>
      <c r="M645" s="34"/>
      <c r="V645" s="174"/>
      <c r="W645" s="174"/>
      <c r="X645" s="174"/>
      <c r="Y645" s="187"/>
      <c r="AA645" s="78"/>
      <c r="AC645" s="82"/>
    </row>
    <row r="646" spans="9:29" x14ac:dyDescent="0.25">
      <c r="I646" s="49"/>
      <c r="J646" s="49"/>
      <c r="K646" s="49"/>
      <c r="M646" s="37"/>
      <c r="V646" s="174"/>
      <c r="W646" s="174"/>
      <c r="X646" s="174"/>
      <c r="Y646" s="187"/>
      <c r="AA646" s="78"/>
      <c r="AC646" s="84"/>
    </row>
    <row r="647" spans="9:29" x14ac:dyDescent="0.25">
      <c r="I647" s="49"/>
      <c r="J647" s="49"/>
      <c r="K647" s="49"/>
      <c r="M647" s="37"/>
      <c r="V647" s="174"/>
      <c r="W647" s="174"/>
      <c r="X647" s="174"/>
      <c r="Y647" s="187"/>
      <c r="AA647" s="78"/>
      <c r="AC647" s="84"/>
    </row>
    <row r="648" spans="9:29" x14ac:dyDescent="0.25">
      <c r="I648" s="49"/>
      <c r="J648" s="49"/>
      <c r="K648" s="49"/>
      <c r="M648" s="34"/>
      <c r="V648" s="174"/>
      <c r="W648" s="174"/>
      <c r="X648" s="174"/>
      <c r="Y648" s="187"/>
      <c r="AA648" s="78"/>
      <c r="AC648" s="82"/>
    </row>
    <row r="649" spans="9:29" x14ac:dyDescent="0.25">
      <c r="I649" s="49"/>
      <c r="J649" s="49"/>
      <c r="K649" s="49"/>
      <c r="M649" s="37"/>
      <c r="V649" s="174"/>
      <c r="W649" s="174"/>
      <c r="X649" s="174"/>
      <c r="Y649" s="187"/>
      <c r="AA649" s="78"/>
      <c r="AC649" s="84"/>
    </row>
    <row r="650" spans="9:29" x14ac:dyDescent="0.25">
      <c r="I650" s="49"/>
      <c r="J650" s="49"/>
      <c r="K650" s="49"/>
      <c r="M650" s="37"/>
      <c r="V650" s="174"/>
      <c r="W650" s="174"/>
      <c r="X650" s="174"/>
      <c r="Y650" s="187"/>
      <c r="AA650" s="78"/>
      <c r="AC650" s="84"/>
    </row>
    <row r="651" spans="9:29" x14ac:dyDescent="0.25">
      <c r="I651" s="49"/>
      <c r="J651" s="49"/>
      <c r="K651" s="49"/>
      <c r="M651" s="34"/>
      <c r="V651" s="174"/>
      <c r="W651" s="174"/>
      <c r="X651" s="174"/>
      <c r="Y651" s="187"/>
      <c r="AA651" s="78"/>
      <c r="AC651" s="82"/>
    </row>
    <row r="652" spans="9:29" x14ac:dyDescent="0.25">
      <c r="I652" s="49"/>
      <c r="J652" s="49"/>
      <c r="K652" s="49"/>
      <c r="M652" s="37"/>
      <c r="V652" s="174"/>
      <c r="W652" s="174"/>
      <c r="X652" s="174"/>
      <c r="Y652" s="187"/>
      <c r="AA652" s="78"/>
      <c r="AC652" s="84"/>
    </row>
    <row r="653" spans="9:29" x14ac:dyDescent="0.25">
      <c r="I653" s="49"/>
      <c r="J653" s="49"/>
      <c r="K653" s="49"/>
      <c r="M653" s="37"/>
      <c r="V653" s="174"/>
      <c r="W653" s="174"/>
      <c r="X653" s="174"/>
      <c r="Y653" s="187"/>
      <c r="AA653" s="78"/>
      <c r="AC653" s="84"/>
    </row>
    <row r="654" spans="9:29" x14ac:dyDescent="0.25">
      <c r="I654" s="49"/>
      <c r="J654" s="49"/>
      <c r="K654" s="49"/>
      <c r="M654" s="34"/>
      <c r="V654" s="174"/>
      <c r="W654" s="174"/>
      <c r="X654" s="174"/>
      <c r="Y654" s="187"/>
      <c r="AA654" s="78"/>
      <c r="AC654" s="82"/>
    </row>
    <row r="655" spans="9:29" x14ac:dyDescent="0.25">
      <c r="I655" s="49"/>
      <c r="J655" s="49"/>
      <c r="K655" s="49"/>
      <c r="M655" s="37"/>
      <c r="V655" s="174"/>
      <c r="W655" s="174"/>
      <c r="X655" s="174"/>
      <c r="Y655" s="187"/>
      <c r="AA655" s="78"/>
      <c r="AC655" s="84"/>
    </row>
    <row r="656" spans="9:29" x14ac:dyDescent="0.25">
      <c r="I656" s="49"/>
      <c r="J656" s="49"/>
      <c r="K656" s="49"/>
      <c r="M656" s="37"/>
      <c r="V656" s="174"/>
      <c r="W656" s="174"/>
      <c r="X656" s="174"/>
      <c r="Y656" s="187"/>
      <c r="AA656" s="78"/>
      <c r="AC656" s="84"/>
    </row>
    <row r="657" spans="9:29" x14ac:dyDescent="0.25">
      <c r="I657" s="49"/>
      <c r="J657" s="49"/>
      <c r="K657" s="49"/>
      <c r="M657" s="34"/>
      <c r="V657" s="174"/>
      <c r="W657" s="174"/>
      <c r="X657" s="174"/>
      <c r="Y657" s="187"/>
      <c r="AA657" s="78"/>
      <c r="AC657" s="82"/>
    </row>
    <row r="658" spans="9:29" x14ac:dyDescent="0.25">
      <c r="I658" s="49"/>
      <c r="J658" s="49"/>
      <c r="K658" s="49"/>
      <c r="M658" s="37"/>
      <c r="V658" s="174"/>
      <c r="W658" s="174"/>
      <c r="X658" s="174"/>
      <c r="Y658" s="187"/>
      <c r="AA658" s="78"/>
      <c r="AC658" s="84"/>
    </row>
    <row r="659" spans="9:29" x14ac:dyDescent="0.25">
      <c r="I659" s="49"/>
      <c r="J659" s="49"/>
      <c r="K659" s="49"/>
      <c r="M659" s="37"/>
      <c r="V659" s="174"/>
      <c r="W659" s="174"/>
      <c r="X659" s="174"/>
      <c r="Y659" s="187"/>
      <c r="AA659" s="78"/>
      <c r="AC659" s="84"/>
    </row>
    <row r="660" spans="9:29" x14ac:dyDescent="0.25">
      <c r="I660" s="49"/>
      <c r="J660" s="49"/>
      <c r="K660" s="49"/>
      <c r="M660" s="34"/>
      <c r="V660" s="174"/>
      <c r="W660" s="174"/>
      <c r="X660" s="174"/>
      <c r="Y660" s="187"/>
      <c r="AA660" s="78"/>
      <c r="AC660" s="82"/>
    </row>
    <row r="661" spans="9:29" x14ac:dyDescent="0.25">
      <c r="I661" s="49"/>
      <c r="J661" s="49"/>
      <c r="K661" s="49"/>
      <c r="M661" s="37"/>
      <c r="V661" s="174"/>
      <c r="W661" s="174"/>
      <c r="X661" s="174"/>
      <c r="Y661" s="187"/>
      <c r="AA661" s="78"/>
      <c r="AC661" s="84"/>
    </row>
    <row r="662" spans="9:29" x14ac:dyDescent="0.25">
      <c r="I662" s="49"/>
      <c r="J662" s="49"/>
      <c r="K662" s="49"/>
      <c r="M662" s="37"/>
      <c r="V662" s="174"/>
      <c r="W662" s="174"/>
      <c r="X662" s="174"/>
      <c r="Y662" s="187"/>
      <c r="AA662" s="78"/>
      <c r="AC662" s="84"/>
    </row>
    <row r="663" spans="9:29" x14ac:dyDescent="0.25">
      <c r="I663" s="49"/>
      <c r="J663" s="49"/>
      <c r="K663" s="49"/>
      <c r="M663" s="34"/>
      <c r="V663" s="174"/>
      <c r="W663" s="174"/>
      <c r="X663" s="174"/>
      <c r="Y663" s="187"/>
      <c r="AA663" s="78"/>
      <c r="AC663" s="82"/>
    </row>
    <row r="664" spans="9:29" x14ac:dyDescent="0.25">
      <c r="I664" s="49"/>
      <c r="J664" s="49"/>
      <c r="K664" s="49"/>
      <c r="M664" s="37"/>
      <c r="V664" s="174"/>
      <c r="W664" s="174"/>
      <c r="X664" s="174"/>
      <c r="Y664" s="187"/>
      <c r="AA664" s="78"/>
      <c r="AC664" s="84"/>
    </row>
    <row r="665" spans="9:29" x14ac:dyDescent="0.25">
      <c r="I665" s="49"/>
      <c r="J665" s="49"/>
      <c r="K665" s="49"/>
      <c r="M665" s="33"/>
      <c r="V665" s="174"/>
      <c r="W665" s="174"/>
      <c r="X665" s="174"/>
      <c r="Y665" s="187"/>
      <c r="AA665" s="78"/>
      <c r="AC665" s="79"/>
    </row>
    <row r="666" spans="9:29" x14ac:dyDescent="0.25">
      <c r="I666" s="49"/>
      <c r="J666" s="49"/>
      <c r="K666" s="49"/>
      <c r="M666" s="37"/>
      <c r="V666" s="174"/>
      <c r="W666" s="174"/>
      <c r="X666" s="174"/>
      <c r="Y666" s="187"/>
      <c r="AA666" s="78"/>
      <c r="AC666" s="84"/>
    </row>
    <row r="667" spans="9:29" x14ac:dyDescent="0.25">
      <c r="I667" s="49"/>
      <c r="J667" s="49"/>
      <c r="K667" s="49"/>
      <c r="M667" s="34"/>
      <c r="V667" s="174"/>
      <c r="W667" s="174"/>
      <c r="X667" s="174"/>
      <c r="Y667" s="187"/>
      <c r="AA667" s="78"/>
      <c r="AC667" s="82"/>
    </row>
    <row r="668" spans="9:29" x14ac:dyDescent="0.25">
      <c r="I668" s="49"/>
      <c r="J668" s="49"/>
      <c r="K668" s="49"/>
      <c r="M668" s="37"/>
      <c r="V668" s="174"/>
      <c r="W668" s="174"/>
      <c r="X668" s="174"/>
      <c r="Y668" s="187"/>
      <c r="AA668" s="78"/>
      <c r="AC668" s="84"/>
    </row>
    <row r="669" spans="9:29" x14ac:dyDescent="0.25">
      <c r="I669" s="49"/>
      <c r="J669" s="49"/>
      <c r="K669" s="49"/>
      <c r="M669" s="37"/>
      <c r="V669" s="174"/>
      <c r="W669" s="174"/>
      <c r="X669" s="174"/>
      <c r="Y669" s="187"/>
      <c r="AA669" s="78"/>
      <c r="AC669" s="84"/>
    </row>
    <row r="670" spans="9:29" x14ac:dyDescent="0.25">
      <c r="I670" s="49"/>
      <c r="J670" s="49"/>
      <c r="K670" s="49"/>
      <c r="M670" s="34"/>
      <c r="V670" s="174"/>
      <c r="W670" s="174"/>
      <c r="X670" s="174"/>
      <c r="Y670" s="187"/>
      <c r="AA670" s="78"/>
      <c r="AC670" s="82"/>
    </row>
    <row r="671" spans="9:29" x14ac:dyDescent="0.25">
      <c r="I671" s="49"/>
      <c r="J671" s="49"/>
      <c r="K671" s="49"/>
      <c r="M671" s="37"/>
      <c r="V671" s="174"/>
      <c r="W671" s="174"/>
      <c r="X671" s="174"/>
      <c r="Y671" s="187"/>
      <c r="AA671" s="78"/>
      <c r="AC671" s="84"/>
    </row>
    <row r="672" spans="9:29" x14ac:dyDescent="0.25">
      <c r="I672" s="49"/>
      <c r="J672" s="49"/>
      <c r="K672" s="49"/>
      <c r="M672" s="37"/>
      <c r="V672" s="174"/>
      <c r="W672" s="174"/>
      <c r="X672" s="174"/>
      <c r="Y672" s="187"/>
      <c r="AA672" s="78"/>
      <c r="AC672" s="84"/>
    </row>
    <row r="673" spans="9:29" x14ac:dyDescent="0.25">
      <c r="I673" s="49"/>
      <c r="J673" s="49"/>
      <c r="K673" s="49"/>
      <c r="M673" s="34"/>
      <c r="V673" s="174"/>
      <c r="W673" s="174"/>
      <c r="X673" s="174"/>
      <c r="Y673" s="187"/>
      <c r="AA673" s="78"/>
      <c r="AC673" s="82"/>
    </row>
    <row r="674" spans="9:29" x14ac:dyDescent="0.25">
      <c r="I674" s="49"/>
      <c r="J674" s="49"/>
      <c r="K674" s="49"/>
      <c r="M674" s="37"/>
      <c r="V674" s="174"/>
      <c r="W674" s="174"/>
      <c r="X674" s="174"/>
      <c r="Y674" s="187"/>
      <c r="AA674" s="78"/>
      <c r="AC674" s="84"/>
    </row>
    <row r="675" spans="9:29" x14ac:dyDescent="0.25">
      <c r="I675" s="49"/>
      <c r="J675" s="49"/>
      <c r="K675" s="49"/>
      <c r="M675" s="37"/>
      <c r="V675" s="174"/>
      <c r="W675" s="174"/>
      <c r="X675" s="174"/>
      <c r="Y675" s="187"/>
      <c r="AA675" s="78"/>
      <c r="AC675" s="84"/>
    </row>
    <row r="676" spans="9:29" x14ac:dyDescent="0.25">
      <c r="I676" s="49"/>
      <c r="J676" s="49"/>
      <c r="K676" s="49"/>
      <c r="M676" s="34"/>
      <c r="V676" s="174"/>
      <c r="W676" s="174"/>
      <c r="X676" s="174"/>
      <c r="Y676" s="187"/>
      <c r="AA676" s="78"/>
      <c r="AC676" s="82"/>
    </row>
    <row r="677" spans="9:29" x14ac:dyDescent="0.25">
      <c r="I677" s="49"/>
      <c r="J677" s="49"/>
      <c r="K677" s="49"/>
      <c r="M677" s="37"/>
      <c r="V677" s="174"/>
      <c r="W677" s="174"/>
      <c r="X677" s="174"/>
      <c r="Y677" s="187"/>
      <c r="AA677" s="78"/>
      <c r="AC677" s="84"/>
    </row>
    <row r="678" spans="9:29" x14ac:dyDescent="0.25">
      <c r="I678" s="49"/>
      <c r="J678" s="49"/>
      <c r="K678" s="49"/>
      <c r="M678" s="37"/>
      <c r="V678" s="174"/>
      <c r="W678" s="174"/>
      <c r="X678" s="174"/>
      <c r="Y678" s="187"/>
      <c r="AA678" s="78"/>
      <c r="AC678" s="84"/>
    </row>
    <row r="679" spans="9:29" x14ac:dyDescent="0.25">
      <c r="I679" s="49"/>
      <c r="J679" s="49"/>
      <c r="K679" s="49"/>
      <c r="M679" s="34"/>
      <c r="V679" s="174"/>
      <c r="W679" s="174"/>
      <c r="X679" s="174"/>
      <c r="Y679" s="187"/>
      <c r="AA679" s="78"/>
      <c r="AC679" s="82"/>
    </row>
    <row r="680" spans="9:29" x14ac:dyDescent="0.25">
      <c r="I680" s="49"/>
      <c r="J680" s="49"/>
      <c r="K680" s="49"/>
      <c r="M680" s="37"/>
      <c r="V680" s="174"/>
      <c r="W680" s="174"/>
      <c r="X680" s="174"/>
      <c r="Y680" s="187"/>
      <c r="AA680" s="78"/>
      <c r="AC680" s="84"/>
    </row>
    <row r="681" spans="9:29" x14ac:dyDescent="0.25">
      <c r="I681" s="49"/>
      <c r="J681" s="49"/>
      <c r="K681" s="49"/>
      <c r="M681" s="37"/>
      <c r="V681" s="174"/>
      <c r="W681" s="174"/>
      <c r="X681" s="174"/>
      <c r="Y681" s="187"/>
      <c r="AA681" s="78"/>
      <c r="AC681" s="84"/>
    </row>
    <row r="682" spans="9:29" x14ac:dyDescent="0.25">
      <c r="I682" s="49"/>
      <c r="J682" s="49"/>
      <c r="K682" s="49"/>
      <c r="M682" s="34"/>
      <c r="V682" s="174"/>
      <c r="W682" s="174"/>
      <c r="X682" s="174"/>
      <c r="Y682" s="187"/>
      <c r="AA682" s="78"/>
      <c r="AC682" s="82"/>
    </row>
    <row r="683" spans="9:29" x14ac:dyDescent="0.25">
      <c r="I683" s="49"/>
      <c r="J683" s="49"/>
      <c r="K683" s="49"/>
      <c r="M683" s="37"/>
      <c r="V683" s="174"/>
      <c r="W683" s="174"/>
      <c r="X683" s="174"/>
      <c r="Y683" s="187"/>
      <c r="AA683" s="78"/>
      <c r="AC683" s="84"/>
    </row>
    <row r="684" spans="9:29" x14ac:dyDescent="0.25">
      <c r="I684" s="49"/>
      <c r="J684" s="49"/>
      <c r="K684" s="49"/>
      <c r="M684" s="37"/>
      <c r="V684" s="174"/>
      <c r="W684" s="174"/>
      <c r="X684" s="174"/>
      <c r="Y684" s="187"/>
      <c r="AA684" s="78"/>
      <c r="AC684" s="84"/>
    </row>
    <row r="685" spans="9:29" x14ac:dyDescent="0.25">
      <c r="I685" s="49"/>
      <c r="J685" s="49"/>
      <c r="K685" s="49"/>
      <c r="M685" s="34"/>
      <c r="V685" s="174"/>
      <c r="W685" s="174"/>
      <c r="X685" s="174"/>
      <c r="Y685" s="187"/>
      <c r="AA685" s="78"/>
      <c r="AC685" s="82"/>
    </row>
    <row r="686" spans="9:29" x14ac:dyDescent="0.25">
      <c r="I686" s="49"/>
      <c r="J686" s="49"/>
      <c r="K686" s="49"/>
      <c r="M686" s="37"/>
      <c r="V686" s="174"/>
      <c r="W686" s="174"/>
      <c r="X686" s="174"/>
      <c r="Y686" s="187"/>
      <c r="AA686" s="78"/>
      <c r="AC686" s="84"/>
    </row>
    <row r="687" spans="9:29" x14ac:dyDescent="0.25">
      <c r="I687" s="49"/>
      <c r="J687" s="49"/>
      <c r="K687" s="49"/>
      <c r="M687" s="37"/>
      <c r="V687" s="174"/>
      <c r="W687" s="174"/>
      <c r="X687" s="174"/>
      <c r="Y687" s="187"/>
      <c r="AA687" s="78"/>
      <c r="AC687" s="84"/>
    </row>
    <row r="688" spans="9:29" x14ac:dyDescent="0.25">
      <c r="I688" s="49"/>
      <c r="J688" s="49"/>
      <c r="K688" s="49"/>
      <c r="M688" s="34"/>
      <c r="V688" s="174"/>
      <c r="W688" s="174"/>
      <c r="X688" s="174"/>
      <c r="Y688" s="187"/>
      <c r="AA688" s="78"/>
      <c r="AC688" s="82"/>
    </row>
    <row r="689" spans="9:29" x14ac:dyDescent="0.25">
      <c r="I689" s="49"/>
      <c r="J689" s="49"/>
      <c r="K689" s="49"/>
      <c r="M689" s="37"/>
      <c r="V689" s="174"/>
      <c r="W689" s="174"/>
      <c r="X689" s="174"/>
      <c r="Y689" s="187"/>
      <c r="AA689" s="78"/>
      <c r="AC689" s="84"/>
    </row>
    <row r="690" spans="9:29" x14ac:dyDescent="0.25">
      <c r="I690" s="49"/>
      <c r="J690" s="49"/>
      <c r="K690" s="49"/>
      <c r="M690" s="37"/>
      <c r="V690" s="174"/>
      <c r="W690" s="174"/>
      <c r="X690" s="174"/>
      <c r="Y690" s="187"/>
      <c r="AA690" s="78"/>
      <c r="AC690" s="84"/>
    </row>
    <row r="691" spans="9:29" x14ac:dyDescent="0.25">
      <c r="I691" s="49"/>
      <c r="J691" s="49"/>
      <c r="K691" s="49"/>
      <c r="M691" s="34"/>
      <c r="V691" s="174"/>
      <c r="W691" s="174"/>
      <c r="X691" s="174"/>
      <c r="Y691" s="187"/>
      <c r="AA691" s="78"/>
      <c r="AC691" s="82"/>
    </row>
    <row r="692" spans="9:29" x14ac:dyDescent="0.25">
      <c r="I692" s="49"/>
      <c r="J692" s="49"/>
      <c r="K692" s="49"/>
      <c r="M692" s="37"/>
      <c r="V692" s="174"/>
      <c r="W692" s="174"/>
      <c r="X692" s="174"/>
      <c r="Y692" s="187"/>
      <c r="AA692" s="78"/>
      <c r="AC692" s="84"/>
    </row>
    <row r="693" spans="9:29" x14ac:dyDescent="0.25">
      <c r="I693" s="49"/>
      <c r="J693" s="49"/>
      <c r="K693" s="49"/>
      <c r="M693" s="37"/>
      <c r="V693" s="174"/>
      <c r="W693" s="174"/>
      <c r="X693" s="174"/>
      <c r="Y693" s="187"/>
      <c r="AA693" s="78"/>
      <c r="AC693" s="84"/>
    </row>
    <row r="694" spans="9:29" x14ac:dyDescent="0.25">
      <c r="I694" s="49"/>
      <c r="J694" s="49"/>
      <c r="K694" s="49"/>
      <c r="M694" s="34"/>
      <c r="V694" s="174"/>
      <c r="W694" s="174"/>
      <c r="X694" s="174"/>
      <c r="Y694" s="187"/>
      <c r="AA694" s="78"/>
      <c r="AC694" s="82"/>
    </row>
    <row r="695" spans="9:29" x14ac:dyDescent="0.25">
      <c r="I695" s="49"/>
      <c r="J695" s="49"/>
      <c r="K695" s="49"/>
      <c r="M695" s="37"/>
      <c r="V695" s="174"/>
      <c r="W695" s="174"/>
      <c r="X695" s="174"/>
      <c r="Y695" s="187"/>
      <c r="AA695" s="78"/>
      <c r="AC695" s="84"/>
    </row>
    <row r="696" spans="9:29" x14ac:dyDescent="0.25">
      <c r="I696" s="49"/>
      <c r="J696" s="49"/>
      <c r="K696" s="49"/>
      <c r="M696" s="37"/>
      <c r="V696" s="174"/>
      <c r="W696" s="174"/>
      <c r="X696" s="174"/>
      <c r="Y696" s="187"/>
      <c r="AA696" s="78"/>
      <c r="AC696" s="84"/>
    </row>
    <row r="697" spans="9:29" x14ac:dyDescent="0.25">
      <c r="I697" s="49"/>
      <c r="J697" s="49"/>
      <c r="K697" s="49"/>
      <c r="M697" s="34"/>
      <c r="V697" s="174"/>
      <c r="W697" s="174"/>
      <c r="X697" s="174"/>
      <c r="Y697" s="187"/>
      <c r="AA697" s="78"/>
      <c r="AC697" s="82"/>
    </row>
    <row r="698" spans="9:29" x14ac:dyDescent="0.25">
      <c r="I698" s="49"/>
      <c r="J698" s="49"/>
      <c r="K698" s="49"/>
      <c r="M698" s="37"/>
      <c r="V698" s="174"/>
      <c r="W698" s="174"/>
      <c r="X698" s="174"/>
      <c r="Y698" s="187"/>
      <c r="AA698" s="78"/>
      <c r="AC698" s="84"/>
    </row>
    <row r="699" spans="9:29" x14ac:dyDescent="0.25">
      <c r="I699" s="49"/>
      <c r="J699" s="49"/>
      <c r="K699" s="49"/>
      <c r="M699" s="37"/>
      <c r="V699" s="174"/>
      <c r="W699" s="174"/>
      <c r="X699" s="174"/>
      <c r="Y699" s="187"/>
      <c r="AA699" s="78"/>
      <c r="AC699" s="84"/>
    </row>
    <row r="700" spans="9:29" x14ac:dyDescent="0.25">
      <c r="I700" s="49"/>
      <c r="J700" s="49"/>
      <c r="K700" s="49"/>
      <c r="M700" s="34"/>
      <c r="V700" s="174"/>
      <c r="W700" s="174"/>
      <c r="X700" s="174"/>
      <c r="Y700" s="187"/>
      <c r="AA700" s="78"/>
      <c r="AC700" s="82"/>
    </row>
    <row r="701" spans="9:29" x14ac:dyDescent="0.25">
      <c r="I701" s="49"/>
      <c r="J701" s="49"/>
      <c r="K701" s="49"/>
      <c r="M701" s="37"/>
      <c r="V701" s="174"/>
      <c r="W701" s="174"/>
      <c r="X701" s="174"/>
      <c r="Y701" s="187"/>
      <c r="AA701" s="78"/>
      <c r="AC701" s="84"/>
    </row>
    <row r="702" spans="9:29" x14ac:dyDescent="0.25">
      <c r="I702" s="49"/>
      <c r="J702" s="49"/>
      <c r="K702" s="49"/>
      <c r="M702" s="37"/>
      <c r="V702" s="174"/>
      <c r="W702" s="174"/>
      <c r="X702" s="174"/>
      <c r="Y702" s="187"/>
      <c r="AA702" s="78"/>
      <c r="AC702" s="84"/>
    </row>
    <row r="703" spans="9:29" x14ac:dyDescent="0.25">
      <c r="I703" s="49"/>
      <c r="J703" s="49"/>
      <c r="K703" s="49"/>
      <c r="M703" s="34"/>
      <c r="V703" s="174"/>
      <c r="W703" s="174"/>
      <c r="X703" s="174"/>
      <c r="Y703" s="187"/>
      <c r="AA703" s="78"/>
      <c r="AC703" s="82"/>
    </row>
    <row r="704" spans="9:29" x14ac:dyDescent="0.25">
      <c r="I704" s="49"/>
      <c r="J704" s="49"/>
      <c r="K704" s="49"/>
      <c r="M704" s="37"/>
      <c r="V704" s="174"/>
      <c r="W704" s="174"/>
      <c r="X704" s="174"/>
      <c r="Y704" s="187"/>
      <c r="AA704" s="78"/>
      <c r="AC704" s="84"/>
    </row>
    <row r="705" spans="9:29" x14ac:dyDescent="0.25">
      <c r="I705" s="49"/>
      <c r="J705" s="49"/>
      <c r="K705" s="49"/>
      <c r="M705" s="37"/>
      <c r="V705" s="174"/>
      <c r="W705" s="174"/>
      <c r="X705" s="174"/>
      <c r="Y705" s="187"/>
      <c r="AA705" s="78"/>
      <c r="AC705" s="84"/>
    </row>
    <row r="706" spans="9:29" x14ac:dyDescent="0.25">
      <c r="I706" s="49"/>
      <c r="J706" s="49"/>
      <c r="K706" s="49"/>
      <c r="M706" s="34"/>
      <c r="V706" s="174"/>
      <c r="W706" s="174"/>
      <c r="X706" s="174"/>
      <c r="Y706" s="187"/>
      <c r="AA706" s="78"/>
      <c r="AC706" s="82"/>
    </row>
    <row r="707" spans="9:29" x14ac:dyDescent="0.25">
      <c r="I707" s="49"/>
      <c r="J707" s="49"/>
      <c r="K707" s="49"/>
      <c r="M707" s="37"/>
      <c r="V707" s="174"/>
      <c r="W707" s="174"/>
      <c r="X707" s="174"/>
      <c r="Y707" s="187"/>
      <c r="AA707" s="78"/>
      <c r="AC707" s="84"/>
    </row>
    <row r="708" spans="9:29" x14ac:dyDescent="0.25">
      <c r="I708" s="49"/>
      <c r="J708" s="49"/>
      <c r="K708" s="49"/>
      <c r="M708" s="37"/>
      <c r="V708" s="174"/>
      <c r="W708" s="174"/>
      <c r="X708" s="174"/>
      <c r="Y708" s="187"/>
      <c r="AA708" s="78"/>
      <c r="AC708" s="84"/>
    </row>
    <row r="709" spans="9:29" x14ac:dyDescent="0.25">
      <c r="I709" s="49"/>
      <c r="J709" s="49"/>
      <c r="K709" s="49"/>
      <c r="M709" s="34"/>
      <c r="V709" s="174"/>
      <c r="W709" s="174"/>
      <c r="X709" s="174"/>
      <c r="Y709" s="187"/>
      <c r="AA709" s="78"/>
      <c r="AC709" s="82"/>
    </row>
    <row r="710" spans="9:29" x14ac:dyDescent="0.25">
      <c r="I710" s="49"/>
      <c r="J710" s="49"/>
      <c r="K710" s="49"/>
      <c r="M710" s="37"/>
      <c r="V710" s="174"/>
      <c r="W710" s="174"/>
      <c r="X710" s="174"/>
      <c r="Y710" s="187"/>
      <c r="AA710" s="78"/>
      <c r="AC710" s="84"/>
    </row>
    <row r="711" spans="9:29" x14ac:dyDescent="0.25">
      <c r="I711" s="49"/>
      <c r="J711" s="49"/>
      <c r="K711" s="49"/>
      <c r="M711" s="37"/>
      <c r="V711" s="174"/>
      <c r="W711" s="174"/>
      <c r="X711" s="174"/>
      <c r="Y711" s="187"/>
      <c r="AA711" s="78"/>
      <c r="AC711" s="84"/>
    </row>
    <row r="712" spans="9:29" x14ac:dyDescent="0.25">
      <c r="I712" s="49"/>
      <c r="J712" s="49"/>
      <c r="K712" s="49"/>
      <c r="M712" s="34"/>
      <c r="V712" s="174"/>
      <c r="W712" s="174"/>
      <c r="X712" s="174"/>
      <c r="Y712" s="187"/>
      <c r="AA712" s="78"/>
      <c r="AC712" s="82"/>
    </row>
    <row r="713" spans="9:29" x14ac:dyDescent="0.25">
      <c r="I713" s="49"/>
      <c r="J713" s="49"/>
      <c r="K713" s="49"/>
      <c r="M713" s="37"/>
      <c r="V713" s="174"/>
      <c r="W713" s="174"/>
      <c r="X713" s="174"/>
      <c r="Y713" s="187"/>
      <c r="AA713" s="78"/>
      <c r="AC713" s="84"/>
    </row>
    <row r="714" spans="9:29" x14ac:dyDescent="0.25">
      <c r="I714" s="49"/>
      <c r="J714" s="49"/>
      <c r="K714" s="49"/>
      <c r="M714" s="37"/>
      <c r="V714" s="174"/>
      <c r="W714" s="174"/>
      <c r="X714" s="174"/>
      <c r="Y714" s="187"/>
      <c r="AA714" s="78"/>
      <c r="AC714" s="84"/>
    </row>
    <row r="715" spans="9:29" x14ac:dyDescent="0.25">
      <c r="I715" s="49"/>
      <c r="J715" s="49"/>
      <c r="K715" s="49"/>
      <c r="M715" s="34"/>
      <c r="V715" s="174"/>
      <c r="W715" s="174"/>
      <c r="X715" s="174"/>
      <c r="Y715" s="187"/>
      <c r="AA715" s="78"/>
      <c r="AC715" s="82"/>
    </row>
    <row r="716" spans="9:29" x14ac:dyDescent="0.25">
      <c r="I716" s="49"/>
      <c r="J716" s="49"/>
      <c r="K716" s="49"/>
      <c r="M716" s="37"/>
      <c r="V716" s="174"/>
      <c r="W716" s="174"/>
      <c r="X716" s="174"/>
      <c r="Y716" s="187"/>
      <c r="AA716" s="78"/>
      <c r="AC716" s="84"/>
    </row>
    <row r="717" spans="9:29" x14ac:dyDescent="0.25">
      <c r="I717" s="49"/>
      <c r="J717" s="49"/>
      <c r="K717" s="49"/>
      <c r="M717" s="34"/>
      <c r="V717" s="174"/>
      <c r="W717" s="174"/>
      <c r="X717" s="174"/>
      <c r="Y717" s="187"/>
      <c r="AA717" s="78"/>
      <c r="AC717" s="82"/>
    </row>
    <row r="718" spans="9:29" x14ac:dyDescent="0.25">
      <c r="I718" s="49"/>
      <c r="J718" s="49"/>
      <c r="K718" s="49"/>
      <c r="M718" s="37"/>
      <c r="V718" s="174"/>
      <c r="W718" s="174"/>
      <c r="X718" s="174"/>
      <c r="Y718" s="187"/>
      <c r="AA718" s="78"/>
      <c r="AC718" s="84"/>
    </row>
    <row r="719" spans="9:29" x14ac:dyDescent="0.25">
      <c r="I719" s="49"/>
      <c r="J719" s="49"/>
      <c r="K719" s="49"/>
      <c r="M719" s="34"/>
      <c r="V719" s="174"/>
      <c r="W719" s="174"/>
      <c r="X719" s="174"/>
      <c r="Y719" s="187"/>
      <c r="AA719" s="78"/>
      <c r="AC719" s="82"/>
    </row>
    <row r="720" spans="9:29" x14ac:dyDescent="0.25">
      <c r="I720" s="49"/>
      <c r="J720" s="49"/>
      <c r="K720" s="49"/>
      <c r="M720" s="37"/>
      <c r="V720" s="174"/>
      <c r="W720" s="174"/>
      <c r="X720" s="174"/>
      <c r="Y720" s="187"/>
      <c r="AA720" s="78"/>
      <c r="AC720" s="84"/>
    </row>
    <row r="721" spans="9:29" x14ac:dyDescent="0.25">
      <c r="I721" s="49"/>
      <c r="J721" s="49"/>
      <c r="K721" s="49"/>
      <c r="M721" s="34"/>
      <c r="V721" s="174"/>
      <c r="W721" s="174"/>
      <c r="X721" s="174"/>
      <c r="Y721" s="187"/>
      <c r="AA721" s="78"/>
      <c r="AC721" s="82"/>
    </row>
    <row r="722" spans="9:29" x14ac:dyDescent="0.25">
      <c r="I722" s="49"/>
      <c r="J722" s="49"/>
      <c r="K722" s="49"/>
      <c r="M722" s="37"/>
      <c r="V722" s="174"/>
      <c r="W722" s="174"/>
      <c r="X722" s="174"/>
      <c r="Y722" s="187"/>
      <c r="AA722" s="78"/>
      <c r="AC722" s="84"/>
    </row>
    <row r="723" spans="9:29" x14ac:dyDescent="0.25">
      <c r="I723" s="49"/>
      <c r="J723" s="49"/>
      <c r="K723" s="49"/>
      <c r="M723" s="34"/>
      <c r="V723" s="174"/>
      <c r="W723" s="174"/>
      <c r="X723" s="174"/>
      <c r="Y723" s="187"/>
      <c r="AA723" s="78"/>
      <c r="AC723" s="82"/>
    </row>
    <row r="724" spans="9:29" x14ac:dyDescent="0.25">
      <c r="I724" s="49"/>
      <c r="J724" s="49"/>
      <c r="K724" s="49"/>
      <c r="M724" s="37"/>
      <c r="V724" s="174"/>
      <c r="W724" s="174"/>
      <c r="X724" s="174"/>
      <c r="Y724" s="187"/>
      <c r="AA724" s="78"/>
      <c r="AC724" s="84"/>
    </row>
    <row r="725" spans="9:29" x14ac:dyDescent="0.25">
      <c r="I725" s="49"/>
      <c r="J725" s="49"/>
      <c r="K725" s="49"/>
      <c r="M725" s="37"/>
      <c r="V725" s="174"/>
      <c r="W725" s="174"/>
      <c r="X725" s="174"/>
      <c r="Y725" s="187"/>
      <c r="AA725" s="78"/>
      <c r="AC725" s="84"/>
    </row>
    <row r="726" spans="9:29" x14ac:dyDescent="0.25">
      <c r="I726" s="49"/>
      <c r="J726" s="49"/>
      <c r="K726" s="49"/>
      <c r="M726" s="37"/>
      <c r="V726" s="174"/>
      <c r="W726" s="174"/>
      <c r="X726" s="174"/>
      <c r="Y726" s="187"/>
      <c r="AA726" s="78"/>
      <c r="AC726" s="84"/>
    </row>
    <row r="727" spans="9:29" x14ac:dyDescent="0.25">
      <c r="I727" s="49"/>
      <c r="J727" s="49"/>
      <c r="K727" s="49"/>
      <c r="M727" s="34"/>
      <c r="V727" s="174"/>
      <c r="W727" s="174"/>
      <c r="X727" s="174"/>
      <c r="Y727" s="187"/>
      <c r="AA727" s="78"/>
      <c r="AC727" s="82"/>
    </row>
    <row r="728" spans="9:29" x14ac:dyDescent="0.25">
      <c r="I728" s="49"/>
      <c r="J728" s="49"/>
      <c r="K728" s="49"/>
      <c r="M728" s="37"/>
      <c r="V728" s="174"/>
      <c r="W728" s="174"/>
      <c r="X728" s="174"/>
      <c r="Y728" s="187"/>
      <c r="AA728" s="78"/>
      <c r="AC728" s="84"/>
    </row>
    <row r="729" spans="9:29" x14ac:dyDescent="0.25">
      <c r="I729" s="49"/>
      <c r="J729" s="49"/>
      <c r="K729" s="49"/>
      <c r="M729" s="37"/>
      <c r="V729" s="174"/>
      <c r="W729" s="174"/>
      <c r="X729" s="174"/>
      <c r="Y729" s="187"/>
      <c r="AA729" s="78"/>
      <c r="AC729" s="84"/>
    </row>
    <row r="730" spans="9:29" x14ac:dyDescent="0.25">
      <c r="I730" s="49"/>
      <c r="J730" s="49"/>
      <c r="K730" s="49"/>
      <c r="M730" s="34"/>
      <c r="V730" s="174"/>
      <c r="W730" s="174"/>
      <c r="X730" s="174"/>
      <c r="Y730" s="187"/>
      <c r="AA730" s="78"/>
      <c r="AC730" s="82"/>
    </row>
    <row r="731" spans="9:29" x14ac:dyDescent="0.25">
      <c r="I731" s="49"/>
      <c r="J731" s="49"/>
      <c r="K731" s="49"/>
      <c r="M731" s="37"/>
      <c r="V731" s="174"/>
      <c r="W731" s="174"/>
      <c r="X731" s="174"/>
      <c r="Y731" s="187"/>
      <c r="AA731" s="78"/>
      <c r="AC731" s="84"/>
    </row>
    <row r="732" spans="9:29" x14ac:dyDescent="0.25">
      <c r="I732" s="49"/>
      <c r="J732" s="49"/>
      <c r="K732" s="49"/>
      <c r="M732" s="37"/>
      <c r="V732" s="174"/>
      <c r="W732" s="174"/>
      <c r="X732" s="174"/>
      <c r="Y732" s="187"/>
      <c r="AA732" s="78"/>
      <c r="AC732" s="84"/>
    </row>
    <row r="733" spans="9:29" x14ac:dyDescent="0.25">
      <c r="I733" s="49"/>
      <c r="J733" s="49"/>
      <c r="K733" s="49"/>
      <c r="M733" s="37"/>
      <c r="V733" s="174"/>
      <c r="W733" s="174"/>
      <c r="X733" s="174"/>
      <c r="Y733" s="187"/>
      <c r="AA733" s="78"/>
      <c r="AC733" s="84"/>
    </row>
    <row r="734" spans="9:29" x14ac:dyDescent="0.25">
      <c r="I734" s="49"/>
      <c r="J734" s="49"/>
      <c r="K734" s="49"/>
      <c r="M734" s="34"/>
      <c r="V734" s="174"/>
      <c r="W734" s="174"/>
      <c r="X734" s="174"/>
      <c r="Y734" s="187"/>
      <c r="AA734" s="78"/>
      <c r="AC734" s="82"/>
    </row>
    <row r="735" spans="9:29" x14ac:dyDescent="0.25">
      <c r="I735" s="49"/>
      <c r="J735" s="49"/>
      <c r="K735" s="49"/>
      <c r="M735" s="37"/>
      <c r="V735" s="174"/>
      <c r="W735" s="174"/>
      <c r="X735" s="174"/>
      <c r="Y735" s="187"/>
      <c r="AA735" s="78"/>
      <c r="AC735" s="84"/>
    </row>
    <row r="736" spans="9:29" x14ac:dyDescent="0.25">
      <c r="I736" s="49"/>
      <c r="J736" s="49"/>
      <c r="K736" s="49"/>
      <c r="M736" s="37"/>
      <c r="V736" s="174"/>
      <c r="W736" s="174"/>
      <c r="X736" s="174"/>
      <c r="Y736" s="187"/>
      <c r="AA736" s="78"/>
      <c r="AC736" s="84"/>
    </row>
    <row r="737" spans="9:29" x14ac:dyDescent="0.25">
      <c r="I737" s="49"/>
      <c r="J737" s="49"/>
      <c r="K737" s="49"/>
      <c r="M737" s="34"/>
      <c r="V737" s="174"/>
      <c r="W737" s="174"/>
      <c r="X737" s="174"/>
      <c r="Y737" s="187"/>
      <c r="AA737" s="78"/>
      <c r="AC737" s="82"/>
    </row>
    <row r="738" spans="9:29" x14ac:dyDescent="0.25">
      <c r="I738" s="49"/>
      <c r="J738" s="49"/>
      <c r="K738" s="49"/>
      <c r="M738" s="37"/>
      <c r="V738" s="174"/>
      <c r="W738" s="174"/>
      <c r="X738" s="174"/>
      <c r="Y738" s="187"/>
      <c r="AA738" s="78"/>
      <c r="AC738" s="84"/>
    </row>
    <row r="739" spans="9:29" x14ac:dyDescent="0.25">
      <c r="I739" s="49"/>
      <c r="J739" s="49"/>
      <c r="K739" s="49"/>
      <c r="M739" s="37"/>
      <c r="V739" s="174"/>
      <c r="W739" s="174"/>
      <c r="X739" s="174"/>
      <c r="Y739" s="187"/>
      <c r="AA739" s="78"/>
      <c r="AC739" s="84"/>
    </row>
    <row r="740" spans="9:29" x14ac:dyDescent="0.25">
      <c r="I740" s="49"/>
      <c r="J740" s="49"/>
      <c r="K740" s="49"/>
      <c r="M740" s="37"/>
      <c r="V740" s="174"/>
      <c r="W740" s="174"/>
      <c r="X740" s="174"/>
      <c r="Y740" s="187"/>
      <c r="AA740" s="78"/>
      <c r="AC740" s="84"/>
    </row>
    <row r="741" spans="9:29" x14ac:dyDescent="0.25">
      <c r="I741" s="49"/>
      <c r="J741" s="49"/>
      <c r="K741" s="49"/>
      <c r="M741" s="37"/>
      <c r="V741" s="174"/>
      <c r="W741" s="174"/>
      <c r="X741" s="174"/>
      <c r="Y741" s="187"/>
      <c r="AA741" s="78"/>
      <c r="AC741" s="84"/>
    </row>
    <row r="742" spans="9:29" x14ac:dyDescent="0.25">
      <c r="I742" s="49"/>
      <c r="J742" s="49"/>
      <c r="K742" s="49"/>
      <c r="M742" s="34"/>
      <c r="V742" s="174"/>
      <c r="W742" s="174"/>
      <c r="X742" s="174"/>
      <c r="Y742" s="187"/>
      <c r="AA742" s="78"/>
      <c r="AC742" s="82"/>
    </row>
    <row r="743" spans="9:29" x14ac:dyDescent="0.25">
      <c r="I743" s="49"/>
      <c r="J743" s="49"/>
      <c r="K743" s="49"/>
      <c r="M743" s="37"/>
      <c r="V743" s="174"/>
      <c r="W743" s="174"/>
      <c r="X743" s="174"/>
      <c r="Y743" s="187"/>
      <c r="AA743" s="78"/>
      <c r="AC743" s="84"/>
    </row>
    <row r="744" spans="9:29" x14ac:dyDescent="0.25">
      <c r="I744" s="49"/>
      <c r="J744" s="49"/>
      <c r="K744" s="49"/>
      <c r="M744" s="37"/>
      <c r="V744" s="174"/>
      <c r="W744" s="174"/>
      <c r="X744" s="174"/>
      <c r="Y744" s="187"/>
      <c r="AA744" s="78"/>
      <c r="AC744" s="84"/>
    </row>
    <row r="745" spans="9:29" x14ac:dyDescent="0.25">
      <c r="I745" s="49"/>
      <c r="J745" s="49"/>
      <c r="K745" s="49"/>
      <c r="M745" s="37"/>
      <c r="V745" s="174"/>
      <c r="W745" s="174"/>
      <c r="X745" s="174"/>
      <c r="Y745" s="187"/>
      <c r="AA745" s="78"/>
      <c r="AC745" s="84"/>
    </row>
    <row r="746" spans="9:29" x14ac:dyDescent="0.25">
      <c r="I746" s="49"/>
      <c r="J746" s="49"/>
      <c r="K746" s="49"/>
      <c r="M746" s="37"/>
      <c r="V746" s="174"/>
      <c r="W746" s="174"/>
      <c r="X746" s="174"/>
      <c r="Y746" s="187"/>
      <c r="AA746" s="78"/>
      <c r="AC746" s="84"/>
    </row>
    <row r="747" spans="9:29" x14ac:dyDescent="0.25">
      <c r="I747" s="49"/>
      <c r="J747" s="49"/>
      <c r="K747" s="49"/>
      <c r="M747" s="34"/>
      <c r="V747" s="174"/>
      <c r="W747" s="174"/>
      <c r="X747" s="174"/>
      <c r="Y747" s="187"/>
      <c r="AA747" s="78"/>
      <c r="AC747" s="82"/>
    </row>
    <row r="748" spans="9:29" x14ac:dyDescent="0.25">
      <c r="I748" s="49"/>
      <c r="J748" s="49"/>
      <c r="K748" s="49"/>
      <c r="M748" s="37"/>
      <c r="V748" s="174"/>
      <c r="W748" s="174"/>
      <c r="X748" s="174"/>
      <c r="Y748" s="187"/>
      <c r="AA748" s="78"/>
      <c r="AC748" s="84"/>
    </row>
    <row r="749" spans="9:29" x14ac:dyDescent="0.25">
      <c r="I749" s="49"/>
      <c r="J749" s="49"/>
      <c r="K749" s="49"/>
      <c r="M749" s="34"/>
      <c r="V749" s="174"/>
      <c r="W749" s="174"/>
      <c r="X749" s="174"/>
      <c r="Y749" s="187"/>
      <c r="AA749" s="78"/>
      <c r="AC749" s="82"/>
    </row>
    <row r="750" spans="9:29" x14ac:dyDescent="0.25">
      <c r="I750" s="49"/>
      <c r="J750" s="49"/>
      <c r="K750" s="49"/>
      <c r="M750" s="37"/>
      <c r="V750" s="174"/>
      <c r="W750" s="174"/>
      <c r="X750" s="174"/>
      <c r="Y750" s="187"/>
      <c r="AA750" s="78"/>
      <c r="AC750" s="84"/>
    </row>
    <row r="751" spans="9:29" x14ac:dyDescent="0.25">
      <c r="I751" s="49"/>
      <c r="J751" s="49"/>
      <c r="K751" s="49"/>
      <c r="M751" s="37"/>
      <c r="V751" s="174"/>
      <c r="W751" s="174"/>
      <c r="X751" s="174"/>
      <c r="Y751" s="187"/>
      <c r="AA751" s="78"/>
      <c r="AC751" s="84"/>
    </row>
    <row r="752" spans="9:29" x14ac:dyDescent="0.25">
      <c r="I752" s="49"/>
      <c r="J752" s="49"/>
      <c r="K752" s="49"/>
      <c r="M752" s="34"/>
      <c r="V752" s="174"/>
      <c r="W752" s="174"/>
      <c r="X752" s="174"/>
      <c r="Y752" s="187"/>
      <c r="AA752" s="78"/>
      <c r="AC752" s="82"/>
    </row>
    <row r="753" spans="9:29" x14ac:dyDescent="0.25">
      <c r="I753" s="49"/>
      <c r="J753" s="49"/>
      <c r="K753" s="49"/>
      <c r="M753" s="37"/>
      <c r="V753" s="174"/>
      <c r="W753" s="174"/>
      <c r="X753" s="174"/>
      <c r="Y753" s="187"/>
      <c r="AA753" s="78"/>
      <c r="AC753" s="84"/>
    </row>
    <row r="754" spans="9:29" x14ac:dyDescent="0.25">
      <c r="I754" s="49"/>
      <c r="J754" s="49"/>
      <c r="K754" s="49"/>
      <c r="M754" s="37"/>
      <c r="V754" s="174"/>
      <c r="W754" s="174"/>
      <c r="X754" s="174"/>
      <c r="Y754" s="187"/>
      <c r="AA754" s="78"/>
      <c r="AC754" s="84"/>
    </row>
    <row r="755" spans="9:29" x14ac:dyDescent="0.25">
      <c r="I755" s="49"/>
      <c r="J755" s="49"/>
      <c r="K755" s="49"/>
      <c r="M755" s="34"/>
      <c r="V755" s="174"/>
      <c r="W755" s="174"/>
      <c r="X755" s="174"/>
      <c r="Y755" s="187"/>
      <c r="AA755" s="78"/>
      <c r="AC755" s="82"/>
    </row>
    <row r="756" spans="9:29" x14ac:dyDescent="0.25">
      <c r="I756" s="49"/>
      <c r="J756" s="49"/>
      <c r="K756" s="49"/>
      <c r="M756" s="37"/>
      <c r="V756" s="174"/>
      <c r="W756" s="174"/>
      <c r="X756" s="174"/>
      <c r="Y756" s="187"/>
      <c r="AA756" s="78"/>
      <c r="AC756" s="84"/>
    </row>
    <row r="757" spans="9:29" x14ac:dyDescent="0.25">
      <c r="I757" s="49"/>
      <c r="J757" s="49"/>
      <c r="K757" s="49"/>
      <c r="M757" s="37"/>
      <c r="V757" s="174"/>
      <c r="W757" s="174"/>
      <c r="X757" s="174"/>
      <c r="Y757" s="187"/>
      <c r="AA757" s="78"/>
      <c r="AC757" s="84"/>
    </row>
    <row r="758" spans="9:29" x14ac:dyDescent="0.25">
      <c r="I758" s="49"/>
      <c r="J758" s="49"/>
      <c r="K758" s="49"/>
      <c r="M758" s="37"/>
      <c r="V758" s="174"/>
      <c r="W758" s="174"/>
      <c r="X758" s="174"/>
      <c r="Y758" s="187"/>
      <c r="AA758" s="78"/>
      <c r="AC758" s="84"/>
    </row>
    <row r="759" spans="9:29" x14ac:dyDescent="0.25">
      <c r="I759" s="49"/>
      <c r="J759" s="49"/>
      <c r="K759" s="49"/>
      <c r="M759" s="37"/>
      <c r="V759" s="174"/>
      <c r="W759" s="174"/>
      <c r="X759" s="174"/>
      <c r="Y759" s="187"/>
      <c r="AA759" s="78"/>
      <c r="AC759" s="84"/>
    </row>
    <row r="760" spans="9:29" x14ac:dyDescent="0.25">
      <c r="I760" s="49"/>
      <c r="J760" s="49"/>
      <c r="K760" s="49"/>
      <c r="M760" s="37"/>
      <c r="V760" s="174"/>
      <c r="W760" s="174"/>
      <c r="X760" s="174"/>
      <c r="Y760" s="187"/>
      <c r="AA760" s="78"/>
      <c r="AC760" s="84"/>
    </row>
    <row r="761" spans="9:29" x14ac:dyDescent="0.25">
      <c r="I761" s="49"/>
      <c r="J761" s="49"/>
      <c r="K761" s="49"/>
      <c r="M761" s="37"/>
      <c r="V761" s="174"/>
      <c r="W761" s="174"/>
      <c r="X761" s="174"/>
      <c r="Y761" s="187"/>
      <c r="AA761" s="78"/>
      <c r="AC761" s="84"/>
    </row>
    <row r="762" spans="9:29" x14ac:dyDescent="0.25">
      <c r="I762" s="49"/>
      <c r="J762" s="49"/>
      <c r="K762" s="49"/>
      <c r="M762" s="37"/>
      <c r="V762" s="174"/>
      <c r="W762" s="174"/>
      <c r="X762" s="174"/>
      <c r="Y762" s="187"/>
      <c r="AA762" s="78"/>
      <c r="AC762" s="84"/>
    </row>
    <row r="763" spans="9:29" x14ac:dyDescent="0.25">
      <c r="I763" s="49"/>
      <c r="J763" s="49"/>
      <c r="K763" s="49"/>
      <c r="M763" s="37"/>
      <c r="V763" s="174"/>
      <c r="W763" s="174"/>
      <c r="X763" s="174"/>
      <c r="Y763" s="187"/>
      <c r="AA763" s="78"/>
      <c r="AC763" s="84"/>
    </row>
    <row r="764" spans="9:29" x14ac:dyDescent="0.25">
      <c r="I764" s="49"/>
      <c r="J764" s="49"/>
      <c r="K764" s="49"/>
      <c r="M764" s="37"/>
      <c r="V764" s="174"/>
      <c r="W764" s="174"/>
      <c r="X764" s="174"/>
      <c r="Y764" s="187"/>
      <c r="AA764" s="78"/>
      <c r="AC764" s="84"/>
    </row>
    <row r="765" spans="9:29" x14ac:dyDescent="0.25">
      <c r="I765" s="49"/>
      <c r="J765" s="49"/>
      <c r="K765" s="49"/>
      <c r="M765" s="37"/>
      <c r="V765" s="174"/>
      <c r="W765" s="174"/>
      <c r="X765" s="174"/>
      <c r="Y765" s="187"/>
      <c r="AA765" s="78"/>
      <c r="AC765" s="84"/>
    </row>
    <row r="766" spans="9:29" x14ac:dyDescent="0.25">
      <c r="I766" s="49"/>
      <c r="J766" s="49"/>
      <c r="K766" s="49"/>
      <c r="M766" s="37"/>
      <c r="V766" s="174"/>
      <c r="W766" s="174"/>
      <c r="X766" s="174"/>
      <c r="Y766" s="187"/>
      <c r="AA766" s="78"/>
      <c r="AC766" s="84"/>
    </row>
    <row r="767" spans="9:29" x14ac:dyDescent="0.25">
      <c r="I767" s="49"/>
      <c r="J767" s="49"/>
      <c r="K767" s="49"/>
      <c r="V767" s="174"/>
      <c r="W767" s="174"/>
      <c r="X767" s="174"/>
      <c r="Y767" s="187"/>
      <c r="AA767" s="78"/>
    </row>
    <row r="768" spans="9:29" x14ac:dyDescent="0.25">
      <c r="I768" s="49"/>
      <c r="J768" s="49"/>
      <c r="K768" s="49"/>
      <c r="V768" s="174"/>
      <c r="W768" s="174"/>
      <c r="X768" s="174"/>
      <c r="Y768" s="187"/>
      <c r="AA768" s="78"/>
    </row>
    <row r="769" spans="9:27" x14ac:dyDescent="0.25">
      <c r="I769" s="49"/>
      <c r="J769" s="49"/>
      <c r="K769" s="49"/>
      <c r="V769" s="174"/>
      <c r="W769" s="174"/>
      <c r="X769" s="174"/>
      <c r="Y769" s="187"/>
      <c r="AA769" s="78"/>
    </row>
    <row r="770" spans="9:27" x14ac:dyDescent="0.25">
      <c r="I770" s="49"/>
      <c r="J770" s="49"/>
      <c r="K770" s="49"/>
      <c r="V770" s="174"/>
      <c r="W770" s="174"/>
      <c r="X770" s="174"/>
      <c r="Y770" s="187"/>
      <c r="AA770" s="78"/>
    </row>
    <row r="771" spans="9:27" x14ac:dyDescent="0.25">
      <c r="I771" s="49"/>
      <c r="J771" s="49"/>
      <c r="K771" s="49"/>
      <c r="V771" s="174"/>
      <c r="W771" s="174"/>
      <c r="X771" s="174"/>
      <c r="Y771" s="187"/>
      <c r="AA771" s="78"/>
    </row>
    <row r="772" spans="9:27" x14ac:dyDescent="0.25">
      <c r="I772" s="49"/>
      <c r="J772" s="49"/>
      <c r="K772" s="49"/>
      <c r="V772" s="174"/>
      <c r="W772" s="174"/>
      <c r="X772" s="174"/>
      <c r="Y772" s="187"/>
      <c r="AA772" s="78"/>
    </row>
    <row r="773" spans="9:27" x14ac:dyDescent="0.25">
      <c r="I773" s="49"/>
      <c r="J773" s="49"/>
      <c r="K773" s="49"/>
      <c r="V773" s="174"/>
      <c r="W773" s="174"/>
      <c r="X773" s="174"/>
      <c r="Y773" s="187"/>
      <c r="AA773" s="78"/>
    </row>
    <row r="774" spans="9:27" x14ac:dyDescent="0.25">
      <c r="I774" s="49"/>
      <c r="J774" s="49"/>
      <c r="K774" s="49"/>
      <c r="V774" s="174"/>
      <c r="W774" s="174"/>
      <c r="X774" s="174"/>
      <c r="Y774" s="187"/>
      <c r="AA774" s="78"/>
    </row>
    <row r="775" spans="9:27" x14ac:dyDescent="0.25">
      <c r="I775" s="49"/>
      <c r="J775" s="49"/>
      <c r="K775" s="49"/>
      <c r="V775" s="174"/>
      <c r="W775" s="174"/>
      <c r="X775" s="174"/>
      <c r="Y775" s="187"/>
      <c r="AA775" s="78"/>
    </row>
    <row r="776" spans="9:27" x14ac:dyDescent="0.25">
      <c r="I776" s="49"/>
      <c r="J776" s="49"/>
      <c r="K776" s="49"/>
      <c r="V776" s="174"/>
      <c r="W776" s="174"/>
      <c r="X776" s="174"/>
      <c r="Y776" s="187"/>
      <c r="AA776" s="78"/>
    </row>
    <row r="777" spans="9:27" x14ac:dyDescent="0.25">
      <c r="I777" s="49"/>
      <c r="J777" s="49"/>
      <c r="K777" s="49"/>
      <c r="V777" s="174"/>
      <c r="W777" s="174"/>
      <c r="X777" s="174"/>
      <c r="Y777" s="187"/>
      <c r="AA777" s="78"/>
    </row>
    <row r="778" spans="9:27" x14ac:dyDescent="0.25">
      <c r="I778" s="49"/>
      <c r="J778" s="49"/>
      <c r="K778" s="49"/>
      <c r="V778" s="174"/>
      <c r="W778" s="174"/>
      <c r="X778" s="174"/>
      <c r="Y778" s="187"/>
      <c r="AA778" s="78"/>
    </row>
    <row r="779" spans="9:27" x14ac:dyDescent="0.25">
      <c r="I779" s="49"/>
      <c r="J779" s="49"/>
      <c r="K779" s="49"/>
      <c r="V779" s="174"/>
      <c r="W779" s="174"/>
      <c r="X779" s="174"/>
      <c r="Y779" s="187"/>
      <c r="AA779" s="78"/>
    </row>
    <row r="780" spans="9:27" x14ac:dyDescent="0.25">
      <c r="I780" s="49"/>
      <c r="J780" s="49"/>
      <c r="K780" s="49"/>
      <c r="V780" s="174"/>
      <c r="W780" s="174"/>
      <c r="X780" s="174"/>
      <c r="Y780" s="187"/>
      <c r="AA780" s="78"/>
    </row>
    <row r="781" spans="9:27" x14ac:dyDescent="0.25">
      <c r="I781" s="49"/>
      <c r="J781" s="49"/>
      <c r="K781" s="49"/>
      <c r="V781" s="174"/>
      <c r="W781" s="174"/>
      <c r="X781" s="174"/>
      <c r="Y781" s="187"/>
      <c r="AA781" s="78"/>
    </row>
    <row r="782" spans="9:27" x14ac:dyDescent="0.25">
      <c r="I782" s="49"/>
      <c r="J782" s="49"/>
      <c r="K782" s="49"/>
      <c r="V782" s="174"/>
      <c r="W782" s="174"/>
      <c r="X782" s="174"/>
      <c r="Y782" s="187"/>
      <c r="AA782" s="78"/>
    </row>
    <row r="783" spans="9:27" x14ac:dyDescent="0.25">
      <c r="I783" s="49"/>
      <c r="J783" s="49"/>
      <c r="K783" s="49"/>
      <c r="V783" s="174"/>
      <c r="W783" s="174"/>
      <c r="X783" s="174"/>
      <c r="Y783" s="187"/>
      <c r="AA783" s="78"/>
    </row>
    <row r="784" spans="9:27" x14ac:dyDescent="0.25">
      <c r="I784" s="49"/>
      <c r="J784" s="49"/>
      <c r="K784" s="49"/>
      <c r="V784" s="174"/>
      <c r="W784" s="174"/>
      <c r="X784" s="174"/>
      <c r="Y784" s="187"/>
      <c r="AA784" s="78"/>
    </row>
    <row r="785" spans="9:27" x14ac:dyDescent="0.25">
      <c r="I785" s="49"/>
      <c r="J785" s="49"/>
      <c r="K785" s="49"/>
      <c r="V785" s="174"/>
      <c r="W785" s="174"/>
      <c r="X785" s="174"/>
      <c r="Y785" s="187"/>
      <c r="AA785" s="78"/>
    </row>
    <row r="786" spans="9:27" x14ac:dyDescent="0.25">
      <c r="I786" s="49"/>
      <c r="J786" s="49"/>
      <c r="K786" s="49"/>
      <c r="V786" s="174"/>
      <c r="W786" s="174"/>
      <c r="X786" s="174"/>
      <c r="Y786" s="187"/>
      <c r="AA786" s="78"/>
    </row>
    <row r="787" spans="9:27" x14ac:dyDescent="0.25">
      <c r="I787" s="49"/>
      <c r="J787" s="49"/>
      <c r="K787" s="49"/>
      <c r="V787" s="174"/>
      <c r="W787" s="174"/>
      <c r="X787" s="174"/>
      <c r="Y787" s="187"/>
      <c r="AA787" s="78"/>
    </row>
    <row r="788" spans="9:27" x14ac:dyDescent="0.25">
      <c r="I788" s="49"/>
      <c r="J788" s="49"/>
      <c r="K788" s="49"/>
      <c r="V788" s="174"/>
      <c r="W788" s="174"/>
      <c r="X788" s="174"/>
      <c r="Y788" s="187"/>
      <c r="AA788" s="78"/>
    </row>
    <row r="789" spans="9:27" x14ac:dyDescent="0.25">
      <c r="I789" s="49"/>
      <c r="J789" s="49"/>
      <c r="K789" s="49"/>
      <c r="V789" s="174"/>
      <c r="W789" s="174"/>
      <c r="X789" s="174"/>
      <c r="Y789" s="187"/>
      <c r="AA789" s="78"/>
    </row>
    <row r="790" spans="9:27" x14ac:dyDescent="0.25">
      <c r="I790" s="49"/>
      <c r="J790" s="49"/>
      <c r="K790" s="49"/>
      <c r="V790" s="174"/>
      <c r="W790" s="174"/>
      <c r="X790" s="174"/>
      <c r="Y790" s="187"/>
      <c r="AA790" s="78"/>
    </row>
    <row r="791" spans="9:27" x14ac:dyDescent="0.25">
      <c r="I791" s="49"/>
      <c r="J791" s="49"/>
      <c r="K791" s="49"/>
      <c r="V791" s="174"/>
      <c r="W791" s="174"/>
      <c r="X791" s="174"/>
      <c r="Y791" s="187"/>
      <c r="AA791" s="78"/>
    </row>
    <row r="792" spans="9:27" x14ac:dyDescent="0.25">
      <c r="I792" s="49"/>
      <c r="J792" s="49"/>
      <c r="K792" s="49"/>
      <c r="V792" s="174"/>
      <c r="W792" s="174"/>
      <c r="X792" s="174"/>
      <c r="Y792" s="187"/>
      <c r="AA792" s="78"/>
    </row>
    <row r="793" spans="9:27" x14ac:dyDescent="0.25">
      <c r="I793" s="49"/>
      <c r="J793" s="49"/>
      <c r="K793" s="49"/>
      <c r="V793" s="174"/>
      <c r="W793" s="174"/>
      <c r="X793" s="174"/>
      <c r="Y793" s="187"/>
      <c r="AA793" s="78"/>
    </row>
    <row r="794" spans="9:27" x14ac:dyDescent="0.25">
      <c r="I794" s="49"/>
      <c r="J794" s="49"/>
      <c r="K794" s="49"/>
      <c r="V794" s="174"/>
      <c r="W794" s="174"/>
      <c r="X794" s="174"/>
      <c r="Y794" s="187"/>
      <c r="AA794" s="78"/>
    </row>
    <row r="795" spans="9:27" x14ac:dyDescent="0.25">
      <c r="I795" s="49"/>
      <c r="J795" s="49"/>
      <c r="K795" s="49"/>
      <c r="V795" s="174"/>
      <c r="W795" s="174"/>
      <c r="X795" s="174"/>
      <c r="Y795" s="187"/>
      <c r="AA795" s="78"/>
    </row>
    <row r="796" spans="9:27" x14ac:dyDescent="0.25">
      <c r="I796" s="49"/>
      <c r="J796" s="49"/>
      <c r="K796" s="49"/>
      <c r="V796" s="174"/>
      <c r="W796" s="174"/>
      <c r="X796" s="174"/>
      <c r="Y796" s="187"/>
      <c r="AA796" s="78"/>
    </row>
    <row r="797" spans="9:27" x14ac:dyDescent="0.25">
      <c r="I797" s="49"/>
      <c r="J797" s="49"/>
      <c r="K797" s="49"/>
      <c r="V797" s="174"/>
      <c r="W797" s="174"/>
      <c r="X797" s="174"/>
      <c r="Y797" s="187"/>
      <c r="AA797" s="78"/>
    </row>
    <row r="798" spans="9:27" x14ac:dyDescent="0.25">
      <c r="I798" s="49"/>
      <c r="J798" s="49"/>
      <c r="K798" s="49"/>
      <c r="V798" s="174"/>
      <c r="W798" s="174"/>
      <c r="X798" s="174"/>
      <c r="Y798" s="187"/>
      <c r="AA798" s="78"/>
    </row>
    <row r="799" spans="9:27" x14ac:dyDescent="0.25">
      <c r="I799" s="49"/>
      <c r="J799" s="49"/>
      <c r="K799" s="49"/>
      <c r="V799" s="174"/>
      <c r="W799" s="174"/>
      <c r="X799" s="174"/>
      <c r="Y799" s="187"/>
      <c r="AA799" s="78"/>
    </row>
    <row r="800" spans="9:27" x14ac:dyDescent="0.25">
      <c r="I800" s="49"/>
      <c r="J800" s="49"/>
      <c r="K800" s="49"/>
      <c r="V800" s="174"/>
      <c r="W800" s="174"/>
      <c r="X800" s="174"/>
      <c r="Y800" s="187"/>
      <c r="AA800" s="78"/>
    </row>
    <row r="801" spans="9:27" x14ac:dyDescent="0.25">
      <c r="I801" s="49"/>
      <c r="J801" s="49"/>
      <c r="K801" s="49"/>
      <c r="V801" s="174"/>
      <c r="W801" s="174"/>
      <c r="X801" s="174"/>
      <c r="Y801" s="187"/>
      <c r="AA801" s="78"/>
    </row>
    <row r="802" spans="9:27" x14ac:dyDescent="0.25">
      <c r="I802" s="49"/>
      <c r="J802" s="49"/>
      <c r="K802" s="49"/>
      <c r="V802" s="174"/>
      <c r="W802" s="174"/>
      <c r="X802" s="174"/>
      <c r="Y802" s="187"/>
      <c r="AA802" s="78"/>
    </row>
    <row r="803" spans="9:27" x14ac:dyDescent="0.25">
      <c r="I803" s="49"/>
      <c r="J803" s="49"/>
      <c r="K803" s="49"/>
      <c r="V803" s="174"/>
      <c r="W803" s="174"/>
      <c r="X803" s="174"/>
      <c r="Y803" s="187"/>
      <c r="AA803" s="78"/>
    </row>
    <row r="804" spans="9:27" x14ac:dyDescent="0.25">
      <c r="I804" s="49"/>
      <c r="J804" s="49"/>
      <c r="K804" s="49"/>
      <c r="V804" s="174"/>
      <c r="W804" s="174"/>
      <c r="X804" s="174"/>
      <c r="Y804" s="187"/>
      <c r="AA804" s="78"/>
    </row>
    <row r="805" spans="9:27" x14ac:dyDescent="0.25">
      <c r="I805" s="49"/>
      <c r="J805" s="49"/>
      <c r="K805" s="49"/>
      <c r="V805" s="174"/>
      <c r="W805" s="174"/>
      <c r="X805" s="174"/>
      <c r="Y805" s="187"/>
      <c r="AA805" s="78"/>
    </row>
    <row r="806" spans="9:27" x14ac:dyDescent="0.25">
      <c r="I806" s="49"/>
      <c r="J806" s="49"/>
      <c r="K806" s="49"/>
      <c r="V806" s="174"/>
      <c r="W806" s="174"/>
      <c r="X806" s="174"/>
      <c r="Y806" s="187"/>
      <c r="AA806" s="78"/>
    </row>
    <row r="807" spans="9:27" x14ac:dyDescent="0.25">
      <c r="I807" s="49"/>
      <c r="J807" s="49"/>
      <c r="K807" s="49"/>
      <c r="V807" s="174"/>
      <c r="W807" s="174"/>
      <c r="X807" s="174"/>
      <c r="Y807" s="187"/>
      <c r="AA807" s="78"/>
    </row>
    <row r="808" spans="9:27" x14ac:dyDescent="0.25">
      <c r="I808" s="49"/>
      <c r="J808" s="49"/>
      <c r="K808" s="49"/>
      <c r="V808" s="174"/>
      <c r="W808" s="174"/>
      <c r="X808" s="174"/>
      <c r="Y808" s="187"/>
      <c r="AA808" s="78"/>
    </row>
    <row r="809" spans="9:27" x14ac:dyDescent="0.25">
      <c r="I809" s="49"/>
      <c r="J809" s="49"/>
      <c r="K809" s="49"/>
      <c r="V809" s="174"/>
      <c r="W809" s="174"/>
      <c r="X809" s="174"/>
      <c r="Y809" s="187"/>
      <c r="AA809" s="78"/>
    </row>
    <row r="810" spans="9:27" x14ac:dyDescent="0.25">
      <c r="I810" s="49"/>
      <c r="J810" s="49"/>
      <c r="K810" s="49"/>
      <c r="V810" s="174"/>
      <c r="W810" s="174"/>
      <c r="X810" s="174"/>
      <c r="Y810" s="187"/>
      <c r="AA810" s="78"/>
    </row>
    <row r="811" spans="9:27" x14ac:dyDescent="0.25">
      <c r="I811" s="49"/>
      <c r="J811" s="49"/>
      <c r="K811" s="49"/>
      <c r="V811" s="174"/>
      <c r="W811" s="174"/>
      <c r="X811" s="174"/>
      <c r="Y811" s="187"/>
      <c r="AA811" s="78"/>
    </row>
    <row r="812" spans="9:27" x14ac:dyDescent="0.25">
      <c r="I812" s="49"/>
      <c r="J812" s="49"/>
      <c r="K812" s="49"/>
      <c r="V812" s="174"/>
      <c r="W812" s="174"/>
      <c r="X812" s="174"/>
      <c r="Y812" s="187"/>
      <c r="AA812" s="78"/>
    </row>
    <row r="813" spans="9:27" x14ac:dyDescent="0.25">
      <c r="I813" s="49"/>
      <c r="J813" s="49"/>
      <c r="K813" s="49"/>
      <c r="V813" s="174"/>
      <c r="W813" s="174"/>
      <c r="X813" s="174"/>
      <c r="Y813" s="187"/>
      <c r="AA813" s="78"/>
    </row>
    <row r="814" spans="9:27" x14ac:dyDescent="0.25">
      <c r="I814" s="49"/>
      <c r="J814" s="49"/>
      <c r="K814" s="49"/>
      <c r="V814" s="174"/>
      <c r="W814" s="174"/>
      <c r="X814" s="174"/>
      <c r="Y814" s="187"/>
      <c r="AA814" s="78"/>
    </row>
    <row r="815" spans="9:27" x14ac:dyDescent="0.25">
      <c r="I815" s="49"/>
      <c r="J815" s="49"/>
      <c r="K815" s="49"/>
      <c r="V815" s="174"/>
      <c r="W815" s="174"/>
      <c r="X815" s="174"/>
      <c r="Y815" s="187"/>
      <c r="AA815" s="78"/>
    </row>
    <row r="816" spans="9:27" x14ac:dyDescent="0.25">
      <c r="I816" s="49"/>
      <c r="J816" s="49"/>
      <c r="K816" s="49"/>
      <c r="V816" s="174"/>
      <c r="W816" s="174"/>
      <c r="X816" s="174"/>
      <c r="Y816" s="187"/>
      <c r="AA816" s="78"/>
    </row>
    <row r="817" spans="9:27" x14ac:dyDescent="0.25">
      <c r="I817" s="49"/>
      <c r="J817" s="49"/>
      <c r="K817" s="49"/>
      <c r="V817" s="174"/>
      <c r="W817" s="174"/>
      <c r="X817" s="174"/>
      <c r="Y817" s="187"/>
      <c r="AA817" s="78"/>
    </row>
    <row r="818" spans="9:27" x14ac:dyDescent="0.25">
      <c r="I818" s="49"/>
      <c r="J818" s="49"/>
      <c r="K818" s="49"/>
      <c r="V818" s="174"/>
      <c r="W818" s="174"/>
      <c r="X818" s="174"/>
      <c r="Y818" s="187"/>
      <c r="AA818" s="78"/>
    </row>
    <row r="819" spans="9:27" x14ac:dyDescent="0.25">
      <c r="I819" s="49"/>
      <c r="J819" s="49"/>
      <c r="K819" s="49"/>
      <c r="V819" s="174"/>
      <c r="W819" s="174"/>
      <c r="X819" s="174"/>
      <c r="Y819" s="187"/>
      <c r="AA819" s="78"/>
    </row>
    <row r="820" spans="9:27" x14ac:dyDescent="0.25">
      <c r="I820" s="49"/>
      <c r="J820" s="49"/>
      <c r="K820" s="49"/>
      <c r="V820" s="174"/>
      <c r="W820" s="174"/>
      <c r="X820" s="174"/>
      <c r="Y820" s="187"/>
      <c r="AA820" s="78"/>
    </row>
    <row r="821" spans="9:27" x14ac:dyDescent="0.25">
      <c r="I821" s="49"/>
      <c r="J821" s="49"/>
      <c r="K821" s="49"/>
      <c r="V821" s="174"/>
      <c r="W821" s="174"/>
      <c r="X821" s="174"/>
      <c r="Y821" s="187"/>
      <c r="AA821" s="78"/>
    </row>
    <row r="822" spans="9:27" x14ac:dyDescent="0.25">
      <c r="I822" s="49"/>
      <c r="J822" s="49"/>
      <c r="K822" s="49"/>
      <c r="V822" s="174"/>
      <c r="W822" s="174"/>
      <c r="X822" s="174"/>
      <c r="Y822" s="187"/>
      <c r="AA822" s="78"/>
    </row>
    <row r="823" spans="9:27" x14ac:dyDescent="0.25">
      <c r="I823" s="49"/>
      <c r="J823" s="49"/>
      <c r="K823" s="49"/>
      <c r="V823" s="174"/>
      <c r="W823" s="174"/>
      <c r="X823" s="174"/>
      <c r="Y823" s="187"/>
      <c r="AA823" s="78"/>
    </row>
    <row r="824" spans="9:27" x14ac:dyDescent="0.25">
      <c r="I824" s="49"/>
      <c r="J824" s="49"/>
      <c r="K824" s="49"/>
      <c r="V824" s="174"/>
      <c r="W824" s="174"/>
      <c r="X824" s="174"/>
      <c r="Y824" s="187"/>
      <c r="AA824" s="78"/>
    </row>
    <row r="825" spans="9:27" x14ac:dyDescent="0.25">
      <c r="I825" s="49"/>
      <c r="J825" s="49"/>
      <c r="K825" s="49"/>
      <c r="V825" s="174"/>
      <c r="W825" s="174"/>
      <c r="X825" s="174"/>
      <c r="Y825" s="187"/>
      <c r="AA825" s="78"/>
    </row>
    <row r="826" spans="9:27" x14ac:dyDescent="0.25">
      <c r="I826" s="49"/>
      <c r="J826" s="49"/>
      <c r="K826" s="49"/>
      <c r="V826" s="174"/>
      <c r="W826" s="174"/>
      <c r="X826" s="174"/>
      <c r="Y826" s="187"/>
      <c r="AA826" s="78"/>
    </row>
    <row r="827" spans="9:27" x14ac:dyDescent="0.25">
      <c r="I827" s="49"/>
      <c r="J827" s="49"/>
      <c r="K827" s="49"/>
      <c r="V827" s="174"/>
      <c r="W827" s="174"/>
      <c r="X827" s="174"/>
      <c r="Y827" s="187"/>
      <c r="AA827" s="78"/>
    </row>
    <row r="828" spans="9:27" x14ac:dyDescent="0.25">
      <c r="I828" s="49"/>
      <c r="J828" s="49"/>
      <c r="K828" s="49"/>
      <c r="V828" s="174"/>
      <c r="W828" s="174"/>
      <c r="X828" s="174"/>
      <c r="Y828" s="187"/>
      <c r="AA828" s="78"/>
    </row>
    <row r="829" spans="9:27" x14ac:dyDescent="0.25">
      <c r="I829" s="49"/>
      <c r="J829" s="49"/>
      <c r="K829" s="49"/>
      <c r="V829" s="174"/>
      <c r="W829" s="174"/>
      <c r="X829" s="174"/>
      <c r="Y829" s="187"/>
      <c r="AA829" s="78"/>
    </row>
    <row r="830" spans="9:27" x14ac:dyDescent="0.25">
      <c r="I830" s="49"/>
      <c r="J830" s="49"/>
      <c r="K830" s="49"/>
      <c r="V830" s="174"/>
      <c r="W830" s="174"/>
      <c r="X830" s="174"/>
      <c r="Y830" s="187"/>
      <c r="AA830" s="78"/>
    </row>
    <row r="831" spans="9:27" x14ac:dyDescent="0.25">
      <c r="I831" s="49"/>
      <c r="J831" s="49"/>
      <c r="K831" s="49"/>
      <c r="V831" s="174"/>
      <c r="W831" s="174"/>
      <c r="X831" s="174"/>
      <c r="Y831" s="187"/>
      <c r="AA831" s="78"/>
    </row>
    <row r="832" spans="9:27" x14ac:dyDescent="0.25">
      <c r="I832" s="49"/>
      <c r="J832" s="49"/>
      <c r="K832" s="49"/>
      <c r="V832" s="174"/>
      <c r="W832" s="174"/>
      <c r="X832" s="174"/>
      <c r="Y832" s="187"/>
      <c r="AA832" s="78"/>
    </row>
    <row r="833" spans="9:27" x14ac:dyDescent="0.25">
      <c r="I833" s="49"/>
      <c r="J833" s="49"/>
      <c r="K833" s="49"/>
      <c r="V833" s="174"/>
      <c r="W833" s="174"/>
      <c r="X833" s="174"/>
      <c r="Y833" s="187"/>
      <c r="AA833" s="78"/>
    </row>
    <row r="834" spans="9:27" x14ac:dyDescent="0.25">
      <c r="I834" s="49"/>
      <c r="J834" s="49"/>
      <c r="K834" s="49"/>
      <c r="V834" s="174"/>
      <c r="W834" s="174"/>
      <c r="X834" s="174"/>
      <c r="Y834" s="187"/>
      <c r="AA834" s="78"/>
    </row>
    <row r="835" spans="9:27" x14ac:dyDescent="0.25">
      <c r="I835" s="49"/>
      <c r="J835" s="49"/>
      <c r="K835" s="49"/>
      <c r="V835" s="174"/>
      <c r="W835" s="174"/>
      <c r="X835" s="174"/>
      <c r="Y835" s="187"/>
      <c r="AA835" s="78"/>
    </row>
    <row r="836" spans="9:27" x14ac:dyDescent="0.25">
      <c r="I836" s="49"/>
      <c r="J836" s="49"/>
      <c r="K836" s="49"/>
      <c r="V836" s="174"/>
      <c r="W836" s="174"/>
      <c r="X836" s="174"/>
      <c r="Y836" s="187"/>
      <c r="AA836" s="78"/>
    </row>
    <row r="837" spans="9:27" x14ac:dyDescent="0.25">
      <c r="I837" s="49"/>
      <c r="J837" s="49"/>
      <c r="K837" s="49"/>
      <c r="V837" s="174"/>
      <c r="W837" s="174"/>
      <c r="X837" s="174"/>
      <c r="Y837" s="187"/>
      <c r="AA837" s="78"/>
    </row>
    <row r="838" spans="9:27" x14ac:dyDescent="0.25">
      <c r="I838" s="49"/>
      <c r="J838" s="49"/>
      <c r="K838" s="49"/>
      <c r="V838" s="174"/>
      <c r="W838" s="174"/>
      <c r="X838" s="174"/>
      <c r="Y838" s="187"/>
      <c r="AA838" s="78"/>
    </row>
    <row r="839" spans="9:27" x14ac:dyDescent="0.25">
      <c r="I839" s="49"/>
      <c r="J839" s="49"/>
      <c r="K839" s="49"/>
      <c r="V839" s="174"/>
      <c r="W839" s="174"/>
      <c r="X839" s="174"/>
      <c r="Y839" s="187"/>
      <c r="AA839" s="78"/>
    </row>
    <row r="840" spans="9:27" x14ac:dyDescent="0.25">
      <c r="I840" s="49"/>
      <c r="J840" s="49"/>
      <c r="K840" s="49"/>
      <c r="V840" s="174"/>
      <c r="W840" s="174"/>
      <c r="X840" s="174"/>
      <c r="Y840" s="187"/>
      <c r="AA840" s="78"/>
    </row>
    <row r="841" spans="9:27" x14ac:dyDescent="0.25">
      <c r="I841" s="49"/>
      <c r="J841" s="49"/>
      <c r="K841" s="49"/>
      <c r="V841" s="174"/>
      <c r="W841" s="174"/>
      <c r="X841" s="174"/>
      <c r="Y841" s="187"/>
      <c r="AA841" s="78"/>
    </row>
    <row r="842" spans="9:27" x14ac:dyDescent="0.25">
      <c r="I842" s="49"/>
      <c r="J842" s="49"/>
      <c r="K842" s="49"/>
      <c r="V842" s="174"/>
      <c r="W842" s="174"/>
      <c r="X842" s="174"/>
      <c r="Y842" s="187"/>
      <c r="AA842" s="78"/>
    </row>
    <row r="843" spans="9:27" x14ac:dyDescent="0.25">
      <c r="I843" s="49"/>
      <c r="J843" s="49"/>
      <c r="K843" s="49"/>
      <c r="V843" s="174"/>
      <c r="W843" s="174"/>
      <c r="X843" s="174"/>
      <c r="Y843" s="187"/>
      <c r="AA843" s="78"/>
    </row>
    <row r="844" spans="9:27" x14ac:dyDescent="0.25">
      <c r="I844" s="49"/>
      <c r="J844" s="49"/>
      <c r="K844" s="49"/>
      <c r="V844" s="174"/>
      <c r="W844" s="174"/>
      <c r="X844" s="174"/>
      <c r="Y844" s="187"/>
      <c r="AA844" s="78"/>
    </row>
    <row r="845" spans="9:27" x14ac:dyDescent="0.25">
      <c r="I845" s="49"/>
      <c r="J845" s="49"/>
      <c r="K845" s="49"/>
      <c r="V845" s="174"/>
      <c r="W845" s="174"/>
      <c r="X845" s="174"/>
      <c r="Y845" s="187"/>
      <c r="AA845" s="78"/>
    </row>
    <row r="846" spans="9:27" x14ac:dyDescent="0.25">
      <c r="I846" s="49"/>
      <c r="J846" s="49"/>
      <c r="K846" s="49"/>
      <c r="V846" s="174"/>
      <c r="W846" s="174"/>
      <c r="X846" s="174"/>
      <c r="Y846" s="187"/>
      <c r="AA846" s="78"/>
    </row>
    <row r="847" spans="9:27" x14ac:dyDescent="0.25">
      <c r="I847" s="49"/>
      <c r="J847" s="49"/>
      <c r="K847" s="49"/>
      <c r="V847" s="174"/>
      <c r="W847" s="174"/>
      <c r="X847" s="174"/>
      <c r="Y847" s="187"/>
      <c r="AA847" s="78"/>
    </row>
    <row r="848" spans="9:27" x14ac:dyDescent="0.25">
      <c r="I848" s="49"/>
      <c r="J848" s="49"/>
      <c r="K848" s="49"/>
      <c r="V848" s="174"/>
      <c r="W848" s="174"/>
      <c r="X848" s="174"/>
      <c r="Y848" s="187"/>
      <c r="AA848" s="78"/>
    </row>
    <row r="849" spans="9:27" x14ac:dyDescent="0.25">
      <c r="I849" s="49"/>
      <c r="J849" s="49"/>
      <c r="K849" s="49"/>
      <c r="V849" s="174"/>
      <c r="W849" s="174"/>
      <c r="X849" s="174"/>
      <c r="Y849" s="187"/>
      <c r="AA849" s="78"/>
    </row>
    <row r="850" spans="9:27" x14ac:dyDescent="0.25">
      <c r="I850" s="49"/>
      <c r="J850" s="49"/>
      <c r="K850" s="49"/>
      <c r="V850" s="174"/>
      <c r="W850" s="174"/>
      <c r="X850" s="174"/>
      <c r="Y850" s="187"/>
      <c r="AA850" s="78"/>
    </row>
    <row r="851" spans="9:27" x14ac:dyDescent="0.25">
      <c r="I851" s="49"/>
      <c r="J851" s="49"/>
      <c r="K851" s="49"/>
      <c r="V851" s="174"/>
      <c r="W851" s="174"/>
      <c r="X851" s="174"/>
      <c r="Y851" s="187"/>
      <c r="AA851" s="78"/>
    </row>
    <row r="852" spans="9:27" x14ac:dyDescent="0.25">
      <c r="I852" s="49"/>
      <c r="J852" s="49"/>
      <c r="K852" s="49"/>
      <c r="V852" s="174"/>
      <c r="W852" s="174"/>
      <c r="X852" s="174"/>
      <c r="Y852" s="187"/>
      <c r="AA852" s="78"/>
    </row>
    <row r="853" spans="9:27" x14ac:dyDescent="0.25">
      <c r="I853" s="49"/>
      <c r="J853" s="49"/>
      <c r="K853" s="49"/>
      <c r="V853" s="174"/>
      <c r="W853" s="174"/>
      <c r="X853" s="174"/>
      <c r="Y853" s="187"/>
      <c r="AA853" s="78"/>
    </row>
    <row r="854" spans="9:27" x14ac:dyDescent="0.25">
      <c r="I854" s="49"/>
      <c r="J854" s="49"/>
      <c r="K854" s="49"/>
      <c r="V854" s="174"/>
      <c r="W854" s="174"/>
      <c r="X854" s="174"/>
      <c r="Y854" s="187"/>
      <c r="AA854" s="78"/>
    </row>
    <row r="855" spans="9:27" x14ac:dyDescent="0.25">
      <c r="I855" s="49"/>
      <c r="J855" s="49"/>
      <c r="K855" s="49"/>
      <c r="V855" s="174"/>
      <c r="W855" s="174"/>
      <c r="X855" s="174"/>
      <c r="Y855" s="187"/>
      <c r="AA855" s="78"/>
    </row>
    <row r="856" spans="9:27" x14ac:dyDescent="0.25">
      <c r="I856" s="49"/>
      <c r="J856" s="49"/>
      <c r="K856" s="49"/>
      <c r="V856" s="174"/>
      <c r="W856" s="174"/>
      <c r="X856" s="174"/>
      <c r="Y856" s="187"/>
      <c r="AA856" s="78"/>
    </row>
    <row r="857" spans="9:27" x14ac:dyDescent="0.25">
      <c r="I857" s="49"/>
      <c r="J857" s="49"/>
      <c r="K857" s="49"/>
      <c r="V857" s="174"/>
      <c r="W857" s="174"/>
      <c r="X857" s="174"/>
      <c r="Y857" s="187"/>
      <c r="AA857" s="78"/>
    </row>
    <row r="858" spans="9:27" x14ac:dyDescent="0.25">
      <c r="I858" s="49"/>
      <c r="J858" s="49"/>
      <c r="K858" s="49"/>
      <c r="V858" s="174"/>
      <c r="W858" s="174"/>
      <c r="X858" s="174"/>
      <c r="Y858" s="187"/>
      <c r="AA858" s="78"/>
    </row>
    <row r="859" spans="9:27" x14ac:dyDescent="0.25">
      <c r="I859" s="49"/>
      <c r="J859" s="49"/>
      <c r="K859" s="49"/>
      <c r="V859" s="174"/>
      <c r="W859" s="174"/>
      <c r="X859" s="174"/>
      <c r="Y859" s="187"/>
      <c r="AA859" s="78"/>
    </row>
    <row r="860" spans="9:27" x14ac:dyDescent="0.25">
      <c r="I860" s="49"/>
      <c r="J860" s="49"/>
      <c r="K860" s="49"/>
      <c r="V860" s="174"/>
      <c r="W860" s="174"/>
      <c r="X860" s="174"/>
      <c r="Y860" s="187"/>
      <c r="AA860" s="78"/>
    </row>
    <row r="861" spans="9:27" x14ac:dyDescent="0.25">
      <c r="I861" s="49"/>
      <c r="J861" s="49"/>
      <c r="K861" s="49"/>
      <c r="V861" s="174"/>
      <c r="W861" s="174"/>
      <c r="X861" s="174"/>
      <c r="Y861" s="187"/>
      <c r="AA861" s="78"/>
    </row>
    <row r="862" spans="9:27" x14ac:dyDescent="0.25">
      <c r="I862" s="49"/>
      <c r="J862" s="49"/>
      <c r="K862" s="49"/>
      <c r="V862" s="174"/>
      <c r="W862" s="174"/>
      <c r="X862" s="174"/>
      <c r="Y862" s="187"/>
      <c r="AA862" s="78"/>
    </row>
    <row r="863" spans="9:27" x14ac:dyDescent="0.25">
      <c r="I863" s="49"/>
      <c r="J863" s="49"/>
      <c r="K863" s="49"/>
      <c r="V863" s="174"/>
      <c r="W863" s="174"/>
      <c r="X863" s="174"/>
      <c r="Y863" s="187"/>
      <c r="AA863" s="78"/>
    </row>
    <row r="864" spans="9:27" x14ac:dyDescent="0.25">
      <c r="I864" s="49"/>
      <c r="J864" s="49"/>
      <c r="K864" s="49"/>
      <c r="V864" s="174"/>
      <c r="W864" s="174"/>
      <c r="X864" s="174"/>
      <c r="Y864" s="187"/>
      <c r="AA864" s="78"/>
    </row>
    <row r="865" spans="9:27" x14ac:dyDescent="0.25">
      <c r="I865" s="49"/>
      <c r="J865" s="49"/>
      <c r="K865" s="49"/>
      <c r="V865" s="174"/>
      <c r="W865" s="174"/>
      <c r="X865" s="174"/>
      <c r="Y865" s="187"/>
      <c r="AA865" s="78"/>
    </row>
    <row r="866" spans="9:27" x14ac:dyDescent="0.25">
      <c r="I866" s="49"/>
      <c r="J866" s="49"/>
      <c r="K866" s="49"/>
      <c r="V866" s="174"/>
      <c r="W866" s="174"/>
      <c r="X866" s="174"/>
      <c r="Y866" s="187"/>
      <c r="AA866" s="78"/>
    </row>
    <row r="867" spans="9:27" x14ac:dyDescent="0.25">
      <c r="I867" s="49"/>
      <c r="J867" s="49"/>
      <c r="K867" s="49"/>
      <c r="V867" s="174"/>
      <c r="W867" s="174"/>
      <c r="X867" s="174"/>
      <c r="Y867" s="187"/>
      <c r="AA867" s="78"/>
    </row>
    <row r="868" spans="9:27" x14ac:dyDescent="0.25">
      <c r="I868" s="49"/>
      <c r="J868" s="49"/>
      <c r="K868" s="49"/>
      <c r="V868" s="174"/>
      <c r="W868" s="174"/>
      <c r="X868" s="174"/>
      <c r="Y868" s="187"/>
      <c r="AA868" s="78"/>
    </row>
    <row r="869" spans="9:27" x14ac:dyDescent="0.25">
      <c r="I869" s="49"/>
      <c r="J869" s="49"/>
      <c r="K869" s="49"/>
      <c r="V869" s="174"/>
      <c r="W869" s="174"/>
      <c r="X869" s="174"/>
      <c r="Y869" s="187"/>
      <c r="AA869" s="78"/>
    </row>
    <row r="870" spans="9:27" x14ac:dyDescent="0.25">
      <c r="I870" s="49"/>
      <c r="J870" s="49"/>
      <c r="K870" s="49"/>
      <c r="V870" s="174"/>
      <c r="W870" s="174"/>
      <c r="X870" s="174"/>
      <c r="Y870" s="187"/>
      <c r="AA870" s="78"/>
    </row>
    <row r="871" spans="9:27" x14ac:dyDescent="0.25">
      <c r="I871" s="49"/>
      <c r="J871" s="49"/>
      <c r="K871" s="49"/>
      <c r="V871" s="174"/>
      <c r="W871" s="174"/>
      <c r="X871" s="174"/>
      <c r="Y871" s="187"/>
      <c r="AA871" s="78"/>
    </row>
    <row r="872" spans="9:27" x14ac:dyDescent="0.25">
      <c r="I872" s="49"/>
      <c r="J872" s="49"/>
      <c r="K872" s="49"/>
      <c r="V872" s="174"/>
      <c r="W872" s="174"/>
      <c r="X872" s="174"/>
      <c r="Y872" s="187"/>
      <c r="AA872" s="78"/>
    </row>
    <row r="873" spans="9:27" x14ac:dyDescent="0.25">
      <c r="I873" s="49"/>
      <c r="J873" s="49"/>
      <c r="K873" s="49"/>
      <c r="V873" s="174"/>
      <c r="W873" s="174"/>
      <c r="X873" s="174"/>
      <c r="Y873" s="187"/>
      <c r="AA873" s="78"/>
    </row>
    <row r="874" spans="9:27" x14ac:dyDescent="0.25">
      <c r="I874" s="49"/>
      <c r="J874" s="49"/>
      <c r="K874" s="49"/>
      <c r="V874" s="174"/>
      <c r="W874" s="174"/>
      <c r="X874" s="174"/>
      <c r="Y874" s="187"/>
      <c r="AA874" s="78"/>
    </row>
    <row r="875" spans="9:27" x14ac:dyDescent="0.25">
      <c r="I875" s="49"/>
      <c r="J875" s="49"/>
      <c r="K875" s="49"/>
      <c r="V875" s="174"/>
      <c r="W875" s="174"/>
      <c r="X875" s="174"/>
      <c r="Y875" s="187"/>
      <c r="AA875" s="78"/>
    </row>
    <row r="876" spans="9:27" x14ac:dyDescent="0.25">
      <c r="I876" s="49"/>
      <c r="J876" s="49"/>
      <c r="K876" s="49"/>
      <c r="V876" s="174"/>
      <c r="W876" s="174"/>
      <c r="X876" s="174"/>
      <c r="Y876" s="187"/>
      <c r="AA876" s="78"/>
    </row>
    <row r="877" spans="9:27" x14ac:dyDescent="0.25">
      <c r="I877" s="49"/>
      <c r="J877" s="49"/>
      <c r="K877" s="49"/>
      <c r="V877" s="174"/>
      <c r="W877" s="174"/>
      <c r="X877" s="174"/>
      <c r="Y877" s="187"/>
      <c r="AA877" s="78"/>
    </row>
    <row r="878" spans="9:27" x14ac:dyDescent="0.25">
      <c r="I878" s="49"/>
      <c r="J878" s="49"/>
      <c r="K878" s="49"/>
      <c r="V878" s="174"/>
      <c r="W878" s="174"/>
      <c r="X878" s="174"/>
      <c r="Y878" s="187"/>
      <c r="AA878" s="78"/>
    </row>
    <row r="879" spans="9:27" x14ac:dyDescent="0.25">
      <c r="I879" s="49"/>
      <c r="J879" s="49"/>
      <c r="K879" s="49"/>
      <c r="V879" s="174"/>
      <c r="W879" s="174"/>
      <c r="X879" s="174"/>
      <c r="Y879" s="187"/>
      <c r="AA879" s="78"/>
    </row>
    <row r="880" spans="9:27" x14ac:dyDescent="0.25">
      <c r="I880" s="49"/>
      <c r="J880" s="49"/>
      <c r="K880" s="49"/>
      <c r="V880" s="174"/>
      <c r="W880" s="174"/>
      <c r="X880" s="174"/>
      <c r="Y880" s="187"/>
      <c r="AA880" s="78"/>
    </row>
    <row r="881" spans="9:27" x14ac:dyDescent="0.25">
      <c r="I881" s="49"/>
      <c r="J881" s="49"/>
      <c r="K881" s="49"/>
      <c r="V881" s="174"/>
      <c r="W881" s="174"/>
      <c r="X881" s="174"/>
      <c r="Y881" s="187"/>
      <c r="AA881" s="78"/>
    </row>
    <row r="882" spans="9:27" x14ac:dyDescent="0.25">
      <c r="I882" s="49"/>
      <c r="J882" s="49"/>
      <c r="K882" s="49"/>
      <c r="V882" s="174"/>
      <c r="W882" s="174"/>
      <c r="X882" s="174"/>
      <c r="Y882" s="187"/>
      <c r="AA882" s="78"/>
    </row>
    <row r="883" spans="9:27" x14ac:dyDescent="0.25">
      <c r="I883" s="49"/>
      <c r="J883" s="49"/>
      <c r="K883" s="49"/>
      <c r="V883" s="174"/>
      <c r="W883" s="174"/>
      <c r="X883" s="174"/>
      <c r="Y883" s="187"/>
      <c r="AA883" s="78"/>
    </row>
    <row r="884" spans="9:27" x14ac:dyDescent="0.25">
      <c r="I884" s="49"/>
      <c r="J884" s="49"/>
      <c r="K884" s="49"/>
      <c r="V884" s="174"/>
      <c r="W884" s="174"/>
      <c r="X884" s="174"/>
      <c r="Y884" s="187"/>
      <c r="AA884" s="78"/>
    </row>
    <row r="885" spans="9:27" x14ac:dyDescent="0.25">
      <c r="I885" s="49"/>
      <c r="J885" s="49"/>
      <c r="K885" s="49"/>
      <c r="V885" s="174"/>
      <c r="W885" s="174"/>
      <c r="X885" s="174"/>
      <c r="Y885" s="187"/>
      <c r="AA885" s="78"/>
    </row>
    <row r="886" spans="9:27" x14ac:dyDescent="0.25">
      <c r="I886" s="49"/>
      <c r="J886" s="49"/>
      <c r="K886" s="49"/>
      <c r="V886" s="174"/>
      <c r="W886" s="174"/>
      <c r="X886" s="174"/>
      <c r="Y886" s="187"/>
      <c r="AA886" s="78"/>
    </row>
    <row r="887" spans="9:27" x14ac:dyDescent="0.25">
      <c r="I887" s="49"/>
      <c r="J887" s="49"/>
      <c r="K887" s="49"/>
      <c r="V887" s="174"/>
      <c r="W887" s="174"/>
      <c r="X887" s="174"/>
      <c r="Y887" s="187"/>
      <c r="AA887" s="78"/>
    </row>
    <row r="888" spans="9:27" x14ac:dyDescent="0.25">
      <c r="I888" s="49"/>
      <c r="J888" s="49"/>
      <c r="K888" s="49"/>
      <c r="V888" s="174"/>
      <c r="W888" s="174"/>
      <c r="X888" s="174"/>
      <c r="Y888" s="187"/>
      <c r="AA888" s="78"/>
    </row>
    <row r="889" spans="9:27" x14ac:dyDescent="0.25">
      <c r="I889" s="49"/>
      <c r="J889" s="49"/>
      <c r="K889" s="49"/>
      <c r="V889" s="174"/>
      <c r="W889" s="174"/>
      <c r="X889" s="174"/>
      <c r="Y889" s="187"/>
      <c r="AA889" s="78"/>
    </row>
    <row r="890" spans="9:27" x14ac:dyDescent="0.25">
      <c r="I890" s="49"/>
      <c r="J890" s="49"/>
      <c r="K890" s="49"/>
      <c r="V890" s="174"/>
      <c r="W890" s="174"/>
      <c r="X890" s="174"/>
      <c r="Y890" s="187"/>
      <c r="AA890" s="78"/>
    </row>
    <row r="891" spans="9:27" x14ac:dyDescent="0.25">
      <c r="I891" s="49"/>
      <c r="J891" s="49"/>
      <c r="K891" s="49"/>
      <c r="V891" s="174"/>
      <c r="W891" s="174"/>
      <c r="X891" s="174"/>
      <c r="Y891" s="187"/>
      <c r="AA891" s="78"/>
    </row>
    <row r="892" spans="9:27" x14ac:dyDescent="0.25">
      <c r="I892" s="49"/>
      <c r="J892" s="49"/>
      <c r="K892" s="49"/>
      <c r="V892" s="174"/>
      <c r="W892" s="174"/>
      <c r="X892" s="174"/>
      <c r="Y892" s="187"/>
      <c r="AA892" s="78"/>
    </row>
    <row r="893" spans="9:27" x14ac:dyDescent="0.25">
      <c r="I893" s="49"/>
      <c r="J893" s="49"/>
      <c r="K893" s="49"/>
      <c r="V893" s="174"/>
      <c r="W893" s="174"/>
      <c r="X893" s="174"/>
      <c r="Y893" s="187"/>
      <c r="AA893" s="78"/>
    </row>
    <row r="894" spans="9:27" x14ac:dyDescent="0.25">
      <c r="I894" s="49"/>
      <c r="J894" s="49"/>
      <c r="K894" s="49"/>
      <c r="V894" s="174"/>
      <c r="W894" s="174"/>
      <c r="X894" s="174"/>
      <c r="Y894" s="187"/>
      <c r="AA894" s="78"/>
    </row>
    <row r="895" spans="9:27" x14ac:dyDescent="0.25">
      <c r="I895" s="49"/>
      <c r="J895" s="49"/>
      <c r="K895" s="49"/>
      <c r="V895" s="174"/>
      <c r="W895" s="174"/>
      <c r="X895" s="174"/>
      <c r="Y895" s="187"/>
      <c r="AA895" s="78"/>
    </row>
    <row r="896" spans="9:27" x14ac:dyDescent="0.25">
      <c r="I896" s="49"/>
      <c r="J896" s="49"/>
      <c r="K896" s="49"/>
      <c r="V896" s="174"/>
      <c r="W896" s="174"/>
      <c r="X896" s="174"/>
      <c r="Y896" s="187"/>
      <c r="AA896" s="78"/>
    </row>
    <row r="897" spans="9:27" x14ac:dyDescent="0.25">
      <c r="I897" s="49"/>
      <c r="J897" s="49"/>
      <c r="K897" s="49"/>
      <c r="V897" s="174"/>
      <c r="W897" s="174"/>
      <c r="X897" s="174"/>
      <c r="Y897" s="187"/>
      <c r="AA897" s="78"/>
    </row>
    <row r="898" spans="9:27" x14ac:dyDescent="0.25">
      <c r="I898" s="49"/>
      <c r="J898" s="49"/>
      <c r="K898" s="49"/>
      <c r="V898" s="174"/>
      <c r="W898" s="174"/>
      <c r="X898" s="174"/>
      <c r="Y898" s="187"/>
      <c r="AA898" s="78"/>
    </row>
    <row r="899" spans="9:27" x14ac:dyDescent="0.25">
      <c r="I899" s="49"/>
      <c r="J899" s="49"/>
      <c r="K899" s="49"/>
      <c r="V899" s="174"/>
      <c r="W899" s="174"/>
      <c r="X899" s="174"/>
      <c r="Y899" s="187"/>
      <c r="AA899" s="78"/>
    </row>
    <row r="900" spans="9:27" x14ac:dyDescent="0.25">
      <c r="I900" s="49"/>
      <c r="J900" s="49"/>
      <c r="K900" s="49"/>
      <c r="V900" s="174"/>
      <c r="W900" s="174"/>
      <c r="X900" s="174"/>
      <c r="Y900" s="187"/>
      <c r="AA900" s="78"/>
    </row>
    <row r="901" spans="9:27" x14ac:dyDescent="0.25">
      <c r="I901" s="49"/>
      <c r="J901" s="49"/>
      <c r="K901" s="49"/>
      <c r="V901" s="174"/>
      <c r="W901" s="174"/>
      <c r="X901" s="174"/>
      <c r="Y901" s="187"/>
      <c r="AA901" s="78"/>
    </row>
    <row r="902" spans="9:27" x14ac:dyDescent="0.25">
      <c r="I902" s="49"/>
      <c r="J902" s="49"/>
      <c r="K902" s="49"/>
      <c r="V902" s="174"/>
      <c r="W902" s="174"/>
      <c r="X902" s="174"/>
      <c r="Y902" s="187"/>
      <c r="AA902" s="78"/>
    </row>
    <row r="903" spans="9:27" x14ac:dyDescent="0.25">
      <c r="I903" s="49"/>
      <c r="J903" s="49"/>
      <c r="K903" s="49"/>
      <c r="V903" s="174"/>
      <c r="W903" s="174"/>
      <c r="X903" s="174"/>
      <c r="Y903" s="187"/>
      <c r="AA903" s="78"/>
    </row>
    <row r="904" spans="9:27" x14ac:dyDescent="0.25">
      <c r="I904" s="49"/>
      <c r="J904" s="49"/>
      <c r="K904" s="49"/>
      <c r="V904" s="174"/>
      <c r="W904" s="174"/>
      <c r="X904" s="174"/>
      <c r="Y904" s="187"/>
      <c r="AA904" s="78"/>
    </row>
    <row r="905" spans="9:27" x14ac:dyDescent="0.25">
      <c r="I905" s="49"/>
      <c r="J905" s="49"/>
      <c r="K905" s="49"/>
      <c r="V905" s="174"/>
      <c r="W905" s="174"/>
      <c r="X905" s="174"/>
      <c r="Y905" s="187"/>
      <c r="AA905" s="78"/>
    </row>
    <row r="906" spans="9:27" x14ac:dyDescent="0.25">
      <c r="I906" s="49"/>
      <c r="J906" s="49"/>
      <c r="K906" s="49"/>
      <c r="V906" s="174"/>
      <c r="W906" s="174"/>
      <c r="X906" s="174"/>
      <c r="Y906" s="187"/>
      <c r="AA906" s="78"/>
    </row>
    <row r="907" spans="9:27" x14ac:dyDescent="0.25">
      <c r="I907" s="49"/>
      <c r="J907" s="49"/>
      <c r="K907" s="49"/>
      <c r="V907" s="174"/>
      <c r="W907" s="174"/>
      <c r="X907" s="174"/>
      <c r="Y907" s="187"/>
      <c r="AA907" s="78"/>
    </row>
    <row r="908" spans="9:27" x14ac:dyDescent="0.25">
      <c r="I908" s="49"/>
      <c r="J908" s="49"/>
      <c r="K908" s="49"/>
      <c r="V908" s="174"/>
      <c r="W908" s="174"/>
      <c r="X908" s="174"/>
      <c r="Y908" s="187"/>
      <c r="AA908" s="78"/>
    </row>
    <row r="909" spans="9:27" x14ac:dyDescent="0.25">
      <c r="I909" s="49"/>
      <c r="J909" s="49"/>
      <c r="K909" s="49"/>
      <c r="V909" s="174"/>
      <c r="W909" s="174"/>
      <c r="X909" s="174"/>
      <c r="Y909" s="187"/>
      <c r="AA909" s="78"/>
    </row>
    <row r="910" spans="9:27" x14ac:dyDescent="0.25">
      <c r="I910" s="49"/>
      <c r="J910" s="49"/>
      <c r="K910" s="49"/>
      <c r="V910" s="174"/>
      <c r="W910" s="174"/>
      <c r="X910" s="174"/>
      <c r="Y910" s="187"/>
      <c r="AA910" s="78"/>
    </row>
    <row r="911" spans="9:27" x14ac:dyDescent="0.25">
      <c r="I911" s="49"/>
      <c r="J911" s="49"/>
      <c r="K911" s="49"/>
      <c r="V911" s="174"/>
      <c r="W911" s="174"/>
      <c r="X911" s="174"/>
      <c r="Y911" s="187"/>
      <c r="AA911" s="78"/>
    </row>
    <row r="912" spans="9:27" x14ac:dyDescent="0.25">
      <c r="I912" s="49"/>
      <c r="J912" s="49"/>
      <c r="K912" s="49"/>
      <c r="V912" s="174"/>
      <c r="W912" s="174"/>
      <c r="X912" s="174"/>
      <c r="Y912" s="187"/>
      <c r="AA912" s="78"/>
    </row>
    <row r="913" spans="9:27" x14ac:dyDescent="0.25">
      <c r="I913" s="49"/>
      <c r="J913" s="49"/>
      <c r="K913" s="49"/>
      <c r="V913" s="174"/>
      <c r="W913" s="174"/>
      <c r="X913" s="174"/>
      <c r="Y913" s="187"/>
      <c r="AA913" s="78"/>
    </row>
    <row r="914" spans="9:27" x14ac:dyDescent="0.25">
      <c r="I914" s="49"/>
      <c r="J914" s="49"/>
      <c r="K914" s="49"/>
      <c r="V914" s="174"/>
      <c r="W914" s="174"/>
      <c r="X914" s="174"/>
      <c r="Y914" s="187"/>
      <c r="AA914" s="78"/>
    </row>
    <row r="915" spans="9:27" x14ac:dyDescent="0.25">
      <c r="I915" s="49"/>
      <c r="J915" s="49"/>
      <c r="K915" s="49"/>
      <c r="V915" s="174"/>
      <c r="W915" s="174"/>
      <c r="X915" s="174"/>
      <c r="Y915" s="187"/>
      <c r="AA915" s="78"/>
    </row>
    <row r="916" spans="9:27" x14ac:dyDescent="0.25">
      <c r="I916" s="49"/>
      <c r="J916" s="49"/>
      <c r="K916" s="49"/>
      <c r="V916" s="174"/>
      <c r="W916" s="174"/>
      <c r="X916" s="174"/>
      <c r="Y916" s="187"/>
      <c r="AA916" s="78"/>
    </row>
    <row r="917" spans="9:27" x14ac:dyDescent="0.25">
      <c r="I917" s="49"/>
      <c r="J917" s="49"/>
      <c r="K917" s="49"/>
      <c r="V917" s="174"/>
      <c r="W917" s="174"/>
      <c r="X917" s="174"/>
      <c r="Y917" s="187"/>
      <c r="AA917" s="78"/>
    </row>
    <row r="918" spans="9:27" x14ac:dyDescent="0.25">
      <c r="I918" s="49"/>
      <c r="J918" s="49"/>
      <c r="K918" s="49"/>
      <c r="V918" s="174"/>
      <c r="W918" s="174"/>
      <c r="X918" s="174"/>
      <c r="Y918" s="187"/>
      <c r="AA918" s="78"/>
    </row>
    <row r="919" spans="9:27" x14ac:dyDescent="0.25">
      <c r="I919" s="49"/>
      <c r="J919" s="49"/>
      <c r="K919" s="49"/>
      <c r="V919" s="174"/>
      <c r="W919" s="174"/>
      <c r="X919" s="174"/>
      <c r="Y919" s="187"/>
      <c r="AA919" s="78"/>
    </row>
    <row r="920" spans="9:27" x14ac:dyDescent="0.25">
      <c r="I920" s="49"/>
      <c r="J920" s="49"/>
      <c r="K920" s="49"/>
      <c r="V920" s="174"/>
      <c r="W920" s="174"/>
      <c r="X920" s="174"/>
      <c r="Y920" s="187"/>
      <c r="AA920" s="78"/>
    </row>
    <row r="921" spans="9:27" x14ac:dyDescent="0.25">
      <c r="I921" s="49"/>
      <c r="J921" s="49"/>
      <c r="K921" s="49"/>
      <c r="V921" s="174"/>
      <c r="W921" s="174"/>
      <c r="X921" s="174"/>
      <c r="Y921" s="187"/>
      <c r="AA921" s="78"/>
    </row>
    <row r="922" spans="9:27" x14ac:dyDescent="0.25">
      <c r="I922" s="49"/>
      <c r="J922" s="49"/>
      <c r="K922" s="49"/>
      <c r="V922" s="174"/>
      <c r="W922" s="174"/>
      <c r="X922" s="174"/>
      <c r="Y922" s="187"/>
      <c r="AA922" s="78"/>
    </row>
    <row r="923" spans="9:27" x14ac:dyDescent="0.25">
      <c r="I923" s="49"/>
      <c r="J923" s="49"/>
      <c r="K923" s="49"/>
      <c r="V923" s="174"/>
      <c r="W923" s="174"/>
      <c r="X923" s="174"/>
      <c r="Y923" s="187"/>
      <c r="AA923" s="78"/>
    </row>
    <row r="924" spans="9:27" x14ac:dyDescent="0.25">
      <c r="I924" s="49"/>
      <c r="J924" s="49"/>
      <c r="K924" s="49"/>
      <c r="V924" s="174"/>
      <c r="W924" s="174"/>
      <c r="X924" s="174"/>
      <c r="Y924" s="187"/>
      <c r="AA924" s="78"/>
    </row>
    <row r="925" spans="9:27" x14ac:dyDescent="0.25">
      <c r="I925" s="49"/>
      <c r="J925" s="49"/>
      <c r="K925" s="49"/>
      <c r="V925" s="174"/>
      <c r="W925" s="174"/>
      <c r="X925" s="174"/>
      <c r="Y925" s="187"/>
      <c r="AA925" s="78"/>
    </row>
    <row r="926" spans="9:27" x14ac:dyDescent="0.25">
      <c r="I926" s="49"/>
      <c r="J926" s="49"/>
      <c r="K926" s="49"/>
      <c r="V926" s="174"/>
      <c r="W926" s="174"/>
      <c r="X926" s="174"/>
      <c r="Y926" s="187"/>
      <c r="AA926" s="78"/>
    </row>
    <row r="927" spans="9:27" x14ac:dyDescent="0.25">
      <c r="I927" s="49"/>
      <c r="J927" s="49"/>
      <c r="K927" s="49"/>
      <c r="V927" s="174"/>
      <c r="W927" s="174"/>
      <c r="X927" s="174"/>
      <c r="Y927" s="187"/>
      <c r="AA927" s="78"/>
    </row>
    <row r="928" spans="9:27" x14ac:dyDescent="0.25">
      <c r="I928" s="49"/>
      <c r="J928" s="49"/>
      <c r="K928" s="49"/>
      <c r="V928" s="174"/>
      <c r="W928" s="174"/>
      <c r="X928" s="174"/>
      <c r="Y928" s="187"/>
      <c r="AA928" s="78"/>
    </row>
    <row r="929" spans="9:27" x14ac:dyDescent="0.25">
      <c r="I929" s="49"/>
      <c r="J929" s="49"/>
      <c r="K929" s="49"/>
      <c r="V929" s="174"/>
      <c r="W929" s="174"/>
      <c r="X929" s="174"/>
      <c r="Y929" s="187"/>
      <c r="AA929" s="78"/>
    </row>
    <row r="930" spans="9:27" x14ac:dyDescent="0.25">
      <c r="I930" s="49"/>
      <c r="J930" s="49"/>
      <c r="K930" s="49"/>
      <c r="V930" s="174"/>
      <c r="W930" s="174"/>
      <c r="X930" s="174"/>
      <c r="Y930" s="187"/>
      <c r="AA930" s="78"/>
    </row>
    <row r="931" spans="9:27" x14ac:dyDescent="0.25">
      <c r="I931" s="49"/>
      <c r="J931" s="49"/>
      <c r="K931" s="49"/>
      <c r="V931" s="174"/>
      <c r="W931" s="174"/>
      <c r="X931" s="174"/>
      <c r="Y931" s="187"/>
      <c r="AA931" s="78"/>
    </row>
    <row r="932" spans="9:27" x14ac:dyDescent="0.25">
      <c r="I932" s="49"/>
      <c r="J932" s="49"/>
      <c r="K932" s="49"/>
      <c r="V932" s="174"/>
      <c r="W932" s="174"/>
      <c r="X932" s="174"/>
      <c r="Y932" s="187"/>
      <c r="AA932" s="78"/>
    </row>
    <row r="933" spans="9:27" x14ac:dyDescent="0.25">
      <c r="I933" s="49"/>
      <c r="J933" s="49"/>
      <c r="K933" s="49"/>
      <c r="V933" s="174"/>
      <c r="W933" s="174"/>
      <c r="X933" s="174"/>
      <c r="Y933" s="187"/>
      <c r="AA933" s="78"/>
    </row>
    <row r="934" spans="9:27" x14ac:dyDescent="0.25">
      <c r="I934" s="49"/>
      <c r="J934" s="49"/>
      <c r="K934" s="49"/>
      <c r="V934" s="174"/>
      <c r="W934" s="174"/>
      <c r="X934" s="174"/>
      <c r="Y934" s="187"/>
      <c r="AA934" s="78"/>
    </row>
    <row r="935" spans="9:27" x14ac:dyDescent="0.25">
      <c r="I935" s="49"/>
      <c r="J935" s="49"/>
      <c r="K935" s="49"/>
      <c r="V935" s="174"/>
      <c r="W935" s="174"/>
      <c r="X935" s="174"/>
      <c r="Y935" s="187"/>
      <c r="AA935" s="78"/>
    </row>
    <row r="936" spans="9:27" x14ac:dyDescent="0.25">
      <c r="I936" s="49"/>
      <c r="J936" s="49"/>
      <c r="K936" s="49"/>
      <c r="V936" s="174"/>
      <c r="W936" s="174"/>
      <c r="X936" s="174"/>
      <c r="Y936" s="187"/>
      <c r="AA936" s="78"/>
    </row>
    <row r="937" spans="9:27" x14ac:dyDescent="0.25">
      <c r="I937" s="49"/>
      <c r="J937" s="49"/>
      <c r="K937" s="49"/>
      <c r="V937" s="174"/>
      <c r="W937" s="174"/>
      <c r="X937" s="174"/>
      <c r="Y937" s="187"/>
      <c r="AA937" s="78"/>
    </row>
    <row r="938" spans="9:27" x14ac:dyDescent="0.25">
      <c r="I938" s="49"/>
      <c r="J938" s="49"/>
      <c r="K938" s="49"/>
      <c r="V938" s="174"/>
      <c r="W938" s="174"/>
      <c r="X938" s="174"/>
      <c r="Y938" s="187"/>
      <c r="AA938" s="78"/>
    </row>
    <row r="939" spans="9:27" x14ac:dyDescent="0.25">
      <c r="I939" s="49"/>
      <c r="J939" s="49"/>
      <c r="K939" s="49"/>
      <c r="V939" s="174"/>
      <c r="W939" s="174"/>
      <c r="X939" s="174"/>
      <c r="Y939" s="187"/>
      <c r="AA939" s="78"/>
    </row>
    <row r="940" spans="9:27" x14ac:dyDescent="0.25">
      <c r="I940" s="49"/>
      <c r="J940" s="49"/>
      <c r="K940" s="49"/>
      <c r="V940" s="174"/>
      <c r="W940" s="174"/>
      <c r="X940" s="174"/>
      <c r="Y940" s="187"/>
      <c r="AA940" s="78"/>
    </row>
    <row r="941" spans="9:27" x14ac:dyDescent="0.25">
      <c r="I941" s="49"/>
      <c r="J941" s="49"/>
      <c r="K941" s="49"/>
      <c r="V941" s="174"/>
      <c r="W941" s="174"/>
      <c r="X941" s="174"/>
      <c r="Y941" s="187"/>
      <c r="AA941" s="78"/>
    </row>
    <row r="942" spans="9:27" x14ac:dyDescent="0.25">
      <c r="I942" s="49"/>
      <c r="J942" s="49"/>
      <c r="K942" s="49"/>
      <c r="V942" s="174"/>
      <c r="W942" s="174"/>
      <c r="X942" s="174"/>
      <c r="Y942" s="187"/>
      <c r="AA942" s="78"/>
    </row>
    <row r="943" spans="9:27" x14ac:dyDescent="0.25">
      <c r="I943" s="49"/>
      <c r="J943" s="49"/>
      <c r="K943" s="49"/>
      <c r="V943" s="174"/>
      <c r="W943" s="174"/>
      <c r="X943" s="174"/>
      <c r="Y943" s="187"/>
      <c r="AA943" s="78"/>
    </row>
    <row r="944" spans="9:27" x14ac:dyDescent="0.25">
      <c r="I944" s="49"/>
      <c r="J944" s="49"/>
      <c r="K944" s="49"/>
      <c r="V944" s="174"/>
      <c r="W944" s="174"/>
      <c r="X944" s="174"/>
      <c r="Y944" s="187"/>
      <c r="AA944" s="78"/>
    </row>
    <row r="945" spans="9:27" x14ac:dyDescent="0.25">
      <c r="I945" s="49"/>
      <c r="J945" s="49"/>
      <c r="K945" s="49"/>
      <c r="V945" s="174"/>
      <c r="W945" s="174"/>
      <c r="X945" s="174"/>
      <c r="Y945" s="187"/>
      <c r="AA945" s="78"/>
    </row>
    <row r="946" spans="9:27" x14ac:dyDescent="0.25">
      <c r="I946" s="49"/>
      <c r="J946" s="49"/>
      <c r="K946" s="49"/>
      <c r="V946" s="174"/>
      <c r="W946" s="174"/>
      <c r="X946" s="174"/>
      <c r="Y946" s="187"/>
      <c r="AA946" s="78"/>
    </row>
    <row r="947" spans="9:27" x14ac:dyDescent="0.25">
      <c r="I947" s="49"/>
      <c r="J947" s="49"/>
      <c r="K947" s="49"/>
      <c r="V947" s="174"/>
      <c r="W947" s="174"/>
      <c r="X947" s="174"/>
      <c r="Y947" s="187"/>
      <c r="AA947" s="78"/>
    </row>
    <row r="948" spans="9:27" x14ac:dyDescent="0.25">
      <c r="I948" s="49"/>
      <c r="J948" s="49"/>
      <c r="K948" s="49"/>
      <c r="V948" s="174"/>
      <c r="W948" s="174"/>
      <c r="X948" s="174"/>
      <c r="Y948" s="187"/>
      <c r="AA948" s="78"/>
    </row>
    <row r="949" spans="9:27" x14ac:dyDescent="0.25">
      <c r="I949" s="49"/>
      <c r="J949" s="49"/>
      <c r="K949" s="49"/>
      <c r="V949" s="174"/>
      <c r="W949" s="174"/>
      <c r="X949" s="174"/>
      <c r="Y949" s="187"/>
      <c r="AA949" s="78"/>
    </row>
    <row r="950" spans="9:27" x14ac:dyDescent="0.25">
      <c r="I950" s="49"/>
      <c r="J950" s="49"/>
      <c r="K950" s="49"/>
      <c r="V950" s="174"/>
      <c r="W950" s="174"/>
      <c r="X950" s="174"/>
      <c r="Y950" s="187"/>
      <c r="AA950" s="78"/>
    </row>
    <row r="951" spans="9:27" x14ac:dyDescent="0.25">
      <c r="I951" s="49"/>
      <c r="J951" s="49"/>
      <c r="K951" s="49"/>
      <c r="V951" s="174"/>
      <c r="W951" s="174"/>
      <c r="X951" s="174"/>
      <c r="Y951" s="187"/>
      <c r="AA951" s="78"/>
    </row>
    <row r="952" spans="9:27" x14ac:dyDescent="0.25">
      <c r="I952" s="49"/>
      <c r="J952" s="49"/>
      <c r="K952" s="49"/>
      <c r="V952" s="174"/>
      <c r="W952" s="174"/>
      <c r="X952" s="174"/>
      <c r="Y952" s="187"/>
      <c r="AA952" s="78"/>
    </row>
    <row r="953" spans="9:27" x14ac:dyDescent="0.25">
      <c r="I953" s="49"/>
      <c r="J953" s="49"/>
      <c r="K953" s="49"/>
      <c r="V953" s="174"/>
      <c r="W953" s="174"/>
      <c r="X953" s="174"/>
      <c r="Y953" s="187"/>
      <c r="AA953" s="78"/>
    </row>
    <row r="954" spans="9:27" x14ac:dyDescent="0.25">
      <c r="I954" s="49"/>
      <c r="J954" s="49"/>
      <c r="K954" s="49"/>
      <c r="V954" s="174"/>
      <c r="W954" s="174"/>
      <c r="X954" s="174"/>
      <c r="Y954" s="187"/>
      <c r="AA954" s="78"/>
    </row>
    <row r="955" spans="9:27" x14ac:dyDescent="0.25">
      <c r="I955" s="49"/>
      <c r="J955" s="49"/>
      <c r="K955" s="49"/>
      <c r="V955" s="174"/>
      <c r="W955" s="174"/>
      <c r="X955" s="174"/>
      <c r="Y955" s="187"/>
      <c r="AA955" s="78"/>
    </row>
    <row r="956" spans="9:27" x14ac:dyDescent="0.25">
      <c r="I956" s="49"/>
      <c r="J956" s="49"/>
      <c r="K956" s="49"/>
      <c r="V956" s="174"/>
      <c r="W956" s="174"/>
      <c r="X956" s="174"/>
      <c r="Y956" s="187"/>
      <c r="AA956" s="78"/>
    </row>
    <row r="957" spans="9:27" x14ac:dyDescent="0.25">
      <c r="I957" s="49"/>
      <c r="J957" s="49"/>
      <c r="K957" s="49"/>
      <c r="V957" s="174"/>
      <c r="W957" s="174"/>
      <c r="X957" s="174"/>
      <c r="Y957" s="187"/>
      <c r="AA957" s="78"/>
    </row>
    <row r="958" spans="9:27" x14ac:dyDescent="0.25">
      <c r="I958" s="49"/>
      <c r="J958" s="49"/>
      <c r="K958" s="49"/>
      <c r="V958" s="174"/>
      <c r="W958" s="174"/>
      <c r="X958" s="174"/>
      <c r="Y958" s="187"/>
      <c r="AA958" s="78"/>
    </row>
    <row r="959" spans="9:27" x14ac:dyDescent="0.25">
      <c r="I959" s="49"/>
      <c r="J959" s="49"/>
      <c r="K959" s="49"/>
      <c r="V959" s="174"/>
      <c r="W959" s="174"/>
      <c r="X959" s="174"/>
      <c r="Y959" s="187"/>
      <c r="AA959" s="78"/>
    </row>
    <row r="960" spans="9:27" x14ac:dyDescent="0.25">
      <c r="I960" s="49"/>
      <c r="J960" s="49"/>
      <c r="K960" s="49"/>
      <c r="V960" s="174"/>
      <c r="W960" s="174"/>
      <c r="X960" s="174"/>
      <c r="Y960" s="187"/>
      <c r="AA960" s="78"/>
    </row>
    <row r="961" spans="9:27" x14ac:dyDescent="0.25">
      <c r="I961" s="49"/>
      <c r="J961" s="49"/>
      <c r="K961" s="49"/>
      <c r="V961" s="174"/>
      <c r="W961" s="174"/>
      <c r="X961" s="174"/>
      <c r="Y961" s="187"/>
      <c r="AA961" s="78"/>
    </row>
    <row r="962" spans="9:27" x14ac:dyDescent="0.25">
      <c r="I962" s="49"/>
      <c r="J962" s="49"/>
      <c r="K962" s="49"/>
      <c r="V962" s="174"/>
      <c r="W962" s="174"/>
      <c r="X962" s="174"/>
      <c r="Y962" s="187"/>
      <c r="AA962" s="78"/>
    </row>
    <row r="963" spans="9:27" x14ac:dyDescent="0.25">
      <c r="I963" s="49"/>
      <c r="J963" s="49"/>
      <c r="K963" s="49"/>
      <c r="V963" s="174"/>
      <c r="W963" s="174"/>
      <c r="X963" s="174"/>
      <c r="Y963" s="187"/>
      <c r="AA963" s="78"/>
    </row>
    <row r="964" spans="9:27" x14ac:dyDescent="0.25">
      <c r="I964" s="49"/>
      <c r="J964" s="49"/>
      <c r="K964" s="49"/>
      <c r="V964" s="174"/>
      <c r="W964" s="174"/>
      <c r="X964" s="174"/>
      <c r="Y964" s="187"/>
      <c r="AA964" s="78"/>
    </row>
    <row r="965" spans="9:27" x14ac:dyDescent="0.25">
      <c r="I965" s="49"/>
      <c r="J965" s="49"/>
      <c r="K965" s="49"/>
      <c r="V965" s="174"/>
      <c r="W965" s="174"/>
      <c r="X965" s="174"/>
      <c r="Y965" s="187"/>
      <c r="AA965" s="78"/>
    </row>
    <row r="966" spans="9:27" x14ac:dyDescent="0.25">
      <c r="I966" s="49"/>
      <c r="J966" s="49"/>
      <c r="K966" s="49"/>
      <c r="V966" s="174"/>
      <c r="W966" s="174"/>
      <c r="X966" s="174"/>
      <c r="Y966" s="187"/>
      <c r="AA966" s="78"/>
    </row>
    <row r="967" spans="9:27" x14ac:dyDescent="0.25">
      <c r="I967" s="49"/>
      <c r="J967" s="49"/>
      <c r="K967" s="49"/>
      <c r="V967" s="174"/>
      <c r="W967" s="174"/>
      <c r="X967" s="174"/>
      <c r="Y967" s="187"/>
      <c r="AA967" s="78"/>
    </row>
    <row r="968" spans="9:27" x14ac:dyDescent="0.25">
      <c r="I968" s="49"/>
      <c r="J968" s="49"/>
      <c r="K968" s="49"/>
      <c r="V968" s="174"/>
      <c r="W968" s="174"/>
      <c r="X968" s="174"/>
      <c r="Y968" s="187"/>
      <c r="AA968" s="78"/>
    </row>
    <row r="969" spans="9:27" x14ac:dyDescent="0.25">
      <c r="I969" s="49"/>
      <c r="J969" s="49"/>
      <c r="K969" s="49"/>
      <c r="V969" s="174"/>
      <c r="W969" s="174"/>
      <c r="X969" s="174"/>
      <c r="Y969" s="187"/>
      <c r="AA969" s="78"/>
    </row>
    <row r="970" spans="9:27" x14ac:dyDescent="0.25">
      <c r="I970" s="49"/>
      <c r="J970" s="49"/>
      <c r="K970" s="49"/>
      <c r="V970" s="174"/>
      <c r="W970" s="174"/>
      <c r="X970" s="174"/>
      <c r="Y970" s="187"/>
      <c r="AA970" s="78"/>
    </row>
    <row r="971" spans="9:27" x14ac:dyDescent="0.25">
      <c r="I971" s="49"/>
      <c r="J971" s="49"/>
      <c r="K971" s="49"/>
      <c r="V971" s="174"/>
      <c r="W971" s="174"/>
      <c r="X971" s="174"/>
      <c r="Y971" s="187"/>
      <c r="AA971" s="78"/>
    </row>
    <row r="972" spans="9:27" x14ac:dyDescent="0.25">
      <c r="I972" s="49"/>
      <c r="J972" s="49"/>
      <c r="K972" s="49"/>
      <c r="V972" s="174"/>
      <c r="W972" s="174"/>
      <c r="X972" s="174"/>
      <c r="Y972" s="187"/>
      <c r="AA972" s="78"/>
    </row>
    <row r="973" spans="9:27" x14ac:dyDescent="0.25">
      <c r="I973" s="49"/>
      <c r="J973" s="49"/>
      <c r="K973" s="49"/>
      <c r="V973" s="174"/>
      <c r="W973" s="174"/>
      <c r="X973" s="174"/>
      <c r="Y973" s="187"/>
      <c r="AA973" s="78"/>
    </row>
    <row r="974" spans="9:27" x14ac:dyDescent="0.25">
      <c r="I974" s="49"/>
      <c r="J974" s="49"/>
      <c r="K974" s="49"/>
      <c r="V974" s="174"/>
      <c r="W974" s="174"/>
      <c r="X974" s="174"/>
      <c r="Y974" s="187"/>
      <c r="AA974" s="78"/>
    </row>
    <row r="975" spans="9:27" x14ac:dyDescent="0.25">
      <c r="I975" s="49"/>
      <c r="J975" s="49"/>
      <c r="K975" s="49"/>
      <c r="V975" s="174"/>
      <c r="W975" s="174"/>
      <c r="X975" s="174"/>
      <c r="Y975" s="187"/>
      <c r="AA975" s="78"/>
    </row>
    <row r="976" spans="9:27" x14ac:dyDescent="0.25">
      <c r="I976" s="49"/>
      <c r="J976" s="49"/>
      <c r="K976" s="49"/>
      <c r="V976" s="174"/>
      <c r="W976" s="174"/>
      <c r="X976" s="174"/>
      <c r="Y976" s="187"/>
      <c r="AA976" s="78"/>
    </row>
    <row r="977" spans="9:27" x14ac:dyDescent="0.25">
      <c r="I977" s="49"/>
      <c r="J977" s="49"/>
      <c r="K977" s="49"/>
      <c r="V977" s="174"/>
      <c r="W977" s="174"/>
      <c r="X977" s="174"/>
      <c r="Y977" s="187"/>
      <c r="AA977" s="78"/>
    </row>
    <row r="978" spans="9:27" x14ac:dyDescent="0.25">
      <c r="I978" s="49"/>
      <c r="J978" s="49"/>
      <c r="K978" s="49"/>
      <c r="V978" s="174"/>
      <c r="W978" s="174"/>
      <c r="X978" s="174"/>
      <c r="Y978" s="187"/>
      <c r="AA978" s="78"/>
    </row>
    <row r="979" spans="9:27" x14ac:dyDescent="0.25">
      <c r="I979" s="49"/>
      <c r="J979" s="49"/>
      <c r="K979" s="49"/>
      <c r="V979" s="174"/>
      <c r="W979" s="174"/>
      <c r="X979" s="174"/>
      <c r="Y979" s="187"/>
      <c r="AA979" s="78"/>
    </row>
    <row r="980" spans="9:27" x14ac:dyDescent="0.25">
      <c r="I980" s="49"/>
      <c r="J980" s="49"/>
      <c r="K980" s="49"/>
      <c r="V980" s="174"/>
      <c r="W980" s="174"/>
      <c r="X980" s="174"/>
      <c r="Y980" s="187"/>
      <c r="AA980" s="78"/>
    </row>
    <row r="981" spans="9:27" x14ac:dyDescent="0.25">
      <c r="I981" s="49"/>
      <c r="J981" s="49"/>
      <c r="K981" s="49"/>
      <c r="V981" s="174"/>
      <c r="W981" s="174"/>
      <c r="X981" s="174"/>
      <c r="Y981" s="187"/>
      <c r="AA981" s="78"/>
    </row>
    <row r="982" spans="9:27" x14ac:dyDescent="0.25">
      <c r="I982" s="49"/>
      <c r="J982" s="49"/>
      <c r="K982" s="49"/>
      <c r="V982" s="174"/>
      <c r="W982" s="174"/>
      <c r="X982" s="174"/>
      <c r="Y982" s="187"/>
      <c r="AA982" s="78"/>
    </row>
    <row r="983" spans="9:27" x14ac:dyDescent="0.25">
      <c r="I983" s="49"/>
      <c r="J983" s="49"/>
      <c r="K983" s="49"/>
      <c r="V983" s="174"/>
      <c r="W983" s="174"/>
      <c r="X983" s="174"/>
      <c r="Y983" s="187"/>
      <c r="AA983" s="78"/>
    </row>
    <row r="984" spans="9:27" x14ac:dyDescent="0.25">
      <c r="I984" s="49"/>
      <c r="J984" s="49"/>
      <c r="K984" s="49"/>
      <c r="V984" s="174"/>
      <c r="W984" s="174"/>
      <c r="X984" s="174"/>
      <c r="Y984" s="187"/>
      <c r="AA984" s="78"/>
    </row>
    <row r="985" spans="9:27" x14ac:dyDescent="0.25">
      <c r="I985" s="49"/>
      <c r="J985" s="49"/>
      <c r="K985" s="49"/>
      <c r="V985" s="174"/>
      <c r="W985" s="174"/>
      <c r="X985" s="174"/>
      <c r="Y985" s="187"/>
      <c r="AA985" s="78"/>
    </row>
    <row r="986" spans="9:27" x14ac:dyDescent="0.25">
      <c r="I986" s="49"/>
      <c r="J986" s="49"/>
      <c r="K986" s="49"/>
      <c r="V986" s="174"/>
      <c r="W986" s="174"/>
      <c r="X986" s="174"/>
      <c r="Y986" s="187"/>
      <c r="AA986" s="78"/>
    </row>
    <row r="987" spans="9:27" x14ac:dyDescent="0.25">
      <c r="I987" s="49"/>
      <c r="J987" s="49"/>
      <c r="K987" s="49"/>
      <c r="V987" s="174"/>
      <c r="W987" s="174"/>
      <c r="X987" s="174"/>
      <c r="Y987" s="187"/>
      <c r="AA987" s="78"/>
    </row>
    <row r="988" spans="9:27" x14ac:dyDescent="0.25">
      <c r="I988" s="49"/>
      <c r="J988" s="49"/>
      <c r="K988" s="49"/>
      <c r="V988" s="174"/>
      <c r="W988" s="174"/>
      <c r="X988" s="174"/>
      <c r="Y988" s="187"/>
      <c r="AA988" s="78"/>
    </row>
    <row r="989" spans="9:27" x14ac:dyDescent="0.25">
      <c r="I989" s="49"/>
      <c r="J989" s="49"/>
      <c r="K989" s="49"/>
      <c r="V989" s="174"/>
      <c r="W989" s="174"/>
      <c r="X989" s="174"/>
      <c r="Y989" s="187"/>
      <c r="AA989" s="78"/>
    </row>
    <row r="990" spans="9:27" x14ac:dyDescent="0.25">
      <c r="I990" s="49"/>
      <c r="J990" s="49"/>
      <c r="K990" s="49"/>
      <c r="V990" s="174"/>
      <c r="W990" s="174"/>
      <c r="X990" s="174"/>
      <c r="Y990" s="187"/>
      <c r="AA990" s="78"/>
    </row>
    <row r="991" spans="9:27" x14ac:dyDescent="0.25">
      <c r="I991" s="49"/>
      <c r="J991" s="49"/>
      <c r="K991" s="49"/>
      <c r="V991" s="174"/>
      <c r="W991" s="174"/>
      <c r="X991" s="174"/>
      <c r="Y991" s="187"/>
      <c r="AA991" s="78"/>
    </row>
    <row r="992" spans="9:27" x14ac:dyDescent="0.25">
      <c r="I992" s="49"/>
      <c r="J992" s="49"/>
      <c r="K992" s="49"/>
      <c r="V992" s="174"/>
      <c r="W992" s="174"/>
      <c r="X992" s="174"/>
      <c r="Y992" s="187"/>
      <c r="AA992" s="78"/>
    </row>
    <row r="993" spans="9:27" x14ac:dyDescent="0.25">
      <c r="I993" s="49"/>
      <c r="J993" s="49"/>
      <c r="K993" s="49"/>
      <c r="V993" s="174"/>
      <c r="W993" s="174"/>
      <c r="X993" s="174"/>
      <c r="Y993" s="187"/>
      <c r="AA993" s="78"/>
    </row>
    <row r="994" spans="9:27" x14ac:dyDescent="0.25">
      <c r="I994" s="49"/>
      <c r="J994" s="49"/>
      <c r="K994" s="49"/>
      <c r="V994" s="174"/>
      <c r="W994" s="174"/>
      <c r="X994" s="174"/>
      <c r="Y994" s="187"/>
      <c r="AA994" s="78"/>
    </row>
    <row r="995" spans="9:27" x14ac:dyDescent="0.25">
      <c r="I995" s="49"/>
      <c r="J995" s="49"/>
      <c r="K995" s="49"/>
      <c r="V995" s="174"/>
      <c r="W995" s="174"/>
      <c r="X995" s="174"/>
      <c r="Y995" s="187"/>
      <c r="AA995" s="78"/>
    </row>
    <row r="996" spans="9:27" x14ac:dyDescent="0.25">
      <c r="I996" s="49"/>
      <c r="J996" s="49"/>
      <c r="K996" s="49"/>
      <c r="V996" s="174"/>
      <c r="W996" s="174"/>
      <c r="X996" s="174"/>
      <c r="Y996" s="187"/>
      <c r="AA996" s="78"/>
    </row>
    <row r="997" spans="9:27" x14ac:dyDescent="0.25">
      <c r="I997" s="49"/>
      <c r="J997" s="49"/>
      <c r="K997" s="49"/>
      <c r="V997" s="174"/>
      <c r="W997" s="174"/>
      <c r="X997" s="174"/>
      <c r="Y997" s="187"/>
      <c r="AA997" s="78"/>
    </row>
    <row r="998" spans="9:27" x14ac:dyDescent="0.25">
      <c r="I998" s="49"/>
      <c r="J998" s="49"/>
      <c r="K998" s="49"/>
      <c r="V998" s="174"/>
      <c r="W998" s="174"/>
      <c r="X998" s="174"/>
      <c r="Y998" s="187"/>
      <c r="AA998" s="78"/>
    </row>
    <row r="999" spans="9:27" x14ac:dyDescent="0.25">
      <c r="I999" s="49"/>
      <c r="J999" s="49"/>
      <c r="K999" s="49"/>
      <c r="V999" s="174"/>
      <c r="W999" s="174"/>
      <c r="X999" s="174"/>
      <c r="Y999" s="187"/>
      <c r="AA999" s="78"/>
    </row>
    <row r="1000" spans="9:27" x14ac:dyDescent="0.25">
      <c r="I1000" s="49"/>
      <c r="J1000" s="49"/>
      <c r="K1000" s="49"/>
      <c r="V1000" s="174"/>
      <c r="W1000" s="174"/>
      <c r="X1000" s="174"/>
      <c r="Y1000" s="187"/>
      <c r="AA1000" s="78"/>
    </row>
    <row r="1001" spans="9:27" x14ac:dyDescent="0.25">
      <c r="I1001" s="49"/>
      <c r="J1001" s="49"/>
      <c r="K1001" s="49"/>
      <c r="V1001" s="174"/>
      <c r="W1001" s="174"/>
      <c r="X1001" s="174"/>
      <c r="Y1001" s="187"/>
      <c r="AA1001" s="78"/>
    </row>
    <row r="1002" spans="9:27" x14ac:dyDescent="0.25">
      <c r="I1002" s="49"/>
      <c r="J1002" s="49"/>
      <c r="K1002" s="49"/>
      <c r="V1002" s="174"/>
      <c r="W1002" s="174"/>
      <c r="X1002" s="174"/>
      <c r="Y1002" s="187"/>
      <c r="AA1002" s="78"/>
    </row>
    <row r="1003" spans="9:27" x14ac:dyDescent="0.25">
      <c r="I1003" s="49"/>
      <c r="J1003" s="49"/>
      <c r="K1003" s="49"/>
      <c r="V1003" s="174"/>
      <c r="W1003" s="174"/>
      <c r="X1003" s="174"/>
      <c r="Y1003" s="187"/>
      <c r="AA1003" s="78"/>
    </row>
    <row r="1004" spans="9:27" x14ac:dyDescent="0.25">
      <c r="I1004" s="49"/>
      <c r="J1004" s="49"/>
      <c r="K1004" s="49"/>
      <c r="V1004" s="174"/>
      <c r="W1004" s="174"/>
      <c r="X1004" s="174"/>
      <c r="Y1004" s="187"/>
      <c r="AA1004" s="78"/>
    </row>
    <row r="1005" spans="9:27" x14ac:dyDescent="0.25">
      <c r="I1005" s="49"/>
      <c r="J1005" s="49"/>
      <c r="K1005" s="49"/>
      <c r="V1005" s="174"/>
      <c r="W1005" s="174"/>
      <c r="X1005" s="174"/>
      <c r="Y1005" s="187"/>
      <c r="AA1005" s="78"/>
    </row>
    <row r="1006" spans="9:27" x14ac:dyDescent="0.25">
      <c r="I1006" s="49"/>
      <c r="J1006" s="49"/>
      <c r="K1006" s="49"/>
      <c r="V1006" s="174"/>
      <c r="W1006" s="174"/>
      <c r="X1006" s="174"/>
      <c r="Y1006" s="187"/>
      <c r="AA1006" s="78"/>
    </row>
    <row r="1007" spans="9:27" x14ac:dyDescent="0.25">
      <c r="I1007" s="49"/>
      <c r="J1007" s="49"/>
      <c r="K1007" s="49"/>
      <c r="V1007" s="174"/>
      <c r="W1007" s="174"/>
      <c r="X1007" s="174"/>
      <c r="Y1007" s="187"/>
      <c r="AA1007" s="78"/>
    </row>
    <row r="1008" spans="9:27" x14ac:dyDescent="0.25">
      <c r="I1008" s="49"/>
      <c r="J1008" s="49"/>
      <c r="K1008" s="49"/>
      <c r="V1008" s="174"/>
      <c r="W1008" s="174"/>
      <c r="X1008" s="174"/>
      <c r="Y1008" s="187"/>
      <c r="AA1008" s="78"/>
    </row>
    <row r="1009" spans="9:27" x14ac:dyDescent="0.25">
      <c r="I1009" s="49"/>
      <c r="J1009" s="49"/>
      <c r="K1009" s="49"/>
      <c r="V1009" s="174"/>
      <c r="W1009" s="174"/>
      <c r="X1009" s="174"/>
      <c r="Y1009" s="187"/>
      <c r="AA1009" s="78"/>
    </row>
    <row r="1010" spans="9:27" x14ac:dyDescent="0.25">
      <c r="I1010" s="49"/>
      <c r="J1010" s="49"/>
      <c r="K1010" s="49"/>
      <c r="V1010" s="174"/>
      <c r="W1010" s="174"/>
      <c r="X1010" s="174"/>
      <c r="Y1010" s="187"/>
      <c r="AA1010" s="78"/>
    </row>
    <row r="1011" spans="9:27" x14ac:dyDescent="0.25">
      <c r="I1011" s="49"/>
      <c r="J1011" s="49"/>
      <c r="K1011" s="49"/>
      <c r="V1011" s="174"/>
      <c r="W1011" s="174"/>
      <c r="X1011" s="174"/>
      <c r="Y1011" s="187"/>
      <c r="AA1011" s="78"/>
    </row>
    <row r="1012" spans="9:27" x14ac:dyDescent="0.25">
      <c r="I1012" s="49"/>
      <c r="J1012" s="49"/>
      <c r="K1012" s="49"/>
      <c r="V1012" s="174"/>
      <c r="W1012" s="174"/>
      <c r="X1012" s="174"/>
      <c r="Y1012" s="187"/>
      <c r="AA1012" s="78"/>
    </row>
    <row r="1013" spans="9:27" x14ac:dyDescent="0.25">
      <c r="I1013" s="49"/>
      <c r="J1013" s="49"/>
      <c r="K1013" s="49"/>
      <c r="V1013" s="174"/>
      <c r="W1013" s="174"/>
      <c r="X1013" s="174"/>
      <c r="Y1013" s="187"/>
      <c r="AA1013" s="78"/>
    </row>
    <row r="1014" spans="9:27" x14ac:dyDescent="0.25">
      <c r="I1014" s="49"/>
      <c r="J1014" s="49"/>
      <c r="K1014" s="49"/>
      <c r="V1014" s="174"/>
      <c r="W1014" s="174"/>
      <c r="X1014" s="174"/>
      <c r="Y1014" s="187"/>
      <c r="AA1014" s="78"/>
    </row>
    <row r="1015" spans="9:27" x14ac:dyDescent="0.25">
      <c r="I1015" s="49"/>
      <c r="J1015" s="49"/>
      <c r="K1015" s="49"/>
      <c r="V1015" s="174"/>
      <c r="W1015" s="174"/>
      <c r="X1015" s="174"/>
      <c r="Y1015" s="187"/>
      <c r="AA1015" s="78"/>
    </row>
    <row r="1016" spans="9:27" x14ac:dyDescent="0.25">
      <c r="I1016" s="49"/>
      <c r="J1016" s="49"/>
      <c r="K1016" s="49"/>
      <c r="V1016" s="174"/>
      <c r="W1016" s="174"/>
      <c r="X1016" s="174"/>
      <c r="Y1016" s="187"/>
      <c r="AA1016" s="78"/>
    </row>
    <row r="1017" spans="9:27" x14ac:dyDescent="0.25">
      <c r="I1017" s="49"/>
      <c r="J1017" s="49"/>
      <c r="K1017" s="49"/>
      <c r="V1017" s="174"/>
      <c r="W1017" s="174"/>
      <c r="X1017" s="174"/>
      <c r="Y1017" s="187"/>
      <c r="AA1017" s="78"/>
    </row>
    <row r="1018" spans="9:27" x14ac:dyDescent="0.25">
      <c r="I1018" s="49"/>
      <c r="J1018" s="49"/>
      <c r="K1018" s="49"/>
      <c r="V1018" s="174"/>
      <c r="W1018" s="174"/>
      <c r="X1018" s="174"/>
      <c r="Y1018" s="187"/>
      <c r="AA1018" s="78"/>
    </row>
    <row r="1019" spans="9:27" x14ac:dyDescent="0.25">
      <c r="I1019" s="49"/>
      <c r="J1019" s="49"/>
      <c r="K1019" s="49"/>
      <c r="V1019" s="174"/>
      <c r="W1019" s="174"/>
      <c r="X1019" s="174"/>
      <c r="Y1019" s="187"/>
      <c r="AA1019" s="78"/>
    </row>
    <row r="1020" spans="9:27" x14ac:dyDescent="0.25">
      <c r="I1020" s="49"/>
      <c r="J1020" s="49"/>
      <c r="K1020" s="49"/>
      <c r="V1020" s="174"/>
      <c r="W1020" s="174"/>
      <c r="X1020" s="174"/>
      <c r="Y1020" s="187"/>
      <c r="AA1020" s="78"/>
    </row>
    <row r="1021" spans="9:27" x14ac:dyDescent="0.25">
      <c r="I1021" s="49"/>
      <c r="J1021" s="49"/>
      <c r="K1021" s="49"/>
      <c r="V1021" s="174"/>
      <c r="W1021" s="174"/>
      <c r="X1021" s="174"/>
      <c r="Y1021" s="187"/>
      <c r="AA1021" s="78"/>
    </row>
    <row r="1022" spans="9:27" x14ac:dyDescent="0.25">
      <c r="I1022" s="49"/>
      <c r="J1022" s="49"/>
      <c r="K1022" s="49"/>
      <c r="V1022" s="174"/>
      <c r="W1022" s="174"/>
      <c r="X1022" s="174"/>
      <c r="Y1022" s="187"/>
      <c r="AA1022" s="78"/>
    </row>
    <row r="1023" spans="9:27" x14ac:dyDescent="0.25">
      <c r="I1023" s="49"/>
      <c r="J1023" s="49"/>
      <c r="K1023" s="49"/>
      <c r="V1023" s="174"/>
      <c r="W1023" s="174"/>
      <c r="X1023" s="174"/>
      <c r="Y1023" s="187"/>
      <c r="AA1023" s="78"/>
    </row>
    <row r="1024" spans="9:27" x14ac:dyDescent="0.25">
      <c r="I1024" s="49"/>
      <c r="J1024" s="49"/>
      <c r="K1024" s="49"/>
      <c r="V1024" s="174"/>
      <c r="W1024" s="174"/>
      <c r="X1024" s="174"/>
      <c r="Y1024" s="187"/>
      <c r="AA1024" s="78"/>
    </row>
    <row r="1025" spans="9:27" x14ac:dyDescent="0.25">
      <c r="I1025" s="49"/>
      <c r="J1025" s="49"/>
      <c r="K1025" s="49"/>
      <c r="V1025" s="174"/>
      <c r="W1025" s="174"/>
      <c r="X1025" s="174"/>
      <c r="Y1025" s="187"/>
      <c r="AA1025" s="78"/>
    </row>
    <row r="1026" spans="9:27" x14ac:dyDescent="0.25">
      <c r="I1026" s="49"/>
      <c r="J1026" s="49"/>
      <c r="K1026" s="49"/>
      <c r="V1026" s="174"/>
      <c r="W1026" s="174"/>
      <c r="X1026" s="174"/>
      <c r="Y1026" s="187"/>
      <c r="AA1026" s="78"/>
    </row>
    <row r="1027" spans="9:27" x14ac:dyDescent="0.25">
      <c r="I1027" s="49"/>
      <c r="J1027" s="49"/>
      <c r="K1027" s="49"/>
      <c r="V1027" s="174"/>
      <c r="W1027" s="174"/>
      <c r="X1027" s="174"/>
      <c r="Y1027" s="187"/>
      <c r="AA1027" s="78"/>
    </row>
    <row r="1028" spans="9:27" x14ac:dyDescent="0.25">
      <c r="I1028" s="49"/>
      <c r="J1028" s="49"/>
      <c r="K1028" s="49"/>
      <c r="V1028" s="174"/>
      <c r="W1028" s="174"/>
      <c r="X1028" s="174"/>
      <c r="Y1028" s="187"/>
      <c r="AA1028" s="78"/>
    </row>
    <row r="1029" spans="9:27" x14ac:dyDescent="0.25">
      <c r="I1029" s="49"/>
      <c r="J1029" s="49"/>
      <c r="K1029" s="49"/>
      <c r="V1029" s="174"/>
      <c r="W1029" s="174"/>
      <c r="X1029" s="174"/>
      <c r="Y1029" s="187"/>
      <c r="AA1029" s="78"/>
    </row>
    <row r="1030" spans="9:27" x14ac:dyDescent="0.25">
      <c r="I1030" s="49"/>
      <c r="J1030" s="49"/>
      <c r="K1030" s="49"/>
      <c r="V1030" s="174"/>
      <c r="W1030" s="174"/>
      <c r="X1030" s="174"/>
      <c r="Y1030" s="187"/>
      <c r="AA1030" s="78"/>
    </row>
    <row r="1031" spans="9:27" x14ac:dyDescent="0.25">
      <c r="I1031" s="49"/>
      <c r="J1031" s="49"/>
      <c r="K1031" s="49"/>
      <c r="V1031" s="174"/>
      <c r="W1031" s="174"/>
      <c r="X1031" s="174"/>
      <c r="Y1031" s="187"/>
      <c r="AA1031" s="78"/>
    </row>
    <row r="1032" spans="9:27" x14ac:dyDescent="0.25">
      <c r="I1032" s="49"/>
      <c r="J1032" s="49"/>
      <c r="K1032" s="49"/>
      <c r="V1032" s="174"/>
      <c r="W1032" s="174"/>
      <c r="X1032" s="174"/>
      <c r="Y1032" s="187"/>
      <c r="AA1032" s="78"/>
    </row>
    <row r="1033" spans="9:27" x14ac:dyDescent="0.25">
      <c r="I1033" s="49"/>
      <c r="J1033" s="49"/>
      <c r="K1033" s="49"/>
      <c r="V1033" s="174"/>
      <c r="W1033" s="174"/>
      <c r="X1033" s="174"/>
      <c r="Y1033" s="187"/>
      <c r="AA1033" s="78"/>
    </row>
    <row r="1034" spans="9:27" x14ac:dyDescent="0.25">
      <c r="I1034" s="49"/>
      <c r="J1034" s="49"/>
      <c r="K1034" s="49"/>
      <c r="V1034" s="174"/>
      <c r="W1034" s="174"/>
      <c r="X1034" s="174"/>
      <c r="Y1034" s="187"/>
      <c r="AA1034" s="78"/>
    </row>
    <row r="1035" spans="9:27" x14ac:dyDescent="0.25">
      <c r="I1035" s="49"/>
      <c r="J1035" s="49"/>
      <c r="K1035" s="49"/>
      <c r="V1035" s="174"/>
      <c r="W1035" s="174"/>
      <c r="X1035" s="174"/>
      <c r="Y1035" s="187"/>
      <c r="AA1035" s="78"/>
    </row>
    <row r="1036" spans="9:27" x14ac:dyDescent="0.25">
      <c r="I1036" s="49"/>
      <c r="J1036" s="49"/>
      <c r="K1036" s="49"/>
      <c r="V1036" s="174"/>
      <c r="W1036" s="174"/>
      <c r="X1036" s="174"/>
      <c r="Y1036" s="187"/>
      <c r="AA1036" s="78"/>
    </row>
    <row r="1037" spans="9:27" x14ac:dyDescent="0.25">
      <c r="I1037" s="49"/>
      <c r="J1037" s="49"/>
      <c r="K1037" s="49"/>
      <c r="V1037" s="174"/>
      <c r="W1037" s="174"/>
      <c r="X1037" s="174"/>
      <c r="Y1037" s="187"/>
      <c r="AA1037" s="78"/>
    </row>
    <row r="1038" spans="9:27" x14ac:dyDescent="0.25">
      <c r="I1038" s="49"/>
      <c r="J1038" s="49"/>
      <c r="K1038" s="49"/>
      <c r="V1038" s="174"/>
      <c r="W1038" s="174"/>
      <c r="X1038" s="174"/>
      <c r="Y1038" s="187"/>
      <c r="AA1038" s="78"/>
    </row>
    <row r="1039" spans="9:27" x14ac:dyDescent="0.25">
      <c r="I1039" s="49"/>
      <c r="J1039" s="49"/>
      <c r="K1039" s="49"/>
      <c r="V1039" s="174"/>
      <c r="W1039" s="174"/>
      <c r="X1039" s="174"/>
      <c r="Y1039" s="187"/>
      <c r="AA1039" s="78"/>
    </row>
    <row r="1040" spans="9:27" x14ac:dyDescent="0.25">
      <c r="I1040" s="49"/>
      <c r="J1040" s="49"/>
      <c r="K1040" s="49"/>
      <c r="V1040" s="174"/>
      <c r="W1040" s="174"/>
      <c r="X1040" s="174"/>
      <c r="Y1040" s="187"/>
      <c r="AA1040" s="78"/>
    </row>
    <row r="1041" spans="9:27" x14ac:dyDescent="0.25">
      <c r="I1041" s="49"/>
      <c r="J1041" s="49"/>
      <c r="K1041" s="49"/>
      <c r="V1041" s="174"/>
      <c r="W1041" s="174"/>
      <c r="X1041" s="174"/>
      <c r="Y1041" s="187"/>
      <c r="AA1041" s="78"/>
    </row>
    <row r="1042" spans="9:27" x14ac:dyDescent="0.25">
      <c r="I1042" s="49"/>
      <c r="J1042" s="49"/>
      <c r="K1042" s="49"/>
      <c r="V1042" s="174"/>
      <c r="W1042" s="174"/>
      <c r="X1042" s="174"/>
      <c r="Y1042" s="187"/>
      <c r="AA1042" s="78"/>
    </row>
    <row r="1043" spans="9:27" x14ac:dyDescent="0.25">
      <c r="I1043" s="49"/>
      <c r="J1043" s="49"/>
      <c r="K1043" s="49"/>
      <c r="V1043" s="174"/>
      <c r="W1043" s="174"/>
      <c r="X1043" s="174"/>
      <c r="Y1043" s="187"/>
      <c r="AA1043" s="78"/>
    </row>
    <row r="1044" spans="9:27" x14ac:dyDescent="0.25">
      <c r="I1044" s="49"/>
      <c r="J1044" s="49"/>
      <c r="K1044" s="49"/>
      <c r="V1044" s="174"/>
      <c r="W1044" s="174"/>
      <c r="X1044" s="174"/>
      <c r="Y1044" s="187"/>
      <c r="AA1044" s="78"/>
    </row>
    <row r="1045" spans="9:27" x14ac:dyDescent="0.25">
      <c r="I1045" s="49"/>
      <c r="J1045" s="49"/>
      <c r="K1045" s="49"/>
      <c r="V1045" s="174"/>
      <c r="W1045" s="174"/>
      <c r="X1045" s="174"/>
      <c r="Y1045" s="187"/>
      <c r="AA1045" s="78"/>
    </row>
    <row r="1046" spans="9:27" x14ac:dyDescent="0.25">
      <c r="I1046" s="49"/>
      <c r="J1046" s="49"/>
      <c r="K1046" s="49"/>
      <c r="V1046" s="174"/>
      <c r="W1046" s="174"/>
      <c r="X1046" s="174"/>
      <c r="Y1046" s="187"/>
      <c r="AA1046" s="78"/>
    </row>
    <row r="1047" spans="9:27" x14ac:dyDescent="0.25">
      <c r="I1047" s="49"/>
      <c r="J1047" s="49"/>
      <c r="K1047" s="49"/>
      <c r="V1047" s="174"/>
      <c r="W1047" s="174"/>
      <c r="X1047" s="174"/>
      <c r="Y1047" s="187"/>
      <c r="AA1047" s="78"/>
    </row>
    <row r="1048" spans="9:27" x14ac:dyDescent="0.25">
      <c r="I1048" s="49"/>
      <c r="J1048" s="49"/>
      <c r="K1048" s="49"/>
      <c r="V1048" s="174"/>
      <c r="W1048" s="174"/>
      <c r="X1048" s="174"/>
      <c r="Y1048" s="187"/>
      <c r="AA1048" s="78"/>
    </row>
    <row r="1049" spans="9:27" x14ac:dyDescent="0.25">
      <c r="I1049" s="49"/>
      <c r="J1049" s="49"/>
      <c r="K1049" s="49"/>
      <c r="V1049" s="174"/>
      <c r="W1049" s="174"/>
      <c r="X1049" s="174"/>
      <c r="Y1049" s="187"/>
      <c r="AA1049" s="78"/>
    </row>
    <row r="1050" spans="9:27" x14ac:dyDescent="0.25">
      <c r="I1050" s="49"/>
      <c r="J1050" s="49"/>
      <c r="K1050" s="49"/>
      <c r="V1050" s="174"/>
      <c r="W1050" s="174"/>
      <c r="X1050" s="174"/>
      <c r="Y1050" s="187"/>
      <c r="AA1050" s="78"/>
    </row>
    <row r="1051" spans="9:27" x14ac:dyDescent="0.25">
      <c r="I1051" s="49"/>
      <c r="J1051" s="49"/>
      <c r="K1051" s="49"/>
      <c r="V1051" s="174"/>
      <c r="W1051" s="174"/>
      <c r="X1051" s="174"/>
      <c r="Y1051" s="187"/>
      <c r="AA1051" s="78"/>
    </row>
    <row r="1052" spans="9:27" x14ac:dyDescent="0.25">
      <c r="I1052" s="49"/>
      <c r="J1052" s="49"/>
      <c r="K1052" s="49"/>
      <c r="V1052" s="174"/>
      <c r="W1052" s="174"/>
      <c r="X1052" s="174"/>
      <c r="Y1052" s="187"/>
      <c r="AA1052" s="78"/>
    </row>
    <row r="1053" spans="9:27" x14ac:dyDescent="0.25">
      <c r="I1053" s="49"/>
      <c r="J1053" s="49"/>
      <c r="K1053" s="49"/>
      <c r="V1053" s="174"/>
      <c r="W1053" s="174"/>
      <c r="X1053" s="174"/>
      <c r="Y1053" s="187"/>
      <c r="AA1053" s="78"/>
    </row>
    <row r="1054" spans="9:27" x14ac:dyDescent="0.25">
      <c r="I1054" s="49"/>
      <c r="J1054" s="49"/>
      <c r="K1054" s="49"/>
      <c r="V1054" s="174"/>
      <c r="W1054" s="174"/>
      <c r="X1054" s="174"/>
      <c r="Y1054" s="187"/>
      <c r="AA1054" s="78"/>
    </row>
    <row r="1055" spans="9:27" x14ac:dyDescent="0.25">
      <c r="I1055" s="49"/>
      <c r="J1055" s="49"/>
      <c r="K1055" s="49"/>
      <c r="V1055" s="174"/>
      <c r="W1055" s="174"/>
      <c r="X1055" s="174"/>
      <c r="Y1055" s="187"/>
      <c r="AA1055" s="78"/>
    </row>
    <row r="1056" spans="9:27" x14ac:dyDescent="0.25">
      <c r="I1056" s="49"/>
      <c r="J1056" s="49"/>
      <c r="K1056" s="49"/>
      <c r="V1056" s="174"/>
      <c r="W1056" s="174"/>
      <c r="X1056" s="174"/>
      <c r="Y1056" s="187"/>
      <c r="AA1056" s="78"/>
    </row>
    <row r="1057" spans="9:27" x14ac:dyDescent="0.25">
      <c r="I1057" s="49"/>
      <c r="J1057" s="49"/>
      <c r="K1057" s="49"/>
      <c r="V1057" s="174"/>
      <c r="W1057" s="174"/>
      <c r="X1057" s="174"/>
      <c r="Y1057" s="187"/>
      <c r="AA1057" s="78"/>
    </row>
    <row r="1058" spans="9:27" x14ac:dyDescent="0.25">
      <c r="I1058" s="49"/>
      <c r="J1058" s="49"/>
      <c r="K1058" s="49"/>
      <c r="V1058" s="174"/>
      <c r="W1058" s="174"/>
      <c r="X1058" s="174"/>
      <c r="Y1058" s="187"/>
      <c r="AA1058" s="78"/>
    </row>
    <row r="1059" spans="9:27" x14ac:dyDescent="0.25">
      <c r="I1059" s="49"/>
      <c r="J1059" s="49"/>
      <c r="K1059" s="49"/>
      <c r="V1059" s="174"/>
      <c r="W1059" s="174"/>
      <c r="X1059" s="174"/>
      <c r="Y1059" s="187"/>
      <c r="AA1059" s="78"/>
    </row>
    <row r="1060" spans="9:27" x14ac:dyDescent="0.25">
      <c r="I1060" s="49"/>
      <c r="J1060" s="49"/>
      <c r="K1060" s="49"/>
      <c r="V1060" s="174"/>
      <c r="W1060" s="174"/>
      <c r="X1060" s="174"/>
      <c r="Y1060" s="187"/>
      <c r="AA1060" s="78"/>
    </row>
    <row r="1061" spans="9:27" x14ac:dyDescent="0.25">
      <c r="I1061" s="49"/>
      <c r="J1061" s="49"/>
      <c r="K1061" s="49"/>
      <c r="V1061" s="174"/>
      <c r="W1061" s="174"/>
      <c r="X1061" s="174"/>
      <c r="Y1061" s="187"/>
      <c r="AA1061" s="78"/>
    </row>
    <row r="1062" spans="9:27" x14ac:dyDescent="0.25">
      <c r="I1062" s="49"/>
      <c r="J1062" s="49"/>
      <c r="K1062" s="49"/>
      <c r="V1062" s="174"/>
      <c r="W1062" s="174"/>
      <c r="X1062" s="174"/>
      <c r="Y1062" s="187"/>
      <c r="AA1062" s="78"/>
    </row>
    <row r="1063" spans="9:27" x14ac:dyDescent="0.25">
      <c r="I1063" s="49"/>
      <c r="J1063" s="49"/>
      <c r="K1063" s="49"/>
      <c r="V1063" s="174"/>
      <c r="W1063" s="174"/>
      <c r="X1063" s="174"/>
      <c r="Y1063" s="187"/>
      <c r="AA1063" s="78"/>
    </row>
    <row r="1064" spans="9:27" x14ac:dyDescent="0.25">
      <c r="I1064" s="49"/>
      <c r="J1064" s="49"/>
      <c r="K1064" s="49"/>
      <c r="V1064" s="174"/>
      <c r="W1064" s="174"/>
      <c r="X1064" s="174"/>
      <c r="Y1064" s="187"/>
      <c r="AA1064" s="78"/>
    </row>
    <row r="1065" spans="9:27" x14ac:dyDescent="0.25">
      <c r="I1065" s="49"/>
      <c r="J1065" s="49"/>
      <c r="K1065" s="49"/>
      <c r="V1065" s="174"/>
      <c r="W1065" s="174"/>
      <c r="X1065" s="174"/>
      <c r="Y1065" s="187"/>
      <c r="AA1065" s="78"/>
    </row>
    <row r="1066" spans="9:27" x14ac:dyDescent="0.25">
      <c r="I1066" s="49"/>
      <c r="J1066" s="49"/>
      <c r="K1066" s="49"/>
      <c r="V1066" s="174"/>
      <c r="W1066" s="174"/>
      <c r="X1066" s="174"/>
      <c r="Y1066" s="187"/>
      <c r="AA1066" s="78"/>
    </row>
    <row r="1067" spans="9:27" x14ac:dyDescent="0.25">
      <c r="I1067" s="49"/>
      <c r="J1067" s="49"/>
      <c r="K1067" s="49"/>
      <c r="V1067" s="174"/>
      <c r="W1067" s="174"/>
      <c r="X1067" s="174"/>
      <c r="Y1067" s="187"/>
      <c r="AA1067" s="78"/>
    </row>
    <row r="1068" spans="9:27" x14ac:dyDescent="0.25">
      <c r="I1068" s="49"/>
      <c r="J1068" s="49"/>
      <c r="K1068" s="49"/>
      <c r="V1068" s="174"/>
      <c r="W1068" s="174"/>
      <c r="X1068" s="174"/>
      <c r="Y1068" s="187"/>
      <c r="AA1068" s="78"/>
    </row>
    <row r="1069" spans="9:27" x14ac:dyDescent="0.25">
      <c r="I1069" s="49"/>
      <c r="J1069" s="49"/>
      <c r="K1069" s="49"/>
      <c r="V1069" s="174"/>
      <c r="W1069" s="174"/>
      <c r="X1069" s="174"/>
      <c r="Y1069" s="187"/>
      <c r="AA1069" s="78"/>
    </row>
    <row r="1070" spans="9:27" x14ac:dyDescent="0.25">
      <c r="I1070" s="49"/>
      <c r="J1070" s="49"/>
      <c r="K1070" s="49"/>
      <c r="V1070" s="174"/>
      <c r="W1070" s="174"/>
      <c r="X1070" s="174"/>
      <c r="Y1070" s="187"/>
      <c r="AA1070" s="78"/>
    </row>
    <row r="1071" spans="9:27" x14ac:dyDescent="0.25">
      <c r="I1071" s="49"/>
      <c r="J1071" s="49"/>
      <c r="K1071" s="49"/>
      <c r="V1071" s="174"/>
      <c r="W1071" s="174"/>
      <c r="X1071" s="174"/>
      <c r="Y1071" s="187"/>
      <c r="AA1071" s="78"/>
    </row>
    <row r="1072" spans="9:27" x14ac:dyDescent="0.25">
      <c r="I1072" s="49"/>
      <c r="J1072" s="49"/>
      <c r="K1072" s="49"/>
      <c r="V1072" s="174"/>
      <c r="W1072" s="174"/>
      <c r="X1072" s="174"/>
      <c r="Y1072" s="187"/>
      <c r="AA1072" s="78"/>
    </row>
    <row r="1073" spans="9:27" x14ac:dyDescent="0.25">
      <c r="I1073" s="49"/>
      <c r="J1073" s="49"/>
      <c r="K1073" s="49"/>
      <c r="V1073" s="174"/>
      <c r="W1073" s="174"/>
      <c r="X1073" s="174"/>
      <c r="Y1073" s="187"/>
      <c r="AA1073" s="78"/>
    </row>
    <row r="1074" spans="9:27" x14ac:dyDescent="0.25">
      <c r="I1074" s="49"/>
      <c r="J1074" s="49"/>
      <c r="K1074" s="49"/>
      <c r="V1074" s="174"/>
      <c r="W1074" s="174"/>
      <c r="X1074" s="174"/>
      <c r="Y1074" s="187"/>
      <c r="AA1074" s="78"/>
    </row>
    <row r="1075" spans="9:27" x14ac:dyDescent="0.25">
      <c r="I1075" s="49"/>
      <c r="J1075" s="49"/>
      <c r="K1075" s="49"/>
      <c r="V1075" s="174"/>
      <c r="W1075" s="174"/>
      <c r="X1075" s="174"/>
      <c r="Y1075" s="187"/>
      <c r="AA1075" s="78"/>
    </row>
    <row r="1076" spans="9:27" x14ac:dyDescent="0.25">
      <c r="I1076" s="49"/>
      <c r="J1076" s="49"/>
      <c r="K1076" s="49"/>
      <c r="V1076" s="174"/>
      <c r="W1076" s="174"/>
      <c r="X1076" s="174"/>
      <c r="Y1076" s="187"/>
      <c r="AA1076" s="78"/>
    </row>
    <row r="1077" spans="9:27" x14ac:dyDescent="0.25">
      <c r="I1077" s="49"/>
      <c r="J1077" s="49"/>
      <c r="K1077" s="49"/>
      <c r="V1077" s="174"/>
      <c r="W1077" s="174"/>
      <c r="X1077" s="174"/>
      <c r="Y1077" s="187"/>
      <c r="AA1077" s="78"/>
    </row>
    <row r="1078" spans="9:27" x14ac:dyDescent="0.25">
      <c r="I1078" s="49"/>
      <c r="J1078" s="49"/>
      <c r="K1078" s="49"/>
      <c r="V1078" s="174"/>
      <c r="W1078" s="174"/>
      <c r="X1078" s="174"/>
      <c r="Y1078" s="187"/>
      <c r="AA1078" s="78"/>
    </row>
    <row r="1079" spans="9:27" x14ac:dyDescent="0.25">
      <c r="I1079" s="49"/>
      <c r="J1079" s="49"/>
      <c r="K1079" s="49"/>
      <c r="V1079" s="174"/>
      <c r="W1079" s="174"/>
      <c r="X1079" s="174"/>
      <c r="Y1079" s="187"/>
      <c r="AA1079" s="78"/>
    </row>
    <row r="1080" spans="9:27" x14ac:dyDescent="0.25">
      <c r="I1080" s="49"/>
      <c r="J1080" s="49"/>
      <c r="K1080" s="49"/>
      <c r="V1080" s="174"/>
      <c r="W1080" s="174"/>
      <c r="X1080" s="174"/>
      <c r="Y1080" s="187"/>
      <c r="AA1080" s="78"/>
    </row>
    <row r="1081" spans="9:27" x14ac:dyDescent="0.25">
      <c r="I1081" s="49"/>
      <c r="J1081" s="49"/>
      <c r="K1081" s="49"/>
      <c r="V1081" s="174"/>
      <c r="W1081" s="174"/>
      <c r="X1081" s="174"/>
      <c r="Y1081" s="187"/>
      <c r="AA1081" s="78"/>
    </row>
    <row r="1082" spans="9:27" x14ac:dyDescent="0.25">
      <c r="I1082" s="49"/>
      <c r="J1082" s="49"/>
      <c r="K1082" s="49"/>
      <c r="V1082" s="174"/>
      <c r="W1082" s="174"/>
      <c r="X1082" s="174"/>
      <c r="Y1082" s="187"/>
      <c r="AA1082" s="78"/>
    </row>
    <row r="1083" spans="9:27" x14ac:dyDescent="0.25">
      <c r="I1083" s="49"/>
      <c r="J1083" s="49"/>
      <c r="K1083" s="49"/>
      <c r="V1083" s="174"/>
      <c r="W1083" s="174"/>
      <c r="X1083" s="174"/>
      <c r="Y1083" s="187"/>
      <c r="AA1083" s="78"/>
    </row>
    <row r="1084" spans="9:27" x14ac:dyDescent="0.25">
      <c r="I1084" s="49"/>
      <c r="J1084" s="49"/>
      <c r="K1084" s="49"/>
      <c r="V1084" s="174"/>
      <c r="W1084" s="174"/>
      <c r="X1084" s="174"/>
      <c r="Y1084" s="187"/>
      <c r="AA1084" s="78"/>
    </row>
    <row r="1085" spans="9:27" x14ac:dyDescent="0.25">
      <c r="I1085" s="49"/>
      <c r="J1085" s="49"/>
      <c r="K1085" s="49"/>
      <c r="V1085" s="174"/>
      <c r="W1085" s="174"/>
      <c r="X1085" s="174"/>
      <c r="Y1085" s="187"/>
      <c r="AA1085" s="78"/>
    </row>
    <row r="1086" spans="9:27" x14ac:dyDescent="0.25">
      <c r="I1086" s="49"/>
      <c r="J1086" s="49"/>
      <c r="K1086" s="49"/>
      <c r="V1086" s="174"/>
      <c r="W1086" s="174"/>
      <c r="X1086" s="174"/>
      <c r="Y1086" s="187"/>
      <c r="AA1086" s="78"/>
    </row>
    <row r="1087" spans="9:27" x14ac:dyDescent="0.25">
      <c r="I1087" s="49"/>
      <c r="J1087" s="49"/>
      <c r="K1087" s="49"/>
      <c r="V1087" s="174"/>
      <c r="W1087" s="174"/>
      <c r="X1087" s="174"/>
      <c r="Y1087" s="187"/>
      <c r="AA1087" s="78"/>
    </row>
    <row r="1088" spans="9:27" x14ac:dyDescent="0.25">
      <c r="I1088" s="49"/>
      <c r="J1088" s="49"/>
      <c r="K1088" s="49"/>
      <c r="V1088" s="174"/>
      <c r="W1088" s="174"/>
      <c r="X1088" s="174"/>
      <c r="Y1088" s="187"/>
      <c r="AA1088" s="78"/>
    </row>
    <row r="1089" spans="9:27" x14ac:dyDescent="0.25">
      <c r="I1089" s="49"/>
      <c r="J1089" s="49"/>
      <c r="K1089" s="49"/>
      <c r="V1089" s="174"/>
      <c r="W1089" s="174"/>
      <c r="X1089" s="174"/>
      <c r="Y1089" s="187"/>
      <c r="AA1089" s="78"/>
    </row>
    <row r="1090" spans="9:27" x14ac:dyDescent="0.25">
      <c r="I1090" s="49"/>
      <c r="J1090" s="49"/>
      <c r="K1090" s="49"/>
      <c r="V1090" s="174"/>
      <c r="W1090" s="174"/>
      <c r="X1090" s="174"/>
      <c r="Y1090" s="187"/>
      <c r="AA1090" s="78"/>
    </row>
    <row r="1091" spans="9:27" x14ac:dyDescent="0.25">
      <c r="I1091" s="49"/>
      <c r="J1091" s="49"/>
      <c r="K1091" s="49"/>
      <c r="V1091" s="174"/>
      <c r="W1091" s="174"/>
      <c r="X1091" s="174"/>
      <c r="Y1091" s="187"/>
      <c r="AA1091" s="78"/>
    </row>
    <row r="1092" spans="9:27" x14ac:dyDescent="0.25">
      <c r="I1092" s="49"/>
      <c r="J1092" s="49"/>
      <c r="K1092" s="49"/>
      <c r="V1092" s="174"/>
      <c r="W1092" s="174"/>
      <c r="X1092" s="174"/>
      <c r="Y1092" s="187"/>
      <c r="AA1092" s="78"/>
    </row>
    <row r="1093" spans="9:27" x14ac:dyDescent="0.25">
      <c r="I1093" s="49"/>
      <c r="J1093" s="49"/>
      <c r="K1093" s="49"/>
      <c r="V1093" s="174"/>
      <c r="W1093" s="174"/>
      <c r="X1093" s="174"/>
      <c r="Y1093" s="187"/>
      <c r="AA1093" s="78"/>
    </row>
    <row r="1094" spans="9:27" x14ac:dyDescent="0.25">
      <c r="I1094" s="49"/>
      <c r="J1094" s="49"/>
      <c r="K1094" s="49"/>
      <c r="V1094" s="174"/>
      <c r="W1094" s="174"/>
      <c r="X1094" s="174"/>
      <c r="Y1094" s="187"/>
      <c r="AA1094" s="78"/>
    </row>
    <row r="1095" spans="9:27" x14ac:dyDescent="0.25">
      <c r="I1095" s="49"/>
      <c r="J1095" s="49"/>
      <c r="K1095" s="49"/>
      <c r="V1095" s="174"/>
      <c r="W1095" s="174"/>
      <c r="X1095" s="174"/>
      <c r="Y1095" s="187"/>
      <c r="AA1095" s="78"/>
    </row>
    <row r="1096" spans="9:27" x14ac:dyDescent="0.25">
      <c r="I1096" s="49"/>
      <c r="J1096" s="49"/>
      <c r="K1096" s="49"/>
      <c r="V1096" s="174"/>
      <c r="W1096" s="174"/>
      <c r="X1096" s="174"/>
      <c r="Y1096" s="187"/>
      <c r="AA1096" s="78"/>
    </row>
    <row r="1097" spans="9:27" x14ac:dyDescent="0.25">
      <c r="I1097" s="49"/>
      <c r="J1097" s="49"/>
      <c r="K1097" s="49"/>
      <c r="V1097" s="174"/>
      <c r="W1097" s="174"/>
      <c r="X1097" s="174"/>
      <c r="Y1097" s="187"/>
      <c r="AA1097" s="78"/>
    </row>
    <row r="1098" spans="9:27" x14ac:dyDescent="0.25">
      <c r="I1098" s="49"/>
      <c r="J1098" s="49"/>
      <c r="K1098" s="49"/>
      <c r="V1098" s="174"/>
      <c r="W1098" s="174"/>
      <c r="X1098" s="174"/>
      <c r="Y1098" s="187"/>
      <c r="AA1098" s="78"/>
    </row>
    <row r="1099" spans="9:27" x14ac:dyDescent="0.25">
      <c r="I1099" s="49"/>
      <c r="J1099" s="49"/>
      <c r="K1099" s="49"/>
      <c r="V1099" s="174"/>
      <c r="W1099" s="174"/>
      <c r="X1099" s="174"/>
      <c r="Y1099" s="187"/>
      <c r="AA1099" s="78"/>
    </row>
    <row r="1100" spans="9:27" x14ac:dyDescent="0.25">
      <c r="I1100" s="49"/>
      <c r="J1100" s="49"/>
      <c r="K1100" s="49"/>
      <c r="V1100" s="174"/>
      <c r="W1100" s="174"/>
      <c r="X1100" s="174"/>
      <c r="Y1100" s="187"/>
      <c r="AA1100" s="78"/>
    </row>
    <row r="1101" spans="9:27" x14ac:dyDescent="0.25">
      <c r="I1101" s="49"/>
      <c r="J1101" s="49"/>
      <c r="K1101" s="49"/>
      <c r="V1101" s="174"/>
      <c r="W1101" s="174"/>
      <c r="X1101" s="174"/>
      <c r="Y1101" s="187"/>
      <c r="AA1101" s="78"/>
    </row>
    <row r="1102" spans="9:27" x14ac:dyDescent="0.25">
      <c r="I1102" s="49"/>
      <c r="J1102" s="49"/>
      <c r="K1102" s="49"/>
      <c r="V1102" s="174"/>
      <c r="W1102" s="174"/>
      <c r="X1102" s="174"/>
      <c r="Y1102" s="187"/>
      <c r="AA1102" s="78"/>
    </row>
    <row r="1103" spans="9:27" x14ac:dyDescent="0.25">
      <c r="I1103" s="49"/>
      <c r="J1103" s="49"/>
      <c r="K1103" s="49"/>
      <c r="V1103" s="174"/>
      <c r="W1103" s="174"/>
      <c r="X1103" s="174"/>
      <c r="Y1103" s="187"/>
      <c r="AA1103" s="78"/>
    </row>
    <row r="1104" spans="9:27" x14ac:dyDescent="0.25">
      <c r="I1104" s="49"/>
      <c r="J1104" s="49"/>
      <c r="K1104" s="49"/>
      <c r="V1104" s="174"/>
      <c r="W1104" s="174"/>
      <c r="X1104" s="174"/>
      <c r="Y1104" s="187"/>
      <c r="AA1104" s="78"/>
    </row>
    <row r="1105" spans="9:27" x14ac:dyDescent="0.25">
      <c r="I1105" s="49"/>
      <c r="J1105" s="49"/>
      <c r="K1105" s="49"/>
      <c r="V1105" s="174"/>
      <c r="W1105" s="174"/>
      <c r="X1105" s="174"/>
      <c r="Y1105" s="187"/>
      <c r="AA1105" s="78"/>
    </row>
    <row r="1106" spans="9:27" x14ac:dyDescent="0.25">
      <c r="I1106" s="49"/>
      <c r="J1106" s="49"/>
      <c r="K1106" s="49"/>
      <c r="V1106" s="174"/>
      <c r="W1106" s="174"/>
      <c r="X1106" s="174"/>
      <c r="Y1106" s="187"/>
      <c r="AA1106" s="78"/>
    </row>
    <row r="1107" spans="9:27" x14ac:dyDescent="0.25">
      <c r="I1107" s="49"/>
      <c r="J1107" s="49"/>
      <c r="K1107" s="49"/>
      <c r="V1107" s="174"/>
      <c r="W1107" s="174"/>
      <c r="X1107" s="174"/>
      <c r="Y1107" s="187"/>
      <c r="AA1107" s="78"/>
    </row>
    <row r="1108" spans="9:27" x14ac:dyDescent="0.25">
      <c r="I1108" s="49"/>
      <c r="J1108" s="49"/>
      <c r="K1108" s="49"/>
      <c r="V1108" s="174"/>
      <c r="W1108" s="174"/>
      <c r="X1108" s="174"/>
      <c r="Y1108" s="187"/>
      <c r="AA1108" s="78"/>
    </row>
    <row r="1109" spans="9:27" x14ac:dyDescent="0.25">
      <c r="I1109" s="49"/>
      <c r="J1109" s="49"/>
      <c r="K1109" s="49"/>
      <c r="V1109" s="174"/>
      <c r="W1109" s="174"/>
      <c r="X1109" s="174"/>
      <c r="Y1109" s="187"/>
      <c r="AA1109" s="78"/>
    </row>
    <row r="1110" spans="9:27" x14ac:dyDescent="0.25">
      <c r="I1110" s="49"/>
      <c r="J1110" s="49"/>
      <c r="K1110" s="49"/>
      <c r="V1110" s="174"/>
      <c r="W1110" s="174"/>
      <c r="X1110" s="174"/>
      <c r="Y1110" s="187"/>
      <c r="AA1110" s="78"/>
    </row>
    <row r="1111" spans="9:27" x14ac:dyDescent="0.25">
      <c r="I1111" s="49"/>
      <c r="J1111" s="49"/>
      <c r="K1111" s="49"/>
      <c r="V1111" s="174"/>
      <c r="W1111" s="174"/>
      <c r="X1111" s="174"/>
      <c r="Y1111" s="187"/>
      <c r="AA1111" s="78"/>
    </row>
    <row r="1112" spans="9:27" x14ac:dyDescent="0.25">
      <c r="I1112" s="49"/>
      <c r="J1112" s="49"/>
      <c r="K1112" s="49"/>
      <c r="V1112" s="174"/>
      <c r="W1112" s="174"/>
      <c r="X1112" s="174"/>
      <c r="Y1112" s="187"/>
      <c r="AA1112" s="78"/>
    </row>
    <row r="1113" spans="9:27" x14ac:dyDescent="0.25">
      <c r="I1113" s="49"/>
      <c r="J1113" s="49"/>
      <c r="K1113" s="49"/>
      <c r="V1113" s="174"/>
      <c r="W1113" s="174"/>
      <c r="X1113" s="174"/>
      <c r="Y1113" s="187"/>
      <c r="AA1113" s="78"/>
    </row>
    <row r="1114" spans="9:27" x14ac:dyDescent="0.25">
      <c r="I1114" s="49"/>
      <c r="J1114" s="49"/>
      <c r="K1114" s="49"/>
      <c r="V1114" s="174"/>
      <c r="W1114" s="174"/>
      <c r="X1114" s="174"/>
      <c r="Y1114" s="187"/>
      <c r="AA1114" s="78"/>
    </row>
    <row r="1115" spans="9:27" x14ac:dyDescent="0.25">
      <c r="I1115" s="49"/>
      <c r="J1115" s="49"/>
      <c r="K1115" s="49"/>
      <c r="V1115" s="174"/>
      <c r="W1115" s="174"/>
      <c r="X1115" s="174"/>
      <c r="Y1115" s="187"/>
      <c r="AA1115" s="78"/>
    </row>
    <row r="1116" spans="9:27" x14ac:dyDescent="0.25">
      <c r="I1116" s="49"/>
      <c r="J1116" s="49"/>
      <c r="K1116" s="49"/>
      <c r="V1116" s="174"/>
      <c r="W1116" s="174"/>
      <c r="X1116" s="174"/>
      <c r="Y1116" s="187"/>
      <c r="AA1116" s="78"/>
    </row>
    <row r="1117" spans="9:27" x14ac:dyDescent="0.25">
      <c r="I1117" s="49"/>
      <c r="J1117" s="49"/>
      <c r="K1117" s="49"/>
      <c r="V1117" s="174"/>
      <c r="W1117" s="174"/>
      <c r="X1117" s="174"/>
      <c r="Y1117" s="187"/>
      <c r="AA1117" s="78"/>
    </row>
    <row r="1118" spans="9:27" x14ac:dyDescent="0.25">
      <c r="I1118" s="49"/>
      <c r="J1118" s="49"/>
      <c r="K1118" s="49"/>
      <c r="V1118" s="174"/>
      <c r="W1118" s="174"/>
      <c r="X1118" s="174"/>
      <c r="Y1118" s="187"/>
      <c r="AA1118" s="78"/>
    </row>
    <row r="1119" spans="9:27" x14ac:dyDescent="0.25">
      <c r="I1119" s="49"/>
      <c r="J1119" s="49"/>
      <c r="K1119" s="49"/>
      <c r="V1119" s="174"/>
      <c r="W1119" s="174"/>
      <c r="X1119" s="174"/>
      <c r="Y1119" s="187"/>
      <c r="AA1119" s="78"/>
    </row>
    <row r="1120" spans="9:27" x14ac:dyDescent="0.25">
      <c r="I1120" s="49"/>
      <c r="J1120" s="49"/>
      <c r="K1120" s="49"/>
      <c r="V1120" s="174"/>
      <c r="W1120" s="174"/>
      <c r="X1120" s="174"/>
      <c r="Y1120" s="187"/>
      <c r="AA1120" s="78"/>
    </row>
    <row r="1121" spans="9:27" x14ac:dyDescent="0.25">
      <c r="I1121" s="49"/>
      <c r="J1121" s="49"/>
      <c r="K1121" s="49"/>
      <c r="V1121" s="174"/>
      <c r="W1121" s="174"/>
      <c r="X1121" s="174"/>
      <c r="Y1121" s="187"/>
      <c r="AA1121" s="78"/>
    </row>
    <row r="1122" spans="9:27" x14ac:dyDescent="0.25">
      <c r="I1122" s="49"/>
      <c r="J1122" s="49"/>
      <c r="K1122" s="49"/>
      <c r="V1122" s="174"/>
      <c r="W1122" s="174"/>
      <c r="X1122" s="174"/>
      <c r="Y1122" s="187"/>
      <c r="AA1122" s="78"/>
    </row>
    <row r="1123" spans="9:27" x14ac:dyDescent="0.25">
      <c r="I1123" s="49"/>
      <c r="J1123" s="49"/>
      <c r="K1123" s="49"/>
      <c r="V1123" s="174"/>
      <c r="W1123" s="174"/>
      <c r="X1123" s="174"/>
      <c r="Y1123" s="187"/>
      <c r="AA1123" s="78"/>
    </row>
    <row r="1124" spans="9:27" x14ac:dyDescent="0.25">
      <c r="I1124" s="49"/>
      <c r="J1124" s="49"/>
      <c r="K1124" s="49"/>
      <c r="V1124" s="174"/>
      <c r="W1124" s="174"/>
      <c r="X1124" s="174"/>
      <c r="Y1124" s="187"/>
      <c r="AA1124" s="78"/>
    </row>
    <row r="1125" spans="9:27" x14ac:dyDescent="0.25">
      <c r="I1125" s="49"/>
      <c r="J1125" s="49"/>
      <c r="K1125" s="49"/>
      <c r="V1125" s="174"/>
      <c r="W1125" s="174"/>
      <c r="X1125" s="174"/>
      <c r="Y1125" s="187"/>
      <c r="AA1125" s="78"/>
    </row>
    <row r="1126" spans="9:27" x14ac:dyDescent="0.25">
      <c r="I1126" s="49"/>
      <c r="J1126" s="49"/>
      <c r="K1126" s="49"/>
      <c r="V1126" s="174"/>
      <c r="W1126" s="174"/>
      <c r="X1126" s="174"/>
      <c r="Y1126" s="187"/>
      <c r="AA1126" s="78"/>
    </row>
    <row r="1127" spans="9:27" x14ac:dyDescent="0.25">
      <c r="I1127" s="49"/>
      <c r="J1127" s="49"/>
      <c r="K1127" s="49"/>
      <c r="V1127" s="174"/>
      <c r="W1127" s="174"/>
      <c r="X1127" s="174"/>
      <c r="Y1127" s="187"/>
      <c r="AA1127" s="78"/>
    </row>
    <row r="1128" spans="9:27" x14ac:dyDescent="0.25">
      <c r="I1128" s="49"/>
      <c r="J1128" s="49"/>
      <c r="K1128" s="49"/>
      <c r="V1128" s="174"/>
      <c r="W1128" s="174"/>
      <c r="X1128" s="174"/>
      <c r="Y1128" s="187"/>
      <c r="AA1128" s="78"/>
    </row>
    <row r="1129" spans="9:27" x14ac:dyDescent="0.25">
      <c r="I1129" s="49"/>
      <c r="J1129" s="49"/>
      <c r="K1129" s="49"/>
      <c r="V1129" s="174"/>
      <c r="W1129" s="174"/>
      <c r="X1129" s="174"/>
      <c r="Y1129" s="187"/>
      <c r="AA1129" s="78"/>
    </row>
    <row r="1130" spans="9:27" x14ac:dyDescent="0.25">
      <c r="I1130" s="49"/>
      <c r="J1130" s="49"/>
      <c r="K1130" s="49"/>
      <c r="V1130" s="174"/>
      <c r="W1130" s="174"/>
      <c r="X1130" s="174"/>
      <c r="Y1130" s="187"/>
      <c r="AA1130" s="78"/>
    </row>
    <row r="1131" spans="9:27" x14ac:dyDescent="0.25">
      <c r="I1131" s="49"/>
      <c r="J1131" s="49"/>
      <c r="K1131" s="49"/>
      <c r="V1131" s="174"/>
      <c r="W1131" s="174"/>
      <c r="X1131" s="174"/>
      <c r="Y1131" s="187"/>
      <c r="AA1131" s="78"/>
    </row>
    <row r="1132" spans="9:27" x14ac:dyDescent="0.25">
      <c r="I1132" s="49"/>
      <c r="J1132" s="49"/>
      <c r="K1132" s="49"/>
      <c r="V1132" s="174"/>
      <c r="W1132" s="174"/>
      <c r="X1132" s="174"/>
      <c r="Y1132" s="187"/>
      <c r="AA1132" s="78"/>
    </row>
    <row r="1133" spans="9:27" x14ac:dyDescent="0.25">
      <c r="I1133" s="49"/>
      <c r="J1133" s="49"/>
      <c r="K1133" s="49"/>
      <c r="V1133" s="174"/>
      <c r="W1133" s="174"/>
      <c r="X1133" s="174"/>
      <c r="Y1133" s="187"/>
      <c r="AA1133" s="78"/>
    </row>
    <row r="1134" spans="9:27" x14ac:dyDescent="0.25">
      <c r="I1134" s="49"/>
      <c r="J1134" s="49"/>
      <c r="K1134" s="49"/>
      <c r="V1134" s="174"/>
      <c r="W1134" s="174"/>
      <c r="X1134" s="174"/>
      <c r="Y1134" s="187"/>
      <c r="AA1134" s="78"/>
    </row>
    <row r="1135" spans="9:27" x14ac:dyDescent="0.25">
      <c r="I1135" s="49"/>
      <c r="J1135" s="49"/>
      <c r="K1135" s="49"/>
      <c r="V1135" s="174"/>
      <c r="W1135" s="174"/>
      <c r="X1135" s="174"/>
      <c r="Y1135" s="187"/>
      <c r="AA1135" s="78"/>
    </row>
    <row r="1136" spans="9:27" x14ac:dyDescent="0.25">
      <c r="I1136" s="49"/>
      <c r="J1136" s="49"/>
      <c r="K1136" s="49"/>
      <c r="V1136" s="174"/>
      <c r="W1136" s="174"/>
      <c r="X1136" s="174"/>
      <c r="Y1136" s="187"/>
      <c r="AA1136" s="78"/>
    </row>
    <row r="1137" spans="9:27" x14ac:dyDescent="0.25">
      <c r="I1137" s="49"/>
      <c r="J1137" s="49"/>
      <c r="K1137" s="49"/>
      <c r="V1137" s="174"/>
      <c r="W1137" s="174"/>
      <c r="X1137" s="174"/>
      <c r="Y1137" s="187"/>
      <c r="AA1137" s="78"/>
    </row>
    <row r="1138" spans="9:27" x14ac:dyDescent="0.25">
      <c r="I1138" s="49"/>
      <c r="J1138" s="49"/>
      <c r="K1138" s="49"/>
      <c r="V1138" s="174"/>
      <c r="W1138" s="174"/>
      <c r="X1138" s="174"/>
      <c r="Y1138" s="187"/>
      <c r="AA1138" s="78"/>
    </row>
    <row r="1139" spans="9:27" x14ac:dyDescent="0.25">
      <c r="I1139" s="49"/>
      <c r="J1139" s="49"/>
      <c r="K1139" s="49"/>
      <c r="V1139" s="174"/>
      <c r="W1139" s="174"/>
      <c r="X1139" s="174"/>
      <c r="Y1139" s="187"/>
      <c r="AA1139" s="78"/>
    </row>
    <row r="1140" spans="9:27" x14ac:dyDescent="0.25">
      <c r="I1140" s="49"/>
      <c r="J1140" s="49"/>
      <c r="K1140" s="49"/>
      <c r="V1140" s="174"/>
      <c r="W1140" s="174"/>
      <c r="X1140" s="174"/>
      <c r="Y1140" s="187"/>
      <c r="AA1140" s="78"/>
    </row>
    <row r="1141" spans="9:27" x14ac:dyDescent="0.25">
      <c r="I1141" s="49"/>
      <c r="J1141" s="49"/>
      <c r="K1141" s="49"/>
      <c r="V1141" s="174"/>
      <c r="W1141" s="174"/>
      <c r="X1141" s="174"/>
      <c r="Y1141" s="187"/>
      <c r="AA1141" s="78"/>
    </row>
    <row r="1142" spans="9:27" x14ac:dyDescent="0.25">
      <c r="I1142" s="49"/>
      <c r="J1142" s="49"/>
      <c r="K1142" s="49"/>
      <c r="V1142" s="174"/>
      <c r="W1142" s="174"/>
      <c r="X1142" s="174"/>
      <c r="Y1142" s="187"/>
      <c r="AA1142" s="78"/>
    </row>
    <row r="1143" spans="9:27" x14ac:dyDescent="0.25">
      <c r="I1143" s="49"/>
      <c r="J1143" s="49"/>
      <c r="K1143" s="49"/>
      <c r="V1143" s="174"/>
      <c r="W1143" s="174"/>
      <c r="X1143" s="174"/>
      <c r="Y1143" s="187"/>
      <c r="AA1143" s="78"/>
    </row>
    <row r="1144" spans="9:27" x14ac:dyDescent="0.25">
      <c r="I1144" s="49"/>
      <c r="J1144" s="49"/>
      <c r="K1144" s="49"/>
      <c r="V1144" s="174"/>
      <c r="W1144" s="174"/>
      <c r="X1144" s="174"/>
      <c r="Y1144" s="187"/>
      <c r="AA1144" s="78"/>
    </row>
    <row r="1145" spans="9:27" x14ac:dyDescent="0.25">
      <c r="I1145" s="49"/>
      <c r="J1145" s="49"/>
      <c r="K1145" s="49"/>
      <c r="V1145" s="174"/>
      <c r="W1145" s="174"/>
      <c r="X1145" s="174"/>
      <c r="Y1145" s="187"/>
      <c r="AA1145" s="78"/>
    </row>
    <row r="1146" spans="9:27" x14ac:dyDescent="0.25">
      <c r="I1146" s="49"/>
      <c r="J1146" s="49"/>
      <c r="K1146" s="49"/>
      <c r="V1146" s="174"/>
      <c r="W1146" s="174"/>
      <c r="X1146" s="174"/>
      <c r="Y1146" s="187"/>
      <c r="AA1146" s="78"/>
    </row>
    <row r="1147" spans="9:27" x14ac:dyDescent="0.25">
      <c r="I1147" s="49"/>
      <c r="J1147" s="49"/>
      <c r="K1147" s="49"/>
      <c r="V1147" s="174"/>
      <c r="W1147" s="174"/>
      <c r="X1147" s="174"/>
      <c r="Y1147" s="187"/>
      <c r="AA1147" s="78"/>
    </row>
    <row r="1148" spans="9:27" x14ac:dyDescent="0.25">
      <c r="I1148" s="49"/>
      <c r="J1148" s="49"/>
      <c r="K1148" s="49"/>
      <c r="V1148" s="174"/>
      <c r="W1148" s="174"/>
      <c r="X1148" s="174"/>
      <c r="Y1148" s="187"/>
      <c r="AA1148" s="78"/>
    </row>
    <row r="1149" spans="9:27" x14ac:dyDescent="0.25">
      <c r="I1149" s="49"/>
      <c r="J1149" s="49"/>
      <c r="K1149" s="49"/>
      <c r="V1149" s="174"/>
      <c r="W1149" s="174"/>
      <c r="X1149" s="174"/>
      <c r="Y1149" s="187"/>
      <c r="AA1149" s="78"/>
    </row>
    <row r="1150" spans="9:27" x14ac:dyDescent="0.25">
      <c r="I1150" s="49"/>
      <c r="J1150" s="49"/>
      <c r="K1150" s="49"/>
      <c r="V1150" s="174"/>
      <c r="W1150" s="174"/>
      <c r="X1150" s="174"/>
      <c r="Y1150" s="187"/>
      <c r="AA1150" s="78"/>
    </row>
    <row r="1151" spans="9:27" x14ac:dyDescent="0.25">
      <c r="I1151" s="49"/>
      <c r="J1151" s="49"/>
      <c r="K1151" s="49"/>
      <c r="V1151" s="174"/>
      <c r="W1151" s="174"/>
      <c r="X1151" s="174"/>
      <c r="Y1151" s="187"/>
      <c r="AA1151" s="78"/>
    </row>
    <row r="1152" spans="9:27" x14ac:dyDescent="0.25">
      <c r="I1152" s="49"/>
      <c r="J1152" s="49"/>
      <c r="K1152" s="49"/>
      <c r="V1152" s="174"/>
      <c r="W1152" s="174"/>
      <c r="X1152" s="174"/>
      <c r="Y1152" s="187"/>
      <c r="AA1152" s="78"/>
    </row>
    <row r="1153" spans="9:27" x14ac:dyDescent="0.25">
      <c r="I1153" s="49"/>
      <c r="J1153" s="49"/>
      <c r="K1153" s="49"/>
      <c r="V1153" s="174"/>
      <c r="W1153" s="174"/>
      <c r="X1153" s="174"/>
      <c r="Y1153" s="187"/>
      <c r="AA1153" s="78"/>
    </row>
    <row r="1154" spans="9:27" x14ac:dyDescent="0.25">
      <c r="I1154" s="49"/>
      <c r="J1154" s="49"/>
      <c r="K1154" s="49"/>
      <c r="V1154" s="174"/>
      <c r="W1154" s="174"/>
      <c r="X1154" s="174"/>
      <c r="Y1154" s="187"/>
      <c r="AA1154" s="78"/>
    </row>
    <row r="1155" spans="9:27" x14ac:dyDescent="0.25">
      <c r="I1155" s="49"/>
      <c r="J1155" s="49"/>
      <c r="K1155" s="49"/>
      <c r="V1155" s="174"/>
      <c r="W1155" s="174"/>
      <c r="X1155" s="174"/>
      <c r="Y1155" s="187"/>
      <c r="AA1155" s="78"/>
    </row>
    <row r="1156" spans="9:27" x14ac:dyDescent="0.25">
      <c r="I1156" s="49"/>
      <c r="J1156" s="49"/>
      <c r="K1156" s="49"/>
      <c r="V1156" s="174"/>
      <c r="W1156" s="174"/>
      <c r="X1156" s="174"/>
      <c r="Y1156" s="187"/>
      <c r="AA1156" s="78"/>
    </row>
    <row r="1157" spans="9:27" x14ac:dyDescent="0.25">
      <c r="I1157" s="49"/>
      <c r="J1157" s="49"/>
      <c r="K1157" s="49"/>
      <c r="V1157" s="174"/>
      <c r="W1157" s="174"/>
      <c r="X1157" s="174"/>
      <c r="Y1157" s="187"/>
      <c r="AA1157" s="78"/>
    </row>
    <row r="1158" spans="9:27" x14ac:dyDescent="0.25">
      <c r="I1158" s="49"/>
      <c r="J1158" s="49"/>
      <c r="K1158" s="49"/>
      <c r="V1158" s="174"/>
      <c r="W1158" s="174"/>
      <c r="X1158" s="174"/>
      <c r="Y1158" s="187"/>
      <c r="AA1158" s="78"/>
    </row>
    <row r="1159" spans="9:27" x14ac:dyDescent="0.25">
      <c r="I1159" s="49"/>
      <c r="J1159" s="49"/>
      <c r="K1159" s="49"/>
      <c r="V1159" s="174"/>
      <c r="W1159" s="174"/>
      <c r="X1159" s="174"/>
      <c r="Y1159" s="187"/>
      <c r="AA1159" s="78"/>
    </row>
    <row r="1160" spans="9:27" x14ac:dyDescent="0.25">
      <c r="I1160" s="49"/>
      <c r="J1160" s="49"/>
      <c r="K1160" s="49"/>
      <c r="V1160" s="174"/>
      <c r="W1160" s="174"/>
      <c r="X1160" s="174"/>
      <c r="Y1160" s="187"/>
      <c r="AA1160" s="78"/>
    </row>
    <row r="1161" spans="9:27" x14ac:dyDescent="0.25">
      <c r="I1161" s="49"/>
      <c r="J1161" s="49"/>
      <c r="K1161" s="49"/>
      <c r="V1161" s="174"/>
      <c r="W1161" s="174"/>
      <c r="X1161" s="174"/>
      <c r="Y1161" s="187"/>
      <c r="AA1161" s="78"/>
    </row>
    <row r="1162" spans="9:27" x14ac:dyDescent="0.25">
      <c r="I1162" s="49"/>
      <c r="J1162" s="49"/>
      <c r="K1162" s="49"/>
      <c r="V1162" s="174"/>
      <c r="W1162" s="174"/>
      <c r="X1162" s="174"/>
      <c r="Y1162" s="187"/>
      <c r="AA1162" s="78"/>
    </row>
    <row r="1163" spans="9:27" x14ac:dyDescent="0.25">
      <c r="I1163" s="49"/>
      <c r="J1163" s="49"/>
      <c r="K1163" s="49"/>
      <c r="V1163" s="174"/>
      <c r="W1163" s="174"/>
      <c r="X1163" s="174"/>
      <c r="Y1163" s="187"/>
      <c r="AA1163" s="78"/>
    </row>
    <row r="1164" spans="9:27" x14ac:dyDescent="0.25">
      <c r="I1164" s="49"/>
      <c r="J1164" s="49"/>
      <c r="K1164" s="49"/>
      <c r="V1164" s="174"/>
      <c r="W1164" s="174"/>
      <c r="X1164" s="174"/>
      <c r="Y1164" s="187"/>
      <c r="AA1164" s="78"/>
    </row>
    <row r="1165" spans="9:27" x14ac:dyDescent="0.25">
      <c r="I1165" s="49"/>
      <c r="J1165" s="49"/>
      <c r="K1165" s="49"/>
      <c r="V1165" s="174"/>
      <c r="W1165" s="174"/>
      <c r="X1165" s="174"/>
      <c r="Y1165" s="187"/>
      <c r="AA1165" s="78"/>
    </row>
    <row r="1166" spans="9:27" x14ac:dyDescent="0.25">
      <c r="I1166" s="49"/>
      <c r="J1166" s="49"/>
      <c r="K1166" s="49"/>
      <c r="V1166" s="174"/>
      <c r="W1166" s="174"/>
      <c r="X1166" s="174"/>
      <c r="Y1166" s="187"/>
      <c r="AA1166" s="78"/>
    </row>
    <row r="1167" spans="9:27" x14ac:dyDescent="0.25">
      <c r="I1167" s="49"/>
      <c r="J1167" s="49"/>
      <c r="K1167" s="49"/>
      <c r="V1167" s="174"/>
      <c r="W1167" s="174"/>
      <c r="X1167" s="174"/>
      <c r="Y1167" s="187"/>
      <c r="AA1167" s="78"/>
    </row>
    <row r="1168" spans="9:27" x14ac:dyDescent="0.25">
      <c r="I1168" s="49"/>
      <c r="J1168" s="49"/>
      <c r="K1168" s="49"/>
      <c r="V1168" s="174"/>
      <c r="W1168" s="174"/>
      <c r="X1168" s="174"/>
      <c r="Y1168" s="187"/>
      <c r="AA1168" s="78"/>
    </row>
    <row r="1169" spans="9:27" x14ac:dyDescent="0.25">
      <c r="I1169" s="49"/>
      <c r="J1169" s="49"/>
      <c r="K1169" s="49"/>
      <c r="V1169" s="174"/>
      <c r="W1169" s="174"/>
      <c r="X1169" s="174"/>
      <c r="Y1169" s="187"/>
      <c r="AA1169" s="78"/>
    </row>
    <row r="1170" spans="9:27" x14ac:dyDescent="0.25">
      <c r="I1170" s="49"/>
      <c r="J1170" s="49"/>
      <c r="K1170" s="49"/>
      <c r="V1170" s="174"/>
      <c r="W1170" s="174"/>
      <c r="X1170" s="174"/>
      <c r="Y1170" s="187"/>
      <c r="AA1170" s="78"/>
    </row>
    <row r="1171" spans="9:27" x14ac:dyDescent="0.25">
      <c r="I1171" s="49"/>
      <c r="J1171" s="49"/>
      <c r="K1171" s="49"/>
      <c r="V1171" s="174"/>
      <c r="W1171" s="174"/>
      <c r="X1171" s="174"/>
      <c r="Y1171" s="187"/>
      <c r="AA1171" s="78"/>
    </row>
    <row r="1172" spans="9:27" x14ac:dyDescent="0.25">
      <c r="I1172" s="49"/>
      <c r="J1172" s="49"/>
      <c r="K1172" s="49"/>
      <c r="V1172" s="174"/>
      <c r="W1172" s="174"/>
      <c r="X1172" s="174"/>
      <c r="Y1172" s="187"/>
      <c r="AA1172" s="78"/>
    </row>
    <row r="1173" spans="9:27" x14ac:dyDescent="0.25">
      <c r="I1173" s="49"/>
      <c r="J1173" s="49"/>
      <c r="K1173" s="49"/>
      <c r="V1173" s="174"/>
      <c r="W1173" s="174"/>
      <c r="X1173" s="174"/>
      <c r="Y1173" s="187"/>
      <c r="AA1173" s="78"/>
    </row>
    <row r="1174" spans="9:27" x14ac:dyDescent="0.25">
      <c r="I1174" s="49"/>
      <c r="J1174" s="49"/>
      <c r="K1174" s="49"/>
      <c r="V1174" s="174"/>
      <c r="W1174" s="174"/>
      <c r="X1174" s="174"/>
      <c r="Y1174" s="187"/>
      <c r="AA1174" s="78"/>
    </row>
    <row r="1175" spans="9:27" x14ac:dyDescent="0.25">
      <c r="I1175" s="49"/>
      <c r="J1175" s="49"/>
      <c r="K1175" s="49"/>
      <c r="V1175" s="174"/>
      <c r="W1175" s="174"/>
      <c r="X1175" s="174"/>
      <c r="Y1175" s="187"/>
      <c r="AA1175" s="78"/>
    </row>
    <row r="1176" spans="9:27" x14ac:dyDescent="0.25">
      <c r="I1176" s="49"/>
      <c r="J1176" s="49"/>
      <c r="K1176" s="49"/>
      <c r="V1176" s="174"/>
      <c r="W1176" s="174"/>
      <c r="X1176" s="174"/>
      <c r="Y1176" s="187"/>
      <c r="AA1176" s="78"/>
    </row>
    <row r="1177" spans="9:27" x14ac:dyDescent="0.25">
      <c r="I1177" s="49"/>
      <c r="J1177" s="49"/>
      <c r="K1177" s="49"/>
      <c r="V1177" s="174"/>
      <c r="W1177" s="174"/>
      <c r="X1177" s="174"/>
      <c r="Y1177" s="187"/>
      <c r="AA1177" s="78"/>
    </row>
    <row r="1178" spans="9:27" x14ac:dyDescent="0.25">
      <c r="I1178" s="49"/>
      <c r="J1178" s="49"/>
      <c r="K1178" s="49"/>
      <c r="V1178" s="174"/>
      <c r="W1178" s="174"/>
      <c r="X1178" s="174"/>
      <c r="Y1178" s="187"/>
      <c r="AA1178" s="78"/>
    </row>
    <row r="1179" spans="9:27" x14ac:dyDescent="0.25">
      <c r="I1179" s="49"/>
      <c r="J1179" s="49"/>
      <c r="K1179" s="49"/>
      <c r="V1179" s="174"/>
      <c r="W1179" s="174"/>
      <c r="X1179" s="174"/>
      <c r="Y1179" s="187"/>
      <c r="AA1179" s="78"/>
    </row>
    <row r="1180" spans="9:27" x14ac:dyDescent="0.25">
      <c r="I1180" s="49"/>
      <c r="J1180" s="49"/>
      <c r="K1180" s="49"/>
      <c r="V1180" s="174"/>
      <c r="W1180" s="174"/>
      <c r="X1180" s="174"/>
      <c r="Y1180" s="187"/>
      <c r="AA1180" s="78"/>
    </row>
    <row r="1181" spans="9:27" x14ac:dyDescent="0.25">
      <c r="I1181" s="49"/>
      <c r="J1181" s="49"/>
      <c r="K1181" s="49"/>
      <c r="V1181" s="174"/>
      <c r="W1181" s="174"/>
      <c r="X1181" s="174"/>
      <c r="Y1181" s="187"/>
      <c r="AA1181" s="78"/>
    </row>
    <row r="1182" spans="9:27" x14ac:dyDescent="0.25">
      <c r="I1182" s="49"/>
      <c r="J1182" s="49"/>
      <c r="K1182" s="49"/>
      <c r="V1182" s="174"/>
      <c r="W1182" s="174"/>
      <c r="X1182" s="174"/>
      <c r="Y1182" s="187"/>
      <c r="AA1182" s="78"/>
    </row>
    <row r="1183" spans="9:27" x14ac:dyDescent="0.25">
      <c r="I1183" s="49"/>
      <c r="J1183" s="49"/>
      <c r="K1183" s="49"/>
      <c r="V1183" s="174"/>
      <c r="W1183" s="174"/>
      <c r="X1183" s="174"/>
      <c r="Y1183" s="187"/>
      <c r="AA1183" s="78"/>
    </row>
    <row r="1184" spans="9:27" x14ac:dyDescent="0.25">
      <c r="I1184" s="49"/>
      <c r="J1184" s="49"/>
      <c r="K1184" s="49"/>
      <c r="V1184" s="174"/>
      <c r="W1184" s="174"/>
      <c r="X1184" s="174"/>
      <c r="Y1184" s="187"/>
      <c r="AA1184" s="78"/>
    </row>
    <row r="1185" spans="9:27" x14ac:dyDescent="0.25">
      <c r="I1185" s="49"/>
      <c r="J1185" s="49"/>
      <c r="K1185" s="49"/>
      <c r="V1185" s="174"/>
      <c r="W1185" s="174"/>
      <c r="X1185" s="174"/>
      <c r="Y1185" s="187"/>
      <c r="AA1185" s="78"/>
    </row>
    <row r="1186" spans="9:27" x14ac:dyDescent="0.25">
      <c r="I1186" s="49"/>
      <c r="J1186" s="49"/>
      <c r="K1186" s="49"/>
      <c r="V1186" s="174"/>
      <c r="W1186" s="174"/>
      <c r="X1186" s="174"/>
      <c r="Y1186" s="187"/>
      <c r="AA1186" s="78"/>
    </row>
    <row r="1187" spans="9:27" x14ac:dyDescent="0.25">
      <c r="I1187" s="49"/>
      <c r="J1187" s="49"/>
      <c r="K1187" s="49"/>
      <c r="V1187" s="174"/>
      <c r="W1187" s="174"/>
      <c r="X1187" s="174"/>
      <c r="Y1187" s="187"/>
      <c r="AA1187" s="78"/>
    </row>
    <row r="1188" spans="9:27" x14ac:dyDescent="0.25">
      <c r="I1188" s="49"/>
      <c r="J1188" s="49"/>
      <c r="K1188" s="49"/>
      <c r="V1188" s="174"/>
      <c r="W1188" s="174"/>
      <c r="X1188" s="174"/>
      <c r="Y1188" s="187"/>
      <c r="AA1188" s="78"/>
    </row>
    <row r="1189" spans="9:27" x14ac:dyDescent="0.25">
      <c r="I1189" s="49"/>
      <c r="J1189" s="49"/>
      <c r="K1189" s="49"/>
      <c r="V1189" s="174"/>
      <c r="W1189" s="174"/>
      <c r="X1189" s="174"/>
      <c r="Y1189" s="187"/>
      <c r="AA1189" s="78"/>
    </row>
    <row r="1190" spans="9:27" x14ac:dyDescent="0.25">
      <c r="I1190" s="49"/>
      <c r="J1190" s="49"/>
      <c r="K1190" s="49"/>
      <c r="V1190" s="174"/>
      <c r="W1190" s="174"/>
      <c r="X1190" s="174"/>
      <c r="Y1190" s="187"/>
      <c r="AA1190" s="78"/>
    </row>
    <row r="1191" spans="9:27" x14ac:dyDescent="0.25">
      <c r="I1191" s="49"/>
      <c r="J1191" s="49"/>
      <c r="K1191" s="49"/>
      <c r="V1191" s="174"/>
      <c r="W1191" s="174"/>
      <c r="X1191" s="174"/>
      <c r="Y1191" s="187"/>
      <c r="AA1191" s="78"/>
    </row>
    <row r="1192" spans="9:27" x14ac:dyDescent="0.25">
      <c r="I1192" s="49"/>
      <c r="J1192" s="49"/>
      <c r="K1192" s="49"/>
      <c r="V1192" s="174"/>
      <c r="W1192" s="174"/>
      <c r="X1192" s="174"/>
      <c r="Y1192" s="187"/>
      <c r="AA1192" s="78"/>
    </row>
    <row r="1193" spans="9:27" x14ac:dyDescent="0.25">
      <c r="I1193" s="49"/>
      <c r="J1193" s="49"/>
      <c r="K1193" s="49"/>
      <c r="V1193" s="174"/>
      <c r="W1193" s="174"/>
      <c r="X1193" s="174"/>
      <c r="Y1193" s="187"/>
      <c r="AA1193" s="78"/>
    </row>
    <row r="1194" spans="9:27" x14ac:dyDescent="0.25">
      <c r="I1194" s="49"/>
      <c r="J1194" s="49"/>
      <c r="K1194" s="49"/>
      <c r="V1194" s="174"/>
      <c r="W1194" s="174"/>
      <c r="X1194" s="174"/>
      <c r="Y1194" s="187"/>
      <c r="AA1194" s="78"/>
    </row>
    <row r="1195" spans="9:27" x14ac:dyDescent="0.25">
      <c r="I1195" s="49"/>
      <c r="J1195" s="49"/>
      <c r="K1195" s="49"/>
      <c r="V1195" s="174"/>
      <c r="W1195" s="174"/>
      <c r="X1195" s="174"/>
      <c r="Y1195" s="187"/>
      <c r="AA1195" s="78"/>
    </row>
    <row r="1196" spans="9:27" x14ac:dyDescent="0.25">
      <c r="I1196" s="49"/>
      <c r="J1196" s="49"/>
      <c r="K1196" s="49"/>
      <c r="V1196" s="174"/>
      <c r="W1196" s="174"/>
      <c r="X1196" s="174"/>
      <c r="Y1196" s="187"/>
      <c r="AA1196" s="78"/>
    </row>
    <row r="1197" spans="9:27" x14ac:dyDescent="0.25">
      <c r="I1197" s="49"/>
      <c r="J1197" s="49"/>
      <c r="K1197" s="49"/>
      <c r="V1197" s="174"/>
      <c r="W1197" s="174"/>
      <c r="X1197" s="174"/>
      <c r="Y1197" s="187"/>
      <c r="AA1197" s="78"/>
    </row>
    <row r="1198" spans="9:27" x14ac:dyDescent="0.25">
      <c r="I1198" s="49"/>
      <c r="J1198" s="49"/>
      <c r="K1198" s="49"/>
      <c r="V1198" s="174"/>
      <c r="W1198" s="174"/>
      <c r="X1198" s="174"/>
      <c r="Y1198" s="187"/>
      <c r="AA1198" s="78"/>
    </row>
    <row r="1199" spans="9:27" x14ac:dyDescent="0.25">
      <c r="I1199" s="49"/>
      <c r="J1199" s="49"/>
      <c r="K1199" s="49"/>
      <c r="V1199" s="174"/>
      <c r="W1199" s="174"/>
      <c r="X1199" s="174"/>
      <c r="Y1199" s="187"/>
      <c r="AA1199" s="78"/>
    </row>
    <row r="1200" spans="9:27" x14ac:dyDescent="0.25">
      <c r="I1200" s="49"/>
      <c r="J1200" s="49"/>
      <c r="K1200" s="49"/>
      <c r="V1200" s="174"/>
      <c r="W1200" s="174"/>
      <c r="X1200" s="174"/>
      <c r="Y1200" s="187"/>
      <c r="AA1200" s="78"/>
    </row>
    <row r="1201" spans="9:27" x14ac:dyDescent="0.25">
      <c r="I1201" s="49"/>
      <c r="J1201" s="49"/>
      <c r="K1201" s="49"/>
      <c r="V1201" s="174"/>
      <c r="W1201" s="174"/>
      <c r="X1201" s="174"/>
      <c r="Y1201" s="187"/>
      <c r="AA1201" s="78"/>
    </row>
    <row r="1202" spans="9:27" x14ac:dyDescent="0.25">
      <c r="I1202" s="49"/>
      <c r="J1202" s="49"/>
      <c r="K1202" s="49"/>
      <c r="V1202" s="174"/>
      <c r="W1202" s="174"/>
      <c r="X1202" s="174"/>
      <c r="Y1202" s="187"/>
      <c r="AA1202" s="78"/>
    </row>
    <row r="1203" spans="9:27" x14ac:dyDescent="0.25">
      <c r="I1203" s="49"/>
      <c r="J1203" s="49"/>
      <c r="K1203" s="49"/>
      <c r="V1203" s="174"/>
      <c r="W1203" s="174"/>
      <c r="X1203" s="174"/>
      <c r="Y1203" s="187"/>
      <c r="AA1203" s="78"/>
    </row>
    <row r="1204" spans="9:27" x14ac:dyDescent="0.25">
      <c r="I1204" s="49"/>
      <c r="J1204" s="49"/>
      <c r="K1204" s="49"/>
      <c r="V1204" s="174"/>
      <c r="W1204" s="174"/>
      <c r="X1204" s="174"/>
      <c r="Y1204" s="187"/>
      <c r="AA1204" s="78"/>
    </row>
    <row r="1205" spans="9:27" x14ac:dyDescent="0.25">
      <c r="I1205" s="49"/>
      <c r="J1205" s="49"/>
      <c r="K1205" s="49"/>
      <c r="V1205" s="174"/>
      <c r="W1205" s="174"/>
      <c r="X1205" s="174"/>
      <c r="Y1205" s="187"/>
      <c r="AA1205" s="78"/>
    </row>
    <row r="1206" spans="9:27" x14ac:dyDescent="0.25">
      <c r="I1206" s="49"/>
      <c r="J1206" s="49"/>
      <c r="K1206" s="49"/>
      <c r="V1206" s="174"/>
      <c r="W1206" s="174"/>
      <c r="X1206" s="174"/>
      <c r="Y1206" s="187"/>
      <c r="AA1206" s="78"/>
    </row>
    <row r="1207" spans="9:27" x14ac:dyDescent="0.25">
      <c r="I1207" s="49"/>
      <c r="J1207" s="49"/>
      <c r="K1207" s="49"/>
      <c r="V1207" s="174"/>
      <c r="W1207" s="174"/>
      <c r="X1207" s="174"/>
      <c r="Y1207" s="187"/>
      <c r="AA1207" s="78"/>
    </row>
    <row r="1208" spans="9:27" x14ac:dyDescent="0.25">
      <c r="I1208" s="49"/>
      <c r="J1208" s="49"/>
      <c r="K1208" s="49"/>
      <c r="V1208" s="174"/>
      <c r="W1208" s="174"/>
      <c r="X1208" s="174"/>
      <c r="Y1208" s="187"/>
      <c r="AA1208" s="78"/>
    </row>
    <row r="1209" spans="9:27" x14ac:dyDescent="0.25">
      <c r="I1209" s="49"/>
      <c r="J1209" s="49"/>
      <c r="K1209" s="49"/>
      <c r="V1209" s="174"/>
      <c r="W1209" s="174"/>
      <c r="X1209" s="174"/>
      <c r="Y1209" s="187"/>
      <c r="AA1209" s="78"/>
    </row>
    <row r="1210" spans="9:27" x14ac:dyDescent="0.25">
      <c r="I1210" s="50"/>
      <c r="J1210" s="50"/>
      <c r="K1210" s="50"/>
      <c r="V1210" s="174"/>
      <c r="W1210" s="174"/>
      <c r="X1210" s="174"/>
      <c r="Y1210" s="187"/>
      <c r="AA1210" s="78"/>
    </row>
    <row r="1211" spans="9:27" x14ac:dyDescent="0.25">
      <c r="I1211" s="50"/>
      <c r="J1211" s="50"/>
      <c r="K1211" s="50"/>
      <c r="V1211" s="174"/>
      <c r="W1211" s="174"/>
      <c r="X1211" s="174"/>
      <c r="Y1211" s="187"/>
      <c r="AA1211" s="78"/>
    </row>
    <row r="1212" spans="9:27" x14ac:dyDescent="0.25">
      <c r="I1212" s="50"/>
      <c r="J1212" s="50"/>
      <c r="K1212" s="50"/>
      <c r="V1212" s="174"/>
      <c r="W1212" s="174"/>
      <c r="X1212" s="174"/>
      <c r="Y1212" s="187"/>
      <c r="AA1212" s="78"/>
    </row>
    <row r="1213" spans="9:27" x14ac:dyDescent="0.25">
      <c r="I1213" s="50"/>
      <c r="J1213" s="50"/>
      <c r="K1213" s="50"/>
      <c r="V1213" s="173"/>
      <c r="W1213" s="173"/>
      <c r="X1213" s="173"/>
      <c r="AA1213" s="78"/>
    </row>
    <row r="1214" spans="9:27" x14ac:dyDescent="0.25">
      <c r="I1214" s="50"/>
      <c r="J1214" s="50"/>
      <c r="K1214" s="50"/>
      <c r="V1214" s="173"/>
      <c r="W1214" s="173"/>
      <c r="X1214" s="173"/>
      <c r="AA1214" s="80"/>
    </row>
    <row r="1215" spans="9:27" x14ac:dyDescent="0.25">
      <c r="I1215" s="50"/>
      <c r="J1215" s="50"/>
      <c r="K1215" s="50"/>
      <c r="V1215" s="173"/>
      <c r="W1215" s="173"/>
      <c r="X1215" s="173"/>
      <c r="AA1215" s="80"/>
    </row>
    <row r="1216" spans="9:27" x14ac:dyDescent="0.25">
      <c r="I1216" s="50"/>
      <c r="J1216" s="50"/>
      <c r="K1216" s="50"/>
      <c r="V1216" s="173"/>
      <c r="W1216" s="173"/>
      <c r="X1216" s="173"/>
      <c r="AA1216" s="80"/>
    </row>
    <row r="1217" spans="9:27" x14ac:dyDescent="0.25">
      <c r="I1217" s="50"/>
      <c r="J1217" s="50"/>
      <c r="K1217" s="50"/>
      <c r="V1217" s="173"/>
      <c r="W1217" s="173"/>
      <c r="X1217" s="173"/>
      <c r="AA1217" s="80"/>
    </row>
    <row r="1218" spans="9:27" x14ac:dyDescent="0.25">
      <c r="I1218" s="50"/>
      <c r="J1218" s="50"/>
      <c r="K1218" s="50"/>
      <c r="V1218" s="173"/>
      <c r="W1218" s="173"/>
      <c r="X1218" s="173"/>
      <c r="AA1218" s="80"/>
    </row>
    <row r="1219" spans="9:27" x14ac:dyDescent="0.25">
      <c r="I1219" s="50"/>
      <c r="J1219" s="50"/>
      <c r="K1219" s="50"/>
      <c r="V1219" s="173"/>
      <c r="W1219" s="173"/>
      <c r="X1219" s="173"/>
      <c r="AA1219" s="80"/>
    </row>
    <row r="1220" spans="9:27" x14ac:dyDescent="0.25">
      <c r="I1220" s="50"/>
      <c r="J1220" s="50"/>
      <c r="K1220" s="50"/>
      <c r="V1220" s="173"/>
      <c r="W1220" s="173"/>
      <c r="X1220" s="173"/>
      <c r="AA1220" s="80"/>
    </row>
    <row r="1221" spans="9:27" x14ac:dyDescent="0.25">
      <c r="I1221" s="50"/>
      <c r="J1221" s="50"/>
      <c r="K1221" s="50"/>
      <c r="V1221" s="173"/>
      <c r="W1221" s="173"/>
      <c r="X1221" s="173"/>
      <c r="AA1221" s="80"/>
    </row>
    <row r="1222" spans="9:27" x14ac:dyDescent="0.25">
      <c r="I1222" s="50"/>
      <c r="J1222" s="50"/>
      <c r="K1222" s="50"/>
      <c r="V1222" s="173"/>
      <c r="W1222" s="173"/>
      <c r="X1222" s="173"/>
      <c r="AA1222" s="80"/>
    </row>
    <row r="1223" spans="9:27" x14ac:dyDescent="0.25">
      <c r="I1223" s="50"/>
      <c r="J1223" s="50"/>
      <c r="K1223" s="50"/>
      <c r="V1223" s="173"/>
      <c r="W1223" s="173"/>
      <c r="X1223" s="173"/>
      <c r="AA1223" s="80"/>
    </row>
    <row r="1224" spans="9:27" x14ac:dyDescent="0.25">
      <c r="I1224" s="50"/>
      <c r="J1224" s="50"/>
      <c r="K1224" s="50"/>
      <c r="V1224" s="173"/>
      <c r="W1224" s="173"/>
      <c r="X1224" s="173"/>
      <c r="AA1224" s="80"/>
    </row>
    <row r="1225" spans="9:27" x14ac:dyDescent="0.25">
      <c r="I1225" s="50"/>
      <c r="J1225" s="50"/>
      <c r="K1225" s="50"/>
      <c r="V1225" s="173"/>
      <c r="W1225" s="173"/>
      <c r="X1225" s="173"/>
      <c r="AA1225" s="80"/>
    </row>
    <row r="1226" spans="9:27" x14ac:dyDescent="0.25">
      <c r="I1226" s="50"/>
      <c r="J1226" s="50"/>
      <c r="K1226" s="50"/>
      <c r="V1226" s="173"/>
      <c r="W1226" s="173"/>
      <c r="X1226" s="173"/>
      <c r="AA1226" s="80"/>
    </row>
    <row r="1227" spans="9:27" x14ac:dyDescent="0.25">
      <c r="I1227" s="50"/>
      <c r="J1227" s="50"/>
      <c r="K1227" s="50"/>
      <c r="V1227" s="173"/>
      <c r="W1227" s="173"/>
      <c r="X1227" s="173"/>
      <c r="AA1227" s="80"/>
    </row>
    <row r="1228" spans="9:27" x14ac:dyDescent="0.25">
      <c r="I1228" s="50"/>
      <c r="J1228" s="50"/>
      <c r="K1228" s="50"/>
      <c r="V1228" s="173"/>
      <c r="W1228" s="173"/>
      <c r="X1228" s="173"/>
      <c r="AA1228" s="80"/>
    </row>
    <row r="1229" spans="9:27" x14ac:dyDescent="0.25">
      <c r="I1229" s="50"/>
      <c r="J1229" s="50"/>
      <c r="K1229" s="50"/>
      <c r="V1229" s="173"/>
      <c r="W1229" s="173"/>
      <c r="X1229" s="173"/>
      <c r="AA1229" s="80"/>
    </row>
    <row r="1230" spans="9:27" x14ac:dyDescent="0.25">
      <c r="I1230" s="50"/>
      <c r="J1230" s="50"/>
      <c r="K1230" s="50"/>
      <c r="V1230" s="173"/>
      <c r="W1230" s="173"/>
      <c r="X1230" s="173"/>
      <c r="AA1230" s="80"/>
    </row>
    <row r="1231" spans="9:27" x14ac:dyDescent="0.25">
      <c r="I1231" s="50"/>
      <c r="J1231" s="50"/>
      <c r="K1231" s="50"/>
      <c r="V1231" s="173"/>
      <c r="W1231" s="173"/>
      <c r="X1231" s="173"/>
      <c r="AA1231" s="80"/>
    </row>
    <row r="1232" spans="9:27" x14ac:dyDescent="0.25">
      <c r="I1232" s="50"/>
      <c r="J1232" s="50"/>
      <c r="K1232" s="50"/>
      <c r="V1232" s="173"/>
      <c r="W1232" s="173"/>
      <c r="X1232" s="173"/>
      <c r="AA1232" s="80"/>
    </row>
    <row r="1233" spans="9:27" x14ac:dyDescent="0.25">
      <c r="I1233" s="50"/>
      <c r="J1233" s="50"/>
      <c r="K1233" s="50"/>
      <c r="V1233" s="173"/>
      <c r="W1233" s="173"/>
      <c r="X1233" s="173"/>
      <c r="AA1233" s="80"/>
    </row>
    <row r="1234" spans="9:27" x14ac:dyDescent="0.25">
      <c r="I1234" s="50"/>
      <c r="J1234" s="50"/>
      <c r="K1234" s="50"/>
      <c r="V1234" s="173"/>
      <c r="W1234" s="173"/>
      <c r="X1234" s="173"/>
      <c r="AA1234" s="80"/>
    </row>
    <row r="1235" spans="9:27" x14ac:dyDescent="0.25">
      <c r="I1235" s="50"/>
      <c r="J1235" s="50"/>
      <c r="K1235" s="50"/>
      <c r="V1235" s="173"/>
      <c r="W1235" s="173"/>
      <c r="X1235" s="173"/>
      <c r="AA1235" s="80"/>
    </row>
    <row r="1236" spans="9:27" x14ac:dyDescent="0.25">
      <c r="I1236" s="50"/>
      <c r="J1236" s="50"/>
      <c r="K1236" s="50"/>
      <c r="V1236" s="173"/>
      <c r="W1236" s="173"/>
      <c r="X1236" s="173"/>
      <c r="AA1236" s="80"/>
    </row>
    <row r="1237" spans="9:27" x14ac:dyDescent="0.25">
      <c r="I1237" s="50"/>
      <c r="J1237" s="50"/>
      <c r="K1237" s="50"/>
      <c r="V1237" s="173"/>
      <c r="W1237" s="173"/>
      <c r="X1237" s="173"/>
      <c r="AA1237" s="80"/>
    </row>
    <row r="1238" spans="9:27" x14ac:dyDescent="0.25">
      <c r="I1238" s="50"/>
      <c r="J1238" s="50"/>
      <c r="K1238" s="50"/>
      <c r="V1238" s="173"/>
      <c r="W1238" s="173"/>
      <c r="X1238" s="173"/>
      <c r="AA1238" s="80"/>
    </row>
    <row r="1239" spans="9:27" x14ac:dyDescent="0.25">
      <c r="I1239" s="50"/>
      <c r="J1239" s="50"/>
      <c r="K1239" s="50"/>
      <c r="V1239" s="173"/>
      <c r="W1239" s="173"/>
      <c r="X1239" s="173"/>
      <c r="AA1239" s="80"/>
    </row>
    <row r="1240" spans="9:27" x14ac:dyDescent="0.25">
      <c r="I1240" s="50"/>
      <c r="J1240" s="50"/>
      <c r="K1240" s="50"/>
      <c r="V1240" s="173"/>
      <c r="W1240" s="173"/>
      <c r="X1240" s="173"/>
      <c r="AA1240" s="80"/>
    </row>
    <row r="1241" spans="9:27" x14ac:dyDescent="0.25">
      <c r="I1241" s="50"/>
      <c r="J1241" s="50"/>
      <c r="K1241" s="50"/>
      <c r="V1241" s="173"/>
      <c r="W1241" s="173"/>
      <c r="X1241" s="173"/>
      <c r="AA1241" s="80"/>
    </row>
    <row r="1242" spans="9:27" x14ac:dyDescent="0.25">
      <c r="I1242" s="50"/>
      <c r="J1242" s="50"/>
      <c r="K1242" s="50"/>
      <c r="V1242" s="173"/>
      <c r="W1242" s="173"/>
      <c r="X1242" s="173"/>
      <c r="AA1242" s="80"/>
    </row>
    <row r="1243" spans="9:27" x14ac:dyDescent="0.25">
      <c r="I1243" s="50"/>
      <c r="J1243" s="50"/>
      <c r="K1243" s="50"/>
      <c r="V1243" s="173"/>
      <c r="W1243" s="173"/>
      <c r="X1243" s="173"/>
      <c r="AA1243" s="80"/>
    </row>
    <row r="1244" spans="9:27" x14ac:dyDescent="0.25">
      <c r="I1244" s="50"/>
      <c r="J1244" s="50"/>
      <c r="K1244" s="50"/>
      <c r="V1244" s="173"/>
      <c r="W1244" s="173"/>
      <c r="X1244" s="173"/>
      <c r="AA1244" s="80"/>
    </row>
    <row r="1245" spans="9:27" x14ac:dyDescent="0.25">
      <c r="I1245" s="50"/>
      <c r="J1245" s="50"/>
      <c r="K1245" s="50"/>
      <c r="V1245" s="173"/>
      <c r="W1245" s="173"/>
      <c r="X1245" s="173"/>
      <c r="AA1245" s="80"/>
    </row>
    <row r="1246" spans="9:27" x14ac:dyDescent="0.25">
      <c r="I1246" s="50"/>
      <c r="J1246" s="50"/>
      <c r="K1246" s="50"/>
      <c r="V1246" s="173"/>
      <c r="W1246" s="173"/>
      <c r="X1246" s="173"/>
      <c r="AA1246" s="80"/>
    </row>
    <row r="1247" spans="9:27" x14ac:dyDescent="0.25">
      <c r="I1247" s="50"/>
      <c r="J1247" s="50"/>
      <c r="K1247" s="50"/>
      <c r="V1247" s="173"/>
      <c r="W1247" s="173"/>
      <c r="X1247" s="173"/>
      <c r="AA1247" s="80"/>
    </row>
    <row r="1248" spans="9:27" x14ac:dyDescent="0.25">
      <c r="I1248" s="50"/>
      <c r="J1248" s="50"/>
      <c r="K1248" s="50"/>
      <c r="V1248" s="173"/>
      <c r="W1248" s="173"/>
      <c r="X1248" s="173"/>
      <c r="AA1248" s="80"/>
    </row>
    <row r="1249" spans="9:27" x14ac:dyDescent="0.25">
      <c r="I1249" s="50"/>
      <c r="J1249" s="50"/>
      <c r="K1249" s="50"/>
      <c r="V1249" s="173"/>
      <c r="W1249" s="173"/>
      <c r="X1249" s="173"/>
      <c r="AA1249" s="80"/>
    </row>
    <row r="1250" spans="9:27" x14ac:dyDescent="0.25">
      <c r="I1250" s="50"/>
      <c r="J1250" s="50"/>
      <c r="K1250" s="50"/>
      <c r="V1250" s="173"/>
      <c r="W1250" s="173"/>
      <c r="X1250" s="173"/>
      <c r="AA1250" s="80"/>
    </row>
    <row r="1251" spans="9:27" x14ac:dyDescent="0.25">
      <c r="I1251" s="50"/>
      <c r="J1251" s="50"/>
      <c r="K1251" s="50"/>
      <c r="V1251" s="173"/>
      <c r="W1251" s="173"/>
      <c r="X1251" s="173"/>
      <c r="AA1251" s="80"/>
    </row>
    <row r="1252" spans="9:27" x14ac:dyDescent="0.25">
      <c r="I1252" s="50"/>
      <c r="J1252" s="50"/>
      <c r="K1252" s="50"/>
      <c r="V1252" s="173"/>
      <c r="W1252" s="173"/>
      <c r="X1252" s="173"/>
      <c r="AA1252" s="80"/>
    </row>
    <row r="1253" spans="9:27" x14ac:dyDescent="0.25">
      <c r="I1253" s="50"/>
      <c r="J1253" s="50"/>
      <c r="K1253" s="50"/>
      <c r="V1253" s="173"/>
      <c r="W1253" s="173"/>
      <c r="X1253" s="173"/>
      <c r="AA1253" s="80"/>
    </row>
    <row r="1254" spans="9:27" x14ac:dyDescent="0.25">
      <c r="I1254" s="50"/>
      <c r="J1254" s="50"/>
      <c r="K1254" s="50"/>
      <c r="V1254" s="173"/>
      <c r="W1254" s="173"/>
      <c r="X1254" s="173"/>
      <c r="AA1254" s="80"/>
    </row>
    <row r="1255" spans="9:27" x14ac:dyDescent="0.25">
      <c r="I1255" s="50"/>
      <c r="J1255" s="50"/>
      <c r="K1255" s="50"/>
      <c r="V1255" s="173"/>
      <c r="W1255" s="173"/>
      <c r="X1255" s="173"/>
      <c r="AA1255" s="80"/>
    </row>
    <row r="1256" spans="9:27" x14ac:dyDescent="0.25">
      <c r="I1256" s="50"/>
      <c r="J1256" s="50"/>
      <c r="K1256" s="50"/>
      <c r="V1256" s="173"/>
      <c r="W1256" s="173"/>
      <c r="X1256" s="173"/>
      <c r="AA1256" s="80"/>
    </row>
    <row r="1257" spans="9:27" x14ac:dyDescent="0.25">
      <c r="I1257" s="50"/>
      <c r="J1257" s="50"/>
      <c r="K1257" s="50"/>
      <c r="V1257" s="173"/>
      <c r="W1257" s="173"/>
      <c r="X1257" s="173"/>
      <c r="AA1257" s="80"/>
    </row>
    <row r="1258" spans="9:27" x14ac:dyDescent="0.25">
      <c r="I1258" s="50"/>
      <c r="J1258" s="50"/>
      <c r="K1258" s="50"/>
      <c r="V1258" s="173"/>
      <c r="W1258" s="173"/>
      <c r="X1258" s="173"/>
      <c r="AA1258" s="80"/>
    </row>
    <row r="1259" spans="9:27" x14ac:dyDescent="0.25">
      <c r="I1259" s="50"/>
      <c r="J1259" s="50"/>
      <c r="K1259" s="50"/>
      <c r="V1259" s="173"/>
      <c r="W1259" s="173"/>
      <c r="X1259" s="173"/>
      <c r="AA1259" s="80"/>
    </row>
    <row r="1260" spans="9:27" x14ac:dyDescent="0.25">
      <c r="I1260" s="50"/>
      <c r="J1260" s="50"/>
      <c r="K1260" s="50"/>
      <c r="V1260" s="173"/>
      <c r="W1260" s="173"/>
      <c r="X1260" s="173"/>
      <c r="AA1260" s="80"/>
    </row>
    <row r="1261" spans="9:27" x14ac:dyDescent="0.25">
      <c r="I1261" s="50"/>
      <c r="J1261" s="50"/>
      <c r="K1261" s="50"/>
      <c r="V1261" s="173"/>
      <c r="W1261" s="173"/>
      <c r="X1261" s="173"/>
      <c r="AA1261" s="80"/>
    </row>
    <row r="1262" spans="9:27" x14ac:dyDescent="0.25">
      <c r="I1262" s="50"/>
      <c r="J1262" s="50"/>
      <c r="K1262" s="50"/>
      <c r="V1262" s="173"/>
      <c r="W1262" s="173"/>
      <c r="X1262" s="173"/>
      <c r="AA1262" s="80"/>
    </row>
    <row r="1263" spans="9:27" x14ac:dyDescent="0.25">
      <c r="I1263" s="50"/>
      <c r="J1263" s="50"/>
      <c r="K1263" s="50"/>
      <c r="V1263" s="173"/>
      <c r="W1263" s="173"/>
      <c r="X1263" s="173"/>
      <c r="AA1263" s="80"/>
    </row>
    <row r="1264" spans="9:27" x14ac:dyDescent="0.25">
      <c r="I1264" s="50"/>
      <c r="J1264" s="50"/>
      <c r="K1264" s="50"/>
      <c r="V1264" s="173"/>
      <c r="W1264" s="173"/>
      <c r="X1264" s="173"/>
      <c r="AA1264" s="80"/>
    </row>
    <row r="1265" spans="9:27" x14ac:dyDescent="0.25">
      <c r="I1265" s="50"/>
      <c r="J1265" s="50"/>
      <c r="K1265" s="50"/>
      <c r="V1265" s="173"/>
      <c r="W1265" s="173"/>
      <c r="X1265" s="173"/>
      <c r="AA1265" s="80"/>
    </row>
    <row r="1266" spans="9:27" x14ac:dyDescent="0.25">
      <c r="I1266" s="50"/>
      <c r="J1266" s="50"/>
      <c r="K1266" s="50"/>
      <c r="V1266" s="173"/>
      <c r="W1266" s="173"/>
      <c r="X1266" s="173"/>
      <c r="AA1266" s="80"/>
    </row>
    <row r="1267" spans="9:27" x14ac:dyDescent="0.25">
      <c r="I1267" s="50"/>
      <c r="J1267" s="50"/>
      <c r="K1267" s="50"/>
      <c r="V1267" s="173"/>
      <c r="W1267" s="173"/>
      <c r="X1267" s="173"/>
      <c r="AA1267" s="80"/>
    </row>
    <row r="1268" spans="9:27" x14ac:dyDescent="0.25">
      <c r="I1268" s="50"/>
      <c r="J1268" s="50"/>
      <c r="K1268" s="50"/>
      <c r="V1268" s="173"/>
      <c r="W1268" s="173"/>
      <c r="X1268" s="173"/>
      <c r="AA1268" s="80"/>
    </row>
    <row r="1269" spans="9:27" x14ac:dyDescent="0.25">
      <c r="I1269" s="50"/>
      <c r="J1269" s="50"/>
      <c r="K1269" s="50"/>
      <c r="V1269" s="173"/>
      <c r="W1269" s="173"/>
      <c r="X1269" s="173"/>
      <c r="AA1269" s="80"/>
    </row>
    <row r="1270" spans="9:27" x14ac:dyDescent="0.25">
      <c r="I1270" s="50"/>
      <c r="J1270" s="50"/>
      <c r="K1270" s="50"/>
      <c r="V1270" s="173"/>
      <c r="W1270" s="173"/>
      <c r="X1270" s="173"/>
      <c r="AA1270" s="80"/>
    </row>
    <row r="1271" spans="9:27" x14ac:dyDescent="0.25">
      <c r="I1271" s="50"/>
      <c r="J1271" s="50"/>
      <c r="K1271" s="50"/>
      <c r="V1271" s="173"/>
      <c r="W1271" s="173"/>
      <c r="X1271" s="173"/>
      <c r="AA1271" s="80"/>
    </row>
    <row r="1272" spans="9:27" x14ac:dyDescent="0.25">
      <c r="I1272" s="50"/>
      <c r="J1272" s="50"/>
      <c r="K1272" s="50"/>
      <c r="V1272" s="173"/>
      <c r="W1272" s="173"/>
      <c r="X1272" s="173"/>
      <c r="AA1272" s="80"/>
    </row>
    <row r="1273" spans="9:27" x14ac:dyDescent="0.25">
      <c r="I1273" s="50"/>
      <c r="J1273" s="50"/>
      <c r="K1273" s="50"/>
      <c r="V1273" s="173"/>
      <c r="W1273" s="173"/>
      <c r="X1273" s="173"/>
      <c r="AA1273" s="80"/>
    </row>
    <row r="1274" spans="9:27" x14ac:dyDescent="0.25">
      <c r="I1274" s="50"/>
      <c r="J1274" s="50"/>
      <c r="K1274" s="50"/>
      <c r="V1274" s="173"/>
      <c r="W1274" s="173"/>
      <c r="X1274" s="173"/>
      <c r="AA1274" s="80"/>
    </row>
    <row r="1275" spans="9:27" x14ac:dyDescent="0.25">
      <c r="I1275" s="50"/>
      <c r="J1275" s="50"/>
      <c r="K1275" s="50"/>
      <c r="V1275" s="173"/>
      <c r="W1275" s="173"/>
      <c r="X1275" s="173"/>
      <c r="AA1275" s="80"/>
    </row>
    <row r="1276" spans="9:27" x14ac:dyDescent="0.25">
      <c r="I1276" s="50"/>
      <c r="J1276" s="50"/>
      <c r="K1276" s="50"/>
      <c r="V1276" s="173"/>
      <c r="W1276" s="173"/>
      <c r="X1276" s="173"/>
      <c r="AA1276" s="80"/>
    </row>
    <row r="1277" spans="9:27" x14ac:dyDescent="0.25">
      <c r="I1277" s="50"/>
      <c r="J1277" s="50"/>
      <c r="K1277" s="50"/>
      <c r="V1277" s="173"/>
      <c r="W1277" s="173"/>
      <c r="X1277" s="173"/>
      <c r="AA1277" s="80"/>
    </row>
    <row r="1278" spans="9:27" x14ac:dyDescent="0.25">
      <c r="I1278" s="50"/>
      <c r="J1278" s="50"/>
      <c r="K1278" s="50"/>
      <c r="V1278" s="173"/>
      <c r="W1278" s="173"/>
      <c r="X1278" s="173"/>
      <c r="AA1278" s="80"/>
    </row>
    <row r="1279" spans="9:27" x14ac:dyDescent="0.25">
      <c r="I1279" s="50"/>
      <c r="J1279" s="50"/>
      <c r="K1279" s="50"/>
      <c r="V1279" s="173"/>
      <c r="W1279" s="173"/>
      <c r="X1279" s="173"/>
      <c r="AA1279" s="80"/>
    </row>
    <row r="1280" spans="9:27" x14ac:dyDescent="0.25">
      <c r="I1280" s="50"/>
      <c r="J1280" s="50"/>
      <c r="K1280" s="50"/>
      <c r="V1280" s="173"/>
      <c r="W1280" s="173"/>
      <c r="X1280" s="173"/>
      <c r="AA1280" s="80"/>
    </row>
    <row r="1281" spans="9:27" x14ac:dyDescent="0.25">
      <c r="I1281" s="50"/>
      <c r="J1281" s="50"/>
      <c r="K1281" s="50"/>
      <c r="V1281" s="173"/>
      <c r="W1281" s="173"/>
      <c r="X1281" s="173"/>
      <c r="AA1281" s="80"/>
    </row>
    <row r="1282" spans="9:27" x14ac:dyDescent="0.25">
      <c r="I1282" s="50"/>
      <c r="J1282" s="50"/>
      <c r="K1282" s="50"/>
      <c r="V1282" s="173"/>
      <c r="W1282" s="173"/>
      <c r="X1282" s="173"/>
      <c r="AA1282" s="80"/>
    </row>
    <row r="1283" spans="9:27" x14ac:dyDescent="0.25">
      <c r="I1283" s="50"/>
      <c r="J1283" s="50"/>
      <c r="K1283" s="50"/>
      <c r="V1283" s="173"/>
      <c r="W1283" s="173"/>
      <c r="X1283" s="173"/>
      <c r="AA1283" s="80"/>
    </row>
    <row r="1284" spans="9:27" x14ac:dyDescent="0.25">
      <c r="I1284" s="50"/>
      <c r="J1284" s="50"/>
      <c r="K1284" s="50"/>
      <c r="V1284" s="173"/>
      <c r="W1284" s="173"/>
      <c r="X1284" s="173"/>
      <c r="AA1284" s="80"/>
    </row>
    <row r="1285" spans="9:27" x14ac:dyDescent="0.25">
      <c r="I1285" s="50"/>
      <c r="J1285" s="50"/>
      <c r="K1285" s="50"/>
      <c r="V1285" s="173"/>
      <c r="W1285" s="173"/>
      <c r="X1285" s="173"/>
      <c r="AA1285" s="80"/>
    </row>
    <row r="1286" spans="9:27" x14ac:dyDescent="0.25">
      <c r="I1286" s="50"/>
      <c r="J1286" s="50"/>
      <c r="K1286" s="50"/>
      <c r="V1286" s="173"/>
      <c r="W1286" s="173"/>
      <c r="X1286" s="173"/>
      <c r="AA1286" s="80"/>
    </row>
    <row r="1287" spans="9:27" x14ac:dyDescent="0.25">
      <c r="I1287" s="50"/>
      <c r="J1287" s="50"/>
      <c r="K1287" s="50"/>
      <c r="V1287" s="173"/>
      <c r="W1287" s="173"/>
      <c r="X1287" s="173"/>
      <c r="AA1287" s="80"/>
    </row>
    <row r="1288" spans="9:27" x14ac:dyDescent="0.25">
      <c r="I1288" s="50"/>
      <c r="J1288" s="50"/>
      <c r="K1288" s="50"/>
      <c r="V1288" s="173"/>
      <c r="W1288" s="173"/>
      <c r="X1288" s="173"/>
      <c r="AA1288" s="80"/>
    </row>
    <row r="1289" spans="9:27" x14ac:dyDescent="0.25">
      <c r="I1289" s="50"/>
      <c r="J1289" s="50"/>
      <c r="K1289" s="50"/>
      <c r="V1289" s="173"/>
      <c r="W1289" s="173"/>
      <c r="X1289" s="173"/>
      <c r="AA1289" s="80"/>
    </row>
    <row r="1290" spans="9:27" x14ac:dyDescent="0.25">
      <c r="I1290" s="50"/>
      <c r="J1290" s="50"/>
      <c r="K1290" s="50"/>
      <c r="V1290" s="173"/>
      <c r="W1290" s="173"/>
      <c r="X1290" s="173"/>
      <c r="AA1290" s="80"/>
    </row>
    <row r="1291" spans="9:27" x14ac:dyDescent="0.25">
      <c r="I1291" s="50"/>
      <c r="J1291" s="50"/>
      <c r="K1291" s="50"/>
      <c r="V1291" s="173"/>
      <c r="W1291" s="173"/>
      <c r="X1291" s="173"/>
      <c r="AA1291" s="80"/>
    </row>
    <row r="1292" spans="9:27" x14ac:dyDescent="0.25">
      <c r="I1292" s="50"/>
      <c r="J1292" s="50"/>
      <c r="K1292" s="50"/>
      <c r="V1292" s="173"/>
      <c r="W1292" s="173"/>
      <c r="X1292" s="173"/>
      <c r="AA1292" s="80"/>
    </row>
    <row r="1293" spans="9:27" x14ac:dyDescent="0.25">
      <c r="I1293" s="50"/>
      <c r="J1293" s="50"/>
      <c r="K1293" s="50"/>
      <c r="V1293" s="173"/>
      <c r="W1293" s="173"/>
      <c r="X1293" s="173"/>
      <c r="AA1293" s="80"/>
    </row>
    <row r="1294" spans="9:27" x14ac:dyDescent="0.25">
      <c r="I1294" s="50"/>
      <c r="J1294" s="50"/>
      <c r="K1294" s="50"/>
      <c r="V1294" s="173"/>
      <c r="W1294" s="173"/>
      <c r="X1294" s="173"/>
      <c r="AA1294" s="80"/>
    </row>
    <row r="1295" spans="9:27" x14ac:dyDescent="0.25">
      <c r="I1295" s="50"/>
      <c r="J1295" s="50"/>
      <c r="K1295" s="50"/>
      <c r="V1295" s="173"/>
      <c r="W1295" s="173"/>
      <c r="X1295" s="173"/>
      <c r="AA1295" s="80"/>
    </row>
    <row r="1296" spans="9:27" x14ac:dyDescent="0.25">
      <c r="I1296" s="50"/>
      <c r="J1296" s="50"/>
      <c r="K1296" s="50"/>
      <c r="V1296" s="173"/>
      <c r="W1296" s="173"/>
      <c r="X1296" s="173"/>
      <c r="AA1296" s="80"/>
    </row>
    <row r="1297" spans="9:27" x14ac:dyDescent="0.25">
      <c r="I1297" s="50"/>
      <c r="J1297" s="50"/>
      <c r="K1297" s="50"/>
      <c r="V1297" s="173"/>
      <c r="W1297" s="173"/>
      <c r="X1297" s="173"/>
      <c r="AA1297" s="80"/>
    </row>
    <row r="1298" spans="9:27" x14ac:dyDescent="0.25">
      <c r="I1298" s="50"/>
      <c r="J1298" s="50"/>
      <c r="K1298" s="50"/>
      <c r="V1298" s="173"/>
      <c r="W1298" s="173"/>
      <c r="X1298" s="173"/>
      <c r="AA1298" s="80"/>
    </row>
    <row r="1299" spans="9:27" x14ac:dyDescent="0.25">
      <c r="I1299" s="50"/>
      <c r="J1299" s="50"/>
      <c r="K1299" s="50"/>
      <c r="V1299" s="173"/>
      <c r="W1299" s="173"/>
      <c r="X1299" s="173"/>
      <c r="AA1299" s="80"/>
    </row>
    <row r="1300" spans="9:27" x14ac:dyDescent="0.25">
      <c r="I1300" s="50"/>
      <c r="J1300" s="50"/>
      <c r="K1300" s="50"/>
      <c r="V1300" s="173"/>
      <c r="W1300" s="173"/>
      <c r="X1300" s="173"/>
      <c r="AA1300" s="80"/>
    </row>
    <row r="1301" spans="9:27" x14ac:dyDescent="0.25">
      <c r="I1301" s="50"/>
      <c r="J1301" s="50"/>
      <c r="K1301" s="50"/>
      <c r="V1301" s="173"/>
      <c r="W1301" s="173"/>
      <c r="X1301" s="173"/>
      <c r="AA1301" s="80"/>
    </row>
    <row r="1302" spans="9:27" x14ac:dyDescent="0.25">
      <c r="I1302" s="50"/>
      <c r="J1302" s="50"/>
      <c r="K1302" s="50"/>
      <c r="V1302" s="173"/>
      <c r="W1302" s="173"/>
      <c r="X1302" s="173"/>
      <c r="AA1302" s="80"/>
    </row>
    <row r="1303" spans="9:27" x14ac:dyDescent="0.25">
      <c r="I1303" s="50"/>
      <c r="J1303" s="50"/>
      <c r="K1303" s="50"/>
      <c r="V1303" s="173"/>
      <c r="W1303" s="173"/>
      <c r="X1303" s="173"/>
      <c r="AA1303" s="80"/>
    </row>
    <row r="1304" spans="9:27" x14ac:dyDescent="0.25">
      <c r="I1304" s="50"/>
      <c r="J1304" s="50"/>
      <c r="K1304" s="50"/>
      <c r="V1304" s="173"/>
      <c r="W1304" s="173"/>
      <c r="X1304" s="173"/>
      <c r="AA1304" s="80"/>
    </row>
    <row r="1305" spans="9:27" x14ac:dyDescent="0.25">
      <c r="I1305" s="50"/>
      <c r="J1305" s="50"/>
      <c r="K1305" s="50"/>
      <c r="V1305" s="173"/>
      <c r="W1305" s="173"/>
      <c r="X1305" s="173"/>
      <c r="AA1305" s="80"/>
    </row>
    <row r="1306" spans="9:27" x14ac:dyDescent="0.25">
      <c r="I1306" s="50"/>
      <c r="J1306" s="50"/>
      <c r="K1306" s="50"/>
      <c r="V1306" s="173"/>
      <c r="W1306" s="173"/>
      <c r="X1306" s="173"/>
      <c r="AA1306" s="80"/>
    </row>
    <row r="1307" spans="9:27" x14ac:dyDescent="0.25">
      <c r="I1307" s="50"/>
      <c r="J1307" s="50"/>
      <c r="K1307" s="50"/>
      <c r="V1307" s="173"/>
      <c r="W1307" s="173"/>
      <c r="X1307" s="173"/>
      <c r="AA1307" s="80"/>
    </row>
    <row r="1308" spans="9:27" x14ac:dyDescent="0.25">
      <c r="I1308" s="50"/>
      <c r="J1308" s="50"/>
      <c r="K1308" s="50"/>
      <c r="V1308" s="173"/>
      <c r="W1308" s="173"/>
      <c r="X1308" s="173"/>
      <c r="AA1308" s="80"/>
    </row>
    <row r="1309" spans="9:27" x14ac:dyDescent="0.25">
      <c r="I1309" s="50"/>
      <c r="J1309" s="50"/>
      <c r="K1309" s="50"/>
      <c r="V1309" s="173"/>
      <c r="W1309" s="173"/>
      <c r="X1309" s="173"/>
      <c r="AA1309" s="80"/>
    </row>
    <row r="1310" spans="9:27" x14ac:dyDescent="0.25">
      <c r="I1310" s="50"/>
      <c r="J1310" s="50"/>
      <c r="K1310" s="50"/>
      <c r="V1310" s="173"/>
      <c r="W1310" s="173"/>
      <c r="X1310" s="173"/>
      <c r="AA1310" s="80"/>
    </row>
    <row r="1311" spans="9:27" x14ac:dyDescent="0.25">
      <c r="I1311" s="50"/>
      <c r="J1311" s="50"/>
      <c r="K1311" s="50"/>
      <c r="V1311" s="173"/>
      <c r="W1311" s="173"/>
      <c r="X1311" s="173"/>
      <c r="AA1311" s="80"/>
    </row>
    <row r="1312" spans="9:27" x14ac:dyDescent="0.25">
      <c r="I1312" s="50"/>
      <c r="J1312" s="50"/>
      <c r="K1312" s="50"/>
      <c r="V1312" s="173"/>
      <c r="W1312" s="173"/>
      <c r="X1312" s="173"/>
      <c r="AA1312" s="80"/>
    </row>
    <row r="1313" spans="9:27" x14ac:dyDescent="0.25">
      <c r="I1313" s="50"/>
      <c r="J1313" s="50"/>
      <c r="K1313" s="50"/>
      <c r="V1313" s="173"/>
      <c r="W1313" s="173"/>
      <c r="X1313" s="173"/>
      <c r="AA1313" s="80"/>
    </row>
    <row r="1314" spans="9:27" x14ac:dyDescent="0.25">
      <c r="I1314" s="50"/>
      <c r="J1314" s="50"/>
      <c r="K1314" s="50"/>
      <c r="V1314" s="173"/>
      <c r="W1314" s="173"/>
      <c r="X1314" s="173"/>
      <c r="AA1314" s="80"/>
    </row>
    <row r="1315" spans="9:27" x14ac:dyDescent="0.25">
      <c r="I1315" s="50"/>
      <c r="J1315" s="50"/>
      <c r="K1315" s="50"/>
      <c r="V1315" s="173"/>
      <c r="W1315" s="173"/>
      <c r="X1315" s="173"/>
      <c r="AA1315" s="80"/>
    </row>
    <row r="1316" spans="9:27" x14ac:dyDescent="0.25">
      <c r="I1316" s="50"/>
      <c r="J1316" s="50"/>
      <c r="K1316" s="50"/>
      <c r="V1316" s="173"/>
      <c r="W1316" s="173"/>
      <c r="X1316" s="173"/>
      <c r="AA1316" s="80"/>
    </row>
    <row r="1317" spans="9:27" x14ac:dyDescent="0.25">
      <c r="I1317" s="50"/>
      <c r="J1317" s="50"/>
      <c r="K1317" s="50"/>
      <c r="V1317" s="173"/>
      <c r="W1317" s="173"/>
      <c r="X1317" s="173"/>
      <c r="AA1317" s="80"/>
    </row>
    <row r="1318" spans="9:27" x14ac:dyDescent="0.25">
      <c r="I1318" s="50"/>
      <c r="J1318" s="50"/>
      <c r="K1318" s="50"/>
      <c r="V1318" s="173"/>
      <c r="W1318" s="173"/>
      <c r="X1318" s="173"/>
      <c r="AA1318" s="80"/>
    </row>
    <row r="1319" spans="9:27" x14ac:dyDescent="0.25">
      <c r="I1319" s="50"/>
      <c r="J1319" s="50"/>
      <c r="K1319" s="50"/>
      <c r="V1319" s="173"/>
      <c r="W1319" s="173"/>
      <c r="X1319" s="173"/>
      <c r="AA1319" s="80"/>
    </row>
    <row r="1320" spans="9:27" x14ac:dyDescent="0.25">
      <c r="I1320" s="50"/>
      <c r="J1320" s="50"/>
      <c r="K1320" s="50"/>
      <c r="V1320" s="173"/>
      <c r="W1320" s="173"/>
      <c r="X1320" s="173"/>
      <c r="AA1320" s="80"/>
    </row>
    <row r="1321" spans="9:27" x14ac:dyDescent="0.25">
      <c r="I1321" s="50"/>
      <c r="J1321" s="50"/>
      <c r="K1321" s="50"/>
      <c r="V1321" s="173"/>
      <c r="W1321" s="173"/>
      <c r="X1321" s="173"/>
      <c r="AA1321" s="80"/>
    </row>
    <row r="1322" spans="9:27" x14ac:dyDescent="0.25">
      <c r="I1322" s="50"/>
      <c r="J1322" s="50"/>
      <c r="K1322" s="50"/>
      <c r="V1322" s="173"/>
      <c r="W1322" s="173"/>
      <c r="X1322" s="173"/>
      <c r="AA1322" s="80"/>
    </row>
    <row r="1323" spans="9:27" x14ac:dyDescent="0.25">
      <c r="I1323" s="50"/>
      <c r="J1323" s="50"/>
      <c r="K1323" s="50"/>
      <c r="V1323" s="173"/>
      <c r="W1323" s="173"/>
      <c r="X1323" s="173"/>
      <c r="AA1323" s="80"/>
    </row>
    <row r="1324" spans="9:27" x14ac:dyDescent="0.25">
      <c r="I1324" s="50"/>
      <c r="J1324" s="50"/>
      <c r="K1324" s="50"/>
      <c r="V1324" s="173"/>
      <c r="W1324" s="173"/>
      <c r="X1324" s="173"/>
      <c r="AA1324" s="80"/>
    </row>
    <row r="1325" spans="9:27" x14ac:dyDescent="0.25">
      <c r="I1325" s="50"/>
      <c r="J1325" s="50"/>
      <c r="K1325" s="50"/>
      <c r="V1325" s="173"/>
      <c r="W1325" s="173"/>
      <c r="X1325" s="173"/>
      <c r="AA1325" s="80"/>
    </row>
    <row r="1326" spans="9:27" x14ac:dyDescent="0.25">
      <c r="I1326" s="50"/>
      <c r="J1326" s="50"/>
      <c r="K1326" s="50"/>
      <c r="V1326" s="173"/>
      <c r="W1326" s="173"/>
      <c r="X1326" s="173"/>
      <c r="AA1326" s="80"/>
    </row>
    <row r="1327" spans="9:27" x14ac:dyDescent="0.25">
      <c r="I1327" s="50"/>
      <c r="J1327" s="50"/>
      <c r="K1327" s="50"/>
      <c r="V1327" s="173"/>
      <c r="W1327" s="173"/>
      <c r="X1327" s="173"/>
      <c r="AA1327" s="80"/>
    </row>
    <row r="1328" spans="9:27" x14ac:dyDescent="0.25">
      <c r="I1328" s="50"/>
      <c r="J1328" s="50"/>
      <c r="K1328" s="50"/>
      <c r="V1328" s="173"/>
      <c r="W1328" s="173"/>
      <c r="X1328" s="173"/>
      <c r="AA1328" s="80"/>
    </row>
    <row r="1329" spans="9:27" x14ac:dyDescent="0.25">
      <c r="I1329" s="50"/>
      <c r="J1329" s="50"/>
      <c r="K1329" s="50"/>
      <c r="V1329" s="173"/>
      <c r="W1329" s="173"/>
      <c r="X1329" s="173"/>
      <c r="AA1329" s="80"/>
    </row>
    <row r="1330" spans="9:27" x14ac:dyDescent="0.25">
      <c r="I1330" s="50"/>
      <c r="J1330" s="50"/>
      <c r="K1330" s="50"/>
      <c r="V1330" s="173"/>
      <c r="W1330" s="173"/>
      <c r="X1330" s="173"/>
      <c r="AA1330" s="80"/>
    </row>
    <row r="1331" spans="9:27" x14ac:dyDescent="0.25">
      <c r="I1331" s="50"/>
      <c r="J1331" s="50"/>
      <c r="K1331" s="50"/>
      <c r="V1331" s="173"/>
      <c r="W1331" s="173"/>
      <c r="X1331" s="173"/>
      <c r="AA1331" s="80"/>
    </row>
    <row r="1332" spans="9:27" x14ac:dyDescent="0.25">
      <c r="I1332" s="50"/>
      <c r="J1332" s="50"/>
      <c r="K1332" s="50"/>
      <c r="V1332" s="173"/>
      <c r="W1332" s="173"/>
      <c r="X1332" s="173"/>
      <c r="AA1332" s="80"/>
    </row>
    <row r="1333" spans="9:27" x14ac:dyDescent="0.25">
      <c r="I1333" s="50"/>
      <c r="J1333" s="50"/>
      <c r="K1333" s="50"/>
      <c r="V1333" s="173"/>
      <c r="W1333" s="173"/>
      <c r="X1333" s="173"/>
      <c r="AA1333" s="80"/>
    </row>
    <row r="1334" spans="9:27" x14ac:dyDescent="0.25">
      <c r="I1334" s="50"/>
      <c r="J1334" s="50"/>
      <c r="K1334" s="50"/>
      <c r="V1334" s="173"/>
      <c r="W1334" s="173"/>
      <c r="X1334" s="173"/>
      <c r="AA1334" s="80"/>
    </row>
    <row r="1335" spans="9:27" x14ac:dyDescent="0.25">
      <c r="I1335" s="50"/>
      <c r="J1335" s="50"/>
      <c r="K1335" s="50"/>
      <c r="V1335" s="173"/>
      <c r="W1335" s="173"/>
      <c r="X1335" s="173"/>
      <c r="AA1335" s="80"/>
    </row>
    <row r="1336" spans="9:27" x14ac:dyDescent="0.25">
      <c r="I1336" s="50"/>
      <c r="J1336" s="50"/>
      <c r="K1336" s="50"/>
      <c r="V1336" s="173"/>
      <c r="W1336" s="173"/>
      <c r="X1336" s="173"/>
      <c r="AA1336" s="80"/>
    </row>
    <row r="1337" spans="9:27" x14ac:dyDescent="0.25">
      <c r="I1337" s="50"/>
      <c r="J1337" s="50"/>
      <c r="K1337" s="50"/>
      <c r="V1337" s="173"/>
      <c r="W1337" s="173"/>
      <c r="X1337" s="173"/>
      <c r="AA1337" s="80"/>
    </row>
    <row r="1338" spans="9:27" x14ac:dyDescent="0.25">
      <c r="I1338" s="50"/>
      <c r="J1338" s="50"/>
      <c r="K1338" s="50"/>
      <c r="V1338" s="173"/>
      <c r="W1338" s="173"/>
      <c r="X1338" s="173"/>
      <c r="AA1338" s="80"/>
    </row>
    <row r="1339" spans="9:27" x14ac:dyDescent="0.25">
      <c r="I1339" s="50"/>
      <c r="J1339" s="50"/>
      <c r="K1339" s="50"/>
      <c r="V1339" s="173"/>
      <c r="W1339" s="173"/>
      <c r="X1339" s="173"/>
      <c r="AA1339" s="80"/>
    </row>
    <row r="1340" spans="9:27" x14ac:dyDescent="0.25">
      <c r="I1340" s="50"/>
      <c r="J1340" s="50"/>
      <c r="K1340" s="50"/>
      <c r="V1340" s="173"/>
      <c r="W1340" s="173"/>
      <c r="X1340" s="173"/>
      <c r="AA1340" s="80"/>
    </row>
    <row r="1341" spans="9:27" x14ac:dyDescent="0.25">
      <c r="I1341" s="50"/>
      <c r="J1341" s="50"/>
      <c r="K1341" s="50"/>
      <c r="V1341" s="173"/>
      <c r="W1341" s="173"/>
      <c r="X1341" s="173"/>
      <c r="AA1341" s="80"/>
    </row>
    <row r="1342" spans="9:27" x14ac:dyDescent="0.25">
      <c r="I1342" s="50"/>
      <c r="J1342" s="50"/>
      <c r="K1342" s="50"/>
      <c r="V1342" s="173"/>
      <c r="W1342" s="173"/>
      <c r="X1342" s="173"/>
      <c r="AA1342" s="80"/>
    </row>
    <row r="1343" spans="9:27" x14ac:dyDescent="0.25">
      <c r="I1343" s="50"/>
      <c r="J1343" s="50"/>
      <c r="K1343" s="50"/>
      <c r="V1343" s="173"/>
      <c r="W1343" s="173"/>
      <c r="X1343" s="173"/>
      <c r="AA1343" s="80"/>
    </row>
    <row r="1344" spans="9:27" x14ac:dyDescent="0.25">
      <c r="I1344" s="50"/>
      <c r="J1344" s="50"/>
      <c r="K1344" s="50"/>
      <c r="V1344" s="173"/>
      <c r="W1344" s="173"/>
      <c r="X1344" s="173"/>
      <c r="AA1344" s="80"/>
    </row>
    <row r="1345" spans="9:27" x14ac:dyDescent="0.25">
      <c r="I1345" s="50"/>
      <c r="J1345" s="50"/>
      <c r="K1345" s="50"/>
      <c r="V1345" s="173"/>
      <c r="W1345" s="173"/>
      <c r="X1345" s="173"/>
      <c r="AA1345" s="80"/>
    </row>
    <row r="1346" spans="9:27" x14ac:dyDescent="0.25">
      <c r="I1346" s="50"/>
      <c r="J1346" s="50"/>
      <c r="K1346" s="50"/>
      <c r="V1346" s="173"/>
      <c r="W1346" s="173"/>
      <c r="X1346" s="173"/>
      <c r="AA1346" s="80"/>
    </row>
    <row r="1347" spans="9:27" x14ac:dyDescent="0.25">
      <c r="I1347" s="50"/>
      <c r="J1347" s="50"/>
      <c r="K1347" s="50"/>
      <c r="V1347" s="173"/>
      <c r="W1347" s="173"/>
      <c r="X1347" s="173"/>
      <c r="AA1347" s="80"/>
    </row>
    <row r="1348" spans="9:27" x14ac:dyDescent="0.25">
      <c r="I1348" s="50"/>
      <c r="J1348" s="50"/>
      <c r="K1348" s="50"/>
      <c r="V1348" s="173"/>
      <c r="W1348" s="173"/>
      <c r="X1348" s="173"/>
      <c r="AA1348" s="80"/>
    </row>
    <row r="1349" spans="9:27" x14ac:dyDescent="0.25">
      <c r="I1349" s="50"/>
      <c r="J1349" s="50"/>
      <c r="K1349" s="50"/>
      <c r="V1349" s="173"/>
      <c r="W1349" s="173"/>
      <c r="X1349" s="173"/>
      <c r="AA1349" s="80"/>
    </row>
    <row r="1350" spans="9:27" x14ac:dyDescent="0.25">
      <c r="I1350" s="50"/>
      <c r="J1350" s="50"/>
      <c r="K1350" s="50"/>
      <c r="V1350" s="173"/>
      <c r="W1350" s="173"/>
      <c r="X1350" s="173"/>
      <c r="AA1350" s="80"/>
    </row>
    <row r="1351" spans="9:27" x14ac:dyDescent="0.25">
      <c r="I1351" s="50"/>
      <c r="J1351" s="50"/>
      <c r="K1351" s="50"/>
      <c r="V1351" s="173"/>
      <c r="W1351" s="173"/>
      <c r="X1351" s="173"/>
      <c r="AA1351" s="80"/>
    </row>
    <row r="1352" spans="9:27" x14ac:dyDescent="0.25">
      <c r="I1352" s="50"/>
      <c r="J1352" s="50"/>
      <c r="K1352" s="50"/>
      <c r="V1352" s="173"/>
      <c r="W1352" s="173"/>
      <c r="X1352" s="173"/>
      <c r="AA1352" s="80"/>
    </row>
    <row r="1353" spans="9:27" x14ac:dyDescent="0.25">
      <c r="I1353" s="50"/>
      <c r="J1353" s="50"/>
      <c r="K1353" s="50"/>
      <c r="V1353" s="173"/>
      <c r="W1353" s="173"/>
      <c r="X1353" s="173"/>
      <c r="AA1353" s="80"/>
    </row>
    <row r="1354" spans="9:27" x14ac:dyDescent="0.25">
      <c r="I1354" s="50"/>
      <c r="J1354" s="50"/>
      <c r="K1354" s="50"/>
      <c r="V1354" s="173"/>
      <c r="W1354" s="173"/>
      <c r="X1354" s="173"/>
      <c r="AA1354" s="80"/>
    </row>
    <row r="1355" spans="9:27" x14ac:dyDescent="0.25">
      <c r="I1355" s="50"/>
      <c r="J1355" s="50"/>
      <c r="K1355" s="50"/>
      <c r="V1355" s="173"/>
      <c r="W1355" s="173"/>
      <c r="X1355" s="173"/>
      <c r="AA1355" s="80"/>
    </row>
    <row r="1356" spans="9:27" x14ac:dyDescent="0.25">
      <c r="I1356" s="50"/>
      <c r="J1356" s="50"/>
      <c r="K1356" s="50"/>
      <c r="V1356" s="173"/>
      <c r="W1356" s="173"/>
      <c r="X1356" s="173"/>
      <c r="AA1356" s="80"/>
    </row>
    <row r="1357" spans="9:27" x14ac:dyDescent="0.25">
      <c r="I1357" s="50"/>
      <c r="J1357" s="50"/>
      <c r="K1357" s="50"/>
      <c r="V1357" s="173"/>
      <c r="W1357" s="173"/>
      <c r="X1357" s="173"/>
      <c r="AA1357" s="80"/>
    </row>
    <row r="1358" spans="9:27" x14ac:dyDescent="0.25">
      <c r="I1358" s="50"/>
      <c r="J1358" s="50"/>
      <c r="K1358" s="50"/>
      <c r="V1358" s="173"/>
      <c r="W1358" s="173"/>
      <c r="X1358" s="173"/>
      <c r="AA1358" s="80"/>
    </row>
    <row r="1359" spans="9:27" x14ac:dyDescent="0.25">
      <c r="I1359" s="50"/>
      <c r="J1359" s="50"/>
      <c r="K1359" s="50"/>
      <c r="V1359" s="173"/>
      <c r="W1359" s="173"/>
      <c r="X1359" s="173"/>
      <c r="AA1359" s="80"/>
    </row>
    <row r="1360" spans="9:27" x14ac:dyDescent="0.25">
      <c r="I1360" s="50"/>
      <c r="J1360" s="50"/>
      <c r="K1360" s="50"/>
      <c r="V1360" s="173"/>
      <c r="W1360" s="173"/>
      <c r="X1360" s="173"/>
      <c r="AA1360" s="80"/>
    </row>
    <row r="1361" spans="9:27" x14ac:dyDescent="0.25">
      <c r="I1361" s="50"/>
      <c r="J1361" s="50"/>
      <c r="K1361" s="50"/>
      <c r="V1361" s="173"/>
      <c r="W1361" s="173"/>
      <c r="X1361" s="173"/>
      <c r="AA1361" s="80"/>
    </row>
    <row r="1362" spans="9:27" x14ac:dyDescent="0.25">
      <c r="I1362" s="50"/>
      <c r="J1362" s="50"/>
      <c r="K1362" s="50"/>
      <c r="V1362" s="173"/>
      <c r="W1362" s="173"/>
      <c r="X1362" s="173"/>
      <c r="AA1362" s="80"/>
    </row>
    <row r="1363" spans="9:27" x14ac:dyDescent="0.25">
      <c r="I1363" s="50"/>
      <c r="J1363" s="50"/>
      <c r="K1363" s="50"/>
      <c r="V1363" s="173"/>
      <c r="W1363" s="173"/>
      <c r="X1363" s="173"/>
      <c r="AA1363" s="80"/>
    </row>
    <row r="1364" spans="9:27" x14ac:dyDescent="0.25">
      <c r="I1364" s="50"/>
      <c r="J1364" s="50"/>
      <c r="K1364" s="50"/>
      <c r="V1364" s="173"/>
      <c r="W1364" s="173"/>
      <c r="X1364" s="173"/>
      <c r="AA1364" s="80"/>
    </row>
    <row r="1365" spans="9:27" x14ac:dyDescent="0.25">
      <c r="I1365" s="50"/>
      <c r="J1365" s="50"/>
      <c r="K1365" s="50"/>
      <c r="V1365" s="173"/>
      <c r="W1365" s="173"/>
      <c r="X1365" s="173"/>
      <c r="AA1365" s="80"/>
    </row>
    <row r="1366" spans="9:27" x14ac:dyDescent="0.25">
      <c r="I1366" s="50"/>
      <c r="J1366" s="50"/>
      <c r="K1366" s="50"/>
      <c r="V1366" s="173"/>
      <c r="W1366" s="173"/>
      <c r="X1366" s="173"/>
      <c r="AA1366" s="80"/>
    </row>
    <row r="1367" spans="9:27" x14ac:dyDescent="0.25">
      <c r="I1367" s="50"/>
      <c r="J1367" s="50"/>
      <c r="K1367" s="50"/>
      <c r="V1367" s="173"/>
      <c r="W1367" s="173"/>
      <c r="X1367" s="173"/>
      <c r="AA1367" s="80"/>
    </row>
    <row r="1368" spans="9:27" x14ac:dyDescent="0.25">
      <c r="I1368" s="50"/>
      <c r="J1368" s="50"/>
      <c r="K1368" s="50"/>
      <c r="V1368" s="173"/>
      <c r="W1368" s="173"/>
      <c r="X1368" s="173"/>
      <c r="AA1368" s="80"/>
    </row>
    <row r="1369" spans="9:27" x14ac:dyDescent="0.25">
      <c r="I1369" s="50"/>
      <c r="J1369" s="50"/>
      <c r="K1369" s="50"/>
      <c r="V1369" s="173"/>
      <c r="W1369" s="173"/>
      <c r="X1369" s="173"/>
      <c r="AA1369" s="80"/>
    </row>
    <row r="1370" spans="9:27" x14ac:dyDescent="0.25">
      <c r="I1370" s="50"/>
      <c r="J1370" s="50"/>
      <c r="K1370" s="50"/>
      <c r="V1370" s="173"/>
      <c r="W1370" s="173"/>
      <c r="X1370" s="173"/>
      <c r="AA1370" s="80"/>
    </row>
    <row r="1371" spans="9:27" x14ac:dyDescent="0.25">
      <c r="I1371" s="50"/>
      <c r="J1371" s="50"/>
      <c r="K1371" s="50"/>
      <c r="V1371" s="173"/>
      <c r="W1371" s="173"/>
      <c r="X1371" s="173"/>
      <c r="AA1371" s="80"/>
    </row>
    <row r="1372" spans="9:27" x14ac:dyDescent="0.25">
      <c r="I1372" s="50"/>
      <c r="J1372" s="50"/>
      <c r="K1372" s="50"/>
      <c r="V1372" s="173"/>
      <c r="W1372" s="173"/>
      <c r="X1372" s="173"/>
      <c r="AA1372" s="80"/>
    </row>
    <row r="1373" spans="9:27" x14ac:dyDescent="0.25">
      <c r="I1373" s="50"/>
      <c r="J1373" s="50"/>
      <c r="K1373" s="50"/>
      <c r="V1373" s="173"/>
      <c r="W1373" s="173"/>
      <c r="X1373" s="173"/>
      <c r="AA1373" s="80"/>
    </row>
    <row r="1374" spans="9:27" x14ac:dyDescent="0.25">
      <c r="I1374" s="50"/>
      <c r="J1374" s="50"/>
      <c r="K1374" s="50"/>
      <c r="V1374" s="173"/>
      <c r="W1374" s="173"/>
      <c r="X1374" s="173"/>
      <c r="AA1374" s="80"/>
    </row>
    <row r="1375" spans="9:27" x14ac:dyDescent="0.25">
      <c r="I1375" s="50"/>
      <c r="J1375" s="50"/>
      <c r="K1375" s="50"/>
      <c r="V1375" s="173"/>
      <c r="W1375" s="173"/>
      <c r="X1375" s="173"/>
      <c r="AA1375" s="80"/>
    </row>
    <row r="1376" spans="9:27" x14ac:dyDescent="0.25">
      <c r="I1376" s="50"/>
      <c r="J1376" s="50"/>
      <c r="K1376" s="50"/>
      <c r="V1376" s="173"/>
      <c r="W1376" s="173"/>
      <c r="X1376" s="173"/>
      <c r="AA1376" s="80"/>
    </row>
    <row r="1377" spans="9:27" x14ac:dyDescent="0.25">
      <c r="I1377" s="50"/>
      <c r="J1377" s="50"/>
      <c r="K1377" s="50"/>
      <c r="V1377" s="173"/>
      <c r="W1377" s="173"/>
      <c r="X1377" s="173"/>
      <c r="AA1377" s="80"/>
    </row>
    <row r="1378" spans="9:27" x14ac:dyDescent="0.25">
      <c r="I1378" s="50"/>
      <c r="J1378" s="50"/>
      <c r="K1378" s="50"/>
      <c r="V1378" s="173"/>
      <c r="W1378" s="173"/>
      <c r="X1378" s="173"/>
      <c r="AA1378" s="80"/>
    </row>
    <row r="1379" spans="9:27" x14ac:dyDescent="0.25">
      <c r="I1379" s="50"/>
      <c r="J1379" s="50"/>
      <c r="K1379" s="50"/>
      <c r="V1379" s="173"/>
      <c r="W1379" s="173"/>
      <c r="X1379" s="173"/>
      <c r="AA1379" s="80"/>
    </row>
    <row r="1380" spans="9:27" x14ac:dyDescent="0.25">
      <c r="I1380" s="50"/>
      <c r="J1380" s="50"/>
      <c r="K1380" s="50"/>
      <c r="V1380" s="173"/>
      <c r="W1380" s="173"/>
      <c r="X1380" s="173"/>
      <c r="AA1380" s="80"/>
    </row>
    <row r="1381" spans="9:27" x14ac:dyDescent="0.25">
      <c r="I1381" s="50"/>
      <c r="J1381" s="50"/>
      <c r="K1381" s="50"/>
      <c r="V1381" s="173"/>
      <c r="W1381" s="173"/>
      <c r="X1381" s="173"/>
      <c r="AA1381" s="80"/>
    </row>
    <row r="1382" spans="9:27" x14ac:dyDescent="0.25">
      <c r="I1382" s="50"/>
      <c r="J1382" s="50"/>
      <c r="K1382" s="50"/>
      <c r="V1382" s="173"/>
      <c r="W1382" s="173"/>
      <c r="X1382" s="173"/>
      <c r="AA1382" s="80"/>
    </row>
    <row r="1383" spans="9:27" x14ac:dyDescent="0.25">
      <c r="I1383" s="50"/>
      <c r="J1383" s="50"/>
      <c r="K1383" s="50"/>
      <c r="V1383" s="173"/>
      <c r="W1383" s="173"/>
      <c r="X1383" s="173"/>
      <c r="AA1383" s="80"/>
    </row>
    <row r="1384" spans="9:27" x14ac:dyDescent="0.25">
      <c r="I1384" s="50"/>
      <c r="J1384" s="50"/>
      <c r="K1384" s="50"/>
      <c r="V1384" s="173"/>
      <c r="W1384" s="173"/>
      <c r="X1384" s="173"/>
      <c r="AA1384" s="80"/>
    </row>
    <row r="1385" spans="9:27" x14ac:dyDescent="0.25">
      <c r="I1385" s="50"/>
      <c r="J1385" s="50"/>
      <c r="K1385" s="50"/>
      <c r="V1385" s="173"/>
      <c r="W1385" s="173"/>
      <c r="X1385" s="173"/>
      <c r="AA1385" s="80"/>
    </row>
    <row r="1386" spans="9:27" x14ac:dyDescent="0.25">
      <c r="I1386" s="50"/>
      <c r="J1386" s="50"/>
      <c r="K1386" s="50"/>
      <c r="V1386" s="173"/>
      <c r="W1386" s="173"/>
      <c r="X1386" s="173"/>
      <c r="AA1386" s="80"/>
    </row>
    <row r="1387" spans="9:27" x14ac:dyDescent="0.25">
      <c r="I1387" s="50"/>
      <c r="J1387" s="50"/>
      <c r="K1387" s="50"/>
      <c r="V1387" s="173"/>
      <c r="W1387" s="173"/>
      <c r="X1387" s="173"/>
      <c r="AA1387" s="80"/>
    </row>
    <row r="1388" spans="9:27" x14ac:dyDescent="0.25">
      <c r="I1388" s="50"/>
      <c r="J1388" s="50"/>
      <c r="K1388" s="50"/>
      <c r="V1388" s="173"/>
      <c r="W1388" s="173"/>
      <c r="X1388" s="173"/>
      <c r="AA1388" s="80"/>
    </row>
    <row r="1389" spans="9:27" x14ac:dyDescent="0.25">
      <c r="I1389" s="50"/>
      <c r="J1389" s="50"/>
      <c r="K1389" s="50"/>
      <c r="V1389" s="173"/>
      <c r="W1389" s="173"/>
      <c r="X1389" s="173"/>
      <c r="AA1389" s="80"/>
    </row>
    <row r="1390" spans="9:27" x14ac:dyDescent="0.25">
      <c r="I1390" s="50"/>
      <c r="J1390" s="50"/>
      <c r="K1390" s="50"/>
      <c r="V1390" s="173"/>
      <c r="W1390" s="173"/>
      <c r="X1390" s="173"/>
      <c r="AA1390" s="80"/>
    </row>
    <row r="1391" spans="9:27" x14ac:dyDescent="0.25">
      <c r="I1391" s="50"/>
      <c r="J1391" s="50"/>
      <c r="K1391" s="50"/>
      <c r="V1391" s="173"/>
      <c r="W1391" s="173"/>
      <c r="X1391" s="173"/>
      <c r="AA1391" s="80"/>
    </row>
    <row r="1392" spans="9:27" x14ac:dyDescent="0.25">
      <c r="I1392" s="50"/>
      <c r="J1392" s="50"/>
      <c r="K1392" s="50"/>
      <c r="V1392" s="173"/>
      <c r="W1392" s="173"/>
      <c r="X1392" s="173"/>
      <c r="AA1392" s="80"/>
    </row>
    <row r="1393" spans="9:27" x14ac:dyDescent="0.25">
      <c r="I1393" s="50"/>
      <c r="J1393" s="50"/>
      <c r="K1393" s="50"/>
      <c r="V1393" s="173"/>
      <c r="W1393" s="173"/>
      <c r="X1393" s="173"/>
      <c r="AA1393" s="80"/>
    </row>
    <row r="1394" spans="9:27" x14ac:dyDescent="0.25">
      <c r="I1394" s="50"/>
      <c r="J1394" s="50"/>
      <c r="K1394" s="50"/>
      <c r="V1394" s="173"/>
      <c r="W1394" s="173"/>
      <c r="X1394" s="173"/>
      <c r="AA1394" s="80"/>
    </row>
    <row r="1395" spans="9:27" x14ac:dyDescent="0.25">
      <c r="I1395" s="50"/>
      <c r="J1395" s="50"/>
      <c r="K1395" s="50"/>
      <c r="V1395" s="173"/>
      <c r="W1395" s="173"/>
      <c r="X1395" s="173"/>
      <c r="AA1395" s="80"/>
    </row>
    <row r="1396" spans="9:27" x14ac:dyDescent="0.25">
      <c r="I1396" s="50"/>
      <c r="J1396" s="50"/>
      <c r="K1396" s="50"/>
      <c r="V1396" s="173"/>
      <c r="W1396" s="173"/>
      <c r="X1396" s="173"/>
      <c r="AA1396" s="80"/>
    </row>
    <row r="1397" spans="9:27" x14ac:dyDescent="0.25">
      <c r="I1397" s="50"/>
      <c r="J1397" s="50"/>
      <c r="K1397" s="50"/>
      <c r="V1397" s="173"/>
      <c r="W1397" s="173"/>
      <c r="X1397" s="173"/>
      <c r="AA1397" s="80"/>
    </row>
    <row r="1398" spans="9:27" x14ac:dyDescent="0.25">
      <c r="I1398" s="50"/>
      <c r="J1398" s="50"/>
      <c r="K1398" s="50"/>
      <c r="V1398" s="173"/>
      <c r="W1398" s="173"/>
      <c r="X1398" s="173"/>
      <c r="AA1398" s="80"/>
    </row>
    <row r="1399" spans="9:27" x14ac:dyDescent="0.25">
      <c r="I1399" s="50"/>
      <c r="J1399" s="50"/>
      <c r="K1399" s="50"/>
      <c r="V1399" s="173"/>
      <c r="W1399" s="173"/>
      <c r="X1399" s="173"/>
      <c r="AA1399" s="80"/>
    </row>
    <row r="1400" spans="9:27" x14ac:dyDescent="0.25">
      <c r="I1400" s="50"/>
      <c r="J1400" s="50"/>
      <c r="K1400" s="50"/>
      <c r="V1400" s="173"/>
      <c r="W1400" s="173"/>
      <c r="X1400" s="173"/>
      <c r="AA1400" s="80"/>
    </row>
    <row r="1401" spans="9:27" x14ac:dyDescent="0.25">
      <c r="I1401" s="50"/>
      <c r="J1401" s="50"/>
      <c r="K1401" s="50"/>
      <c r="V1401" s="173"/>
      <c r="W1401" s="173"/>
      <c r="X1401" s="173"/>
      <c r="AA1401" s="80"/>
    </row>
    <row r="1402" spans="9:27" x14ac:dyDescent="0.25">
      <c r="I1402" s="50"/>
      <c r="J1402" s="50"/>
      <c r="K1402" s="50"/>
      <c r="V1402" s="173"/>
      <c r="W1402" s="173"/>
      <c r="X1402" s="173"/>
      <c r="AA1402" s="80"/>
    </row>
    <row r="1403" spans="9:27" x14ac:dyDescent="0.25">
      <c r="I1403" s="50"/>
      <c r="J1403" s="50"/>
      <c r="K1403" s="50"/>
      <c r="V1403" s="173"/>
      <c r="W1403" s="173"/>
      <c r="X1403" s="173"/>
      <c r="AA1403" s="80"/>
    </row>
    <row r="1404" spans="9:27" x14ac:dyDescent="0.25">
      <c r="I1404" s="50"/>
      <c r="J1404" s="50"/>
      <c r="K1404" s="50"/>
      <c r="V1404" s="173"/>
      <c r="W1404" s="173"/>
      <c r="X1404" s="173"/>
      <c r="AA1404" s="80"/>
    </row>
    <row r="1405" spans="9:27" x14ac:dyDescent="0.25">
      <c r="I1405" s="50"/>
      <c r="J1405" s="50"/>
      <c r="K1405" s="50"/>
      <c r="V1405" s="173"/>
      <c r="W1405" s="173"/>
      <c r="X1405" s="173"/>
      <c r="AA1405" s="80"/>
    </row>
    <row r="1406" spans="9:27" x14ac:dyDescent="0.25">
      <c r="I1406" s="50"/>
      <c r="J1406" s="50"/>
      <c r="K1406" s="50"/>
      <c r="V1406" s="173"/>
      <c r="W1406" s="173"/>
      <c r="X1406" s="173"/>
      <c r="AA1406" s="80"/>
    </row>
    <row r="1407" spans="9:27" x14ac:dyDescent="0.25">
      <c r="I1407" s="50"/>
      <c r="J1407" s="50"/>
      <c r="K1407" s="50"/>
      <c r="V1407" s="173"/>
      <c r="W1407" s="173"/>
      <c r="X1407" s="173"/>
      <c r="AA1407" s="80"/>
    </row>
    <row r="1408" spans="9:27" x14ac:dyDescent="0.25">
      <c r="I1408" s="50"/>
      <c r="J1408" s="50"/>
      <c r="K1408" s="50"/>
      <c r="V1408" s="173"/>
      <c r="W1408" s="173"/>
      <c r="X1408" s="173"/>
      <c r="AA1408" s="80"/>
    </row>
    <row r="1409" spans="9:27" x14ac:dyDescent="0.25">
      <c r="I1409" s="50"/>
      <c r="J1409" s="50"/>
      <c r="K1409" s="50"/>
      <c r="V1409" s="173"/>
      <c r="W1409" s="173"/>
      <c r="X1409" s="173"/>
      <c r="AA1409" s="80"/>
    </row>
    <row r="1410" spans="9:27" x14ac:dyDescent="0.25">
      <c r="I1410" s="50"/>
      <c r="J1410" s="50"/>
      <c r="K1410" s="50"/>
      <c r="V1410" s="173"/>
      <c r="W1410" s="173"/>
      <c r="X1410" s="173"/>
      <c r="AA1410" s="80"/>
    </row>
    <row r="1411" spans="9:27" x14ac:dyDescent="0.25">
      <c r="I1411" s="50"/>
      <c r="J1411" s="50"/>
      <c r="K1411" s="50"/>
      <c r="V1411" s="173"/>
      <c r="W1411" s="173"/>
      <c r="X1411" s="173"/>
      <c r="AA1411" s="80"/>
    </row>
    <row r="1412" spans="9:27" x14ac:dyDescent="0.25">
      <c r="I1412" s="50"/>
      <c r="J1412" s="50"/>
      <c r="K1412" s="50"/>
      <c r="V1412" s="173"/>
      <c r="W1412" s="173"/>
      <c r="X1412" s="173"/>
      <c r="AA1412" s="80"/>
    </row>
    <row r="1413" spans="9:27" x14ac:dyDescent="0.25">
      <c r="I1413" s="50"/>
      <c r="J1413" s="50"/>
      <c r="K1413" s="50"/>
      <c r="V1413" s="173"/>
      <c r="W1413" s="173"/>
      <c r="X1413" s="173"/>
      <c r="AA1413" s="80"/>
    </row>
    <row r="1414" spans="9:27" x14ac:dyDescent="0.25">
      <c r="I1414" s="50"/>
      <c r="J1414" s="50"/>
      <c r="K1414" s="50"/>
      <c r="V1414" s="173"/>
      <c r="W1414" s="173"/>
      <c r="X1414" s="173"/>
      <c r="AA1414" s="80"/>
    </row>
    <row r="1415" spans="9:27" x14ac:dyDescent="0.25">
      <c r="I1415" s="50"/>
      <c r="J1415" s="50"/>
      <c r="K1415" s="50"/>
      <c r="V1415" s="173"/>
      <c r="W1415" s="173"/>
      <c r="X1415" s="173"/>
      <c r="AA1415" s="80"/>
    </row>
    <row r="1416" spans="9:27" x14ac:dyDescent="0.25">
      <c r="I1416" s="50"/>
      <c r="J1416" s="50"/>
      <c r="K1416" s="50"/>
      <c r="V1416" s="173"/>
      <c r="W1416" s="173"/>
      <c r="X1416" s="173"/>
      <c r="AA1416" s="80"/>
    </row>
    <row r="1417" spans="9:27" x14ac:dyDescent="0.25">
      <c r="I1417" s="50"/>
      <c r="J1417" s="50"/>
      <c r="K1417" s="50"/>
      <c r="V1417" s="173"/>
      <c r="W1417" s="173"/>
      <c r="X1417" s="173"/>
      <c r="AA1417" s="80"/>
    </row>
    <row r="1418" spans="9:27" x14ac:dyDescent="0.25">
      <c r="I1418" s="50"/>
      <c r="J1418" s="50"/>
      <c r="K1418" s="50"/>
      <c r="V1418" s="173"/>
      <c r="W1418" s="173"/>
      <c r="X1418" s="173"/>
      <c r="AA1418" s="80"/>
    </row>
    <row r="1419" spans="9:27" x14ac:dyDescent="0.25">
      <c r="I1419" s="50"/>
      <c r="J1419" s="50"/>
      <c r="K1419" s="50"/>
      <c r="V1419" s="173"/>
      <c r="W1419" s="173"/>
      <c r="X1419" s="173"/>
      <c r="AA1419" s="80"/>
    </row>
    <row r="1420" spans="9:27" x14ac:dyDescent="0.25">
      <c r="I1420" s="50"/>
      <c r="J1420" s="50"/>
      <c r="K1420" s="50"/>
      <c r="V1420" s="173"/>
      <c r="W1420" s="173"/>
      <c r="X1420" s="173"/>
      <c r="AA1420" s="80"/>
    </row>
    <row r="1421" spans="9:27" x14ac:dyDescent="0.25">
      <c r="I1421" s="50"/>
      <c r="J1421" s="50"/>
      <c r="K1421" s="50"/>
      <c r="V1421" s="173"/>
      <c r="W1421" s="173"/>
      <c r="X1421" s="173"/>
      <c r="AA1421" s="80"/>
    </row>
    <row r="1422" spans="9:27" x14ac:dyDescent="0.25">
      <c r="I1422" s="50"/>
      <c r="J1422" s="50"/>
      <c r="K1422" s="50"/>
      <c r="V1422" s="173"/>
      <c r="W1422" s="173"/>
      <c r="X1422" s="173"/>
      <c r="AA1422" s="80"/>
    </row>
    <row r="1423" spans="9:27" x14ac:dyDescent="0.25">
      <c r="I1423" s="50"/>
      <c r="J1423" s="50"/>
      <c r="K1423" s="50"/>
      <c r="V1423" s="173"/>
      <c r="W1423" s="173"/>
      <c r="X1423" s="173"/>
      <c r="AA1423" s="80"/>
    </row>
    <row r="1424" spans="9:27" x14ac:dyDescent="0.25">
      <c r="I1424" s="50"/>
      <c r="J1424" s="50"/>
      <c r="K1424" s="50"/>
      <c r="V1424" s="173"/>
      <c r="W1424" s="173"/>
      <c r="X1424" s="173"/>
      <c r="AA1424" s="80"/>
    </row>
    <row r="1425" spans="9:27" x14ac:dyDescent="0.25">
      <c r="I1425" s="50"/>
      <c r="J1425" s="50"/>
      <c r="K1425" s="50"/>
      <c r="V1425" s="173"/>
      <c r="W1425" s="173"/>
      <c r="X1425" s="173"/>
      <c r="AA1425" s="80"/>
    </row>
    <row r="1426" spans="9:27" x14ac:dyDescent="0.25">
      <c r="I1426" s="50"/>
      <c r="J1426" s="50"/>
      <c r="K1426" s="50"/>
      <c r="V1426" s="173"/>
      <c r="W1426" s="173"/>
      <c r="X1426" s="173"/>
      <c r="AA1426" s="80"/>
    </row>
    <row r="1427" spans="9:27" x14ac:dyDescent="0.25">
      <c r="I1427" s="50"/>
      <c r="J1427" s="50"/>
      <c r="K1427" s="50"/>
      <c r="V1427" s="173"/>
      <c r="W1427" s="173"/>
      <c r="X1427" s="173"/>
      <c r="AA1427" s="80"/>
    </row>
    <row r="1428" spans="9:27" x14ac:dyDescent="0.25">
      <c r="I1428" s="50"/>
      <c r="J1428" s="50"/>
      <c r="K1428" s="50"/>
      <c r="V1428" s="173"/>
      <c r="W1428" s="173"/>
      <c r="X1428" s="173"/>
      <c r="AA1428" s="80"/>
    </row>
    <row r="1429" spans="9:27" x14ac:dyDescent="0.25">
      <c r="I1429" s="50"/>
      <c r="J1429" s="50"/>
      <c r="K1429" s="50"/>
      <c r="V1429" s="173"/>
      <c r="W1429" s="173"/>
      <c r="X1429" s="173"/>
      <c r="AA1429" s="80"/>
    </row>
    <row r="1430" spans="9:27" x14ac:dyDescent="0.25">
      <c r="I1430" s="50"/>
      <c r="J1430" s="50"/>
      <c r="K1430" s="50"/>
      <c r="V1430" s="173"/>
      <c r="W1430" s="173"/>
      <c r="X1430" s="173"/>
      <c r="AA1430" s="80"/>
    </row>
    <row r="1431" spans="9:27" x14ac:dyDescent="0.25">
      <c r="I1431" s="50"/>
      <c r="J1431" s="50"/>
      <c r="K1431" s="50"/>
      <c r="V1431" s="173"/>
      <c r="W1431" s="173"/>
      <c r="X1431" s="173"/>
      <c r="AA1431" s="80"/>
    </row>
    <row r="1432" spans="9:27" x14ac:dyDescent="0.25">
      <c r="I1432" s="50"/>
      <c r="J1432" s="50"/>
      <c r="K1432" s="50"/>
      <c r="V1432" s="173"/>
      <c r="W1432" s="173"/>
      <c r="X1432" s="173"/>
      <c r="AA1432" s="80"/>
    </row>
    <row r="1433" spans="9:27" x14ac:dyDescent="0.25">
      <c r="I1433" s="50"/>
      <c r="J1433" s="50"/>
      <c r="K1433" s="50"/>
      <c r="V1433" s="173"/>
      <c r="W1433" s="173"/>
      <c r="X1433" s="173"/>
      <c r="AA1433" s="80"/>
    </row>
    <row r="1434" spans="9:27" x14ac:dyDescent="0.25">
      <c r="I1434" s="50"/>
      <c r="J1434" s="50"/>
      <c r="K1434" s="50"/>
      <c r="V1434" s="173"/>
      <c r="W1434" s="173"/>
      <c r="X1434" s="173"/>
      <c r="AA1434" s="80"/>
    </row>
    <row r="1435" spans="9:27" x14ac:dyDescent="0.25">
      <c r="I1435" s="50"/>
      <c r="J1435" s="50"/>
      <c r="K1435" s="50"/>
      <c r="V1435" s="173"/>
      <c r="W1435" s="173"/>
      <c r="X1435" s="173"/>
      <c r="AA1435" s="80"/>
    </row>
    <row r="1436" spans="9:27" x14ac:dyDescent="0.25">
      <c r="I1436" s="50"/>
      <c r="J1436" s="50"/>
      <c r="K1436" s="50"/>
      <c r="V1436" s="173"/>
      <c r="W1436" s="173"/>
      <c r="X1436" s="173"/>
      <c r="AA1436" s="80"/>
    </row>
    <row r="1437" spans="9:27" x14ac:dyDescent="0.25">
      <c r="I1437" s="50"/>
      <c r="J1437" s="50"/>
      <c r="K1437" s="50"/>
      <c r="V1437" s="173"/>
      <c r="W1437" s="173"/>
      <c r="X1437" s="173"/>
      <c r="AA1437" s="80"/>
    </row>
    <row r="1438" spans="9:27" x14ac:dyDescent="0.25">
      <c r="I1438" s="50"/>
      <c r="J1438" s="50"/>
      <c r="K1438" s="50"/>
      <c r="V1438" s="173"/>
      <c r="W1438" s="173"/>
      <c r="X1438" s="173"/>
      <c r="AA1438" s="80"/>
    </row>
    <row r="1439" spans="9:27" x14ac:dyDescent="0.25">
      <c r="I1439" s="50"/>
      <c r="J1439" s="50"/>
      <c r="K1439" s="50"/>
      <c r="V1439" s="173"/>
      <c r="W1439" s="173"/>
      <c r="X1439" s="173"/>
      <c r="AA1439" s="80"/>
    </row>
    <row r="1440" spans="9:27" x14ac:dyDescent="0.25">
      <c r="I1440" s="50"/>
      <c r="J1440" s="50"/>
      <c r="K1440" s="50"/>
      <c r="V1440" s="173"/>
      <c r="W1440" s="173"/>
      <c r="X1440" s="173"/>
      <c r="AA1440" s="80"/>
    </row>
    <row r="1441" spans="9:27" x14ac:dyDescent="0.25">
      <c r="I1441" s="50"/>
      <c r="J1441" s="50"/>
      <c r="K1441" s="50"/>
      <c r="V1441" s="173"/>
      <c r="W1441" s="173"/>
      <c r="X1441" s="173"/>
      <c r="AA1441" s="80"/>
    </row>
    <row r="1442" spans="9:27" x14ac:dyDescent="0.25">
      <c r="I1442" s="50"/>
      <c r="J1442" s="50"/>
      <c r="K1442" s="50"/>
      <c r="V1442" s="173"/>
      <c r="W1442" s="173"/>
      <c r="X1442" s="173"/>
      <c r="AA1442" s="80"/>
    </row>
    <row r="1443" spans="9:27" x14ac:dyDescent="0.25">
      <c r="I1443" s="50"/>
      <c r="J1443" s="50"/>
      <c r="K1443" s="50"/>
      <c r="V1443" s="173"/>
      <c r="W1443" s="173"/>
      <c r="X1443" s="173"/>
      <c r="AA1443" s="80"/>
    </row>
    <row r="1444" spans="9:27" x14ac:dyDescent="0.25">
      <c r="I1444" s="50"/>
      <c r="J1444" s="50"/>
      <c r="K1444" s="50"/>
      <c r="V1444" s="173"/>
      <c r="W1444" s="173"/>
      <c r="X1444" s="173"/>
      <c r="AA1444" s="80"/>
    </row>
    <row r="1445" spans="9:27" x14ac:dyDescent="0.25">
      <c r="I1445" s="50"/>
      <c r="J1445" s="50"/>
      <c r="K1445" s="50"/>
      <c r="V1445" s="173"/>
      <c r="W1445" s="173"/>
      <c r="X1445" s="173"/>
      <c r="AA1445" s="80"/>
    </row>
    <row r="1446" spans="9:27" x14ac:dyDescent="0.25">
      <c r="I1446" s="50"/>
      <c r="J1446" s="50"/>
      <c r="K1446" s="50"/>
      <c r="V1446" s="173"/>
      <c r="W1446" s="173"/>
      <c r="X1446" s="173"/>
      <c r="AA1446" s="80"/>
    </row>
    <row r="1447" spans="9:27" x14ac:dyDescent="0.25">
      <c r="I1447" s="50"/>
      <c r="J1447" s="50"/>
      <c r="K1447" s="50"/>
      <c r="V1447" s="173"/>
      <c r="W1447" s="173"/>
      <c r="X1447" s="173"/>
      <c r="AA1447" s="80"/>
    </row>
    <row r="1448" spans="9:27" x14ac:dyDescent="0.25">
      <c r="I1448" s="50"/>
      <c r="J1448" s="50"/>
      <c r="K1448" s="50"/>
      <c r="V1448" s="173"/>
      <c r="W1448" s="173"/>
      <c r="X1448" s="173"/>
      <c r="AA1448" s="80"/>
    </row>
    <row r="1449" spans="9:27" x14ac:dyDescent="0.25">
      <c r="I1449" s="50"/>
      <c r="J1449" s="50"/>
      <c r="K1449" s="50"/>
      <c r="V1449" s="173"/>
      <c r="W1449" s="173"/>
      <c r="X1449" s="173"/>
      <c r="AA1449" s="80"/>
    </row>
    <row r="1450" spans="9:27" x14ac:dyDescent="0.25">
      <c r="I1450" s="50"/>
      <c r="J1450" s="50"/>
      <c r="K1450" s="50"/>
      <c r="V1450" s="173"/>
      <c r="W1450" s="173"/>
      <c r="X1450" s="173"/>
      <c r="AA1450" s="80"/>
    </row>
    <row r="1451" spans="9:27" x14ac:dyDescent="0.25">
      <c r="I1451" s="50"/>
      <c r="J1451" s="50"/>
      <c r="K1451" s="50"/>
      <c r="V1451" s="173"/>
      <c r="W1451" s="173"/>
      <c r="X1451" s="173"/>
      <c r="AA1451" s="80"/>
    </row>
    <row r="1452" spans="9:27" x14ac:dyDescent="0.25">
      <c r="I1452" s="50"/>
      <c r="J1452" s="50"/>
      <c r="K1452" s="50"/>
      <c r="V1452" s="173"/>
      <c r="W1452" s="173"/>
      <c r="X1452" s="173"/>
      <c r="AA1452" s="80"/>
    </row>
    <row r="1453" spans="9:27" x14ac:dyDescent="0.25">
      <c r="I1453" s="50"/>
      <c r="J1453" s="50"/>
      <c r="K1453" s="50"/>
      <c r="V1453" s="173"/>
      <c r="W1453" s="173"/>
      <c r="X1453" s="173"/>
      <c r="AA1453" s="80"/>
    </row>
    <row r="1454" spans="9:27" x14ac:dyDescent="0.25">
      <c r="I1454" s="50"/>
      <c r="J1454" s="50"/>
      <c r="K1454" s="50"/>
      <c r="V1454" s="173"/>
      <c r="W1454" s="173"/>
      <c r="X1454" s="173"/>
      <c r="AA1454" s="80"/>
    </row>
    <row r="1455" spans="9:27" x14ac:dyDescent="0.25">
      <c r="I1455" s="50"/>
      <c r="J1455" s="50"/>
      <c r="K1455" s="50"/>
      <c r="V1455" s="173"/>
      <c r="W1455" s="173"/>
      <c r="X1455" s="173"/>
      <c r="AA1455" s="80"/>
    </row>
    <row r="1456" spans="9:27" x14ac:dyDescent="0.25">
      <c r="I1456" s="50"/>
      <c r="J1456" s="50"/>
      <c r="K1456" s="50"/>
      <c r="V1456" s="173"/>
      <c r="W1456" s="173"/>
      <c r="X1456" s="173"/>
      <c r="AA1456" s="80"/>
    </row>
    <row r="1457" spans="9:27" x14ac:dyDescent="0.25">
      <c r="I1457" s="50"/>
      <c r="J1457" s="50"/>
      <c r="K1457" s="50"/>
      <c r="V1457" s="173"/>
      <c r="W1457" s="173"/>
      <c r="X1457" s="173"/>
      <c r="AA1457" s="80"/>
    </row>
    <row r="1458" spans="9:27" x14ac:dyDescent="0.25">
      <c r="I1458" s="50"/>
      <c r="J1458" s="50"/>
      <c r="K1458" s="50"/>
      <c r="V1458" s="173"/>
      <c r="W1458" s="173"/>
      <c r="X1458" s="173"/>
      <c r="AA1458" s="80"/>
    </row>
    <row r="1459" spans="9:27" x14ac:dyDescent="0.25">
      <c r="I1459" s="50"/>
      <c r="J1459" s="50"/>
      <c r="K1459" s="50"/>
      <c r="V1459" s="173"/>
      <c r="W1459" s="173"/>
      <c r="X1459" s="173"/>
      <c r="AA1459" s="80"/>
    </row>
    <row r="1460" spans="9:27" x14ac:dyDescent="0.25">
      <c r="I1460" s="50"/>
      <c r="J1460" s="50"/>
      <c r="K1460" s="50"/>
      <c r="V1460" s="173"/>
      <c r="W1460" s="173"/>
      <c r="X1460" s="173"/>
      <c r="AA1460" s="80"/>
    </row>
    <row r="1461" spans="9:27" x14ac:dyDescent="0.25">
      <c r="I1461" s="50"/>
      <c r="J1461" s="50"/>
      <c r="K1461" s="50"/>
      <c r="V1461" s="173"/>
      <c r="W1461" s="173"/>
      <c r="X1461" s="173"/>
      <c r="AA1461" s="80"/>
    </row>
    <row r="1462" spans="9:27" x14ac:dyDescent="0.25">
      <c r="I1462" s="50"/>
      <c r="J1462" s="50"/>
      <c r="K1462" s="50"/>
      <c r="V1462" s="173"/>
      <c r="W1462" s="173"/>
      <c r="X1462" s="173"/>
      <c r="AA1462" s="80"/>
    </row>
    <row r="1463" spans="9:27" x14ac:dyDescent="0.25">
      <c r="I1463" s="50"/>
      <c r="J1463" s="50"/>
      <c r="K1463" s="50"/>
      <c r="V1463" s="173"/>
      <c r="W1463" s="173"/>
      <c r="X1463" s="173"/>
      <c r="AA1463" s="80"/>
    </row>
    <row r="1464" spans="9:27" x14ac:dyDescent="0.25">
      <c r="I1464" s="50"/>
      <c r="J1464" s="50"/>
      <c r="K1464" s="50"/>
      <c r="V1464" s="173"/>
      <c r="W1464" s="173"/>
      <c r="X1464" s="173"/>
      <c r="AA1464" s="80"/>
    </row>
    <row r="1465" spans="9:27" x14ac:dyDescent="0.25">
      <c r="I1465" s="50"/>
      <c r="J1465" s="50"/>
      <c r="K1465" s="50"/>
      <c r="V1465" s="173"/>
      <c r="W1465" s="173"/>
      <c r="X1465" s="173"/>
      <c r="AA1465" s="80"/>
    </row>
    <row r="1466" spans="9:27" x14ac:dyDescent="0.25">
      <c r="I1466" s="50"/>
      <c r="J1466" s="50"/>
      <c r="K1466" s="50"/>
      <c r="V1466" s="173"/>
      <c r="W1466" s="173"/>
      <c r="X1466" s="173"/>
      <c r="AA1466" s="80"/>
    </row>
    <row r="1467" spans="9:27" x14ac:dyDescent="0.25">
      <c r="I1467" s="50"/>
      <c r="J1467" s="50"/>
      <c r="K1467" s="50"/>
      <c r="V1467" s="173"/>
      <c r="W1467" s="173"/>
      <c r="X1467" s="173"/>
      <c r="AA1467" s="80"/>
    </row>
    <row r="1468" spans="9:27" x14ac:dyDescent="0.25">
      <c r="I1468" s="50"/>
      <c r="J1468" s="50"/>
      <c r="K1468" s="50"/>
      <c r="V1468" s="173"/>
      <c r="W1468" s="173"/>
      <c r="X1468" s="173"/>
      <c r="AA1468" s="80"/>
    </row>
    <row r="1469" spans="9:27" x14ac:dyDescent="0.25">
      <c r="I1469" s="50"/>
      <c r="J1469" s="50"/>
      <c r="K1469" s="50"/>
      <c r="V1469" s="173"/>
      <c r="W1469" s="173"/>
      <c r="X1469" s="173"/>
      <c r="AA1469" s="80"/>
    </row>
    <row r="1470" spans="9:27" x14ac:dyDescent="0.25">
      <c r="I1470" s="50"/>
      <c r="J1470" s="50"/>
      <c r="K1470" s="50"/>
      <c r="V1470" s="173"/>
      <c r="W1470" s="173"/>
      <c r="X1470" s="173"/>
      <c r="AA1470" s="80"/>
    </row>
    <row r="1471" spans="9:27" x14ac:dyDescent="0.25">
      <c r="I1471" s="50"/>
      <c r="J1471" s="50"/>
      <c r="K1471" s="50"/>
      <c r="V1471" s="173"/>
      <c r="W1471" s="173"/>
      <c r="X1471" s="173"/>
      <c r="AA1471" s="80"/>
    </row>
    <row r="1472" spans="9:27" x14ac:dyDescent="0.25">
      <c r="I1472" s="50"/>
      <c r="J1472" s="50"/>
      <c r="K1472" s="50"/>
      <c r="V1472" s="173"/>
      <c r="W1472" s="173"/>
      <c r="X1472" s="173"/>
      <c r="AA1472" s="80"/>
    </row>
    <row r="1473" spans="9:27" x14ac:dyDescent="0.25">
      <c r="I1473" s="50"/>
      <c r="J1473" s="50"/>
      <c r="K1473" s="50"/>
      <c r="V1473" s="173"/>
      <c r="W1473" s="173"/>
      <c r="X1473" s="173"/>
      <c r="AA1473" s="80"/>
    </row>
    <row r="1474" spans="9:27" x14ac:dyDescent="0.25">
      <c r="I1474" s="50"/>
      <c r="J1474" s="50"/>
      <c r="K1474" s="50"/>
      <c r="V1474" s="173"/>
      <c r="W1474" s="173"/>
      <c r="X1474" s="173"/>
      <c r="AA1474" s="80"/>
    </row>
    <row r="1475" spans="9:27" x14ac:dyDescent="0.25">
      <c r="I1475" s="50"/>
      <c r="J1475" s="50"/>
      <c r="K1475" s="50"/>
      <c r="V1475" s="173"/>
      <c r="W1475" s="173"/>
      <c r="X1475" s="173"/>
      <c r="AA1475" s="80"/>
    </row>
    <row r="1476" spans="9:27" x14ac:dyDescent="0.25">
      <c r="I1476" s="50"/>
      <c r="J1476" s="50"/>
      <c r="K1476" s="50"/>
      <c r="V1476" s="173"/>
      <c r="W1476" s="173"/>
      <c r="X1476" s="173"/>
      <c r="AA1476" s="80"/>
    </row>
    <row r="1477" spans="9:27" x14ac:dyDescent="0.25">
      <c r="I1477" s="50"/>
      <c r="J1477" s="50"/>
      <c r="K1477" s="50"/>
      <c r="V1477" s="173"/>
      <c r="W1477" s="173"/>
      <c r="X1477" s="173"/>
      <c r="AA1477" s="80"/>
    </row>
    <row r="1478" spans="9:27" x14ac:dyDescent="0.25">
      <c r="I1478" s="50"/>
      <c r="J1478" s="50"/>
      <c r="K1478" s="50"/>
      <c r="V1478" s="173"/>
      <c r="W1478" s="173"/>
      <c r="X1478" s="173"/>
      <c r="AA1478" s="80"/>
    </row>
    <row r="1479" spans="9:27" x14ac:dyDescent="0.25">
      <c r="I1479" s="50"/>
      <c r="J1479" s="50"/>
      <c r="K1479" s="50"/>
      <c r="V1479" s="173"/>
      <c r="W1479" s="173"/>
      <c r="X1479" s="173"/>
      <c r="AA1479" s="80"/>
    </row>
    <row r="1480" spans="9:27" x14ac:dyDescent="0.25">
      <c r="I1480" s="50"/>
      <c r="J1480" s="50"/>
      <c r="K1480" s="50"/>
      <c r="V1480" s="173"/>
      <c r="W1480" s="173"/>
      <c r="X1480" s="173"/>
      <c r="AA1480" s="80"/>
    </row>
    <row r="1481" spans="9:27" x14ac:dyDescent="0.25">
      <c r="I1481" s="50"/>
      <c r="J1481" s="50"/>
      <c r="K1481" s="50"/>
      <c r="V1481" s="173"/>
      <c r="W1481" s="173"/>
      <c r="X1481" s="173"/>
      <c r="AA1481" s="80"/>
    </row>
    <row r="1482" spans="9:27" x14ac:dyDescent="0.25">
      <c r="I1482" s="50"/>
      <c r="J1482" s="50"/>
      <c r="K1482" s="50"/>
      <c r="V1482" s="173"/>
      <c r="W1482" s="173"/>
      <c r="X1482" s="173"/>
      <c r="AA1482" s="80"/>
    </row>
    <row r="1483" spans="9:27" x14ac:dyDescent="0.25">
      <c r="I1483" s="50"/>
      <c r="J1483" s="50"/>
      <c r="K1483" s="50"/>
      <c r="V1483" s="173"/>
      <c r="W1483" s="173"/>
      <c r="X1483" s="173"/>
      <c r="AA1483" s="80"/>
    </row>
    <row r="1484" spans="9:27" x14ac:dyDescent="0.25">
      <c r="I1484" s="50"/>
      <c r="J1484" s="50"/>
      <c r="K1484" s="50"/>
      <c r="V1484" s="173"/>
      <c r="W1484" s="173"/>
      <c r="X1484" s="173"/>
      <c r="AA1484" s="80"/>
    </row>
    <row r="1485" spans="9:27" x14ac:dyDescent="0.25">
      <c r="I1485" s="50"/>
      <c r="J1485" s="50"/>
      <c r="K1485" s="50"/>
      <c r="V1485" s="173"/>
      <c r="W1485" s="173"/>
      <c r="X1485" s="173"/>
      <c r="AA1485" s="80"/>
    </row>
    <row r="1486" spans="9:27" x14ac:dyDescent="0.25">
      <c r="I1486" s="50"/>
      <c r="J1486" s="50"/>
      <c r="K1486" s="50"/>
      <c r="V1486" s="173"/>
      <c r="W1486" s="173"/>
      <c r="X1486" s="173"/>
      <c r="AA1486" s="80"/>
    </row>
    <row r="1487" spans="9:27" x14ac:dyDescent="0.25">
      <c r="I1487" s="50"/>
      <c r="J1487" s="50"/>
      <c r="K1487" s="50"/>
      <c r="V1487" s="173"/>
      <c r="W1487" s="173"/>
      <c r="X1487" s="173"/>
      <c r="AA1487" s="80"/>
    </row>
    <row r="1488" spans="9:27" x14ac:dyDescent="0.25">
      <c r="I1488" s="50"/>
      <c r="J1488" s="50"/>
      <c r="K1488" s="50"/>
      <c r="V1488" s="173"/>
      <c r="W1488" s="173"/>
      <c r="X1488" s="173"/>
      <c r="AA1488" s="80"/>
    </row>
    <row r="1489" spans="9:27" x14ac:dyDescent="0.25">
      <c r="I1489" s="50"/>
      <c r="J1489" s="50"/>
      <c r="K1489" s="50"/>
      <c r="V1489" s="173"/>
      <c r="W1489" s="173"/>
      <c r="X1489" s="173"/>
      <c r="AA1489" s="80"/>
    </row>
    <row r="1490" spans="9:27" x14ac:dyDescent="0.25">
      <c r="I1490" s="50"/>
      <c r="J1490" s="50"/>
      <c r="K1490" s="50"/>
      <c r="V1490" s="173"/>
      <c r="W1490" s="173"/>
      <c r="X1490" s="173"/>
      <c r="AA1490" s="80"/>
    </row>
    <row r="1491" spans="9:27" x14ac:dyDescent="0.25">
      <c r="I1491" s="50"/>
      <c r="J1491" s="50"/>
      <c r="K1491" s="50"/>
      <c r="V1491" s="173"/>
      <c r="W1491" s="173"/>
      <c r="X1491" s="173"/>
      <c r="AA1491" s="80"/>
    </row>
    <row r="1492" spans="9:27" x14ac:dyDescent="0.25">
      <c r="I1492" s="50"/>
      <c r="J1492" s="50"/>
      <c r="K1492" s="50"/>
      <c r="V1492" s="173"/>
      <c r="W1492" s="173"/>
      <c r="X1492" s="173"/>
      <c r="AA1492" s="80"/>
    </row>
    <row r="1493" spans="9:27" x14ac:dyDescent="0.25">
      <c r="I1493" s="50"/>
      <c r="J1493" s="50"/>
      <c r="K1493" s="50"/>
      <c r="V1493" s="173"/>
      <c r="W1493" s="173"/>
      <c r="X1493" s="173"/>
      <c r="AA1493" s="80"/>
    </row>
    <row r="1494" spans="9:27" x14ac:dyDescent="0.25">
      <c r="I1494" s="50"/>
      <c r="J1494" s="50"/>
      <c r="K1494" s="50"/>
      <c r="V1494" s="173"/>
      <c r="W1494" s="173"/>
      <c r="X1494" s="173"/>
      <c r="AA1494" s="80"/>
    </row>
    <row r="1495" spans="9:27" x14ac:dyDescent="0.25">
      <c r="I1495" s="50"/>
      <c r="J1495" s="50"/>
      <c r="K1495" s="50"/>
      <c r="V1495" s="173"/>
      <c r="W1495" s="173"/>
      <c r="X1495" s="173"/>
      <c r="AA1495" s="80"/>
    </row>
    <row r="1496" spans="9:27" x14ac:dyDescent="0.25">
      <c r="I1496" s="50"/>
      <c r="J1496" s="50"/>
      <c r="K1496" s="50"/>
      <c r="V1496" s="173"/>
      <c r="W1496" s="173"/>
      <c r="X1496" s="173"/>
      <c r="AA1496" s="80"/>
    </row>
    <row r="1497" spans="9:27" x14ac:dyDescent="0.25">
      <c r="I1497" s="50"/>
      <c r="J1497" s="50"/>
      <c r="K1497" s="50"/>
      <c r="V1497" s="173"/>
      <c r="W1497" s="173"/>
      <c r="X1497" s="173"/>
      <c r="AA1497" s="80"/>
    </row>
    <row r="1498" spans="9:27" x14ac:dyDescent="0.25">
      <c r="I1498" s="50"/>
      <c r="J1498" s="50"/>
      <c r="K1498" s="50"/>
      <c r="V1498" s="173"/>
      <c r="W1498" s="173"/>
      <c r="X1498" s="173"/>
      <c r="AA1498" s="80"/>
    </row>
    <row r="1499" spans="9:27" x14ac:dyDescent="0.25">
      <c r="I1499" s="50"/>
      <c r="J1499" s="50"/>
      <c r="K1499" s="50"/>
      <c r="V1499" s="173"/>
      <c r="W1499" s="173"/>
      <c r="X1499" s="173"/>
      <c r="AA1499" s="80"/>
    </row>
    <row r="1500" spans="9:27" x14ac:dyDescent="0.25">
      <c r="I1500" s="50"/>
      <c r="J1500" s="50"/>
      <c r="K1500" s="50"/>
      <c r="V1500" s="173"/>
      <c r="W1500" s="173"/>
      <c r="X1500" s="173"/>
      <c r="AA1500" s="80"/>
    </row>
    <row r="1501" spans="9:27" x14ac:dyDescent="0.25">
      <c r="I1501" s="50"/>
      <c r="J1501" s="50"/>
      <c r="K1501" s="50"/>
      <c r="V1501" s="173"/>
      <c r="W1501" s="173"/>
      <c r="X1501" s="173"/>
      <c r="AA1501" s="80"/>
    </row>
    <row r="1502" spans="9:27" x14ac:dyDescent="0.25">
      <c r="I1502" s="50"/>
      <c r="J1502" s="50"/>
      <c r="K1502" s="50"/>
      <c r="V1502" s="173"/>
      <c r="W1502" s="173"/>
      <c r="X1502" s="173"/>
      <c r="AA1502" s="80"/>
    </row>
    <row r="1503" spans="9:27" x14ac:dyDescent="0.25">
      <c r="I1503" s="50"/>
      <c r="J1503" s="50"/>
      <c r="K1503" s="50"/>
      <c r="V1503" s="173"/>
      <c r="W1503" s="173"/>
      <c r="X1503" s="173"/>
      <c r="AA1503" s="80"/>
    </row>
    <row r="1504" spans="9:27" x14ac:dyDescent="0.25">
      <c r="I1504" s="50"/>
      <c r="J1504" s="50"/>
      <c r="K1504" s="50"/>
      <c r="V1504" s="173"/>
      <c r="W1504" s="173"/>
      <c r="X1504" s="173"/>
      <c r="AA1504" s="80"/>
    </row>
    <row r="1505" spans="9:27" x14ac:dyDescent="0.25">
      <c r="I1505" s="50"/>
      <c r="J1505" s="50"/>
      <c r="K1505" s="50"/>
      <c r="V1505" s="173"/>
      <c r="W1505" s="173"/>
      <c r="X1505" s="173"/>
      <c r="AA1505" s="80"/>
    </row>
    <row r="1506" spans="9:27" x14ac:dyDescent="0.25">
      <c r="I1506" s="50"/>
      <c r="J1506" s="50"/>
      <c r="K1506" s="50"/>
      <c r="V1506" s="173"/>
      <c r="W1506" s="173"/>
      <c r="X1506" s="173"/>
      <c r="AA1506" s="80"/>
    </row>
    <row r="1507" spans="9:27" x14ac:dyDescent="0.25">
      <c r="I1507" s="50"/>
      <c r="J1507" s="50"/>
      <c r="K1507" s="50"/>
      <c r="V1507" s="173"/>
      <c r="W1507" s="173"/>
      <c r="X1507" s="173"/>
      <c r="AA1507" s="80"/>
    </row>
    <row r="1508" spans="9:27" x14ac:dyDescent="0.25">
      <c r="I1508" s="50"/>
      <c r="J1508" s="50"/>
      <c r="K1508" s="50"/>
      <c r="V1508" s="173"/>
      <c r="W1508" s="173"/>
      <c r="X1508" s="173"/>
      <c r="AA1508" s="80"/>
    </row>
    <row r="1509" spans="9:27" x14ac:dyDescent="0.25">
      <c r="I1509" s="50"/>
      <c r="J1509" s="50"/>
      <c r="K1509" s="50"/>
      <c r="V1509" s="173"/>
      <c r="W1509" s="173"/>
      <c r="X1509" s="173"/>
      <c r="AA1509" s="80"/>
    </row>
    <row r="1510" spans="9:27" x14ac:dyDescent="0.25">
      <c r="I1510" s="50"/>
      <c r="J1510" s="50"/>
      <c r="K1510" s="50"/>
      <c r="V1510" s="173"/>
      <c r="W1510" s="173"/>
      <c r="X1510" s="173"/>
      <c r="AA1510" s="80"/>
    </row>
    <row r="1511" spans="9:27" x14ac:dyDescent="0.25">
      <c r="I1511" s="50"/>
      <c r="J1511" s="50"/>
      <c r="K1511" s="50"/>
      <c r="V1511" s="173"/>
      <c r="W1511" s="173"/>
      <c r="X1511" s="173"/>
      <c r="AA1511" s="80"/>
    </row>
    <row r="1512" spans="9:27" x14ac:dyDescent="0.25">
      <c r="I1512" s="50"/>
      <c r="J1512" s="50"/>
      <c r="K1512" s="50"/>
      <c r="V1512" s="173"/>
      <c r="W1512" s="173"/>
      <c r="X1512" s="173"/>
      <c r="AA1512" s="80"/>
    </row>
    <row r="1513" spans="9:27" x14ac:dyDescent="0.25">
      <c r="I1513" s="50"/>
      <c r="J1513" s="50"/>
      <c r="K1513" s="50"/>
      <c r="V1513" s="173"/>
      <c r="W1513" s="173"/>
      <c r="X1513" s="173"/>
      <c r="AA1513" s="80"/>
    </row>
    <row r="1514" spans="9:27" x14ac:dyDescent="0.25">
      <c r="I1514" s="50"/>
      <c r="J1514" s="50"/>
      <c r="K1514" s="50"/>
      <c r="V1514" s="173"/>
      <c r="W1514" s="173"/>
      <c r="X1514" s="173"/>
      <c r="AA1514" s="80"/>
    </row>
    <row r="1515" spans="9:27" x14ac:dyDescent="0.25">
      <c r="I1515" s="50"/>
      <c r="J1515" s="50"/>
      <c r="K1515" s="50"/>
      <c r="V1515" s="173"/>
      <c r="W1515" s="173"/>
      <c r="X1515" s="173"/>
      <c r="AA1515" s="80"/>
    </row>
    <row r="1516" spans="9:27" x14ac:dyDescent="0.25">
      <c r="I1516" s="50"/>
      <c r="J1516" s="50"/>
      <c r="K1516" s="50"/>
      <c r="V1516" s="173"/>
      <c r="W1516" s="173"/>
      <c r="X1516" s="173"/>
      <c r="AA1516" s="80"/>
    </row>
    <row r="1517" spans="9:27" x14ac:dyDescent="0.25">
      <c r="I1517" s="50"/>
      <c r="J1517" s="50"/>
      <c r="K1517" s="50"/>
      <c r="V1517" s="173"/>
      <c r="W1517" s="173"/>
      <c r="X1517" s="173"/>
      <c r="AA1517" s="80"/>
    </row>
    <row r="1518" spans="9:27" x14ac:dyDescent="0.25">
      <c r="I1518" s="50"/>
      <c r="J1518" s="50"/>
      <c r="K1518" s="50"/>
      <c r="V1518" s="173"/>
      <c r="W1518" s="173"/>
      <c r="X1518" s="173"/>
      <c r="AA1518" s="80"/>
    </row>
    <row r="1519" spans="9:27" x14ac:dyDescent="0.25">
      <c r="I1519" s="50"/>
      <c r="J1519" s="50"/>
      <c r="K1519" s="50"/>
      <c r="V1519" s="173"/>
      <c r="W1519" s="173"/>
      <c r="X1519" s="173"/>
      <c r="AA1519" s="80"/>
    </row>
    <row r="1520" spans="9:27" x14ac:dyDescent="0.25">
      <c r="I1520" s="50"/>
      <c r="J1520" s="50"/>
      <c r="K1520" s="50"/>
      <c r="V1520" s="173"/>
      <c r="W1520" s="173"/>
      <c r="X1520" s="173"/>
      <c r="AA1520" s="80"/>
    </row>
    <row r="1521" spans="9:27" x14ac:dyDescent="0.25">
      <c r="I1521" s="50"/>
      <c r="J1521" s="50"/>
      <c r="K1521" s="50"/>
      <c r="V1521" s="173"/>
      <c r="W1521" s="173"/>
      <c r="X1521" s="173"/>
      <c r="AA1521" s="80"/>
    </row>
    <row r="1522" spans="9:27" x14ac:dyDescent="0.25">
      <c r="I1522" s="50"/>
      <c r="J1522" s="50"/>
      <c r="K1522" s="50"/>
      <c r="V1522" s="173"/>
      <c r="W1522" s="173"/>
      <c r="X1522" s="173"/>
      <c r="AA1522" s="80"/>
    </row>
    <row r="1523" spans="9:27" x14ac:dyDescent="0.25">
      <c r="I1523" s="50"/>
      <c r="J1523" s="50"/>
      <c r="K1523" s="50"/>
      <c r="V1523" s="173"/>
      <c r="W1523" s="173"/>
      <c r="X1523" s="173"/>
      <c r="AA1523" s="80"/>
    </row>
    <row r="1524" spans="9:27" x14ac:dyDescent="0.25">
      <c r="I1524" s="50"/>
      <c r="J1524" s="50"/>
      <c r="K1524" s="50"/>
      <c r="V1524" s="173"/>
      <c r="W1524" s="173"/>
      <c r="X1524" s="173"/>
      <c r="AA1524" s="80"/>
    </row>
    <row r="1525" spans="9:27" x14ac:dyDescent="0.25">
      <c r="I1525" s="50"/>
      <c r="J1525" s="50"/>
      <c r="K1525" s="50"/>
      <c r="V1525" s="173"/>
      <c r="W1525" s="173"/>
      <c r="X1525" s="173"/>
      <c r="AA1525" s="80"/>
    </row>
    <row r="1526" spans="9:27" x14ac:dyDescent="0.25">
      <c r="I1526" s="50"/>
      <c r="J1526" s="50"/>
      <c r="K1526" s="50"/>
      <c r="V1526" s="173"/>
      <c r="W1526" s="173"/>
      <c r="X1526" s="173"/>
      <c r="AA1526" s="80"/>
    </row>
    <row r="1527" spans="9:27" x14ac:dyDescent="0.25">
      <c r="I1527" s="50"/>
      <c r="J1527" s="50"/>
      <c r="K1527" s="50"/>
      <c r="V1527" s="173"/>
      <c r="W1527" s="173"/>
      <c r="X1527" s="173"/>
      <c r="AA1527" s="80"/>
    </row>
    <row r="1528" spans="9:27" x14ac:dyDescent="0.25">
      <c r="I1528" s="50"/>
      <c r="J1528" s="50"/>
      <c r="K1528" s="50"/>
      <c r="V1528" s="173"/>
      <c r="W1528" s="173"/>
      <c r="X1528" s="173"/>
      <c r="AA1528" s="80"/>
    </row>
    <row r="1529" spans="9:27" x14ac:dyDescent="0.25">
      <c r="I1529" s="50"/>
      <c r="J1529" s="50"/>
      <c r="K1529" s="50"/>
      <c r="V1529" s="173"/>
      <c r="W1529" s="173"/>
      <c r="X1529" s="173"/>
      <c r="AA1529" s="80"/>
    </row>
    <row r="1530" spans="9:27" x14ac:dyDescent="0.25">
      <c r="I1530" s="50"/>
      <c r="J1530" s="50"/>
      <c r="K1530" s="50"/>
      <c r="V1530" s="173"/>
      <c r="W1530" s="173"/>
      <c r="X1530" s="173"/>
      <c r="AA1530" s="80"/>
    </row>
    <row r="1531" spans="9:27" x14ac:dyDescent="0.25">
      <c r="I1531" s="50"/>
      <c r="J1531" s="50"/>
      <c r="K1531" s="50"/>
      <c r="V1531" s="173"/>
      <c r="W1531" s="173"/>
      <c r="X1531" s="173"/>
      <c r="AA1531" s="80"/>
    </row>
    <row r="1532" spans="9:27" x14ac:dyDescent="0.25">
      <c r="I1532" s="50"/>
      <c r="J1532" s="50"/>
      <c r="K1532" s="50"/>
      <c r="V1532" s="173"/>
      <c r="W1532" s="173"/>
      <c r="X1532" s="173"/>
      <c r="AA1532" s="80"/>
    </row>
    <row r="1533" spans="9:27" x14ac:dyDescent="0.25">
      <c r="I1533" s="50"/>
      <c r="J1533" s="50"/>
      <c r="K1533" s="50"/>
      <c r="V1533" s="173"/>
      <c r="W1533" s="173"/>
      <c r="X1533" s="173"/>
      <c r="AA1533" s="80"/>
    </row>
    <row r="1534" spans="9:27" x14ac:dyDescent="0.25">
      <c r="I1534" s="50"/>
      <c r="J1534" s="50"/>
      <c r="K1534" s="50"/>
      <c r="V1534" s="173"/>
      <c r="W1534" s="173"/>
      <c r="X1534" s="173"/>
      <c r="AA1534" s="80"/>
    </row>
    <row r="1535" spans="9:27" x14ac:dyDescent="0.25">
      <c r="I1535" s="50"/>
      <c r="J1535" s="50"/>
      <c r="K1535" s="50"/>
      <c r="V1535" s="173"/>
      <c r="W1535" s="173"/>
      <c r="X1535" s="173"/>
      <c r="AA1535" s="80"/>
    </row>
    <row r="1536" spans="9:27" x14ac:dyDescent="0.25">
      <c r="I1536" s="50"/>
      <c r="J1536" s="50"/>
      <c r="K1536" s="50"/>
      <c r="V1536" s="173"/>
      <c r="W1536" s="173"/>
      <c r="X1536" s="173"/>
      <c r="AA1536" s="80"/>
    </row>
    <row r="1537" spans="9:27" x14ac:dyDescent="0.25">
      <c r="I1537" s="50"/>
      <c r="J1537" s="50"/>
      <c r="K1537" s="50"/>
      <c r="V1537" s="173"/>
      <c r="W1537" s="173"/>
      <c r="X1537" s="173"/>
      <c r="AA1537" s="80"/>
    </row>
    <row r="1538" spans="9:27" x14ac:dyDescent="0.25">
      <c r="I1538" s="50"/>
      <c r="J1538" s="50"/>
      <c r="K1538" s="50"/>
      <c r="V1538" s="173"/>
      <c r="W1538" s="173"/>
      <c r="X1538" s="173"/>
      <c r="AA1538" s="80"/>
    </row>
    <row r="1539" spans="9:27" x14ac:dyDescent="0.25">
      <c r="I1539" s="50"/>
      <c r="J1539" s="50"/>
      <c r="K1539" s="50"/>
      <c r="V1539" s="173"/>
      <c r="W1539" s="173"/>
      <c r="X1539" s="173"/>
      <c r="AA1539" s="80"/>
    </row>
    <row r="1540" spans="9:27" x14ac:dyDescent="0.25">
      <c r="I1540" s="50"/>
      <c r="J1540" s="50"/>
      <c r="K1540" s="50"/>
      <c r="V1540" s="173"/>
      <c r="W1540" s="173"/>
      <c r="X1540" s="173"/>
      <c r="AA1540" s="80"/>
    </row>
    <row r="1541" spans="9:27" x14ac:dyDescent="0.25">
      <c r="I1541" s="50"/>
      <c r="J1541" s="50"/>
      <c r="K1541" s="50"/>
      <c r="V1541" s="173"/>
      <c r="W1541" s="173"/>
      <c r="X1541" s="173"/>
      <c r="AA1541" s="80"/>
    </row>
    <row r="1542" spans="9:27" x14ac:dyDescent="0.25">
      <c r="I1542" s="50"/>
      <c r="J1542" s="50"/>
      <c r="K1542" s="50"/>
      <c r="V1542" s="173"/>
      <c r="W1542" s="173"/>
      <c r="X1542" s="173"/>
      <c r="AA1542" s="80"/>
    </row>
    <row r="1543" spans="9:27" x14ac:dyDescent="0.25">
      <c r="I1543" s="50"/>
      <c r="J1543" s="50"/>
      <c r="K1543" s="50"/>
      <c r="V1543" s="173"/>
      <c r="W1543" s="173"/>
      <c r="X1543" s="173"/>
      <c r="AA1543" s="80"/>
    </row>
    <row r="1544" spans="9:27" x14ac:dyDescent="0.25">
      <c r="I1544" s="50"/>
      <c r="J1544" s="50"/>
      <c r="K1544" s="50"/>
      <c r="V1544" s="173"/>
      <c r="W1544" s="173"/>
      <c r="X1544" s="173"/>
      <c r="AA1544" s="80"/>
    </row>
    <row r="1545" spans="9:27" x14ac:dyDescent="0.25">
      <c r="I1545" s="50"/>
      <c r="J1545" s="50"/>
      <c r="K1545" s="50"/>
      <c r="V1545" s="173"/>
      <c r="W1545" s="173"/>
      <c r="X1545" s="173"/>
      <c r="AA1545" s="80"/>
    </row>
    <row r="1546" spans="9:27" x14ac:dyDescent="0.25">
      <c r="I1546" s="50"/>
      <c r="J1546" s="50"/>
      <c r="K1546" s="50"/>
      <c r="V1546" s="173"/>
      <c r="W1546" s="173"/>
      <c r="X1546" s="173"/>
      <c r="AA1546" s="80"/>
    </row>
    <row r="1547" spans="9:27" x14ac:dyDescent="0.25">
      <c r="I1547" s="50"/>
      <c r="J1547" s="50"/>
      <c r="K1547" s="50"/>
      <c r="V1547" s="173"/>
      <c r="W1547" s="173"/>
      <c r="X1547" s="173"/>
      <c r="AA1547" s="80"/>
    </row>
    <row r="1548" spans="9:27" x14ac:dyDescent="0.25">
      <c r="I1548" s="50"/>
      <c r="J1548" s="50"/>
      <c r="K1548" s="50"/>
      <c r="V1548" s="173"/>
      <c r="W1548" s="173"/>
      <c r="X1548" s="173"/>
      <c r="AA1548" s="80"/>
    </row>
    <row r="1549" spans="9:27" x14ac:dyDescent="0.25">
      <c r="I1549" s="50"/>
      <c r="J1549" s="50"/>
      <c r="K1549" s="50"/>
      <c r="V1549" s="173"/>
      <c r="W1549" s="173"/>
      <c r="X1549" s="173"/>
      <c r="AA1549" s="80"/>
    </row>
    <row r="1550" spans="9:27" x14ac:dyDescent="0.25">
      <c r="I1550" s="50"/>
      <c r="J1550" s="50"/>
      <c r="K1550" s="50"/>
      <c r="V1550" s="173"/>
      <c r="W1550" s="173"/>
      <c r="X1550" s="173"/>
      <c r="AA1550" s="80"/>
    </row>
    <row r="1551" spans="9:27" x14ac:dyDescent="0.25">
      <c r="I1551" s="50"/>
      <c r="J1551" s="50"/>
      <c r="K1551" s="50"/>
      <c r="V1551" s="173"/>
      <c r="W1551" s="173"/>
      <c r="X1551" s="173"/>
      <c r="AA1551" s="80"/>
    </row>
    <row r="1552" spans="9:27" x14ac:dyDescent="0.25">
      <c r="I1552" s="50"/>
      <c r="J1552" s="50"/>
      <c r="K1552" s="50"/>
      <c r="V1552" s="173"/>
      <c r="W1552" s="173"/>
      <c r="X1552" s="173"/>
      <c r="AA1552" s="80"/>
    </row>
    <row r="1553" spans="9:27" x14ac:dyDescent="0.25">
      <c r="I1553" s="50"/>
      <c r="J1553" s="50"/>
      <c r="K1553" s="50"/>
      <c r="V1553" s="173"/>
      <c r="W1553" s="173"/>
      <c r="X1553" s="173"/>
      <c r="AA1553" s="80"/>
    </row>
    <row r="1554" spans="9:27" x14ac:dyDescent="0.25">
      <c r="V1554" s="173"/>
      <c r="W1554" s="173"/>
      <c r="X1554" s="173"/>
      <c r="AA1554" s="80"/>
    </row>
    <row r="1555" spans="9:27" x14ac:dyDescent="0.25">
      <c r="V1555" s="173"/>
      <c r="W1555" s="173"/>
      <c r="X1555" s="173"/>
      <c r="AA1555" s="80"/>
    </row>
    <row r="1556" spans="9:27" x14ac:dyDescent="0.25">
      <c r="V1556" s="173"/>
      <c r="W1556" s="173"/>
      <c r="X1556" s="173"/>
      <c r="AA1556" s="80"/>
    </row>
    <row r="1557" spans="9:27" x14ac:dyDescent="0.25">
      <c r="AA1557" s="80"/>
    </row>
  </sheetData>
  <protectedRanges>
    <protectedRange password="CE28" sqref="M1:S17 N18:S367" name="Range1"/>
    <protectedRange password="CE28" sqref="AD335:AD367 AD1:AF1" name="Range1_1_1"/>
    <protectedRange password="CE28" sqref="AE2:AF2" name="Range1_2_1"/>
    <protectedRange password="CE28" sqref="AE3:AF464" name="Range1_1_1_1"/>
    <protectedRange password="CE28" sqref="U3:U335" name="Range1_1_1_2"/>
  </protectedRanges>
  <dataConsolidate link="1"/>
  <mergeCells count="8">
    <mergeCell ref="B61:H61"/>
    <mergeCell ref="AA1:AF1"/>
    <mergeCell ref="B30:G30"/>
    <mergeCell ref="U1:W1"/>
    <mergeCell ref="R1:S1"/>
    <mergeCell ref="B1:H1"/>
    <mergeCell ref="I1:K1"/>
    <mergeCell ref="M1:Q1"/>
  </mergeCells>
  <phoneticPr fontId="0" type="noConversion"/>
  <printOptions headings="1"/>
  <pageMargins left="0.75" right="0.75" top="1" bottom="1" header="0.5" footer="0.5"/>
  <pageSetup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C3D09-082F-4A63-B161-63F7FBA662B9}">
  <sheetPr codeName="Sheet6"/>
  <dimension ref="A1:D39"/>
  <sheetViews>
    <sheetView tabSelected="1" workbookViewId="0">
      <selection activeCell="C15" sqref="C15"/>
    </sheetView>
  </sheetViews>
  <sheetFormatPr defaultRowHeight="15.75" x14ac:dyDescent="0.25"/>
  <cols>
    <col min="1" max="1" width="33" bestFit="1" customWidth="1"/>
  </cols>
  <sheetData>
    <row r="1" spans="1:4" x14ac:dyDescent="0.25">
      <c r="A1" s="148"/>
      <c r="B1" s="98" t="s">
        <v>535</v>
      </c>
      <c r="C1" s="98" t="s">
        <v>604</v>
      </c>
      <c r="D1" s="149" t="s">
        <v>605</v>
      </c>
    </row>
    <row r="2" spans="1:4" x14ac:dyDescent="0.25">
      <c r="A2" s="149" t="s">
        <v>704</v>
      </c>
      <c r="B2" s="150">
        <f>Reflectivity!H14</f>
        <v>2.3269153843031707</v>
      </c>
      <c r="C2" s="150">
        <f>swellRatioRich!D4</f>
        <v>5.3416940428776809E-2</v>
      </c>
      <c r="D2" s="151"/>
    </row>
    <row r="3" spans="1:4" x14ac:dyDescent="0.25">
      <c r="A3" s="149" t="s">
        <v>689</v>
      </c>
      <c r="B3" s="150">
        <f>Reflectivity!H18</f>
        <v>2.9754418325555196</v>
      </c>
      <c r="C3" s="150">
        <f>swellRatioPoor!D4</f>
        <v>0.15006874595448602</v>
      </c>
      <c r="D3" s="151"/>
    </row>
    <row r="4" spans="1:4" x14ac:dyDescent="0.25">
      <c r="A4" s="149" t="s">
        <v>638</v>
      </c>
      <c r="B4" s="150">
        <f>Reflectivity!H22</f>
        <v>2.5025866591936539</v>
      </c>
      <c r="C4" s="150">
        <f>SQRT((B2-B3)^2*C11^2+B11^2*(C2^2+C3^2))</f>
        <v>0.11427608372167657</v>
      </c>
      <c r="D4" s="151"/>
    </row>
    <row r="5" spans="1:4" x14ac:dyDescent="0.25">
      <c r="A5" s="149" t="s">
        <v>644</v>
      </c>
      <c r="B5" s="150">
        <f>B15/B14</f>
        <v>2.5025866591936543</v>
      </c>
      <c r="C5" s="150">
        <f>B5*SQRT((C15/B14)^2+(C14*B15/B14^2)^2)</f>
        <v>0.48083153354908559</v>
      </c>
      <c r="D5" s="151"/>
    </row>
    <row r="6" spans="1:4" ht="18.75" x14ac:dyDescent="0.25">
      <c r="A6" s="98" t="s">
        <v>703</v>
      </c>
      <c r="B6" s="150">
        <f>Reflectivity!H16</f>
        <v>0.57024651315395181</v>
      </c>
      <c r="C6" s="150">
        <f>C2/B2^2</f>
        <v>9.8654710698855199E-3</v>
      </c>
      <c r="D6" s="151"/>
    </row>
    <row r="7" spans="1:4" ht="18.75" x14ac:dyDescent="0.25">
      <c r="A7" s="98" t="s">
        <v>687</v>
      </c>
      <c r="B7" s="150">
        <f>Reflectivity!H20</f>
        <v>0.66391545986260159</v>
      </c>
      <c r="C7" s="150">
        <f>C3/B3^2</f>
        <v>1.6950687767198491E-2</v>
      </c>
      <c r="D7" s="151"/>
    </row>
    <row r="8" spans="1:4" ht="18.75" x14ac:dyDescent="0.25">
      <c r="A8" s="98" t="s">
        <v>645</v>
      </c>
      <c r="B8" s="150">
        <f>Reflectivity!H24</f>
        <v>0.60041343770201139</v>
      </c>
      <c r="C8" s="150">
        <f>C4/B4^2</f>
        <v>1.8246396095604047E-2</v>
      </c>
      <c r="D8" s="151"/>
    </row>
    <row r="9" spans="1:4" ht="18.75" x14ac:dyDescent="0.25">
      <c r="A9" s="98" t="s">
        <v>690</v>
      </c>
      <c r="B9" s="150">
        <f>1-1/B5</f>
        <v>0.6004134377020115</v>
      </c>
      <c r="C9" s="150">
        <f>C5/B5^2</f>
        <v>7.6774092449312215E-2</v>
      </c>
      <c r="D9" s="151"/>
    </row>
    <row r="11" spans="1:4" ht="18.75" x14ac:dyDescent="0.25">
      <c r="A11" s="98" t="s">
        <v>651</v>
      </c>
      <c r="B11" s="191">
        <v>0.71599999999999997</v>
      </c>
      <c r="C11" s="191">
        <v>1.0999999999999999E-2</v>
      </c>
      <c r="D11" s="151"/>
    </row>
    <row r="12" spans="1:4" ht="18.75" x14ac:dyDescent="0.25">
      <c r="A12" s="98" t="s">
        <v>691</v>
      </c>
      <c r="B12" s="151">
        <f>Reflectivity!F33</f>
        <v>44.525552128511919</v>
      </c>
      <c r="C12" s="151">
        <v>3.1</v>
      </c>
      <c r="D12" s="151"/>
    </row>
    <row r="13" spans="1:4" ht="18.75" x14ac:dyDescent="0.25">
      <c r="A13" s="98" t="s">
        <v>692</v>
      </c>
      <c r="B13" s="151">
        <f>Reflectivity!H8</f>
        <v>103.60719224242717</v>
      </c>
      <c r="C13" s="151">
        <f>B13*SQRT((C2^2/B2^2)+(C12^2/B12^2))</f>
        <v>7.595430149203807</v>
      </c>
      <c r="D13" s="151"/>
    </row>
    <row r="14" spans="1:4" ht="18.75" x14ac:dyDescent="0.25">
      <c r="A14" s="98" t="s">
        <v>650</v>
      </c>
      <c r="B14" s="151">
        <f>Reflectivity!H40</f>
        <v>382.66461979686312</v>
      </c>
      <c r="C14" s="151">
        <v>16.7</v>
      </c>
      <c r="D14" s="151"/>
    </row>
    <row r="15" spans="1:4" ht="18.75" x14ac:dyDescent="0.25">
      <c r="A15" s="98" t="s">
        <v>685</v>
      </c>
      <c r="B15" s="151">
        <f>Reflectivity!H12</f>
        <v>957.65137244904156</v>
      </c>
      <c r="C15" s="151">
        <f>B15*SQRT((C14^2/B14^2)+(C4^2/B4^2))</f>
        <v>60.489114665343756</v>
      </c>
      <c r="D15" s="151"/>
    </row>
    <row r="16" spans="1:4" ht="18.75" x14ac:dyDescent="0.25">
      <c r="A16" s="98" t="s">
        <v>649</v>
      </c>
      <c r="B16" s="151">
        <f>Reflectivity!H38</f>
        <v>118.61517618833636</v>
      </c>
      <c r="C16" s="151">
        <v>2.1</v>
      </c>
      <c r="D16" s="150"/>
    </row>
    <row r="17" spans="1:4" ht="18.75" x14ac:dyDescent="0.25">
      <c r="A17" s="98" t="s">
        <v>693</v>
      </c>
      <c r="B17" s="151">
        <f>Reflectivity!F8</f>
        <v>193.23756526440815</v>
      </c>
      <c r="C17" s="151">
        <f>SQRT(B16^2*C4^2+B4^2*C16^2+C13^2)</f>
        <v>16.402586283725991</v>
      </c>
      <c r="D17" s="150"/>
    </row>
    <row r="18" spans="1:4" ht="18.75" x14ac:dyDescent="0.25">
      <c r="A18" s="98" t="s">
        <v>694</v>
      </c>
      <c r="B18" s="151">
        <f>Reflectivity!F32</f>
        <v>36.089658308560537</v>
      </c>
      <c r="C18" s="151">
        <v>12</v>
      </c>
      <c r="D18" s="151"/>
    </row>
    <row r="19" spans="1:4" ht="18.75" x14ac:dyDescent="0.25">
      <c r="A19" s="98" t="s">
        <v>695</v>
      </c>
      <c r="B19" s="151">
        <f>Reflectivity!F12</f>
        <v>94.228427671670175</v>
      </c>
      <c r="C19" s="151">
        <f>SQRT(B3^2*C18^2+(B18+B12/2)^2*C3^2+0.25*C13^2+0.25*B3^2*C12^2)</f>
        <v>37.245725414651318</v>
      </c>
      <c r="D19" s="151"/>
    </row>
    <row r="20" spans="1:4" ht="18.75" x14ac:dyDescent="0.25">
      <c r="A20" s="98" t="s">
        <v>696</v>
      </c>
      <c r="B20" s="151">
        <f>Reflectivity!F38</f>
        <v>64.819056983118031</v>
      </c>
      <c r="C20" s="151">
        <v>4.5999999999999996</v>
      </c>
      <c r="D20" s="151"/>
    </row>
    <row r="21" spans="1:4" ht="18.75" x14ac:dyDescent="0.25">
      <c r="A21" s="98" t="s">
        <v>697</v>
      </c>
      <c r="B21" s="151">
        <f>Reflectivity!F6</f>
        <v>166.12623752127359</v>
      </c>
      <c r="C21" s="151">
        <f>SQRT(B6^2*C20^2+(B20+B14/2)^2*C6^2+0.25*C15^2+0.25*B6^2*C14^2)</f>
        <v>30.832977794678374</v>
      </c>
      <c r="D21" s="151"/>
    </row>
    <row r="23" spans="1:4" ht="18.75" x14ac:dyDescent="0.25">
      <c r="A23" s="98" t="s">
        <v>646</v>
      </c>
      <c r="B23" s="192">
        <f>Reflectivity!H32</f>
        <v>9.4545576236162603E-7</v>
      </c>
      <c r="C23" s="192">
        <v>1.03E-8</v>
      </c>
      <c r="D23" s="150"/>
    </row>
    <row r="24" spans="1:4" ht="18.75" x14ac:dyDescent="0.25">
      <c r="A24" s="98" t="s">
        <v>698</v>
      </c>
      <c r="B24" s="192">
        <f>[1]Reflectivity!C13</f>
        <v>-5.6000000000000004E-7</v>
      </c>
      <c r="C24" s="192"/>
      <c r="D24" s="150"/>
    </row>
    <row r="25" spans="1:4" ht="18.75" x14ac:dyDescent="0.25">
      <c r="A25" s="98" t="s">
        <v>681</v>
      </c>
      <c r="B25" s="192">
        <f>Reflectivity!H4</f>
        <v>4.8777208690941478E-8</v>
      </c>
      <c r="C25" s="192">
        <f>SQRT((B23*(B7-B6)+B24*(B6-B7))^2*C11^2+(B11*(B24-B23))^2*C6^2+(1-B7+B11*(B7-B6))^2*C23^2+(B23-B24)^2*C7^2)</f>
        <v>2.7998687506510702E-8</v>
      </c>
      <c r="D25" s="150"/>
    </row>
    <row r="26" spans="1:4" ht="18.75" x14ac:dyDescent="0.25">
      <c r="A26" s="98" t="s">
        <v>699</v>
      </c>
      <c r="B26" s="192">
        <f>Reflectivity!H34</f>
        <v>2.8630735093003271E-6</v>
      </c>
      <c r="C26" s="192">
        <v>2.6199999999999999E-7</v>
      </c>
      <c r="D26" s="150"/>
    </row>
    <row r="27" spans="1:4" ht="18.75" x14ac:dyDescent="0.25">
      <c r="A27" s="98" t="s">
        <v>682</v>
      </c>
      <c r="B27" s="192">
        <f>Reflectivity!H6</f>
        <v>9.1107777635215417E-7</v>
      </c>
      <c r="C27" s="192">
        <f>SQRT((B24-B26)^2*C6^2+(1-B6)^2*C26^2)</f>
        <v>1.1755065192638568E-7</v>
      </c>
      <c r="D27" s="150"/>
    </row>
    <row r="29" spans="1:4" ht="18.75" x14ac:dyDescent="0.25">
      <c r="A29" s="98" t="s">
        <v>606</v>
      </c>
      <c r="B29" s="151">
        <f>Reflectivity!G7/2.35</f>
        <v>16.472482936587475</v>
      </c>
      <c r="C29" s="151">
        <f>sigMarker!D4/2.35</f>
        <v>14.640820658419896</v>
      </c>
      <c r="D29" s="151"/>
    </row>
    <row r="31" spans="1:4" ht="18.75" x14ac:dyDescent="0.25">
      <c r="A31" s="98" t="s">
        <v>634</v>
      </c>
      <c r="B31" s="151">
        <v>15.4</v>
      </c>
      <c r="C31" s="151">
        <v>4</v>
      </c>
      <c r="D31" s="151"/>
    </row>
    <row r="32" spans="1:4" ht="18.75" x14ac:dyDescent="0.25">
      <c r="A32" s="98" t="s">
        <v>635</v>
      </c>
      <c r="B32" s="151">
        <v>14.2</v>
      </c>
      <c r="C32" s="151">
        <v>4</v>
      </c>
      <c r="D32" s="151"/>
    </row>
    <row r="33" spans="1:4" ht="18.75" x14ac:dyDescent="0.25">
      <c r="A33" s="98" t="s">
        <v>636</v>
      </c>
      <c r="B33" s="151">
        <v>14.9</v>
      </c>
      <c r="C33" s="151">
        <v>3.7</v>
      </c>
      <c r="D33" s="151"/>
    </row>
    <row r="34" spans="1:4" ht="18.75" x14ac:dyDescent="0.25">
      <c r="A34" s="189" t="s">
        <v>637</v>
      </c>
      <c r="B34" s="190">
        <f>(B31/C31^2+B32/C32^2+B33/C33^2)/(1/C31^2+1/C32^2+1/C33^2)</f>
        <v>14.836883356385432</v>
      </c>
      <c r="C34" s="190">
        <f>1/SQRT(1/C31^2+1/C32^2+1/C33^2)</f>
        <v>2.2470717587930995</v>
      </c>
      <c r="D34" s="190"/>
    </row>
    <row r="36" spans="1:4" ht="18.75" x14ac:dyDescent="0.25">
      <c r="A36" s="98" t="s">
        <v>640</v>
      </c>
      <c r="B36" s="192">
        <v>3.49E-6</v>
      </c>
      <c r="C36" s="192">
        <v>3.9000000000000002E-7</v>
      </c>
      <c r="D36" s="151"/>
    </row>
    <row r="37" spans="1:4" ht="18.75" x14ac:dyDescent="0.25">
      <c r="A37" s="98" t="s">
        <v>641</v>
      </c>
      <c r="B37" s="192">
        <v>3.3900000000000002E-6</v>
      </c>
      <c r="C37" s="192">
        <v>3.84E-7</v>
      </c>
      <c r="D37" s="151"/>
    </row>
    <row r="38" spans="1:4" ht="18.75" x14ac:dyDescent="0.25">
      <c r="A38" s="98" t="s">
        <v>642</v>
      </c>
      <c r="B38" s="192">
        <v>3.45E-6</v>
      </c>
      <c r="C38" s="192">
        <v>3.5400000000000002E-7</v>
      </c>
      <c r="D38" s="151"/>
    </row>
    <row r="39" spans="1:4" ht="18.75" x14ac:dyDescent="0.25">
      <c r="A39" s="189" t="s">
        <v>643</v>
      </c>
      <c r="B39" s="193">
        <f>(B36/C36^2+B37/C37^2+B38/C38^2)/(1/C36^2+1/C37^2+1/C38^2)</f>
        <v>3.4432548150406333E-6</v>
      </c>
      <c r="C39" s="193">
        <f>1/SQRT(1/C36^2+1/C37^2+1/C38^2)</f>
        <v>2.1649214588573934E-7</v>
      </c>
      <c r="D39" s="190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1F9C4-E1D5-4D84-A5E4-FA217140783A}">
  <sheetPr codeName="Sheet21"/>
  <dimension ref="A1:E357"/>
  <sheetViews>
    <sheetView workbookViewId="0">
      <selection activeCell="C50" sqref="C50"/>
    </sheetView>
  </sheetViews>
  <sheetFormatPr defaultRowHeight="15.75" x14ac:dyDescent="0.25"/>
  <cols>
    <col min="1" max="1" width="8.625" style="105" bestFit="1" customWidth="1"/>
    <col min="2" max="2" width="8.625" style="101" bestFit="1" customWidth="1"/>
    <col min="3" max="3" width="8.625" bestFit="1" customWidth="1"/>
    <col min="4" max="4" width="8.25" bestFit="1" customWidth="1"/>
  </cols>
  <sheetData>
    <row r="1" spans="1:5" ht="17.25" x14ac:dyDescent="0.25">
      <c r="A1" s="102" t="s">
        <v>530</v>
      </c>
      <c r="B1" s="167" t="s">
        <v>531</v>
      </c>
      <c r="C1" s="167" t="s">
        <v>532</v>
      </c>
      <c r="D1" s="96" t="s">
        <v>533</v>
      </c>
      <c r="E1" s="169" t="s">
        <v>534</v>
      </c>
    </row>
    <row r="2" spans="1:5" x14ac:dyDescent="0.25">
      <c r="A2" s="103" t="s">
        <v>622</v>
      </c>
      <c r="B2" s="168">
        <v>2.2000000000000002</v>
      </c>
      <c r="C2" s="168">
        <v>2.46</v>
      </c>
      <c r="D2" s="97">
        <v>5</v>
      </c>
      <c r="E2" s="169" t="s">
        <v>632</v>
      </c>
    </row>
    <row r="3" spans="1:5" ht="18.75" x14ac:dyDescent="0.25">
      <c r="A3" s="104" t="s">
        <v>535</v>
      </c>
      <c r="B3" s="98" t="s">
        <v>536</v>
      </c>
      <c r="C3" s="98" t="s">
        <v>537</v>
      </c>
      <c r="D3" s="98" t="s">
        <v>538</v>
      </c>
    </row>
    <row r="4" spans="1:5" x14ac:dyDescent="0.25">
      <c r="A4" s="101">
        <v>2.2000000000000002</v>
      </c>
      <c r="B4" s="100">
        <v>18.955342001003721</v>
      </c>
      <c r="C4" s="101">
        <v>2.3269153843031707</v>
      </c>
      <c r="D4" s="101">
        <v>5.3416940428776809E-2</v>
      </c>
    </row>
    <row r="5" spans="1:5" x14ac:dyDescent="0.25">
      <c r="A5" s="101">
        <v>2.2520000000000002</v>
      </c>
      <c r="B5" s="100">
        <v>14.881184188182162</v>
      </c>
      <c r="C5" s="100"/>
      <c r="D5" s="100"/>
    </row>
    <row r="6" spans="1:5" x14ac:dyDescent="0.25">
      <c r="A6" s="101">
        <v>2.3040000000000003</v>
      </c>
      <c r="B6" s="100">
        <v>13.187098702300963</v>
      </c>
      <c r="C6" s="100"/>
      <c r="D6" s="100"/>
    </row>
    <row r="7" spans="1:5" x14ac:dyDescent="0.25">
      <c r="A7" s="101">
        <v>2.3559999999999999</v>
      </c>
      <c r="B7" s="100">
        <v>13.577809284895769</v>
      </c>
      <c r="C7" s="100"/>
      <c r="D7" s="100"/>
    </row>
    <row r="8" spans="1:5" x14ac:dyDescent="0.25">
      <c r="A8" s="101">
        <v>2.4079999999999999</v>
      </c>
      <c r="B8" s="100">
        <v>15.682989332545393</v>
      </c>
      <c r="C8" s="100"/>
      <c r="D8" s="100"/>
    </row>
    <row r="9" spans="1:5" x14ac:dyDescent="0.25">
      <c r="A9" s="101">
        <v>2.46</v>
      </c>
      <c r="B9" s="100">
        <v>19.183116241153062</v>
      </c>
      <c r="C9" s="100"/>
      <c r="D9" s="100"/>
    </row>
    <row r="10" spans="1:5" x14ac:dyDescent="0.25">
      <c r="A10" s="101"/>
      <c r="B10" s="100"/>
      <c r="C10" s="100"/>
      <c r="D10" s="100"/>
    </row>
    <row r="11" spans="1:5" x14ac:dyDescent="0.25">
      <c r="A11" s="101"/>
      <c r="B11" s="100"/>
      <c r="C11" s="100"/>
      <c r="D11" s="100"/>
    </row>
    <row r="12" spans="1:5" x14ac:dyDescent="0.25">
      <c r="A12" s="101"/>
      <c r="B12" s="100"/>
      <c r="C12" s="100"/>
      <c r="D12" s="100"/>
    </row>
    <row r="13" spans="1:5" x14ac:dyDescent="0.25">
      <c r="A13" s="101"/>
      <c r="B13" s="100"/>
      <c r="C13" s="100"/>
      <c r="D13" s="100"/>
    </row>
    <row r="14" spans="1:5" x14ac:dyDescent="0.25">
      <c r="A14" s="101"/>
      <c r="B14" s="100"/>
      <c r="C14" s="100"/>
      <c r="D14" s="100"/>
    </row>
    <row r="15" spans="1:5" x14ac:dyDescent="0.25">
      <c r="A15" s="122"/>
      <c r="B15" s="100"/>
      <c r="C15" s="100"/>
      <c r="D15" s="100"/>
    </row>
    <row r="16" spans="1:5" x14ac:dyDescent="0.25">
      <c r="A16" s="122"/>
      <c r="B16" s="100"/>
      <c r="C16" s="100"/>
      <c r="D16" s="100"/>
    </row>
    <row r="17" spans="1:4" x14ac:dyDescent="0.25">
      <c r="A17" s="122"/>
      <c r="B17" s="100"/>
      <c r="C17" s="100"/>
      <c r="D17" s="100"/>
    </row>
    <row r="18" spans="1:4" x14ac:dyDescent="0.25">
      <c r="A18" s="122"/>
      <c r="B18" s="100"/>
      <c r="C18" s="100"/>
      <c r="D18" s="100"/>
    </row>
    <row r="19" spans="1:4" x14ac:dyDescent="0.25">
      <c r="A19" s="122"/>
      <c r="B19" s="100"/>
      <c r="C19" s="100"/>
      <c r="D19" s="100"/>
    </row>
    <row r="20" spans="1:4" x14ac:dyDescent="0.25">
      <c r="A20" s="122"/>
      <c r="B20" s="100"/>
      <c r="C20" s="100"/>
      <c r="D20" s="100"/>
    </row>
    <row r="21" spans="1:4" x14ac:dyDescent="0.25">
      <c r="A21" s="122"/>
      <c r="B21" s="100"/>
      <c r="C21" s="100"/>
      <c r="D21" s="100"/>
    </row>
    <row r="22" spans="1:4" x14ac:dyDescent="0.25">
      <c r="A22" s="122"/>
      <c r="B22" s="100"/>
      <c r="C22" s="100"/>
      <c r="D22" s="100"/>
    </row>
    <row r="23" spans="1:4" x14ac:dyDescent="0.25">
      <c r="A23" s="122"/>
      <c r="B23" s="100"/>
      <c r="C23" s="100"/>
      <c r="D23" s="100"/>
    </row>
    <row r="24" spans="1:4" x14ac:dyDescent="0.25">
      <c r="A24" s="122"/>
      <c r="B24" s="100"/>
      <c r="C24" s="100"/>
      <c r="D24" s="100"/>
    </row>
    <row r="25" spans="1:4" x14ac:dyDescent="0.25">
      <c r="B25" s="100"/>
      <c r="C25" s="100"/>
      <c r="D25" s="100"/>
    </row>
    <row r="26" spans="1:4" x14ac:dyDescent="0.25">
      <c r="B26" s="100"/>
      <c r="C26" s="100"/>
      <c r="D26" s="100"/>
    </row>
    <row r="27" spans="1:4" x14ac:dyDescent="0.25">
      <c r="B27" s="100"/>
      <c r="C27" s="100"/>
      <c r="D27" s="100"/>
    </row>
    <row r="28" spans="1:4" x14ac:dyDescent="0.25">
      <c r="B28" s="100"/>
      <c r="C28" s="100"/>
      <c r="D28" s="100"/>
    </row>
    <row r="29" spans="1:4" x14ac:dyDescent="0.25">
      <c r="B29" s="100"/>
      <c r="C29" s="100"/>
      <c r="D29" s="100"/>
    </row>
    <row r="30" spans="1:4" x14ac:dyDescent="0.25">
      <c r="B30" s="100"/>
      <c r="C30" s="100"/>
      <c r="D30" s="100"/>
    </row>
    <row r="31" spans="1:4" x14ac:dyDescent="0.25">
      <c r="B31" s="100"/>
      <c r="C31" s="100"/>
      <c r="D31" s="100"/>
    </row>
    <row r="32" spans="1:4" x14ac:dyDescent="0.25">
      <c r="B32" s="100"/>
      <c r="C32" s="100"/>
      <c r="D32" s="100"/>
    </row>
    <row r="33" spans="2:4" x14ac:dyDescent="0.25">
      <c r="B33" s="100"/>
      <c r="C33" s="100"/>
      <c r="D33" s="100"/>
    </row>
    <row r="34" spans="2:4" x14ac:dyDescent="0.25">
      <c r="B34" s="100"/>
      <c r="C34" s="100"/>
      <c r="D34" s="100"/>
    </row>
    <row r="35" spans="2:4" x14ac:dyDescent="0.25">
      <c r="C35" s="100"/>
      <c r="D35" s="100"/>
    </row>
    <row r="36" spans="2:4" x14ac:dyDescent="0.25">
      <c r="C36" s="100"/>
      <c r="D36" s="100"/>
    </row>
    <row r="37" spans="2:4" x14ac:dyDescent="0.25">
      <c r="C37" s="100"/>
      <c r="D37" s="100"/>
    </row>
    <row r="38" spans="2:4" x14ac:dyDescent="0.25">
      <c r="C38" s="100"/>
      <c r="D38" s="100"/>
    </row>
    <row r="39" spans="2:4" x14ac:dyDescent="0.25">
      <c r="C39" s="100"/>
      <c r="D39" s="100"/>
    </row>
    <row r="40" spans="2:4" x14ac:dyDescent="0.25">
      <c r="C40" s="100"/>
      <c r="D40" s="100"/>
    </row>
    <row r="41" spans="2:4" x14ac:dyDescent="0.25">
      <c r="C41" s="100"/>
      <c r="D41" s="100"/>
    </row>
    <row r="42" spans="2:4" x14ac:dyDescent="0.25">
      <c r="C42" s="100"/>
      <c r="D42" s="100"/>
    </row>
    <row r="43" spans="2:4" x14ac:dyDescent="0.25">
      <c r="C43" s="100"/>
      <c r="D43" s="100"/>
    </row>
    <row r="44" spans="2:4" x14ac:dyDescent="0.25">
      <c r="C44" s="100"/>
      <c r="D44" s="100"/>
    </row>
    <row r="45" spans="2:4" x14ac:dyDescent="0.25">
      <c r="C45" s="100"/>
      <c r="D45" s="100"/>
    </row>
    <row r="46" spans="2:4" x14ac:dyDescent="0.25">
      <c r="C46" s="100"/>
      <c r="D46" s="100"/>
    </row>
    <row r="47" spans="2:4" x14ac:dyDescent="0.25">
      <c r="C47" s="100"/>
      <c r="D47" s="100"/>
    </row>
    <row r="48" spans="2:4" x14ac:dyDescent="0.25">
      <c r="C48" s="100"/>
      <c r="D48" s="100"/>
    </row>
    <row r="49" spans="3:4" x14ac:dyDescent="0.25">
      <c r="C49" s="100"/>
      <c r="D49" s="100"/>
    </row>
    <row r="50" spans="3:4" x14ac:dyDescent="0.25">
      <c r="C50" s="100"/>
      <c r="D50" s="100"/>
    </row>
    <row r="51" spans="3:4" x14ac:dyDescent="0.25">
      <c r="C51" s="100"/>
      <c r="D51" s="100"/>
    </row>
    <row r="52" spans="3:4" x14ac:dyDescent="0.25">
      <c r="C52" s="100"/>
      <c r="D52" s="100"/>
    </row>
    <row r="53" spans="3:4" x14ac:dyDescent="0.25">
      <c r="C53" s="100"/>
      <c r="D53" s="100"/>
    </row>
    <row r="54" spans="3:4" x14ac:dyDescent="0.25">
      <c r="C54" s="100"/>
      <c r="D54" s="100"/>
    </row>
    <row r="55" spans="3:4" x14ac:dyDescent="0.25">
      <c r="C55" s="100"/>
      <c r="D55" s="100"/>
    </row>
    <row r="56" spans="3:4" x14ac:dyDescent="0.25">
      <c r="C56" s="100"/>
      <c r="D56" s="100"/>
    </row>
    <row r="57" spans="3:4" x14ac:dyDescent="0.25">
      <c r="C57" s="100"/>
      <c r="D57" s="100"/>
    </row>
    <row r="58" spans="3:4" x14ac:dyDescent="0.25">
      <c r="C58" s="100"/>
      <c r="D58" s="100"/>
    </row>
    <row r="59" spans="3:4" x14ac:dyDescent="0.25">
      <c r="C59" s="100"/>
      <c r="D59" s="100"/>
    </row>
    <row r="60" spans="3:4" x14ac:dyDescent="0.25">
      <c r="C60" s="100"/>
      <c r="D60" s="100"/>
    </row>
    <row r="61" spans="3:4" x14ac:dyDescent="0.25">
      <c r="C61" s="100"/>
      <c r="D61" s="100"/>
    </row>
    <row r="62" spans="3:4" x14ac:dyDescent="0.25">
      <c r="C62" s="100"/>
      <c r="D62" s="100"/>
    </row>
    <row r="63" spans="3:4" x14ac:dyDescent="0.25">
      <c r="C63" s="100"/>
      <c r="D63" s="100"/>
    </row>
    <row r="64" spans="3:4" x14ac:dyDescent="0.25">
      <c r="C64" s="100"/>
      <c r="D64" s="100"/>
    </row>
    <row r="65" spans="3:4" x14ac:dyDescent="0.25">
      <c r="C65" s="100"/>
      <c r="D65" s="100"/>
    </row>
    <row r="66" spans="3:4" x14ac:dyDescent="0.25">
      <c r="C66" s="100"/>
      <c r="D66" s="100"/>
    </row>
    <row r="67" spans="3:4" x14ac:dyDescent="0.25">
      <c r="C67" s="100"/>
      <c r="D67" s="100"/>
    </row>
    <row r="68" spans="3:4" x14ac:dyDescent="0.25">
      <c r="C68" s="100"/>
      <c r="D68" s="100"/>
    </row>
    <row r="69" spans="3:4" x14ac:dyDescent="0.25">
      <c r="C69" s="100"/>
      <c r="D69" s="100"/>
    </row>
    <row r="70" spans="3:4" x14ac:dyDescent="0.25">
      <c r="C70" s="100"/>
      <c r="D70" s="100"/>
    </row>
    <row r="71" spans="3:4" x14ac:dyDescent="0.25">
      <c r="C71" s="100"/>
      <c r="D71" s="100"/>
    </row>
    <row r="72" spans="3:4" x14ac:dyDescent="0.25">
      <c r="C72" s="100"/>
      <c r="D72" s="100"/>
    </row>
    <row r="73" spans="3:4" x14ac:dyDescent="0.25">
      <c r="C73" s="100"/>
      <c r="D73" s="100"/>
    </row>
    <row r="74" spans="3:4" x14ac:dyDescent="0.25">
      <c r="C74" s="100"/>
      <c r="D74" s="100"/>
    </row>
    <row r="75" spans="3:4" x14ac:dyDescent="0.25">
      <c r="C75" s="100"/>
      <c r="D75" s="100"/>
    </row>
    <row r="76" spans="3:4" x14ac:dyDescent="0.25">
      <c r="C76" s="100"/>
      <c r="D76" s="100"/>
    </row>
    <row r="77" spans="3:4" x14ac:dyDescent="0.25">
      <c r="C77" s="100"/>
      <c r="D77" s="100"/>
    </row>
    <row r="78" spans="3:4" x14ac:dyDescent="0.25">
      <c r="C78" s="100"/>
      <c r="D78" s="100"/>
    </row>
    <row r="79" spans="3:4" x14ac:dyDescent="0.25">
      <c r="C79" s="100"/>
      <c r="D79" s="100"/>
    </row>
    <row r="80" spans="3:4" x14ac:dyDescent="0.25">
      <c r="C80" s="100"/>
      <c r="D80" s="100"/>
    </row>
    <row r="81" spans="3:4" x14ac:dyDescent="0.25">
      <c r="C81" s="100"/>
      <c r="D81" s="100"/>
    </row>
    <row r="82" spans="3:4" x14ac:dyDescent="0.25">
      <c r="C82" s="100"/>
      <c r="D82" s="100"/>
    </row>
    <row r="83" spans="3:4" x14ac:dyDescent="0.25">
      <c r="C83" s="100"/>
      <c r="D83" s="100"/>
    </row>
    <row r="84" spans="3:4" x14ac:dyDescent="0.25">
      <c r="C84" s="100"/>
      <c r="D84" s="100"/>
    </row>
    <row r="85" spans="3:4" x14ac:dyDescent="0.25">
      <c r="C85" s="100"/>
      <c r="D85" s="100"/>
    </row>
    <row r="86" spans="3:4" x14ac:dyDescent="0.25">
      <c r="C86" s="100"/>
      <c r="D86" s="100"/>
    </row>
    <row r="87" spans="3:4" x14ac:dyDescent="0.25">
      <c r="C87" s="100"/>
      <c r="D87" s="100"/>
    </row>
    <row r="88" spans="3:4" x14ac:dyDescent="0.25">
      <c r="C88" s="100"/>
      <c r="D88" s="100"/>
    </row>
    <row r="89" spans="3:4" x14ac:dyDescent="0.25">
      <c r="C89" s="100"/>
      <c r="D89" s="100"/>
    </row>
    <row r="90" spans="3:4" x14ac:dyDescent="0.25">
      <c r="C90" s="100"/>
      <c r="D90" s="100"/>
    </row>
    <row r="91" spans="3:4" x14ac:dyDescent="0.25">
      <c r="C91" s="100"/>
      <c r="D91" s="100"/>
    </row>
    <row r="92" spans="3:4" x14ac:dyDescent="0.25">
      <c r="C92" s="100"/>
      <c r="D92" s="100"/>
    </row>
    <row r="93" spans="3:4" x14ac:dyDescent="0.25">
      <c r="C93" s="100"/>
      <c r="D93" s="100"/>
    </row>
    <row r="94" spans="3:4" x14ac:dyDescent="0.25">
      <c r="C94" s="100"/>
      <c r="D94" s="100"/>
    </row>
    <row r="95" spans="3:4" x14ac:dyDescent="0.25">
      <c r="C95" s="100"/>
      <c r="D95" s="100"/>
    </row>
    <row r="96" spans="3:4" x14ac:dyDescent="0.25">
      <c r="C96" s="100"/>
      <c r="D96" s="100"/>
    </row>
    <row r="97" spans="3:4" x14ac:dyDescent="0.25">
      <c r="C97" s="100"/>
      <c r="D97" s="100"/>
    </row>
    <row r="98" spans="3:4" x14ac:dyDescent="0.25">
      <c r="C98" s="100"/>
      <c r="D98" s="100"/>
    </row>
    <row r="99" spans="3:4" x14ac:dyDescent="0.25">
      <c r="C99" s="100"/>
      <c r="D99" s="100"/>
    </row>
    <row r="100" spans="3:4" x14ac:dyDescent="0.25">
      <c r="C100" s="100"/>
      <c r="D100" s="100"/>
    </row>
    <row r="101" spans="3:4" x14ac:dyDescent="0.25">
      <c r="C101" s="100"/>
      <c r="D101" s="100"/>
    </row>
    <row r="102" spans="3:4" x14ac:dyDescent="0.25">
      <c r="C102" s="100"/>
      <c r="D102" s="100"/>
    </row>
    <row r="103" spans="3:4" x14ac:dyDescent="0.25">
      <c r="C103" s="100"/>
      <c r="D103" s="100"/>
    </row>
    <row r="104" spans="3:4" x14ac:dyDescent="0.25">
      <c r="C104" s="100"/>
      <c r="D104" s="100"/>
    </row>
    <row r="105" spans="3:4" x14ac:dyDescent="0.25">
      <c r="C105" s="100"/>
      <c r="D105" s="100"/>
    </row>
    <row r="106" spans="3:4" x14ac:dyDescent="0.25">
      <c r="C106" s="100"/>
      <c r="D106" s="100"/>
    </row>
    <row r="107" spans="3:4" x14ac:dyDescent="0.25">
      <c r="C107" s="100"/>
      <c r="D107" s="100"/>
    </row>
    <row r="108" spans="3:4" x14ac:dyDescent="0.25">
      <c r="C108" s="100"/>
      <c r="D108" s="100"/>
    </row>
    <row r="109" spans="3:4" x14ac:dyDescent="0.25">
      <c r="C109" s="100"/>
      <c r="D109" s="100"/>
    </row>
    <row r="110" spans="3:4" x14ac:dyDescent="0.25">
      <c r="C110" s="100"/>
      <c r="D110" s="100"/>
    </row>
    <row r="111" spans="3:4" x14ac:dyDescent="0.25">
      <c r="C111" s="100"/>
      <c r="D111" s="100"/>
    </row>
    <row r="112" spans="3:4" x14ac:dyDescent="0.25">
      <c r="C112" s="100"/>
      <c r="D112" s="100"/>
    </row>
    <row r="113" spans="3:4" x14ac:dyDescent="0.25">
      <c r="C113" s="100"/>
      <c r="D113" s="100"/>
    </row>
    <row r="114" spans="3:4" x14ac:dyDescent="0.25">
      <c r="C114" s="100"/>
      <c r="D114" s="100"/>
    </row>
    <row r="115" spans="3:4" x14ac:dyDescent="0.25">
      <c r="C115" s="100"/>
      <c r="D115" s="100"/>
    </row>
    <row r="116" spans="3:4" x14ac:dyDescent="0.25">
      <c r="C116" s="100"/>
      <c r="D116" s="100"/>
    </row>
    <row r="117" spans="3:4" x14ac:dyDescent="0.25">
      <c r="C117" s="100"/>
      <c r="D117" s="100"/>
    </row>
    <row r="118" spans="3:4" x14ac:dyDescent="0.25">
      <c r="C118" s="100"/>
      <c r="D118" s="100"/>
    </row>
    <row r="119" spans="3:4" x14ac:dyDescent="0.25">
      <c r="C119" s="100"/>
      <c r="D119" s="100"/>
    </row>
    <row r="120" spans="3:4" x14ac:dyDescent="0.25">
      <c r="C120" s="100"/>
      <c r="D120" s="100"/>
    </row>
    <row r="121" spans="3:4" x14ac:dyDescent="0.25">
      <c r="C121" s="100"/>
      <c r="D121" s="100"/>
    </row>
    <row r="122" spans="3:4" x14ac:dyDescent="0.25">
      <c r="C122" s="100"/>
      <c r="D122" s="100"/>
    </row>
    <row r="123" spans="3:4" x14ac:dyDescent="0.25">
      <c r="C123" s="100"/>
      <c r="D123" s="100"/>
    </row>
    <row r="124" spans="3:4" x14ac:dyDescent="0.25">
      <c r="C124" s="100"/>
      <c r="D124" s="100"/>
    </row>
    <row r="125" spans="3:4" x14ac:dyDescent="0.25">
      <c r="C125" s="100"/>
      <c r="D125" s="100"/>
    </row>
    <row r="126" spans="3:4" x14ac:dyDescent="0.25">
      <c r="C126" s="100"/>
      <c r="D126" s="100"/>
    </row>
    <row r="127" spans="3:4" x14ac:dyDescent="0.25">
      <c r="C127" s="100"/>
      <c r="D127" s="100"/>
    </row>
    <row r="128" spans="3:4" x14ac:dyDescent="0.25">
      <c r="C128" s="100"/>
      <c r="D128" s="100"/>
    </row>
    <row r="129" spans="3:4" x14ac:dyDescent="0.25">
      <c r="C129" s="100"/>
      <c r="D129" s="100"/>
    </row>
    <row r="130" spans="3:4" x14ac:dyDescent="0.25">
      <c r="C130" s="100"/>
      <c r="D130" s="100"/>
    </row>
    <row r="131" spans="3:4" x14ac:dyDescent="0.25">
      <c r="C131" s="100"/>
      <c r="D131" s="100"/>
    </row>
    <row r="132" spans="3:4" x14ac:dyDescent="0.25">
      <c r="C132" s="100"/>
      <c r="D132" s="100"/>
    </row>
    <row r="133" spans="3:4" x14ac:dyDescent="0.25">
      <c r="C133" s="100"/>
      <c r="D133" s="100"/>
    </row>
    <row r="134" spans="3:4" x14ac:dyDescent="0.25">
      <c r="C134" s="100"/>
      <c r="D134" s="100"/>
    </row>
    <row r="135" spans="3:4" x14ac:dyDescent="0.25">
      <c r="C135" s="100"/>
      <c r="D135" s="100"/>
    </row>
    <row r="136" spans="3:4" x14ac:dyDescent="0.25">
      <c r="C136" s="100"/>
      <c r="D136" s="100"/>
    </row>
    <row r="137" spans="3:4" x14ac:dyDescent="0.25">
      <c r="C137" s="100"/>
      <c r="D137" s="100"/>
    </row>
    <row r="138" spans="3:4" x14ac:dyDescent="0.25">
      <c r="C138" s="100"/>
      <c r="D138" s="100"/>
    </row>
    <row r="139" spans="3:4" x14ac:dyDescent="0.25">
      <c r="C139" s="100"/>
      <c r="D139" s="100"/>
    </row>
    <row r="140" spans="3:4" x14ac:dyDescent="0.25">
      <c r="C140" s="100"/>
      <c r="D140" s="100"/>
    </row>
    <row r="141" spans="3:4" x14ac:dyDescent="0.25">
      <c r="C141" s="100"/>
      <c r="D141" s="100"/>
    </row>
    <row r="142" spans="3:4" x14ac:dyDescent="0.25">
      <c r="C142" s="100"/>
      <c r="D142" s="100"/>
    </row>
    <row r="143" spans="3:4" x14ac:dyDescent="0.25">
      <c r="C143" s="100"/>
      <c r="D143" s="100"/>
    </row>
    <row r="144" spans="3:4" x14ac:dyDescent="0.25">
      <c r="C144" s="100"/>
      <c r="D144" s="100"/>
    </row>
    <row r="145" spans="3:4" x14ac:dyDescent="0.25">
      <c r="C145" s="100"/>
      <c r="D145" s="100"/>
    </row>
    <row r="146" spans="3:4" x14ac:dyDescent="0.25">
      <c r="C146" s="100"/>
      <c r="D146" s="100"/>
    </row>
    <row r="147" spans="3:4" x14ac:dyDescent="0.25">
      <c r="C147" s="100"/>
      <c r="D147" s="100"/>
    </row>
    <row r="148" spans="3:4" x14ac:dyDescent="0.25">
      <c r="C148" s="100"/>
      <c r="D148" s="100"/>
    </row>
    <row r="149" spans="3:4" x14ac:dyDescent="0.25">
      <c r="C149" s="100"/>
      <c r="D149" s="100"/>
    </row>
    <row r="150" spans="3:4" x14ac:dyDescent="0.25">
      <c r="C150" s="100"/>
      <c r="D150" s="100"/>
    </row>
    <row r="151" spans="3:4" x14ac:dyDescent="0.25">
      <c r="C151" s="100"/>
      <c r="D151" s="100"/>
    </row>
    <row r="152" spans="3:4" x14ac:dyDescent="0.25">
      <c r="C152" s="100"/>
      <c r="D152" s="100"/>
    </row>
    <row r="153" spans="3:4" x14ac:dyDescent="0.25">
      <c r="C153" s="100"/>
      <c r="D153" s="100"/>
    </row>
    <row r="154" spans="3:4" x14ac:dyDescent="0.25">
      <c r="C154" s="100"/>
      <c r="D154" s="100"/>
    </row>
    <row r="155" spans="3:4" x14ac:dyDescent="0.25">
      <c r="C155" s="100"/>
      <c r="D155" s="100"/>
    </row>
    <row r="156" spans="3:4" x14ac:dyDescent="0.25">
      <c r="C156" s="100"/>
      <c r="D156" s="100"/>
    </row>
    <row r="157" spans="3:4" x14ac:dyDescent="0.25">
      <c r="C157" s="100"/>
      <c r="D157" s="100"/>
    </row>
    <row r="158" spans="3:4" x14ac:dyDescent="0.25">
      <c r="C158" s="100"/>
      <c r="D158" s="100"/>
    </row>
    <row r="159" spans="3:4" x14ac:dyDescent="0.25">
      <c r="C159" s="100"/>
      <c r="D159" s="100"/>
    </row>
    <row r="160" spans="3:4" x14ac:dyDescent="0.25">
      <c r="C160" s="100"/>
      <c r="D160" s="100"/>
    </row>
    <row r="161" spans="3:4" x14ac:dyDescent="0.25">
      <c r="C161" s="100"/>
      <c r="D161" s="100"/>
    </row>
    <row r="162" spans="3:4" x14ac:dyDescent="0.25">
      <c r="C162" s="100"/>
      <c r="D162" s="100"/>
    </row>
    <row r="163" spans="3:4" x14ac:dyDescent="0.25">
      <c r="C163" s="100"/>
      <c r="D163" s="100"/>
    </row>
    <row r="164" spans="3:4" x14ac:dyDescent="0.25">
      <c r="C164" s="100"/>
      <c r="D164" s="100"/>
    </row>
    <row r="165" spans="3:4" x14ac:dyDescent="0.25">
      <c r="C165" s="100"/>
      <c r="D165" s="100"/>
    </row>
    <row r="166" spans="3:4" x14ac:dyDescent="0.25">
      <c r="C166" s="100"/>
      <c r="D166" s="100"/>
    </row>
    <row r="167" spans="3:4" x14ac:dyDescent="0.25">
      <c r="C167" s="100"/>
      <c r="D167" s="100"/>
    </row>
    <row r="168" spans="3:4" x14ac:dyDescent="0.25">
      <c r="C168" s="100"/>
      <c r="D168" s="100"/>
    </row>
    <row r="169" spans="3:4" x14ac:dyDescent="0.25">
      <c r="C169" s="100"/>
      <c r="D169" s="100"/>
    </row>
    <row r="170" spans="3:4" x14ac:dyDescent="0.25">
      <c r="C170" s="100"/>
      <c r="D170" s="100"/>
    </row>
    <row r="171" spans="3:4" x14ac:dyDescent="0.25">
      <c r="C171" s="100"/>
      <c r="D171" s="100"/>
    </row>
    <row r="172" spans="3:4" x14ac:dyDescent="0.25">
      <c r="C172" s="100"/>
      <c r="D172" s="100"/>
    </row>
    <row r="173" spans="3:4" x14ac:dyDescent="0.25">
      <c r="C173" s="100"/>
      <c r="D173" s="100"/>
    </row>
    <row r="174" spans="3:4" x14ac:dyDescent="0.25">
      <c r="C174" s="100"/>
      <c r="D174" s="100"/>
    </row>
    <row r="175" spans="3:4" x14ac:dyDescent="0.25">
      <c r="C175" s="100"/>
      <c r="D175" s="100"/>
    </row>
    <row r="176" spans="3:4" x14ac:dyDescent="0.25">
      <c r="C176" s="100"/>
      <c r="D176" s="100"/>
    </row>
    <row r="177" spans="3:4" x14ac:dyDescent="0.25">
      <c r="C177" s="100"/>
      <c r="D177" s="100"/>
    </row>
    <row r="178" spans="3:4" x14ac:dyDescent="0.25">
      <c r="C178" s="100"/>
      <c r="D178" s="100"/>
    </row>
    <row r="179" spans="3:4" x14ac:dyDescent="0.25">
      <c r="C179" s="100"/>
      <c r="D179" s="100"/>
    </row>
    <row r="180" spans="3:4" x14ac:dyDescent="0.25">
      <c r="C180" s="100"/>
      <c r="D180" s="100"/>
    </row>
    <row r="181" spans="3:4" x14ac:dyDescent="0.25">
      <c r="C181" s="100"/>
      <c r="D181" s="100"/>
    </row>
    <row r="182" spans="3:4" x14ac:dyDescent="0.25">
      <c r="C182" s="100"/>
      <c r="D182" s="100"/>
    </row>
    <row r="183" spans="3:4" x14ac:dyDescent="0.25">
      <c r="C183" s="100"/>
      <c r="D183" s="100"/>
    </row>
    <row r="184" spans="3:4" x14ac:dyDescent="0.25">
      <c r="C184" s="100"/>
      <c r="D184" s="100"/>
    </row>
    <row r="185" spans="3:4" x14ac:dyDescent="0.25">
      <c r="C185" s="100"/>
      <c r="D185" s="100"/>
    </row>
    <row r="186" spans="3:4" x14ac:dyDescent="0.25">
      <c r="C186" s="100"/>
      <c r="D186" s="100"/>
    </row>
    <row r="187" spans="3:4" x14ac:dyDescent="0.25">
      <c r="C187" s="100"/>
      <c r="D187" s="100"/>
    </row>
    <row r="188" spans="3:4" x14ac:dyDescent="0.25">
      <c r="C188" s="100"/>
      <c r="D188" s="100"/>
    </row>
    <row r="189" spans="3:4" x14ac:dyDescent="0.25">
      <c r="C189" s="100"/>
      <c r="D189" s="100"/>
    </row>
    <row r="190" spans="3:4" x14ac:dyDescent="0.25">
      <c r="C190" s="100"/>
      <c r="D190" s="100"/>
    </row>
    <row r="191" spans="3:4" x14ac:dyDescent="0.25">
      <c r="C191" s="100"/>
      <c r="D191" s="100"/>
    </row>
    <row r="192" spans="3:4" x14ac:dyDescent="0.25">
      <c r="C192" s="100"/>
      <c r="D192" s="100"/>
    </row>
    <row r="193" spans="3:4" x14ac:dyDescent="0.25">
      <c r="C193" s="100"/>
      <c r="D193" s="100"/>
    </row>
    <row r="194" spans="3:4" x14ac:dyDescent="0.25">
      <c r="C194" s="100"/>
      <c r="D194" s="100"/>
    </row>
    <row r="195" spans="3:4" x14ac:dyDescent="0.25">
      <c r="C195" s="100"/>
      <c r="D195" s="100"/>
    </row>
    <row r="196" spans="3:4" x14ac:dyDescent="0.25">
      <c r="C196" s="100"/>
      <c r="D196" s="100"/>
    </row>
    <row r="197" spans="3:4" x14ac:dyDescent="0.25">
      <c r="C197" s="100"/>
      <c r="D197" s="100"/>
    </row>
    <row r="198" spans="3:4" x14ac:dyDescent="0.25">
      <c r="C198" s="100"/>
      <c r="D198" s="100"/>
    </row>
    <row r="199" spans="3:4" x14ac:dyDescent="0.25">
      <c r="C199" s="100"/>
      <c r="D199" s="100"/>
    </row>
    <row r="200" spans="3:4" x14ac:dyDescent="0.25">
      <c r="C200" s="100"/>
      <c r="D200" s="100"/>
    </row>
    <row r="201" spans="3:4" x14ac:dyDescent="0.25">
      <c r="C201" s="100"/>
      <c r="D201" s="100"/>
    </row>
    <row r="202" spans="3:4" x14ac:dyDescent="0.25">
      <c r="C202" s="100"/>
      <c r="D202" s="100"/>
    </row>
    <row r="203" spans="3:4" x14ac:dyDescent="0.25">
      <c r="C203" s="100"/>
      <c r="D203" s="100"/>
    </row>
    <row r="204" spans="3:4" x14ac:dyDescent="0.25">
      <c r="C204" s="100"/>
      <c r="D204" s="100"/>
    </row>
    <row r="205" spans="3:4" x14ac:dyDescent="0.25">
      <c r="C205" s="100"/>
      <c r="D205" s="100"/>
    </row>
    <row r="206" spans="3:4" x14ac:dyDescent="0.25">
      <c r="C206" s="100"/>
      <c r="D206" s="100"/>
    </row>
    <row r="207" spans="3:4" x14ac:dyDescent="0.25">
      <c r="C207" s="100"/>
      <c r="D207" s="100"/>
    </row>
    <row r="208" spans="3:4" x14ac:dyDescent="0.25">
      <c r="C208" s="100"/>
      <c r="D208" s="100"/>
    </row>
    <row r="209" spans="3:4" x14ac:dyDescent="0.25">
      <c r="C209" s="100"/>
      <c r="D209" s="100"/>
    </row>
    <row r="210" spans="3:4" x14ac:dyDescent="0.25">
      <c r="C210" s="100"/>
      <c r="D210" s="100"/>
    </row>
    <row r="211" spans="3:4" x14ac:dyDescent="0.25">
      <c r="C211" s="100"/>
      <c r="D211" s="100"/>
    </row>
    <row r="212" spans="3:4" x14ac:dyDescent="0.25">
      <c r="C212" s="100"/>
      <c r="D212" s="100"/>
    </row>
    <row r="213" spans="3:4" x14ac:dyDescent="0.25">
      <c r="C213" s="100"/>
      <c r="D213" s="100"/>
    </row>
    <row r="214" spans="3:4" x14ac:dyDescent="0.25">
      <c r="C214" s="100"/>
      <c r="D214" s="100"/>
    </row>
    <row r="215" spans="3:4" x14ac:dyDescent="0.25">
      <c r="C215" s="100"/>
      <c r="D215" s="100"/>
    </row>
    <row r="216" spans="3:4" x14ac:dyDescent="0.25">
      <c r="C216" s="100"/>
      <c r="D216" s="100"/>
    </row>
    <row r="217" spans="3:4" x14ac:dyDescent="0.25">
      <c r="C217" s="100"/>
      <c r="D217" s="100"/>
    </row>
    <row r="218" spans="3:4" x14ac:dyDescent="0.25">
      <c r="C218" s="100"/>
      <c r="D218" s="100"/>
    </row>
    <row r="219" spans="3:4" x14ac:dyDescent="0.25">
      <c r="C219" s="100"/>
      <c r="D219" s="100"/>
    </row>
    <row r="220" spans="3:4" x14ac:dyDescent="0.25">
      <c r="C220" s="100"/>
      <c r="D220" s="100"/>
    </row>
    <row r="221" spans="3:4" x14ac:dyDescent="0.25">
      <c r="C221" s="100"/>
      <c r="D221" s="100"/>
    </row>
    <row r="222" spans="3:4" x14ac:dyDescent="0.25">
      <c r="C222" s="100"/>
      <c r="D222" s="100"/>
    </row>
    <row r="223" spans="3:4" x14ac:dyDescent="0.25">
      <c r="C223" s="100"/>
      <c r="D223" s="100"/>
    </row>
    <row r="224" spans="3:4" x14ac:dyDescent="0.25">
      <c r="C224" s="100"/>
      <c r="D224" s="100"/>
    </row>
    <row r="225" spans="3:4" x14ac:dyDescent="0.25">
      <c r="C225" s="100"/>
      <c r="D225" s="100"/>
    </row>
    <row r="226" spans="3:4" x14ac:dyDescent="0.25">
      <c r="C226" s="100"/>
      <c r="D226" s="100"/>
    </row>
    <row r="227" spans="3:4" x14ac:dyDescent="0.25">
      <c r="C227" s="100"/>
      <c r="D227" s="100"/>
    </row>
    <row r="228" spans="3:4" x14ac:dyDescent="0.25">
      <c r="C228" s="100"/>
      <c r="D228" s="100"/>
    </row>
    <row r="229" spans="3:4" x14ac:dyDescent="0.25">
      <c r="C229" s="100"/>
      <c r="D229" s="100"/>
    </row>
    <row r="230" spans="3:4" x14ac:dyDescent="0.25">
      <c r="C230" s="100"/>
      <c r="D230" s="100"/>
    </row>
    <row r="231" spans="3:4" x14ac:dyDescent="0.25">
      <c r="C231" s="100"/>
      <c r="D231" s="100"/>
    </row>
    <row r="232" spans="3:4" x14ac:dyDescent="0.25">
      <c r="C232" s="100"/>
      <c r="D232" s="100"/>
    </row>
    <row r="233" spans="3:4" x14ac:dyDescent="0.25">
      <c r="C233" s="100"/>
      <c r="D233" s="100"/>
    </row>
    <row r="234" spans="3:4" x14ac:dyDescent="0.25">
      <c r="C234" s="100"/>
      <c r="D234" s="100"/>
    </row>
    <row r="235" spans="3:4" x14ac:dyDescent="0.25">
      <c r="C235" s="100"/>
      <c r="D235" s="100"/>
    </row>
    <row r="236" spans="3:4" x14ac:dyDescent="0.25">
      <c r="C236" s="100"/>
      <c r="D236" s="100"/>
    </row>
    <row r="237" spans="3:4" x14ac:dyDescent="0.25">
      <c r="C237" s="100"/>
      <c r="D237" s="100"/>
    </row>
    <row r="238" spans="3:4" x14ac:dyDescent="0.25">
      <c r="C238" s="100"/>
      <c r="D238" s="100"/>
    </row>
    <row r="239" spans="3:4" x14ac:dyDescent="0.25">
      <c r="C239" s="100"/>
      <c r="D239" s="100"/>
    </row>
    <row r="240" spans="3:4" x14ac:dyDescent="0.25">
      <c r="C240" s="100"/>
      <c r="D240" s="100"/>
    </row>
    <row r="241" spans="3:4" x14ac:dyDescent="0.25">
      <c r="C241" s="100"/>
      <c r="D241" s="100"/>
    </row>
    <row r="242" spans="3:4" x14ac:dyDescent="0.25">
      <c r="C242" s="100"/>
      <c r="D242" s="100"/>
    </row>
    <row r="243" spans="3:4" x14ac:dyDescent="0.25">
      <c r="C243" s="100"/>
      <c r="D243" s="100"/>
    </row>
    <row r="244" spans="3:4" x14ac:dyDescent="0.25">
      <c r="C244" s="100"/>
      <c r="D244" s="100"/>
    </row>
    <row r="245" spans="3:4" x14ac:dyDescent="0.25">
      <c r="C245" s="100"/>
      <c r="D245" s="100"/>
    </row>
    <row r="246" spans="3:4" x14ac:dyDescent="0.25">
      <c r="C246" s="100"/>
      <c r="D246" s="100"/>
    </row>
    <row r="247" spans="3:4" x14ac:dyDescent="0.25">
      <c r="C247" s="100"/>
      <c r="D247" s="100"/>
    </row>
    <row r="248" spans="3:4" x14ac:dyDescent="0.25">
      <c r="C248" s="100"/>
      <c r="D248" s="100"/>
    </row>
    <row r="249" spans="3:4" x14ac:dyDescent="0.25">
      <c r="C249" s="100"/>
      <c r="D249" s="100"/>
    </row>
    <row r="250" spans="3:4" x14ac:dyDescent="0.25">
      <c r="C250" s="100"/>
      <c r="D250" s="100"/>
    </row>
    <row r="251" spans="3:4" x14ac:dyDescent="0.25">
      <c r="C251" s="100"/>
      <c r="D251" s="100"/>
    </row>
    <row r="252" spans="3:4" x14ac:dyDescent="0.25">
      <c r="C252" s="100"/>
      <c r="D252" s="100"/>
    </row>
    <row r="253" spans="3:4" x14ac:dyDescent="0.25">
      <c r="C253" s="100"/>
      <c r="D253" s="100"/>
    </row>
    <row r="254" spans="3:4" x14ac:dyDescent="0.25">
      <c r="C254" s="100"/>
      <c r="D254" s="100"/>
    </row>
    <row r="255" spans="3:4" x14ac:dyDescent="0.25">
      <c r="C255" s="100"/>
      <c r="D255" s="100"/>
    </row>
    <row r="256" spans="3:4" x14ac:dyDescent="0.25">
      <c r="C256" s="100"/>
      <c r="D256" s="100"/>
    </row>
    <row r="257" spans="3:4" x14ac:dyDescent="0.25">
      <c r="C257" s="100"/>
      <c r="D257" s="100"/>
    </row>
    <row r="258" spans="3:4" x14ac:dyDescent="0.25">
      <c r="C258" s="100"/>
      <c r="D258" s="100"/>
    </row>
    <row r="259" spans="3:4" x14ac:dyDescent="0.25">
      <c r="C259" s="100"/>
      <c r="D259" s="100"/>
    </row>
    <row r="260" spans="3:4" x14ac:dyDescent="0.25">
      <c r="C260" s="100"/>
      <c r="D260" s="100"/>
    </row>
    <row r="261" spans="3:4" x14ac:dyDescent="0.25">
      <c r="C261" s="100"/>
      <c r="D261" s="100"/>
    </row>
    <row r="262" spans="3:4" x14ac:dyDescent="0.25">
      <c r="C262" s="100"/>
      <c r="D262" s="100"/>
    </row>
    <row r="263" spans="3:4" x14ac:dyDescent="0.25">
      <c r="C263" s="100"/>
      <c r="D263" s="100"/>
    </row>
    <row r="264" spans="3:4" x14ac:dyDescent="0.25">
      <c r="C264" s="100"/>
      <c r="D264" s="100"/>
    </row>
    <row r="265" spans="3:4" x14ac:dyDescent="0.25">
      <c r="C265" s="100"/>
      <c r="D265" s="100"/>
    </row>
    <row r="266" spans="3:4" x14ac:dyDescent="0.25">
      <c r="C266" s="100"/>
      <c r="D266" s="100"/>
    </row>
    <row r="267" spans="3:4" x14ac:dyDescent="0.25">
      <c r="C267" s="100"/>
      <c r="D267" s="100"/>
    </row>
    <row r="268" spans="3:4" x14ac:dyDescent="0.25">
      <c r="C268" s="100"/>
      <c r="D268" s="100"/>
    </row>
    <row r="269" spans="3:4" x14ac:dyDescent="0.25">
      <c r="C269" s="100"/>
      <c r="D269" s="100"/>
    </row>
    <row r="270" spans="3:4" x14ac:dyDescent="0.25">
      <c r="C270" s="100"/>
      <c r="D270" s="100"/>
    </row>
    <row r="271" spans="3:4" x14ac:dyDescent="0.25">
      <c r="C271" s="100"/>
      <c r="D271" s="100"/>
    </row>
    <row r="272" spans="3:4" x14ac:dyDescent="0.25">
      <c r="C272" s="100"/>
      <c r="D272" s="100"/>
    </row>
    <row r="273" spans="3:4" x14ac:dyDescent="0.25">
      <c r="C273" s="100"/>
      <c r="D273" s="100"/>
    </row>
    <row r="274" spans="3:4" x14ac:dyDescent="0.25">
      <c r="C274" s="100"/>
      <c r="D274" s="100"/>
    </row>
    <row r="275" spans="3:4" x14ac:dyDescent="0.25">
      <c r="C275" s="100"/>
      <c r="D275" s="100"/>
    </row>
    <row r="276" spans="3:4" x14ac:dyDescent="0.25">
      <c r="C276" s="100"/>
      <c r="D276" s="100"/>
    </row>
    <row r="277" spans="3:4" x14ac:dyDescent="0.25">
      <c r="C277" s="100"/>
      <c r="D277" s="100"/>
    </row>
    <row r="278" spans="3:4" x14ac:dyDescent="0.25">
      <c r="C278" s="100"/>
      <c r="D278" s="100"/>
    </row>
    <row r="279" spans="3:4" x14ac:dyDescent="0.25">
      <c r="C279" s="100"/>
      <c r="D279" s="100"/>
    </row>
    <row r="280" spans="3:4" x14ac:dyDescent="0.25">
      <c r="C280" s="100"/>
      <c r="D280" s="100"/>
    </row>
    <row r="281" spans="3:4" x14ac:dyDescent="0.25">
      <c r="C281" s="100"/>
      <c r="D281" s="100"/>
    </row>
    <row r="282" spans="3:4" x14ac:dyDescent="0.25">
      <c r="C282" s="100"/>
      <c r="D282" s="100"/>
    </row>
    <row r="283" spans="3:4" x14ac:dyDescent="0.25">
      <c r="C283" s="100"/>
      <c r="D283" s="100"/>
    </row>
    <row r="284" spans="3:4" x14ac:dyDescent="0.25">
      <c r="C284" s="100"/>
      <c r="D284" s="100"/>
    </row>
    <row r="285" spans="3:4" x14ac:dyDescent="0.25">
      <c r="C285" s="100"/>
      <c r="D285" s="100"/>
    </row>
    <row r="286" spans="3:4" x14ac:dyDescent="0.25">
      <c r="C286" s="100"/>
      <c r="D286" s="100"/>
    </row>
    <row r="287" spans="3:4" x14ac:dyDescent="0.25">
      <c r="C287" s="100"/>
      <c r="D287" s="100"/>
    </row>
    <row r="288" spans="3:4" x14ac:dyDescent="0.25">
      <c r="C288" s="100"/>
      <c r="D288" s="100"/>
    </row>
    <row r="289" spans="3:4" x14ac:dyDescent="0.25">
      <c r="C289" s="100"/>
      <c r="D289" s="100"/>
    </row>
    <row r="290" spans="3:4" x14ac:dyDescent="0.25">
      <c r="C290" s="100"/>
      <c r="D290" s="100"/>
    </row>
    <row r="291" spans="3:4" x14ac:dyDescent="0.25">
      <c r="C291" s="100"/>
      <c r="D291" s="100"/>
    </row>
    <row r="292" spans="3:4" x14ac:dyDescent="0.25">
      <c r="C292" s="100"/>
      <c r="D292" s="100"/>
    </row>
    <row r="293" spans="3:4" x14ac:dyDescent="0.25">
      <c r="C293" s="100"/>
      <c r="D293" s="100"/>
    </row>
    <row r="294" spans="3:4" x14ac:dyDescent="0.25">
      <c r="C294" s="100"/>
      <c r="D294" s="100"/>
    </row>
    <row r="295" spans="3:4" x14ac:dyDescent="0.25">
      <c r="C295" s="100"/>
      <c r="D295" s="100"/>
    </row>
    <row r="296" spans="3:4" x14ac:dyDescent="0.25">
      <c r="C296" s="100"/>
      <c r="D296" s="100"/>
    </row>
    <row r="297" spans="3:4" x14ac:dyDescent="0.25">
      <c r="C297" s="100"/>
      <c r="D297" s="100"/>
    </row>
    <row r="298" spans="3:4" x14ac:dyDescent="0.25">
      <c r="C298" s="100"/>
      <c r="D298" s="100"/>
    </row>
    <row r="299" spans="3:4" x14ac:dyDescent="0.25">
      <c r="C299" s="100"/>
      <c r="D299" s="100"/>
    </row>
    <row r="300" spans="3:4" x14ac:dyDescent="0.25">
      <c r="C300" s="100"/>
      <c r="D300" s="100"/>
    </row>
    <row r="301" spans="3:4" x14ac:dyDescent="0.25">
      <c r="C301" s="100"/>
      <c r="D301" s="100"/>
    </row>
    <row r="302" spans="3:4" x14ac:dyDescent="0.25">
      <c r="C302" s="100"/>
      <c r="D302" s="100"/>
    </row>
    <row r="303" spans="3:4" x14ac:dyDescent="0.25">
      <c r="C303" s="100"/>
      <c r="D303" s="100"/>
    </row>
    <row r="304" spans="3:4" x14ac:dyDescent="0.25">
      <c r="C304" s="100"/>
      <c r="D304" s="100"/>
    </row>
    <row r="305" spans="3:4" x14ac:dyDescent="0.25">
      <c r="C305" s="100"/>
      <c r="D305" s="100"/>
    </row>
    <row r="306" spans="3:4" x14ac:dyDescent="0.25">
      <c r="C306" s="100"/>
      <c r="D306" s="100"/>
    </row>
    <row r="307" spans="3:4" x14ac:dyDescent="0.25">
      <c r="C307" s="100"/>
      <c r="D307" s="100"/>
    </row>
    <row r="308" spans="3:4" x14ac:dyDescent="0.25">
      <c r="C308" s="100"/>
      <c r="D308" s="100"/>
    </row>
    <row r="309" spans="3:4" x14ac:dyDescent="0.25">
      <c r="C309" s="100"/>
      <c r="D309" s="100"/>
    </row>
    <row r="310" spans="3:4" x14ac:dyDescent="0.25">
      <c r="C310" s="100"/>
      <c r="D310" s="100"/>
    </row>
    <row r="311" spans="3:4" x14ac:dyDescent="0.25">
      <c r="C311" s="100"/>
      <c r="D311" s="100"/>
    </row>
    <row r="312" spans="3:4" x14ac:dyDescent="0.25">
      <c r="C312" s="100"/>
      <c r="D312" s="100"/>
    </row>
    <row r="313" spans="3:4" x14ac:dyDescent="0.25">
      <c r="C313" s="100"/>
      <c r="D313" s="100"/>
    </row>
    <row r="314" spans="3:4" x14ac:dyDescent="0.25">
      <c r="C314" s="100"/>
      <c r="D314" s="100"/>
    </row>
    <row r="315" spans="3:4" x14ac:dyDescent="0.25">
      <c r="C315" s="100"/>
      <c r="D315" s="100"/>
    </row>
    <row r="316" spans="3:4" x14ac:dyDescent="0.25">
      <c r="C316" s="100"/>
      <c r="D316" s="100"/>
    </row>
    <row r="317" spans="3:4" x14ac:dyDescent="0.25">
      <c r="C317" s="100"/>
      <c r="D317" s="100"/>
    </row>
    <row r="318" spans="3:4" x14ac:dyDescent="0.25">
      <c r="C318" s="100"/>
      <c r="D318" s="100"/>
    </row>
    <row r="319" spans="3:4" x14ac:dyDescent="0.25">
      <c r="C319" s="100"/>
      <c r="D319" s="100"/>
    </row>
    <row r="320" spans="3:4" x14ac:dyDescent="0.25">
      <c r="C320" s="100"/>
      <c r="D320" s="100"/>
    </row>
    <row r="321" spans="3:4" x14ac:dyDescent="0.25">
      <c r="C321" s="100"/>
      <c r="D321" s="100"/>
    </row>
    <row r="322" spans="3:4" x14ac:dyDescent="0.25">
      <c r="C322" s="100"/>
      <c r="D322" s="100"/>
    </row>
    <row r="323" spans="3:4" x14ac:dyDescent="0.25">
      <c r="C323" s="100"/>
      <c r="D323" s="100"/>
    </row>
    <row r="324" spans="3:4" x14ac:dyDescent="0.25">
      <c r="C324" s="100"/>
      <c r="D324" s="100"/>
    </row>
    <row r="325" spans="3:4" x14ac:dyDescent="0.25">
      <c r="C325" s="100"/>
      <c r="D325" s="100"/>
    </row>
    <row r="326" spans="3:4" x14ac:dyDescent="0.25">
      <c r="C326" s="100"/>
      <c r="D326" s="100"/>
    </row>
    <row r="327" spans="3:4" x14ac:dyDescent="0.25">
      <c r="C327" s="100"/>
      <c r="D327" s="100"/>
    </row>
    <row r="328" spans="3:4" x14ac:dyDescent="0.25">
      <c r="C328" s="100"/>
      <c r="D328" s="100"/>
    </row>
    <row r="329" spans="3:4" x14ac:dyDescent="0.25">
      <c r="C329" s="100"/>
      <c r="D329" s="100"/>
    </row>
    <row r="330" spans="3:4" x14ac:dyDescent="0.25">
      <c r="C330" s="100"/>
      <c r="D330" s="100"/>
    </row>
    <row r="331" spans="3:4" x14ac:dyDescent="0.25">
      <c r="C331" s="100"/>
      <c r="D331" s="100"/>
    </row>
    <row r="332" spans="3:4" x14ac:dyDescent="0.25">
      <c r="C332" s="100"/>
      <c r="D332" s="100"/>
    </row>
    <row r="333" spans="3:4" x14ac:dyDescent="0.25">
      <c r="C333" s="100"/>
      <c r="D333" s="100"/>
    </row>
    <row r="334" spans="3:4" x14ac:dyDescent="0.25">
      <c r="C334" s="100"/>
      <c r="D334" s="100"/>
    </row>
    <row r="335" spans="3:4" x14ac:dyDescent="0.25">
      <c r="C335" s="100"/>
      <c r="D335" s="100"/>
    </row>
    <row r="336" spans="3:4" x14ac:dyDescent="0.25">
      <c r="C336" s="100"/>
      <c r="D336" s="100"/>
    </row>
    <row r="337" spans="3:4" x14ac:dyDescent="0.25">
      <c r="C337" s="100"/>
      <c r="D337" s="100"/>
    </row>
    <row r="338" spans="3:4" x14ac:dyDescent="0.25">
      <c r="C338" s="100"/>
      <c r="D338" s="100"/>
    </row>
    <row r="339" spans="3:4" x14ac:dyDescent="0.25">
      <c r="C339" s="100"/>
      <c r="D339" s="100"/>
    </row>
    <row r="340" spans="3:4" x14ac:dyDescent="0.25">
      <c r="C340" s="100"/>
      <c r="D340" s="100"/>
    </row>
    <row r="341" spans="3:4" x14ac:dyDescent="0.25">
      <c r="C341" s="100"/>
      <c r="D341" s="100"/>
    </row>
    <row r="342" spans="3:4" x14ac:dyDescent="0.25">
      <c r="C342" s="100"/>
      <c r="D342" s="100"/>
    </row>
    <row r="343" spans="3:4" x14ac:dyDescent="0.25">
      <c r="C343" s="100"/>
      <c r="D343" s="100"/>
    </row>
    <row r="344" spans="3:4" x14ac:dyDescent="0.25">
      <c r="C344" s="100"/>
      <c r="D344" s="100"/>
    </row>
    <row r="345" spans="3:4" x14ac:dyDescent="0.25">
      <c r="C345" s="100"/>
      <c r="D345" s="100"/>
    </row>
    <row r="346" spans="3:4" x14ac:dyDescent="0.25">
      <c r="C346" s="100"/>
      <c r="D346" s="100"/>
    </row>
    <row r="347" spans="3:4" x14ac:dyDescent="0.25">
      <c r="C347" s="100"/>
      <c r="D347" s="100"/>
    </row>
    <row r="348" spans="3:4" x14ac:dyDescent="0.25">
      <c r="C348" s="100"/>
      <c r="D348" s="100"/>
    </row>
    <row r="349" spans="3:4" x14ac:dyDescent="0.25">
      <c r="C349" s="100"/>
      <c r="D349" s="100"/>
    </row>
    <row r="350" spans="3:4" x14ac:dyDescent="0.25">
      <c r="C350" s="100"/>
      <c r="D350" s="100"/>
    </row>
    <row r="351" spans="3:4" x14ac:dyDescent="0.25">
      <c r="C351" s="100"/>
      <c r="D351" s="100"/>
    </row>
    <row r="352" spans="3:4" x14ac:dyDescent="0.25">
      <c r="C352" s="100"/>
      <c r="D352" s="100"/>
    </row>
    <row r="353" spans="3:4" x14ac:dyDescent="0.25">
      <c r="C353" s="100"/>
      <c r="D353" s="100"/>
    </row>
    <row r="354" spans="3:4" x14ac:dyDescent="0.25">
      <c r="C354" s="100"/>
      <c r="D354" s="100"/>
    </row>
    <row r="355" spans="3:4" x14ac:dyDescent="0.25">
      <c r="C355" s="100"/>
      <c r="D355" s="100"/>
    </row>
    <row r="356" spans="3:4" x14ac:dyDescent="0.25">
      <c r="C356" s="100"/>
      <c r="D356" s="100"/>
    </row>
    <row r="357" spans="3:4" x14ac:dyDescent="0.25">
      <c r="C357" s="100"/>
      <c r="D357" s="100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816F8-DED4-48E5-ABBD-51D996F74B91}">
  <sheetPr codeName="Sheet22"/>
  <dimension ref="A1:E357"/>
  <sheetViews>
    <sheetView workbookViewId="0">
      <selection activeCell="C2" sqref="C2"/>
    </sheetView>
  </sheetViews>
  <sheetFormatPr defaultRowHeight="15.75" x14ac:dyDescent="0.25"/>
  <cols>
    <col min="1" max="1" width="8.625" style="105" bestFit="1" customWidth="1"/>
    <col min="2" max="2" width="8.625" style="101" bestFit="1" customWidth="1"/>
    <col min="3" max="3" width="8.625" bestFit="1" customWidth="1"/>
    <col min="4" max="4" width="8.25" bestFit="1" customWidth="1"/>
  </cols>
  <sheetData>
    <row r="1" spans="1:5" ht="17.25" x14ac:dyDescent="0.25">
      <c r="A1" s="102" t="s">
        <v>530</v>
      </c>
      <c r="B1" s="167" t="s">
        <v>531</v>
      </c>
      <c r="C1" s="167" t="s">
        <v>532</v>
      </c>
      <c r="D1" s="96" t="s">
        <v>533</v>
      </c>
      <c r="E1" s="169" t="s">
        <v>534</v>
      </c>
    </row>
    <row r="2" spans="1:5" x14ac:dyDescent="0.25">
      <c r="A2" s="103" t="s">
        <v>623</v>
      </c>
      <c r="B2" s="168">
        <v>2.7</v>
      </c>
      <c r="C2" s="168">
        <v>3.3</v>
      </c>
      <c r="D2" s="97">
        <v>5</v>
      </c>
      <c r="E2" s="169" t="s">
        <v>632</v>
      </c>
    </row>
    <row r="3" spans="1:5" ht="18.75" x14ac:dyDescent="0.25">
      <c r="A3" s="104" t="s">
        <v>535</v>
      </c>
      <c r="B3" s="98" t="s">
        <v>536</v>
      </c>
      <c r="C3" s="98" t="s">
        <v>537</v>
      </c>
      <c r="D3" s="98" t="s">
        <v>538</v>
      </c>
    </row>
    <row r="4" spans="1:5" x14ac:dyDescent="0.25">
      <c r="A4" s="101">
        <v>2.7</v>
      </c>
      <c r="B4" s="100">
        <v>16.469282243036261</v>
      </c>
      <c r="C4" s="101">
        <v>2.9754418325555196</v>
      </c>
      <c r="D4" s="101">
        <v>0.15006874595448602</v>
      </c>
    </row>
    <row r="5" spans="1:5" x14ac:dyDescent="0.25">
      <c r="A5" s="101">
        <v>2.8200000000000003</v>
      </c>
      <c r="B5" s="100">
        <v>14.200800603612494</v>
      </c>
      <c r="C5" s="100"/>
      <c r="D5" s="100"/>
    </row>
    <row r="6" spans="1:5" x14ac:dyDescent="0.25">
      <c r="A6" s="101">
        <v>2.94</v>
      </c>
      <c r="B6" s="100">
        <v>13.172987538140775</v>
      </c>
      <c r="C6" s="100"/>
      <c r="D6" s="100"/>
    </row>
    <row r="7" spans="1:5" x14ac:dyDescent="0.25">
      <c r="A7" s="101">
        <v>3.06</v>
      </c>
      <c r="B7" s="100">
        <v>13.420994128834684</v>
      </c>
      <c r="C7" s="100"/>
      <c r="D7" s="100"/>
    </row>
    <row r="8" spans="1:5" x14ac:dyDescent="0.25">
      <c r="A8" s="101">
        <v>3.1799999999999997</v>
      </c>
      <c r="B8" s="100">
        <v>14.955825909298614</v>
      </c>
      <c r="C8" s="100"/>
      <c r="D8" s="100"/>
    </row>
    <row r="9" spans="1:5" x14ac:dyDescent="0.25">
      <c r="A9" s="101">
        <v>3.3</v>
      </c>
      <c r="B9" s="100">
        <v>17.798662627537752</v>
      </c>
      <c r="C9" s="100"/>
      <c r="D9" s="100"/>
    </row>
    <row r="10" spans="1:5" x14ac:dyDescent="0.25">
      <c r="A10" s="101"/>
      <c r="B10" s="100"/>
      <c r="C10" s="100"/>
      <c r="D10" s="100"/>
    </row>
    <row r="11" spans="1:5" x14ac:dyDescent="0.25">
      <c r="A11" s="101"/>
      <c r="B11" s="100"/>
      <c r="C11" s="100"/>
      <c r="D11" s="100"/>
    </row>
    <row r="12" spans="1:5" x14ac:dyDescent="0.25">
      <c r="A12" s="101"/>
      <c r="B12" s="100"/>
      <c r="C12" s="100"/>
      <c r="D12" s="100"/>
    </row>
    <row r="13" spans="1:5" x14ac:dyDescent="0.25">
      <c r="A13" s="101"/>
      <c r="B13" s="100"/>
      <c r="C13" s="100"/>
      <c r="D13" s="100"/>
    </row>
    <row r="14" spans="1:5" x14ac:dyDescent="0.25">
      <c r="A14" s="101"/>
      <c r="B14" s="100"/>
      <c r="C14" s="100"/>
      <c r="D14" s="100"/>
    </row>
    <row r="15" spans="1:5" x14ac:dyDescent="0.25">
      <c r="A15" s="122"/>
      <c r="B15" s="100"/>
      <c r="C15" s="100"/>
      <c r="D15" s="100"/>
    </row>
    <row r="16" spans="1:5" x14ac:dyDescent="0.25">
      <c r="A16" s="122"/>
      <c r="B16" s="100"/>
      <c r="C16" s="100"/>
      <c r="D16" s="100"/>
    </row>
    <row r="17" spans="1:4" x14ac:dyDescent="0.25">
      <c r="A17" s="122"/>
      <c r="B17" s="100"/>
      <c r="C17" s="100"/>
      <c r="D17" s="100"/>
    </row>
    <row r="18" spans="1:4" x14ac:dyDescent="0.25">
      <c r="A18" s="122"/>
      <c r="B18" s="100"/>
      <c r="C18" s="100"/>
      <c r="D18" s="100"/>
    </row>
    <row r="19" spans="1:4" x14ac:dyDescent="0.25">
      <c r="A19" s="122"/>
      <c r="B19" s="100"/>
      <c r="C19" s="100"/>
      <c r="D19" s="100"/>
    </row>
    <row r="20" spans="1:4" x14ac:dyDescent="0.25">
      <c r="A20" s="122"/>
      <c r="B20" s="100"/>
      <c r="C20" s="100"/>
      <c r="D20" s="100"/>
    </row>
    <row r="21" spans="1:4" x14ac:dyDescent="0.25">
      <c r="A21" s="122"/>
      <c r="B21" s="100"/>
      <c r="C21" s="100"/>
      <c r="D21" s="100"/>
    </row>
    <row r="22" spans="1:4" x14ac:dyDescent="0.25">
      <c r="A22" s="122"/>
      <c r="B22" s="100"/>
      <c r="C22" s="100"/>
      <c r="D22" s="100"/>
    </row>
    <row r="23" spans="1:4" x14ac:dyDescent="0.25">
      <c r="A23" s="122"/>
      <c r="B23" s="100"/>
      <c r="C23" s="100"/>
      <c r="D23" s="100"/>
    </row>
    <row r="24" spans="1:4" x14ac:dyDescent="0.25">
      <c r="A24" s="122"/>
      <c r="B24" s="100"/>
      <c r="C24" s="100"/>
      <c r="D24" s="100"/>
    </row>
    <row r="25" spans="1:4" x14ac:dyDescent="0.25">
      <c r="B25" s="100"/>
      <c r="C25" s="100"/>
      <c r="D25" s="100"/>
    </row>
    <row r="26" spans="1:4" x14ac:dyDescent="0.25">
      <c r="B26" s="100"/>
      <c r="C26" s="100"/>
      <c r="D26" s="100"/>
    </row>
    <row r="27" spans="1:4" x14ac:dyDescent="0.25">
      <c r="B27" s="100"/>
      <c r="C27" s="100"/>
      <c r="D27" s="100"/>
    </row>
    <row r="28" spans="1:4" x14ac:dyDescent="0.25">
      <c r="B28" s="100"/>
      <c r="C28" s="100"/>
      <c r="D28" s="100"/>
    </row>
    <row r="29" spans="1:4" x14ac:dyDescent="0.25">
      <c r="B29" s="100"/>
      <c r="C29" s="100"/>
      <c r="D29" s="100"/>
    </row>
    <row r="30" spans="1:4" x14ac:dyDescent="0.25">
      <c r="B30" s="100"/>
      <c r="C30" s="100"/>
      <c r="D30" s="100"/>
    </row>
    <row r="31" spans="1:4" x14ac:dyDescent="0.25">
      <c r="B31" s="100"/>
      <c r="C31" s="100"/>
      <c r="D31" s="100"/>
    </row>
    <row r="32" spans="1:4" x14ac:dyDescent="0.25">
      <c r="B32" s="100"/>
      <c r="C32" s="100"/>
      <c r="D32" s="100"/>
    </row>
    <row r="33" spans="2:4" x14ac:dyDescent="0.25">
      <c r="B33" s="100"/>
      <c r="C33" s="100"/>
      <c r="D33" s="100"/>
    </row>
    <row r="34" spans="2:4" x14ac:dyDescent="0.25">
      <c r="B34" s="100"/>
      <c r="C34" s="100"/>
      <c r="D34" s="100"/>
    </row>
    <row r="35" spans="2:4" x14ac:dyDescent="0.25">
      <c r="C35" s="100"/>
      <c r="D35" s="100"/>
    </row>
    <row r="36" spans="2:4" x14ac:dyDescent="0.25">
      <c r="C36" s="100"/>
      <c r="D36" s="100"/>
    </row>
    <row r="37" spans="2:4" x14ac:dyDescent="0.25">
      <c r="C37" s="100"/>
      <c r="D37" s="100"/>
    </row>
    <row r="38" spans="2:4" x14ac:dyDescent="0.25">
      <c r="C38" s="100"/>
      <c r="D38" s="100"/>
    </row>
    <row r="39" spans="2:4" x14ac:dyDescent="0.25">
      <c r="C39" s="100"/>
      <c r="D39" s="100"/>
    </row>
    <row r="40" spans="2:4" x14ac:dyDescent="0.25">
      <c r="C40" s="100"/>
      <c r="D40" s="100"/>
    </row>
    <row r="41" spans="2:4" x14ac:dyDescent="0.25">
      <c r="C41" s="100"/>
      <c r="D41" s="100"/>
    </row>
    <row r="42" spans="2:4" x14ac:dyDescent="0.25">
      <c r="C42" s="100"/>
      <c r="D42" s="100"/>
    </row>
    <row r="43" spans="2:4" x14ac:dyDescent="0.25">
      <c r="C43" s="100"/>
      <c r="D43" s="100"/>
    </row>
    <row r="44" spans="2:4" x14ac:dyDescent="0.25">
      <c r="C44" s="100"/>
      <c r="D44" s="100"/>
    </row>
    <row r="45" spans="2:4" x14ac:dyDescent="0.25">
      <c r="C45" s="100"/>
      <c r="D45" s="100"/>
    </row>
    <row r="46" spans="2:4" x14ac:dyDescent="0.25">
      <c r="C46" s="100"/>
      <c r="D46" s="100"/>
    </row>
    <row r="47" spans="2:4" x14ac:dyDescent="0.25">
      <c r="C47" s="100"/>
      <c r="D47" s="100"/>
    </row>
    <row r="48" spans="2:4" x14ac:dyDescent="0.25">
      <c r="C48" s="100"/>
      <c r="D48" s="100"/>
    </row>
    <row r="49" spans="3:4" x14ac:dyDescent="0.25">
      <c r="C49" s="100"/>
      <c r="D49" s="100"/>
    </row>
    <row r="50" spans="3:4" x14ac:dyDescent="0.25">
      <c r="C50" s="100"/>
      <c r="D50" s="100"/>
    </row>
    <row r="51" spans="3:4" x14ac:dyDescent="0.25">
      <c r="C51" s="100"/>
      <c r="D51" s="100"/>
    </row>
    <row r="52" spans="3:4" x14ac:dyDescent="0.25">
      <c r="C52" s="100"/>
      <c r="D52" s="100"/>
    </row>
    <row r="53" spans="3:4" x14ac:dyDescent="0.25">
      <c r="C53" s="100"/>
      <c r="D53" s="100"/>
    </row>
    <row r="54" spans="3:4" x14ac:dyDescent="0.25">
      <c r="C54" s="100"/>
      <c r="D54" s="100"/>
    </row>
    <row r="55" spans="3:4" x14ac:dyDescent="0.25">
      <c r="C55" s="100"/>
      <c r="D55" s="100"/>
    </row>
    <row r="56" spans="3:4" x14ac:dyDescent="0.25">
      <c r="C56" s="100"/>
      <c r="D56" s="100"/>
    </row>
    <row r="57" spans="3:4" x14ac:dyDescent="0.25">
      <c r="C57" s="100"/>
      <c r="D57" s="100"/>
    </row>
    <row r="58" spans="3:4" x14ac:dyDescent="0.25">
      <c r="C58" s="100"/>
      <c r="D58" s="100"/>
    </row>
    <row r="59" spans="3:4" x14ac:dyDescent="0.25">
      <c r="C59" s="100"/>
      <c r="D59" s="100"/>
    </row>
    <row r="60" spans="3:4" x14ac:dyDescent="0.25">
      <c r="C60" s="100"/>
      <c r="D60" s="100"/>
    </row>
    <row r="61" spans="3:4" x14ac:dyDescent="0.25">
      <c r="C61" s="100"/>
      <c r="D61" s="100"/>
    </row>
    <row r="62" spans="3:4" x14ac:dyDescent="0.25">
      <c r="C62" s="100"/>
      <c r="D62" s="100"/>
    </row>
    <row r="63" spans="3:4" x14ac:dyDescent="0.25">
      <c r="C63" s="100"/>
      <c r="D63" s="100"/>
    </row>
    <row r="64" spans="3:4" x14ac:dyDescent="0.25">
      <c r="C64" s="100"/>
      <c r="D64" s="100"/>
    </row>
    <row r="65" spans="3:4" x14ac:dyDescent="0.25">
      <c r="C65" s="100"/>
      <c r="D65" s="100"/>
    </row>
    <row r="66" spans="3:4" x14ac:dyDescent="0.25">
      <c r="C66" s="100"/>
      <c r="D66" s="100"/>
    </row>
    <row r="67" spans="3:4" x14ac:dyDescent="0.25">
      <c r="C67" s="100"/>
      <c r="D67" s="100"/>
    </row>
    <row r="68" spans="3:4" x14ac:dyDescent="0.25">
      <c r="C68" s="100"/>
      <c r="D68" s="100"/>
    </row>
    <row r="69" spans="3:4" x14ac:dyDescent="0.25">
      <c r="C69" s="100"/>
      <c r="D69" s="100"/>
    </row>
    <row r="70" spans="3:4" x14ac:dyDescent="0.25">
      <c r="C70" s="100"/>
      <c r="D70" s="100"/>
    </row>
    <row r="71" spans="3:4" x14ac:dyDescent="0.25">
      <c r="C71" s="100"/>
      <c r="D71" s="100"/>
    </row>
    <row r="72" spans="3:4" x14ac:dyDescent="0.25">
      <c r="C72" s="100"/>
      <c r="D72" s="100"/>
    </row>
    <row r="73" spans="3:4" x14ac:dyDescent="0.25">
      <c r="C73" s="100"/>
      <c r="D73" s="100"/>
    </row>
    <row r="74" spans="3:4" x14ac:dyDescent="0.25">
      <c r="C74" s="100"/>
      <c r="D74" s="100"/>
    </row>
    <row r="75" spans="3:4" x14ac:dyDescent="0.25">
      <c r="C75" s="100"/>
      <c r="D75" s="100"/>
    </row>
    <row r="76" spans="3:4" x14ac:dyDescent="0.25">
      <c r="C76" s="100"/>
      <c r="D76" s="100"/>
    </row>
    <row r="77" spans="3:4" x14ac:dyDescent="0.25">
      <c r="C77" s="100"/>
      <c r="D77" s="100"/>
    </row>
    <row r="78" spans="3:4" x14ac:dyDescent="0.25">
      <c r="C78" s="100"/>
      <c r="D78" s="100"/>
    </row>
    <row r="79" spans="3:4" x14ac:dyDescent="0.25">
      <c r="C79" s="100"/>
      <c r="D79" s="100"/>
    </row>
    <row r="80" spans="3:4" x14ac:dyDescent="0.25">
      <c r="C80" s="100"/>
      <c r="D80" s="100"/>
    </row>
    <row r="81" spans="3:4" x14ac:dyDescent="0.25">
      <c r="C81" s="100"/>
      <c r="D81" s="100"/>
    </row>
    <row r="82" spans="3:4" x14ac:dyDescent="0.25">
      <c r="C82" s="100"/>
      <c r="D82" s="100"/>
    </row>
    <row r="83" spans="3:4" x14ac:dyDescent="0.25">
      <c r="C83" s="100"/>
      <c r="D83" s="100"/>
    </row>
    <row r="84" spans="3:4" x14ac:dyDescent="0.25">
      <c r="C84" s="100"/>
      <c r="D84" s="100"/>
    </row>
    <row r="85" spans="3:4" x14ac:dyDescent="0.25">
      <c r="C85" s="100"/>
      <c r="D85" s="100"/>
    </row>
    <row r="86" spans="3:4" x14ac:dyDescent="0.25">
      <c r="C86" s="100"/>
      <c r="D86" s="100"/>
    </row>
    <row r="87" spans="3:4" x14ac:dyDescent="0.25">
      <c r="C87" s="100"/>
      <c r="D87" s="100"/>
    </row>
    <row r="88" spans="3:4" x14ac:dyDescent="0.25">
      <c r="C88" s="100"/>
      <c r="D88" s="100"/>
    </row>
    <row r="89" spans="3:4" x14ac:dyDescent="0.25">
      <c r="C89" s="100"/>
      <c r="D89" s="100"/>
    </row>
    <row r="90" spans="3:4" x14ac:dyDescent="0.25">
      <c r="C90" s="100"/>
      <c r="D90" s="100"/>
    </row>
    <row r="91" spans="3:4" x14ac:dyDescent="0.25">
      <c r="C91" s="100"/>
      <c r="D91" s="100"/>
    </row>
    <row r="92" spans="3:4" x14ac:dyDescent="0.25">
      <c r="C92" s="100"/>
      <c r="D92" s="100"/>
    </row>
    <row r="93" spans="3:4" x14ac:dyDescent="0.25">
      <c r="C93" s="100"/>
      <c r="D93" s="100"/>
    </row>
    <row r="94" spans="3:4" x14ac:dyDescent="0.25">
      <c r="C94" s="100"/>
      <c r="D94" s="100"/>
    </row>
    <row r="95" spans="3:4" x14ac:dyDescent="0.25">
      <c r="C95" s="100"/>
      <c r="D95" s="100"/>
    </row>
    <row r="96" spans="3:4" x14ac:dyDescent="0.25">
      <c r="C96" s="100"/>
      <c r="D96" s="100"/>
    </row>
    <row r="97" spans="3:4" x14ac:dyDescent="0.25">
      <c r="C97" s="100"/>
      <c r="D97" s="100"/>
    </row>
    <row r="98" spans="3:4" x14ac:dyDescent="0.25">
      <c r="C98" s="100"/>
      <c r="D98" s="100"/>
    </row>
    <row r="99" spans="3:4" x14ac:dyDescent="0.25">
      <c r="C99" s="100"/>
      <c r="D99" s="100"/>
    </row>
    <row r="100" spans="3:4" x14ac:dyDescent="0.25">
      <c r="C100" s="100"/>
      <c r="D100" s="100"/>
    </row>
    <row r="101" spans="3:4" x14ac:dyDescent="0.25">
      <c r="C101" s="100"/>
      <c r="D101" s="100"/>
    </row>
    <row r="102" spans="3:4" x14ac:dyDescent="0.25">
      <c r="C102" s="100"/>
      <c r="D102" s="100"/>
    </row>
    <row r="103" spans="3:4" x14ac:dyDescent="0.25">
      <c r="C103" s="100"/>
      <c r="D103" s="100"/>
    </row>
    <row r="104" spans="3:4" x14ac:dyDescent="0.25">
      <c r="C104" s="100"/>
      <c r="D104" s="100"/>
    </row>
    <row r="105" spans="3:4" x14ac:dyDescent="0.25">
      <c r="C105" s="100"/>
      <c r="D105" s="100"/>
    </row>
    <row r="106" spans="3:4" x14ac:dyDescent="0.25">
      <c r="C106" s="100"/>
      <c r="D106" s="100"/>
    </row>
    <row r="107" spans="3:4" x14ac:dyDescent="0.25">
      <c r="C107" s="100"/>
      <c r="D107" s="100"/>
    </row>
    <row r="108" spans="3:4" x14ac:dyDescent="0.25">
      <c r="C108" s="100"/>
      <c r="D108" s="100"/>
    </row>
    <row r="109" spans="3:4" x14ac:dyDescent="0.25">
      <c r="C109" s="100"/>
      <c r="D109" s="100"/>
    </row>
    <row r="110" spans="3:4" x14ac:dyDescent="0.25">
      <c r="C110" s="100"/>
      <c r="D110" s="100"/>
    </row>
    <row r="111" spans="3:4" x14ac:dyDescent="0.25">
      <c r="C111" s="100"/>
      <c r="D111" s="100"/>
    </row>
    <row r="112" spans="3:4" x14ac:dyDescent="0.25">
      <c r="C112" s="100"/>
      <c r="D112" s="100"/>
    </row>
    <row r="113" spans="3:4" x14ac:dyDescent="0.25">
      <c r="C113" s="100"/>
      <c r="D113" s="100"/>
    </row>
    <row r="114" spans="3:4" x14ac:dyDescent="0.25">
      <c r="C114" s="100"/>
      <c r="D114" s="100"/>
    </row>
    <row r="115" spans="3:4" x14ac:dyDescent="0.25">
      <c r="C115" s="100"/>
      <c r="D115" s="100"/>
    </row>
    <row r="116" spans="3:4" x14ac:dyDescent="0.25">
      <c r="C116" s="100"/>
      <c r="D116" s="100"/>
    </row>
    <row r="117" spans="3:4" x14ac:dyDescent="0.25">
      <c r="C117" s="100"/>
      <c r="D117" s="100"/>
    </row>
    <row r="118" spans="3:4" x14ac:dyDescent="0.25">
      <c r="C118" s="100"/>
      <c r="D118" s="100"/>
    </row>
    <row r="119" spans="3:4" x14ac:dyDescent="0.25">
      <c r="C119" s="100"/>
      <c r="D119" s="100"/>
    </row>
    <row r="120" spans="3:4" x14ac:dyDescent="0.25">
      <c r="C120" s="100"/>
      <c r="D120" s="100"/>
    </row>
    <row r="121" spans="3:4" x14ac:dyDescent="0.25">
      <c r="C121" s="100"/>
      <c r="D121" s="100"/>
    </row>
    <row r="122" spans="3:4" x14ac:dyDescent="0.25">
      <c r="C122" s="100"/>
      <c r="D122" s="100"/>
    </row>
    <row r="123" spans="3:4" x14ac:dyDescent="0.25">
      <c r="C123" s="100"/>
      <c r="D123" s="100"/>
    </row>
    <row r="124" spans="3:4" x14ac:dyDescent="0.25">
      <c r="C124" s="100"/>
      <c r="D124" s="100"/>
    </row>
    <row r="125" spans="3:4" x14ac:dyDescent="0.25">
      <c r="C125" s="100"/>
      <c r="D125" s="100"/>
    </row>
    <row r="126" spans="3:4" x14ac:dyDescent="0.25">
      <c r="C126" s="100"/>
      <c r="D126" s="100"/>
    </row>
    <row r="127" spans="3:4" x14ac:dyDescent="0.25">
      <c r="C127" s="100"/>
      <c r="D127" s="100"/>
    </row>
    <row r="128" spans="3:4" x14ac:dyDescent="0.25">
      <c r="C128" s="100"/>
      <c r="D128" s="100"/>
    </row>
    <row r="129" spans="3:4" x14ac:dyDescent="0.25">
      <c r="C129" s="100"/>
      <c r="D129" s="100"/>
    </row>
    <row r="130" spans="3:4" x14ac:dyDescent="0.25">
      <c r="C130" s="100"/>
      <c r="D130" s="100"/>
    </row>
    <row r="131" spans="3:4" x14ac:dyDescent="0.25">
      <c r="C131" s="100"/>
      <c r="D131" s="100"/>
    </row>
    <row r="132" spans="3:4" x14ac:dyDescent="0.25">
      <c r="C132" s="100"/>
      <c r="D132" s="100"/>
    </row>
    <row r="133" spans="3:4" x14ac:dyDescent="0.25">
      <c r="C133" s="100"/>
      <c r="D133" s="100"/>
    </row>
    <row r="134" spans="3:4" x14ac:dyDescent="0.25">
      <c r="C134" s="100"/>
      <c r="D134" s="100"/>
    </row>
    <row r="135" spans="3:4" x14ac:dyDescent="0.25">
      <c r="C135" s="100"/>
      <c r="D135" s="100"/>
    </row>
    <row r="136" spans="3:4" x14ac:dyDescent="0.25">
      <c r="C136" s="100"/>
      <c r="D136" s="100"/>
    </row>
    <row r="137" spans="3:4" x14ac:dyDescent="0.25">
      <c r="C137" s="100"/>
      <c r="D137" s="100"/>
    </row>
    <row r="138" spans="3:4" x14ac:dyDescent="0.25">
      <c r="C138" s="100"/>
      <c r="D138" s="100"/>
    </row>
    <row r="139" spans="3:4" x14ac:dyDescent="0.25">
      <c r="C139" s="100"/>
      <c r="D139" s="100"/>
    </row>
    <row r="140" spans="3:4" x14ac:dyDescent="0.25">
      <c r="C140" s="100"/>
      <c r="D140" s="100"/>
    </row>
    <row r="141" spans="3:4" x14ac:dyDescent="0.25">
      <c r="C141" s="100"/>
      <c r="D141" s="100"/>
    </row>
    <row r="142" spans="3:4" x14ac:dyDescent="0.25">
      <c r="C142" s="100"/>
      <c r="D142" s="100"/>
    </row>
    <row r="143" spans="3:4" x14ac:dyDescent="0.25">
      <c r="C143" s="100"/>
      <c r="D143" s="100"/>
    </row>
    <row r="144" spans="3:4" x14ac:dyDescent="0.25">
      <c r="C144" s="100"/>
      <c r="D144" s="100"/>
    </row>
    <row r="145" spans="3:4" x14ac:dyDescent="0.25">
      <c r="C145" s="100"/>
      <c r="D145" s="100"/>
    </row>
    <row r="146" spans="3:4" x14ac:dyDescent="0.25">
      <c r="C146" s="100"/>
      <c r="D146" s="100"/>
    </row>
    <row r="147" spans="3:4" x14ac:dyDescent="0.25">
      <c r="C147" s="100"/>
      <c r="D147" s="100"/>
    </row>
    <row r="148" spans="3:4" x14ac:dyDescent="0.25">
      <c r="C148" s="100"/>
      <c r="D148" s="100"/>
    </row>
    <row r="149" spans="3:4" x14ac:dyDescent="0.25">
      <c r="C149" s="100"/>
      <c r="D149" s="100"/>
    </row>
    <row r="150" spans="3:4" x14ac:dyDescent="0.25">
      <c r="C150" s="100"/>
      <c r="D150" s="100"/>
    </row>
    <row r="151" spans="3:4" x14ac:dyDescent="0.25">
      <c r="C151" s="100"/>
      <c r="D151" s="100"/>
    </row>
    <row r="152" spans="3:4" x14ac:dyDescent="0.25">
      <c r="C152" s="100"/>
      <c r="D152" s="100"/>
    </row>
    <row r="153" spans="3:4" x14ac:dyDescent="0.25">
      <c r="C153" s="100"/>
      <c r="D153" s="100"/>
    </row>
    <row r="154" spans="3:4" x14ac:dyDescent="0.25">
      <c r="C154" s="100"/>
      <c r="D154" s="100"/>
    </row>
    <row r="155" spans="3:4" x14ac:dyDescent="0.25">
      <c r="C155" s="100"/>
      <c r="D155" s="100"/>
    </row>
    <row r="156" spans="3:4" x14ac:dyDescent="0.25">
      <c r="C156" s="100"/>
      <c r="D156" s="100"/>
    </row>
    <row r="157" spans="3:4" x14ac:dyDescent="0.25">
      <c r="C157" s="100"/>
      <c r="D157" s="100"/>
    </row>
    <row r="158" spans="3:4" x14ac:dyDescent="0.25">
      <c r="C158" s="100"/>
      <c r="D158" s="100"/>
    </row>
    <row r="159" spans="3:4" x14ac:dyDescent="0.25">
      <c r="C159" s="100"/>
      <c r="D159" s="100"/>
    </row>
    <row r="160" spans="3:4" x14ac:dyDescent="0.25">
      <c r="C160" s="100"/>
      <c r="D160" s="100"/>
    </row>
    <row r="161" spans="3:4" x14ac:dyDescent="0.25">
      <c r="C161" s="100"/>
      <c r="D161" s="100"/>
    </row>
    <row r="162" spans="3:4" x14ac:dyDescent="0.25">
      <c r="C162" s="100"/>
      <c r="D162" s="100"/>
    </row>
    <row r="163" spans="3:4" x14ac:dyDescent="0.25">
      <c r="C163" s="100"/>
      <c r="D163" s="100"/>
    </row>
    <row r="164" spans="3:4" x14ac:dyDescent="0.25">
      <c r="C164" s="100"/>
      <c r="D164" s="100"/>
    </row>
    <row r="165" spans="3:4" x14ac:dyDescent="0.25">
      <c r="C165" s="100"/>
      <c r="D165" s="100"/>
    </row>
    <row r="166" spans="3:4" x14ac:dyDescent="0.25">
      <c r="C166" s="100"/>
      <c r="D166" s="100"/>
    </row>
    <row r="167" spans="3:4" x14ac:dyDescent="0.25">
      <c r="C167" s="100"/>
      <c r="D167" s="100"/>
    </row>
    <row r="168" spans="3:4" x14ac:dyDescent="0.25">
      <c r="C168" s="100"/>
      <c r="D168" s="100"/>
    </row>
    <row r="169" spans="3:4" x14ac:dyDescent="0.25">
      <c r="C169" s="100"/>
      <c r="D169" s="100"/>
    </row>
    <row r="170" spans="3:4" x14ac:dyDescent="0.25">
      <c r="C170" s="100"/>
      <c r="D170" s="100"/>
    </row>
    <row r="171" spans="3:4" x14ac:dyDescent="0.25">
      <c r="C171" s="100"/>
      <c r="D171" s="100"/>
    </row>
    <row r="172" spans="3:4" x14ac:dyDescent="0.25">
      <c r="C172" s="100"/>
      <c r="D172" s="100"/>
    </row>
    <row r="173" spans="3:4" x14ac:dyDescent="0.25">
      <c r="C173" s="100"/>
      <c r="D173" s="100"/>
    </row>
    <row r="174" spans="3:4" x14ac:dyDescent="0.25">
      <c r="C174" s="100"/>
      <c r="D174" s="100"/>
    </row>
    <row r="175" spans="3:4" x14ac:dyDescent="0.25">
      <c r="C175" s="100"/>
      <c r="D175" s="100"/>
    </row>
    <row r="176" spans="3:4" x14ac:dyDescent="0.25">
      <c r="C176" s="100"/>
      <c r="D176" s="100"/>
    </row>
    <row r="177" spans="3:4" x14ac:dyDescent="0.25">
      <c r="C177" s="100"/>
      <c r="D177" s="100"/>
    </row>
    <row r="178" spans="3:4" x14ac:dyDescent="0.25">
      <c r="C178" s="100"/>
      <c r="D178" s="100"/>
    </row>
    <row r="179" spans="3:4" x14ac:dyDescent="0.25">
      <c r="C179" s="100"/>
      <c r="D179" s="100"/>
    </row>
    <row r="180" spans="3:4" x14ac:dyDescent="0.25">
      <c r="C180" s="100"/>
      <c r="D180" s="100"/>
    </row>
    <row r="181" spans="3:4" x14ac:dyDescent="0.25">
      <c r="C181" s="100"/>
      <c r="D181" s="100"/>
    </row>
    <row r="182" spans="3:4" x14ac:dyDescent="0.25">
      <c r="C182" s="100"/>
      <c r="D182" s="100"/>
    </row>
    <row r="183" spans="3:4" x14ac:dyDescent="0.25">
      <c r="C183" s="100"/>
      <c r="D183" s="100"/>
    </row>
    <row r="184" spans="3:4" x14ac:dyDescent="0.25">
      <c r="C184" s="100"/>
      <c r="D184" s="100"/>
    </row>
    <row r="185" spans="3:4" x14ac:dyDescent="0.25">
      <c r="C185" s="100"/>
      <c r="D185" s="100"/>
    </row>
    <row r="186" spans="3:4" x14ac:dyDescent="0.25">
      <c r="C186" s="100"/>
      <c r="D186" s="100"/>
    </row>
    <row r="187" spans="3:4" x14ac:dyDescent="0.25">
      <c r="C187" s="100"/>
      <c r="D187" s="100"/>
    </row>
    <row r="188" spans="3:4" x14ac:dyDescent="0.25">
      <c r="C188" s="100"/>
      <c r="D188" s="100"/>
    </row>
    <row r="189" spans="3:4" x14ac:dyDescent="0.25">
      <c r="C189" s="100"/>
      <c r="D189" s="100"/>
    </row>
    <row r="190" spans="3:4" x14ac:dyDescent="0.25">
      <c r="C190" s="100"/>
      <c r="D190" s="100"/>
    </row>
    <row r="191" spans="3:4" x14ac:dyDescent="0.25">
      <c r="C191" s="100"/>
      <c r="D191" s="100"/>
    </row>
    <row r="192" spans="3:4" x14ac:dyDescent="0.25">
      <c r="C192" s="100"/>
      <c r="D192" s="100"/>
    </row>
    <row r="193" spans="3:4" x14ac:dyDescent="0.25">
      <c r="C193" s="100"/>
      <c r="D193" s="100"/>
    </row>
    <row r="194" spans="3:4" x14ac:dyDescent="0.25">
      <c r="C194" s="100"/>
      <c r="D194" s="100"/>
    </row>
    <row r="195" spans="3:4" x14ac:dyDescent="0.25">
      <c r="C195" s="100"/>
      <c r="D195" s="100"/>
    </row>
    <row r="196" spans="3:4" x14ac:dyDescent="0.25">
      <c r="C196" s="100"/>
      <c r="D196" s="100"/>
    </row>
    <row r="197" spans="3:4" x14ac:dyDescent="0.25">
      <c r="C197" s="100"/>
      <c r="D197" s="100"/>
    </row>
    <row r="198" spans="3:4" x14ac:dyDescent="0.25">
      <c r="C198" s="100"/>
      <c r="D198" s="100"/>
    </row>
    <row r="199" spans="3:4" x14ac:dyDescent="0.25">
      <c r="C199" s="100"/>
      <c r="D199" s="100"/>
    </row>
    <row r="200" spans="3:4" x14ac:dyDescent="0.25">
      <c r="C200" s="100"/>
      <c r="D200" s="100"/>
    </row>
    <row r="201" spans="3:4" x14ac:dyDescent="0.25">
      <c r="C201" s="100"/>
      <c r="D201" s="100"/>
    </row>
    <row r="202" spans="3:4" x14ac:dyDescent="0.25">
      <c r="C202" s="100"/>
      <c r="D202" s="100"/>
    </row>
    <row r="203" spans="3:4" x14ac:dyDescent="0.25">
      <c r="C203" s="100"/>
      <c r="D203" s="100"/>
    </row>
    <row r="204" spans="3:4" x14ac:dyDescent="0.25">
      <c r="C204" s="100"/>
      <c r="D204" s="100"/>
    </row>
    <row r="205" spans="3:4" x14ac:dyDescent="0.25">
      <c r="C205" s="100"/>
      <c r="D205" s="100"/>
    </row>
    <row r="206" spans="3:4" x14ac:dyDescent="0.25">
      <c r="C206" s="100"/>
      <c r="D206" s="100"/>
    </row>
    <row r="207" spans="3:4" x14ac:dyDescent="0.25">
      <c r="C207" s="100"/>
      <c r="D207" s="100"/>
    </row>
    <row r="208" spans="3:4" x14ac:dyDescent="0.25">
      <c r="C208" s="100"/>
      <c r="D208" s="100"/>
    </row>
    <row r="209" spans="3:4" x14ac:dyDescent="0.25">
      <c r="C209" s="100"/>
      <c r="D209" s="100"/>
    </row>
    <row r="210" spans="3:4" x14ac:dyDescent="0.25">
      <c r="C210" s="100"/>
      <c r="D210" s="100"/>
    </row>
    <row r="211" spans="3:4" x14ac:dyDescent="0.25">
      <c r="C211" s="100"/>
      <c r="D211" s="100"/>
    </row>
    <row r="212" spans="3:4" x14ac:dyDescent="0.25">
      <c r="C212" s="100"/>
      <c r="D212" s="100"/>
    </row>
    <row r="213" spans="3:4" x14ac:dyDescent="0.25">
      <c r="C213" s="100"/>
      <c r="D213" s="100"/>
    </row>
    <row r="214" spans="3:4" x14ac:dyDescent="0.25">
      <c r="C214" s="100"/>
      <c r="D214" s="100"/>
    </row>
    <row r="215" spans="3:4" x14ac:dyDescent="0.25">
      <c r="C215" s="100"/>
      <c r="D215" s="100"/>
    </row>
    <row r="216" spans="3:4" x14ac:dyDescent="0.25">
      <c r="C216" s="100"/>
      <c r="D216" s="100"/>
    </row>
    <row r="217" spans="3:4" x14ac:dyDescent="0.25">
      <c r="C217" s="100"/>
      <c r="D217" s="100"/>
    </row>
    <row r="218" spans="3:4" x14ac:dyDescent="0.25">
      <c r="C218" s="100"/>
      <c r="D218" s="100"/>
    </row>
    <row r="219" spans="3:4" x14ac:dyDescent="0.25">
      <c r="C219" s="100"/>
      <c r="D219" s="100"/>
    </row>
    <row r="220" spans="3:4" x14ac:dyDescent="0.25">
      <c r="C220" s="100"/>
      <c r="D220" s="100"/>
    </row>
    <row r="221" spans="3:4" x14ac:dyDescent="0.25">
      <c r="C221" s="100"/>
      <c r="D221" s="100"/>
    </row>
    <row r="222" spans="3:4" x14ac:dyDescent="0.25">
      <c r="C222" s="100"/>
      <c r="D222" s="100"/>
    </row>
    <row r="223" spans="3:4" x14ac:dyDescent="0.25">
      <c r="C223" s="100"/>
      <c r="D223" s="100"/>
    </row>
    <row r="224" spans="3:4" x14ac:dyDescent="0.25">
      <c r="C224" s="100"/>
      <c r="D224" s="100"/>
    </row>
    <row r="225" spans="3:4" x14ac:dyDescent="0.25">
      <c r="C225" s="100"/>
      <c r="D225" s="100"/>
    </row>
    <row r="226" spans="3:4" x14ac:dyDescent="0.25">
      <c r="C226" s="100"/>
      <c r="D226" s="100"/>
    </row>
    <row r="227" spans="3:4" x14ac:dyDescent="0.25">
      <c r="C227" s="100"/>
      <c r="D227" s="100"/>
    </row>
    <row r="228" spans="3:4" x14ac:dyDescent="0.25">
      <c r="C228" s="100"/>
      <c r="D228" s="100"/>
    </row>
    <row r="229" spans="3:4" x14ac:dyDescent="0.25">
      <c r="C229" s="100"/>
      <c r="D229" s="100"/>
    </row>
    <row r="230" spans="3:4" x14ac:dyDescent="0.25">
      <c r="C230" s="100"/>
      <c r="D230" s="100"/>
    </row>
    <row r="231" spans="3:4" x14ac:dyDescent="0.25">
      <c r="C231" s="100"/>
      <c r="D231" s="100"/>
    </row>
    <row r="232" spans="3:4" x14ac:dyDescent="0.25">
      <c r="C232" s="100"/>
      <c r="D232" s="100"/>
    </row>
    <row r="233" spans="3:4" x14ac:dyDescent="0.25">
      <c r="C233" s="100"/>
      <c r="D233" s="100"/>
    </row>
    <row r="234" spans="3:4" x14ac:dyDescent="0.25">
      <c r="C234" s="100"/>
      <c r="D234" s="100"/>
    </row>
    <row r="235" spans="3:4" x14ac:dyDescent="0.25">
      <c r="C235" s="100"/>
      <c r="D235" s="100"/>
    </row>
    <row r="236" spans="3:4" x14ac:dyDescent="0.25">
      <c r="C236" s="100"/>
      <c r="D236" s="100"/>
    </row>
    <row r="237" spans="3:4" x14ac:dyDescent="0.25">
      <c r="C237" s="100"/>
      <c r="D237" s="100"/>
    </row>
    <row r="238" spans="3:4" x14ac:dyDescent="0.25">
      <c r="C238" s="100"/>
      <c r="D238" s="100"/>
    </row>
    <row r="239" spans="3:4" x14ac:dyDescent="0.25">
      <c r="C239" s="100"/>
      <c r="D239" s="100"/>
    </row>
    <row r="240" spans="3:4" x14ac:dyDescent="0.25">
      <c r="C240" s="100"/>
      <c r="D240" s="100"/>
    </row>
    <row r="241" spans="3:4" x14ac:dyDescent="0.25">
      <c r="C241" s="100"/>
      <c r="D241" s="100"/>
    </row>
    <row r="242" spans="3:4" x14ac:dyDescent="0.25">
      <c r="C242" s="100"/>
      <c r="D242" s="100"/>
    </row>
    <row r="243" spans="3:4" x14ac:dyDescent="0.25">
      <c r="C243" s="100"/>
      <c r="D243" s="100"/>
    </row>
    <row r="244" spans="3:4" x14ac:dyDescent="0.25">
      <c r="C244" s="100"/>
      <c r="D244" s="100"/>
    </row>
    <row r="245" spans="3:4" x14ac:dyDescent="0.25">
      <c r="C245" s="100"/>
      <c r="D245" s="100"/>
    </row>
    <row r="246" spans="3:4" x14ac:dyDescent="0.25">
      <c r="C246" s="100"/>
      <c r="D246" s="100"/>
    </row>
    <row r="247" spans="3:4" x14ac:dyDescent="0.25">
      <c r="C247" s="100"/>
      <c r="D247" s="100"/>
    </row>
    <row r="248" spans="3:4" x14ac:dyDescent="0.25">
      <c r="C248" s="100"/>
      <c r="D248" s="100"/>
    </row>
    <row r="249" spans="3:4" x14ac:dyDescent="0.25">
      <c r="C249" s="100"/>
      <c r="D249" s="100"/>
    </row>
    <row r="250" spans="3:4" x14ac:dyDescent="0.25">
      <c r="C250" s="100"/>
      <c r="D250" s="100"/>
    </row>
    <row r="251" spans="3:4" x14ac:dyDescent="0.25">
      <c r="C251" s="100"/>
      <c r="D251" s="100"/>
    </row>
    <row r="252" spans="3:4" x14ac:dyDescent="0.25">
      <c r="C252" s="100"/>
      <c r="D252" s="100"/>
    </row>
    <row r="253" spans="3:4" x14ac:dyDescent="0.25">
      <c r="C253" s="100"/>
      <c r="D253" s="100"/>
    </row>
    <row r="254" spans="3:4" x14ac:dyDescent="0.25">
      <c r="C254" s="100"/>
      <c r="D254" s="100"/>
    </row>
    <row r="255" spans="3:4" x14ac:dyDescent="0.25">
      <c r="C255" s="100"/>
      <c r="D255" s="100"/>
    </row>
    <row r="256" spans="3:4" x14ac:dyDescent="0.25">
      <c r="C256" s="100"/>
      <c r="D256" s="100"/>
    </row>
    <row r="257" spans="3:4" x14ac:dyDescent="0.25">
      <c r="C257" s="100"/>
      <c r="D257" s="100"/>
    </row>
    <row r="258" spans="3:4" x14ac:dyDescent="0.25">
      <c r="C258" s="100"/>
      <c r="D258" s="100"/>
    </row>
    <row r="259" spans="3:4" x14ac:dyDescent="0.25">
      <c r="C259" s="100"/>
      <c r="D259" s="100"/>
    </row>
    <row r="260" spans="3:4" x14ac:dyDescent="0.25">
      <c r="C260" s="100"/>
      <c r="D260" s="100"/>
    </row>
    <row r="261" spans="3:4" x14ac:dyDescent="0.25">
      <c r="C261" s="100"/>
      <c r="D261" s="100"/>
    </row>
    <row r="262" spans="3:4" x14ac:dyDescent="0.25">
      <c r="C262" s="100"/>
      <c r="D262" s="100"/>
    </row>
    <row r="263" spans="3:4" x14ac:dyDescent="0.25">
      <c r="C263" s="100"/>
      <c r="D263" s="100"/>
    </row>
    <row r="264" spans="3:4" x14ac:dyDescent="0.25">
      <c r="C264" s="100"/>
      <c r="D264" s="100"/>
    </row>
    <row r="265" spans="3:4" x14ac:dyDescent="0.25">
      <c r="C265" s="100"/>
      <c r="D265" s="100"/>
    </row>
    <row r="266" spans="3:4" x14ac:dyDescent="0.25">
      <c r="C266" s="100"/>
      <c r="D266" s="100"/>
    </row>
    <row r="267" spans="3:4" x14ac:dyDescent="0.25">
      <c r="C267" s="100"/>
      <c r="D267" s="100"/>
    </row>
    <row r="268" spans="3:4" x14ac:dyDescent="0.25">
      <c r="C268" s="100"/>
      <c r="D268" s="100"/>
    </row>
    <row r="269" spans="3:4" x14ac:dyDescent="0.25">
      <c r="C269" s="100"/>
      <c r="D269" s="100"/>
    </row>
    <row r="270" spans="3:4" x14ac:dyDescent="0.25">
      <c r="C270" s="100"/>
      <c r="D270" s="100"/>
    </row>
    <row r="271" spans="3:4" x14ac:dyDescent="0.25">
      <c r="C271" s="100"/>
      <c r="D271" s="100"/>
    </row>
    <row r="272" spans="3:4" x14ac:dyDescent="0.25">
      <c r="C272" s="100"/>
      <c r="D272" s="100"/>
    </row>
    <row r="273" spans="3:4" x14ac:dyDescent="0.25">
      <c r="C273" s="100"/>
      <c r="D273" s="100"/>
    </row>
    <row r="274" spans="3:4" x14ac:dyDescent="0.25">
      <c r="C274" s="100"/>
      <c r="D274" s="100"/>
    </row>
    <row r="275" spans="3:4" x14ac:dyDescent="0.25">
      <c r="C275" s="100"/>
      <c r="D275" s="100"/>
    </row>
    <row r="276" spans="3:4" x14ac:dyDescent="0.25">
      <c r="C276" s="100"/>
      <c r="D276" s="100"/>
    </row>
    <row r="277" spans="3:4" x14ac:dyDescent="0.25">
      <c r="C277" s="100"/>
      <c r="D277" s="100"/>
    </row>
    <row r="278" spans="3:4" x14ac:dyDescent="0.25">
      <c r="C278" s="100"/>
      <c r="D278" s="100"/>
    </row>
    <row r="279" spans="3:4" x14ac:dyDescent="0.25">
      <c r="C279" s="100"/>
      <c r="D279" s="100"/>
    </row>
    <row r="280" spans="3:4" x14ac:dyDescent="0.25">
      <c r="C280" s="100"/>
      <c r="D280" s="100"/>
    </row>
    <row r="281" spans="3:4" x14ac:dyDescent="0.25">
      <c r="C281" s="100"/>
      <c r="D281" s="100"/>
    </row>
    <row r="282" spans="3:4" x14ac:dyDescent="0.25">
      <c r="C282" s="100"/>
      <c r="D282" s="100"/>
    </row>
    <row r="283" spans="3:4" x14ac:dyDescent="0.25">
      <c r="C283" s="100"/>
      <c r="D283" s="100"/>
    </row>
    <row r="284" spans="3:4" x14ac:dyDescent="0.25">
      <c r="C284" s="100"/>
      <c r="D284" s="100"/>
    </row>
    <row r="285" spans="3:4" x14ac:dyDescent="0.25">
      <c r="C285" s="100"/>
      <c r="D285" s="100"/>
    </row>
    <row r="286" spans="3:4" x14ac:dyDescent="0.25">
      <c r="C286" s="100"/>
      <c r="D286" s="100"/>
    </row>
    <row r="287" spans="3:4" x14ac:dyDescent="0.25">
      <c r="C287" s="100"/>
      <c r="D287" s="100"/>
    </row>
    <row r="288" spans="3:4" x14ac:dyDescent="0.25">
      <c r="C288" s="100"/>
      <c r="D288" s="100"/>
    </row>
    <row r="289" spans="3:4" x14ac:dyDescent="0.25">
      <c r="C289" s="100"/>
      <c r="D289" s="100"/>
    </row>
    <row r="290" spans="3:4" x14ac:dyDescent="0.25">
      <c r="C290" s="100"/>
      <c r="D290" s="100"/>
    </row>
    <row r="291" spans="3:4" x14ac:dyDescent="0.25">
      <c r="C291" s="100"/>
      <c r="D291" s="100"/>
    </row>
    <row r="292" spans="3:4" x14ac:dyDescent="0.25">
      <c r="C292" s="100"/>
      <c r="D292" s="100"/>
    </row>
    <row r="293" spans="3:4" x14ac:dyDescent="0.25">
      <c r="C293" s="100"/>
      <c r="D293" s="100"/>
    </row>
    <row r="294" spans="3:4" x14ac:dyDescent="0.25">
      <c r="C294" s="100"/>
      <c r="D294" s="100"/>
    </row>
    <row r="295" spans="3:4" x14ac:dyDescent="0.25">
      <c r="C295" s="100"/>
      <c r="D295" s="100"/>
    </row>
    <row r="296" spans="3:4" x14ac:dyDescent="0.25">
      <c r="C296" s="100"/>
      <c r="D296" s="100"/>
    </row>
    <row r="297" spans="3:4" x14ac:dyDescent="0.25">
      <c r="C297" s="100"/>
      <c r="D297" s="100"/>
    </row>
    <row r="298" spans="3:4" x14ac:dyDescent="0.25">
      <c r="C298" s="100"/>
      <c r="D298" s="100"/>
    </row>
    <row r="299" spans="3:4" x14ac:dyDescent="0.25">
      <c r="C299" s="100"/>
      <c r="D299" s="100"/>
    </row>
    <row r="300" spans="3:4" x14ac:dyDescent="0.25">
      <c r="C300" s="100"/>
      <c r="D300" s="100"/>
    </row>
    <row r="301" spans="3:4" x14ac:dyDescent="0.25">
      <c r="C301" s="100"/>
      <c r="D301" s="100"/>
    </row>
    <row r="302" spans="3:4" x14ac:dyDescent="0.25">
      <c r="C302" s="100"/>
      <c r="D302" s="100"/>
    </row>
    <row r="303" spans="3:4" x14ac:dyDescent="0.25">
      <c r="C303" s="100"/>
      <c r="D303" s="100"/>
    </row>
    <row r="304" spans="3:4" x14ac:dyDescent="0.25">
      <c r="C304" s="100"/>
      <c r="D304" s="100"/>
    </row>
    <row r="305" spans="3:4" x14ac:dyDescent="0.25">
      <c r="C305" s="100"/>
      <c r="D305" s="100"/>
    </row>
    <row r="306" spans="3:4" x14ac:dyDescent="0.25">
      <c r="C306" s="100"/>
      <c r="D306" s="100"/>
    </row>
    <row r="307" spans="3:4" x14ac:dyDescent="0.25">
      <c r="C307" s="100"/>
      <c r="D307" s="100"/>
    </row>
    <row r="308" spans="3:4" x14ac:dyDescent="0.25">
      <c r="C308" s="100"/>
      <c r="D308" s="100"/>
    </row>
    <row r="309" spans="3:4" x14ac:dyDescent="0.25">
      <c r="C309" s="100"/>
      <c r="D309" s="100"/>
    </row>
    <row r="310" spans="3:4" x14ac:dyDescent="0.25">
      <c r="C310" s="100"/>
      <c r="D310" s="100"/>
    </row>
    <row r="311" spans="3:4" x14ac:dyDescent="0.25">
      <c r="C311" s="100"/>
      <c r="D311" s="100"/>
    </row>
    <row r="312" spans="3:4" x14ac:dyDescent="0.25">
      <c r="C312" s="100"/>
      <c r="D312" s="100"/>
    </row>
    <row r="313" spans="3:4" x14ac:dyDescent="0.25">
      <c r="C313" s="100"/>
      <c r="D313" s="100"/>
    </row>
    <row r="314" spans="3:4" x14ac:dyDescent="0.25">
      <c r="C314" s="100"/>
      <c r="D314" s="100"/>
    </row>
    <row r="315" spans="3:4" x14ac:dyDescent="0.25">
      <c r="C315" s="100"/>
      <c r="D315" s="100"/>
    </row>
    <row r="316" spans="3:4" x14ac:dyDescent="0.25">
      <c r="C316" s="100"/>
      <c r="D316" s="100"/>
    </row>
    <row r="317" spans="3:4" x14ac:dyDescent="0.25">
      <c r="C317" s="100"/>
      <c r="D317" s="100"/>
    </row>
    <row r="318" spans="3:4" x14ac:dyDescent="0.25">
      <c r="C318" s="100"/>
      <c r="D318" s="100"/>
    </row>
    <row r="319" spans="3:4" x14ac:dyDescent="0.25">
      <c r="C319" s="100"/>
      <c r="D319" s="100"/>
    </row>
    <row r="320" spans="3:4" x14ac:dyDescent="0.25">
      <c r="C320" s="100"/>
      <c r="D320" s="100"/>
    </row>
    <row r="321" spans="3:4" x14ac:dyDescent="0.25">
      <c r="C321" s="100"/>
      <c r="D321" s="100"/>
    </row>
    <row r="322" spans="3:4" x14ac:dyDescent="0.25">
      <c r="C322" s="100"/>
      <c r="D322" s="100"/>
    </row>
    <row r="323" spans="3:4" x14ac:dyDescent="0.25">
      <c r="C323" s="100"/>
      <c r="D323" s="100"/>
    </row>
    <row r="324" spans="3:4" x14ac:dyDescent="0.25">
      <c r="C324" s="100"/>
      <c r="D324" s="100"/>
    </row>
    <row r="325" spans="3:4" x14ac:dyDescent="0.25">
      <c r="C325" s="100"/>
      <c r="D325" s="100"/>
    </row>
    <row r="326" spans="3:4" x14ac:dyDescent="0.25">
      <c r="C326" s="100"/>
      <c r="D326" s="100"/>
    </row>
    <row r="327" spans="3:4" x14ac:dyDescent="0.25">
      <c r="C327" s="100"/>
      <c r="D327" s="100"/>
    </row>
    <row r="328" spans="3:4" x14ac:dyDescent="0.25">
      <c r="C328" s="100"/>
      <c r="D328" s="100"/>
    </row>
    <row r="329" spans="3:4" x14ac:dyDescent="0.25">
      <c r="C329" s="100"/>
      <c r="D329" s="100"/>
    </row>
    <row r="330" spans="3:4" x14ac:dyDescent="0.25">
      <c r="C330" s="100"/>
      <c r="D330" s="100"/>
    </row>
    <row r="331" spans="3:4" x14ac:dyDescent="0.25">
      <c r="C331" s="100"/>
      <c r="D331" s="100"/>
    </row>
    <row r="332" spans="3:4" x14ac:dyDescent="0.25">
      <c r="C332" s="100"/>
      <c r="D332" s="100"/>
    </row>
    <row r="333" spans="3:4" x14ac:dyDescent="0.25">
      <c r="C333" s="100"/>
      <c r="D333" s="100"/>
    </row>
    <row r="334" spans="3:4" x14ac:dyDescent="0.25">
      <c r="C334" s="100"/>
      <c r="D334" s="100"/>
    </row>
    <row r="335" spans="3:4" x14ac:dyDescent="0.25">
      <c r="C335" s="100"/>
      <c r="D335" s="100"/>
    </row>
    <row r="336" spans="3:4" x14ac:dyDescent="0.25">
      <c r="C336" s="100"/>
      <c r="D336" s="100"/>
    </row>
    <row r="337" spans="3:4" x14ac:dyDescent="0.25">
      <c r="C337" s="100"/>
      <c r="D337" s="100"/>
    </row>
    <row r="338" spans="3:4" x14ac:dyDescent="0.25">
      <c r="C338" s="100"/>
      <c r="D338" s="100"/>
    </row>
    <row r="339" spans="3:4" x14ac:dyDescent="0.25">
      <c r="C339" s="100"/>
      <c r="D339" s="100"/>
    </row>
    <row r="340" spans="3:4" x14ac:dyDescent="0.25">
      <c r="C340" s="100"/>
      <c r="D340" s="100"/>
    </row>
    <row r="341" spans="3:4" x14ac:dyDescent="0.25">
      <c r="C341" s="100"/>
      <c r="D341" s="100"/>
    </row>
    <row r="342" spans="3:4" x14ac:dyDescent="0.25">
      <c r="C342" s="100"/>
      <c r="D342" s="100"/>
    </row>
    <row r="343" spans="3:4" x14ac:dyDescent="0.25">
      <c r="C343" s="100"/>
      <c r="D343" s="100"/>
    </row>
    <row r="344" spans="3:4" x14ac:dyDescent="0.25">
      <c r="C344" s="100"/>
      <c r="D344" s="100"/>
    </row>
    <row r="345" spans="3:4" x14ac:dyDescent="0.25">
      <c r="C345" s="100"/>
      <c r="D345" s="100"/>
    </row>
    <row r="346" spans="3:4" x14ac:dyDescent="0.25">
      <c r="C346" s="100"/>
      <c r="D346" s="100"/>
    </row>
    <row r="347" spans="3:4" x14ac:dyDescent="0.25">
      <c r="C347" s="100"/>
      <c r="D347" s="100"/>
    </row>
    <row r="348" spans="3:4" x14ac:dyDescent="0.25">
      <c r="C348" s="100"/>
      <c r="D348" s="100"/>
    </row>
    <row r="349" spans="3:4" x14ac:dyDescent="0.25">
      <c r="C349" s="100"/>
      <c r="D349" s="100"/>
    </row>
    <row r="350" spans="3:4" x14ac:dyDescent="0.25">
      <c r="C350" s="100"/>
      <c r="D350" s="100"/>
    </row>
    <row r="351" spans="3:4" x14ac:dyDescent="0.25">
      <c r="C351" s="100"/>
      <c r="D351" s="100"/>
    </row>
    <row r="352" spans="3:4" x14ac:dyDescent="0.25">
      <c r="C352" s="100"/>
      <c r="D352" s="100"/>
    </row>
    <row r="353" spans="3:4" x14ac:dyDescent="0.25">
      <c r="C353" s="100"/>
      <c r="D353" s="100"/>
    </row>
    <row r="354" spans="3:4" x14ac:dyDescent="0.25">
      <c r="C354" s="100"/>
      <c r="D354" s="100"/>
    </row>
    <row r="355" spans="3:4" x14ac:dyDescent="0.25">
      <c r="C355" s="100"/>
      <c r="D355" s="100"/>
    </row>
    <row r="356" spans="3:4" x14ac:dyDescent="0.25">
      <c r="C356" s="100"/>
      <c r="D356" s="100"/>
    </row>
    <row r="357" spans="3:4" x14ac:dyDescent="0.25">
      <c r="C357" s="100"/>
      <c r="D357" s="100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9"/>
  <dimension ref="A1:E357"/>
  <sheetViews>
    <sheetView workbookViewId="0">
      <selection activeCell="C3" sqref="C3"/>
    </sheetView>
  </sheetViews>
  <sheetFormatPr defaultRowHeight="15.75" x14ac:dyDescent="0.25"/>
  <cols>
    <col min="1" max="1" width="8.625" style="105" bestFit="1" customWidth="1"/>
    <col min="2" max="2" width="8.625" style="101" bestFit="1" customWidth="1"/>
    <col min="3" max="3" width="8.625" style="81" bestFit="1" customWidth="1"/>
    <col min="4" max="4" width="8.25" bestFit="1" customWidth="1"/>
  </cols>
  <sheetData>
    <row r="1" spans="1:5" ht="17.25" x14ac:dyDescent="0.25">
      <c r="A1" s="102" t="s">
        <v>530</v>
      </c>
      <c r="B1" s="106" t="s">
        <v>531</v>
      </c>
      <c r="C1" s="106" t="s">
        <v>532</v>
      </c>
      <c r="D1" s="96" t="s">
        <v>533</v>
      </c>
      <c r="E1" s="169" t="s">
        <v>534</v>
      </c>
    </row>
    <row r="2" spans="1:5" x14ac:dyDescent="0.25">
      <c r="A2" s="103" t="s">
        <v>546</v>
      </c>
      <c r="B2" s="121">
        <v>7</v>
      </c>
      <c r="C2" s="121">
        <v>87</v>
      </c>
      <c r="D2" s="97">
        <v>5</v>
      </c>
      <c r="E2" s="169" t="s">
        <v>632</v>
      </c>
    </row>
    <row r="3" spans="1:5" ht="18.75" x14ac:dyDescent="0.25">
      <c r="A3" s="104" t="s">
        <v>535</v>
      </c>
      <c r="B3" s="98" t="s">
        <v>536</v>
      </c>
      <c r="C3" s="98" t="s">
        <v>537</v>
      </c>
      <c r="D3" s="98" t="s">
        <v>538</v>
      </c>
    </row>
    <row r="4" spans="1:5" x14ac:dyDescent="0.25">
      <c r="A4" s="122">
        <v>7</v>
      </c>
      <c r="B4" s="99">
        <v>14.210749649590628</v>
      </c>
      <c r="C4" s="122">
        <v>38.71033490098057</v>
      </c>
      <c r="D4" s="122">
        <v>34.405928547286756</v>
      </c>
    </row>
    <row r="5" spans="1:5" x14ac:dyDescent="0.25">
      <c r="A5" s="122">
        <v>23</v>
      </c>
      <c r="B5" s="99">
        <v>13.28591494782019</v>
      </c>
      <c r="C5" s="100"/>
      <c r="D5" s="100"/>
    </row>
    <row r="6" spans="1:5" x14ac:dyDescent="0.25">
      <c r="A6" s="122">
        <v>39</v>
      </c>
      <c r="B6" s="99">
        <v>13.153449721346805</v>
      </c>
      <c r="C6" s="100"/>
      <c r="D6" s="100"/>
    </row>
    <row r="7" spans="1:5" x14ac:dyDescent="0.25">
      <c r="A7" s="122">
        <v>55</v>
      </c>
      <c r="B7" s="99">
        <v>13.587980146593324</v>
      </c>
      <c r="C7" s="100"/>
      <c r="D7" s="100"/>
    </row>
    <row r="8" spans="1:5" x14ac:dyDescent="0.25">
      <c r="A8" s="122">
        <v>71</v>
      </c>
      <c r="B8" s="99">
        <v>14.252926753783367</v>
      </c>
      <c r="C8" s="100"/>
      <c r="D8" s="100"/>
    </row>
    <row r="9" spans="1:5" x14ac:dyDescent="0.25">
      <c r="A9" s="122">
        <v>87</v>
      </c>
      <c r="B9" s="99">
        <v>15.112258971961207</v>
      </c>
      <c r="C9" s="100"/>
      <c r="D9" s="100"/>
    </row>
    <row r="10" spans="1:5" x14ac:dyDescent="0.25">
      <c r="A10" s="122"/>
      <c r="B10" s="99"/>
      <c r="C10" s="100"/>
      <c r="D10" s="100"/>
    </row>
    <row r="11" spans="1:5" x14ac:dyDescent="0.25">
      <c r="A11" s="122"/>
      <c r="B11" s="99"/>
      <c r="C11" s="100"/>
      <c r="D11" s="100"/>
    </row>
    <row r="12" spans="1:5" x14ac:dyDescent="0.25">
      <c r="A12" s="122"/>
      <c r="B12" s="99"/>
      <c r="C12" s="100"/>
      <c r="D12" s="100"/>
    </row>
    <row r="13" spans="1:5" x14ac:dyDescent="0.25">
      <c r="A13" s="122"/>
      <c r="B13" s="99"/>
      <c r="C13" s="100"/>
      <c r="D13" s="100"/>
    </row>
    <row r="14" spans="1:5" x14ac:dyDescent="0.25">
      <c r="A14" s="122"/>
      <c r="B14" s="99"/>
      <c r="C14" s="100"/>
      <c r="D14" s="100"/>
    </row>
    <row r="15" spans="1:5" x14ac:dyDescent="0.25">
      <c r="A15" s="122"/>
      <c r="B15" s="99"/>
      <c r="C15" s="100"/>
      <c r="D15" s="100"/>
    </row>
    <row r="16" spans="1:5" x14ac:dyDescent="0.25">
      <c r="A16" s="122"/>
      <c r="B16" s="99"/>
      <c r="C16" s="100"/>
      <c r="D16" s="100"/>
    </row>
    <row r="17" spans="1:4" x14ac:dyDescent="0.25">
      <c r="A17" s="122"/>
      <c r="B17" s="99"/>
      <c r="C17" s="100"/>
      <c r="D17" s="100"/>
    </row>
    <row r="18" spans="1:4" x14ac:dyDescent="0.25">
      <c r="A18" s="122"/>
      <c r="B18" s="99"/>
      <c r="C18" s="100"/>
      <c r="D18" s="100"/>
    </row>
    <row r="19" spans="1:4" x14ac:dyDescent="0.25">
      <c r="A19" s="122"/>
      <c r="B19" s="99"/>
      <c r="C19" s="100"/>
      <c r="D19" s="100"/>
    </row>
    <row r="20" spans="1:4" x14ac:dyDescent="0.25">
      <c r="A20" s="122"/>
      <c r="B20" s="99"/>
      <c r="C20" s="100"/>
      <c r="D20" s="100"/>
    </row>
    <row r="21" spans="1:4" x14ac:dyDescent="0.25">
      <c r="A21" s="122"/>
      <c r="B21" s="99"/>
      <c r="C21" s="100"/>
      <c r="D21" s="100"/>
    </row>
    <row r="22" spans="1:4" x14ac:dyDescent="0.25">
      <c r="A22" s="122"/>
      <c r="B22" s="99"/>
      <c r="C22" s="100"/>
      <c r="D22" s="100"/>
    </row>
    <row r="23" spans="1:4" x14ac:dyDescent="0.25">
      <c r="A23" s="122"/>
      <c r="B23" s="99"/>
      <c r="C23" s="100"/>
      <c r="D23" s="100"/>
    </row>
    <row r="24" spans="1:4" x14ac:dyDescent="0.25">
      <c r="A24" s="122"/>
      <c r="B24" s="99"/>
      <c r="C24" s="100"/>
      <c r="D24" s="100"/>
    </row>
    <row r="25" spans="1:4" x14ac:dyDescent="0.25">
      <c r="B25" s="99"/>
      <c r="C25" s="100"/>
      <c r="D25" s="100"/>
    </row>
    <row r="26" spans="1:4" x14ac:dyDescent="0.25">
      <c r="B26" s="99"/>
      <c r="C26" s="100"/>
      <c r="D26" s="100"/>
    </row>
    <row r="27" spans="1:4" x14ac:dyDescent="0.25">
      <c r="B27" s="99"/>
      <c r="C27" s="100"/>
      <c r="D27" s="100"/>
    </row>
    <row r="28" spans="1:4" x14ac:dyDescent="0.25">
      <c r="B28" s="99"/>
      <c r="C28" s="100"/>
      <c r="D28" s="100"/>
    </row>
    <row r="29" spans="1:4" x14ac:dyDescent="0.25">
      <c r="B29" s="99"/>
      <c r="C29" s="100"/>
      <c r="D29" s="100"/>
    </row>
    <row r="30" spans="1:4" x14ac:dyDescent="0.25">
      <c r="B30" s="99"/>
      <c r="C30" s="100"/>
      <c r="D30" s="100"/>
    </row>
    <row r="31" spans="1:4" x14ac:dyDescent="0.25">
      <c r="B31" s="99"/>
      <c r="C31" s="100"/>
      <c r="D31" s="100"/>
    </row>
    <row r="32" spans="1:4" x14ac:dyDescent="0.25">
      <c r="B32" s="99"/>
      <c r="C32" s="100"/>
      <c r="D32" s="100"/>
    </row>
    <row r="33" spans="2:4" x14ac:dyDescent="0.25">
      <c r="B33" s="99"/>
      <c r="C33" s="100"/>
      <c r="D33" s="100"/>
    </row>
    <row r="34" spans="2:4" x14ac:dyDescent="0.25">
      <c r="B34" s="99"/>
      <c r="C34" s="100"/>
      <c r="D34" s="100"/>
    </row>
    <row r="35" spans="2:4" x14ac:dyDescent="0.25">
      <c r="C35" s="100"/>
      <c r="D35" s="100"/>
    </row>
    <row r="36" spans="2:4" x14ac:dyDescent="0.25">
      <c r="C36" s="100"/>
      <c r="D36" s="100"/>
    </row>
    <row r="37" spans="2:4" x14ac:dyDescent="0.25">
      <c r="C37" s="100"/>
      <c r="D37" s="100"/>
    </row>
    <row r="38" spans="2:4" x14ac:dyDescent="0.25">
      <c r="C38" s="100"/>
      <c r="D38" s="100"/>
    </row>
    <row r="39" spans="2:4" x14ac:dyDescent="0.25">
      <c r="C39" s="100"/>
      <c r="D39" s="100"/>
    </row>
    <row r="40" spans="2:4" x14ac:dyDescent="0.25">
      <c r="C40" s="100"/>
      <c r="D40" s="100"/>
    </row>
    <row r="41" spans="2:4" x14ac:dyDescent="0.25">
      <c r="C41" s="100"/>
      <c r="D41" s="100"/>
    </row>
    <row r="42" spans="2:4" x14ac:dyDescent="0.25">
      <c r="C42" s="100"/>
      <c r="D42" s="100"/>
    </row>
    <row r="43" spans="2:4" x14ac:dyDescent="0.25">
      <c r="C43" s="100"/>
      <c r="D43" s="100"/>
    </row>
    <row r="44" spans="2:4" x14ac:dyDescent="0.25">
      <c r="C44" s="100"/>
      <c r="D44" s="100"/>
    </row>
    <row r="45" spans="2:4" x14ac:dyDescent="0.25">
      <c r="C45" s="100"/>
      <c r="D45" s="100"/>
    </row>
    <row r="46" spans="2:4" x14ac:dyDescent="0.25">
      <c r="C46" s="100"/>
      <c r="D46" s="100"/>
    </row>
    <row r="47" spans="2:4" x14ac:dyDescent="0.25">
      <c r="C47" s="100"/>
      <c r="D47" s="100"/>
    </row>
    <row r="48" spans="2:4" x14ac:dyDescent="0.25">
      <c r="C48" s="100"/>
      <c r="D48" s="100"/>
    </row>
    <row r="49" spans="3:4" x14ac:dyDescent="0.25">
      <c r="C49" s="100"/>
      <c r="D49" s="100"/>
    </row>
    <row r="50" spans="3:4" x14ac:dyDescent="0.25">
      <c r="C50" s="100"/>
      <c r="D50" s="100"/>
    </row>
    <row r="51" spans="3:4" x14ac:dyDescent="0.25">
      <c r="C51" s="100"/>
      <c r="D51" s="100"/>
    </row>
    <row r="52" spans="3:4" x14ac:dyDescent="0.25">
      <c r="C52" s="100"/>
      <c r="D52" s="100"/>
    </row>
    <row r="53" spans="3:4" x14ac:dyDescent="0.25">
      <c r="C53" s="100"/>
      <c r="D53" s="100"/>
    </row>
    <row r="54" spans="3:4" x14ac:dyDescent="0.25">
      <c r="C54" s="100"/>
      <c r="D54" s="100"/>
    </row>
    <row r="55" spans="3:4" x14ac:dyDescent="0.25">
      <c r="C55" s="100"/>
      <c r="D55" s="100"/>
    </row>
    <row r="56" spans="3:4" x14ac:dyDescent="0.25">
      <c r="C56" s="100"/>
      <c r="D56" s="100"/>
    </row>
    <row r="57" spans="3:4" x14ac:dyDescent="0.25">
      <c r="C57" s="100"/>
      <c r="D57" s="100"/>
    </row>
    <row r="58" spans="3:4" x14ac:dyDescent="0.25">
      <c r="C58" s="100"/>
      <c r="D58" s="100"/>
    </row>
    <row r="59" spans="3:4" x14ac:dyDescent="0.25">
      <c r="C59" s="100"/>
      <c r="D59" s="100"/>
    </row>
    <row r="60" spans="3:4" x14ac:dyDescent="0.25">
      <c r="C60" s="100"/>
      <c r="D60" s="100"/>
    </row>
    <row r="61" spans="3:4" x14ac:dyDescent="0.25">
      <c r="C61" s="100"/>
      <c r="D61" s="100"/>
    </row>
    <row r="62" spans="3:4" x14ac:dyDescent="0.25">
      <c r="C62" s="100"/>
      <c r="D62" s="100"/>
    </row>
    <row r="63" spans="3:4" x14ac:dyDescent="0.25">
      <c r="C63" s="100"/>
      <c r="D63" s="100"/>
    </row>
    <row r="64" spans="3:4" x14ac:dyDescent="0.25">
      <c r="C64" s="100"/>
      <c r="D64" s="100"/>
    </row>
    <row r="65" spans="3:4" x14ac:dyDescent="0.25">
      <c r="C65" s="100"/>
      <c r="D65" s="100"/>
    </row>
    <row r="66" spans="3:4" x14ac:dyDescent="0.25">
      <c r="C66" s="100"/>
      <c r="D66" s="100"/>
    </row>
    <row r="67" spans="3:4" x14ac:dyDescent="0.25">
      <c r="C67" s="100"/>
      <c r="D67" s="100"/>
    </row>
    <row r="68" spans="3:4" x14ac:dyDescent="0.25">
      <c r="C68" s="100"/>
      <c r="D68" s="100"/>
    </row>
    <row r="69" spans="3:4" x14ac:dyDescent="0.25">
      <c r="C69" s="100"/>
      <c r="D69" s="100"/>
    </row>
    <row r="70" spans="3:4" x14ac:dyDescent="0.25">
      <c r="C70" s="100"/>
      <c r="D70" s="100"/>
    </row>
    <row r="71" spans="3:4" x14ac:dyDescent="0.25">
      <c r="C71" s="100"/>
      <c r="D71" s="100"/>
    </row>
    <row r="72" spans="3:4" x14ac:dyDescent="0.25">
      <c r="C72" s="100"/>
      <c r="D72" s="100"/>
    </row>
    <row r="73" spans="3:4" x14ac:dyDescent="0.25">
      <c r="C73" s="100"/>
      <c r="D73" s="100"/>
    </row>
    <row r="74" spans="3:4" x14ac:dyDescent="0.25">
      <c r="C74" s="100"/>
      <c r="D74" s="100"/>
    </row>
    <row r="75" spans="3:4" x14ac:dyDescent="0.25">
      <c r="C75" s="100"/>
      <c r="D75" s="100"/>
    </row>
    <row r="76" spans="3:4" x14ac:dyDescent="0.25">
      <c r="C76" s="100"/>
      <c r="D76" s="100"/>
    </row>
    <row r="77" spans="3:4" x14ac:dyDescent="0.25">
      <c r="C77" s="100"/>
      <c r="D77" s="100"/>
    </row>
    <row r="78" spans="3:4" x14ac:dyDescent="0.25">
      <c r="C78" s="100"/>
      <c r="D78" s="100"/>
    </row>
    <row r="79" spans="3:4" x14ac:dyDescent="0.25">
      <c r="C79" s="100"/>
      <c r="D79" s="100"/>
    </row>
    <row r="80" spans="3:4" x14ac:dyDescent="0.25">
      <c r="C80" s="100"/>
      <c r="D80" s="100"/>
    </row>
    <row r="81" spans="3:4" x14ac:dyDescent="0.25">
      <c r="C81" s="100"/>
      <c r="D81" s="100"/>
    </row>
    <row r="82" spans="3:4" x14ac:dyDescent="0.25">
      <c r="C82" s="100"/>
      <c r="D82" s="100"/>
    </row>
    <row r="83" spans="3:4" x14ac:dyDescent="0.25">
      <c r="C83" s="100"/>
      <c r="D83" s="100"/>
    </row>
    <row r="84" spans="3:4" x14ac:dyDescent="0.25">
      <c r="C84" s="100"/>
      <c r="D84" s="100"/>
    </row>
    <row r="85" spans="3:4" x14ac:dyDescent="0.25">
      <c r="C85" s="100"/>
      <c r="D85" s="100"/>
    </row>
    <row r="86" spans="3:4" x14ac:dyDescent="0.25">
      <c r="C86" s="100"/>
      <c r="D86" s="100"/>
    </row>
    <row r="87" spans="3:4" x14ac:dyDescent="0.25">
      <c r="C87" s="100"/>
      <c r="D87" s="100"/>
    </row>
    <row r="88" spans="3:4" x14ac:dyDescent="0.25">
      <c r="C88" s="100"/>
      <c r="D88" s="100"/>
    </row>
    <row r="89" spans="3:4" x14ac:dyDescent="0.25">
      <c r="C89" s="100"/>
      <c r="D89" s="100"/>
    </row>
    <row r="90" spans="3:4" x14ac:dyDescent="0.25">
      <c r="C90" s="100"/>
      <c r="D90" s="100"/>
    </row>
    <row r="91" spans="3:4" x14ac:dyDescent="0.25">
      <c r="C91" s="100"/>
      <c r="D91" s="100"/>
    </row>
    <row r="92" spans="3:4" x14ac:dyDescent="0.25">
      <c r="C92" s="100"/>
      <c r="D92" s="100"/>
    </row>
    <row r="93" spans="3:4" x14ac:dyDescent="0.25">
      <c r="C93" s="100"/>
      <c r="D93" s="100"/>
    </row>
    <row r="94" spans="3:4" x14ac:dyDescent="0.25">
      <c r="C94" s="100"/>
      <c r="D94" s="100"/>
    </row>
    <row r="95" spans="3:4" x14ac:dyDescent="0.25">
      <c r="C95" s="100"/>
      <c r="D95" s="100"/>
    </row>
    <row r="96" spans="3:4" x14ac:dyDescent="0.25">
      <c r="C96" s="100"/>
      <c r="D96" s="100"/>
    </row>
    <row r="97" spans="3:4" x14ac:dyDescent="0.25">
      <c r="C97" s="100"/>
      <c r="D97" s="100"/>
    </row>
    <row r="98" spans="3:4" x14ac:dyDescent="0.25">
      <c r="C98" s="100"/>
      <c r="D98" s="100"/>
    </row>
    <row r="99" spans="3:4" x14ac:dyDescent="0.25">
      <c r="C99" s="100"/>
      <c r="D99" s="100"/>
    </row>
    <row r="100" spans="3:4" x14ac:dyDescent="0.25">
      <c r="C100" s="100"/>
      <c r="D100" s="100"/>
    </row>
    <row r="101" spans="3:4" x14ac:dyDescent="0.25">
      <c r="C101" s="100"/>
      <c r="D101" s="100"/>
    </row>
    <row r="102" spans="3:4" x14ac:dyDescent="0.25">
      <c r="C102" s="100"/>
      <c r="D102" s="100"/>
    </row>
    <row r="103" spans="3:4" x14ac:dyDescent="0.25">
      <c r="C103" s="100"/>
      <c r="D103" s="100"/>
    </row>
    <row r="104" spans="3:4" x14ac:dyDescent="0.25">
      <c r="C104" s="100"/>
      <c r="D104" s="100"/>
    </row>
    <row r="105" spans="3:4" x14ac:dyDescent="0.25">
      <c r="C105" s="100"/>
      <c r="D105" s="100"/>
    </row>
    <row r="106" spans="3:4" x14ac:dyDescent="0.25">
      <c r="C106" s="100"/>
      <c r="D106" s="100"/>
    </row>
    <row r="107" spans="3:4" x14ac:dyDescent="0.25">
      <c r="C107" s="100"/>
      <c r="D107" s="100"/>
    </row>
    <row r="108" spans="3:4" x14ac:dyDescent="0.25">
      <c r="C108" s="100"/>
      <c r="D108" s="100"/>
    </row>
    <row r="109" spans="3:4" x14ac:dyDescent="0.25">
      <c r="C109" s="100"/>
      <c r="D109" s="100"/>
    </row>
    <row r="110" spans="3:4" x14ac:dyDescent="0.25">
      <c r="C110" s="100"/>
      <c r="D110" s="100"/>
    </row>
    <row r="111" spans="3:4" x14ac:dyDescent="0.25">
      <c r="C111" s="100"/>
      <c r="D111" s="100"/>
    </row>
    <row r="112" spans="3:4" x14ac:dyDescent="0.25">
      <c r="C112" s="100"/>
      <c r="D112" s="100"/>
    </row>
    <row r="113" spans="3:4" x14ac:dyDescent="0.25">
      <c r="C113" s="100"/>
      <c r="D113" s="100"/>
    </row>
    <row r="114" spans="3:4" x14ac:dyDescent="0.25">
      <c r="C114" s="100"/>
      <c r="D114" s="100"/>
    </row>
    <row r="115" spans="3:4" x14ac:dyDescent="0.25">
      <c r="C115" s="100"/>
      <c r="D115" s="100"/>
    </row>
    <row r="116" spans="3:4" x14ac:dyDescent="0.25">
      <c r="C116" s="100"/>
      <c r="D116" s="100"/>
    </row>
    <row r="117" spans="3:4" x14ac:dyDescent="0.25">
      <c r="C117" s="100"/>
      <c r="D117" s="100"/>
    </row>
    <row r="118" spans="3:4" x14ac:dyDescent="0.25">
      <c r="C118" s="100"/>
      <c r="D118" s="100"/>
    </row>
    <row r="119" spans="3:4" x14ac:dyDescent="0.25">
      <c r="C119" s="100"/>
      <c r="D119" s="100"/>
    </row>
    <row r="120" spans="3:4" x14ac:dyDescent="0.25">
      <c r="C120" s="100"/>
      <c r="D120" s="100"/>
    </row>
    <row r="121" spans="3:4" x14ac:dyDescent="0.25">
      <c r="C121" s="100"/>
      <c r="D121" s="100"/>
    </row>
    <row r="122" spans="3:4" x14ac:dyDescent="0.25">
      <c r="C122" s="100"/>
      <c r="D122" s="100"/>
    </row>
    <row r="123" spans="3:4" x14ac:dyDescent="0.25">
      <c r="C123" s="100"/>
      <c r="D123" s="100"/>
    </row>
    <row r="124" spans="3:4" x14ac:dyDescent="0.25">
      <c r="C124" s="100"/>
      <c r="D124" s="100"/>
    </row>
    <row r="125" spans="3:4" x14ac:dyDescent="0.25">
      <c r="C125" s="100"/>
      <c r="D125" s="100"/>
    </row>
    <row r="126" spans="3:4" x14ac:dyDescent="0.25">
      <c r="C126" s="100"/>
      <c r="D126" s="100"/>
    </row>
    <row r="127" spans="3:4" x14ac:dyDescent="0.25">
      <c r="C127" s="100"/>
      <c r="D127" s="100"/>
    </row>
    <row r="128" spans="3:4" x14ac:dyDescent="0.25">
      <c r="C128" s="100"/>
      <c r="D128" s="100"/>
    </row>
    <row r="129" spans="3:4" x14ac:dyDescent="0.25">
      <c r="C129" s="100"/>
      <c r="D129" s="100"/>
    </row>
    <row r="130" spans="3:4" x14ac:dyDescent="0.25">
      <c r="C130" s="100"/>
      <c r="D130" s="100"/>
    </row>
    <row r="131" spans="3:4" x14ac:dyDescent="0.25">
      <c r="C131" s="100"/>
      <c r="D131" s="100"/>
    </row>
    <row r="132" spans="3:4" x14ac:dyDescent="0.25">
      <c r="C132" s="100"/>
      <c r="D132" s="100"/>
    </row>
    <row r="133" spans="3:4" x14ac:dyDescent="0.25">
      <c r="C133" s="100"/>
      <c r="D133" s="100"/>
    </row>
    <row r="134" spans="3:4" x14ac:dyDescent="0.25">
      <c r="C134" s="100"/>
      <c r="D134" s="100"/>
    </row>
    <row r="135" spans="3:4" x14ac:dyDescent="0.25">
      <c r="C135" s="100"/>
      <c r="D135" s="100"/>
    </row>
    <row r="136" spans="3:4" x14ac:dyDescent="0.25">
      <c r="C136" s="100"/>
      <c r="D136" s="100"/>
    </row>
    <row r="137" spans="3:4" x14ac:dyDescent="0.25">
      <c r="C137" s="100"/>
      <c r="D137" s="100"/>
    </row>
    <row r="138" spans="3:4" x14ac:dyDescent="0.25">
      <c r="C138" s="100"/>
      <c r="D138" s="100"/>
    </row>
    <row r="139" spans="3:4" x14ac:dyDescent="0.25">
      <c r="C139" s="100"/>
      <c r="D139" s="100"/>
    </row>
    <row r="140" spans="3:4" x14ac:dyDescent="0.25">
      <c r="C140" s="100"/>
      <c r="D140" s="100"/>
    </row>
    <row r="141" spans="3:4" x14ac:dyDescent="0.25">
      <c r="C141" s="100"/>
      <c r="D141" s="100"/>
    </row>
    <row r="142" spans="3:4" x14ac:dyDescent="0.25">
      <c r="C142" s="100"/>
      <c r="D142" s="100"/>
    </row>
    <row r="143" spans="3:4" x14ac:dyDescent="0.25">
      <c r="C143" s="100"/>
      <c r="D143" s="100"/>
    </row>
    <row r="144" spans="3:4" x14ac:dyDescent="0.25">
      <c r="C144" s="100"/>
      <c r="D144" s="100"/>
    </row>
    <row r="145" spans="3:4" x14ac:dyDescent="0.25">
      <c r="C145" s="100"/>
      <c r="D145" s="100"/>
    </row>
    <row r="146" spans="3:4" x14ac:dyDescent="0.25">
      <c r="C146" s="100"/>
      <c r="D146" s="100"/>
    </row>
    <row r="147" spans="3:4" x14ac:dyDescent="0.25">
      <c r="C147" s="100"/>
      <c r="D147" s="100"/>
    </row>
    <row r="148" spans="3:4" x14ac:dyDescent="0.25">
      <c r="C148" s="100"/>
      <c r="D148" s="100"/>
    </row>
    <row r="149" spans="3:4" x14ac:dyDescent="0.25">
      <c r="C149" s="100"/>
      <c r="D149" s="100"/>
    </row>
    <row r="150" spans="3:4" x14ac:dyDescent="0.25">
      <c r="C150" s="100"/>
      <c r="D150" s="100"/>
    </row>
    <row r="151" spans="3:4" x14ac:dyDescent="0.25">
      <c r="C151" s="100"/>
      <c r="D151" s="100"/>
    </row>
    <row r="152" spans="3:4" x14ac:dyDescent="0.25">
      <c r="C152" s="100"/>
      <c r="D152" s="100"/>
    </row>
    <row r="153" spans="3:4" x14ac:dyDescent="0.25">
      <c r="C153" s="100"/>
      <c r="D153" s="100"/>
    </row>
    <row r="154" spans="3:4" x14ac:dyDescent="0.25">
      <c r="C154" s="100"/>
      <c r="D154" s="100"/>
    </row>
    <row r="155" spans="3:4" x14ac:dyDescent="0.25">
      <c r="C155" s="100"/>
      <c r="D155" s="100"/>
    </row>
    <row r="156" spans="3:4" x14ac:dyDescent="0.25">
      <c r="C156" s="100"/>
      <c r="D156" s="100"/>
    </row>
    <row r="157" spans="3:4" x14ac:dyDescent="0.25">
      <c r="C157" s="100"/>
      <c r="D157" s="100"/>
    </row>
    <row r="158" spans="3:4" x14ac:dyDescent="0.25">
      <c r="C158" s="100"/>
      <c r="D158" s="100"/>
    </row>
    <row r="159" spans="3:4" x14ac:dyDescent="0.25">
      <c r="C159" s="100"/>
      <c r="D159" s="100"/>
    </row>
    <row r="160" spans="3:4" x14ac:dyDescent="0.25">
      <c r="C160" s="100"/>
      <c r="D160" s="100"/>
    </row>
    <row r="161" spans="3:4" x14ac:dyDescent="0.25">
      <c r="C161" s="100"/>
      <c r="D161" s="100"/>
    </row>
    <row r="162" spans="3:4" x14ac:dyDescent="0.25">
      <c r="C162" s="100"/>
      <c r="D162" s="100"/>
    </row>
    <row r="163" spans="3:4" x14ac:dyDescent="0.25">
      <c r="C163" s="100"/>
      <c r="D163" s="100"/>
    </row>
    <row r="164" spans="3:4" x14ac:dyDescent="0.25">
      <c r="C164" s="100"/>
      <c r="D164" s="100"/>
    </row>
    <row r="165" spans="3:4" x14ac:dyDescent="0.25">
      <c r="C165" s="100"/>
      <c r="D165" s="100"/>
    </row>
    <row r="166" spans="3:4" x14ac:dyDescent="0.25">
      <c r="C166" s="100"/>
      <c r="D166" s="100"/>
    </row>
    <row r="167" spans="3:4" x14ac:dyDescent="0.25">
      <c r="C167" s="100"/>
      <c r="D167" s="100"/>
    </row>
    <row r="168" spans="3:4" x14ac:dyDescent="0.25">
      <c r="C168" s="100"/>
      <c r="D168" s="100"/>
    </row>
    <row r="169" spans="3:4" x14ac:dyDescent="0.25">
      <c r="C169" s="100"/>
      <c r="D169" s="100"/>
    </row>
    <row r="170" spans="3:4" x14ac:dyDescent="0.25">
      <c r="C170" s="100"/>
      <c r="D170" s="100"/>
    </row>
    <row r="171" spans="3:4" x14ac:dyDescent="0.25">
      <c r="C171" s="100"/>
      <c r="D171" s="100"/>
    </row>
    <row r="172" spans="3:4" x14ac:dyDescent="0.25">
      <c r="C172" s="100"/>
      <c r="D172" s="100"/>
    </row>
    <row r="173" spans="3:4" x14ac:dyDescent="0.25">
      <c r="C173" s="100"/>
      <c r="D173" s="100"/>
    </row>
    <row r="174" spans="3:4" x14ac:dyDescent="0.25">
      <c r="C174" s="100"/>
      <c r="D174" s="100"/>
    </row>
    <row r="175" spans="3:4" x14ac:dyDescent="0.25">
      <c r="C175" s="100"/>
      <c r="D175" s="100"/>
    </row>
    <row r="176" spans="3:4" x14ac:dyDescent="0.25">
      <c r="C176" s="100"/>
      <c r="D176" s="100"/>
    </row>
    <row r="177" spans="3:4" x14ac:dyDescent="0.25">
      <c r="C177" s="100"/>
      <c r="D177" s="100"/>
    </row>
    <row r="178" spans="3:4" x14ac:dyDescent="0.25">
      <c r="C178" s="100"/>
      <c r="D178" s="100"/>
    </row>
    <row r="179" spans="3:4" x14ac:dyDescent="0.25">
      <c r="C179" s="100"/>
      <c r="D179" s="100"/>
    </row>
    <row r="180" spans="3:4" x14ac:dyDescent="0.25">
      <c r="C180" s="100"/>
      <c r="D180" s="100"/>
    </row>
    <row r="181" spans="3:4" x14ac:dyDescent="0.25">
      <c r="C181" s="100"/>
      <c r="D181" s="100"/>
    </row>
    <row r="182" spans="3:4" x14ac:dyDescent="0.25">
      <c r="C182" s="100"/>
      <c r="D182" s="100"/>
    </row>
    <row r="183" spans="3:4" x14ac:dyDescent="0.25">
      <c r="C183" s="100"/>
      <c r="D183" s="100"/>
    </row>
    <row r="184" spans="3:4" x14ac:dyDescent="0.25">
      <c r="C184" s="100"/>
      <c r="D184" s="100"/>
    </row>
    <row r="185" spans="3:4" x14ac:dyDescent="0.25">
      <c r="C185" s="100"/>
      <c r="D185" s="100"/>
    </row>
    <row r="186" spans="3:4" x14ac:dyDescent="0.25">
      <c r="C186" s="100"/>
      <c r="D186" s="100"/>
    </row>
    <row r="187" spans="3:4" x14ac:dyDescent="0.25">
      <c r="C187" s="100"/>
      <c r="D187" s="100"/>
    </row>
    <row r="188" spans="3:4" x14ac:dyDescent="0.25">
      <c r="C188" s="100"/>
      <c r="D188" s="100"/>
    </row>
    <row r="189" spans="3:4" x14ac:dyDescent="0.25">
      <c r="C189" s="100"/>
      <c r="D189" s="100"/>
    </row>
    <row r="190" spans="3:4" x14ac:dyDescent="0.25">
      <c r="C190" s="100"/>
      <c r="D190" s="100"/>
    </row>
    <row r="191" spans="3:4" x14ac:dyDescent="0.25">
      <c r="C191" s="100"/>
      <c r="D191" s="100"/>
    </row>
    <row r="192" spans="3:4" x14ac:dyDescent="0.25">
      <c r="C192" s="100"/>
      <c r="D192" s="100"/>
    </row>
    <row r="193" spans="3:4" x14ac:dyDescent="0.25">
      <c r="C193" s="100"/>
      <c r="D193" s="100"/>
    </row>
    <row r="194" spans="3:4" x14ac:dyDescent="0.25">
      <c r="C194" s="100"/>
      <c r="D194" s="100"/>
    </row>
    <row r="195" spans="3:4" x14ac:dyDescent="0.25">
      <c r="C195" s="100"/>
      <c r="D195" s="100"/>
    </row>
    <row r="196" spans="3:4" x14ac:dyDescent="0.25">
      <c r="C196" s="100"/>
      <c r="D196" s="100"/>
    </row>
    <row r="197" spans="3:4" x14ac:dyDescent="0.25">
      <c r="C197" s="100"/>
      <c r="D197" s="100"/>
    </row>
    <row r="198" spans="3:4" x14ac:dyDescent="0.25">
      <c r="C198" s="100"/>
      <c r="D198" s="100"/>
    </row>
    <row r="199" spans="3:4" x14ac:dyDescent="0.25">
      <c r="C199" s="100"/>
      <c r="D199" s="100"/>
    </row>
    <row r="200" spans="3:4" x14ac:dyDescent="0.25">
      <c r="C200" s="100"/>
      <c r="D200" s="100"/>
    </row>
    <row r="201" spans="3:4" x14ac:dyDescent="0.25">
      <c r="C201" s="100"/>
      <c r="D201" s="100"/>
    </row>
    <row r="202" spans="3:4" x14ac:dyDescent="0.25">
      <c r="C202" s="100"/>
      <c r="D202" s="100"/>
    </row>
    <row r="203" spans="3:4" x14ac:dyDescent="0.25">
      <c r="C203" s="100"/>
      <c r="D203" s="100"/>
    </row>
    <row r="204" spans="3:4" x14ac:dyDescent="0.25">
      <c r="C204" s="100"/>
      <c r="D204" s="100"/>
    </row>
    <row r="205" spans="3:4" x14ac:dyDescent="0.25">
      <c r="C205" s="100"/>
      <c r="D205" s="100"/>
    </row>
    <row r="206" spans="3:4" x14ac:dyDescent="0.25">
      <c r="C206" s="100"/>
      <c r="D206" s="100"/>
    </row>
    <row r="207" spans="3:4" x14ac:dyDescent="0.25">
      <c r="C207" s="100"/>
      <c r="D207" s="100"/>
    </row>
    <row r="208" spans="3:4" x14ac:dyDescent="0.25">
      <c r="C208" s="100"/>
      <c r="D208" s="100"/>
    </row>
    <row r="209" spans="3:4" x14ac:dyDescent="0.25">
      <c r="C209" s="100"/>
      <c r="D209" s="100"/>
    </row>
    <row r="210" spans="3:4" x14ac:dyDescent="0.25">
      <c r="C210" s="100"/>
      <c r="D210" s="100"/>
    </row>
    <row r="211" spans="3:4" x14ac:dyDescent="0.25">
      <c r="C211" s="100"/>
      <c r="D211" s="100"/>
    </row>
    <row r="212" spans="3:4" x14ac:dyDescent="0.25">
      <c r="C212" s="100"/>
      <c r="D212" s="100"/>
    </row>
    <row r="213" spans="3:4" x14ac:dyDescent="0.25">
      <c r="C213" s="100"/>
      <c r="D213" s="100"/>
    </row>
    <row r="214" spans="3:4" x14ac:dyDescent="0.25">
      <c r="C214" s="100"/>
      <c r="D214" s="100"/>
    </row>
    <row r="215" spans="3:4" x14ac:dyDescent="0.25">
      <c r="C215" s="100"/>
      <c r="D215" s="100"/>
    </row>
    <row r="216" spans="3:4" x14ac:dyDescent="0.25">
      <c r="C216" s="100"/>
      <c r="D216" s="100"/>
    </row>
    <row r="217" spans="3:4" x14ac:dyDescent="0.25">
      <c r="C217" s="100"/>
      <c r="D217" s="100"/>
    </row>
    <row r="218" spans="3:4" x14ac:dyDescent="0.25">
      <c r="C218" s="100"/>
      <c r="D218" s="100"/>
    </row>
    <row r="219" spans="3:4" x14ac:dyDescent="0.25">
      <c r="C219" s="100"/>
      <c r="D219" s="100"/>
    </row>
    <row r="220" spans="3:4" x14ac:dyDescent="0.25">
      <c r="C220" s="100"/>
      <c r="D220" s="100"/>
    </row>
    <row r="221" spans="3:4" x14ac:dyDescent="0.25">
      <c r="C221" s="100"/>
      <c r="D221" s="100"/>
    </row>
    <row r="222" spans="3:4" x14ac:dyDescent="0.25">
      <c r="C222" s="100"/>
      <c r="D222" s="100"/>
    </row>
    <row r="223" spans="3:4" x14ac:dyDescent="0.25">
      <c r="C223" s="100"/>
      <c r="D223" s="100"/>
    </row>
    <row r="224" spans="3:4" x14ac:dyDescent="0.25">
      <c r="C224" s="100"/>
      <c r="D224" s="100"/>
    </row>
    <row r="225" spans="3:4" x14ac:dyDescent="0.25">
      <c r="C225" s="100"/>
      <c r="D225" s="100"/>
    </row>
    <row r="226" spans="3:4" x14ac:dyDescent="0.25">
      <c r="C226" s="100"/>
      <c r="D226" s="100"/>
    </row>
    <row r="227" spans="3:4" x14ac:dyDescent="0.25">
      <c r="C227" s="100"/>
      <c r="D227" s="100"/>
    </row>
    <row r="228" spans="3:4" x14ac:dyDescent="0.25">
      <c r="C228" s="100"/>
      <c r="D228" s="100"/>
    </row>
    <row r="229" spans="3:4" x14ac:dyDescent="0.25">
      <c r="C229" s="100"/>
      <c r="D229" s="100"/>
    </row>
    <row r="230" spans="3:4" x14ac:dyDescent="0.25">
      <c r="C230" s="100"/>
      <c r="D230" s="100"/>
    </row>
    <row r="231" spans="3:4" x14ac:dyDescent="0.25">
      <c r="C231" s="100"/>
      <c r="D231" s="100"/>
    </row>
    <row r="232" spans="3:4" x14ac:dyDescent="0.25">
      <c r="C232" s="100"/>
      <c r="D232" s="100"/>
    </row>
    <row r="233" spans="3:4" x14ac:dyDescent="0.25">
      <c r="C233" s="100"/>
      <c r="D233" s="100"/>
    </row>
    <row r="234" spans="3:4" x14ac:dyDescent="0.25">
      <c r="C234" s="100"/>
      <c r="D234" s="100"/>
    </row>
    <row r="235" spans="3:4" x14ac:dyDescent="0.25">
      <c r="C235" s="100"/>
      <c r="D235" s="100"/>
    </row>
    <row r="236" spans="3:4" x14ac:dyDescent="0.25">
      <c r="C236" s="100"/>
      <c r="D236" s="100"/>
    </row>
    <row r="237" spans="3:4" x14ac:dyDescent="0.25">
      <c r="C237" s="100"/>
      <c r="D237" s="100"/>
    </row>
    <row r="238" spans="3:4" x14ac:dyDescent="0.25">
      <c r="C238" s="100"/>
      <c r="D238" s="100"/>
    </row>
    <row r="239" spans="3:4" x14ac:dyDescent="0.25">
      <c r="C239" s="100"/>
      <c r="D239" s="100"/>
    </row>
    <row r="240" spans="3:4" x14ac:dyDescent="0.25">
      <c r="C240" s="100"/>
      <c r="D240" s="100"/>
    </row>
    <row r="241" spans="3:4" x14ac:dyDescent="0.25">
      <c r="C241" s="100"/>
      <c r="D241" s="100"/>
    </row>
    <row r="242" spans="3:4" x14ac:dyDescent="0.25">
      <c r="C242" s="100"/>
      <c r="D242" s="100"/>
    </row>
    <row r="243" spans="3:4" x14ac:dyDescent="0.25">
      <c r="C243" s="100"/>
      <c r="D243" s="100"/>
    </row>
    <row r="244" spans="3:4" x14ac:dyDescent="0.25">
      <c r="C244" s="100"/>
      <c r="D244" s="100"/>
    </row>
    <row r="245" spans="3:4" x14ac:dyDescent="0.25">
      <c r="C245" s="100"/>
      <c r="D245" s="100"/>
    </row>
    <row r="246" spans="3:4" x14ac:dyDescent="0.25">
      <c r="C246" s="100"/>
      <c r="D246" s="100"/>
    </row>
    <row r="247" spans="3:4" x14ac:dyDescent="0.25">
      <c r="C247" s="100"/>
      <c r="D247" s="100"/>
    </row>
    <row r="248" spans="3:4" x14ac:dyDescent="0.25">
      <c r="C248" s="100"/>
      <c r="D248" s="100"/>
    </row>
    <row r="249" spans="3:4" x14ac:dyDescent="0.25">
      <c r="C249" s="100"/>
      <c r="D249" s="100"/>
    </row>
    <row r="250" spans="3:4" x14ac:dyDescent="0.25">
      <c r="C250" s="100"/>
      <c r="D250" s="100"/>
    </row>
    <row r="251" spans="3:4" x14ac:dyDescent="0.25">
      <c r="C251" s="100"/>
      <c r="D251" s="100"/>
    </row>
    <row r="252" spans="3:4" x14ac:dyDescent="0.25">
      <c r="C252" s="100"/>
      <c r="D252" s="100"/>
    </row>
    <row r="253" spans="3:4" x14ac:dyDescent="0.25">
      <c r="C253" s="100"/>
      <c r="D253" s="100"/>
    </row>
    <row r="254" spans="3:4" x14ac:dyDescent="0.25">
      <c r="C254" s="100"/>
      <c r="D254" s="100"/>
    </row>
    <row r="255" spans="3:4" x14ac:dyDescent="0.25">
      <c r="C255" s="100"/>
      <c r="D255" s="100"/>
    </row>
    <row r="256" spans="3:4" x14ac:dyDescent="0.25">
      <c r="C256" s="100"/>
      <c r="D256" s="100"/>
    </row>
    <row r="257" spans="3:4" x14ac:dyDescent="0.25">
      <c r="C257" s="100"/>
      <c r="D257" s="100"/>
    </row>
    <row r="258" spans="3:4" x14ac:dyDescent="0.25">
      <c r="C258" s="100"/>
      <c r="D258" s="100"/>
    </row>
    <row r="259" spans="3:4" x14ac:dyDescent="0.25">
      <c r="C259" s="100"/>
      <c r="D259" s="100"/>
    </row>
    <row r="260" spans="3:4" x14ac:dyDescent="0.25">
      <c r="C260" s="100"/>
      <c r="D260" s="100"/>
    </row>
    <row r="261" spans="3:4" x14ac:dyDescent="0.25">
      <c r="C261" s="100"/>
      <c r="D261" s="100"/>
    </row>
    <row r="262" spans="3:4" x14ac:dyDescent="0.25">
      <c r="C262" s="100"/>
      <c r="D262" s="100"/>
    </row>
    <row r="263" spans="3:4" x14ac:dyDescent="0.25">
      <c r="C263" s="100"/>
      <c r="D263" s="100"/>
    </row>
    <row r="264" spans="3:4" x14ac:dyDescent="0.25">
      <c r="C264" s="100"/>
      <c r="D264" s="100"/>
    </row>
    <row r="265" spans="3:4" x14ac:dyDescent="0.25">
      <c r="C265" s="100"/>
      <c r="D265" s="100"/>
    </row>
    <row r="266" spans="3:4" x14ac:dyDescent="0.25">
      <c r="C266" s="100"/>
      <c r="D266" s="100"/>
    </row>
    <row r="267" spans="3:4" x14ac:dyDescent="0.25">
      <c r="C267" s="100"/>
      <c r="D267" s="100"/>
    </row>
    <row r="268" spans="3:4" x14ac:dyDescent="0.25">
      <c r="C268" s="100"/>
      <c r="D268" s="100"/>
    </row>
    <row r="269" spans="3:4" x14ac:dyDescent="0.25">
      <c r="C269" s="100"/>
      <c r="D269" s="100"/>
    </row>
    <row r="270" spans="3:4" x14ac:dyDescent="0.25">
      <c r="C270" s="100"/>
      <c r="D270" s="100"/>
    </row>
    <row r="271" spans="3:4" x14ac:dyDescent="0.25">
      <c r="C271" s="100"/>
      <c r="D271" s="100"/>
    </row>
    <row r="272" spans="3:4" x14ac:dyDescent="0.25">
      <c r="C272" s="100"/>
      <c r="D272" s="100"/>
    </row>
    <row r="273" spans="3:4" x14ac:dyDescent="0.25">
      <c r="C273" s="100"/>
      <c r="D273" s="100"/>
    </row>
    <row r="274" spans="3:4" x14ac:dyDescent="0.25">
      <c r="C274" s="100"/>
      <c r="D274" s="100"/>
    </row>
    <row r="275" spans="3:4" x14ac:dyDescent="0.25">
      <c r="C275" s="100"/>
      <c r="D275" s="100"/>
    </row>
    <row r="276" spans="3:4" x14ac:dyDescent="0.25">
      <c r="C276" s="100"/>
      <c r="D276" s="100"/>
    </row>
    <row r="277" spans="3:4" x14ac:dyDescent="0.25">
      <c r="C277" s="100"/>
      <c r="D277" s="100"/>
    </row>
    <row r="278" spans="3:4" x14ac:dyDescent="0.25">
      <c r="C278" s="100"/>
      <c r="D278" s="100"/>
    </row>
    <row r="279" spans="3:4" x14ac:dyDescent="0.25">
      <c r="C279" s="100"/>
      <c r="D279" s="100"/>
    </row>
    <row r="280" spans="3:4" x14ac:dyDescent="0.25">
      <c r="C280" s="100"/>
      <c r="D280" s="100"/>
    </row>
    <row r="281" spans="3:4" x14ac:dyDescent="0.25">
      <c r="C281" s="100"/>
      <c r="D281" s="100"/>
    </row>
    <row r="282" spans="3:4" x14ac:dyDescent="0.25">
      <c r="C282" s="100"/>
      <c r="D282" s="100"/>
    </row>
    <row r="283" spans="3:4" x14ac:dyDescent="0.25">
      <c r="C283" s="100"/>
      <c r="D283" s="100"/>
    </row>
    <row r="284" spans="3:4" x14ac:dyDescent="0.25">
      <c r="C284" s="100"/>
      <c r="D284" s="100"/>
    </row>
    <row r="285" spans="3:4" x14ac:dyDescent="0.25">
      <c r="C285" s="100"/>
      <c r="D285" s="100"/>
    </row>
    <row r="286" spans="3:4" x14ac:dyDescent="0.25">
      <c r="C286" s="100"/>
      <c r="D286" s="100"/>
    </row>
    <row r="287" spans="3:4" x14ac:dyDescent="0.25">
      <c r="C287" s="100"/>
      <c r="D287" s="100"/>
    </row>
    <row r="288" spans="3:4" x14ac:dyDescent="0.25">
      <c r="C288" s="100"/>
      <c r="D288" s="100"/>
    </row>
    <row r="289" spans="3:4" x14ac:dyDescent="0.25">
      <c r="C289" s="100"/>
      <c r="D289" s="100"/>
    </row>
    <row r="290" spans="3:4" x14ac:dyDescent="0.25">
      <c r="C290" s="100"/>
      <c r="D290" s="100"/>
    </row>
    <row r="291" spans="3:4" x14ac:dyDescent="0.25">
      <c r="C291" s="100"/>
      <c r="D291" s="100"/>
    </row>
    <row r="292" spans="3:4" x14ac:dyDescent="0.25">
      <c r="C292" s="100"/>
      <c r="D292" s="100"/>
    </row>
    <row r="293" spans="3:4" x14ac:dyDescent="0.25">
      <c r="C293" s="100"/>
      <c r="D293" s="100"/>
    </row>
    <row r="294" spans="3:4" x14ac:dyDescent="0.25">
      <c r="C294" s="100"/>
      <c r="D294" s="100"/>
    </row>
    <row r="295" spans="3:4" x14ac:dyDescent="0.25">
      <c r="C295" s="100"/>
      <c r="D295" s="100"/>
    </row>
    <row r="296" spans="3:4" x14ac:dyDescent="0.25">
      <c r="C296" s="100"/>
      <c r="D296" s="100"/>
    </row>
    <row r="297" spans="3:4" x14ac:dyDescent="0.25">
      <c r="C297" s="100"/>
      <c r="D297" s="100"/>
    </row>
    <row r="298" spans="3:4" x14ac:dyDescent="0.25">
      <c r="C298" s="100"/>
      <c r="D298" s="100"/>
    </row>
    <row r="299" spans="3:4" x14ac:dyDescent="0.25">
      <c r="C299" s="100"/>
      <c r="D299" s="100"/>
    </row>
    <row r="300" spans="3:4" x14ac:dyDescent="0.25">
      <c r="C300" s="100"/>
      <c r="D300" s="100"/>
    </row>
    <row r="301" spans="3:4" x14ac:dyDescent="0.25">
      <c r="C301" s="100"/>
      <c r="D301" s="100"/>
    </row>
    <row r="302" spans="3:4" x14ac:dyDescent="0.25">
      <c r="C302" s="100"/>
      <c r="D302" s="100"/>
    </row>
    <row r="303" spans="3:4" x14ac:dyDescent="0.25">
      <c r="C303" s="100"/>
      <c r="D303" s="100"/>
    </row>
    <row r="304" spans="3:4" x14ac:dyDescent="0.25">
      <c r="C304" s="100"/>
      <c r="D304" s="100"/>
    </row>
    <row r="305" spans="3:4" x14ac:dyDescent="0.25">
      <c r="C305" s="100"/>
      <c r="D305" s="100"/>
    </row>
    <row r="306" spans="3:4" x14ac:dyDescent="0.25">
      <c r="C306" s="100"/>
      <c r="D306" s="100"/>
    </row>
    <row r="307" spans="3:4" x14ac:dyDescent="0.25">
      <c r="C307" s="100"/>
      <c r="D307" s="100"/>
    </row>
    <row r="308" spans="3:4" x14ac:dyDescent="0.25">
      <c r="C308" s="100"/>
      <c r="D308" s="100"/>
    </row>
    <row r="309" spans="3:4" x14ac:dyDescent="0.25">
      <c r="C309" s="100"/>
      <c r="D309" s="100"/>
    </row>
    <row r="310" spans="3:4" x14ac:dyDescent="0.25">
      <c r="C310" s="100"/>
      <c r="D310" s="100"/>
    </row>
    <row r="311" spans="3:4" x14ac:dyDescent="0.25">
      <c r="C311" s="100"/>
      <c r="D311" s="100"/>
    </row>
    <row r="312" spans="3:4" x14ac:dyDescent="0.25">
      <c r="C312" s="100"/>
      <c r="D312" s="100"/>
    </row>
    <row r="313" spans="3:4" x14ac:dyDescent="0.25">
      <c r="C313" s="100"/>
      <c r="D313" s="100"/>
    </row>
    <row r="314" spans="3:4" x14ac:dyDescent="0.25">
      <c r="C314" s="100"/>
      <c r="D314" s="100"/>
    </row>
    <row r="315" spans="3:4" x14ac:dyDescent="0.25">
      <c r="C315" s="100"/>
      <c r="D315" s="100"/>
    </row>
    <row r="316" spans="3:4" x14ac:dyDescent="0.25">
      <c r="C316" s="100"/>
      <c r="D316" s="100"/>
    </row>
    <row r="317" spans="3:4" x14ac:dyDescent="0.25">
      <c r="C317" s="100"/>
      <c r="D317" s="100"/>
    </row>
    <row r="318" spans="3:4" x14ac:dyDescent="0.25">
      <c r="C318" s="100"/>
      <c r="D318" s="100"/>
    </row>
    <row r="319" spans="3:4" x14ac:dyDescent="0.25">
      <c r="C319" s="100"/>
      <c r="D319" s="100"/>
    </row>
    <row r="320" spans="3:4" x14ac:dyDescent="0.25">
      <c r="C320" s="100"/>
      <c r="D320" s="100"/>
    </row>
    <row r="321" spans="3:4" x14ac:dyDescent="0.25">
      <c r="C321" s="100"/>
      <c r="D321" s="100"/>
    </row>
    <row r="322" spans="3:4" x14ac:dyDescent="0.25">
      <c r="C322" s="100"/>
      <c r="D322" s="100"/>
    </row>
    <row r="323" spans="3:4" x14ac:dyDescent="0.25">
      <c r="C323" s="100"/>
      <c r="D323" s="100"/>
    </row>
    <row r="324" spans="3:4" x14ac:dyDescent="0.25">
      <c r="C324" s="100"/>
      <c r="D324" s="100"/>
    </row>
    <row r="325" spans="3:4" x14ac:dyDescent="0.25">
      <c r="C325" s="100"/>
      <c r="D325" s="100"/>
    </row>
    <row r="326" spans="3:4" x14ac:dyDescent="0.25">
      <c r="C326" s="100"/>
      <c r="D326" s="100"/>
    </row>
    <row r="327" spans="3:4" x14ac:dyDescent="0.25">
      <c r="C327" s="100"/>
      <c r="D327" s="100"/>
    </row>
    <row r="328" spans="3:4" x14ac:dyDescent="0.25">
      <c r="C328" s="100"/>
      <c r="D328" s="100"/>
    </row>
    <row r="329" spans="3:4" x14ac:dyDescent="0.25">
      <c r="C329" s="100"/>
      <c r="D329" s="100"/>
    </row>
    <row r="330" spans="3:4" x14ac:dyDescent="0.25">
      <c r="C330" s="100"/>
      <c r="D330" s="100"/>
    </row>
    <row r="331" spans="3:4" x14ac:dyDescent="0.25">
      <c r="C331" s="100"/>
      <c r="D331" s="100"/>
    </row>
    <row r="332" spans="3:4" x14ac:dyDescent="0.25">
      <c r="C332" s="100"/>
      <c r="D332" s="100"/>
    </row>
    <row r="333" spans="3:4" x14ac:dyDescent="0.25">
      <c r="C333" s="100"/>
      <c r="D333" s="100"/>
    </row>
    <row r="334" spans="3:4" x14ac:dyDescent="0.25">
      <c r="C334" s="100"/>
      <c r="D334" s="100"/>
    </row>
    <row r="335" spans="3:4" x14ac:dyDescent="0.25">
      <c r="C335" s="100"/>
      <c r="D335" s="100"/>
    </row>
    <row r="336" spans="3:4" x14ac:dyDescent="0.25">
      <c r="C336" s="100"/>
      <c r="D336" s="100"/>
    </row>
    <row r="337" spans="3:4" x14ac:dyDescent="0.25">
      <c r="C337" s="100"/>
      <c r="D337" s="100"/>
    </row>
    <row r="338" spans="3:4" x14ac:dyDescent="0.25">
      <c r="C338" s="100"/>
      <c r="D338" s="100"/>
    </row>
    <row r="339" spans="3:4" x14ac:dyDescent="0.25">
      <c r="C339" s="100"/>
      <c r="D339" s="100"/>
    </row>
    <row r="340" spans="3:4" x14ac:dyDescent="0.25">
      <c r="C340" s="100"/>
      <c r="D340" s="100"/>
    </row>
    <row r="341" spans="3:4" x14ac:dyDescent="0.25">
      <c r="C341" s="100"/>
      <c r="D341" s="100"/>
    </row>
    <row r="342" spans="3:4" x14ac:dyDescent="0.25">
      <c r="C342" s="100"/>
      <c r="D342" s="100"/>
    </row>
    <row r="343" spans="3:4" x14ac:dyDescent="0.25">
      <c r="C343" s="100"/>
      <c r="D343" s="100"/>
    </row>
    <row r="344" spans="3:4" x14ac:dyDescent="0.25">
      <c r="C344" s="100"/>
      <c r="D344" s="100"/>
    </row>
    <row r="345" spans="3:4" x14ac:dyDescent="0.25">
      <c r="C345" s="100"/>
      <c r="D345" s="100"/>
    </row>
    <row r="346" spans="3:4" x14ac:dyDescent="0.25">
      <c r="C346" s="100"/>
      <c r="D346" s="100"/>
    </row>
    <row r="347" spans="3:4" x14ac:dyDescent="0.25">
      <c r="C347" s="100"/>
      <c r="D347" s="100"/>
    </row>
    <row r="348" spans="3:4" x14ac:dyDescent="0.25">
      <c r="C348" s="100"/>
      <c r="D348" s="100"/>
    </row>
    <row r="349" spans="3:4" x14ac:dyDescent="0.25">
      <c r="C349" s="100"/>
      <c r="D349" s="100"/>
    </row>
    <row r="350" spans="3:4" x14ac:dyDescent="0.25">
      <c r="C350" s="100"/>
      <c r="D350" s="100"/>
    </row>
    <row r="351" spans="3:4" x14ac:dyDescent="0.25">
      <c r="C351" s="100"/>
      <c r="D351" s="100"/>
    </row>
    <row r="352" spans="3:4" x14ac:dyDescent="0.25">
      <c r="C352" s="100"/>
      <c r="D352" s="100"/>
    </row>
    <row r="353" spans="3:4" x14ac:dyDescent="0.25">
      <c r="C353" s="100"/>
      <c r="D353" s="100"/>
    </row>
    <row r="354" spans="3:4" x14ac:dyDescent="0.25">
      <c r="C354" s="100"/>
      <c r="D354" s="100"/>
    </row>
    <row r="355" spans="3:4" x14ac:dyDescent="0.25">
      <c r="C355" s="100"/>
      <c r="D355" s="100"/>
    </row>
    <row r="356" spans="3:4" x14ac:dyDescent="0.25">
      <c r="C356" s="100"/>
      <c r="D356" s="100"/>
    </row>
    <row r="357" spans="3:4" x14ac:dyDescent="0.25">
      <c r="C357" s="100"/>
      <c r="D357" s="100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01B2C-9609-4214-B8A7-26D6E6366B48}">
  <sheetPr codeName="Sheet23"/>
  <dimension ref="A1:E357"/>
  <sheetViews>
    <sheetView workbookViewId="0">
      <selection activeCell="C4" sqref="C4"/>
    </sheetView>
  </sheetViews>
  <sheetFormatPr defaultRowHeight="15.75" x14ac:dyDescent="0.25"/>
  <cols>
    <col min="1" max="1" width="8.625" style="105" bestFit="1" customWidth="1"/>
    <col min="2" max="2" width="8.625" style="101" bestFit="1" customWidth="1"/>
    <col min="3" max="3" width="8.375" bestFit="1" customWidth="1"/>
    <col min="4" max="4" width="8.25" bestFit="1" customWidth="1"/>
  </cols>
  <sheetData>
    <row r="1" spans="1:5" ht="17.25" x14ac:dyDescent="0.25">
      <c r="A1" s="102" t="s">
        <v>530</v>
      </c>
      <c r="B1" s="169" t="s">
        <v>531</v>
      </c>
      <c r="C1" s="169" t="s">
        <v>532</v>
      </c>
      <c r="D1" s="96" t="s">
        <v>533</v>
      </c>
      <c r="E1" s="169" t="s">
        <v>534</v>
      </c>
    </row>
    <row r="2" spans="1:5" x14ac:dyDescent="0.25">
      <c r="A2" s="103" t="s">
        <v>633</v>
      </c>
      <c r="B2" s="168">
        <v>0.02</v>
      </c>
      <c r="C2" s="168">
        <v>0.12</v>
      </c>
      <c r="D2" s="97">
        <v>5</v>
      </c>
      <c r="E2" s="169" t="s">
        <v>632</v>
      </c>
    </row>
    <row r="3" spans="1:5" ht="18.75" x14ac:dyDescent="0.25">
      <c r="A3" s="104" t="s">
        <v>535</v>
      </c>
      <c r="B3" s="98" t="s">
        <v>536</v>
      </c>
      <c r="C3" s="98" t="s">
        <v>537</v>
      </c>
      <c r="D3" s="98" t="s">
        <v>538</v>
      </c>
    </row>
    <row r="4" spans="1:5" x14ac:dyDescent="0.25">
      <c r="A4" s="101">
        <v>0.02</v>
      </c>
      <c r="B4" s="100">
        <v>16.458898434996005</v>
      </c>
      <c r="C4" s="101">
        <v>7.4149725901906591E-2</v>
      </c>
      <c r="D4" s="101">
        <v>2.9965546211233422E-2</v>
      </c>
    </row>
    <row r="5" spans="1:5" x14ac:dyDescent="0.25">
      <c r="A5" s="101">
        <v>0.04</v>
      </c>
      <c r="B5" s="100">
        <v>14.603373563506709</v>
      </c>
      <c r="C5" s="100"/>
      <c r="D5" s="100"/>
    </row>
    <row r="6" spans="1:5" x14ac:dyDescent="0.25">
      <c r="A6" s="101">
        <v>0.06</v>
      </c>
      <c r="B6" s="100">
        <v>13.318168585001208</v>
      </c>
      <c r="C6" s="100"/>
      <c r="D6" s="100"/>
    </row>
    <row r="7" spans="1:5" x14ac:dyDescent="0.25">
      <c r="A7" s="101">
        <v>0.08</v>
      </c>
      <c r="B7" s="100">
        <v>13.245550154399538</v>
      </c>
      <c r="C7" s="100"/>
      <c r="D7" s="100"/>
    </row>
    <row r="8" spans="1:5" x14ac:dyDescent="0.25">
      <c r="A8" s="101">
        <v>0.1</v>
      </c>
      <c r="B8" s="100">
        <v>14.049334496791962</v>
      </c>
      <c r="C8" s="100"/>
      <c r="D8" s="100"/>
    </row>
    <row r="9" spans="1:5" x14ac:dyDescent="0.25">
      <c r="A9" s="101">
        <v>0.12</v>
      </c>
      <c r="B9" s="100">
        <v>15.511849226633679</v>
      </c>
      <c r="C9" s="100"/>
      <c r="D9" s="100"/>
    </row>
    <row r="10" spans="1:5" x14ac:dyDescent="0.25">
      <c r="A10" s="100"/>
      <c r="B10" s="100"/>
      <c r="C10" s="100"/>
      <c r="D10" s="100"/>
    </row>
    <row r="11" spans="1:5" x14ac:dyDescent="0.25">
      <c r="A11" s="100"/>
      <c r="B11" s="100"/>
      <c r="C11" s="100"/>
      <c r="D11" s="100"/>
    </row>
    <row r="12" spans="1:5" x14ac:dyDescent="0.25">
      <c r="A12" s="100"/>
      <c r="B12" s="100"/>
      <c r="C12" s="100"/>
      <c r="D12" s="100"/>
    </row>
    <row r="13" spans="1:5" x14ac:dyDescent="0.25">
      <c r="A13" s="100"/>
      <c r="B13" s="100"/>
      <c r="C13" s="100"/>
      <c r="D13" s="100"/>
    </row>
    <row r="14" spans="1:5" x14ac:dyDescent="0.25">
      <c r="A14" s="100"/>
      <c r="B14" s="100"/>
      <c r="C14" s="100"/>
      <c r="D14" s="100"/>
    </row>
    <row r="15" spans="1:5" x14ac:dyDescent="0.25">
      <c r="A15" s="100"/>
      <c r="B15" s="100"/>
      <c r="C15" s="100"/>
      <c r="D15" s="100"/>
    </row>
    <row r="16" spans="1:5" x14ac:dyDescent="0.25">
      <c r="A16" s="100"/>
      <c r="B16" s="100"/>
      <c r="C16" s="100"/>
      <c r="D16" s="100"/>
    </row>
    <row r="17" spans="1:4" x14ac:dyDescent="0.25">
      <c r="A17" s="100"/>
      <c r="B17" s="100"/>
      <c r="C17" s="100"/>
      <c r="D17" s="100"/>
    </row>
    <row r="18" spans="1:4" x14ac:dyDescent="0.25">
      <c r="A18" s="100"/>
      <c r="B18" s="100"/>
      <c r="C18" s="100"/>
      <c r="D18" s="100"/>
    </row>
    <row r="19" spans="1:4" x14ac:dyDescent="0.25">
      <c r="A19" s="100"/>
      <c r="B19" s="100"/>
      <c r="C19" s="100"/>
      <c r="D19" s="100"/>
    </row>
    <row r="20" spans="1:4" x14ac:dyDescent="0.25">
      <c r="A20" s="100"/>
      <c r="B20" s="100"/>
      <c r="C20" s="100"/>
      <c r="D20" s="100"/>
    </row>
    <row r="21" spans="1:4" x14ac:dyDescent="0.25">
      <c r="A21" s="100"/>
      <c r="B21" s="100"/>
      <c r="C21" s="100"/>
      <c r="D21" s="100"/>
    </row>
    <row r="22" spans="1:4" x14ac:dyDescent="0.25">
      <c r="A22" s="100"/>
      <c r="B22" s="100"/>
      <c r="C22" s="100"/>
      <c r="D22" s="100"/>
    </row>
    <row r="23" spans="1:4" x14ac:dyDescent="0.25">
      <c r="A23" s="100"/>
      <c r="B23" s="100"/>
      <c r="C23" s="100"/>
      <c r="D23" s="100"/>
    </row>
    <row r="24" spans="1:4" x14ac:dyDescent="0.25">
      <c r="A24" s="100"/>
      <c r="B24" s="100"/>
      <c r="C24" s="100"/>
      <c r="D24" s="100"/>
    </row>
    <row r="25" spans="1:4" x14ac:dyDescent="0.25">
      <c r="B25" s="100"/>
      <c r="C25" s="100"/>
      <c r="D25" s="100"/>
    </row>
    <row r="26" spans="1:4" x14ac:dyDescent="0.25">
      <c r="B26" s="100"/>
      <c r="C26" s="100"/>
      <c r="D26" s="100"/>
    </row>
    <row r="27" spans="1:4" x14ac:dyDescent="0.25">
      <c r="B27" s="100"/>
      <c r="C27" s="100"/>
      <c r="D27" s="100"/>
    </row>
    <row r="28" spans="1:4" x14ac:dyDescent="0.25">
      <c r="B28" s="100"/>
      <c r="C28" s="100"/>
      <c r="D28" s="100"/>
    </row>
    <row r="29" spans="1:4" x14ac:dyDescent="0.25">
      <c r="B29" s="100"/>
      <c r="C29" s="100"/>
      <c r="D29" s="100"/>
    </row>
    <row r="30" spans="1:4" x14ac:dyDescent="0.25">
      <c r="B30" s="100"/>
      <c r="C30" s="100"/>
      <c r="D30" s="100"/>
    </row>
    <row r="31" spans="1:4" x14ac:dyDescent="0.25">
      <c r="B31" s="100"/>
      <c r="C31" s="100"/>
      <c r="D31" s="100"/>
    </row>
    <row r="32" spans="1:4" x14ac:dyDescent="0.25">
      <c r="B32" s="100"/>
      <c r="C32" s="100"/>
      <c r="D32" s="100"/>
    </row>
    <row r="33" spans="2:4" x14ac:dyDescent="0.25">
      <c r="B33" s="100"/>
      <c r="C33" s="100"/>
      <c r="D33" s="100"/>
    </row>
    <row r="34" spans="2:4" x14ac:dyDescent="0.25">
      <c r="B34" s="100"/>
      <c r="C34" s="100"/>
      <c r="D34" s="100"/>
    </row>
    <row r="35" spans="2:4" x14ac:dyDescent="0.25">
      <c r="C35" s="100"/>
      <c r="D35" s="100"/>
    </row>
    <row r="36" spans="2:4" x14ac:dyDescent="0.25">
      <c r="C36" s="100"/>
      <c r="D36" s="100"/>
    </row>
    <row r="37" spans="2:4" x14ac:dyDescent="0.25">
      <c r="C37" s="100"/>
      <c r="D37" s="100"/>
    </row>
    <row r="38" spans="2:4" x14ac:dyDescent="0.25">
      <c r="C38" s="100"/>
      <c r="D38" s="100"/>
    </row>
    <row r="39" spans="2:4" x14ac:dyDescent="0.25">
      <c r="C39" s="100"/>
      <c r="D39" s="100"/>
    </row>
    <row r="40" spans="2:4" x14ac:dyDescent="0.25">
      <c r="C40" s="100"/>
      <c r="D40" s="100"/>
    </row>
    <row r="41" spans="2:4" x14ac:dyDescent="0.25">
      <c r="C41" s="100"/>
      <c r="D41" s="100"/>
    </row>
    <row r="42" spans="2:4" x14ac:dyDescent="0.25">
      <c r="C42" s="100"/>
      <c r="D42" s="100"/>
    </row>
    <row r="43" spans="2:4" x14ac:dyDescent="0.25">
      <c r="C43" s="100"/>
      <c r="D43" s="100"/>
    </row>
    <row r="44" spans="2:4" x14ac:dyDescent="0.25">
      <c r="C44" s="100"/>
      <c r="D44" s="100"/>
    </row>
    <row r="45" spans="2:4" x14ac:dyDescent="0.25">
      <c r="C45" s="100"/>
      <c r="D45" s="100"/>
    </row>
    <row r="46" spans="2:4" x14ac:dyDescent="0.25">
      <c r="C46" s="100"/>
      <c r="D46" s="100"/>
    </row>
    <row r="47" spans="2:4" x14ac:dyDescent="0.25">
      <c r="C47" s="100"/>
      <c r="D47" s="100"/>
    </row>
    <row r="48" spans="2:4" x14ac:dyDescent="0.25">
      <c r="C48" s="100"/>
      <c r="D48" s="100"/>
    </row>
    <row r="49" spans="3:4" x14ac:dyDescent="0.25">
      <c r="C49" s="100"/>
      <c r="D49" s="100"/>
    </row>
    <row r="50" spans="3:4" x14ac:dyDescent="0.25">
      <c r="C50" s="100"/>
      <c r="D50" s="100"/>
    </row>
    <row r="51" spans="3:4" x14ac:dyDescent="0.25">
      <c r="C51" s="100"/>
      <c r="D51" s="100"/>
    </row>
    <row r="52" spans="3:4" x14ac:dyDescent="0.25">
      <c r="C52" s="100"/>
      <c r="D52" s="100"/>
    </row>
    <row r="53" spans="3:4" x14ac:dyDescent="0.25">
      <c r="C53" s="100"/>
      <c r="D53" s="100"/>
    </row>
    <row r="54" spans="3:4" x14ac:dyDescent="0.25">
      <c r="C54" s="100"/>
      <c r="D54" s="100"/>
    </row>
    <row r="55" spans="3:4" x14ac:dyDescent="0.25">
      <c r="C55" s="100"/>
      <c r="D55" s="100"/>
    </row>
    <row r="56" spans="3:4" x14ac:dyDescent="0.25">
      <c r="C56" s="100"/>
      <c r="D56" s="100"/>
    </row>
    <row r="57" spans="3:4" x14ac:dyDescent="0.25">
      <c r="C57" s="100"/>
      <c r="D57" s="100"/>
    </row>
    <row r="58" spans="3:4" x14ac:dyDescent="0.25">
      <c r="C58" s="100"/>
      <c r="D58" s="100"/>
    </row>
    <row r="59" spans="3:4" x14ac:dyDescent="0.25">
      <c r="C59" s="100"/>
      <c r="D59" s="100"/>
    </row>
    <row r="60" spans="3:4" x14ac:dyDescent="0.25">
      <c r="C60" s="100"/>
      <c r="D60" s="100"/>
    </row>
    <row r="61" spans="3:4" x14ac:dyDescent="0.25">
      <c r="C61" s="100"/>
      <c r="D61" s="100"/>
    </row>
    <row r="62" spans="3:4" x14ac:dyDescent="0.25">
      <c r="C62" s="100"/>
      <c r="D62" s="100"/>
    </row>
    <row r="63" spans="3:4" x14ac:dyDescent="0.25">
      <c r="C63" s="100"/>
      <c r="D63" s="100"/>
    </row>
    <row r="64" spans="3:4" x14ac:dyDescent="0.25">
      <c r="C64" s="100"/>
      <c r="D64" s="100"/>
    </row>
    <row r="65" spans="3:4" x14ac:dyDescent="0.25">
      <c r="C65" s="100"/>
      <c r="D65" s="100"/>
    </row>
    <row r="66" spans="3:4" x14ac:dyDescent="0.25">
      <c r="C66" s="100"/>
      <c r="D66" s="100"/>
    </row>
    <row r="67" spans="3:4" x14ac:dyDescent="0.25">
      <c r="C67" s="100"/>
      <c r="D67" s="100"/>
    </row>
    <row r="68" spans="3:4" x14ac:dyDescent="0.25">
      <c r="C68" s="100"/>
      <c r="D68" s="100"/>
    </row>
    <row r="69" spans="3:4" x14ac:dyDescent="0.25">
      <c r="C69" s="100"/>
      <c r="D69" s="100"/>
    </row>
    <row r="70" spans="3:4" x14ac:dyDescent="0.25">
      <c r="C70" s="100"/>
      <c r="D70" s="100"/>
    </row>
    <row r="71" spans="3:4" x14ac:dyDescent="0.25">
      <c r="C71" s="100"/>
      <c r="D71" s="100"/>
    </row>
    <row r="72" spans="3:4" x14ac:dyDescent="0.25">
      <c r="C72" s="100"/>
      <c r="D72" s="100"/>
    </row>
    <row r="73" spans="3:4" x14ac:dyDescent="0.25">
      <c r="C73" s="100"/>
      <c r="D73" s="100"/>
    </row>
    <row r="74" spans="3:4" x14ac:dyDescent="0.25">
      <c r="C74" s="100"/>
      <c r="D74" s="100"/>
    </row>
    <row r="75" spans="3:4" x14ac:dyDescent="0.25">
      <c r="C75" s="100"/>
      <c r="D75" s="100"/>
    </row>
    <row r="76" spans="3:4" x14ac:dyDescent="0.25">
      <c r="C76" s="100"/>
      <c r="D76" s="100"/>
    </row>
    <row r="77" spans="3:4" x14ac:dyDescent="0.25">
      <c r="C77" s="100"/>
      <c r="D77" s="100"/>
    </row>
    <row r="78" spans="3:4" x14ac:dyDescent="0.25">
      <c r="C78" s="100"/>
      <c r="D78" s="100"/>
    </row>
    <row r="79" spans="3:4" x14ac:dyDescent="0.25">
      <c r="C79" s="100"/>
      <c r="D79" s="100"/>
    </row>
    <row r="80" spans="3:4" x14ac:dyDescent="0.25">
      <c r="C80" s="100"/>
      <c r="D80" s="100"/>
    </row>
    <row r="81" spans="3:4" x14ac:dyDescent="0.25">
      <c r="C81" s="100"/>
      <c r="D81" s="100"/>
    </row>
    <row r="82" spans="3:4" x14ac:dyDescent="0.25">
      <c r="C82" s="100"/>
      <c r="D82" s="100"/>
    </row>
    <row r="83" spans="3:4" x14ac:dyDescent="0.25">
      <c r="C83" s="100"/>
      <c r="D83" s="100"/>
    </row>
    <row r="84" spans="3:4" x14ac:dyDescent="0.25">
      <c r="C84" s="100"/>
      <c r="D84" s="100"/>
    </row>
    <row r="85" spans="3:4" x14ac:dyDescent="0.25">
      <c r="C85" s="100"/>
      <c r="D85" s="100"/>
    </row>
    <row r="86" spans="3:4" x14ac:dyDescent="0.25">
      <c r="C86" s="100"/>
      <c r="D86" s="100"/>
    </row>
    <row r="87" spans="3:4" x14ac:dyDescent="0.25">
      <c r="C87" s="100"/>
      <c r="D87" s="100"/>
    </row>
    <row r="88" spans="3:4" x14ac:dyDescent="0.25">
      <c r="C88" s="100"/>
      <c r="D88" s="100"/>
    </row>
    <row r="89" spans="3:4" x14ac:dyDescent="0.25">
      <c r="C89" s="100"/>
      <c r="D89" s="100"/>
    </row>
    <row r="90" spans="3:4" x14ac:dyDescent="0.25">
      <c r="C90" s="100"/>
      <c r="D90" s="100"/>
    </row>
    <row r="91" spans="3:4" x14ac:dyDescent="0.25">
      <c r="C91" s="100"/>
      <c r="D91" s="100"/>
    </row>
    <row r="92" spans="3:4" x14ac:dyDescent="0.25">
      <c r="C92" s="100"/>
      <c r="D92" s="100"/>
    </row>
    <row r="93" spans="3:4" x14ac:dyDescent="0.25">
      <c r="C93" s="100"/>
      <c r="D93" s="100"/>
    </row>
    <row r="94" spans="3:4" x14ac:dyDescent="0.25">
      <c r="C94" s="100"/>
      <c r="D94" s="100"/>
    </row>
    <row r="95" spans="3:4" x14ac:dyDescent="0.25">
      <c r="C95" s="100"/>
      <c r="D95" s="100"/>
    </row>
    <row r="96" spans="3:4" x14ac:dyDescent="0.25">
      <c r="C96" s="100"/>
      <c r="D96" s="100"/>
    </row>
    <row r="97" spans="3:4" x14ac:dyDescent="0.25">
      <c r="C97" s="100"/>
      <c r="D97" s="100"/>
    </row>
    <row r="98" spans="3:4" x14ac:dyDescent="0.25">
      <c r="C98" s="100"/>
      <c r="D98" s="100"/>
    </row>
    <row r="99" spans="3:4" x14ac:dyDescent="0.25">
      <c r="C99" s="100"/>
      <c r="D99" s="100"/>
    </row>
    <row r="100" spans="3:4" x14ac:dyDescent="0.25">
      <c r="C100" s="100"/>
      <c r="D100" s="100"/>
    </row>
    <row r="101" spans="3:4" x14ac:dyDescent="0.25">
      <c r="C101" s="100"/>
      <c r="D101" s="100"/>
    </row>
    <row r="102" spans="3:4" x14ac:dyDescent="0.25">
      <c r="C102" s="100"/>
      <c r="D102" s="100"/>
    </row>
    <row r="103" spans="3:4" x14ac:dyDescent="0.25">
      <c r="C103" s="100"/>
      <c r="D103" s="100"/>
    </row>
    <row r="104" spans="3:4" x14ac:dyDescent="0.25">
      <c r="C104" s="100"/>
      <c r="D104" s="100"/>
    </row>
    <row r="105" spans="3:4" x14ac:dyDescent="0.25">
      <c r="C105" s="100"/>
      <c r="D105" s="100"/>
    </row>
    <row r="106" spans="3:4" x14ac:dyDescent="0.25">
      <c r="C106" s="100"/>
      <c r="D106" s="100"/>
    </row>
    <row r="107" spans="3:4" x14ac:dyDescent="0.25">
      <c r="C107" s="100"/>
      <c r="D107" s="100"/>
    </row>
    <row r="108" spans="3:4" x14ac:dyDescent="0.25">
      <c r="C108" s="100"/>
      <c r="D108" s="100"/>
    </row>
    <row r="109" spans="3:4" x14ac:dyDescent="0.25">
      <c r="C109" s="100"/>
      <c r="D109" s="100"/>
    </row>
    <row r="110" spans="3:4" x14ac:dyDescent="0.25">
      <c r="C110" s="100"/>
      <c r="D110" s="100"/>
    </row>
    <row r="111" spans="3:4" x14ac:dyDescent="0.25">
      <c r="C111" s="100"/>
      <c r="D111" s="100"/>
    </row>
    <row r="112" spans="3:4" x14ac:dyDescent="0.25">
      <c r="C112" s="100"/>
      <c r="D112" s="100"/>
    </row>
    <row r="113" spans="3:4" x14ac:dyDescent="0.25">
      <c r="C113" s="100"/>
      <c r="D113" s="100"/>
    </row>
    <row r="114" spans="3:4" x14ac:dyDescent="0.25">
      <c r="C114" s="100"/>
      <c r="D114" s="100"/>
    </row>
    <row r="115" spans="3:4" x14ac:dyDescent="0.25">
      <c r="C115" s="100"/>
      <c r="D115" s="100"/>
    </row>
    <row r="116" spans="3:4" x14ac:dyDescent="0.25">
      <c r="C116" s="100"/>
      <c r="D116" s="100"/>
    </row>
    <row r="117" spans="3:4" x14ac:dyDescent="0.25">
      <c r="C117" s="100"/>
      <c r="D117" s="100"/>
    </row>
    <row r="118" spans="3:4" x14ac:dyDescent="0.25">
      <c r="C118" s="100"/>
      <c r="D118" s="100"/>
    </row>
    <row r="119" spans="3:4" x14ac:dyDescent="0.25">
      <c r="C119" s="100"/>
      <c r="D119" s="100"/>
    </row>
    <row r="120" spans="3:4" x14ac:dyDescent="0.25">
      <c r="C120" s="100"/>
      <c r="D120" s="100"/>
    </row>
    <row r="121" spans="3:4" x14ac:dyDescent="0.25">
      <c r="C121" s="100"/>
      <c r="D121" s="100"/>
    </row>
    <row r="122" spans="3:4" x14ac:dyDescent="0.25">
      <c r="C122" s="100"/>
      <c r="D122" s="100"/>
    </row>
    <row r="123" spans="3:4" x14ac:dyDescent="0.25">
      <c r="C123" s="100"/>
      <c r="D123" s="100"/>
    </row>
    <row r="124" spans="3:4" x14ac:dyDescent="0.25">
      <c r="C124" s="100"/>
      <c r="D124" s="100"/>
    </row>
    <row r="125" spans="3:4" x14ac:dyDescent="0.25">
      <c r="C125" s="100"/>
      <c r="D125" s="100"/>
    </row>
    <row r="126" spans="3:4" x14ac:dyDescent="0.25">
      <c r="C126" s="100"/>
      <c r="D126" s="100"/>
    </row>
    <row r="127" spans="3:4" x14ac:dyDescent="0.25">
      <c r="C127" s="100"/>
      <c r="D127" s="100"/>
    </row>
    <row r="128" spans="3:4" x14ac:dyDescent="0.25">
      <c r="C128" s="100"/>
      <c r="D128" s="100"/>
    </row>
    <row r="129" spans="3:4" x14ac:dyDescent="0.25">
      <c r="C129" s="100"/>
      <c r="D129" s="100"/>
    </row>
    <row r="130" spans="3:4" x14ac:dyDescent="0.25">
      <c r="C130" s="100"/>
      <c r="D130" s="100"/>
    </row>
    <row r="131" spans="3:4" x14ac:dyDescent="0.25">
      <c r="C131" s="100"/>
      <c r="D131" s="100"/>
    </row>
    <row r="132" spans="3:4" x14ac:dyDescent="0.25">
      <c r="C132" s="100"/>
      <c r="D132" s="100"/>
    </row>
    <row r="133" spans="3:4" x14ac:dyDescent="0.25">
      <c r="C133" s="100"/>
      <c r="D133" s="100"/>
    </row>
    <row r="134" spans="3:4" x14ac:dyDescent="0.25">
      <c r="C134" s="100"/>
      <c r="D134" s="100"/>
    </row>
    <row r="135" spans="3:4" x14ac:dyDescent="0.25">
      <c r="C135" s="100"/>
      <c r="D135" s="100"/>
    </row>
    <row r="136" spans="3:4" x14ac:dyDescent="0.25">
      <c r="C136" s="100"/>
      <c r="D136" s="100"/>
    </row>
    <row r="137" spans="3:4" x14ac:dyDescent="0.25">
      <c r="C137" s="100"/>
      <c r="D137" s="100"/>
    </row>
    <row r="138" spans="3:4" x14ac:dyDescent="0.25">
      <c r="C138" s="100"/>
      <c r="D138" s="100"/>
    </row>
    <row r="139" spans="3:4" x14ac:dyDescent="0.25">
      <c r="C139" s="100"/>
      <c r="D139" s="100"/>
    </row>
    <row r="140" spans="3:4" x14ac:dyDescent="0.25">
      <c r="C140" s="100"/>
      <c r="D140" s="100"/>
    </row>
    <row r="141" spans="3:4" x14ac:dyDescent="0.25">
      <c r="C141" s="100"/>
      <c r="D141" s="100"/>
    </row>
    <row r="142" spans="3:4" x14ac:dyDescent="0.25">
      <c r="C142" s="100"/>
      <c r="D142" s="100"/>
    </row>
    <row r="143" spans="3:4" x14ac:dyDescent="0.25">
      <c r="C143" s="100"/>
      <c r="D143" s="100"/>
    </row>
    <row r="144" spans="3:4" x14ac:dyDescent="0.25">
      <c r="C144" s="100"/>
      <c r="D144" s="100"/>
    </row>
    <row r="145" spans="3:4" x14ac:dyDescent="0.25">
      <c r="C145" s="100"/>
      <c r="D145" s="100"/>
    </row>
    <row r="146" spans="3:4" x14ac:dyDescent="0.25">
      <c r="C146" s="100"/>
      <c r="D146" s="100"/>
    </row>
    <row r="147" spans="3:4" x14ac:dyDescent="0.25">
      <c r="C147" s="100"/>
      <c r="D147" s="100"/>
    </row>
    <row r="148" spans="3:4" x14ac:dyDescent="0.25">
      <c r="C148" s="100"/>
      <c r="D148" s="100"/>
    </row>
    <row r="149" spans="3:4" x14ac:dyDescent="0.25">
      <c r="C149" s="100"/>
      <c r="D149" s="100"/>
    </row>
    <row r="150" spans="3:4" x14ac:dyDescent="0.25">
      <c r="C150" s="100"/>
      <c r="D150" s="100"/>
    </row>
    <row r="151" spans="3:4" x14ac:dyDescent="0.25">
      <c r="C151" s="100"/>
      <c r="D151" s="100"/>
    </row>
    <row r="152" spans="3:4" x14ac:dyDescent="0.25">
      <c r="C152" s="100"/>
      <c r="D152" s="100"/>
    </row>
    <row r="153" spans="3:4" x14ac:dyDescent="0.25">
      <c r="C153" s="100"/>
      <c r="D153" s="100"/>
    </row>
    <row r="154" spans="3:4" x14ac:dyDescent="0.25">
      <c r="C154" s="100"/>
      <c r="D154" s="100"/>
    </row>
    <row r="155" spans="3:4" x14ac:dyDescent="0.25">
      <c r="C155" s="100"/>
      <c r="D155" s="100"/>
    </row>
    <row r="156" spans="3:4" x14ac:dyDescent="0.25">
      <c r="C156" s="100"/>
      <c r="D156" s="100"/>
    </row>
    <row r="157" spans="3:4" x14ac:dyDescent="0.25">
      <c r="C157" s="100"/>
      <c r="D157" s="100"/>
    </row>
    <row r="158" spans="3:4" x14ac:dyDescent="0.25">
      <c r="C158" s="100"/>
      <c r="D158" s="100"/>
    </row>
    <row r="159" spans="3:4" x14ac:dyDescent="0.25">
      <c r="C159" s="100"/>
      <c r="D159" s="100"/>
    </row>
    <row r="160" spans="3:4" x14ac:dyDescent="0.25">
      <c r="C160" s="100"/>
      <c r="D160" s="100"/>
    </row>
    <row r="161" spans="3:4" x14ac:dyDescent="0.25">
      <c r="C161" s="100"/>
      <c r="D161" s="100"/>
    </row>
    <row r="162" spans="3:4" x14ac:dyDescent="0.25">
      <c r="C162" s="100"/>
      <c r="D162" s="100"/>
    </row>
    <row r="163" spans="3:4" x14ac:dyDescent="0.25">
      <c r="C163" s="100"/>
      <c r="D163" s="100"/>
    </row>
    <row r="164" spans="3:4" x14ac:dyDescent="0.25">
      <c r="C164" s="100"/>
      <c r="D164" s="100"/>
    </row>
    <row r="165" spans="3:4" x14ac:dyDescent="0.25">
      <c r="C165" s="100"/>
      <c r="D165" s="100"/>
    </row>
    <row r="166" spans="3:4" x14ac:dyDescent="0.25">
      <c r="C166" s="100"/>
      <c r="D166" s="100"/>
    </row>
    <row r="167" spans="3:4" x14ac:dyDescent="0.25">
      <c r="C167" s="100"/>
      <c r="D167" s="100"/>
    </row>
    <row r="168" spans="3:4" x14ac:dyDescent="0.25">
      <c r="C168" s="100"/>
      <c r="D168" s="100"/>
    </row>
    <row r="169" spans="3:4" x14ac:dyDescent="0.25">
      <c r="C169" s="100"/>
      <c r="D169" s="100"/>
    </row>
    <row r="170" spans="3:4" x14ac:dyDescent="0.25">
      <c r="C170" s="100"/>
      <c r="D170" s="100"/>
    </row>
    <row r="171" spans="3:4" x14ac:dyDescent="0.25">
      <c r="C171" s="100"/>
      <c r="D171" s="100"/>
    </row>
    <row r="172" spans="3:4" x14ac:dyDescent="0.25">
      <c r="C172" s="100"/>
      <c r="D172" s="100"/>
    </row>
    <row r="173" spans="3:4" x14ac:dyDescent="0.25">
      <c r="C173" s="100"/>
      <c r="D173" s="100"/>
    </row>
    <row r="174" spans="3:4" x14ac:dyDescent="0.25">
      <c r="C174" s="100"/>
      <c r="D174" s="100"/>
    </row>
    <row r="175" spans="3:4" x14ac:dyDescent="0.25">
      <c r="C175" s="100"/>
      <c r="D175" s="100"/>
    </row>
    <row r="176" spans="3:4" x14ac:dyDescent="0.25">
      <c r="C176" s="100"/>
      <c r="D176" s="100"/>
    </row>
    <row r="177" spans="3:4" x14ac:dyDescent="0.25">
      <c r="C177" s="100"/>
      <c r="D177" s="100"/>
    </row>
    <row r="178" spans="3:4" x14ac:dyDescent="0.25">
      <c r="C178" s="100"/>
      <c r="D178" s="100"/>
    </row>
    <row r="179" spans="3:4" x14ac:dyDescent="0.25">
      <c r="C179" s="100"/>
      <c r="D179" s="100"/>
    </row>
    <row r="180" spans="3:4" x14ac:dyDescent="0.25">
      <c r="C180" s="100"/>
      <c r="D180" s="100"/>
    </row>
    <row r="181" spans="3:4" x14ac:dyDescent="0.25">
      <c r="C181" s="100"/>
      <c r="D181" s="100"/>
    </row>
    <row r="182" spans="3:4" x14ac:dyDescent="0.25">
      <c r="C182" s="100"/>
      <c r="D182" s="100"/>
    </row>
    <row r="183" spans="3:4" x14ac:dyDescent="0.25">
      <c r="C183" s="100"/>
      <c r="D183" s="100"/>
    </row>
    <row r="184" spans="3:4" x14ac:dyDescent="0.25">
      <c r="C184" s="100"/>
      <c r="D184" s="100"/>
    </row>
    <row r="185" spans="3:4" x14ac:dyDescent="0.25">
      <c r="C185" s="100"/>
      <c r="D185" s="100"/>
    </row>
    <row r="186" spans="3:4" x14ac:dyDescent="0.25">
      <c r="C186" s="100"/>
      <c r="D186" s="100"/>
    </row>
    <row r="187" spans="3:4" x14ac:dyDescent="0.25">
      <c r="C187" s="100"/>
      <c r="D187" s="100"/>
    </row>
    <row r="188" spans="3:4" x14ac:dyDescent="0.25">
      <c r="C188" s="100"/>
      <c r="D188" s="100"/>
    </row>
    <row r="189" spans="3:4" x14ac:dyDescent="0.25">
      <c r="C189" s="100"/>
      <c r="D189" s="100"/>
    </row>
    <row r="190" spans="3:4" x14ac:dyDescent="0.25">
      <c r="C190" s="100"/>
      <c r="D190" s="100"/>
    </row>
    <row r="191" spans="3:4" x14ac:dyDescent="0.25">
      <c r="C191" s="100"/>
      <c r="D191" s="100"/>
    </row>
    <row r="192" spans="3:4" x14ac:dyDescent="0.25">
      <c r="C192" s="100"/>
      <c r="D192" s="100"/>
    </row>
    <row r="193" spans="3:4" x14ac:dyDescent="0.25">
      <c r="C193" s="100"/>
      <c r="D193" s="100"/>
    </row>
    <row r="194" spans="3:4" x14ac:dyDescent="0.25">
      <c r="C194" s="100"/>
      <c r="D194" s="100"/>
    </row>
    <row r="195" spans="3:4" x14ac:dyDescent="0.25">
      <c r="C195" s="100"/>
      <c r="D195" s="100"/>
    </row>
    <row r="196" spans="3:4" x14ac:dyDescent="0.25">
      <c r="C196" s="100"/>
      <c r="D196" s="100"/>
    </row>
    <row r="197" spans="3:4" x14ac:dyDescent="0.25">
      <c r="C197" s="100"/>
      <c r="D197" s="100"/>
    </row>
    <row r="198" spans="3:4" x14ac:dyDescent="0.25">
      <c r="C198" s="100"/>
      <c r="D198" s="100"/>
    </row>
    <row r="199" spans="3:4" x14ac:dyDescent="0.25">
      <c r="C199" s="100"/>
      <c r="D199" s="100"/>
    </row>
    <row r="200" spans="3:4" x14ac:dyDescent="0.25">
      <c r="C200" s="100"/>
      <c r="D200" s="100"/>
    </row>
    <row r="201" spans="3:4" x14ac:dyDescent="0.25">
      <c r="C201" s="100"/>
      <c r="D201" s="100"/>
    </row>
    <row r="202" spans="3:4" x14ac:dyDescent="0.25">
      <c r="C202" s="100"/>
      <c r="D202" s="100"/>
    </row>
    <row r="203" spans="3:4" x14ac:dyDescent="0.25">
      <c r="C203" s="100"/>
      <c r="D203" s="100"/>
    </row>
    <row r="204" spans="3:4" x14ac:dyDescent="0.25">
      <c r="C204" s="100"/>
      <c r="D204" s="100"/>
    </row>
    <row r="205" spans="3:4" x14ac:dyDescent="0.25">
      <c r="C205" s="100"/>
      <c r="D205" s="100"/>
    </row>
    <row r="206" spans="3:4" x14ac:dyDescent="0.25">
      <c r="C206" s="100"/>
      <c r="D206" s="100"/>
    </row>
    <row r="207" spans="3:4" x14ac:dyDescent="0.25">
      <c r="C207" s="100"/>
      <c r="D207" s="100"/>
    </row>
    <row r="208" spans="3:4" x14ac:dyDescent="0.25">
      <c r="C208" s="100"/>
      <c r="D208" s="100"/>
    </row>
    <row r="209" spans="3:4" x14ac:dyDescent="0.25">
      <c r="C209" s="100"/>
      <c r="D209" s="100"/>
    </row>
    <row r="210" spans="3:4" x14ac:dyDescent="0.25">
      <c r="C210" s="100"/>
      <c r="D210" s="100"/>
    </row>
    <row r="211" spans="3:4" x14ac:dyDescent="0.25">
      <c r="C211" s="100"/>
      <c r="D211" s="100"/>
    </row>
    <row r="212" spans="3:4" x14ac:dyDescent="0.25">
      <c r="C212" s="100"/>
      <c r="D212" s="100"/>
    </row>
    <row r="213" spans="3:4" x14ac:dyDescent="0.25">
      <c r="C213" s="100"/>
      <c r="D213" s="100"/>
    </row>
    <row r="214" spans="3:4" x14ac:dyDescent="0.25">
      <c r="C214" s="100"/>
      <c r="D214" s="100"/>
    </row>
    <row r="215" spans="3:4" x14ac:dyDescent="0.25">
      <c r="C215" s="100"/>
      <c r="D215" s="100"/>
    </row>
    <row r="216" spans="3:4" x14ac:dyDescent="0.25">
      <c r="C216" s="100"/>
      <c r="D216" s="100"/>
    </row>
    <row r="217" spans="3:4" x14ac:dyDescent="0.25">
      <c r="C217" s="100"/>
      <c r="D217" s="100"/>
    </row>
    <row r="218" spans="3:4" x14ac:dyDescent="0.25">
      <c r="C218" s="100"/>
      <c r="D218" s="100"/>
    </row>
    <row r="219" spans="3:4" x14ac:dyDescent="0.25">
      <c r="C219" s="100"/>
      <c r="D219" s="100"/>
    </row>
    <row r="220" spans="3:4" x14ac:dyDescent="0.25">
      <c r="C220" s="100"/>
      <c r="D220" s="100"/>
    </row>
    <row r="221" spans="3:4" x14ac:dyDescent="0.25">
      <c r="C221" s="100"/>
      <c r="D221" s="100"/>
    </row>
    <row r="222" spans="3:4" x14ac:dyDescent="0.25">
      <c r="C222" s="100"/>
      <c r="D222" s="100"/>
    </row>
    <row r="223" spans="3:4" x14ac:dyDescent="0.25">
      <c r="C223" s="100"/>
      <c r="D223" s="100"/>
    </row>
    <row r="224" spans="3:4" x14ac:dyDescent="0.25">
      <c r="C224" s="100"/>
      <c r="D224" s="100"/>
    </row>
    <row r="225" spans="3:4" x14ac:dyDescent="0.25">
      <c r="C225" s="100"/>
      <c r="D225" s="100"/>
    </row>
    <row r="226" spans="3:4" x14ac:dyDescent="0.25">
      <c r="C226" s="100"/>
      <c r="D226" s="100"/>
    </row>
    <row r="227" spans="3:4" x14ac:dyDescent="0.25">
      <c r="C227" s="100"/>
      <c r="D227" s="100"/>
    </row>
    <row r="228" spans="3:4" x14ac:dyDescent="0.25">
      <c r="C228" s="100"/>
      <c r="D228" s="100"/>
    </row>
    <row r="229" spans="3:4" x14ac:dyDescent="0.25">
      <c r="C229" s="100"/>
      <c r="D229" s="100"/>
    </row>
    <row r="230" spans="3:4" x14ac:dyDescent="0.25">
      <c r="C230" s="100"/>
      <c r="D230" s="100"/>
    </row>
    <row r="231" spans="3:4" x14ac:dyDescent="0.25">
      <c r="C231" s="100"/>
      <c r="D231" s="100"/>
    </row>
    <row r="232" spans="3:4" x14ac:dyDescent="0.25">
      <c r="C232" s="100"/>
      <c r="D232" s="100"/>
    </row>
    <row r="233" spans="3:4" x14ac:dyDescent="0.25">
      <c r="C233" s="100"/>
      <c r="D233" s="100"/>
    </row>
    <row r="234" spans="3:4" x14ac:dyDescent="0.25">
      <c r="C234" s="100"/>
      <c r="D234" s="100"/>
    </row>
    <row r="235" spans="3:4" x14ac:dyDescent="0.25">
      <c r="C235" s="100"/>
      <c r="D235" s="100"/>
    </row>
    <row r="236" spans="3:4" x14ac:dyDescent="0.25">
      <c r="C236" s="100"/>
      <c r="D236" s="100"/>
    </row>
    <row r="237" spans="3:4" x14ac:dyDescent="0.25">
      <c r="C237" s="100"/>
      <c r="D237" s="100"/>
    </row>
    <row r="238" spans="3:4" x14ac:dyDescent="0.25">
      <c r="C238" s="100"/>
      <c r="D238" s="100"/>
    </row>
    <row r="239" spans="3:4" x14ac:dyDescent="0.25">
      <c r="C239" s="100"/>
      <c r="D239" s="100"/>
    </row>
    <row r="240" spans="3:4" x14ac:dyDescent="0.25">
      <c r="C240" s="100"/>
      <c r="D240" s="100"/>
    </row>
    <row r="241" spans="3:4" x14ac:dyDescent="0.25">
      <c r="C241" s="100"/>
      <c r="D241" s="100"/>
    </row>
    <row r="242" spans="3:4" x14ac:dyDescent="0.25">
      <c r="C242" s="100"/>
      <c r="D242" s="100"/>
    </row>
    <row r="243" spans="3:4" x14ac:dyDescent="0.25">
      <c r="C243" s="100"/>
      <c r="D243" s="100"/>
    </row>
    <row r="244" spans="3:4" x14ac:dyDescent="0.25">
      <c r="C244" s="100"/>
      <c r="D244" s="100"/>
    </row>
    <row r="245" spans="3:4" x14ac:dyDescent="0.25">
      <c r="C245" s="100"/>
      <c r="D245" s="100"/>
    </row>
    <row r="246" spans="3:4" x14ac:dyDescent="0.25">
      <c r="C246" s="100"/>
      <c r="D246" s="100"/>
    </row>
    <row r="247" spans="3:4" x14ac:dyDescent="0.25">
      <c r="C247" s="100"/>
      <c r="D247" s="100"/>
    </row>
    <row r="248" spans="3:4" x14ac:dyDescent="0.25">
      <c r="C248" s="100"/>
      <c r="D248" s="100"/>
    </row>
    <row r="249" spans="3:4" x14ac:dyDescent="0.25">
      <c r="C249" s="100"/>
      <c r="D249" s="100"/>
    </row>
    <row r="250" spans="3:4" x14ac:dyDescent="0.25">
      <c r="C250" s="100"/>
      <c r="D250" s="100"/>
    </row>
    <row r="251" spans="3:4" x14ac:dyDescent="0.25">
      <c r="C251" s="100"/>
      <c r="D251" s="100"/>
    </row>
    <row r="252" spans="3:4" x14ac:dyDescent="0.25">
      <c r="C252" s="100"/>
      <c r="D252" s="100"/>
    </row>
    <row r="253" spans="3:4" x14ac:dyDescent="0.25">
      <c r="C253" s="100"/>
      <c r="D253" s="100"/>
    </row>
    <row r="254" spans="3:4" x14ac:dyDescent="0.25">
      <c r="C254" s="100"/>
      <c r="D254" s="100"/>
    </row>
    <row r="255" spans="3:4" x14ac:dyDescent="0.25">
      <c r="C255" s="100"/>
      <c r="D255" s="100"/>
    </row>
    <row r="256" spans="3:4" x14ac:dyDescent="0.25">
      <c r="C256" s="100"/>
      <c r="D256" s="100"/>
    </row>
    <row r="257" spans="3:4" x14ac:dyDescent="0.25">
      <c r="C257" s="100"/>
      <c r="D257" s="100"/>
    </row>
    <row r="258" spans="3:4" x14ac:dyDescent="0.25">
      <c r="C258" s="100"/>
      <c r="D258" s="100"/>
    </row>
    <row r="259" spans="3:4" x14ac:dyDescent="0.25">
      <c r="C259" s="100"/>
      <c r="D259" s="100"/>
    </row>
    <row r="260" spans="3:4" x14ac:dyDescent="0.25">
      <c r="C260" s="100"/>
      <c r="D260" s="100"/>
    </row>
    <row r="261" spans="3:4" x14ac:dyDescent="0.25">
      <c r="C261" s="100"/>
      <c r="D261" s="100"/>
    </row>
    <row r="262" spans="3:4" x14ac:dyDescent="0.25">
      <c r="C262" s="100"/>
      <c r="D262" s="100"/>
    </row>
    <row r="263" spans="3:4" x14ac:dyDescent="0.25">
      <c r="C263" s="100"/>
      <c r="D263" s="100"/>
    </row>
    <row r="264" spans="3:4" x14ac:dyDescent="0.25">
      <c r="C264" s="100"/>
      <c r="D264" s="100"/>
    </row>
    <row r="265" spans="3:4" x14ac:dyDescent="0.25">
      <c r="C265" s="100"/>
      <c r="D265" s="100"/>
    </row>
    <row r="266" spans="3:4" x14ac:dyDescent="0.25">
      <c r="C266" s="100"/>
      <c r="D266" s="100"/>
    </row>
    <row r="267" spans="3:4" x14ac:dyDescent="0.25">
      <c r="C267" s="100"/>
      <c r="D267" s="100"/>
    </row>
    <row r="268" spans="3:4" x14ac:dyDescent="0.25">
      <c r="C268" s="100"/>
      <c r="D268" s="100"/>
    </row>
    <row r="269" spans="3:4" x14ac:dyDescent="0.25">
      <c r="C269" s="100"/>
      <c r="D269" s="100"/>
    </row>
    <row r="270" spans="3:4" x14ac:dyDescent="0.25">
      <c r="C270" s="100"/>
      <c r="D270" s="100"/>
    </row>
    <row r="271" spans="3:4" x14ac:dyDescent="0.25">
      <c r="C271" s="100"/>
      <c r="D271" s="100"/>
    </row>
    <row r="272" spans="3:4" x14ac:dyDescent="0.25">
      <c r="C272" s="100"/>
      <c r="D272" s="100"/>
    </row>
    <row r="273" spans="3:4" x14ac:dyDescent="0.25">
      <c r="C273" s="100"/>
      <c r="D273" s="100"/>
    </row>
    <row r="274" spans="3:4" x14ac:dyDescent="0.25">
      <c r="C274" s="100"/>
      <c r="D274" s="100"/>
    </row>
    <row r="275" spans="3:4" x14ac:dyDescent="0.25">
      <c r="C275" s="100"/>
      <c r="D275" s="100"/>
    </row>
    <row r="276" spans="3:4" x14ac:dyDescent="0.25">
      <c r="C276" s="100"/>
      <c r="D276" s="100"/>
    </row>
    <row r="277" spans="3:4" x14ac:dyDescent="0.25">
      <c r="C277" s="100"/>
      <c r="D277" s="100"/>
    </row>
    <row r="278" spans="3:4" x14ac:dyDescent="0.25">
      <c r="C278" s="100"/>
      <c r="D278" s="100"/>
    </row>
    <row r="279" spans="3:4" x14ac:dyDescent="0.25">
      <c r="C279" s="100"/>
      <c r="D279" s="100"/>
    </row>
    <row r="280" spans="3:4" x14ac:dyDescent="0.25">
      <c r="C280" s="100"/>
      <c r="D280" s="100"/>
    </row>
    <row r="281" spans="3:4" x14ac:dyDescent="0.25">
      <c r="C281" s="100"/>
      <c r="D281" s="100"/>
    </row>
    <row r="282" spans="3:4" x14ac:dyDescent="0.25">
      <c r="C282" s="100"/>
      <c r="D282" s="100"/>
    </row>
    <row r="283" spans="3:4" x14ac:dyDescent="0.25">
      <c r="C283" s="100"/>
      <c r="D283" s="100"/>
    </row>
    <row r="284" spans="3:4" x14ac:dyDescent="0.25">
      <c r="C284" s="100"/>
      <c r="D284" s="100"/>
    </row>
    <row r="285" spans="3:4" x14ac:dyDescent="0.25">
      <c r="C285" s="100"/>
      <c r="D285" s="100"/>
    </row>
    <row r="286" spans="3:4" x14ac:dyDescent="0.25">
      <c r="C286" s="100"/>
      <c r="D286" s="100"/>
    </row>
    <row r="287" spans="3:4" x14ac:dyDescent="0.25">
      <c r="C287" s="100"/>
      <c r="D287" s="100"/>
    </row>
    <row r="288" spans="3:4" x14ac:dyDescent="0.25">
      <c r="C288" s="100"/>
      <c r="D288" s="100"/>
    </row>
    <row r="289" spans="3:4" x14ac:dyDescent="0.25">
      <c r="C289" s="100"/>
      <c r="D289" s="100"/>
    </row>
    <row r="290" spans="3:4" x14ac:dyDescent="0.25">
      <c r="C290" s="100"/>
      <c r="D290" s="100"/>
    </row>
    <row r="291" spans="3:4" x14ac:dyDescent="0.25">
      <c r="C291" s="100"/>
      <c r="D291" s="100"/>
    </row>
    <row r="292" spans="3:4" x14ac:dyDescent="0.25">
      <c r="C292" s="100"/>
      <c r="D292" s="100"/>
    </row>
    <row r="293" spans="3:4" x14ac:dyDescent="0.25">
      <c r="C293" s="100"/>
      <c r="D293" s="100"/>
    </row>
    <row r="294" spans="3:4" x14ac:dyDescent="0.25">
      <c r="C294" s="100"/>
      <c r="D294" s="100"/>
    </row>
    <row r="295" spans="3:4" x14ac:dyDescent="0.25">
      <c r="C295" s="100"/>
      <c r="D295" s="100"/>
    </row>
    <row r="296" spans="3:4" x14ac:dyDescent="0.25">
      <c r="C296" s="100"/>
      <c r="D296" s="100"/>
    </row>
    <row r="297" spans="3:4" x14ac:dyDescent="0.25">
      <c r="C297" s="100"/>
      <c r="D297" s="100"/>
    </row>
    <row r="298" spans="3:4" x14ac:dyDescent="0.25">
      <c r="C298" s="100"/>
      <c r="D298" s="100"/>
    </row>
    <row r="299" spans="3:4" x14ac:dyDescent="0.25">
      <c r="C299" s="100"/>
      <c r="D299" s="100"/>
    </row>
    <row r="300" spans="3:4" x14ac:dyDescent="0.25">
      <c r="C300" s="100"/>
      <c r="D300" s="100"/>
    </row>
    <row r="301" spans="3:4" x14ac:dyDescent="0.25">
      <c r="C301" s="100"/>
      <c r="D301" s="100"/>
    </row>
    <row r="302" spans="3:4" x14ac:dyDescent="0.25">
      <c r="C302" s="100"/>
      <c r="D302" s="100"/>
    </row>
    <row r="303" spans="3:4" x14ac:dyDescent="0.25">
      <c r="C303" s="100"/>
      <c r="D303" s="100"/>
    </row>
    <row r="304" spans="3:4" x14ac:dyDescent="0.25">
      <c r="C304" s="100"/>
      <c r="D304" s="100"/>
    </row>
    <row r="305" spans="3:4" x14ac:dyDescent="0.25">
      <c r="C305" s="100"/>
      <c r="D305" s="100"/>
    </row>
    <row r="306" spans="3:4" x14ac:dyDescent="0.25">
      <c r="C306" s="100"/>
      <c r="D306" s="100"/>
    </row>
    <row r="307" spans="3:4" x14ac:dyDescent="0.25">
      <c r="C307" s="100"/>
      <c r="D307" s="100"/>
    </row>
    <row r="308" spans="3:4" x14ac:dyDescent="0.25">
      <c r="C308" s="100"/>
      <c r="D308" s="100"/>
    </row>
    <row r="309" spans="3:4" x14ac:dyDescent="0.25">
      <c r="C309" s="100"/>
      <c r="D309" s="100"/>
    </row>
    <row r="310" spans="3:4" x14ac:dyDescent="0.25">
      <c r="C310" s="100"/>
      <c r="D310" s="100"/>
    </row>
    <row r="311" spans="3:4" x14ac:dyDescent="0.25">
      <c r="C311" s="100"/>
      <c r="D311" s="100"/>
    </row>
    <row r="312" spans="3:4" x14ac:dyDescent="0.25">
      <c r="C312" s="100"/>
      <c r="D312" s="100"/>
    </row>
    <row r="313" spans="3:4" x14ac:dyDescent="0.25">
      <c r="C313" s="100"/>
      <c r="D313" s="100"/>
    </row>
    <row r="314" spans="3:4" x14ac:dyDescent="0.25">
      <c r="C314" s="100"/>
      <c r="D314" s="100"/>
    </row>
    <row r="315" spans="3:4" x14ac:dyDescent="0.25">
      <c r="C315" s="100"/>
      <c r="D315" s="100"/>
    </row>
    <row r="316" spans="3:4" x14ac:dyDescent="0.25">
      <c r="C316" s="100"/>
      <c r="D316" s="100"/>
    </row>
    <row r="317" spans="3:4" x14ac:dyDescent="0.25">
      <c r="C317" s="100"/>
      <c r="D317" s="100"/>
    </row>
    <row r="318" spans="3:4" x14ac:dyDescent="0.25">
      <c r="C318" s="100"/>
      <c r="D318" s="100"/>
    </row>
    <row r="319" spans="3:4" x14ac:dyDescent="0.25">
      <c r="C319" s="100"/>
      <c r="D319" s="100"/>
    </row>
    <row r="320" spans="3:4" x14ac:dyDescent="0.25">
      <c r="C320" s="100"/>
      <c r="D320" s="100"/>
    </row>
    <row r="321" spans="3:4" x14ac:dyDescent="0.25">
      <c r="C321" s="100"/>
      <c r="D321" s="100"/>
    </row>
    <row r="322" spans="3:4" x14ac:dyDescent="0.25">
      <c r="C322" s="100"/>
      <c r="D322" s="100"/>
    </row>
    <row r="323" spans="3:4" x14ac:dyDescent="0.25">
      <c r="C323" s="100"/>
      <c r="D323" s="100"/>
    </row>
    <row r="324" spans="3:4" x14ac:dyDescent="0.25">
      <c r="C324" s="100"/>
      <c r="D324" s="100"/>
    </row>
    <row r="325" spans="3:4" x14ac:dyDescent="0.25">
      <c r="C325" s="100"/>
      <c r="D325" s="100"/>
    </row>
    <row r="326" spans="3:4" x14ac:dyDescent="0.25">
      <c r="C326" s="100"/>
      <c r="D326" s="100"/>
    </row>
    <row r="327" spans="3:4" x14ac:dyDescent="0.25">
      <c r="C327" s="100"/>
      <c r="D327" s="100"/>
    </row>
    <row r="328" spans="3:4" x14ac:dyDescent="0.25">
      <c r="C328" s="100"/>
      <c r="D328" s="100"/>
    </row>
    <row r="329" spans="3:4" x14ac:dyDescent="0.25">
      <c r="C329" s="100"/>
      <c r="D329" s="100"/>
    </row>
    <row r="330" spans="3:4" x14ac:dyDescent="0.25">
      <c r="C330" s="100"/>
      <c r="D330" s="100"/>
    </row>
    <row r="331" spans="3:4" x14ac:dyDescent="0.25">
      <c r="C331" s="100"/>
      <c r="D331" s="100"/>
    </row>
    <row r="332" spans="3:4" x14ac:dyDescent="0.25">
      <c r="C332" s="100"/>
      <c r="D332" s="100"/>
    </row>
    <row r="333" spans="3:4" x14ac:dyDescent="0.25">
      <c r="C333" s="100"/>
      <c r="D333" s="100"/>
    </row>
    <row r="334" spans="3:4" x14ac:dyDescent="0.25">
      <c r="C334" s="100"/>
      <c r="D334" s="100"/>
    </row>
    <row r="335" spans="3:4" x14ac:dyDescent="0.25">
      <c r="C335" s="100"/>
      <c r="D335" s="100"/>
    </row>
    <row r="336" spans="3:4" x14ac:dyDescent="0.25">
      <c r="C336" s="100"/>
      <c r="D336" s="100"/>
    </row>
    <row r="337" spans="3:4" x14ac:dyDescent="0.25">
      <c r="C337" s="100"/>
      <c r="D337" s="100"/>
    </row>
    <row r="338" spans="3:4" x14ac:dyDescent="0.25">
      <c r="C338" s="100"/>
      <c r="D338" s="100"/>
    </row>
    <row r="339" spans="3:4" x14ac:dyDescent="0.25">
      <c r="C339" s="100"/>
      <c r="D339" s="100"/>
    </row>
    <row r="340" spans="3:4" x14ac:dyDescent="0.25">
      <c r="C340" s="100"/>
      <c r="D340" s="100"/>
    </row>
    <row r="341" spans="3:4" x14ac:dyDescent="0.25">
      <c r="C341" s="100"/>
      <c r="D341" s="100"/>
    </row>
    <row r="342" spans="3:4" x14ac:dyDescent="0.25">
      <c r="C342" s="100"/>
      <c r="D342" s="100"/>
    </row>
    <row r="343" spans="3:4" x14ac:dyDescent="0.25">
      <c r="C343" s="100"/>
      <c r="D343" s="100"/>
    </row>
    <row r="344" spans="3:4" x14ac:dyDescent="0.25">
      <c r="C344" s="100"/>
      <c r="D344" s="100"/>
    </row>
    <row r="345" spans="3:4" x14ac:dyDescent="0.25">
      <c r="C345" s="100"/>
      <c r="D345" s="100"/>
    </row>
    <row r="346" spans="3:4" x14ac:dyDescent="0.25">
      <c r="C346" s="100"/>
      <c r="D346" s="100"/>
    </row>
    <row r="347" spans="3:4" x14ac:dyDescent="0.25">
      <c r="C347" s="100"/>
      <c r="D347" s="100"/>
    </row>
    <row r="348" spans="3:4" x14ac:dyDescent="0.25">
      <c r="C348" s="100"/>
      <c r="D348" s="100"/>
    </row>
    <row r="349" spans="3:4" x14ac:dyDescent="0.25">
      <c r="C349" s="100"/>
      <c r="D349" s="100"/>
    </row>
    <row r="350" spans="3:4" x14ac:dyDescent="0.25">
      <c r="C350" s="100"/>
      <c r="D350" s="100"/>
    </row>
    <row r="351" spans="3:4" x14ac:dyDescent="0.25">
      <c r="C351" s="100"/>
      <c r="D351" s="100"/>
    </row>
    <row r="352" spans="3:4" x14ac:dyDescent="0.25">
      <c r="C352" s="100"/>
      <c r="D352" s="100"/>
    </row>
    <row r="353" spans="3:4" x14ac:dyDescent="0.25">
      <c r="C353" s="100"/>
      <c r="D353" s="100"/>
    </row>
    <row r="354" spans="3:4" x14ac:dyDescent="0.25">
      <c r="C354" s="100"/>
      <c r="D354" s="100"/>
    </row>
    <row r="355" spans="3:4" x14ac:dyDescent="0.25">
      <c r="C355" s="100"/>
      <c r="D355" s="100"/>
    </row>
    <row r="356" spans="3:4" x14ac:dyDescent="0.25">
      <c r="C356" s="100"/>
      <c r="D356" s="100"/>
    </row>
    <row r="357" spans="3:4" x14ac:dyDescent="0.25">
      <c r="C357" s="100"/>
      <c r="D357" s="100"/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E955B-47A7-4695-9197-3AEBE18A4CB2}">
  <sheetPr codeName="Sheet18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05" bestFit="1" customWidth="1"/>
    <col min="2" max="2" width="8.625" style="101" bestFit="1" customWidth="1"/>
    <col min="3" max="4" width="8.625" bestFit="1" customWidth="1"/>
  </cols>
  <sheetData>
    <row r="1" spans="1:5" ht="17.25" x14ac:dyDescent="0.25">
      <c r="A1" s="102" t="s">
        <v>530</v>
      </c>
      <c r="B1" s="153" t="s">
        <v>531</v>
      </c>
      <c r="C1" s="153" t="s">
        <v>532</v>
      </c>
      <c r="D1" s="96" t="s">
        <v>533</v>
      </c>
      <c r="E1" s="169" t="s">
        <v>534</v>
      </c>
    </row>
    <row r="2" spans="1:5" x14ac:dyDescent="0.25">
      <c r="A2" s="103" t="s">
        <v>607</v>
      </c>
      <c r="B2" s="121">
        <v>8</v>
      </c>
      <c r="C2" s="121">
        <v>22</v>
      </c>
      <c r="D2" s="97">
        <v>10</v>
      </c>
      <c r="E2" s="169" t="s">
        <v>632</v>
      </c>
    </row>
    <row r="3" spans="1:5" ht="18.75" x14ac:dyDescent="0.25">
      <c r="A3" s="104" t="s">
        <v>535</v>
      </c>
      <c r="B3" s="98" t="s">
        <v>536</v>
      </c>
      <c r="C3" s="98" t="s">
        <v>537</v>
      </c>
      <c r="D3" s="98" t="s">
        <v>538</v>
      </c>
    </row>
    <row r="4" spans="1:5" x14ac:dyDescent="0.25">
      <c r="A4" s="122">
        <v>8</v>
      </c>
      <c r="B4" s="100">
        <v>12.017341027414945</v>
      </c>
      <c r="C4" s="122">
        <v>15.375515606638986</v>
      </c>
      <c r="D4" s="122">
        <v>3.9584529155651507</v>
      </c>
    </row>
    <row r="5" spans="1:5" x14ac:dyDescent="0.25">
      <c r="A5" s="122">
        <v>9.4</v>
      </c>
      <c r="B5" s="100">
        <v>11.237162759478077</v>
      </c>
      <c r="C5" s="100"/>
      <c r="D5" s="100"/>
    </row>
    <row r="6" spans="1:5" x14ac:dyDescent="0.25">
      <c r="A6" s="122">
        <v>10.8</v>
      </c>
      <c r="B6" s="100">
        <v>10.464054524626503</v>
      </c>
      <c r="C6" s="100"/>
      <c r="D6" s="100"/>
    </row>
    <row r="7" spans="1:5" x14ac:dyDescent="0.25">
      <c r="A7" s="122">
        <v>12.2</v>
      </c>
      <c r="B7" s="100">
        <v>9.7660400886467329</v>
      </c>
      <c r="C7" s="100"/>
      <c r="D7" s="100"/>
    </row>
    <row r="8" spans="1:5" x14ac:dyDescent="0.25">
      <c r="A8" s="122">
        <v>13.6</v>
      </c>
      <c r="B8" s="100">
        <v>9.2115114964118359</v>
      </c>
      <c r="C8" s="100"/>
      <c r="D8" s="100"/>
    </row>
    <row r="9" spans="1:5" x14ac:dyDescent="0.25">
      <c r="A9" s="122">
        <v>15</v>
      </c>
      <c r="B9" s="100">
        <v>8.8647782862717879</v>
      </c>
      <c r="C9" s="100"/>
      <c r="D9" s="100"/>
    </row>
    <row r="10" spans="1:5" x14ac:dyDescent="0.25">
      <c r="A10" s="122">
        <v>16.399999999999999</v>
      </c>
      <c r="B10" s="100">
        <v>8.7832706719210432</v>
      </c>
      <c r="C10" s="100"/>
      <c r="D10" s="100"/>
    </row>
    <row r="11" spans="1:5" x14ac:dyDescent="0.25">
      <c r="A11" s="122">
        <v>17.8</v>
      </c>
      <c r="B11" s="100">
        <v>9.0162207027538912</v>
      </c>
      <c r="C11" s="100"/>
      <c r="D11" s="100"/>
    </row>
    <row r="12" spans="1:5" x14ac:dyDescent="0.25">
      <c r="A12" s="122">
        <v>19.2</v>
      </c>
      <c r="B12" s="100">
        <v>9.6043557482472615</v>
      </c>
      <c r="C12" s="100"/>
      <c r="D12" s="100"/>
    </row>
    <row r="13" spans="1:5" x14ac:dyDescent="0.25">
      <c r="A13" s="122">
        <v>20.599999999999998</v>
      </c>
      <c r="B13" s="100">
        <v>10.580125584407503</v>
      </c>
      <c r="C13" s="100"/>
      <c r="D13" s="100"/>
    </row>
    <row r="14" spans="1:5" x14ac:dyDescent="0.25">
      <c r="A14" s="122">
        <v>22</v>
      </c>
      <c r="B14" s="100">
        <v>11.96812334328196</v>
      </c>
      <c r="C14" s="100"/>
      <c r="D14" s="100"/>
    </row>
    <row r="15" spans="1:5" x14ac:dyDescent="0.25">
      <c r="A15" s="122"/>
      <c r="B15" s="100"/>
      <c r="C15" s="100"/>
      <c r="D15" s="100"/>
    </row>
    <row r="16" spans="1:5" x14ac:dyDescent="0.25">
      <c r="A16" s="122"/>
      <c r="B16" s="100"/>
      <c r="C16" s="100"/>
      <c r="D16" s="100"/>
    </row>
    <row r="17" spans="1:4" x14ac:dyDescent="0.25">
      <c r="A17" s="122"/>
      <c r="B17" s="100"/>
      <c r="C17" s="100"/>
      <c r="D17" s="100"/>
    </row>
    <row r="18" spans="1:4" x14ac:dyDescent="0.25">
      <c r="A18" s="122"/>
      <c r="B18" s="100"/>
      <c r="C18" s="100"/>
      <c r="D18" s="100"/>
    </row>
    <row r="19" spans="1:4" x14ac:dyDescent="0.25">
      <c r="A19" s="122"/>
      <c r="B19" s="100"/>
      <c r="C19" s="100"/>
      <c r="D19" s="100"/>
    </row>
    <row r="20" spans="1:4" x14ac:dyDescent="0.25">
      <c r="A20" s="122"/>
      <c r="B20" s="100"/>
      <c r="C20" s="100"/>
      <c r="D20" s="100"/>
    </row>
    <row r="21" spans="1:4" x14ac:dyDescent="0.25">
      <c r="A21" s="122"/>
      <c r="B21" s="100"/>
      <c r="C21" s="100"/>
      <c r="D21" s="100"/>
    </row>
    <row r="22" spans="1:4" x14ac:dyDescent="0.25">
      <c r="A22" s="122"/>
      <c r="B22" s="100"/>
      <c r="C22" s="100"/>
      <c r="D22" s="100"/>
    </row>
    <row r="23" spans="1:4" x14ac:dyDescent="0.25">
      <c r="A23" s="122"/>
      <c r="B23" s="100"/>
      <c r="C23" s="100"/>
      <c r="D23" s="100"/>
    </row>
    <row r="24" spans="1:4" x14ac:dyDescent="0.25">
      <c r="A24" s="122"/>
      <c r="B24" s="100"/>
      <c r="C24" s="100"/>
      <c r="D24" s="100"/>
    </row>
    <row r="25" spans="1:4" x14ac:dyDescent="0.25">
      <c r="B25" s="100"/>
      <c r="C25" s="100"/>
      <c r="D25" s="100"/>
    </row>
    <row r="26" spans="1:4" x14ac:dyDescent="0.25">
      <c r="B26" s="100"/>
      <c r="C26" s="100"/>
      <c r="D26" s="100"/>
    </row>
    <row r="27" spans="1:4" x14ac:dyDescent="0.25">
      <c r="B27" s="100"/>
      <c r="C27" s="100"/>
      <c r="D27" s="100"/>
    </row>
    <row r="28" spans="1:4" x14ac:dyDescent="0.25">
      <c r="B28" s="100"/>
      <c r="C28" s="100"/>
      <c r="D28" s="100"/>
    </row>
    <row r="29" spans="1:4" x14ac:dyDescent="0.25">
      <c r="B29" s="100"/>
      <c r="C29" s="100"/>
      <c r="D29" s="100"/>
    </row>
    <row r="30" spans="1:4" x14ac:dyDescent="0.25">
      <c r="B30" s="100"/>
      <c r="C30" s="100"/>
      <c r="D30" s="100"/>
    </row>
    <row r="31" spans="1:4" x14ac:dyDescent="0.25">
      <c r="B31" s="100"/>
      <c r="C31" s="100"/>
      <c r="D31" s="100"/>
    </row>
    <row r="32" spans="1:4" x14ac:dyDescent="0.25">
      <c r="B32" s="100"/>
      <c r="C32" s="100"/>
      <c r="D32" s="100"/>
    </row>
    <row r="33" spans="2:4" x14ac:dyDescent="0.25">
      <c r="B33" s="100"/>
      <c r="C33" s="100"/>
      <c r="D33" s="100"/>
    </row>
    <row r="34" spans="2:4" x14ac:dyDescent="0.25">
      <c r="B34" s="100"/>
      <c r="C34" s="100"/>
      <c r="D34" s="100"/>
    </row>
    <row r="35" spans="2:4" x14ac:dyDescent="0.25">
      <c r="C35" s="100"/>
      <c r="D35" s="100"/>
    </row>
    <row r="36" spans="2:4" x14ac:dyDescent="0.25">
      <c r="C36" s="100"/>
      <c r="D36" s="100"/>
    </row>
    <row r="37" spans="2:4" x14ac:dyDescent="0.25">
      <c r="C37" s="100"/>
      <c r="D37" s="100"/>
    </row>
    <row r="38" spans="2:4" x14ac:dyDescent="0.25">
      <c r="C38" s="100"/>
      <c r="D38" s="100"/>
    </row>
    <row r="39" spans="2:4" x14ac:dyDescent="0.25">
      <c r="C39" s="100"/>
      <c r="D39" s="100"/>
    </row>
    <row r="40" spans="2:4" x14ac:dyDescent="0.25">
      <c r="C40" s="100"/>
      <c r="D40" s="100"/>
    </row>
    <row r="41" spans="2:4" x14ac:dyDescent="0.25">
      <c r="C41" s="100"/>
      <c r="D41" s="100"/>
    </row>
    <row r="42" spans="2:4" x14ac:dyDescent="0.25">
      <c r="C42" s="100"/>
      <c r="D42" s="100"/>
    </row>
    <row r="43" spans="2:4" x14ac:dyDescent="0.25">
      <c r="C43" s="100"/>
      <c r="D43" s="100"/>
    </row>
    <row r="44" spans="2:4" x14ac:dyDescent="0.25">
      <c r="C44" s="100"/>
      <c r="D44" s="100"/>
    </row>
    <row r="45" spans="2:4" x14ac:dyDescent="0.25">
      <c r="C45" s="100"/>
      <c r="D45" s="100"/>
    </row>
    <row r="46" spans="2:4" x14ac:dyDescent="0.25">
      <c r="C46" s="100"/>
      <c r="D46" s="100"/>
    </row>
    <row r="47" spans="2:4" x14ac:dyDescent="0.25">
      <c r="C47" s="100"/>
      <c r="D47" s="100"/>
    </row>
    <row r="48" spans="2:4" x14ac:dyDescent="0.25">
      <c r="C48" s="100"/>
      <c r="D48" s="100"/>
    </row>
    <row r="49" spans="3:4" x14ac:dyDescent="0.25">
      <c r="C49" s="100"/>
      <c r="D49" s="100"/>
    </row>
    <row r="50" spans="3:4" x14ac:dyDescent="0.25">
      <c r="C50" s="100"/>
      <c r="D50" s="100"/>
    </row>
    <row r="51" spans="3:4" x14ac:dyDescent="0.25">
      <c r="C51" s="100"/>
      <c r="D51" s="100"/>
    </row>
    <row r="52" spans="3:4" x14ac:dyDescent="0.25">
      <c r="C52" s="100"/>
      <c r="D52" s="100"/>
    </row>
    <row r="53" spans="3:4" x14ac:dyDescent="0.25">
      <c r="C53" s="100"/>
      <c r="D53" s="100"/>
    </row>
    <row r="54" spans="3:4" x14ac:dyDescent="0.25">
      <c r="C54" s="100"/>
      <c r="D54" s="100"/>
    </row>
    <row r="55" spans="3:4" x14ac:dyDescent="0.25">
      <c r="C55" s="100"/>
      <c r="D55" s="100"/>
    </row>
    <row r="56" spans="3:4" x14ac:dyDescent="0.25">
      <c r="C56" s="100"/>
      <c r="D56" s="100"/>
    </row>
    <row r="57" spans="3:4" x14ac:dyDescent="0.25">
      <c r="C57" s="100"/>
      <c r="D57" s="100"/>
    </row>
    <row r="58" spans="3:4" x14ac:dyDescent="0.25">
      <c r="C58" s="100"/>
      <c r="D58" s="100"/>
    </row>
    <row r="59" spans="3:4" x14ac:dyDescent="0.25">
      <c r="C59" s="100"/>
      <c r="D59" s="100"/>
    </row>
    <row r="60" spans="3:4" x14ac:dyDescent="0.25">
      <c r="C60" s="100"/>
      <c r="D60" s="100"/>
    </row>
    <row r="61" spans="3:4" x14ac:dyDescent="0.25">
      <c r="C61" s="100"/>
      <c r="D61" s="100"/>
    </row>
    <row r="62" spans="3:4" x14ac:dyDescent="0.25">
      <c r="C62" s="100"/>
      <c r="D62" s="100"/>
    </row>
    <row r="63" spans="3:4" x14ac:dyDescent="0.25">
      <c r="C63" s="100"/>
      <c r="D63" s="100"/>
    </row>
    <row r="64" spans="3:4" x14ac:dyDescent="0.25">
      <c r="C64" s="100"/>
      <c r="D64" s="100"/>
    </row>
    <row r="65" spans="3:4" x14ac:dyDescent="0.25">
      <c r="C65" s="100"/>
      <c r="D65" s="100"/>
    </row>
    <row r="66" spans="3:4" x14ac:dyDescent="0.25">
      <c r="C66" s="100"/>
      <c r="D66" s="100"/>
    </row>
    <row r="67" spans="3:4" x14ac:dyDescent="0.25">
      <c r="C67" s="100"/>
      <c r="D67" s="100"/>
    </row>
    <row r="68" spans="3:4" x14ac:dyDescent="0.25">
      <c r="C68" s="100"/>
      <c r="D68" s="100"/>
    </row>
    <row r="69" spans="3:4" x14ac:dyDescent="0.25">
      <c r="C69" s="100"/>
      <c r="D69" s="100"/>
    </row>
    <row r="70" spans="3:4" x14ac:dyDescent="0.25">
      <c r="C70" s="100"/>
      <c r="D70" s="100"/>
    </row>
    <row r="71" spans="3:4" x14ac:dyDescent="0.25">
      <c r="C71" s="100"/>
      <c r="D71" s="100"/>
    </row>
    <row r="72" spans="3:4" x14ac:dyDescent="0.25">
      <c r="C72" s="100"/>
      <c r="D72" s="100"/>
    </row>
    <row r="73" spans="3:4" x14ac:dyDescent="0.25">
      <c r="C73" s="100"/>
      <c r="D73" s="100"/>
    </row>
    <row r="74" spans="3:4" x14ac:dyDescent="0.25">
      <c r="C74" s="100"/>
      <c r="D74" s="100"/>
    </row>
    <row r="75" spans="3:4" x14ac:dyDescent="0.25">
      <c r="C75" s="100"/>
      <c r="D75" s="100"/>
    </row>
    <row r="76" spans="3:4" x14ac:dyDescent="0.25">
      <c r="C76" s="100"/>
      <c r="D76" s="100"/>
    </row>
    <row r="77" spans="3:4" x14ac:dyDescent="0.25">
      <c r="C77" s="100"/>
      <c r="D77" s="100"/>
    </row>
    <row r="78" spans="3:4" x14ac:dyDescent="0.25">
      <c r="C78" s="100"/>
      <c r="D78" s="100"/>
    </row>
    <row r="79" spans="3:4" x14ac:dyDescent="0.25">
      <c r="C79" s="100"/>
      <c r="D79" s="100"/>
    </row>
    <row r="80" spans="3:4" x14ac:dyDescent="0.25">
      <c r="C80" s="100"/>
      <c r="D80" s="100"/>
    </row>
    <row r="81" spans="3:4" x14ac:dyDescent="0.25">
      <c r="C81" s="100"/>
      <c r="D81" s="100"/>
    </row>
    <row r="82" spans="3:4" x14ac:dyDescent="0.25">
      <c r="C82" s="100"/>
      <c r="D82" s="100"/>
    </row>
    <row r="83" spans="3:4" x14ac:dyDescent="0.25">
      <c r="C83" s="100"/>
      <c r="D83" s="100"/>
    </row>
    <row r="84" spans="3:4" x14ac:dyDescent="0.25">
      <c r="C84" s="100"/>
      <c r="D84" s="100"/>
    </row>
    <row r="85" spans="3:4" x14ac:dyDescent="0.25">
      <c r="C85" s="100"/>
      <c r="D85" s="100"/>
    </row>
    <row r="86" spans="3:4" x14ac:dyDescent="0.25">
      <c r="C86" s="100"/>
      <c r="D86" s="100"/>
    </row>
    <row r="87" spans="3:4" x14ac:dyDescent="0.25">
      <c r="C87" s="100"/>
      <c r="D87" s="100"/>
    </row>
    <row r="88" spans="3:4" x14ac:dyDescent="0.25">
      <c r="C88" s="100"/>
      <c r="D88" s="100"/>
    </row>
    <row r="89" spans="3:4" x14ac:dyDescent="0.25">
      <c r="C89" s="100"/>
      <c r="D89" s="100"/>
    </row>
    <row r="90" spans="3:4" x14ac:dyDescent="0.25">
      <c r="C90" s="100"/>
      <c r="D90" s="100"/>
    </row>
    <row r="91" spans="3:4" x14ac:dyDescent="0.25">
      <c r="C91" s="100"/>
      <c r="D91" s="100"/>
    </row>
    <row r="92" spans="3:4" x14ac:dyDescent="0.25">
      <c r="C92" s="100"/>
      <c r="D92" s="100"/>
    </row>
    <row r="93" spans="3:4" x14ac:dyDescent="0.25">
      <c r="C93" s="100"/>
      <c r="D93" s="100"/>
    </row>
    <row r="94" spans="3:4" x14ac:dyDescent="0.25">
      <c r="C94" s="100"/>
      <c r="D94" s="100"/>
    </row>
    <row r="95" spans="3:4" x14ac:dyDescent="0.25">
      <c r="C95" s="100"/>
      <c r="D95" s="100"/>
    </row>
    <row r="96" spans="3:4" x14ac:dyDescent="0.25">
      <c r="C96" s="100"/>
      <c r="D96" s="100"/>
    </row>
    <row r="97" spans="3:4" x14ac:dyDescent="0.25">
      <c r="C97" s="100"/>
      <c r="D97" s="100"/>
    </row>
    <row r="98" spans="3:4" x14ac:dyDescent="0.25">
      <c r="C98" s="100"/>
      <c r="D98" s="100"/>
    </row>
    <row r="99" spans="3:4" x14ac:dyDescent="0.25">
      <c r="C99" s="100"/>
      <c r="D99" s="100"/>
    </row>
    <row r="100" spans="3:4" x14ac:dyDescent="0.25">
      <c r="C100" s="100"/>
      <c r="D100" s="100"/>
    </row>
    <row r="101" spans="3:4" x14ac:dyDescent="0.25">
      <c r="C101" s="100"/>
      <c r="D101" s="100"/>
    </row>
    <row r="102" spans="3:4" x14ac:dyDescent="0.25">
      <c r="C102" s="100"/>
      <c r="D102" s="100"/>
    </row>
    <row r="103" spans="3:4" x14ac:dyDescent="0.25">
      <c r="C103" s="100"/>
      <c r="D103" s="100"/>
    </row>
    <row r="104" spans="3:4" x14ac:dyDescent="0.25">
      <c r="C104" s="100"/>
      <c r="D104" s="100"/>
    </row>
    <row r="105" spans="3:4" x14ac:dyDescent="0.25">
      <c r="C105" s="100"/>
      <c r="D105" s="100"/>
    </row>
    <row r="106" spans="3:4" x14ac:dyDescent="0.25">
      <c r="C106" s="100"/>
      <c r="D106" s="100"/>
    </row>
    <row r="107" spans="3:4" x14ac:dyDescent="0.25">
      <c r="C107" s="100"/>
      <c r="D107" s="100"/>
    </row>
    <row r="108" spans="3:4" x14ac:dyDescent="0.25">
      <c r="C108" s="100"/>
      <c r="D108" s="100"/>
    </row>
    <row r="109" spans="3:4" x14ac:dyDescent="0.25">
      <c r="C109" s="100"/>
      <c r="D109" s="100"/>
    </row>
    <row r="110" spans="3:4" x14ac:dyDescent="0.25">
      <c r="C110" s="100"/>
      <c r="D110" s="100"/>
    </row>
    <row r="111" spans="3:4" x14ac:dyDescent="0.25">
      <c r="C111" s="100"/>
      <c r="D111" s="100"/>
    </row>
    <row r="112" spans="3:4" x14ac:dyDescent="0.25">
      <c r="C112" s="100"/>
      <c r="D112" s="100"/>
    </row>
    <row r="113" spans="3:4" x14ac:dyDescent="0.25">
      <c r="C113" s="100"/>
      <c r="D113" s="100"/>
    </row>
    <row r="114" spans="3:4" x14ac:dyDescent="0.25">
      <c r="C114" s="100"/>
      <c r="D114" s="100"/>
    </row>
    <row r="115" spans="3:4" x14ac:dyDescent="0.25">
      <c r="C115" s="100"/>
      <c r="D115" s="100"/>
    </row>
    <row r="116" spans="3:4" x14ac:dyDescent="0.25">
      <c r="C116" s="100"/>
      <c r="D116" s="100"/>
    </row>
    <row r="117" spans="3:4" x14ac:dyDescent="0.25">
      <c r="C117" s="100"/>
      <c r="D117" s="100"/>
    </row>
    <row r="118" spans="3:4" x14ac:dyDescent="0.25">
      <c r="C118" s="100"/>
      <c r="D118" s="100"/>
    </row>
    <row r="119" spans="3:4" x14ac:dyDescent="0.25">
      <c r="C119" s="100"/>
      <c r="D119" s="100"/>
    </row>
    <row r="120" spans="3:4" x14ac:dyDescent="0.25">
      <c r="C120" s="100"/>
      <c r="D120" s="100"/>
    </row>
    <row r="121" spans="3:4" x14ac:dyDescent="0.25">
      <c r="C121" s="100"/>
      <c r="D121" s="100"/>
    </row>
    <row r="122" spans="3:4" x14ac:dyDescent="0.25">
      <c r="C122" s="100"/>
      <c r="D122" s="100"/>
    </row>
    <row r="123" spans="3:4" x14ac:dyDescent="0.25">
      <c r="C123" s="100"/>
      <c r="D123" s="100"/>
    </row>
    <row r="124" spans="3:4" x14ac:dyDescent="0.25">
      <c r="C124" s="100"/>
      <c r="D124" s="100"/>
    </row>
    <row r="125" spans="3:4" x14ac:dyDescent="0.25">
      <c r="C125" s="100"/>
      <c r="D125" s="100"/>
    </row>
    <row r="126" spans="3:4" x14ac:dyDescent="0.25">
      <c r="C126" s="100"/>
      <c r="D126" s="100"/>
    </row>
    <row r="127" spans="3:4" x14ac:dyDescent="0.25">
      <c r="C127" s="100"/>
      <c r="D127" s="100"/>
    </row>
    <row r="128" spans="3:4" x14ac:dyDescent="0.25">
      <c r="C128" s="100"/>
      <c r="D128" s="100"/>
    </row>
    <row r="129" spans="3:4" x14ac:dyDescent="0.25">
      <c r="C129" s="100"/>
      <c r="D129" s="100"/>
    </row>
    <row r="130" spans="3:4" x14ac:dyDescent="0.25">
      <c r="C130" s="100"/>
      <c r="D130" s="100"/>
    </row>
    <row r="131" spans="3:4" x14ac:dyDescent="0.25">
      <c r="C131" s="100"/>
      <c r="D131" s="100"/>
    </row>
    <row r="132" spans="3:4" x14ac:dyDescent="0.25">
      <c r="C132" s="100"/>
      <c r="D132" s="100"/>
    </row>
    <row r="133" spans="3:4" x14ac:dyDescent="0.25">
      <c r="C133" s="100"/>
      <c r="D133" s="100"/>
    </row>
    <row r="134" spans="3:4" x14ac:dyDescent="0.25">
      <c r="C134" s="100"/>
      <c r="D134" s="100"/>
    </row>
    <row r="135" spans="3:4" x14ac:dyDescent="0.25">
      <c r="C135" s="100"/>
      <c r="D135" s="100"/>
    </row>
    <row r="136" spans="3:4" x14ac:dyDescent="0.25">
      <c r="C136" s="100"/>
      <c r="D136" s="100"/>
    </row>
    <row r="137" spans="3:4" x14ac:dyDescent="0.25">
      <c r="C137" s="100"/>
      <c r="D137" s="100"/>
    </row>
    <row r="138" spans="3:4" x14ac:dyDescent="0.25">
      <c r="C138" s="100"/>
      <c r="D138" s="100"/>
    </row>
    <row r="139" spans="3:4" x14ac:dyDescent="0.25">
      <c r="C139" s="100"/>
      <c r="D139" s="100"/>
    </row>
    <row r="140" spans="3:4" x14ac:dyDescent="0.25">
      <c r="C140" s="100"/>
      <c r="D140" s="100"/>
    </row>
    <row r="141" spans="3:4" x14ac:dyDescent="0.25">
      <c r="C141" s="100"/>
      <c r="D141" s="100"/>
    </row>
    <row r="142" spans="3:4" x14ac:dyDescent="0.25">
      <c r="C142" s="100"/>
      <c r="D142" s="100"/>
    </row>
    <row r="143" spans="3:4" x14ac:dyDescent="0.25">
      <c r="C143" s="100"/>
      <c r="D143" s="100"/>
    </row>
    <row r="144" spans="3:4" x14ac:dyDescent="0.25">
      <c r="C144" s="100"/>
      <c r="D144" s="100"/>
    </row>
    <row r="145" spans="3:4" x14ac:dyDescent="0.25">
      <c r="C145" s="100"/>
      <c r="D145" s="100"/>
    </row>
    <row r="146" spans="3:4" x14ac:dyDescent="0.25">
      <c r="C146" s="100"/>
      <c r="D146" s="100"/>
    </row>
    <row r="147" spans="3:4" x14ac:dyDescent="0.25">
      <c r="C147" s="100"/>
      <c r="D147" s="100"/>
    </row>
    <row r="148" spans="3:4" x14ac:dyDescent="0.25">
      <c r="C148" s="100"/>
      <c r="D148" s="100"/>
    </row>
    <row r="149" spans="3:4" x14ac:dyDescent="0.25">
      <c r="C149" s="100"/>
      <c r="D149" s="100"/>
    </row>
    <row r="150" spans="3:4" x14ac:dyDescent="0.25">
      <c r="C150" s="100"/>
      <c r="D150" s="100"/>
    </row>
    <row r="151" spans="3:4" x14ac:dyDescent="0.25">
      <c r="C151" s="100"/>
      <c r="D151" s="100"/>
    </row>
    <row r="152" spans="3:4" x14ac:dyDescent="0.25">
      <c r="C152" s="100"/>
      <c r="D152" s="100"/>
    </row>
    <row r="153" spans="3:4" x14ac:dyDescent="0.25">
      <c r="C153" s="100"/>
      <c r="D153" s="100"/>
    </row>
    <row r="154" spans="3:4" x14ac:dyDescent="0.25">
      <c r="C154" s="100"/>
      <c r="D154" s="100"/>
    </row>
    <row r="155" spans="3:4" x14ac:dyDescent="0.25">
      <c r="C155" s="100"/>
      <c r="D155" s="100"/>
    </row>
    <row r="156" spans="3:4" x14ac:dyDescent="0.25">
      <c r="C156" s="100"/>
      <c r="D156" s="100"/>
    </row>
    <row r="157" spans="3:4" x14ac:dyDescent="0.25">
      <c r="C157" s="100"/>
      <c r="D157" s="100"/>
    </row>
    <row r="158" spans="3:4" x14ac:dyDescent="0.25">
      <c r="C158" s="100"/>
      <c r="D158" s="100"/>
    </row>
    <row r="159" spans="3:4" x14ac:dyDescent="0.25">
      <c r="C159" s="100"/>
      <c r="D159" s="100"/>
    </row>
    <row r="160" spans="3:4" x14ac:dyDescent="0.25">
      <c r="C160" s="100"/>
      <c r="D160" s="100"/>
    </row>
    <row r="161" spans="3:4" x14ac:dyDescent="0.25">
      <c r="C161" s="100"/>
      <c r="D161" s="100"/>
    </row>
    <row r="162" spans="3:4" x14ac:dyDescent="0.25">
      <c r="C162" s="100"/>
      <c r="D162" s="100"/>
    </row>
    <row r="163" spans="3:4" x14ac:dyDescent="0.25">
      <c r="C163" s="100"/>
      <c r="D163" s="100"/>
    </row>
    <row r="164" spans="3:4" x14ac:dyDescent="0.25">
      <c r="C164" s="100"/>
      <c r="D164" s="100"/>
    </row>
    <row r="165" spans="3:4" x14ac:dyDescent="0.25">
      <c r="C165" s="100"/>
      <c r="D165" s="100"/>
    </row>
    <row r="166" spans="3:4" x14ac:dyDescent="0.25">
      <c r="C166" s="100"/>
      <c r="D166" s="100"/>
    </row>
    <row r="167" spans="3:4" x14ac:dyDescent="0.25">
      <c r="C167" s="100"/>
      <c r="D167" s="100"/>
    </row>
    <row r="168" spans="3:4" x14ac:dyDescent="0.25">
      <c r="C168" s="100"/>
      <c r="D168" s="100"/>
    </row>
    <row r="169" spans="3:4" x14ac:dyDescent="0.25">
      <c r="C169" s="100"/>
      <c r="D169" s="100"/>
    </row>
    <row r="170" spans="3:4" x14ac:dyDescent="0.25">
      <c r="C170" s="100"/>
      <c r="D170" s="100"/>
    </row>
    <row r="171" spans="3:4" x14ac:dyDescent="0.25">
      <c r="C171" s="100"/>
      <c r="D171" s="100"/>
    </row>
    <row r="172" spans="3:4" x14ac:dyDescent="0.25">
      <c r="C172" s="100"/>
      <c r="D172" s="100"/>
    </row>
    <row r="173" spans="3:4" x14ac:dyDescent="0.25">
      <c r="C173" s="100"/>
      <c r="D173" s="100"/>
    </row>
    <row r="174" spans="3:4" x14ac:dyDescent="0.25">
      <c r="C174" s="100"/>
      <c r="D174" s="100"/>
    </row>
    <row r="175" spans="3:4" x14ac:dyDescent="0.25">
      <c r="C175" s="100"/>
      <c r="D175" s="100"/>
    </row>
    <row r="176" spans="3:4" x14ac:dyDescent="0.25">
      <c r="C176" s="100"/>
      <c r="D176" s="100"/>
    </row>
    <row r="177" spans="3:4" x14ac:dyDescent="0.25">
      <c r="C177" s="100"/>
      <c r="D177" s="100"/>
    </row>
    <row r="178" spans="3:4" x14ac:dyDescent="0.25">
      <c r="C178" s="100"/>
      <c r="D178" s="100"/>
    </row>
    <row r="179" spans="3:4" x14ac:dyDescent="0.25">
      <c r="C179" s="100"/>
      <c r="D179" s="100"/>
    </row>
    <row r="180" spans="3:4" x14ac:dyDescent="0.25">
      <c r="C180" s="100"/>
      <c r="D180" s="100"/>
    </row>
    <row r="181" spans="3:4" x14ac:dyDescent="0.25">
      <c r="C181" s="100"/>
      <c r="D181" s="100"/>
    </row>
    <row r="182" spans="3:4" x14ac:dyDescent="0.25">
      <c r="C182" s="100"/>
      <c r="D182" s="100"/>
    </row>
    <row r="183" spans="3:4" x14ac:dyDescent="0.25">
      <c r="C183" s="100"/>
      <c r="D183" s="100"/>
    </row>
    <row r="184" spans="3:4" x14ac:dyDescent="0.25">
      <c r="C184" s="100"/>
      <c r="D184" s="100"/>
    </row>
    <row r="185" spans="3:4" x14ac:dyDescent="0.25">
      <c r="C185" s="100"/>
      <c r="D185" s="100"/>
    </row>
    <row r="186" spans="3:4" x14ac:dyDescent="0.25">
      <c r="C186" s="100"/>
      <c r="D186" s="100"/>
    </row>
    <row r="187" spans="3:4" x14ac:dyDescent="0.25">
      <c r="C187" s="100"/>
      <c r="D187" s="100"/>
    </row>
    <row r="188" spans="3:4" x14ac:dyDescent="0.25">
      <c r="C188" s="100"/>
      <c r="D188" s="100"/>
    </row>
    <row r="189" spans="3:4" x14ac:dyDescent="0.25">
      <c r="C189" s="100"/>
      <c r="D189" s="100"/>
    </row>
    <row r="190" spans="3:4" x14ac:dyDescent="0.25">
      <c r="C190" s="100"/>
      <c r="D190" s="100"/>
    </row>
    <row r="191" spans="3:4" x14ac:dyDescent="0.25">
      <c r="C191" s="100"/>
      <c r="D191" s="100"/>
    </row>
    <row r="192" spans="3:4" x14ac:dyDescent="0.25">
      <c r="C192" s="100"/>
      <c r="D192" s="100"/>
    </row>
    <row r="193" spans="3:4" x14ac:dyDescent="0.25">
      <c r="C193" s="100"/>
      <c r="D193" s="100"/>
    </row>
    <row r="194" spans="3:4" x14ac:dyDescent="0.25">
      <c r="C194" s="100"/>
      <c r="D194" s="100"/>
    </row>
    <row r="195" spans="3:4" x14ac:dyDescent="0.25">
      <c r="C195" s="100"/>
      <c r="D195" s="100"/>
    </row>
    <row r="196" spans="3:4" x14ac:dyDescent="0.25">
      <c r="C196" s="100"/>
      <c r="D196" s="100"/>
    </row>
    <row r="197" spans="3:4" x14ac:dyDescent="0.25">
      <c r="C197" s="100"/>
      <c r="D197" s="100"/>
    </row>
    <row r="198" spans="3:4" x14ac:dyDescent="0.25">
      <c r="C198" s="100"/>
      <c r="D198" s="100"/>
    </row>
    <row r="199" spans="3:4" x14ac:dyDescent="0.25">
      <c r="C199" s="100"/>
      <c r="D199" s="100"/>
    </row>
    <row r="200" spans="3:4" x14ac:dyDescent="0.25">
      <c r="C200" s="100"/>
      <c r="D200" s="100"/>
    </row>
    <row r="201" spans="3:4" x14ac:dyDescent="0.25">
      <c r="C201" s="100"/>
      <c r="D201" s="100"/>
    </row>
    <row r="202" spans="3:4" x14ac:dyDescent="0.25">
      <c r="C202" s="100"/>
      <c r="D202" s="100"/>
    </row>
    <row r="203" spans="3:4" x14ac:dyDescent="0.25">
      <c r="C203" s="100"/>
      <c r="D203" s="100"/>
    </row>
    <row r="204" spans="3:4" x14ac:dyDescent="0.25">
      <c r="C204" s="100"/>
      <c r="D204" s="100"/>
    </row>
    <row r="205" spans="3:4" x14ac:dyDescent="0.25">
      <c r="C205" s="100"/>
      <c r="D205" s="100"/>
    </row>
    <row r="206" spans="3:4" x14ac:dyDescent="0.25">
      <c r="C206" s="100"/>
      <c r="D206" s="100"/>
    </row>
    <row r="207" spans="3:4" x14ac:dyDescent="0.25">
      <c r="C207" s="100"/>
      <c r="D207" s="100"/>
    </row>
    <row r="208" spans="3:4" x14ac:dyDescent="0.25">
      <c r="C208" s="100"/>
      <c r="D208" s="100"/>
    </row>
    <row r="209" spans="3:4" x14ac:dyDescent="0.25">
      <c r="C209" s="100"/>
      <c r="D209" s="100"/>
    </row>
    <row r="210" spans="3:4" x14ac:dyDescent="0.25">
      <c r="C210" s="100"/>
      <c r="D210" s="100"/>
    </row>
    <row r="211" spans="3:4" x14ac:dyDescent="0.25">
      <c r="C211" s="100"/>
      <c r="D211" s="100"/>
    </row>
    <row r="212" spans="3:4" x14ac:dyDescent="0.25">
      <c r="C212" s="100"/>
      <c r="D212" s="100"/>
    </row>
    <row r="213" spans="3:4" x14ac:dyDescent="0.25">
      <c r="C213" s="100"/>
      <c r="D213" s="100"/>
    </row>
    <row r="214" spans="3:4" x14ac:dyDescent="0.25">
      <c r="C214" s="100"/>
      <c r="D214" s="100"/>
    </row>
    <row r="215" spans="3:4" x14ac:dyDescent="0.25">
      <c r="C215" s="100"/>
      <c r="D215" s="100"/>
    </row>
    <row r="216" spans="3:4" x14ac:dyDescent="0.25">
      <c r="C216" s="100"/>
      <c r="D216" s="100"/>
    </row>
    <row r="217" spans="3:4" x14ac:dyDescent="0.25">
      <c r="C217" s="100"/>
      <c r="D217" s="100"/>
    </row>
    <row r="218" spans="3:4" x14ac:dyDescent="0.25">
      <c r="C218" s="100"/>
      <c r="D218" s="100"/>
    </row>
    <row r="219" spans="3:4" x14ac:dyDescent="0.25">
      <c r="C219" s="100"/>
      <c r="D219" s="100"/>
    </row>
    <row r="220" spans="3:4" x14ac:dyDescent="0.25">
      <c r="C220" s="100"/>
      <c r="D220" s="100"/>
    </row>
    <row r="221" spans="3:4" x14ac:dyDescent="0.25">
      <c r="C221" s="100"/>
      <c r="D221" s="100"/>
    </row>
    <row r="222" spans="3:4" x14ac:dyDescent="0.25">
      <c r="C222" s="100"/>
      <c r="D222" s="100"/>
    </row>
    <row r="223" spans="3:4" x14ac:dyDescent="0.25">
      <c r="C223" s="100"/>
      <c r="D223" s="100"/>
    </row>
    <row r="224" spans="3:4" x14ac:dyDescent="0.25">
      <c r="C224" s="100"/>
      <c r="D224" s="100"/>
    </row>
    <row r="225" spans="3:4" x14ac:dyDescent="0.25">
      <c r="C225" s="100"/>
      <c r="D225" s="100"/>
    </row>
    <row r="226" spans="3:4" x14ac:dyDescent="0.25">
      <c r="C226" s="100"/>
      <c r="D226" s="100"/>
    </row>
    <row r="227" spans="3:4" x14ac:dyDescent="0.25">
      <c r="C227" s="100"/>
      <c r="D227" s="100"/>
    </row>
    <row r="228" spans="3:4" x14ac:dyDescent="0.25">
      <c r="C228" s="100"/>
      <c r="D228" s="100"/>
    </row>
    <row r="229" spans="3:4" x14ac:dyDescent="0.25">
      <c r="C229" s="100"/>
      <c r="D229" s="100"/>
    </row>
    <row r="230" spans="3:4" x14ac:dyDescent="0.25">
      <c r="C230" s="100"/>
      <c r="D230" s="100"/>
    </row>
    <row r="231" spans="3:4" x14ac:dyDescent="0.25">
      <c r="C231" s="100"/>
      <c r="D231" s="100"/>
    </row>
    <row r="232" spans="3:4" x14ac:dyDescent="0.25">
      <c r="C232" s="100"/>
      <c r="D232" s="100"/>
    </row>
    <row r="233" spans="3:4" x14ac:dyDescent="0.25">
      <c r="C233" s="100"/>
      <c r="D233" s="100"/>
    </row>
    <row r="234" spans="3:4" x14ac:dyDescent="0.25">
      <c r="C234" s="100"/>
      <c r="D234" s="100"/>
    </row>
    <row r="235" spans="3:4" x14ac:dyDescent="0.25">
      <c r="C235" s="100"/>
      <c r="D235" s="100"/>
    </row>
    <row r="236" spans="3:4" x14ac:dyDescent="0.25">
      <c r="C236" s="100"/>
      <c r="D236" s="100"/>
    </row>
    <row r="237" spans="3:4" x14ac:dyDescent="0.25">
      <c r="C237" s="100"/>
      <c r="D237" s="100"/>
    </row>
    <row r="238" spans="3:4" x14ac:dyDescent="0.25">
      <c r="C238" s="100"/>
      <c r="D238" s="100"/>
    </row>
    <row r="239" spans="3:4" x14ac:dyDescent="0.25">
      <c r="C239" s="100"/>
      <c r="D239" s="100"/>
    </row>
    <row r="240" spans="3:4" x14ac:dyDescent="0.25">
      <c r="C240" s="100"/>
      <c r="D240" s="100"/>
    </row>
    <row r="241" spans="3:4" x14ac:dyDescent="0.25">
      <c r="C241" s="100"/>
      <c r="D241" s="100"/>
    </row>
    <row r="242" spans="3:4" x14ac:dyDescent="0.25">
      <c r="C242" s="100"/>
      <c r="D242" s="100"/>
    </row>
    <row r="243" spans="3:4" x14ac:dyDescent="0.25">
      <c r="C243" s="100"/>
      <c r="D243" s="100"/>
    </row>
    <row r="244" spans="3:4" x14ac:dyDescent="0.25">
      <c r="C244" s="100"/>
      <c r="D244" s="100"/>
    </row>
    <row r="245" spans="3:4" x14ac:dyDescent="0.25">
      <c r="C245" s="100"/>
      <c r="D245" s="100"/>
    </row>
    <row r="246" spans="3:4" x14ac:dyDescent="0.25">
      <c r="C246" s="100"/>
      <c r="D246" s="100"/>
    </row>
    <row r="247" spans="3:4" x14ac:dyDescent="0.25">
      <c r="C247" s="100"/>
      <c r="D247" s="100"/>
    </row>
    <row r="248" spans="3:4" x14ac:dyDescent="0.25">
      <c r="C248" s="100"/>
      <c r="D248" s="100"/>
    </row>
    <row r="249" spans="3:4" x14ac:dyDescent="0.25">
      <c r="C249" s="100"/>
      <c r="D249" s="100"/>
    </row>
    <row r="250" spans="3:4" x14ac:dyDescent="0.25">
      <c r="C250" s="100"/>
      <c r="D250" s="100"/>
    </row>
    <row r="251" spans="3:4" x14ac:dyDescent="0.25">
      <c r="C251" s="100"/>
      <c r="D251" s="100"/>
    </row>
    <row r="252" spans="3:4" x14ac:dyDescent="0.25">
      <c r="C252" s="100"/>
      <c r="D252" s="100"/>
    </row>
    <row r="253" spans="3:4" x14ac:dyDescent="0.25">
      <c r="C253" s="100"/>
      <c r="D253" s="100"/>
    </row>
    <row r="254" spans="3:4" x14ac:dyDescent="0.25">
      <c r="C254" s="100"/>
      <c r="D254" s="100"/>
    </row>
    <row r="255" spans="3:4" x14ac:dyDescent="0.25">
      <c r="C255" s="100"/>
      <c r="D255" s="100"/>
    </row>
    <row r="256" spans="3:4" x14ac:dyDescent="0.25">
      <c r="C256" s="100"/>
      <c r="D256" s="100"/>
    </row>
    <row r="257" spans="3:4" x14ac:dyDescent="0.25">
      <c r="C257" s="100"/>
      <c r="D257" s="100"/>
    </row>
    <row r="258" spans="3:4" x14ac:dyDescent="0.25">
      <c r="C258" s="100"/>
      <c r="D258" s="100"/>
    </row>
    <row r="259" spans="3:4" x14ac:dyDescent="0.25">
      <c r="C259" s="100"/>
      <c r="D259" s="100"/>
    </row>
    <row r="260" spans="3:4" x14ac:dyDescent="0.25">
      <c r="C260" s="100"/>
      <c r="D260" s="100"/>
    </row>
    <row r="261" spans="3:4" x14ac:dyDescent="0.25">
      <c r="C261" s="100"/>
      <c r="D261" s="100"/>
    </row>
    <row r="262" spans="3:4" x14ac:dyDescent="0.25">
      <c r="C262" s="100"/>
      <c r="D262" s="100"/>
    </row>
    <row r="263" spans="3:4" x14ac:dyDescent="0.25">
      <c r="C263" s="100"/>
      <c r="D263" s="100"/>
    </row>
    <row r="264" spans="3:4" x14ac:dyDescent="0.25">
      <c r="C264" s="100"/>
      <c r="D264" s="100"/>
    </row>
    <row r="265" spans="3:4" x14ac:dyDescent="0.25">
      <c r="C265" s="100"/>
      <c r="D265" s="100"/>
    </row>
    <row r="266" spans="3:4" x14ac:dyDescent="0.25">
      <c r="C266" s="100"/>
      <c r="D266" s="100"/>
    </row>
    <row r="267" spans="3:4" x14ac:dyDescent="0.25">
      <c r="C267" s="100"/>
      <c r="D267" s="100"/>
    </row>
    <row r="268" spans="3:4" x14ac:dyDescent="0.25">
      <c r="C268" s="100"/>
      <c r="D268" s="100"/>
    </row>
    <row r="269" spans="3:4" x14ac:dyDescent="0.25">
      <c r="C269" s="100"/>
      <c r="D269" s="100"/>
    </row>
    <row r="270" spans="3:4" x14ac:dyDescent="0.25">
      <c r="C270" s="100"/>
      <c r="D270" s="100"/>
    </row>
    <row r="271" spans="3:4" x14ac:dyDescent="0.25">
      <c r="C271" s="100"/>
      <c r="D271" s="100"/>
    </row>
    <row r="272" spans="3:4" x14ac:dyDescent="0.25">
      <c r="C272" s="100"/>
      <c r="D272" s="100"/>
    </row>
    <row r="273" spans="3:4" x14ac:dyDescent="0.25">
      <c r="C273" s="100"/>
      <c r="D273" s="100"/>
    </row>
    <row r="274" spans="3:4" x14ac:dyDescent="0.25">
      <c r="C274" s="100"/>
      <c r="D274" s="100"/>
    </row>
    <row r="275" spans="3:4" x14ac:dyDescent="0.25">
      <c r="C275" s="100"/>
      <c r="D275" s="100"/>
    </row>
    <row r="276" spans="3:4" x14ac:dyDescent="0.25">
      <c r="C276" s="100"/>
      <c r="D276" s="100"/>
    </row>
    <row r="277" spans="3:4" x14ac:dyDescent="0.25">
      <c r="C277" s="100"/>
      <c r="D277" s="100"/>
    </row>
    <row r="278" spans="3:4" x14ac:dyDescent="0.25">
      <c r="C278" s="100"/>
      <c r="D278" s="100"/>
    </row>
    <row r="279" spans="3:4" x14ac:dyDescent="0.25">
      <c r="C279" s="100"/>
      <c r="D279" s="100"/>
    </row>
    <row r="280" spans="3:4" x14ac:dyDescent="0.25">
      <c r="C280" s="100"/>
      <c r="D280" s="100"/>
    </row>
    <row r="281" spans="3:4" x14ac:dyDescent="0.25">
      <c r="C281" s="100"/>
      <c r="D281" s="100"/>
    </row>
    <row r="282" spans="3:4" x14ac:dyDescent="0.25">
      <c r="C282" s="100"/>
      <c r="D282" s="100"/>
    </row>
    <row r="283" spans="3:4" x14ac:dyDescent="0.25">
      <c r="C283" s="100"/>
      <c r="D283" s="100"/>
    </row>
    <row r="284" spans="3:4" x14ac:dyDescent="0.25">
      <c r="C284" s="100"/>
      <c r="D284" s="100"/>
    </row>
    <row r="285" spans="3:4" x14ac:dyDescent="0.25">
      <c r="C285" s="100"/>
      <c r="D285" s="100"/>
    </row>
    <row r="286" spans="3:4" x14ac:dyDescent="0.25">
      <c r="C286" s="100"/>
      <c r="D286" s="100"/>
    </row>
    <row r="287" spans="3:4" x14ac:dyDescent="0.25">
      <c r="C287" s="100"/>
      <c r="D287" s="100"/>
    </row>
    <row r="288" spans="3:4" x14ac:dyDescent="0.25">
      <c r="C288" s="100"/>
      <c r="D288" s="100"/>
    </row>
    <row r="289" spans="3:4" x14ac:dyDescent="0.25">
      <c r="C289" s="100"/>
      <c r="D289" s="100"/>
    </row>
    <row r="290" spans="3:4" x14ac:dyDescent="0.25">
      <c r="C290" s="100"/>
      <c r="D290" s="100"/>
    </row>
    <row r="291" spans="3:4" x14ac:dyDescent="0.25">
      <c r="C291" s="100"/>
      <c r="D291" s="100"/>
    </row>
    <row r="292" spans="3:4" x14ac:dyDescent="0.25">
      <c r="C292" s="100"/>
      <c r="D292" s="100"/>
    </row>
    <row r="293" spans="3:4" x14ac:dyDescent="0.25">
      <c r="C293" s="100"/>
      <c r="D293" s="100"/>
    </row>
    <row r="294" spans="3:4" x14ac:dyDescent="0.25">
      <c r="C294" s="100"/>
      <c r="D294" s="100"/>
    </row>
    <row r="295" spans="3:4" x14ac:dyDescent="0.25">
      <c r="C295" s="100"/>
      <c r="D295" s="100"/>
    </row>
    <row r="296" spans="3:4" x14ac:dyDescent="0.25">
      <c r="C296" s="100"/>
      <c r="D296" s="100"/>
    </row>
    <row r="297" spans="3:4" x14ac:dyDescent="0.25">
      <c r="C297" s="100"/>
      <c r="D297" s="100"/>
    </row>
    <row r="298" spans="3:4" x14ac:dyDescent="0.25">
      <c r="C298" s="100"/>
      <c r="D298" s="100"/>
    </row>
    <row r="299" spans="3:4" x14ac:dyDescent="0.25">
      <c r="C299" s="100"/>
      <c r="D299" s="100"/>
    </row>
    <row r="300" spans="3:4" x14ac:dyDescent="0.25">
      <c r="C300" s="100"/>
      <c r="D300" s="100"/>
    </row>
    <row r="301" spans="3:4" x14ac:dyDescent="0.25">
      <c r="C301" s="100"/>
      <c r="D301" s="100"/>
    </row>
    <row r="302" spans="3:4" x14ac:dyDescent="0.25">
      <c r="C302" s="100"/>
      <c r="D302" s="100"/>
    </row>
    <row r="303" spans="3:4" x14ac:dyDescent="0.25">
      <c r="C303" s="100"/>
      <c r="D303" s="100"/>
    </row>
    <row r="304" spans="3:4" x14ac:dyDescent="0.25">
      <c r="C304" s="100"/>
      <c r="D304" s="100"/>
    </row>
    <row r="305" spans="3:4" x14ac:dyDescent="0.25">
      <c r="C305" s="100"/>
      <c r="D305" s="100"/>
    </row>
    <row r="306" spans="3:4" x14ac:dyDescent="0.25">
      <c r="C306" s="100"/>
      <c r="D306" s="100"/>
    </row>
    <row r="307" spans="3:4" x14ac:dyDescent="0.25">
      <c r="C307" s="100"/>
      <c r="D307" s="100"/>
    </row>
    <row r="308" spans="3:4" x14ac:dyDescent="0.25">
      <c r="C308" s="100"/>
      <c r="D308" s="100"/>
    </row>
    <row r="309" spans="3:4" x14ac:dyDescent="0.25">
      <c r="C309" s="100"/>
      <c r="D309" s="100"/>
    </row>
    <row r="310" spans="3:4" x14ac:dyDescent="0.25">
      <c r="C310" s="100"/>
      <c r="D310" s="100"/>
    </row>
    <row r="311" spans="3:4" x14ac:dyDescent="0.25">
      <c r="C311" s="100"/>
      <c r="D311" s="100"/>
    </row>
    <row r="312" spans="3:4" x14ac:dyDescent="0.25">
      <c r="C312" s="100"/>
      <c r="D312" s="100"/>
    </row>
    <row r="313" spans="3:4" x14ac:dyDescent="0.25">
      <c r="C313" s="100"/>
      <c r="D313" s="100"/>
    </row>
    <row r="314" spans="3:4" x14ac:dyDescent="0.25">
      <c r="C314" s="100"/>
      <c r="D314" s="100"/>
    </row>
    <row r="315" spans="3:4" x14ac:dyDescent="0.25">
      <c r="C315" s="100"/>
      <c r="D315" s="100"/>
    </row>
    <row r="316" spans="3:4" x14ac:dyDescent="0.25">
      <c r="C316" s="100"/>
      <c r="D316" s="100"/>
    </row>
    <row r="317" spans="3:4" x14ac:dyDescent="0.25">
      <c r="C317" s="100"/>
      <c r="D317" s="100"/>
    </row>
    <row r="318" spans="3:4" x14ac:dyDescent="0.25">
      <c r="C318" s="100"/>
      <c r="D318" s="100"/>
    </row>
    <row r="319" spans="3:4" x14ac:dyDescent="0.25">
      <c r="C319" s="100"/>
      <c r="D319" s="100"/>
    </row>
    <row r="320" spans="3:4" x14ac:dyDescent="0.25">
      <c r="C320" s="100"/>
      <c r="D320" s="100"/>
    </row>
    <row r="321" spans="3:4" x14ac:dyDescent="0.25">
      <c r="C321" s="100"/>
      <c r="D321" s="100"/>
    </row>
    <row r="322" spans="3:4" x14ac:dyDescent="0.25">
      <c r="C322" s="100"/>
      <c r="D322" s="100"/>
    </row>
    <row r="323" spans="3:4" x14ac:dyDescent="0.25">
      <c r="C323" s="100"/>
      <c r="D323" s="100"/>
    </row>
    <row r="324" spans="3:4" x14ac:dyDescent="0.25">
      <c r="C324" s="100"/>
      <c r="D324" s="100"/>
    </row>
    <row r="325" spans="3:4" x14ac:dyDescent="0.25">
      <c r="C325" s="100"/>
      <c r="D325" s="100"/>
    </row>
    <row r="326" spans="3:4" x14ac:dyDescent="0.25">
      <c r="C326" s="100"/>
      <c r="D326" s="100"/>
    </row>
    <row r="327" spans="3:4" x14ac:dyDescent="0.25">
      <c r="C327" s="100"/>
      <c r="D327" s="100"/>
    </row>
    <row r="328" spans="3:4" x14ac:dyDescent="0.25">
      <c r="C328" s="100"/>
      <c r="D328" s="100"/>
    </row>
    <row r="329" spans="3:4" x14ac:dyDescent="0.25">
      <c r="C329" s="100"/>
      <c r="D329" s="100"/>
    </row>
    <row r="330" spans="3:4" x14ac:dyDescent="0.25">
      <c r="C330" s="100"/>
      <c r="D330" s="100"/>
    </row>
    <row r="331" spans="3:4" x14ac:dyDescent="0.25">
      <c r="C331" s="100"/>
      <c r="D331" s="100"/>
    </row>
    <row r="332" spans="3:4" x14ac:dyDescent="0.25">
      <c r="C332" s="100"/>
      <c r="D332" s="100"/>
    </row>
    <row r="333" spans="3:4" x14ac:dyDescent="0.25">
      <c r="C333" s="100"/>
      <c r="D333" s="100"/>
    </row>
    <row r="334" spans="3:4" x14ac:dyDescent="0.25">
      <c r="C334" s="100"/>
      <c r="D334" s="100"/>
    </row>
    <row r="335" spans="3:4" x14ac:dyDescent="0.25">
      <c r="C335" s="100"/>
      <c r="D335" s="100"/>
    </row>
    <row r="336" spans="3:4" x14ac:dyDescent="0.25">
      <c r="C336" s="100"/>
      <c r="D336" s="100"/>
    </row>
    <row r="337" spans="3:4" x14ac:dyDescent="0.25">
      <c r="C337" s="100"/>
      <c r="D337" s="100"/>
    </row>
    <row r="338" spans="3:4" x14ac:dyDescent="0.25">
      <c r="C338" s="100"/>
      <c r="D338" s="100"/>
    </row>
    <row r="339" spans="3:4" x14ac:dyDescent="0.25">
      <c r="C339" s="100"/>
      <c r="D339" s="100"/>
    </row>
    <row r="340" spans="3:4" x14ac:dyDescent="0.25">
      <c r="C340" s="100"/>
      <c r="D340" s="100"/>
    </row>
    <row r="341" spans="3:4" x14ac:dyDescent="0.25">
      <c r="C341" s="100"/>
      <c r="D341" s="100"/>
    </row>
    <row r="342" spans="3:4" x14ac:dyDescent="0.25">
      <c r="C342" s="100"/>
      <c r="D342" s="100"/>
    </row>
    <row r="343" spans="3:4" x14ac:dyDescent="0.25">
      <c r="C343" s="100"/>
      <c r="D343" s="100"/>
    </row>
    <row r="344" spans="3:4" x14ac:dyDescent="0.25">
      <c r="C344" s="100"/>
      <c r="D344" s="100"/>
    </row>
    <row r="345" spans="3:4" x14ac:dyDescent="0.25">
      <c r="C345" s="100"/>
      <c r="D345" s="100"/>
    </row>
    <row r="346" spans="3:4" x14ac:dyDescent="0.25">
      <c r="C346" s="100"/>
      <c r="D346" s="100"/>
    </row>
    <row r="347" spans="3:4" x14ac:dyDescent="0.25">
      <c r="C347" s="100"/>
      <c r="D347" s="100"/>
    </row>
    <row r="348" spans="3:4" x14ac:dyDescent="0.25">
      <c r="C348" s="100"/>
      <c r="D348" s="100"/>
    </row>
    <row r="349" spans="3:4" x14ac:dyDescent="0.25">
      <c r="C349" s="100"/>
      <c r="D349" s="100"/>
    </row>
    <row r="350" spans="3:4" x14ac:dyDescent="0.25">
      <c r="C350" s="100"/>
      <c r="D350" s="100"/>
    </row>
    <row r="351" spans="3:4" x14ac:dyDescent="0.25">
      <c r="C351" s="100"/>
      <c r="D351" s="100"/>
    </row>
    <row r="352" spans="3:4" x14ac:dyDescent="0.25">
      <c r="C352" s="100"/>
      <c r="D352" s="100"/>
    </row>
    <row r="353" spans="3:4" x14ac:dyDescent="0.25">
      <c r="C353" s="100"/>
      <c r="D353" s="100"/>
    </row>
    <row r="354" spans="3:4" x14ac:dyDescent="0.25">
      <c r="C354" s="100"/>
      <c r="D354" s="100"/>
    </row>
    <row r="355" spans="3:4" x14ac:dyDescent="0.25">
      <c r="C355" s="100"/>
      <c r="D355" s="100"/>
    </row>
    <row r="356" spans="3:4" x14ac:dyDescent="0.25">
      <c r="C356" s="100"/>
      <c r="D356" s="100"/>
    </row>
    <row r="357" spans="3:4" x14ac:dyDescent="0.25">
      <c r="C357" s="100"/>
      <c r="D357" s="100"/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D1570-C50F-452E-89DC-A46B4C00A14B}">
  <sheetPr codeName="Sheet15"/>
  <dimension ref="A1:E357"/>
  <sheetViews>
    <sheetView workbookViewId="0">
      <selection activeCell="E1" sqref="E1:E2"/>
    </sheetView>
  </sheetViews>
  <sheetFormatPr defaultRowHeight="15.75" x14ac:dyDescent="0.25"/>
  <cols>
    <col min="1" max="1" width="8.625" style="105" bestFit="1" customWidth="1"/>
    <col min="2" max="2" width="8.625" style="101" bestFit="1" customWidth="1"/>
    <col min="3" max="3" width="8.625" style="81" bestFit="1" customWidth="1"/>
    <col min="4" max="4" width="8.25" bestFit="1" customWidth="1"/>
  </cols>
  <sheetData>
    <row r="1" spans="1:5" ht="17.25" x14ac:dyDescent="0.25">
      <c r="A1" s="102" t="s">
        <v>530</v>
      </c>
      <c r="B1" s="135" t="s">
        <v>531</v>
      </c>
      <c r="C1" s="135" t="s">
        <v>532</v>
      </c>
      <c r="D1" s="96" t="s">
        <v>533</v>
      </c>
      <c r="E1" s="169" t="s">
        <v>534</v>
      </c>
    </row>
    <row r="2" spans="1:5" x14ac:dyDescent="0.25">
      <c r="A2" s="103" t="s">
        <v>599</v>
      </c>
      <c r="B2" s="121">
        <v>65</v>
      </c>
      <c r="C2" s="121">
        <v>170</v>
      </c>
      <c r="D2" s="97">
        <v>10</v>
      </c>
      <c r="E2" s="169" t="s">
        <v>632</v>
      </c>
    </row>
    <row r="3" spans="1:5" ht="18.75" x14ac:dyDescent="0.25">
      <c r="A3" s="104" t="s">
        <v>535</v>
      </c>
      <c r="B3" s="98" t="s">
        <v>536</v>
      </c>
      <c r="C3" s="98" t="s">
        <v>537</v>
      </c>
      <c r="D3" s="98" t="s">
        <v>538</v>
      </c>
    </row>
    <row r="4" spans="1:5" x14ac:dyDescent="0.25">
      <c r="A4" s="122">
        <v>65</v>
      </c>
      <c r="B4" s="99">
        <v>9.192625876010192</v>
      </c>
      <c r="C4" s="122">
        <v>190.70110198607358</v>
      </c>
      <c r="D4" s="122">
        <v>153.36797565042838</v>
      </c>
    </row>
    <row r="5" spans="1:5" x14ac:dyDescent="0.25">
      <c r="A5" s="122">
        <v>75.5</v>
      </c>
      <c r="B5" s="99">
        <v>9.0851656327756647</v>
      </c>
      <c r="C5" s="100"/>
      <c r="D5" s="100"/>
    </row>
    <row r="6" spans="1:5" x14ac:dyDescent="0.25">
      <c r="A6" s="122">
        <v>86</v>
      </c>
      <c r="B6" s="99">
        <v>8.983453020933462</v>
      </c>
      <c r="C6" s="100"/>
      <c r="D6" s="100"/>
    </row>
    <row r="7" spans="1:5" x14ac:dyDescent="0.25">
      <c r="A7" s="122">
        <v>96.5</v>
      </c>
      <c r="B7" s="99">
        <v>8.8917527556596685</v>
      </c>
      <c r="C7" s="100"/>
      <c r="D7" s="100"/>
    </row>
    <row r="8" spans="1:5" x14ac:dyDescent="0.25">
      <c r="A8" s="122">
        <v>107</v>
      </c>
      <c r="B8" s="99">
        <v>8.8120699435184182</v>
      </c>
      <c r="C8" s="100"/>
      <c r="D8" s="100"/>
    </row>
    <row r="9" spans="1:5" x14ac:dyDescent="0.25">
      <c r="A9" s="122">
        <v>117.5</v>
      </c>
      <c r="B9" s="99">
        <v>8.7444088070338406</v>
      </c>
      <c r="C9" s="100"/>
      <c r="D9" s="100"/>
    </row>
    <row r="10" spans="1:5" x14ac:dyDescent="0.25">
      <c r="A10" s="122">
        <v>128</v>
      </c>
      <c r="B10" s="99">
        <v>8.6874461989703153</v>
      </c>
      <c r="C10" s="100"/>
      <c r="D10" s="100"/>
    </row>
    <row r="11" spans="1:5" x14ac:dyDescent="0.25">
      <c r="A11" s="122">
        <v>138.5</v>
      </c>
      <c r="B11" s="99">
        <v>8.6393149382053647</v>
      </c>
      <c r="C11" s="100"/>
      <c r="D11" s="100"/>
    </row>
    <row r="12" spans="1:5" x14ac:dyDescent="0.25">
      <c r="A12" s="122">
        <v>149</v>
      </c>
      <c r="B12" s="99">
        <v>8.5980875897176787</v>
      </c>
      <c r="C12" s="100"/>
      <c r="D12" s="100"/>
    </row>
    <row r="13" spans="1:5" x14ac:dyDescent="0.25">
      <c r="A13" s="122">
        <v>159.5</v>
      </c>
      <c r="B13" s="99">
        <v>8.5621160549168689</v>
      </c>
      <c r="C13" s="100"/>
      <c r="D13" s="100"/>
    </row>
    <row r="14" spans="1:5" x14ac:dyDescent="0.25">
      <c r="A14" s="122">
        <v>170</v>
      </c>
      <c r="B14" s="99">
        <v>8.5304120024779859</v>
      </c>
      <c r="C14" s="100"/>
      <c r="D14" s="100"/>
    </row>
    <row r="15" spans="1:5" x14ac:dyDescent="0.25">
      <c r="A15" s="122"/>
      <c r="B15" s="99"/>
      <c r="C15" s="100"/>
      <c r="D15" s="100"/>
    </row>
    <row r="16" spans="1:5" x14ac:dyDescent="0.25">
      <c r="A16" s="122"/>
      <c r="B16" s="99"/>
      <c r="C16" s="100"/>
      <c r="D16" s="100"/>
    </row>
    <row r="17" spans="1:4" x14ac:dyDescent="0.25">
      <c r="A17" s="122"/>
      <c r="B17" s="99"/>
      <c r="C17" s="100"/>
      <c r="D17" s="100"/>
    </row>
    <row r="18" spans="1:4" x14ac:dyDescent="0.25">
      <c r="A18" s="122"/>
      <c r="B18" s="99"/>
      <c r="C18" s="100"/>
      <c r="D18" s="100"/>
    </row>
    <row r="19" spans="1:4" x14ac:dyDescent="0.25">
      <c r="A19" s="122"/>
      <c r="B19" s="99"/>
      <c r="C19" s="100"/>
      <c r="D19" s="100"/>
    </row>
    <row r="20" spans="1:4" x14ac:dyDescent="0.25">
      <c r="A20" s="122"/>
      <c r="B20" s="99"/>
      <c r="C20" s="100"/>
      <c r="D20" s="100"/>
    </row>
    <row r="21" spans="1:4" x14ac:dyDescent="0.25">
      <c r="A21" s="122"/>
      <c r="B21" s="99"/>
      <c r="C21" s="100"/>
      <c r="D21" s="100"/>
    </row>
    <row r="22" spans="1:4" x14ac:dyDescent="0.25">
      <c r="A22" s="122"/>
      <c r="B22" s="99"/>
      <c r="C22" s="100"/>
      <c r="D22" s="100"/>
    </row>
    <row r="23" spans="1:4" x14ac:dyDescent="0.25">
      <c r="A23" s="122"/>
      <c r="B23" s="99"/>
      <c r="C23" s="100"/>
      <c r="D23" s="100"/>
    </row>
    <row r="24" spans="1:4" x14ac:dyDescent="0.25">
      <c r="A24" s="122"/>
      <c r="B24" s="99"/>
      <c r="C24" s="100"/>
      <c r="D24" s="100"/>
    </row>
    <row r="25" spans="1:4" x14ac:dyDescent="0.25">
      <c r="B25" s="99"/>
      <c r="C25" s="100"/>
      <c r="D25" s="100"/>
    </row>
    <row r="26" spans="1:4" x14ac:dyDescent="0.25">
      <c r="B26" s="99"/>
      <c r="C26" s="100"/>
      <c r="D26" s="100"/>
    </row>
    <row r="27" spans="1:4" x14ac:dyDescent="0.25">
      <c r="B27" s="99"/>
      <c r="C27" s="100"/>
      <c r="D27" s="100"/>
    </row>
    <row r="28" spans="1:4" x14ac:dyDescent="0.25">
      <c r="B28" s="99"/>
      <c r="C28" s="100"/>
      <c r="D28" s="100"/>
    </row>
    <row r="29" spans="1:4" x14ac:dyDescent="0.25">
      <c r="B29" s="99"/>
      <c r="C29" s="100"/>
      <c r="D29" s="100"/>
    </row>
    <row r="30" spans="1:4" x14ac:dyDescent="0.25">
      <c r="B30" s="99"/>
      <c r="C30" s="100"/>
      <c r="D30" s="100"/>
    </row>
    <row r="31" spans="1:4" x14ac:dyDescent="0.25">
      <c r="B31" s="99"/>
      <c r="C31" s="100"/>
      <c r="D31" s="100"/>
    </row>
    <row r="32" spans="1:4" x14ac:dyDescent="0.25">
      <c r="B32" s="99"/>
      <c r="C32" s="100"/>
      <c r="D32" s="100"/>
    </row>
    <row r="33" spans="2:4" x14ac:dyDescent="0.25">
      <c r="B33" s="99"/>
      <c r="C33" s="100"/>
      <c r="D33" s="100"/>
    </row>
    <row r="34" spans="2:4" x14ac:dyDescent="0.25">
      <c r="B34" s="99"/>
      <c r="C34" s="100"/>
      <c r="D34" s="100"/>
    </row>
    <row r="35" spans="2:4" x14ac:dyDescent="0.25">
      <c r="C35" s="100"/>
      <c r="D35" s="100"/>
    </row>
    <row r="36" spans="2:4" x14ac:dyDescent="0.25">
      <c r="C36" s="100"/>
      <c r="D36" s="100"/>
    </row>
    <row r="37" spans="2:4" x14ac:dyDescent="0.25">
      <c r="C37" s="100"/>
      <c r="D37" s="100"/>
    </row>
    <row r="38" spans="2:4" x14ac:dyDescent="0.25">
      <c r="C38" s="100"/>
      <c r="D38" s="100"/>
    </row>
    <row r="39" spans="2:4" x14ac:dyDescent="0.25">
      <c r="C39" s="100"/>
      <c r="D39" s="100"/>
    </row>
    <row r="40" spans="2:4" x14ac:dyDescent="0.25">
      <c r="C40" s="100"/>
      <c r="D40" s="100"/>
    </row>
    <row r="41" spans="2:4" x14ac:dyDescent="0.25">
      <c r="C41" s="100"/>
      <c r="D41" s="100"/>
    </row>
    <row r="42" spans="2:4" x14ac:dyDescent="0.25">
      <c r="C42" s="100"/>
      <c r="D42" s="100"/>
    </row>
    <row r="43" spans="2:4" x14ac:dyDescent="0.25">
      <c r="C43" s="100"/>
      <c r="D43" s="100"/>
    </row>
    <row r="44" spans="2:4" x14ac:dyDescent="0.25">
      <c r="C44" s="100"/>
      <c r="D44" s="100"/>
    </row>
    <row r="45" spans="2:4" x14ac:dyDescent="0.25">
      <c r="C45" s="100"/>
      <c r="D45" s="100"/>
    </row>
    <row r="46" spans="2:4" x14ac:dyDescent="0.25">
      <c r="C46" s="100"/>
      <c r="D46" s="100"/>
    </row>
    <row r="47" spans="2:4" x14ac:dyDescent="0.25">
      <c r="C47" s="100"/>
      <c r="D47" s="100"/>
    </row>
    <row r="48" spans="2:4" x14ac:dyDescent="0.25">
      <c r="C48" s="100"/>
      <c r="D48" s="100"/>
    </row>
    <row r="49" spans="3:4" x14ac:dyDescent="0.25">
      <c r="C49" s="100"/>
      <c r="D49" s="100"/>
    </row>
    <row r="50" spans="3:4" x14ac:dyDescent="0.25">
      <c r="C50" s="100"/>
      <c r="D50" s="100"/>
    </row>
    <row r="51" spans="3:4" x14ac:dyDescent="0.25">
      <c r="C51" s="100"/>
      <c r="D51" s="100"/>
    </row>
    <row r="52" spans="3:4" x14ac:dyDescent="0.25">
      <c r="C52" s="100"/>
      <c r="D52" s="100"/>
    </row>
    <row r="53" spans="3:4" x14ac:dyDescent="0.25">
      <c r="C53" s="100"/>
      <c r="D53" s="100"/>
    </row>
    <row r="54" spans="3:4" x14ac:dyDescent="0.25">
      <c r="C54" s="100"/>
      <c r="D54" s="100"/>
    </row>
    <row r="55" spans="3:4" x14ac:dyDescent="0.25">
      <c r="C55" s="100"/>
      <c r="D55" s="100"/>
    </row>
    <row r="56" spans="3:4" x14ac:dyDescent="0.25">
      <c r="C56" s="100"/>
      <c r="D56" s="100"/>
    </row>
    <row r="57" spans="3:4" x14ac:dyDescent="0.25">
      <c r="C57" s="100"/>
      <c r="D57" s="100"/>
    </row>
    <row r="58" spans="3:4" x14ac:dyDescent="0.25">
      <c r="C58" s="100"/>
      <c r="D58" s="100"/>
    </row>
    <row r="59" spans="3:4" x14ac:dyDescent="0.25">
      <c r="C59" s="100"/>
      <c r="D59" s="100"/>
    </row>
    <row r="60" spans="3:4" x14ac:dyDescent="0.25">
      <c r="C60" s="100"/>
      <c r="D60" s="100"/>
    </row>
    <row r="61" spans="3:4" x14ac:dyDescent="0.25">
      <c r="C61" s="100"/>
      <c r="D61" s="100"/>
    </row>
    <row r="62" spans="3:4" x14ac:dyDescent="0.25">
      <c r="C62" s="100"/>
      <c r="D62" s="100"/>
    </row>
    <row r="63" spans="3:4" x14ac:dyDescent="0.25">
      <c r="C63" s="100"/>
      <c r="D63" s="100"/>
    </row>
    <row r="64" spans="3:4" x14ac:dyDescent="0.25">
      <c r="C64" s="100"/>
      <c r="D64" s="100"/>
    </row>
    <row r="65" spans="3:4" x14ac:dyDescent="0.25">
      <c r="C65" s="100"/>
      <c r="D65" s="100"/>
    </row>
    <row r="66" spans="3:4" x14ac:dyDescent="0.25">
      <c r="C66" s="100"/>
      <c r="D66" s="100"/>
    </row>
    <row r="67" spans="3:4" x14ac:dyDescent="0.25">
      <c r="C67" s="100"/>
      <c r="D67" s="100"/>
    </row>
    <row r="68" spans="3:4" x14ac:dyDescent="0.25">
      <c r="C68" s="100"/>
      <c r="D68" s="100"/>
    </row>
    <row r="69" spans="3:4" x14ac:dyDescent="0.25">
      <c r="C69" s="100"/>
      <c r="D69" s="100"/>
    </row>
    <row r="70" spans="3:4" x14ac:dyDescent="0.25">
      <c r="C70" s="100"/>
      <c r="D70" s="100"/>
    </row>
    <row r="71" spans="3:4" x14ac:dyDescent="0.25">
      <c r="C71" s="100"/>
      <c r="D71" s="100"/>
    </row>
    <row r="72" spans="3:4" x14ac:dyDescent="0.25">
      <c r="C72" s="100"/>
      <c r="D72" s="100"/>
    </row>
    <row r="73" spans="3:4" x14ac:dyDescent="0.25">
      <c r="C73" s="100"/>
      <c r="D73" s="100"/>
    </row>
    <row r="74" spans="3:4" x14ac:dyDescent="0.25">
      <c r="C74" s="100"/>
      <c r="D74" s="100"/>
    </row>
    <row r="75" spans="3:4" x14ac:dyDescent="0.25">
      <c r="C75" s="100"/>
      <c r="D75" s="100"/>
    </row>
    <row r="76" spans="3:4" x14ac:dyDescent="0.25">
      <c r="C76" s="100"/>
      <c r="D76" s="100"/>
    </row>
    <row r="77" spans="3:4" x14ac:dyDescent="0.25">
      <c r="C77" s="100"/>
      <c r="D77" s="100"/>
    </row>
    <row r="78" spans="3:4" x14ac:dyDescent="0.25">
      <c r="C78" s="100"/>
      <c r="D78" s="100"/>
    </row>
    <row r="79" spans="3:4" x14ac:dyDescent="0.25">
      <c r="C79" s="100"/>
      <c r="D79" s="100"/>
    </row>
    <row r="80" spans="3:4" x14ac:dyDescent="0.25">
      <c r="C80" s="100"/>
      <c r="D80" s="100"/>
    </row>
    <row r="81" spans="3:4" x14ac:dyDescent="0.25">
      <c r="C81" s="100"/>
      <c r="D81" s="100"/>
    </row>
    <row r="82" spans="3:4" x14ac:dyDescent="0.25">
      <c r="C82" s="100"/>
      <c r="D82" s="100"/>
    </row>
    <row r="83" spans="3:4" x14ac:dyDescent="0.25">
      <c r="C83" s="100"/>
      <c r="D83" s="100"/>
    </row>
    <row r="84" spans="3:4" x14ac:dyDescent="0.25">
      <c r="C84" s="100"/>
      <c r="D84" s="100"/>
    </row>
    <row r="85" spans="3:4" x14ac:dyDescent="0.25">
      <c r="C85" s="100"/>
      <c r="D85" s="100"/>
    </row>
    <row r="86" spans="3:4" x14ac:dyDescent="0.25">
      <c r="C86" s="100"/>
      <c r="D86" s="100"/>
    </row>
    <row r="87" spans="3:4" x14ac:dyDescent="0.25">
      <c r="C87" s="100"/>
      <c r="D87" s="100"/>
    </row>
    <row r="88" spans="3:4" x14ac:dyDescent="0.25">
      <c r="C88" s="100"/>
      <c r="D88" s="100"/>
    </row>
    <row r="89" spans="3:4" x14ac:dyDescent="0.25">
      <c r="C89" s="100"/>
      <c r="D89" s="100"/>
    </row>
    <row r="90" spans="3:4" x14ac:dyDescent="0.25">
      <c r="C90" s="100"/>
      <c r="D90" s="100"/>
    </row>
    <row r="91" spans="3:4" x14ac:dyDescent="0.25">
      <c r="C91" s="100"/>
      <c r="D91" s="100"/>
    </row>
    <row r="92" spans="3:4" x14ac:dyDescent="0.25">
      <c r="C92" s="100"/>
      <c r="D92" s="100"/>
    </row>
    <row r="93" spans="3:4" x14ac:dyDescent="0.25">
      <c r="C93" s="100"/>
      <c r="D93" s="100"/>
    </row>
    <row r="94" spans="3:4" x14ac:dyDescent="0.25">
      <c r="C94" s="100"/>
      <c r="D94" s="100"/>
    </row>
    <row r="95" spans="3:4" x14ac:dyDescent="0.25">
      <c r="C95" s="100"/>
      <c r="D95" s="100"/>
    </row>
    <row r="96" spans="3:4" x14ac:dyDescent="0.25">
      <c r="C96" s="100"/>
      <c r="D96" s="100"/>
    </row>
    <row r="97" spans="3:4" x14ac:dyDescent="0.25">
      <c r="C97" s="100"/>
      <c r="D97" s="100"/>
    </row>
    <row r="98" spans="3:4" x14ac:dyDescent="0.25">
      <c r="C98" s="100"/>
      <c r="D98" s="100"/>
    </row>
    <row r="99" spans="3:4" x14ac:dyDescent="0.25">
      <c r="C99" s="100"/>
      <c r="D99" s="100"/>
    </row>
    <row r="100" spans="3:4" x14ac:dyDescent="0.25">
      <c r="C100" s="100"/>
      <c r="D100" s="100"/>
    </row>
    <row r="101" spans="3:4" x14ac:dyDescent="0.25">
      <c r="C101" s="100"/>
      <c r="D101" s="100"/>
    </row>
    <row r="102" spans="3:4" x14ac:dyDescent="0.25">
      <c r="C102" s="100"/>
      <c r="D102" s="100"/>
    </row>
    <row r="103" spans="3:4" x14ac:dyDescent="0.25">
      <c r="C103" s="100"/>
      <c r="D103" s="100"/>
    </row>
    <row r="104" spans="3:4" x14ac:dyDescent="0.25">
      <c r="C104" s="100"/>
      <c r="D104" s="100"/>
    </row>
    <row r="105" spans="3:4" x14ac:dyDescent="0.25">
      <c r="C105" s="100"/>
      <c r="D105" s="100"/>
    </row>
    <row r="106" spans="3:4" x14ac:dyDescent="0.25">
      <c r="C106" s="100"/>
      <c r="D106" s="100"/>
    </row>
    <row r="107" spans="3:4" x14ac:dyDescent="0.25">
      <c r="C107" s="100"/>
      <c r="D107" s="100"/>
    </row>
    <row r="108" spans="3:4" x14ac:dyDescent="0.25">
      <c r="C108" s="100"/>
      <c r="D108" s="100"/>
    </row>
    <row r="109" spans="3:4" x14ac:dyDescent="0.25">
      <c r="C109" s="100"/>
      <c r="D109" s="100"/>
    </row>
    <row r="110" spans="3:4" x14ac:dyDescent="0.25">
      <c r="C110" s="100"/>
      <c r="D110" s="100"/>
    </row>
    <row r="111" spans="3:4" x14ac:dyDescent="0.25">
      <c r="C111" s="100"/>
      <c r="D111" s="100"/>
    </row>
    <row r="112" spans="3:4" x14ac:dyDescent="0.25">
      <c r="C112" s="100"/>
      <c r="D112" s="100"/>
    </row>
    <row r="113" spans="3:4" x14ac:dyDescent="0.25">
      <c r="C113" s="100"/>
      <c r="D113" s="100"/>
    </row>
    <row r="114" spans="3:4" x14ac:dyDescent="0.25">
      <c r="C114" s="100"/>
      <c r="D114" s="100"/>
    </row>
    <row r="115" spans="3:4" x14ac:dyDescent="0.25">
      <c r="C115" s="100"/>
      <c r="D115" s="100"/>
    </row>
    <row r="116" spans="3:4" x14ac:dyDescent="0.25">
      <c r="C116" s="100"/>
      <c r="D116" s="100"/>
    </row>
    <row r="117" spans="3:4" x14ac:dyDescent="0.25">
      <c r="C117" s="100"/>
      <c r="D117" s="100"/>
    </row>
    <row r="118" spans="3:4" x14ac:dyDescent="0.25">
      <c r="C118" s="100"/>
      <c r="D118" s="100"/>
    </row>
    <row r="119" spans="3:4" x14ac:dyDescent="0.25">
      <c r="C119" s="100"/>
      <c r="D119" s="100"/>
    </row>
    <row r="120" spans="3:4" x14ac:dyDescent="0.25">
      <c r="C120" s="100"/>
      <c r="D120" s="100"/>
    </row>
    <row r="121" spans="3:4" x14ac:dyDescent="0.25">
      <c r="C121" s="100"/>
      <c r="D121" s="100"/>
    </row>
    <row r="122" spans="3:4" x14ac:dyDescent="0.25">
      <c r="C122" s="100"/>
      <c r="D122" s="100"/>
    </row>
    <row r="123" spans="3:4" x14ac:dyDescent="0.25">
      <c r="C123" s="100"/>
      <c r="D123" s="100"/>
    </row>
    <row r="124" spans="3:4" x14ac:dyDescent="0.25">
      <c r="C124" s="100"/>
      <c r="D124" s="100"/>
    </row>
    <row r="125" spans="3:4" x14ac:dyDescent="0.25">
      <c r="C125" s="100"/>
      <c r="D125" s="100"/>
    </row>
    <row r="126" spans="3:4" x14ac:dyDescent="0.25">
      <c r="C126" s="100"/>
      <c r="D126" s="100"/>
    </row>
    <row r="127" spans="3:4" x14ac:dyDescent="0.25">
      <c r="C127" s="100"/>
      <c r="D127" s="100"/>
    </row>
    <row r="128" spans="3:4" x14ac:dyDescent="0.25">
      <c r="C128" s="100"/>
      <c r="D128" s="100"/>
    </row>
    <row r="129" spans="3:4" x14ac:dyDescent="0.25">
      <c r="C129" s="100"/>
      <c r="D129" s="100"/>
    </row>
    <row r="130" spans="3:4" x14ac:dyDescent="0.25">
      <c r="C130" s="100"/>
      <c r="D130" s="100"/>
    </row>
    <row r="131" spans="3:4" x14ac:dyDescent="0.25">
      <c r="C131" s="100"/>
      <c r="D131" s="100"/>
    </row>
    <row r="132" spans="3:4" x14ac:dyDescent="0.25">
      <c r="C132" s="100"/>
      <c r="D132" s="100"/>
    </row>
    <row r="133" spans="3:4" x14ac:dyDescent="0.25">
      <c r="C133" s="100"/>
      <c r="D133" s="100"/>
    </row>
    <row r="134" spans="3:4" x14ac:dyDescent="0.25">
      <c r="C134" s="100"/>
      <c r="D134" s="100"/>
    </row>
    <row r="135" spans="3:4" x14ac:dyDescent="0.25">
      <c r="C135" s="100"/>
      <c r="D135" s="100"/>
    </row>
    <row r="136" spans="3:4" x14ac:dyDescent="0.25">
      <c r="C136" s="100"/>
      <c r="D136" s="100"/>
    </row>
    <row r="137" spans="3:4" x14ac:dyDescent="0.25">
      <c r="C137" s="100"/>
      <c r="D137" s="100"/>
    </row>
    <row r="138" spans="3:4" x14ac:dyDescent="0.25">
      <c r="C138" s="100"/>
      <c r="D138" s="100"/>
    </row>
    <row r="139" spans="3:4" x14ac:dyDescent="0.25">
      <c r="C139" s="100"/>
      <c r="D139" s="100"/>
    </row>
    <row r="140" spans="3:4" x14ac:dyDescent="0.25">
      <c r="C140" s="100"/>
      <c r="D140" s="100"/>
    </row>
    <row r="141" spans="3:4" x14ac:dyDescent="0.25">
      <c r="C141" s="100"/>
      <c r="D141" s="100"/>
    </row>
    <row r="142" spans="3:4" x14ac:dyDescent="0.25">
      <c r="C142" s="100"/>
      <c r="D142" s="100"/>
    </row>
    <row r="143" spans="3:4" x14ac:dyDescent="0.25">
      <c r="C143" s="100"/>
      <c r="D143" s="100"/>
    </row>
    <row r="144" spans="3:4" x14ac:dyDescent="0.25">
      <c r="C144" s="100"/>
      <c r="D144" s="100"/>
    </row>
    <row r="145" spans="3:4" x14ac:dyDescent="0.25">
      <c r="C145" s="100"/>
      <c r="D145" s="100"/>
    </row>
    <row r="146" spans="3:4" x14ac:dyDescent="0.25">
      <c r="C146" s="100"/>
      <c r="D146" s="100"/>
    </row>
    <row r="147" spans="3:4" x14ac:dyDescent="0.25">
      <c r="C147" s="100"/>
      <c r="D147" s="100"/>
    </row>
    <row r="148" spans="3:4" x14ac:dyDescent="0.25">
      <c r="C148" s="100"/>
      <c r="D148" s="100"/>
    </row>
    <row r="149" spans="3:4" x14ac:dyDescent="0.25">
      <c r="C149" s="100"/>
      <c r="D149" s="100"/>
    </row>
    <row r="150" spans="3:4" x14ac:dyDescent="0.25">
      <c r="C150" s="100"/>
      <c r="D150" s="100"/>
    </row>
    <row r="151" spans="3:4" x14ac:dyDescent="0.25">
      <c r="C151" s="100"/>
      <c r="D151" s="100"/>
    </row>
    <row r="152" spans="3:4" x14ac:dyDescent="0.25">
      <c r="C152" s="100"/>
      <c r="D152" s="100"/>
    </row>
    <row r="153" spans="3:4" x14ac:dyDescent="0.25">
      <c r="C153" s="100"/>
      <c r="D153" s="100"/>
    </row>
    <row r="154" spans="3:4" x14ac:dyDescent="0.25">
      <c r="C154" s="100"/>
      <c r="D154" s="100"/>
    </row>
    <row r="155" spans="3:4" x14ac:dyDescent="0.25">
      <c r="C155" s="100"/>
      <c r="D155" s="100"/>
    </row>
    <row r="156" spans="3:4" x14ac:dyDescent="0.25">
      <c r="C156" s="100"/>
      <c r="D156" s="100"/>
    </row>
    <row r="157" spans="3:4" x14ac:dyDescent="0.25">
      <c r="C157" s="100"/>
      <c r="D157" s="100"/>
    </row>
    <row r="158" spans="3:4" x14ac:dyDescent="0.25">
      <c r="C158" s="100"/>
      <c r="D158" s="100"/>
    </row>
    <row r="159" spans="3:4" x14ac:dyDescent="0.25">
      <c r="C159" s="100"/>
      <c r="D159" s="100"/>
    </row>
    <row r="160" spans="3:4" x14ac:dyDescent="0.25">
      <c r="C160" s="100"/>
      <c r="D160" s="100"/>
    </row>
    <row r="161" spans="3:4" x14ac:dyDescent="0.25">
      <c r="C161" s="100"/>
      <c r="D161" s="100"/>
    </row>
    <row r="162" spans="3:4" x14ac:dyDescent="0.25">
      <c r="C162" s="100"/>
      <c r="D162" s="100"/>
    </row>
    <row r="163" spans="3:4" x14ac:dyDescent="0.25">
      <c r="C163" s="100"/>
      <c r="D163" s="100"/>
    </row>
    <row r="164" spans="3:4" x14ac:dyDescent="0.25">
      <c r="C164" s="100"/>
      <c r="D164" s="100"/>
    </row>
    <row r="165" spans="3:4" x14ac:dyDescent="0.25">
      <c r="C165" s="100"/>
      <c r="D165" s="100"/>
    </row>
    <row r="166" spans="3:4" x14ac:dyDescent="0.25">
      <c r="C166" s="100"/>
      <c r="D166" s="100"/>
    </row>
    <row r="167" spans="3:4" x14ac:dyDescent="0.25">
      <c r="C167" s="100"/>
      <c r="D167" s="100"/>
    </row>
    <row r="168" spans="3:4" x14ac:dyDescent="0.25">
      <c r="C168" s="100"/>
      <c r="D168" s="100"/>
    </row>
    <row r="169" spans="3:4" x14ac:dyDescent="0.25">
      <c r="C169" s="100"/>
      <c r="D169" s="100"/>
    </row>
    <row r="170" spans="3:4" x14ac:dyDescent="0.25">
      <c r="C170" s="100"/>
      <c r="D170" s="100"/>
    </row>
    <row r="171" spans="3:4" x14ac:dyDescent="0.25">
      <c r="C171" s="100"/>
      <c r="D171" s="100"/>
    </row>
    <row r="172" spans="3:4" x14ac:dyDescent="0.25">
      <c r="C172" s="100"/>
      <c r="D172" s="100"/>
    </row>
    <row r="173" spans="3:4" x14ac:dyDescent="0.25">
      <c r="C173" s="100"/>
      <c r="D173" s="100"/>
    </row>
    <row r="174" spans="3:4" x14ac:dyDescent="0.25">
      <c r="C174" s="100"/>
      <c r="D174" s="100"/>
    </row>
    <row r="175" spans="3:4" x14ac:dyDescent="0.25">
      <c r="C175" s="100"/>
      <c r="D175" s="100"/>
    </row>
    <row r="176" spans="3:4" x14ac:dyDescent="0.25">
      <c r="C176" s="100"/>
      <c r="D176" s="100"/>
    </row>
    <row r="177" spans="3:4" x14ac:dyDescent="0.25">
      <c r="C177" s="100"/>
      <c r="D177" s="100"/>
    </row>
    <row r="178" spans="3:4" x14ac:dyDescent="0.25">
      <c r="C178" s="100"/>
      <c r="D178" s="100"/>
    </row>
    <row r="179" spans="3:4" x14ac:dyDescent="0.25">
      <c r="C179" s="100"/>
      <c r="D179" s="100"/>
    </row>
    <row r="180" spans="3:4" x14ac:dyDescent="0.25">
      <c r="C180" s="100"/>
      <c r="D180" s="100"/>
    </row>
    <row r="181" spans="3:4" x14ac:dyDescent="0.25">
      <c r="C181" s="100"/>
      <c r="D181" s="100"/>
    </row>
    <row r="182" spans="3:4" x14ac:dyDescent="0.25">
      <c r="C182" s="100"/>
      <c r="D182" s="100"/>
    </row>
    <row r="183" spans="3:4" x14ac:dyDescent="0.25">
      <c r="C183" s="100"/>
      <c r="D183" s="100"/>
    </row>
    <row r="184" spans="3:4" x14ac:dyDescent="0.25">
      <c r="C184" s="100"/>
      <c r="D184" s="100"/>
    </row>
    <row r="185" spans="3:4" x14ac:dyDescent="0.25">
      <c r="C185" s="100"/>
      <c r="D185" s="100"/>
    </row>
    <row r="186" spans="3:4" x14ac:dyDescent="0.25">
      <c r="C186" s="100"/>
      <c r="D186" s="100"/>
    </row>
    <row r="187" spans="3:4" x14ac:dyDescent="0.25">
      <c r="C187" s="100"/>
      <c r="D187" s="100"/>
    </row>
    <row r="188" spans="3:4" x14ac:dyDescent="0.25">
      <c r="C188" s="100"/>
      <c r="D188" s="100"/>
    </row>
    <row r="189" spans="3:4" x14ac:dyDescent="0.25">
      <c r="C189" s="100"/>
      <c r="D189" s="100"/>
    </row>
    <row r="190" spans="3:4" x14ac:dyDescent="0.25">
      <c r="C190" s="100"/>
      <c r="D190" s="100"/>
    </row>
    <row r="191" spans="3:4" x14ac:dyDescent="0.25">
      <c r="C191" s="100"/>
      <c r="D191" s="100"/>
    </row>
    <row r="192" spans="3:4" x14ac:dyDescent="0.25">
      <c r="C192" s="100"/>
      <c r="D192" s="100"/>
    </row>
    <row r="193" spans="3:4" x14ac:dyDescent="0.25">
      <c r="C193" s="100"/>
      <c r="D193" s="100"/>
    </row>
    <row r="194" spans="3:4" x14ac:dyDescent="0.25">
      <c r="C194" s="100"/>
      <c r="D194" s="100"/>
    </row>
    <row r="195" spans="3:4" x14ac:dyDescent="0.25">
      <c r="C195" s="100"/>
      <c r="D195" s="100"/>
    </row>
    <row r="196" spans="3:4" x14ac:dyDescent="0.25">
      <c r="C196" s="100"/>
      <c r="D196" s="100"/>
    </row>
    <row r="197" spans="3:4" x14ac:dyDescent="0.25">
      <c r="C197" s="100"/>
      <c r="D197" s="100"/>
    </row>
    <row r="198" spans="3:4" x14ac:dyDescent="0.25">
      <c r="C198" s="100"/>
      <c r="D198" s="100"/>
    </row>
    <row r="199" spans="3:4" x14ac:dyDescent="0.25">
      <c r="C199" s="100"/>
      <c r="D199" s="100"/>
    </row>
    <row r="200" spans="3:4" x14ac:dyDescent="0.25">
      <c r="C200" s="100"/>
      <c r="D200" s="100"/>
    </row>
    <row r="201" spans="3:4" x14ac:dyDescent="0.25">
      <c r="C201" s="100"/>
      <c r="D201" s="100"/>
    </row>
    <row r="202" spans="3:4" x14ac:dyDescent="0.25">
      <c r="C202" s="100"/>
      <c r="D202" s="100"/>
    </row>
    <row r="203" spans="3:4" x14ac:dyDescent="0.25">
      <c r="C203" s="100"/>
      <c r="D203" s="100"/>
    </row>
    <row r="204" spans="3:4" x14ac:dyDescent="0.25">
      <c r="C204" s="100"/>
      <c r="D204" s="100"/>
    </row>
    <row r="205" spans="3:4" x14ac:dyDescent="0.25">
      <c r="C205" s="100"/>
      <c r="D205" s="100"/>
    </row>
    <row r="206" spans="3:4" x14ac:dyDescent="0.25">
      <c r="C206" s="100"/>
      <c r="D206" s="100"/>
    </row>
    <row r="207" spans="3:4" x14ac:dyDescent="0.25">
      <c r="C207" s="100"/>
      <c r="D207" s="100"/>
    </row>
    <row r="208" spans="3:4" x14ac:dyDescent="0.25">
      <c r="C208" s="100"/>
      <c r="D208" s="100"/>
    </row>
    <row r="209" spans="3:4" x14ac:dyDescent="0.25">
      <c r="C209" s="100"/>
      <c r="D209" s="100"/>
    </row>
    <row r="210" spans="3:4" x14ac:dyDescent="0.25">
      <c r="C210" s="100"/>
      <c r="D210" s="100"/>
    </row>
    <row r="211" spans="3:4" x14ac:dyDescent="0.25">
      <c r="C211" s="100"/>
      <c r="D211" s="100"/>
    </row>
    <row r="212" spans="3:4" x14ac:dyDescent="0.25">
      <c r="C212" s="100"/>
      <c r="D212" s="100"/>
    </row>
    <row r="213" spans="3:4" x14ac:dyDescent="0.25">
      <c r="C213" s="100"/>
      <c r="D213" s="100"/>
    </row>
    <row r="214" spans="3:4" x14ac:dyDescent="0.25">
      <c r="C214" s="100"/>
      <c r="D214" s="100"/>
    </row>
    <row r="215" spans="3:4" x14ac:dyDescent="0.25">
      <c r="C215" s="100"/>
      <c r="D215" s="100"/>
    </row>
    <row r="216" spans="3:4" x14ac:dyDescent="0.25">
      <c r="C216" s="100"/>
      <c r="D216" s="100"/>
    </row>
    <row r="217" spans="3:4" x14ac:dyDescent="0.25">
      <c r="C217" s="100"/>
      <c r="D217" s="100"/>
    </row>
    <row r="218" spans="3:4" x14ac:dyDescent="0.25">
      <c r="C218" s="100"/>
      <c r="D218" s="100"/>
    </row>
    <row r="219" spans="3:4" x14ac:dyDescent="0.25">
      <c r="C219" s="100"/>
      <c r="D219" s="100"/>
    </row>
    <row r="220" spans="3:4" x14ac:dyDescent="0.25">
      <c r="C220" s="100"/>
      <c r="D220" s="100"/>
    </row>
    <row r="221" spans="3:4" x14ac:dyDescent="0.25">
      <c r="C221" s="100"/>
      <c r="D221" s="100"/>
    </row>
    <row r="222" spans="3:4" x14ac:dyDescent="0.25">
      <c r="C222" s="100"/>
      <c r="D222" s="100"/>
    </row>
    <row r="223" spans="3:4" x14ac:dyDescent="0.25">
      <c r="C223" s="100"/>
      <c r="D223" s="100"/>
    </row>
    <row r="224" spans="3:4" x14ac:dyDescent="0.25">
      <c r="C224" s="100"/>
      <c r="D224" s="100"/>
    </row>
    <row r="225" spans="3:4" x14ac:dyDescent="0.25">
      <c r="C225" s="100"/>
      <c r="D225" s="100"/>
    </row>
    <row r="226" spans="3:4" x14ac:dyDescent="0.25">
      <c r="C226" s="100"/>
      <c r="D226" s="100"/>
    </row>
    <row r="227" spans="3:4" x14ac:dyDescent="0.25">
      <c r="C227" s="100"/>
      <c r="D227" s="100"/>
    </row>
    <row r="228" spans="3:4" x14ac:dyDescent="0.25">
      <c r="C228" s="100"/>
      <c r="D228" s="100"/>
    </row>
    <row r="229" spans="3:4" x14ac:dyDescent="0.25">
      <c r="C229" s="100"/>
      <c r="D229" s="100"/>
    </row>
    <row r="230" spans="3:4" x14ac:dyDescent="0.25">
      <c r="C230" s="100"/>
      <c r="D230" s="100"/>
    </row>
    <row r="231" spans="3:4" x14ac:dyDescent="0.25">
      <c r="C231" s="100"/>
      <c r="D231" s="100"/>
    </row>
    <row r="232" spans="3:4" x14ac:dyDescent="0.25">
      <c r="C232" s="100"/>
      <c r="D232" s="100"/>
    </row>
    <row r="233" spans="3:4" x14ac:dyDescent="0.25">
      <c r="C233" s="100"/>
      <c r="D233" s="100"/>
    </row>
    <row r="234" spans="3:4" x14ac:dyDescent="0.25">
      <c r="C234" s="100"/>
      <c r="D234" s="100"/>
    </row>
    <row r="235" spans="3:4" x14ac:dyDescent="0.25">
      <c r="C235" s="100"/>
      <c r="D235" s="100"/>
    </row>
    <row r="236" spans="3:4" x14ac:dyDescent="0.25">
      <c r="C236" s="100"/>
      <c r="D236" s="100"/>
    </row>
    <row r="237" spans="3:4" x14ac:dyDescent="0.25">
      <c r="C237" s="100"/>
      <c r="D237" s="100"/>
    </row>
    <row r="238" spans="3:4" x14ac:dyDescent="0.25">
      <c r="C238" s="100"/>
      <c r="D238" s="100"/>
    </row>
    <row r="239" spans="3:4" x14ac:dyDescent="0.25">
      <c r="C239" s="100"/>
      <c r="D239" s="100"/>
    </row>
    <row r="240" spans="3:4" x14ac:dyDescent="0.25">
      <c r="C240" s="100"/>
      <c r="D240" s="100"/>
    </row>
    <row r="241" spans="3:4" x14ac:dyDescent="0.25">
      <c r="C241" s="100"/>
      <c r="D241" s="100"/>
    </row>
    <row r="242" spans="3:4" x14ac:dyDescent="0.25">
      <c r="C242" s="100"/>
      <c r="D242" s="100"/>
    </row>
    <row r="243" spans="3:4" x14ac:dyDescent="0.25">
      <c r="C243" s="100"/>
      <c r="D243" s="100"/>
    </row>
    <row r="244" spans="3:4" x14ac:dyDescent="0.25">
      <c r="C244" s="100"/>
      <c r="D244" s="100"/>
    </row>
    <row r="245" spans="3:4" x14ac:dyDescent="0.25">
      <c r="C245" s="100"/>
      <c r="D245" s="100"/>
    </row>
    <row r="246" spans="3:4" x14ac:dyDescent="0.25">
      <c r="C246" s="100"/>
      <c r="D246" s="100"/>
    </row>
    <row r="247" spans="3:4" x14ac:dyDescent="0.25">
      <c r="C247" s="100"/>
      <c r="D247" s="100"/>
    </row>
    <row r="248" spans="3:4" x14ac:dyDescent="0.25">
      <c r="C248" s="100"/>
      <c r="D248" s="100"/>
    </row>
    <row r="249" spans="3:4" x14ac:dyDescent="0.25">
      <c r="C249" s="100"/>
      <c r="D249" s="100"/>
    </row>
    <row r="250" spans="3:4" x14ac:dyDescent="0.25">
      <c r="C250" s="100"/>
      <c r="D250" s="100"/>
    </row>
    <row r="251" spans="3:4" x14ac:dyDescent="0.25">
      <c r="C251" s="100"/>
      <c r="D251" s="100"/>
    </row>
    <row r="252" spans="3:4" x14ac:dyDescent="0.25">
      <c r="C252" s="100"/>
      <c r="D252" s="100"/>
    </row>
    <row r="253" spans="3:4" x14ac:dyDescent="0.25">
      <c r="C253" s="100"/>
      <c r="D253" s="100"/>
    </row>
    <row r="254" spans="3:4" x14ac:dyDescent="0.25">
      <c r="C254" s="100"/>
      <c r="D254" s="100"/>
    </row>
    <row r="255" spans="3:4" x14ac:dyDescent="0.25">
      <c r="C255" s="100"/>
      <c r="D255" s="100"/>
    </row>
    <row r="256" spans="3:4" x14ac:dyDescent="0.25">
      <c r="C256" s="100"/>
      <c r="D256" s="100"/>
    </row>
    <row r="257" spans="3:4" x14ac:dyDescent="0.25">
      <c r="C257" s="100"/>
      <c r="D257" s="100"/>
    </row>
    <row r="258" spans="3:4" x14ac:dyDescent="0.25">
      <c r="C258" s="100"/>
      <c r="D258" s="100"/>
    </row>
    <row r="259" spans="3:4" x14ac:dyDescent="0.25">
      <c r="C259" s="100"/>
      <c r="D259" s="100"/>
    </row>
    <row r="260" spans="3:4" x14ac:dyDescent="0.25">
      <c r="C260" s="100"/>
      <c r="D260" s="100"/>
    </row>
    <row r="261" spans="3:4" x14ac:dyDescent="0.25">
      <c r="C261" s="100"/>
      <c r="D261" s="100"/>
    </row>
    <row r="262" spans="3:4" x14ac:dyDescent="0.25">
      <c r="C262" s="100"/>
      <c r="D262" s="100"/>
    </row>
    <row r="263" spans="3:4" x14ac:dyDescent="0.25">
      <c r="C263" s="100"/>
      <c r="D263" s="100"/>
    </row>
    <row r="264" spans="3:4" x14ac:dyDescent="0.25">
      <c r="C264" s="100"/>
      <c r="D264" s="100"/>
    </row>
    <row r="265" spans="3:4" x14ac:dyDescent="0.25">
      <c r="C265" s="100"/>
      <c r="D265" s="100"/>
    </row>
    <row r="266" spans="3:4" x14ac:dyDescent="0.25">
      <c r="C266" s="100"/>
      <c r="D266" s="100"/>
    </row>
    <row r="267" spans="3:4" x14ac:dyDescent="0.25">
      <c r="C267" s="100"/>
      <c r="D267" s="100"/>
    </row>
    <row r="268" spans="3:4" x14ac:dyDescent="0.25">
      <c r="C268" s="100"/>
      <c r="D268" s="100"/>
    </row>
    <row r="269" spans="3:4" x14ac:dyDescent="0.25">
      <c r="C269" s="100"/>
      <c r="D269" s="100"/>
    </row>
    <row r="270" spans="3:4" x14ac:dyDescent="0.25">
      <c r="C270" s="100"/>
      <c r="D270" s="100"/>
    </row>
    <row r="271" spans="3:4" x14ac:dyDescent="0.25">
      <c r="C271" s="100"/>
      <c r="D271" s="100"/>
    </row>
    <row r="272" spans="3:4" x14ac:dyDescent="0.25">
      <c r="C272" s="100"/>
      <c r="D272" s="100"/>
    </row>
    <row r="273" spans="3:4" x14ac:dyDescent="0.25">
      <c r="C273" s="100"/>
      <c r="D273" s="100"/>
    </row>
    <row r="274" spans="3:4" x14ac:dyDescent="0.25">
      <c r="C274" s="100"/>
      <c r="D274" s="100"/>
    </row>
    <row r="275" spans="3:4" x14ac:dyDescent="0.25">
      <c r="C275" s="100"/>
      <c r="D275" s="100"/>
    </row>
    <row r="276" spans="3:4" x14ac:dyDescent="0.25">
      <c r="C276" s="100"/>
      <c r="D276" s="100"/>
    </row>
    <row r="277" spans="3:4" x14ac:dyDescent="0.25">
      <c r="C277" s="100"/>
      <c r="D277" s="100"/>
    </row>
    <row r="278" spans="3:4" x14ac:dyDescent="0.25">
      <c r="C278" s="100"/>
      <c r="D278" s="100"/>
    </row>
    <row r="279" spans="3:4" x14ac:dyDescent="0.25">
      <c r="C279" s="100"/>
      <c r="D279" s="100"/>
    </row>
    <row r="280" spans="3:4" x14ac:dyDescent="0.25">
      <c r="C280" s="100"/>
      <c r="D280" s="100"/>
    </row>
    <row r="281" spans="3:4" x14ac:dyDescent="0.25">
      <c r="C281" s="100"/>
      <c r="D281" s="100"/>
    </row>
    <row r="282" spans="3:4" x14ac:dyDescent="0.25">
      <c r="C282" s="100"/>
      <c r="D282" s="100"/>
    </row>
    <row r="283" spans="3:4" x14ac:dyDescent="0.25">
      <c r="C283" s="100"/>
      <c r="D283" s="100"/>
    </row>
    <row r="284" spans="3:4" x14ac:dyDescent="0.25">
      <c r="C284" s="100"/>
      <c r="D284" s="100"/>
    </row>
    <row r="285" spans="3:4" x14ac:dyDescent="0.25">
      <c r="C285" s="100"/>
      <c r="D285" s="100"/>
    </row>
    <row r="286" spans="3:4" x14ac:dyDescent="0.25">
      <c r="C286" s="100"/>
      <c r="D286" s="100"/>
    </row>
    <row r="287" spans="3:4" x14ac:dyDescent="0.25">
      <c r="C287" s="100"/>
      <c r="D287" s="100"/>
    </row>
    <row r="288" spans="3:4" x14ac:dyDescent="0.25">
      <c r="C288" s="100"/>
      <c r="D288" s="100"/>
    </row>
    <row r="289" spans="3:4" x14ac:dyDescent="0.25">
      <c r="C289" s="100"/>
      <c r="D289" s="100"/>
    </row>
    <row r="290" spans="3:4" x14ac:dyDescent="0.25">
      <c r="C290" s="100"/>
      <c r="D290" s="100"/>
    </row>
    <row r="291" spans="3:4" x14ac:dyDescent="0.25">
      <c r="C291" s="100"/>
      <c r="D291" s="100"/>
    </row>
    <row r="292" spans="3:4" x14ac:dyDescent="0.25">
      <c r="C292" s="100"/>
      <c r="D292" s="100"/>
    </row>
    <row r="293" spans="3:4" x14ac:dyDescent="0.25">
      <c r="C293" s="100"/>
      <c r="D293" s="100"/>
    </row>
    <row r="294" spans="3:4" x14ac:dyDescent="0.25">
      <c r="C294" s="100"/>
      <c r="D294" s="100"/>
    </row>
    <row r="295" spans="3:4" x14ac:dyDescent="0.25">
      <c r="C295" s="100"/>
      <c r="D295" s="100"/>
    </row>
    <row r="296" spans="3:4" x14ac:dyDescent="0.25">
      <c r="C296" s="100"/>
      <c r="D296" s="100"/>
    </row>
    <row r="297" spans="3:4" x14ac:dyDescent="0.25">
      <c r="C297" s="100"/>
      <c r="D297" s="100"/>
    </row>
    <row r="298" spans="3:4" x14ac:dyDescent="0.25">
      <c r="C298" s="100"/>
      <c r="D298" s="100"/>
    </row>
    <row r="299" spans="3:4" x14ac:dyDescent="0.25">
      <c r="C299" s="100"/>
      <c r="D299" s="100"/>
    </row>
    <row r="300" spans="3:4" x14ac:dyDescent="0.25">
      <c r="C300" s="100"/>
      <c r="D300" s="100"/>
    </row>
    <row r="301" spans="3:4" x14ac:dyDescent="0.25">
      <c r="C301" s="100"/>
      <c r="D301" s="100"/>
    </row>
    <row r="302" spans="3:4" x14ac:dyDescent="0.25">
      <c r="C302" s="100"/>
      <c r="D302" s="100"/>
    </row>
    <row r="303" spans="3:4" x14ac:dyDescent="0.25">
      <c r="C303" s="100"/>
      <c r="D303" s="100"/>
    </row>
    <row r="304" spans="3:4" x14ac:dyDescent="0.25">
      <c r="C304" s="100"/>
      <c r="D304" s="100"/>
    </row>
    <row r="305" spans="3:4" x14ac:dyDescent="0.25">
      <c r="C305" s="100"/>
      <c r="D305" s="100"/>
    </row>
    <row r="306" spans="3:4" x14ac:dyDescent="0.25">
      <c r="C306" s="100"/>
      <c r="D306" s="100"/>
    </row>
    <row r="307" spans="3:4" x14ac:dyDescent="0.25">
      <c r="C307" s="100"/>
      <c r="D307" s="100"/>
    </row>
    <row r="308" spans="3:4" x14ac:dyDescent="0.25">
      <c r="C308" s="100"/>
      <c r="D308" s="100"/>
    </row>
    <row r="309" spans="3:4" x14ac:dyDescent="0.25">
      <c r="C309" s="100"/>
      <c r="D309" s="100"/>
    </row>
    <row r="310" spans="3:4" x14ac:dyDescent="0.25">
      <c r="C310" s="100"/>
      <c r="D310" s="100"/>
    </row>
    <row r="311" spans="3:4" x14ac:dyDescent="0.25">
      <c r="C311" s="100"/>
      <c r="D311" s="100"/>
    </row>
    <row r="312" spans="3:4" x14ac:dyDescent="0.25">
      <c r="C312" s="100"/>
      <c r="D312" s="100"/>
    </row>
    <row r="313" spans="3:4" x14ac:dyDescent="0.25">
      <c r="C313" s="100"/>
      <c r="D313" s="100"/>
    </row>
    <row r="314" spans="3:4" x14ac:dyDescent="0.25">
      <c r="C314" s="100"/>
      <c r="D314" s="100"/>
    </row>
    <row r="315" spans="3:4" x14ac:dyDescent="0.25">
      <c r="C315" s="100"/>
      <c r="D315" s="100"/>
    </row>
    <row r="316" spans="3:4" x14ac:dyDescent="0.25">
      <c r="C316" s="100"/>
      <c r="D316" s="100"/>
    </row>
    <row r="317" spans="3:4" x14ac:dyDescent="0.25">
      <c r="C317" s="100"/>
      <c r="D317" s="100"/>
    </row>
    <row r="318" spans="3:4" x14ac:dyDescent="0.25">
      <c r="C318" s="100"/>
      <c r="D318" s="100"/>
    </row>
    <row r="319" spans="3:4" x14ac:dyDescent="0.25">
      <c r="C319" s="100"/>
      <c r="D319" s="100"/>
    </row>
    <row r="320" spans="3:4" x14ac:dyDescent="0.25">
      <c r="C320" s="100"/>
      <c r="D320" s="100"/>
    </row>
    <row r="321" spans="3:4" x14ac:dyDescent="0.25">
      <c r="C321" s="100"/>
      <c r="D321" s="100"/>
    </row>
    <row r="322" spans="3:4" x14ac:dyDescent="0.25">
      <c r="C322" s="100"/>
      <c r="D322" s="100"/>
    </row>
    <row r="323" spans="3:4" x14ac:dyDescent="0.25">
      <c r="C323" s="100"/>
      <c r="D323" s="100"/>
    </row>
    <row r="324" spans="3:4" x14ac:dyDescent="0.25">
      <c r="C324" s="100"/>
      <c r="D324" s="100"/>
    </row>
    <row r="325" spans="3:4" x14ac:dyDescent="0.25">
      <c r="C325" s="100"/>
      <c r="D325" s="100"/>
    </row>
    <row r="326" spans="3:4" x14ac:dyDescent="0.25">
      <c r="C326" s="100"/>
      <c r="D326" s="100"/>
    </row>
    <row r="327" spans="3:4" x14ac:dyDescent="0.25">
      <c r="C327" s="100"/>
      <c r="D327" s="100"/>
    </row>
    <row r="328" spans="3:4" x14ac:dyDescent="0.25">
      <c r="C328" s="100"/>
      <c r="D328" s="100"/>
    </row>
    <row r="329" spans="3:4" x14ac:dyDescent="0.25">
      <c r="C329" s="100"/>
      <c r="D329" s="100"/>
    </row>
    <row r="330" spans="3:4" x14ac:dyDescent="0.25">
      <c r="C330" s="100"/>
      <c r="D330" s="100"/>
    </row>
    <row r="331" spans="3:4" x14ac:dyDescent="0.25">
      <c r="C331" s="100"/>
      <c r="D331" s="100"/>
    </row>
    <row r="332" spans="3:4" x14ac:dyDescent="0.25">
      <c r="C332" s="100"/>
      <c r="D332" s="100"/>
    </row>
    <row r="333" spans="3:4" x14ac:dyDescent="0.25">
      <c r="C333" s="100"/>
      <c r="D333" s="100"/>
    </row>
    <row r="334" spans="3:4" x14ac:dyDescent="0.25">
      <c r="C334" s="100"/>
      <c r="D334" s="100"/>
    </row>
    <row r="335" spans="3:4" x14ac:dyDescent="0.25">
      <c r="C335" s="100"/>
      <c r="D335" s="100"/>
    </row>
    <row r="336" spans="3:4" x14ac:dyDescent="0.25">
      <c r="C336" s="100"/>
      <c r="D336" s="100"/>
    </row>
    <row r="337" spans="3:4" x14ac:dyDescent="0.25">
      <c r="C337" s="100"/>
      <c r="D337" s="100"/>
    </row>
    <row r="338" spans="3:4" x14ac:dyDescent="0.25">
      <c r="C338" s="100"/>
      <c r="D338" s="100"/>
    </row>
    <row r="339" spans="3:4" x14ac:dyDescent="0.25">
      <c r="C339" s="100"/>
      <c r="D339" s="100"/>
    </row>
    <row r="340" spans="3:4" x14ac:dyDescent="0.25">
      <c r="C340" s="100"/>
      <c r="D340" s="100"/>
    </row>
    <row r="341" spans="3:4" x14ac:dyDescent="0.25">
      <c r="C341" s="100"/>
      <c r="D341" s="100"/>
    </row>
    <row r="342" spans="3:4" x14ac:dyDescent="0.25">
      <c r="C342" s="100"/>
      <c r="D342" s="100"/>
    </row>
    <row r="343" spans="3:4" x14ac:dyDescent="0.25">
      <c r="C343" s="100"/>
      <c r="D343" s="100"/>
    </row>
    <row r="344" spans="3:4" x14ac:dyDescent="0.25">
      <c r="C344" s="100"/>
      <c r="D344" s="100"/>
    </row>
    <row r="345" spans="3:4" x14ac:dyDescent="0.25">
      <c r="C345" s="100"/>
      <c r="D345" s="100"/>
    </row>
    <row r="346" spans="3:4" x14ac:dyDescent="0.25">
      <c r="C346" s="100"/>
      <c r="D346" s="100"/>
    </row>
    <row r="347" spans="3:4" x14ac:dyDescent="0.25">
      <c r="C347" s="100"/>
      <c r="D347" s="100"/>
    </row>
    <row r="348" spans="3:4" x14ac:dyDescent="0.25">
      <c r="C348" s="100"/>
      <c r="D348" s="100"/>
    </row>
    <row r="349" spans="3:4" x14ac:dyDescent="0.25">
      <c r="C349" s="100"/>
      <c r="D349" s="100"/>
    </row>
    <row r="350" spans="3:4" x14ac:dyDescent="0.25">
      <c r="C350" s="100"/>
      <c r="D350" s="100"/>
    </row>
    <row r="351" spans="3:4" x14ac:dyDescent="0.25">
      <c r="C351" s="100"/>
      <c r="D351" s="100"/>
    </row>
    <row r="352" spans="3:4" x14ac:dyDescent="0.25">
      <c r="C352" s="100"/>
      <c r="D352" s="100"/>
    </row>
    <row r="353" spans="3:4" x14ac:dyDescent="0.25">
      <c r="C353" s="100"/>
      <c r="D353" s="100"/>
    </row>
    <row r="354" spans="3:4" x14ac:dyDescent="0.25">
      <c r="C354" s="100"/>
      <c r="D354" s="100"/>
    </row>
    <row r="355" spans="3:4" x14ac:dyDescent="0.25">
      <c r="C355" s="100"/>
      <c r="D355" s="100"/>
    </row>
    <row r="356" spans="3:4" x14ac:dyDescent="0.25">
      <c r="C356" s="100"/>
      <c r="D356" s="100"/>
    </row>
    <row r="357" spans="3:4" x14ac:dyDescent="0.25">
      <c r="C357" s="100"/>
      <c r="D357" s="100"/>
    </row>
  </sheetData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"/>
  <dimension ref="A1:AY495"/>
  <sheetViews>
    <sheetView workbookViewId="0"/>
  </sheetViews>
  <sheetFormatPr defaultRowHeight="15.75" x14ac:dyDescent="0.25"/>
  <cols>
    <col min="1" max="1" width="4.375" customWidth="1"/>
    <col min="2" max="2" width="14.625" style="1" bestFit="1" customWidth="1"/>
    <col min="3" max="3" width="16.5" style="1" bestFit="1" customWidth="1"/>
    <col min="4" max="4" width="22.125" style="1" bestFit="1" customWidth="1"/>
    <col min="5" max="5" width="28.25" style="1" bestFit="1" customWidth="1"/>
    <col min="6" max="7" width="13.375" style="1" bestFit="1" customWidth="1"/>
    <col min="8" max="9" width="9.625" style="1" bestFit="1" customWidth="1"/>
    <col min="10" max="10" width="11.25" style="1" bestFit="1" customWidth="1"/>
    <col min="11" max="11" width="10.25" style="1" bestFit="1" customWidth="1"/>
    <col min="12" max="12" width="8.625" style="1" bestFit="1" customWidth="1"/>
    <col min="13" max="13" width="12.25" style="1" bestFit="1" customWidth="1"/>
    <col min="14" max="14" width="23.875" style="1" customWidth="1"/>
    <col min="15" max="15" width="12.5" style="1" customWidth="1"/>
    <col min="16" max="16" width="2.75" style="1" customWidth="1"/>
    <col min="17" max="17" width="5.5" style="1" customWidth="1"/>
    <col min="18" max="18" width="8.375" style="1" customWidth="1"/>
    <col min="19" max="19" width="1.25" style="1" customWidth="1"/>
    <col min="20" max="20" width="6.625" style="1" customWidth="1"/>
    <col min="21" max="22" width="4.125" style="1" customWidth="1"/>
    <col min="23" max="23" width="5.5" style="1" customWidth="1"/>
    <col min="24" max="24" width="6.625" style="1" customWidth="1"/>
    <col min="25" max="25" width="7.125" style="1" customWidth="1"/>
    <col min="26" max="26" width="6.625" style="1" customWidth="1"/>
    <col min="27" max="28" width="4.125" style="1" customWidth="1"/>
    <col min="29" max="29" width="28.875" style="1" bestFit="1" customWidth="1"/>
    <col min="30" max="30" width="8.625" style="1" bestFit="1" customWidth="1"/>
    <col min="31" max="31" width="28.875" style="1" bestFit="1" customWidth="1"/>
    <col min="32" max="32" width="8.625" style="1" bestFit="1" customWidth="1"/>
    <col min="33" max="33" width="13.125" style="1" customWidth="1"/>
    <col min="34" max="34" width="6.5" style="1" bestFit="1" customWidth="1"/>
    <col min="35" max="35" width="8.625" style="1" bestFit="1" customWidth="1"/>
    <col min="36" max="36" width="6.25" style="1" bestFit="1" customWidth="1"/>
    <col min="37" max="37" width="13.125" style="1" bestFit="1" customWidth="1"/>
    <col min="38" max="38" width="34.625" style="1" customWidth="1"/>
    <col min="39" max="39" width="8.625" style="1" customWidth="1"/>
    <col min="40" max="40" width="34.625" style="1" customWidth="1"/>
    <col min="41" max="41" width="8.625" style="1" customWidth="1"/>
    <col min="42" max="42" width="34.625" style="1" customWidth="1"/>
    <col min="43" max="43" width="8.625" style="1" customWidth="1"/>
    <col min="44" max="44" width="34.625" style="1" customWidth="1"/>
    <col min="45" max="45" width="8.625" style="1" customWidth="1"/>
    <col min="46" max="46" width="34.625" style="1" customWidth="1"/>
    <col min="47" max="47" width="8.625" style="1" customWidth="1"/>
    <col min="48" max="48" width="34.625" style="1" customWidth="1"/>
    <col min="49" max="49" width="8.625" style="1" customWidth="1"/>
    <col min="50" max="50" width="34.625" style="1" customWidth="1"/>
    <col min="51" max="51" width="8.625" style="1" customWidth="1"/>
    <col min="52" max="52" width="22.875" bestFit="1" customWidth="1"/>
    <col min="53" max="53" width="18.625" bestFit="1" customWidth="1"/>
    <col min="54" max="54" width="8.125" customWidth="1"/>
    <col min="55" max="55" width="18.625" bestFit="1" customWidth="1"/>
    <col min="56" max="56" width="10.375" bestFit="1" customWidth="1"/>
    <col min="57" max="57" width="1.875" bestFit="1" customWidth="1"/>
    <col min="58" max="58" width="5.375" bestFit="1" customWidth="1"/>
    <col min="59" max="59" width="8.125" bestFit="1" customWidth="1"/>
    <col min="60" max="60" width="5" customWidth="1"/>
    <col min="61" max="61" width="7.375" customWidth="1"/>
    <col min="62" max="62" width="16.875" customWidth="1"/>
    <col min="63" max="63" width="7.5" customWidth="1"/>
    <col min="64" max="64" width="4" customWidth="1"/>
    <col min="65" max="65" width="6.125" customWidth="1"/>
    <col min="66" max="66" width="3.75" customWidth="1"/>
    <col min="67" max="67" width="8.625" customWidth="1"/>
    <col min="68" max="68" width="13" customWidth="1"/>
    <col min="69" max="69" width="3.75" bestFit="1" customWidth="1"/>
    <col min="70" max="70" width="8.625" bestFit="1" customWidth="1"/>
    <col min="71" max="71" width="13" bestFit="1" customWidth="1"/>
    <col min="72" max="72" width="1.375" bestFit="1" customWidth="1"/>
    <col min="73" max="73" width="16.875" bestFit="1" customWidth="1"/>
    <col min="74" max="74" width="7.5" bestFit="1" customWidth="1"/>
    <col min="75" max="75" width="4" bestFit="1" customWidth="1"/>
    <col min="76" max="76" width="6.125" bestFit="1" customWidth="1"/>
    <col min="77" max="77" width="3.75" bestFit="1" customWidth="1"/>
    <col min="78" max="78" width="8.625" bestFit="1" customWidth="1"/>
    <col min="79" max="79" width="13" bestFit="1" customWidth="1"/>
    <col min="80" max="80" width="8.125" bestFit="1" customWidth="1"/>
    <col min="81" max="81" width="25.375" customWidth="1"/>
    <col min="82" max="82" width="7.375" customWidth="1"/>
    <col min="83" max="83" width="25.375" customWidth="1"/>
    <col min="84" max="84" width="7.375" customWidth="1"/>
    <col min="85" max="85" width="16.875" customWidth="1"/>
    <col min="86" max="86" width="7.5" customWidth="1"/>
    <col min="87" max="87" width="4" customWidth="1"/>
    <col min="88" max="88" width="6.125" customWidth="1"/>
    <col min="89" max="89" width="3.75" customWidth="1"/>
    <col min="90" max="90" width="8.625" customWidth="1"/>
    <col min="91" max="91" width="13" customWidth="1"/>
    <col min="92" max="92" width="3.75" bestFit="1" customWidth="1"/>
    <col min="93" max="93" width="8.625" bestFit="1" customWidth="1"/>
    <col min="94" max="94" width="13" bestFit="1" customWidth="1"/>
    <col min="95" max="95" width="1.375" bestFit="1" customWidth="1"/>
    <col min="96" max="96" width="16.875" bestFit="1" customWidth="1"/>
    <col min="97" max="97" width="7.5" bestFit="1" customWidth="1"/>
    <col min="98" max="98" width="4" bestFit="1" customWidth="1"/>
    <col min="99" max="99" width="6.125" bestFit="1" customWidth="1"/>
    <col min="100" max="100" width="3.75" bestFit="1" customWidth="1"/>
    <col min="101" max="101" width="8.625" bestFit="1" customWidth="1"/>
    <col min="102" max="102" width="13" bestFit="1" customWidth="1"/>
  </cols>
  <sheetData>
    <row r="1" spans="1:51" x14ac:dyDescent="0.25">
      <c r="A1" t="s">
        <v>547</v>
      </c>
      <c r="B1" s="1" t="s">
        <v>548</v>
      </c>
      <c r="C1" s="1" t="s">
        <v>549</v>
      </c>
      <c r="D1" s="91" t="s">
        <v>550</v>
      </c>
      <c r="E1" s="91">
        <v>103062</v>
      </c>
      <c r="F1" s="91"/>
      <c r="G1" s="91"/>
      <c r="H1" s="91"/>
      <c r="I1" s="91"/>
      <c r="J1" s="91"/>
      <c r="K1" s="91"/>
      <c r="L1" s="91"/>
      <c r="M1" s="9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</row>
    <row r="2" spans="1:51" x14ac:dyDescent="0.25">
      <c r="A2" t="s">
        <v>547</v>
      </c>
      <c r="B2" s="1" t="s">
        <v>550</v>
      </c>
      <c r="C2" s="1" t="s">
        <v>551</v>
      </c>
      <c r="D2" s="1" t="s">
        <v>552</v>
      </c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</row>
    <row r="3" spans="1:51" x14ac:dyDescent="0.25">
      <c r="A3" t="s">
        <v>547</v>
      </c>
      <c r="B3" s="1" t="s">
        <v>550</v>
      </c>
      <c r="C3" s="1" t="s">
        <v>553</v>
      </c>
      <c r="D3" s="1" t="s">
        <v>554</v>
      </c>
      <c r="E3" s="1" t="s">
        <v>555</v>
      </c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</row>
    <row r="4" spans="1:51" x14ac:dyDescent="0.25">
      <c r="A4" t="s">
        <v>547</v>
      </c>
      <c r="B4" s="1" t="s">
        <v>556</v>
      </c>
      <c r="C4" s="1" t="s">
        <v>554</v>
      </c>
      <c r="D4" s="1" t="s">
        <v>557</v>
      </c>
      <c r="E4" s="1" t="s">
        <v>558</v>
      </c>
      <c r="F4" s="1">
        <v>22</v>
      </c>
      <c r="G4" s="137">
        <v>0.47262731481481479</v>
      </c>
      <c r="H4" s="1">
        <v>2017</v>
      </c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</row>
    <row r="5" spans="1:51" x14ac:dyDescent="0.25">
      <c r="A5" t="s">
        <v>547</v>
      </c>
      <c r="B5" s="1" t="s">
        <v>559</v>
      </c>
      <c r="C5" s="1" t="s">
        <v>560</v>
      </c>
      <c r="D5" s="1" t="s">
        <v>561</v>
      </c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</row>
    <row r="6" spans="1:51" x14ac:dyDescent="0.25">
      <c r="A6" t="s">
        <v>547</v>
      </c>
      <c r="B6" s="1" t="s">
        <v>562</v>
      </c>
      <c r="C6" s="1" t="s">
        <v>563</v>
      </c>
      <c r="D6" s="1">
        <v>1</v>
      </c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</row>
    <row r="7" spans="1:51" x14ac:dyDescent="0.25">
      <c r="A7" t="s">
        <v>547</v>
      </c>
      <c r="B7" s="1" t="s">
        <v>564</v>
      </c>
      <c r="C7" s="1" t="s">
        <v>565</v>
      </c>
      <c r="D7" s="1" t="s">
        <v>566</v>
      </c>
      <c r="E7" s="1" t="s">
        <v>567</v>
      </c>
      <c r="F7" s="1" t="s">
        <v>568</v>
      </c>
      <c r="G7" s="1" t="s">
        <v>569</v>
      </c>
      <c r="H7" s="1" t="s">
        <v>570</v>
      </c>
      <c r="I7" s="1" t="s">
        <v>571</v>
      </c>
      <c r="J7" s="1" t="s">
        <v>572</v>
      </c>
      <c r="K7" s="1" t="s">
        <v>573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</row>
    <row r="8" spans="1:51" x14ac:dyDescent="0.25">
      <c r="A8" t="s">
        <v>547</v>
      </c>
      <c r="B8" s="1">
        <v>103062</v>
      </c>
      <c r="C8" s="1">
        <v>103080</v>
      </c>
      <c r="D8" s="1">
        <v>1.21539</v>
      </c>
      <c r="E8" s="1">
        <v>13.393000000000001</v>
      </c>
      <c r="F8" s="1">
        <v>16.606999999999999</v>
      </c>
      <c r="G8" s="1">
        <v>8.0000000000000002E-3</v>
      </c>
      <c r="H8" s="1">
        <v>9.9000000000000008E-3</v>
      </c>
      <c r="I8" s="1">
        <v>1</v>
      </c>
      <c r="J8" s="1">
        <v>0</v>
      </c>
      <c r="K8" s="1">
        <v>0.81879999999999997</v>
      </c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</row>
    <row r="9" spans="1:51" x14ac:dyDescent="0.25">
      <c r="A9" t="s">
        <v>547</v>
      </c>
      <c r="B9" s="1">
        <v>103063</v>
      </c>
      <c r="C9" s="1">
        <v>103081</v>
      </c>
      <c r="D9" s="1">
        <v>1.21539</v>
      </c>
      <c r="E9" s="1">
        <v>11.589700000000001</v>
      </c>
      <c r="F9" s="1">
        <v>14.8764</v>
      </c>
      <c r="G9" s="1">
        <v>8.8999999999999999E-3</v>
      </c>
      <c r="H9" s="1">
        <v>1.14E-2</v>
      </c>
      <c r="I9" s="1">
        <v>1</v>
      </c>
      <c r="J9" s="1">
        <v>0</v>
      </c>
      <c r="K9" s="1">
        <v>0.88800000000000001</v>
      </c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</row>
    <row r="10" spans="1:51" x14ac:dyDescent="0.25">
      <c r="A10" t="s">
        <v>547</v>
      </c>
      <c r="B10" s="1">
        <v>103064</v>
      </c>
      <c r="C10" s="1">
        <v>103082</v>
      </c>
      <c r="D10" s="1">
        <v>1.21539</v>
      </c>
      <c r="E10" s="1">
        <v>9.4034999999999993</v>
      </c>
      <c r="F10" s="1">
        <v>12.6793</v>
      </c>
      <c r="G10" s="1">
        <v>1.0500000000000001E-2</v>
      </c>
      <c r="H10" s="1">
        <v>1.41E-2</v>
      </c>
      <c r="I10" s="1">
        <v>1</v>
      </c>
      <c r="J10" s="1">
        <v>0</v>
      </c>
      <c r="K10" s="1">
        <v>0.95250000000000001</v>
      </c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</row>
    <row r="11" spans="1:51" x14ac:dyDescent="0.25">
      <c r="A11" t="s">
        <v>547</v>
      </c>
      <c r="B11" s="1">
        <v>103065</v>
      </c>
      <c r="C11" s="1">
        <v>103083</v>
      </c>
      <c r="D11" s="1">
        <v>1.21539</v>
      </c>
      <c r="E11" s="1">
        <v>7.1623999999999999</v>
      </c>
      <c r="F11" s="1">
        <v>10.474600000000001</v>
      </c>
      <c r="G11" s="1">
        <v>1.2699999999999999E-2</v>
      </c>
      <c r="H11" s="1">
        <v>1.8599999999999998E-2</v>
      </c>
      <c r="I11" s="1">
        <v>2.3494000000000002</v>
      </c>
      <c r="J11" s="1">
        <v>-3.2250000000000001</v>
      </c>
      <c r="K11" s="1">
        <v>0.96160000000000001</v>
      </c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</row>
    <row r="12" spans="1:51" x14ac:dyDescent="0.25">
      <c r="A12" t="s">
        <v>547</v>
      </c>
      <c r="B12" s="1">
        <v>103066</v>
      </c>
      <c r="C12" s="1">
        <v>103084</v>
      </c>
      <c r="D12" s="1">
        <v>1.21539</v>
      </c>
      <c r="E12" s="1">
        <v>4.9265999999999996</v>
      </c>
      <c r="F12" s="1">
        <v>8.2650400000000008</v>
      </c>
      <c r="G12" s="1">
        <v>1.61E-2</v>
      </c>
      <c r="H12" s="1">
        <v>2.7E-2</v>
      </c>
      <c r="I12" s="1">
        <v>8.0787999999999993</v>
      </c>
      <c r="J12" s="1">
        <v>-4.2060000000000004</v>
      </c>
      <c r="K12" s="1">
        <v>0.9849</v>
      </c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</row>
    <row r="13" spans="1:51" x14ac:dyDescent="0.25">
      <c r="A13" t="s">
        <v>547</v>
      </c>
      <c r="B13" s="1">
        <v>103067</v>
      </c>
      <c r="C13" s="1">
        <v>103085</v>
      </c>
      <c r="D13" s="1">
        <v>1.21539</v>
      </c>
      <c r="E13" s="1">
        <v>2.6865600000000001</v>
      </c>
      <c r="F13" s="1">
        <v>5.9732599999999998</v>
      </c>
      <c r="G13" s="1">
        <v>2.23E-2</v>
      </c>
      <c r="H13" s="1">
        <v>4.9599999999999998E-2</v>
      </c>
      <c r="I13" s="1">
        <v>16.231999999999999</v>
      </c>
      <c r="J13" s="1">
        <v>1E-4</v>
      </c>
      <c r="K13" s="1">
        <v>0.96950000000000003</v>
      </c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</row>
    <row r="14" spans="1:51" x14ac:dyDescent="0.25">
      <c r="A14" t="s">
        <v>547</v>
      </c>
      <c r="B14" s="1">
        <v>103068</v>
      </c>
      <c r="C14" s="1">
        <v>103086</v>
      </c>
      <c r="D14" s="1">
        <v>2.2551700000000001</v>
      </c>
      <c r="E14" s="1">
        <v>2.6343000000000001</v>
      </c>
      <c r="F14" s="1">
        <v>5.80267</v>
      </c>
      <c r="G14" s="1">
        <v>4.2599999999999999E-2</v>
      </c>
      <c r="H14" s="1">
        <v>9.3799999999999994E-2</v>
      </c>
      <c r="I14" s="1">
        <v>39.201999999999998</v>
      </c>
      <c r="J14" s="1">
        <v>1E-4</v>
      </c>
      <c r="K14" s="1">
        <v>0.88300000000000001</v>
      </c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</row>
    <row r="15" spans="1:51" x14ac:dyDescent="0.25">
      <c r="A15" t="s">
        <v>547</v>
      </c>
      <c r="B15" s="1">
        <v>103069</v>
      </c>
      <c r="C15" s="1">
        <v>103086</v>
      </c>
      <c r="D15" s="1">
        <v>3.9556499999999999</v>
      </c>
      <c r="E15" s="1">
        <v>2.6343000000000001</v>
      </c>
      <c r="F15" s="1">
        <v>5.80267</v>
      </c>
      <c r="G15" s="1">
        <v>7.4700000000000003E-2</v>
      </c>
      <c r="H15" s="1">
        <v>0.1646</v>
      </c>
      <c r="I15" s="1">
        <v>135.24</v>
      </c>
      <c r="J15" s="1">
        <v>1E-4</v>
      </c>
      <c r="K15" s="1">
        <v>0.86560000000000004</v>
      </c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</row>
    <row r="16" spans="1:51" x14ac:dyDescent="0.25">
      <c r="A16" t="s">
        <v>547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</row>
    <row r="17" spans="1:51" x14ac:dyDescent="0.25">
      <c r="A17" t="s">
        <v>547</v>
      </c>
      <c r="B17" s="1" t="s">
        <v>547</v>
      </c>
      <c r="C17" s="1" t="s">
        <v>574</v>
      </c>
      <c r="D17" s="1" t="s">
        <v>575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</row>
    <row r="18" spans="1:51" x14ac:dyDescent="0.25">
      <c r="A18" t="s">
        <v>547</v>
      </c>
      <c r="B18" s="1" t="s">
        <v>547</v>
      </c>
      <c r="C18" s="1" t="s">
        <v>556</v>
      </c>
      <c r="D18" s="1" t="s">
        <v>576</v>
      </c>
      <c r="E18" s="1" t="s">
        <v>577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</row>
    <row r="19" spans="1:51" x14ac:dyDescent="0.25">
      <c r="A19" t="s">
        <v>547</v>
      </c>
      <c r="B19" s="1" t="s">
        <v>547</v>
      </c>
      <c r="C19" s="1" t="s">
        <v>556</v>
      </c>
      <c r="D19" s="1" t="s">
        <v>578</v>
      </c>
      <c r="E19" s="1" t="s">
        <v>579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</row>
    <row r="20" spans="1:51" x14ac:dyDescent="0.25">
      <c r="A20" t="s">
        <v>547</v>
      </c>
      <c r="B20" s="1" t="s">
        <v>547</v>
      </c>
      <c r="C20" s="1" t="s">
        <v>547</v>
      </c>
      <c r="D20" s="1" t="s">
        <v>574</v>
      </c>
      <c r="E20" s="1" t="s">
        <v>575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</row>
    <row r="21" spans="1:51" x14ac:dyDescent="0.25">
      <c r="A21" t="s">
        <v>547</v>
      </c>
      <c r="B21" s="1" t="s">
        <v>547</v>
      </c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</row>
    <row r="22" spans="1:51" x14ac:dyDescent="0.25">
      <c r="A22" t="s">
        <v>547</v>
      </c>
      <c r="B22" s="1" t="s">
        <v>547</v>
      </c>
      <c r="C22" s="1" t="s">
        <v>564</v>
      </c>
      <c r="D22" s="1" t="s">
        <v>565</v>
      </c>
      <c r="E22" s="1" t="s">
        <v>580</v>
      </c>
      <c r="F22" s="1" t="s">
        <v>567</v>
      </c>
      <c r="G22" s="1" t="s">
        <v>568</v>
      </c>
      <c r="H22" s="1" t="s">
        <v>569</v>
      </c>
      <c r="I22" s="1" t="s">
        <v>570</v>
      </c>
      <c r="J22" s="1" t="s">
        <v>581</v>
      </c>
      <c r="K22" s="1" t="s">
        <v>582</v>
      </c>
      <c r="L22" s="1" t="s">
        <v>583</v>
      </c>
      <c r="M22" s="1" t="s">
        <v>584</v>
      </c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</row>
    <row r="23" spans="1:51" x14ac:dyDescent="0.25">
      <c r="A23" t="s">
        <v>547</v>
      </c>
      <c r="B23" s="1" t="s">
        <v>547</v>
      </c>
      <c r="C23" s="1">
        <v>103062</v>
      </c>
      <c r="D23" s="1">
        <v>103080</v>
      </c>
      <c r="E23" s="1">
        <v>1.2</v>
      </c>
      <c r="F23" s="1">
        <v>13.39</v>
      </c>
      <c r="G23" s="1">
        <v>16.61</v>
      </c>
      <c r="H23" s="1">
        <v>7.9000000000000008E-3</v>
      </c>
      <c r="I23" s="1">
        <v>9.7999999999999997E-3</v>
      </c>
      <c r="J23" s="1">
        <v>1</v>
      </c>
      <c r="K23" s="1">
        <v>5783</v>
      </c>
      <c r="L23" s="1">
        <v>1848.2968189999999</v>
      </c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</row>
    <row r="24" spans="1:51" x14ac:dyDescent="0.25">
      <c r="A24" t="s">
        <v>547</v>
      </c>
      <c r="B24" s="1" t="s">
        <v>547</v>
      </c>
      <c r="C24" s="1">
        <v>103063</v>
      </c>
      <c r="D24" s="1">
        <v>103081</v>
      </c>
      <c r="E24" s="1">
        <v>1.2</v>
      </c>
      <c r="F24" s="1">
        <v>11.59</v>
      </c>
      <c r="G24" s="1">
        <v>14.88</v>
      </c>
      <c r="H24" s="1">
        <v>8.8000000000000005E-3</v>
      </c>
      <c r="I24" s="1">
        <v>1.1299999999999999E-2</v>
      </c>
      <c r="J24" s="1">
        <v>1</v>
      </c>
      <c r="K24" s="1">
        <v>6014</v>
      </c>
      <c r="L24" s="1">
        <v>849.16990699999997</v>
      </c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</row>
    <row r="25" spans="1:51" x14ac:dyDescent="0.25">
      <c r="A25" t="s">
        <v>547</v>
      </c>
      <c r="B25" s="1" t="s">
        <v>547</v>
      </c>
      <c r="C25" s="1">
        <v>103064</v>
      </c>
      <c r="D25" s="1">
        <v>103082</v>
      </c>
      <c r="E25" s="1">
        <v>1.2</v>
      </c>
      <c r="F25" s="1">
        <v>9.4</v>
      </c>
      <c r="G25" s="1">
        <v>12.68</v>
      </c>
      <c r="H25" s="1">
        <v>1.04E-2</v>
      </c>
      <c r="I25" s="1">
        <v>1.4E-2</v>
      </c>
      <c r="J25" s="1">
        <v>1</v>
      </c>
      <c r="K25" s="1">
        <v>6043</v>
      </c>
      <c r="L25" s="1">
        <v>407.90472999999997</v>
      </c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</row>
    <row r="26" spans="1:51" x14ac:dyDescent="0.25">
      <c r="A26" t="s">
        <v>547</v>
      </c>
      <c r="B26" s="1" t="s">
        <v>547</v>
      </c>
      <c r="C26" s="1">
        <v>103065</v>
      </c>
      <c r="D26" s="1">
        <v>103083</v>
      </c>
      <c r="E26" s="1">
        <v>1.2</v>
      </c>
      <c r="F26" s="1">
        <v>7.16</v>
      </c>
      <c r="G26" s="1">
        <v>10.47</v>
      </c>
      <c r="H26" s="1">
        <v>1.26E-2</v>
      </c>
      <c r="I26" s="1">
        <v>1.84E-2</v>
      </c>
      <c r="J26" s="1">
        <v>1</v>
      </c>
      <c r="K26" s="1">
        <v>6055</v>
      </c>
      <c r="L26" s="1">
        <v>270.96279399999997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</row>
    <row r="27" spans="1:51" x14ac:dyDescent="0.25">
      <c r="A27" t="s">
        <v>547</v>
      </c>
      <c r="B27" s="1" t="s">
        <v>547</v>
      </c>
      <c r="C27" s="1">
        <v>103066</v>
      </c>
      <c r="D27" s="1">
        <v>103084</v>
      </c>
      <c r="E27" s="1">
        <v>1.2</v>
      </c>
      <c r="F27" s="1">
        <v>4.93</v>
      </c>
      <c r="G27" s="1">
        <v>8.26</v>
      </c>
      <c r="H27" s="1">
        <v>1.5900000000000001E-2</v>
      </c>
      <c r="I27" s="1">
        <v>2.6700000000000002E-2</v>
      </c>
      <c r="J27" s="1">
        <v>1</v>
      </c>
      <c r="K27" s="1">
        <v>6302</v>
      </c>
      <c r="L27" s="1">
        <v>53.400236999999997</v>
      </c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</row>
    <row r="28" spans="1:51" x14ac:dyDescent="0.25">
      <c r="A28" t="s">
        <v>547</v>
      </c>
      <c r="B28" s="1" t="s">
        <v>547</v>
      </c>
      <c r="C28" s="1">
        <v>103067</v>
      </c>
      <c r="D28" s="1">
        <v>103085</v>
      </c>
      <c r="E28" s="1">
        <v>1.2</v>
      </c>
      <c r="F28" s="1">
        <v>2.69</v>
      </c>
      <c r="G28" s="1">
        <v>5.97</v>
      </c>
      <c r="H28" s="1">
        <v>2.1999999999999999E-2</v>
      </c>
      <c r="I28" s="1">
        <v>4.8899999999999999E-2</v>
      </c>
      <c r="J28" s="1">
        <v>1</v>
      </c>
      <c r="K28" s="1">
        <v>18143</v>
      </c>
      <c r="L28" s="1">
        <v>221.90966800000001</v>
      </c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</row>
    <row r="29" spans="1:51" x14ac:dyDescent="0.25">
      <c r="A29" t="s">
        <v>547</v>
      </c>
      <c r="B29" s="1" t="s">
        <v>547</v>
      </c>
      <c r="C29" s="1">
        <v>103068</v>
      </c>
      <c r="D29" s="1">
        <v>103086</v>
      </c>
      <c r="E29" s="1">
        <v>2.2400000000000002</v>
      </c>
      <c r="F29" s="1">
        <v>2.63</v>
      </c>
      <c r="G29" s="1">
        <v>5.8</v>
      </c>
      <c r="H29" s="1">
        <v>4.2299999999999997E-2</v>
      </c>
      <c r="I29" s="1">
        <v>9.3399999999999997E-2</v>
      </c>
      <c r="J29" s="1">
        <v>1</v>
      </c>
      <c r="K29" s="1">
        <v>18040</v>
      </c>
      <c r="L29" s="1">
        <v>1071.99856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</row>
    <row r="30" spans="1:51" x14ac:dyDescent="0.25">
      <c r="A30" t="s">
        <v>547</v>
      </c>
      <c r="B30" s="1" t="s">
        <v>547</v>
      </c>
      <c r="C30" s="1">
        <v>103069</v>
      </c>
      <c r="D30" s="1">
        <v>103086</v>
      </c>
      <c r="E30" s="1">
        <v>3.94</v>
      </c>
      <c r="F30" s="1">
        <v>2.63</v>
      </c>
      <c r="G30" s="1">
        <v>5.8</v>
      </c>
      <c r="H30" s="1">
        <v>7.4499999999999997E-2</v>
      </c>
      <c r="I30" s="1">
        <v>0.16420000000000001</v>
      </c>
      <c r="J30" s="1">
        <v>1</v>
      </c>
      <c r="K30" s="1">
        <v>18053</v>
      </c>
      <c r="L30" s="1">
        <v>930.87630999999999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</row>
    <row r="31" spans="1:51" x14ac:dyDescent="0.25">
      <c r="A31" t="s">
        <v>547</v>
      </c>
      <c r="B31" s="1" t="s">
        <v>547</v>
      </c>
      <c r="D31" s="91"/>
      <c r="E31" s="91"/>
      <c r="F31" s="91"/>
      <c r="G31" s="91"/>
      <c r="H31" s="91"/>
      <c r="I31" s="91"/>
      <c r="J31" s="91"/>
      <c r="K31" s="91"/>
      <c r="L31" s="91"/>
      <c r="M31" s="9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</row>
    <row r="32" spans="1:51" x14ac:dyDescent="0.25">
      <c r="A32" t="s">
        <v>547</v>
      </c>
      <c r="B32" s="1" t="s">
        <v>547</v>
      </c>
      <c r="C32" s="1" t="s">
        <v>585</v>
      </c>
      <c r="D32" s="91" t="s">
        <v>586</v>
      </c>
      <c r="E32" s="91" t="s">
        <v>587</v>
      </c>
      <c r="F32" s="91"/>
      <c r="G32" s="91"/>
      <c r="H32" s="91"/>
      <c r="I32" s="91"/>
      <c r="J32" s="91"/>
      <c r="K32" s="91"/>
      <c r="L32" s="91"/>
      <c r="M32" s="91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</row>
    <row r="33" spans="1:51" x14ac:dyDescent="0.25">
      <c r="A33" t="s">
        <v>547</v>
      </c>
      <c r="B33" s="1" t="s">
        <v>547</v>
      </c>
      <c r="C33" s="1" t="s">
        <v>588</v>
      </c>
      <c r="D33" s="1">
        <v>97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</row>
    <row r="34" spans="1:51" x14ac:dyDescent="0.25">
      <c r="A34" t="s">
        <v>547</v>
      </c>
      <c r="B34" s="1" t="s">
        <v>547</v>
      </c>
      <c r="C34" s="1" t="s">
        <v>589</v>
      </c>
      <c r="D34" s="1">
        <v>146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</row>
    <row r="35" spans="1:51" x14ac:dyDescent="0.25">
      <c r="A35" t="s">
        <v>547</v>
      </c>
      <c r="B35" s="1" t="s">
        <v>547</v>
      </c>
      <c r="C35" s="1" t="s">
        <v>590</v>
      </c>
      <c r="D35" s="1">
        <v>4.0000000000000002E-4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</row>
    <row r="36" spans="1:51" x14ac:dyDescent="0.25">
      <c r="A36" t="s">
        <v>547</v>
      </c>
      <c r="B36" s="1" t="s">
        <v>547</v>
      </c>
      <c r="C36" s="1" t="s">
        <v>591</v>
      </c>
      <c r="D36" s="1">
        <v>2.3E-2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</row>
    <row r="37" spans="1:51" x14ac:dyDescent="0.25">
      <c r="A37" t="s">
        <v>547</v>
      </c>
      <c r="B37" s="1" t="s">
        <v>547</v>
      </c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</row>
    <row r="38" spans="1:51" x14ac:dyDescent="0.25">
      <c r="A38" t="s">
        <v>547</v>
      </c>
      <c r="B38" s="1" t="s">
        <v>547</v>
      </c>
      <c r="C38" s="1" t="s">
        <v>592</v>
      </c>
      <c r="D38" s="1" t="s">
        <v>0</v>
      </c>
      <c r="E38" s="1" t="s">
        <v>593</v>
      </c>
      <c r="F38" s="1" t="s">
        <v>594</v>
      </c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</row>
    <row r="39" spans="1:51" x14ac:dyDescent="0.25">
      <c r="A39" t="s">
        <v>547</v>
      </c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</row>
    <row r="40" spans="1:51" x14ac:dyDescent="0.25">
      <c r="A40" t="s">
        <v>547</v>
      </c>
      <c r="B40" s="1" t="s">
        <v>595</v>
      </c>
      <c r="C40" s="1" t="s">
        <v>596</v>
      </c>
      <c r="D40" s="1">
        <v>4.0000000000000002E-4</v>
      </c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</row>
    <row r="41" spans="1:51" x14ac:dyDescent="0.25">
      <c r="A41" t="s">
        <v>547</v>
      </c>
      <c r="B41" s="1" t="s">
        <v>597</v>
      </c>
      <c r="C41" s="1" t="s">
        <v>596</v>
      </c>
      <c r="D41" s="1">
        <v>2.3E-2</v>
      </c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</row>
    <row r="42" spans="1:51" x14ac:dyDescent="0.25">
      <c r="A42" t="s">
        <v>547</v>
      </c>
      <c r="B42" s="1" t="s">
        <v>598</v>
      </c>
      <c r="C42" s="1" t="s">
        <v>0</v>
      </c>
      <c r="D42" s="1" t="s">
        <v>593</v>
      </c>
      <c r="E42" s="1" t="s">
        <v>594</v>
      </c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</row>
    <row r="43" spans="1:51" x14ac:dyDescent="0.25">
      <c r="A43">
        <v>8.1014360403499994E-3</v>
      </c>
      <c r="B43" s="1">
        <v>2.7732578033799998E-2</v>
      </c>
      <c r="C43" s="1">
        <v>4.8277848466999999E-3</v>
      </c>
      <c r="D43" s="1">
        <v>5.8633302892800005E-4</v>
      </c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</row>
    <row r="44" spans="1:51" x14ac:dyDescent="0.25">
      <c r="A44">
        <v>8.1824504007600007E-3</v>
      </c>
      <c r="B44" s="1">
        <v>3.4715433233799997E-2</v>
      </c>
      <c r="C44" s="1">
        <v>4.6555420474199997E-3</v>
      </c>
      <c r="D44" s="1">
        <v>5.8819635921700004E-4</v>
      </c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</row>
    <row r="45" spans="1:51" x14ac:dyDescent="0.25">
      <c r="A45">
        <v>8.2642749047700005E-3</v>
      </c>
      <c r="B45" s="1">
        <v>3.14920024741E-2</v>
      </c>
      <c r="C45" s="1">
        <v>4.4868285757099996E-3</v>
      </c>
      <c r="D45" s="1">
        <v>5.9007832281000004E-4</v>
      </c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</row>
    <row r="46" spans="1:51" x14ac:dyDescent="0.25">
      <c r="A46">
        <v>8.3469176538099998E-3</v>
      </c>
      <c r="B46" s="1">
        <v>3.0385714987E-2</v>
      </c>
      <c r="C46" s="1">
        <v>4.16153069223E-3</v>
      </c>
      <c r="D46" s="1">
        <v>5.9197910603799996E-4</v>
      </c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</row>
    <row r="47" spans="1:51" x14ac:dyDescent="0.25">
      <c r="A47">
        <v>8.4303868303500003E-3</v>
      </c>
      <c r="B47" s="1">
        <v>2.8629543878499999E-2</v>
      </c>
      <c r="C47" s="1">
        <v>3.6636024635199999E-3</v>
      </c>
      <c r="D47" s="1">
        <v>5.9389889709799998E-4</v>
      </c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</row>
    <row r="48" spans="1:51" x14ac:dyDescent="0.25">
      <c r="A48">
        <v>8.5146906986500008E-3</v>
      </c>
      <c r="B48" s="1">
        <v>2.88115866007E-2</v>
      </c>
      <c r="C48" s="1">
        <v>3.3856660927499998E-3</v>
      </c>
      <c r="D48" s="1">
        <v>5.9583788606899996E-4</v>
      </c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</row>
    <row r="49" spans="1:51" x14ac:dyDescent="0.25">
      <c r="A49">
        <v>8.5998376056400008E-3</v>
      </c>
      <c r="B49" s="1">
        <v>2.6879912207199999E-2</v>
      </c>
      <c r="C49" s="1">
        <v>3.1779824354799999E-3</v>
      </c>
      <c r="D49" s="1">
        <v>5.9779626492999997E-4</v>
      </c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</row>
    <row r="50" spans="1:51" x14ac:dyDescent="0.25">
      <c r="A50">
        <v>8.6858359817000002E-3</v>
      </c>
      <c r="B50" s="1">
        <v>2.44697716978E-2</v>
      </c>
      <c r="C50" s="1">
        <v>3.0067771264500002E-3</v>
      </c>
      <c r="D50" s="1">
        <v>5.9977422757899999E-4</v>
      </c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</row>
    <row r="51" spans="1:51" x14ac:dyDescent="0.25">
      <c r="A51">
        <v>8.7726943415100001E-3</v>
      </c>
      <c r="B51" s="1">
        <v>3.10272245656E-2</v>
      </c>
      <c r="C51" s="1">
        <v>3.1623073046300001E-3</v>
      </c>
      <c r="D51" s="1">
        <v>6.0177196985499999E-4</v>
      </c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</row>
    <row r="52" spans="1:51" x14ac:dyDescent="0.25">
      <c r="A52">
        <v>8.86042128493E-3</v>
      </c>
      <c r="B52" s="1">
        <v>2.8367441046700002E-2</v>
      </c>
      <c r="C52" s="1">
        <v>2.869664551E-3</v>
      </c>
      <c r="D52" s="1">
        <v>6.0378968955299996E-4</v>
      </c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</row>
    <row r="53" spans="1:51" x14ac:dyDescent="0.25">
      <c r="A53">
        <v>8.9490254977800006E-3</v>
      </c>
      <c r="B53" s="1">
        <v>2.2559437832500001E-2</v>
      </c>
      <c r="C53" s="1">
        <v>2.5552626968999999E-3</v>
      </c>
      <c r="D53" s="1">
        <v>6.0582758644900001E-4</v>
      </c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</row>
    <row r="54" spans="1:51" x14ac:dyDescent="0.25">
      <c r="A54">
        <v>9.0385157527600006E-3</v>
      </c>
      <c r="B54" s="1">
        <v>2.6957875886300001E-2</v>
      </c>
      <c r="C54" s="1">
        <v>2.22445057126E-3</v>
      </c>
      <c r="D54" s="1">
        <v>6.0788586231300004E-4</v>
      </c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</row>
    <row r="55" spans="1:51" x14ac:dyDescent="0.25">
      <c r="A55">
        <v>9.1289009102799995E-3</v>
      </c>
      <c r="B55" s="1">
        <v>3.0329773492999999E-2</v>
      </c>
      <c r="C55" s="1">
        <v>2.3070815160900001E-3</v>
      </c>
      <c r="D55" s="1">
        <v>6.0996472093700004E-4</v>
      </c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</row>
    <row r="56" spans="1:51" x14ac:dyDescent="0.25">
      <c r="A56">
        <v>9.2201899193900001E-3</v>
      </c>
      <c r="B56" s="1">
        <v>2.86502226294E-2</v>
      </c>
      <c r="C56" s="1">
        <v>2.1505824602299998E-3</v>
      </c>
      <c r="D56" s="1">
        <v>6.1206436814599996E-4</v>
      </c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</row>
    <row r="57" spans="1:51" x14ac:dyDescent="0.25">
      <c r="A57">
        <v>9.3123918185800004E-3</v>
      </c>
      <c r="B57" s="1">
        <v>2.7592934343399999E-2</v>
      </c>
      <c r="C57" s="1">
        <v>2.0195940336499999E-3</v>
      </c>
      <c r="D57" s="1">
        <v>6.1418501182700005E-4</v>
      </c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</row>
    <row r="58" spans="1:51" x14ac:dyDescent="0.25">
      <c r="A58">
        <v>9.4055157367700006E-3</v>
      </c>
      <c r="B58" s="1">
        <v>2.81140712667E-2</v>
      </c>
      <c r="C58" s="1">
        <v>1.9671032264699999E-3</v>
      </c>
      <c r="D58" s="1">
        <v>6.1632686194599997E-4</v>
      </c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</row>
    <row r="59" spans="1:51" x14ac:dyDescent="0.25">
      <c r="A59">
        <v>9.4995708941299998E-3</v>
      </c>
      <c r="B59" s="1">
        <v>2.9828953678800001E-2</v>
      </c>
      <c r="C59" s="1">
        <v>1.9242712279999999E-3</v>
      </c>
      <c r="D59" s="1">
        <v>6.1849013056499997E-4</v>
      </c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</row>
    <row r="60" spans="1:51" x14ac:dyDescent="0.25">
      <c r="A60">
        <v>9.5945666030799997E-3</v>
      </c>
      <c r="B60" s="1">
        <v>2.8370093492600001E-2</v>
      </c>
      <c r="C60" s="1">
        <v>1.8107098575E-3</v>
      </c>
      <c r="D60" s="1">
        <v>6.2067503187099998E-4</v>
      </c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</row>
    <row r="61" spans="1:51" x14ac:dyDescent="0.25">
      <c r="A61">
        <v>9.69051226911E-3</v>
      </c>
      <c r="B61" s="1">
        <v>3.05154434887E-2</v>
      </c>
      <c r="C61" s="1">
        <v>1.78823280162E-3</v>
      </c>
      <c r="D61" s="1">
        <v>6.2288178218900003E-4</v>
      </c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</row>
    <row r="62" spans="1:51" x14ac:dyDescent="0.25">
      <c r="A62">
        <v>9.7874173918000001E-3</v>
      </c>
      <c r="B62" s="1">
        <v>3.1308207069500001E-2</v>
      </c>
      <c r="C62" s="1">
        <v>1.7752356005499999E-3</v>
      </c>
      <c r="D62" s="1">
        <v>6.2511060001099999E-4</v>
      </c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</row>
    <row r="63" spans="1:51" x14ac:dyDescent="0.25">
      <c r="A63">
        <v>9.8852915657199995E-3</v>
      </c>
      <c r="B63" s="1">
        <v>3.0243367921900001E-2</v>
      </c>
      <c r="C63" s="1">
        <v>1.67286418479E-3</v>
      </c>
      <c r="D63" s="1">
        <v>6.2736170601099999E-4</v>
      </c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</row>
    <row r="64" spans="1:51" x14ac:dyDescent="0.25">
      <c r="A64">
        <v>9.9841444813699998E-3</v>
      </c>
      <c r="B64" s="1">
        <v>3.3020324506099999E-2</v>
      </c>
      <c r="C64" s="1">
        <v>3.1408623353499998E-3</v>
      </c>
      <c r="D64" s="1">
        <v>6.2963532307199995E-4</v>
      </c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</row>
    <row r="65" spans="1:51" x14ac:dyDescent="0.25">
      <c r="A65">
        <v>1.0083985926200001E-2</v>
      </c>
      <c r="B65" s="1">
        <v>3.20771309671E-2</v>
      </c>
      <c r="C65" s="1">
        <v>3.1176955063699999E-3</v>
      </c>
      <c r="D65" s="1">
        <v>6.3193167630200004E-4</v>
      </c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</row>
    <row r="66" spans="1:51" x14ac:dyDescent="0.25">
      <c r="A66">
        <v>1.01848257854E-2</v>
      </c>
      <c r="B66" s="1">
        <v>3.4518793356599999E-2</v>
      </c>
      <c r="C66" s="1">
        <v>3.08548258474E-3</v>
      </c>
      <c r="D66" s="1">
        <v>6.3425099306499996E-4</v>
      </c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</row>
    <row r="67" spans="1:51" x14ac:dyDescent="0.25">
      <c r="A67">
        <v>1.02866740433E-2</v>
      </c>
      <c r="B67" s="1">
        <v>3.7989145561100002E-2</v>
      </c>
      <c r="C67" s="1">
        <v>3.0205966196700002E-3</v>
      </c>
      <c r="D67" s="1">
        <v>6.3659350299599996E-4</v>
      </c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</row>
    <row r="68" spans="1:51" x14ac:dyDescent="0.25">
      <c r="A68">
        <v>1.03895407837E-2</v>
      </c>
      <c r="B68" s="1">
        <v>3.2195463108700001E-2</v>
      </c>
      <c r="C68" s="1">
        <v>2.66057783949E-3</v>
      </c>
      <c r="D68" s="1">
        <v>6.3895943802600005E-4</v>
      </c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</row>
    <row r="69" spans="1:51" x14ac:dyDescent="0.25">
      <c r="A69">
        <v>1.04934361916E-2</v>
      </c>
      <c r="B69" s="1">
        <v>3.2519172500599998E-2</v>
      </c>
      <c r="C69" s="1">
        <v>2.6331820926000001E-3</v>
      </c>
      <c r="D69" s="1">
        <v>6.4134903240600002E-4</v>
      </c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</row>
    <row r="70" spans="1:51" x14ac:dyDescent="0.25">
      <c r="A70">
        <v>1.05983705535E-2</v>
      </c>
      <c r="B70" s="1">
        <v>3.0838480819000001E-2</v>
      </c>
      <c r="C70" s="1">
        <v>2.1530049548299998E-3</v>
      </c>
      <c r="D70" s="1">
        <v>6.4376252273E-4</v>
      </c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</row>
    <row r="71" spans="1:51" x14ac:dyDescent="0.25">
      <c r="A71">
        <v>1.0704354259E-2</v>
      </c>
      <c r="B71" s="1">
        <v>3.4124437549700001E-2</v>
      </c>
      <c r="C71" s="1">
        <v>2.1764618781900001E-3</v>
      </c>
      <c r="D71" s="1">
        <v>6.46200147958E-4</v>
      </c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</row>
    <row r="72" spans="1:51" x14ac:dyDescent="0.25">
      <c r="A72">
        <v>1.08113978016E-2</v>
      </c>
      <c r="B72" s="1">
        <v>3.1556316402400003E-2</v>
      </c>
      <c r="C72" s="1">
        <v>2.0069808857700001E-3</v>
      </c>
      <c r="D72" s="1">
        <v>6.4866214943700004E-4</v>
      </c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</row>
    <row r="73" spans="1:51" x14ac:dyDescent="0.25">
      <c r="A73">
        <v>1.0919511779600001E-2</v>
      </c>
      <c r="B73" s="1">
        <v>3.1463089048700002E-2</v>
      </c>
      <c r="C73" s="1">
        <v>1.91562524024E-3</v>
      </c>
      <c r="D73" s="1">
        <v>6.5114877093200004E-4</v>
      </c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</row>
    <row r="74" spans="1:51" x14ac:dyDescent="0.25">
      <c r="A74">
        <v>1.1028706897400001E-2</v>
      </c>
      <c r="B74" s="1">
        <v>3.2971058284099998E-2</v>
      </c>
      <c r="C74" s="1">
        <v>1.87106943259E-3</v>
      </c>
      <c r="D74" s="1">
        <v>6.5366025864100003E-4</v>
      </c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</row>
    <row r="75" spans="1:51" x14ac:dyDescent="0.25">
      <c r="A75">
        <v>1.11389939664E-2</v>
      </c>
      <c r="B75" s="1">
        <v>3.1945177470699998E-2</v>
      </c>
      <c r="C75" s="1">
        <v>1.83593315982E-3</v>
      </c>
      <c r="D75" s="1">
        <v>6.5619686122700004E-4</v>
      </c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</row>
    <row r="76" spans="1:51" x14ac:dyDescent="0.25">
      <c r="A76">
        <v>1.12503839061E-2</v>
      </c>
      <c r="B76" s="1">
        <v>3.24503411199E-2</v>
      </c>
      <c r="C76" s="1">
        <v>1.7723080670500001E-3</v>
      </c>
      <c r="D76" s="1">
        <v>6.5875882983899999E-4</v>
      </c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</row>
    <row r="77" spans="1:51" x14ac:dyDescent="0.25">
      <c r="A77">
        <v>1.1362887745099999E-2</v>
      </c>
      <c r="B77" s="1">
        <v>3.1269745202899997E-2</v>
      </c>
      <c r="C77" s="1">
        <v>3.17198470625E-3</v>
      </c>
      <c r="D77" s="1">
        <v>6.6134641813799997E-4</v>
      </c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</row>
    <row r="78" spans="1:51" x14ac:dyDescent="0.25">
      <c r="A78">
        <v>1.14765166226E-2</v>
      </c>
      <c r="B78" s="1">
        <v>2.9868720577300001E-2</v>
      </c>
      <c r="C78" s="1">
        <v>2.9853026794399999E-3</v>
      </c>
      <c r="D78" s="1">
        <v>6.6395988231899997E-4</v>
      </c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</row>
    <row r="79" spans="1:51" x14ac:dyDescent="0.25">
      <c r="A79">
        <v>1.1591281788799999E-2</v>
      </c>
      <c r="B79" s="1">
        <v>3.5133912659699999E-2</v>
      </c>
      <c r="C79" s="1">
        <v>3.0684277817399999E-3</v>
      </c>
      <c r="D79" s="1">
        <v>6.6659948114199997E-4</v>
      </c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</row>
    <row r="80" spans="1:51" x14ac:dyDescent="0.25">
      <c r="A80">
        <v>1.17071946067E-2</v>
      </c>
      <c r="B80" s="1">
        <v>3.17602677911E-2</v>
      </c>
      <c r="C80" s="1">
        <v>2.8436936310799999E-3</v>
      </c>
      <c r="D80" s="1">
        <v>6.69265475954E-4</v>
      </c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</row>
    <row r="81" spans="1:51" x14ac:dyDescent="0.25">
      <c r="A81">
        <v>1.18242665528E-2</v>
      </c>
      <c r="B81" s="1">
        <v>2.6628334819799999E-2</v>
      </c>
      <c r="C81" s="1">
        <v>2.5612114445799999E-3</v>
      </c>
      <c r="D81" s="1">
        <v>6.7195813071299995E-4</v>
      </c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</row>
    <row r="82" spans="1:51" x14ac:dyDescent="0.25">
      <c r="A82">
        <v>1.19425092183E-2</v>
      </c>
      <c r="B82" s="1">
        <v>2.87983001085E-2</v>
      </c>
      <c r="C82" s="1">
        <v>2.5759762746799999E-3</v>
      </c>
      <c r="D82" s="1">
        <v>6.7467771202100004E-4</v>
      </c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</row>
    <row r="83" spans="1:51" x14ac:dyDescent="0.25">
      <c r="A83">
        <v>1.2061934310500001E-2</v>
      </c>
      <c r="B83" s="1">
        <v>2.83250050029E-2</v>
      </c>
      <c r="C83" s="1">
        <v>2.4535779201800001E-3</v>
      </c>
      <c r="D83" s="1">
        <v>6.7742448914099999E-4</v>
      </c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</row>
    <row r="84" spans="1:51" x14ac:dyDescent="0.25">
      <c r="A84">
        <v>1.2182553653599999E-2</v>
      </c>
      <c r="B84" s="1">
        <v>3.2047970087900002E-2</v>
      </c>
      <c r="C84" s="1">
        <v>2.6354003826100001E-3</v>
      </c>
      <c r="D84" s="1">
        <v>6.8019873403200003E-4</v>
      </c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</row>
    <row r="85" spans="1:51" x14ac:dyDescent="0.25">
      <c r="A85">
        <v>1.2304379190100001E-2</v>
      </c>
      <c r="B85" s="1">
        <v>2.6863867535900001E-2</v>
      </c>
      <c r="C85" s="1">
        <v>2.2467040854400001E-3</v>
      </c>
      <c r="D85" s="1">
        <v>6.8300072137200002E-4</v>
      </c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</row>
    <row r="86" spans="1:51" x14ac:dyDescent="0.25">
      <c r="A86">
        <v>1.2427422981999999E-2</v>
      </c>
      <c r="B86" s="1">
        <v>2.51419613013E-2</v>
      </c>
      <c r="C86" s="1">
        <v>2.1824017740299999E-3</v>
      </c>
      <c r="D86" s="1">
        <v>6.8583072858600003E-4</v>
      </c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</row>
    <row r="87" spans="1:51" x14ac:dyDescent="0.25">
      <c r="A87">
        <v>1.25516972118E-2</v>
      </c>
      <c r="B87" s="1">
        <v>2.54989798601E-2</v>
      </c>
      <c r="C87" s="1">
        <v>2.10552537443E-3</v>
      </c>
      <c r="D87" s="1">
        <v>6.8868903587199996E-4</v>
      </c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</row>
    <row r="88" spans="1:51" x14ac:dyDescent="0.25">
      <c r="A88">
        <v>1.26772141839E-2</v>
      </c>
      <c r="B88" s="1">
        <v>2.3865103649100002E-2</v>
      </c>
      <c r="C88" s="1">
        <v>1.9411101914399999E-3</v>
      </c>
      <c r="D88" s="1">
        <v>6.9157592623100004E-4</v>
      </c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</row>
    <row r="89" spans="1:51" x14ac:dyDescent="0.25">
      <c r="A89">
        <v>1.28039863258E-2</v>
      </c>
      <c r="B89" s="1">
        <v>2.2162642280800001E-2</v>
      </c>
      <c r="C89" s="1">
        <v>1.4608870398E-3</v>
      </c>
      <c r="D89" s="1">
        <v>6.9449168549300003E-4</v>
      </c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</row>
    <row r="90" spans="1:51" x14ac:dyDescent="0.25">
      <c r="A90">
        <v>1.2932026189000001E-2</v>
      </c>
      <c r="B90" s="1">
        <v>2.0068446232099999E-2</v>
      </c>
      <c r="C90" s="1">
        <v>1.4057538186199999E-3</v>
      </c>
      <c r="D90" s="1">
        <v>6.9743660234799999E-4</v>
      </c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</row>
    <row r="91" spans="1:51" x14ac:dyDescent="0.25">
      <c r="A91">
        <v>1.3061346450899999E-2</v>
      </c>
      <c r="B91" s="1">
        <v>2.1046263889300001E-2</v>
      </c>
      <c r="C91" s="1">
        <v>1.37813456437E-3</v>
      </c>
      <c r="D91" s="1">
        <v>7.0041096837200004E-4</v>
      </c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</row>
    <row r="92" spans="1:51" x14ac:dyDescent="0.25">
      <c r="A92">
        <v>1.31919599154E-2</v>
      </c>
      <c r="B92" s="1">
        <v>2.0543406202699999E-2</v>
      </c>
      <c r="C92" s="1">
        <v>1.3180921472799999E-3</v>
      </c>
      <c r="D92" s="91">
        <v>7.0341507805499995E-4</v>
      </c>
      <c r="E92" s="91"/>
      <c r="F92" s="91"/>
      <c r="G92" s="91"/>
      <c r="H92" s="91"/>
      <c r="I92" s="91"/>
      <c r="J92" s="91"/>
      <c r="K92" s="91"/>
      <c r="L92" s="91"/>
      <c r="M92" s="91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</row>
    <row r="93" spans="1:51" x14ac:dyDescent="0.25">
      <c r="A93">
        <v>1.33238795146E-2</v>
      </c>
      <c r="B93" s="1">
        <v>1.9012591710199998E-2</v>
      </c>
      <c r="C93" s="1">
        <v>1.2525456107399999E-3</v>
      </c>
      <c r="D93" s="1">
        <v>7.0644922883600001E-4</v>
      </c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</row>
    <row r="94" spans="1:51" x14ac:dyDescent="0.25">
      <c r="A94">
        <v>1.3457118309700001E-2</v>
      </c>
      <c r="B94" s="1">
        <v>1.80595219137E-2</v>
      </c>
      <c r="C94" s="1">
        <v>1.18180935423E-3</v>
      </c>
      <c r="D94" s="1">
        <v>7.0951372112399997E-4</v>
      </c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</row>
    <row r="95" spans="1:51" x14ac:dyDescent="0.25">
      <c r="A95">
        <v>1.3591689492799999E-2</v>
      </c>
      <c r="B95" s="1">
        <v>1.58851880227E-2</v>
      </c>
      <c r="C95" s="1">
        <v>1.08141111065E-3</v>
      </c>
      <c r="D95" s="1">
        <v>7.1260885833499996E-4</v>
      </c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</row>
    <row r="96" spans="1:51" x14ac:dyDescent="0.25">
      <c r="A96">
        <v>1.37276063878E-2</v>
      </c>
      <c r="B96" s="1">
        <v>1.46519870268E-2</v>
      </c>
      <c r="C96" s="1">
        <v>1.00327826127E-3</v>
      </c>
      <c r="D96" s="1">
        <v>7.1573494691900001E-4</v>
      </c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</row>
    <row r="97" spans="1:51" x14ac:dyDescent="0.25">
      <c r="A97">
        <v>1.3864882451600001E-2</v>
      </c>
      <c r="B97" s="1">
        <v>1.5235927654299999E-2</v>
      </c>
      <c r="C97" s="1">
        <v>9.7893591095200004E-4</v>
      </c>
      <c r="D97" s="1">
        <v>7.1889229638800003E-4</v>
      </c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</row>
    <row r="98" spans="1:51" x14ac:dyDescent="0.25">
      <c r="A98">
        <v>1.40035312762E-2</v>
      </c>
      <c r="B98" s="1">
        <v>1.42744819533E-2</v>
      </c>
      <c r="C98" s="1">
        <v>1.6361149327800001E-3</v>
      </c>
      <c r="D98" s="1">
        <v>7.2208121935199996E-4</v>
      </c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</row>
    <row r="99" spans="1:51" x14ac:dyDescent="0.25">
      <c r="A99">
        <v>1.41435665889E-2</v>
      </c>
      <c r="B99" s="1">
        <v>1.31875397029E-2</v>
      </c>
      <c r="C99" s="1">
        <v>1.5163934180700001E-3</v>
      </c>
      <c r="D99" s="1">
        <v>7.2530203154500005E-4</v>
      </c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</row>
    <row r="100" spans="1:51" x14ac:dyDescent="0.25">
      <c r="A100">
        <v>1.42850022548E-2</v>
      </c>
      <c r="B100" s="1">
        <v>1.1708792480899999E-2</v>
      </c>
      <c r="C100" s="1">
        <v>1.32203247453E-3</v>
      </c>
      <c r="D100" s="1">
        <v>7.2855505186099996E-4</v>
      </c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</row>
    <row r="101" spans="1:51" x14ac:dyDescent="0.25">
      <c r="A101">
        <v>1.44278522774E-2</v>
      </c>
      <c r="B101" s="1">
        <v>1.1713830445699999E-2</v>
      </c>
      <c r="C101" s="1">
        <v>1.27516947238E-3</v>
      </c>
      <c r="D101" s="1">
        <v>7.3184060237899997E-4</v>
      </c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</row>
    <row r="102" spans="1:51" x14ac:dyDescent="0.25">
      <c r="A102">
        <v>1.4572130800099999E-2</v>
      </c>
      <c r="B102" s="1">
        <v>8.6097538976200004E-3</v>
      </c>
      <c r="C102" s="1">
        <v>1.0937351708499999E-3</v>
      </c>
      <c r="D102" s="1">
        <v>7.3515900840299996E-4</v>
      </c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</row>
    <row r="103" spans="1:51" x14ac:dyDescent="0.25">
      <c r="A103">
        <v>1.4717852108099999E-2</v>
      </c>
      <c r="B103" s="1">
        <v>7.30754372234E-3</v>
      </c>
      <c r="C103" s="1">
        <v>1.02890700748E-3</v>
      </c>
      <c r="D103" s="1">
        <v>7.3851059848700003E-4</v>
      </c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</row>
    <row r="104" spans="1:51" x14ac:dyDescent="0.25">
      <c r="A104">
        <v>1.4865030629200001E-2</v>
      </c>
      <c r="B104" s="1">
        <v>6.11964976972E-3</v>
      </c>
      <c r="C104" s="1">
        <v>9.5050009754200004E-4</v>
      </c>
      <c r="D104" s="1">
        <v>7.4189570447199995E-4</v>
      </c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</row>
    <row r="105" spans="1:51" x14ac:dyDescent="0.25">
      <c r="A105">
        <v>1.50136809355E-2</v>
      </c>
      <c r="B105" s="1">
        <v>5.9793644739900001E-3</v>
      </c>
      <c r="C105" s="1">
        <v>8.77196496244E-4</v>
      </c>
      <c r="D105" s="1">
        <v>7.4531466151699999E-4</v>
      </c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</row>
    <row r="106" spans="1:51" x14ac:dyDescent="0.25">
      <c r="A106">
        <v>1.5163817744900001E-2</v>
      </c>
      <c r="B106" s="1">
        <v>4.8376129754299996E-3</v>
      </c>
      <c r="C106" s="1">
        <v>7.8106135297000001E-4</v>
      </c>
      <c r="D106" s="1">
        <v>7.4876780813200002E-4</v>
      </c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</row>
    <row r="107" spans="1:51" x14ac:dyDescent="0.25">
      <c r="A107">
        <v>1.5315455922300001E-2</v>
      </c>
      <c r="B107" s="1">
        <v>4.8977040774399998E-3</v>
      </c>
      <c r="C107" s="1">
        <v>7.6258931613199996E-4</v>
      </c>
      <c r="D107" s="1">
        <v>7.5225548621300005E-4</v>
      </c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</row>
    <row r="108" spans="1:51" x14ac:dyDescent="0.25">
      <c r="A108">
        <v>1.54686104815E-2</v>
      </c>
      <c r="B108" s="1">
        <v>4.9339135926000002E-3</v>
      </c>
      <c r="C108" s="1">
        <v>7.5557658889399996E-4</v>
      </c>
      <c r="D108" s="1">
        <v>7.5577804107499998E-4</v>
      </c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</row>
    <row r="109" spans="1:51" x14ac:dyDescent="0.25">
      <c r="A109">
        <v>1.56232965864E-2</v>
      </c>
      <c r="B109" s="1">
        <v>3.2330601547999999E-3</v>
      </c>
      <c r="C109" s="1">
        <v>6.3956470957599997E-4</v>
      </c>
      <c r="D109" s="1">
        <v>7.5933582148599997E-4</v>
      </c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</row>
    <row r="110" spans="1:51" x14ac:dyDescent="0.25">
      <c r="A110">
        <v>1.5779529552200001E-2</v>
      </c>
      <c r="B110" s="1">
        <v>3.2267542131E-3</v>
      </c>
      <c r="C110" s="1">
        <v>6.06240747522E-4</v>
      </c>
      <c r="D110" s="1">
        <v>7.6292917970100004E-4</v>
      </c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</row>
    <row r="111" spans="1:51" x14ac:dyDescent="0.25">
      <c r="A111">
        <v>1.59373248477E-2</v>
      </c>
      <c r="B111" s="1">
        <v>2.6010189937400001E-3</v>
      </c>
      <c r="C111" s="1">
        <v>5.2574254626999999E-4</v>
      </c>
      <c r="D111" s="1">
        <v>7.6655847149800001E-4</v>
      </c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</row>
    <row r="112" spans="1:51" x14ac:dyDescent="0.25">
      <c r="A112">
        <v>1.6096698096199999E-2</v>
      </c>
      <c r="B112" s="1">
        <v>3.6355216507099998E-3</v>
      </c>
      <c r="C112" s="1">
        <v>5.6579668563199999E-4</v>
      </c>
      <c r="D112" s="1">
        <v>7.7022405621299998E-4</v>
      </c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</row>
    <row r="113" spans="1:51" x14ac:dyDescent="0.25">
      <c r="A113">
        <v>1.6257665077200001E-2</v>
      </c>
      <c r="B113" s="1">
        <v>3.03540348252E-3</v>
      </c>
      <c r="C113" s="1">
        <v>5.1743288178299999E-4</v>
      </c>
      <c r="D113" s="1">
        <v>7.7392629677499995E-4</v>
      </c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</row>
    <row r="114" spans="1:51" x14ac:dyDescent="0.25">
      <c r="A114">
        <v>1.6420241727999999E-2</v>
      </c>
      <c r="B114" s="1">
        <v>3.0448894275799999E-3</v>
      </c>
      <c r="C114" s="1">
        <v>5.1108794688400005E-4</v>
      </c>
      <c r="D114" s="1">
        <v>7.7766555974299997E-4</v>
      </c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</row>
    <row r="115" spans="1:51" x14ac:dyDescent="0.25">
      <c r="A115">
        <v>1.6584444145200002E-2</v>
      </c>
      <c r="B115" s="1">
        <v>3.37521391558E-3</v>
      </c>
      <c r="C115" s="1">
        <v>5.0144883705700004E-4</v>
      </c>
      <c r="D115" s="1">
        <v>7.8144221533999999E-4</v>
      </c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</row>
    <row r="116" spans="1:51" x14ac:dyDescent="0.25">
      <c r="A116">
        <v>1.67502885867E-2</v>
      </c>
      <c r="B116" s="1">
        <v>3.3198948715900001E-3</v>
      </c>
      <c r="C116" s="1">
        <v>4.9204055648800001E-4</v>
      </c>
      <c r="D116" s="1">
        <v>7.8525663749399999E-4</v>
      </c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</row>
    <row r="117" spans="1:51" x14ac:dyDescent="0.25">
      <c r="A117">
        <v>1.6917791472599999E-2</v>
      </c>
      <c r="B117" s="1">
        <v>2.66984776009E-3</v>
      </c>
      <c r="C117" s="1">
        <v>4.71287565348E-4</v>
      </c>
      <c r="D117" s="1">
        <v>7.8910920386899999E-4</v>
      </c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</row>
    <row r="118" spans="1:51" x14ac:dyDescent="0.25">
      <c r="A118">
        <v>1.7086969387300002E-2</v>
      </c>
      <c r="B118" s="1">
        <v>3.0997796689200001E-3</v>
      </c>
      <c r="C118" s="1">
        <v>4.8076939414300001E-4</v>
      </c>
      <c r="D118" s="1">
        <v>7.9300029590700005E-4</v>
      </c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</row>
    <row r="119" spans="1:51" x14ac:dyDescent="0.25">
      <c r="A119">
        <v>1.7257839081199999E-2</v>
      </c>
      <c r="B119" s="1">
        <v>3.82911589649E-3</v>
      </c>
      <c r="C119" s="1">
        <v>4.9754107668800002E-4</v>
      </c>
      <c r="D119" s="1">
        <v>7.9693029886600004E-4</v>
      </c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</row>
    <row r="120" spans="1:51" x14ac:dyDescent="0.25">
      <c r="A120">
        <v>1.7430417472000002E-2</v>
      </c>
      <c r="B120" s="1">
        <v>4.6055229780299998E-3</v>
      </c>
      <c r="C120" s="1">
        <v>5.0408760269799997E-4</v>
      </c>
      <c r="D120" s="1">
        <v>8.0089960185499996E-4</v>
      </c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</row>
    <row r="121" spans="1:51" x14ac:dyDescent="0.25">
      <c r="A121">
        <v>1.7604721646699999E-2</v>
      </c>
      <c r="B121" s="1">
        <v>5.2120086495500003E-3</v>
      </c>
      <c r="C121" s="1">
        <v>5.1365992225299996E-4</v>
      </c>
      <c r="D121" s="1">
        <v>8.0490859787399999E-4</v>
      </c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</row>
    <row r="122" spans="1:51" x14ac:dyDescent="0.25">
      <c r="A122">
        <v>1.77807688631E-2</v>
      </c>
      <c r="B122" s="1">
        <v>5.3089982542699997E-3</v>
      </c>
      <c r="C122" s="1">
        <v>5.0319702397400002E-4</v>
      </c>
      <c r="D122" s="1">
        <v>8.08957683852E-4</v>
      </c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</row>
    <row r="123" spans="1:51" x14ac:dyDescent="0.25">
      <c r="A123">
        <v>1.7958576551799998E-2</v>
      </c>
      <c r="B123" s="1">
        <v>6.5649967558599996E-3</v>
      </c>
      <c r="C123" s="1">
        <v>5.3649071142799999E-4</v>
      </c>
      <c r="D123" s="1">
        <v>8.1304726069100005E-4</v>
      </c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</row>
    <row r="124" spans="1:51" x14ac:dyDescent="0.25">
      <c r="A124">
        <v>1.8138162317300002E-2</v>
      </c>
      <c r="B124" s="1">
        <v>7.0505174716100003E-3</v>
      </c>
      <c r="C124" s="1">
        <v>5.4996109833800003E-4</v>
      </c>
      <c r="D124" s="1">
        <v>8.17177733298E-4</v>
      </c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</row>
    <row r="125" spans="1:51" x14ac:dyDescent="0.25">
      <c r="A125">
        <v>1.8319543940500001E-2</v>
      </c>
      <c r="B125" s="1">
        <v>7.5381297410199999E-3</v>
      </c>
      <c r="C125" s="1">
        <v>5.5628172127000005E-4</v>
      </c>
      <c r="D125" s="1">
        <v>8.2134951063100002E-4</v>
      </c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</row>
    <row r="126" spans="1:51" x14ac:dyDescent="0.25">
      <c r="A126">
        <v>1.8502739379900001E-2</v>
      </c>
      <c r="B126" s="1">
        <v>1.03659719199E-2</v>
      </c>
      <c r="C126" s="1">
        <v>1.7979086362300001E-3</v>
      </c>
      <c r="D126" s="1">
        <v>8.2556300573700004E-4</v>
      </c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</row>
    <row r="127" spans="1:51" x14ac:dyDescent="0.25">
      <c r="A127">
        <v>1.8687766773700001E-2</v>
      </c>
      <c r="B127" s="1">
        <v>1.12338052295E-2</v>
      </c>
      <c r="C127" s="1">
        <v>1.81404479993E-3</v>
      </c>
      <c r="D127" s="1">
        <v>8.2981863579399998E-4</v>
      </c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</row>
    <row r="128" spans="1:51" x14ac:dyDescent="0.25">
      <c r="A128">
        <v>1.8874644441399999E-2</v>
      </c>
      <c r="B128" s="1">
        <v>1.1593426608E-2</v>
      </c>
      <c r="C128" s="1">
        <v>1.7575067859899999E-3</v>
      </c>
      <c r="D128" s="1">
        <v>8.34116822152E-4</v>
      </c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</row>
    <row r="129" spans="1:51" x14ac:dyDescent="0.25">
      <c r="A129">
        <v>1.9063390885799999E-2</v>
      </c>
      <c r="B129" s="1">
        <v>1.2383598202300001E-2</v>
      </c>
      <c r="C129" s="1">
        <v>1.81137457877E-3</v>
      </c>
      <c r="D129" s="1">
        <v>8.3845799037399996E-4</v>
      </c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</row>
    <row r="130" spans="1:51" x14ac:dyDescent="0.25">
      <c r="A130">
        <v>1.9254024794699998E-2</v>
      </c>
      <c r="B130" s="1">
        <v>1.60258698573E-2</v>
      </c>
      <c r="C130" s="1">
        <v>1.8685652188200001E-3</v>
      </c>
      <c r="D130" s="1">
        <v>8.4284257027799996E-4</v>
      </c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</row>
    <row r="131" spans="1:51" x14ac:dyDescent="0.25">
      <c r="A131">
        <v>1.9446565042599999E-2</v>
      </c>
      <c r="B131" s="1">
        <v>1.6488382457399999E-2</v>
      </c>
      <c r="C131" s="1">
        <v>1.8432612925800001E-3</v>
      </c>
      <c r="D131" s="1">
        <v>8.4727099597999998E-4</v>
      </c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</row>
    <row r="132" spans="1:51" x14ac:dyDescent="0.25">
      <c r="A132">
        <v>1.9641030693100001E-2</v>
      </c>
      <c r="B132" s="1">
        <v>1.57445359046E-2</v>
      </c>
      <c r="C132" s="1">
        <v>1.82698262382E-3</v>
      </c>
      <c r="D132" s="1">
        <v>8.5174370594E-4</v>
      </c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</row>
    <row r="133" spans="1:51" x14ac:dyDescent="0.25">
      <c r="A133">
        <v>1.9837441000000001E-2</v>
      </c>
      <c r="B133" s="1">
        <v>1.4357764054200001E-2</v>
      </c>
      <c r="C133" s="1">
        <v>1.67605984963E-3</v>
      </c>
      <c r="D133" s="1">
        <v>8.5626114299999995E-4</v>
      </c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</row>
    <row r="134" spans="1:51" x14ac:dyDescent="0.25">
      <c r="A134">
        <v>2.0035815410000001E-2</v>
      </c>
      <c r="B134" s="1">
        <v>1.6339099817800001E-2</v>
      </c>
      <c r="C134" s="1">
        <v>1.74401934357E-3</v>
      </c>
      <c r="D134" s="1">
        <v>8.6082375442999995E-4</v>
      </c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</row>
    <row r="135" spans="1:51" x14ac:dyDescent="0.25">
      <c r="A135">
        <v>2.0236173564099999E-2</v>
      </c>
      <c r="B135" s="1">
        <v>1.6233193832599999E-2</v>
      </c>
      <c r="C135" s="1">
        <v>1.7154684961900001E-3</v>
      </c>
      <c r="D135" s="1">
        <v>8.6543199197399996E-4</v>
      </c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</row>
    <row r="136" spans="1:51" x14ac:dyDescent="0.25">
      <c r="A136">
        <v>2.0438535299700002E-2</v>
      </c>
      <c r="B136" s="1">
        <v>1.86183730007E-2</v>
      </c>
      <c r="C136" s="1">
        <v>1.7649167175900001E-3</v>
      </c>
      <c r="D136" s="1">
        <v>8.7008631189400005E-4</v>
      </c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</row>
    <row r="137" spans="1:51" x14ac:dyDescent="0.25">
      <c r="A137">
        <v>2.06429206527E-2</v>
      </c>
      <c r="B137" s="1">
        <v>2.1495506143500001E-2</v>
      </c>
      <c r="C137" s="1">
        <v>1.84326131172E-3</v>
      </c>
      <c r="D137" s="1">
        <v>8.7478717501299999E-4</v>
      </c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</row>
    <row r="138" spans="1:51" x14ac:dyDescent="0.25">
      <c r="A138">
        <v>2.0849349859299999E-2</v>
      </c>
      <c r="B138" s="1">
        <v>1.8458826657899999E-2</v>
      </c>
      <c r="C138" s="1">
        <v>1.6688163786500001E-3</v>
      </c>
      <c r="D138" s="1">
        <v>8.7953504676300002E-4</v>
      </c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</row>
    <row r="139" spans="1:51" x14ac:dyDescent="0.25">
      <c r="A139">
        <v>2.1057843357800001E-2</v>
      </c>
      <c r="B139" s="1">
        <v>1.79744700236E-2</v>
      </c>
      <c r="C139" s="1">
        <v>1.6141462840999999E-3</v>
      </c>
      <c r="D139" s="1">
        <v>8.8433039722999999E-4</v>
      </c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</row>
    <row r="140" spans="1:51" x14ac:dyDescent="0.25">
      <c r="A140">
        <v>2.12684217914E-2</v>
      </c>
      <c r="B140" s="1">
        <v>2.1850845887700001E-2</v>
      </c>
      <c r="C140" s="1">
        <v>1.7184346984E-3</v>
      </c>
      <c r="D140" s="1">
        <v>8.8917370120300001E-4</v>
      </c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</row>
    <row r="141" spans="1:51" x14ac:dyDescent="0.25">
      <c r="A141">
        <v>2.1481106009300002E-2</v>
      </c>
      <c r="B141" s="1">
        <v>2.1903053843300001E-2</v>
      </c>
      <c r="C141" s="1">
        <v>1.7496004873999999E-3</v>
      </c>
      <c r="D141" s="1">
        <v>8.9406543821499997E-4</v>
      </c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</row>
    <row r="142" spans="1:51" x14ac:dyDescent="0.25">
      <c r="A142">
        <v>2.1695917069400002E-2</v>
      </c>
      <c r="B142" s="1">
        <v>1.8634170688099999E-2</v>
      </c>
      <c r="C142" s="1">
        <v>1.55662699281E-3</v>
      </c>
      <c r="D142" s="1">
        <v>8.9900609259699999E-4</v>
      </c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</row>
    <row r="143" spans="1:51" x14ac:dyDescent="0.25">
      <c r="A143">
        <v>2.19128762401E-2</v>
      </c>
      <c r="B143" s="1">
        <v>1.86489913429E-2</v>
      </c>
      <c r="C143" s="1">
        <v>1.50449914203E-3</v>
      </c>
      <c r="D143" s="1">
        <v>9.0399615352299999E-4</v>
      </c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</row>
    <row r="144" spans="1:51" x14ac:dyDescent="0.25">
      <c r="A144">
        <v>2.21320050025E-2</v>
      </c>
      <c r="B144" s="1">
        <v>1.88257198545E-2</v>
      </c>
      <c r="C144" s="1">
        <v>1.5087683299899999E-3</v>
      </c>
      <c r="D144" s="1">
        <v>9.0903611505800002E-4</v>
      </c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</row>
    <row r="145" spans="1:51" x14ac:dyDescent="0.25">
      <c r="A145">
        <v>2.2353325052600001E-2</v>
      </c>
      <c r="B145" s="1">
        <v>2.1126413948800001E-2</v>
      </c>
      <c r="C145" s="1">
        <v>1.5775487745E-3</v>
      </c>
      <c r="D145" s="1">
        <v>9.1412647620899999E-4</v>
      </c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</row>
    <row r="146" spans="1:51" x14ac:dyDescent="0.25">
      <c r="A146">
        <v>2.2576858303100002E-2</v>
      </c>
      <c r="B146" s="1">
        <v>1.74234038568E-2</v>
      </c>
      <c r="C146" s="1">
        <v>6.9594528323899997E-4</v>
      </c>
      <c r="D146" s="1">
        <v>9.1926774097100003E-4</v>
      </c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</row>
    <row r="147" spans="1:51" x14ac:dyDescent="0.25">
      <c r="A147">
        <v>2.2802626886099998E-2</v>
      </c>
      <c r="B147" s="1">
        <v>1.8207982009999998E-2</v>
      </c>
      <c r="C147" s="1">
        <v>6.9777664523400001E-4</v>
      </c>
      <c r="D147" s="1">
        <v>9.2446041838000002E-4</v>
      </c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</row>
    <row r="148" spans="1:51" x14ac:dyDescent="0.25">
      <c r="A148">
        <v>2.3030653155000001E-2</v>
      </c>
      <c r="B148" s="1">
        <v>1.8978974570200001E-2</v>
      </c>
      <c r="C148" s="1">
        <v>7.1482239945199995E-4</v>
      </c>
      <c r="D148" s="1">
        <v>9.29705022564E-4</v>
      </c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</row>
    <row r="149" spans="1:51" x14ac:dyDescent="0.25">
      <c r="A149">
        <v>2.32609596865E-2</v>
      </c>
      <c r="B149" s="1">
        <v>1.6949794931599999E-2</v>
      </c>
      <c r="C149" s="1">
        <v>6.6242401729499996E-4</v>
      </c>
      <c r="D149" s="1">
        <v>9.3500207279000004E-4</v>
      </c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</row>
    <row r="150" spans="1:51" x14ac:dyDescent="0.25">
      <c r="A150">
        <v>2.34935692834E-2</v>
      </c>
      <c r="B150" s="1">
        <v>1.69481942392E-2</v>
      </c>
      <c r="C150" s="1">
        <v>6.7274125090899999E-4</v>
      </c>
      <c r="D150" s="1">
        <v>9.4035209351799997E-4</v>
      </c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</row>
    <row r="151" spans="1:51" x14ac:dyDescent="0.25">
      <c r="A151">
        <v>2.37285049762E-2</v>
      </c>
      <c r="B151" s="1">
        <v>1.5925163168300002E-2</v>
      </c>
      <c r="C151" s="1">
        <v>6.1333363537700001E-4</v>
      </c>
      <c r="D151" s="1">
        <v>9.4575561445300004E-4</v>
      </c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</row>
    <row r="152" spans="1:51" x14ac:dyDescent="0.25">
      <c r="A152">
        <v>2.3965790026000001E-2</v>
      </c>
      <c r="B152" s="1">
        <v>1.4684023172599999E-2</v>
      </c>
      <c r="C152" s="1">
        <v>5.8538845534699996E-4</v>
      </c>
      <c r="D152" s="1">
        <v>9.5121317059800004E-4</v>
      </c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</row>
    <row r="153" spans="1:51" x14ac:dyDescent="0.25">
      <c r="A153">
        <v>2.42054479262E-2</v>
      </c>
      <c r="B153" s="1">
        <v>1.3482317886500001E-2</v>
      </c>
      <c r="C153" s="1">
        <v>5.5333657877099996E-4</v>
      </c>
      <c r="D153" s="91">
        <v>9.5672530230299997E-4</v>
      </c>
      <c r="E153" s="91"/>
      <c r="F153" s="91"/>
      <c r="G153" s="91"/>
      <c r="H153" s="91"/>
      <c r="I153" s="91"/>
      <c r="J153" s="91"/>
      <c r="K153" s="91"/>
      <c r="L153" s="91"/>
      <c r="M153" s="91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</row>
    <row r="154" spans="1:51" x14ac:dyDescent="0.25">
      <c r="A154">
        <v>2.4447502405500001E-2</v>
      </c>
      <c r="B154" s="1">
        <v>1.24740885351E-2</v>
      </c>
      <c r="C154" s="1">
        <v>4.9432900062100005E-4</v>
      </c>
      <c r="D154" s="1">
        <v>9.62292555327E-4</v>
      </c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</row>
    <row r="155" spans="1:51" x14ac:dyDescent="0.25">
      <c r="A155">
        <v>2.4691977429599998E-2</v>
      </c>
      <c r="B155" s="1">
        <v>1.2436155017500001E-2</v>
      </c>
      <c r="C155" s="1">
        <v>5.1234242507700002E-4</v>
      </c>
      <c r="D155" s="1">
        <v>9.6791548087999996E-4</v>
      </c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</row>
    <row r="156" spans="1:51" x14ac:dyDescent="0.25">
      <c r="A156">
        <v>2.4938897203899999E-2</v>
      </c>
      <c r="B156" s="1">
        <v>9.8295842710700004E-3</v>
      </c>
      <c r="C156" s="1">
        <v>4.25846312765E-4</v>
      </c>
      <c r="D156" s="1">
        <v>9.7359463568899996E-4</v>
      </c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</row>
    <row r="157" spans="1:51" x14ac:dyDescent="0.25">
      <c r="A157">
        <v>2.51882861759E-2</v>
      </c>
      <c r="B157" s="1">
        <v>9.1922569578699997E-3</v>
      </c>
      <c r="C157" s="1">
        <v>4.0506607971099999E-4</v>
      </c>
      <c r="D157" s="1">
        <v>9.7933058204499992E-4</v>
      </c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</row>
    <row r="158" spans="1:51" x14ac:dyDescent="0.25">
      <c r="A158">
        <v>2.5440169037600002E-2</v>
      </c>
      <c r="B158" s="1">
        <v>8.1476076167900004E-3</v>
      </c>
      <c r="C158" s="1">
        <v>3.6659186403699998E-4</v>
      </c>
      <c r="D158" s="1">
        <v>9.8512388786599998E-4</v>
      </c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</row>
    <row r="159" spans="1:51" x14ac:dyDescent="0.25">
      <c r="A159">
        <v>2.5694570728E-2</v>
      </c>
      <c r="B159" s="1">
        <v>6.9691047223100003E-3</v>
      </c>
      <c r="C159" s="1">
        <v>3.3699700346799999E-4</v>
      </c>
      <c r="D159" s="1">
        <v>9.9097512674499997E-4</v>
      </c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</row>
    <row r="160" spans="1:51" x14ac:dyDescent="0.25">
      <c r="A160">
        <v>2.5951516435299998E-2</v>
      </c>
      <c r="B160" s="1">
        <v>5.91233756184E-3</v>
      </c>
      <c r="C160" s="1">
        <v>3.0346285547999999E-4</v>
      </c>
      <c r="D160" s="1">
        <v>9.9688487801200009E-4</v>
      </c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</row>
    <row r="161" spans="1:51" x14ac:dyDescent="0.25">
      <c r="A161">
        <v>2.6211031599700001E-2</v>
      </c>
      <c r="B161" s="1">
        <v>5.2154128218500004E-3</v>
      </c>
      <c r="C161" s="1">
        <v>2.8540431841799998E-4</v>
      </c>
      <c r="D161" s="1">
        <v>1.0028537267900001E-3</v>
      </c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</row>
    <row r="162" spans="1:51" x14ac:dyDescent="0.25">
      <c r="A162">
        <v>2.6473141915700001E-2</v>
      </c>
      <c r="B162" s="1">
        <v>4.70436285443E-3</v>
      </c>
      <c r="C162" s="1">
        <v>2.6180635247899999E-4</v>
      </c>
      <c r="D162" s="1">
        <v>1.00888226406E-3</v>
      </c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</row>
    <row r="163" spans="1:51" x14ac:dyDescent="0.25">
      <c r="A163">
        <v>2.6737873334799999E-2</v>
      </c>
      <c r="B163" s="1">
        <v>3.8568119276500001E-3</v>
      </c>
      <c r="C163" s="1">
        <v>2.61053488436E-4</v>
      </c>
      <c r="D163" s="1">
        <v>1.0149710867E-3</v>
      </c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</row>
    <row r="164" spans="1:51" x14ac:dyDescent="0.25">
      <c r="A164">
        <v>2.7005252068200002E-2</v>
      </c>
      <c r="B164" s="1">
        <v>3.12676556486E-3</v>
      </c>
      <c r="C164" s="1">
        <v>2.3776186490300001E-4</v>
      </c>
      <c r="D164" s="1">
        <v>1.02112079757E-3</v>
      </c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</row>
    <row r="165" spans="1:51" x14ac:dyDescent="0.25">
      <c r="A165">
        <v>2.7275304588799999E-2</v>
      </c>
      <c r="B165" s="1">
        <v>2.6521669575699999E-3</v>
      </c>
      <c r="C165" s="1">
        <v>2.1893566553100001E-4</v>
      </c>
      <c r="D165" s="1">
        <v>1.02733200554E-3</v>
      </c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</row>
    <row r="166" spans="1:51" x14ac:dyDescent="0.25">
      <c r="A166">
        <v>2.7548057634700002E-2</v>
      </c>
      <c r="B166" s="1">
        <v>2.4453636448700002E-3</v>
      </c>
      <c r="C166" s="1">
        <v>2.0297978410399999E-4</v>
      </c>
      <c r="D166" s="1">
        <v>1.0336053256E-3</v>
      </c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</row>
    <row r="167" spans="1:51" x14ac:dyDescent="0.25">
      <c r="A167">
        <v>2.78235382111E-2</v>
      </c>
      <c r="B167" s="1">
        <v>1.88089694267E-3</v>
      </c>
      <c r="C167" s="1">
        <v>1.78269930872E-4</v>
      </c>
      <c r="D167" s="1">
        <v>1.0399413788499999E-3</v>
      </c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</row>
    <row r="168" spans="1:51" x14ac:dyDescent="0.25">
      <c r="A168">
        <v>2.81017735932E-2</v>
      </c>
      <c r="B168" s="1">
        <v>1.5240736010699999E-3</v>
      </c>
      <c r="C168" s="1">
        <v>1.6090111270199999E-4</v>
      </c>
      <c r="D168" s="1">
        <v>1.0463407926400001E-3</v>
      </c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</row>
    <row r="169" spans="1:51" x14ac:dyDescent="0.25">
      <c r="A169">
        <v>2.8382791329100002E-2</v>
      </c>
      <c r="B169" s="1">
        <v>1.21769988036E-3</v>
      </c>
      <c r="C169" s="1">
        <v>1.4964752798200001E-4</v>
      </c>
      <c r="D169" s="1">
        <v>1.0528042005699999E-3</v>
      </c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</row>
    <row r="170" spans="1:51" x14ac:dyDescent="0.25">
      <c r="A170">
        <v>2.86666192424E-2</v>
      </c>
      <c r="B170" s="1">
        <v>8.2475420686100003E-4</v>
      </c>
      <c r="C170" s="1">
        <v>1.3519378706E-4</v>
      </c>
      <c r="D170" s="1">
        <v>1.05933224258E-3</v>
      </c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</row>
    <row r="171" spans="1:51" x14ac:dyDescent="0.25">
      <c r="A171">
        <v>2.89532854348E-2</v>
      </c>
      <c r="B171" s="1">
        <v>7.4131178523700002E-4</v>
      </c>
      <c r="C171" s="1">
        <v>1.25541142652E-4</v>
      </c>
      <c r="D171" s="1">
        <v>1.065925565E-3</v>
      </c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</row>
    <row r="172" spans="1:51" x14ac:dyDescent="0.25">
      <c r="A172">
        <v>2.9242818289200001E-2</v>
      </c>
      <c r="B172" s="1">
        <v>7.3791335426200003E-4</v>
      </c>
      <c r="C172" s="1">
        <v>1.19688632436E-4</v>
      </c>
      <c r="D172" s="1">
        <v>1.0725848206499999E-3</v>
      </c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</row>
    <row r="173" spans="1:51" x14ac:dyDescent="0.25">
      <c r="A173">
        <v>2.9535246472099999E-2</v>
      </c>
      <c r="B173" s="1">
        <v>4.1884812990700002E-4</v>
      </c>
      <c r="C173" s="1">
        <v>1.02006567235E-4</v>
      </c>
      <c r="D173" s="1">
        <v>1.0793106688599999E-3</v>
      </c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</row>
    <row r="174" spans="1:51" x14ac:dyDescent="0.25">
      <c r="A174">
        <v>2.9830598936799999E-2</v>
      </c>
      <c r="B174" s="1">
        <v>5.4788953960999999E-4</v>
      </c>
      <c r="C174" s="1">
        <v>1.03303909973E-4</v>
      </c>
      <c r="D174" s="1">
        <v>1.08610377555E-3</v>
      </c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</row>
    <row r="175" spans="1:51" x14ac:dyDescent="0.25">
      <c r="A175">
        <v>3.01289049262E-2</v>
      </c>
      <c r="B175" s="1">
        <v>6.3018878207499998E-4</v>
      </c>
      <c r="C175" s="1">
        <v>1.16015485228E-4</v>
      </c>
      <c r="D175" s="1">
        <v>1.0929648132999999E-3</v>
      </c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</row>
    <row r="176" spans="1:51" x14ac:dyDescent="0.25">
      <c r="A176">
        <v>3.0430193975400002E-2</v>
      </c>
      <c r="B176" s="1">
        <v>6.34749516642E-4</v>
      </c>
      <c r="C176" s="1">
        <v>1.13759364619E-4</v>
      </c>
      <c r="D176" s="1">
        <v>1.09989446143E-3</v>
      </c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</row>
    <row r="177" spans="1:51" x14ac:dyDescent="0.25">
      <c r="A177">
        <v>3.07344959152E-2</v>
      </c>
      <c r="B177" s="1">
        <v>5.2404444164199997E-4</v>
      </c>
      <c r="C177" s="1">
        <v>1.00927848505E-4</v>
      </c>
      <c r="D177" s="1">
        <v>1.1068934060499999E-3</v>
      </c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</row>
    <row r="178" spans="1:51" x14ac:dyDescent="0.25">
      <c r="A178">
        <v>3.1041840874300002E-2</v>
      </c>
      <c r="B178" s="1">
        <v>4.6754069706800001E-4</v>
      </c>
      <c r="C178" s="1">
        <v>9.6738934167000002E-5</v>
      </c>
      <c r="D178" s="1">
        <v>1.1139623401100001E-3</v>
      </c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</row>
    <row r="179" spans="1:51" x14ac:dyDescent="0.25">
      <c r="A179">
        <v>3.1352259283100002E-2</v>
      </c>
      <c r="B179" s="1">
        <v>6.2508628513700001E-4</v>
      </c>
      <c r="C179" s="1">
        <v>1.10049840476E-4</v>
      </c>
      <c r="D179" s="1">
        <v>1.1211019635100001E-3</v>
      </c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</row>
    <row r="180" spans="1:51" x14ac:dyDescent="0.25">
      <c r="A180">
        <v>3.1665781875900002E-2</v>
      </c>
      <c r="B180" s="1">
        <v>6.3035547480799997E-4</v>
      </c>
      <c r="C180" s="1">
        <v>1.0918634814800001E-4</v>
      </c>
      <c r="D180" s="1">
        <v>1.12831298315E-3</v>
      </c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</row>
    <row r="181" spans="1:51" x14ac:dyDescent="0.25">
      <c r="A181">
        <v>3.19824396947E-2</v>
      </c>
      <c r="B181" s="1">
        <v>8.2749297218800001E-4</v>
      </c>
      <c r="C181" s="1">
        <v>1.2079648877499999E-4</v>
      </c>
      <c r="D181" s="1">
        <v>1.1355961129799999E-3</v>
      </c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</row>
    <row r="182" spans="1:51" x14ac:dyDescent="0.25">
      <c r="A182">
        <v>3.2302264091600003E-2</v>
      </c>
      <c r="B182" s="1">
        <v>5.1800695972200001E-4</v>
      </c>
      <c r="C182" s="1">
        <v>1.00150934241E-4</v>
      </c>
      <c r="D182" s="1">
        <v>1.1429520741100001E-3</v>
      </c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</row>
    <row r="183" spans="1:51" x14ac:dyDescent="0.25">
      <c r="A183">
        <v>3.2625286732500001E-2</v>
      </c>
      <c r="B183" s="1">
        <v>6.9417471710800003E-4</v>
      </c>
      <c r="C183" s="1">
        <v>1.22860856905E-4</v>
      </c>
      <c r="D183" s="1">
        <v>1.15038159485E-3</v>
      </c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</row>
    <row r="184" spans="1:51" x14ac:dyDescent="0.25">
      <c r="A184">
        <v>3.29515395999E-2</v>
      </c>
      <c r="B184" s="1">
        <v>6.5823526806900001E-4</v>
      </c>
      <c r="C184" s="1">
        <v>1.17031244597E-4</v>
      </c>
      <c r="D184" s="1">
        <v>1.1578854107999999E-3</v>
      </c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</row>
    <row r="185" spans="1:51" x14ac:dyDescent="0.25">
      <c r="A185">
        <v>3.3281054995899999E-2</v>
      </c>
      <c r="B185" s="1">
        <v>4.0170103079800002E-4</v>
      </c>
      <c r="C185" s="1">
        <v>1.0506255423499999E-4</v>
      </c>
      <c r="D185" s="1">
        <v>1.1654642648999999E-3</v>
      </c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</row>
    <row r="186" spans="1:51" x14ac:dyDescent="0.25">
      <c r="A186">
        <v>3.3613865545800002E-2</v>
      </c>
      <c r="B186" s="1">
        <v>5.4866837425000001E-4</v>
      </c>
      <c r="C186" s="1">
        <v>1.04113850962E-4</v>
      </c>
      <c r="D186" s="1">
        <v>1.1731189075499999E-3</v>
      </c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</row>
    <row r="187" spans="1:51" x14ac:dyDescent="0.25">
      <c r="A187">
        <v>3.3950004201300003E-2</v>
      </c>
      <c r="B187" s="1">
        <v>3.8366628790099998E-4</v>
      </c>
      <c r="C187" s="1">
        <v>9.4529837669000004E-5</v>
      </c>
      <c r="D187" s="1">
        <v>1.18085009663E-3</v>
      </c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</row>
    <row r="188" spans="1:51" x14ac:dyDescent="0.25">
      <c r="A188">
        <v>3.4289504243299997E-2</v>
      </c>
      <c r="B188" s="1">
        <v>5.2035884645500001E-4</v>
      </c>
      <c r="C188" s="1">
        <v>1.05452499114E-4</v>
      </c>
      <c r="D188" s="1">
        <v>1.1886585976000001E-3</v>
      </c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</row>
    <row r="189" spans="1:51" x14ac:dyDescent="0.25">
      <c r="A189">
        <v>3.46323992857E-2</v>
      </c>
      <c r="B189" s="1">
        <v>5.5996925770399996E-4</v>
      </c>
      <c r="C189" s="1">
        <v>1.01538126003E-4</v>
      </c>
      <c r="D189" s="1">
        <v>1.1965451835699999E-3</v>
      </c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</row>
    <row r="190" spans="1:51" x14ac:dyDescent="0.25">
      <c r="A190">
        <v>3.49787232786E-2</v>
      </c>
      <c r="B190" s="1">
        <v>4.4001080922100001E-4</v>
      </c>
      <c r="C190" s="1">
        <v>9.1958932045999993E-5</v>
      </c>
      <c r="D190" s="1">
        <v>1.20451063541E-3</v>
      </c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</row>
    <row r="191" spans="1:51" x14ac:dyDescent="0.25">
      <c r="A191">
        <v>3.5328510511399999E-2</v>
      </c>
      <c r="B191" s="1">
        <v>4.2354998601299999E-4</v>
      </c>
      <c r="C191" s="1">
        <v>9.0539681992900001E-5</v>
      </c>
      <c r="D191" s="1">
        <v>1.2125557417599999E-3</v>
      </c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</row>
    <row r="192" spans="1:51" x14ac:dyDescent="0.25">
      <c r="A192">
        <v>3.5681795616499999E-2</v>
      </c>
      <c r="B192" s="1">
        <v>2.96567697465E-4</v>
      </c>
      <c r="C192" s="1">
        <v>8.0589334597200001E-5</v>
      </c>
      <c r="D192" s="1">
        <v>1.2206812991799999E-3</v>
      </c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</row>
    <row r="193" spans="1:51" x14ac:dyDescent="0.25">
      <c r="A193">
        <v>3.6038613572599999E-2</v>
      </c>
      <c r="B193" s="1">
        <v>1.9042186200700001E-4</v>
      </c>
      <c r="C193" s="1">
        <v>7.0433486950999998E-5</v>
      </c>
      <c r="D193" s="1">
        <v>1.2288881121700001E-3</v>
      </c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</row>
    <row r="194" spans="1:51" x14ac:dyDescent="0.25">
      <c r="A194">
        <v>3.63989997084E-2</v>
      </c>
      <c r="B194" s="1">
        <v>2.05941749996E-4</v>
      </c>
      <c r="C194" s="1">
        <v>7.2062202280799995E-5</v>
      </c>
      <c r="D194" s="1">
        <v>1.2371769932899999E-3</v>
      </c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</row>
    <row r="195" spans="1:51" x14ac:dyDescent="0.25">
      <c r="A195">
        <v>3.6762989705399998E-2</v>
      </c>
      <c r="B195" s="1">
        <v>2.4746459299999999E-4</v>
      </c>
      <c r="C195" s="1">
        <v>7.5657837698699996E-5</v>
      </c>
      <c r="D195" s="1">
        <v>1.24554876323E-3</v>
      </c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</row>
    <row r="196" spans="1:51" x14ac:dyDescent="0.25">
      <c r="A196">
        <v>3.7130619602499998E-2</v>
      </c>
      <c r="B196" s="1">
        <v>2.7773225320400002E-4</v>
      </c>
      <c r="C196" s="1">
        <v>7.6542331481299996E-5</v>
      </c>
      <c r="D196" s="1">
        <v>1.2540042508600001E-3</v>
      </c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</row>
    <row r="197" spans="1:51" x14ac:dyDescent="0.25">
      <c r="A197">
        <v>3.7501925798500001E-2</v>
      </c>
      <c r="B197" s="1">
        <v>2.6780589199800001E-4</v>
      </c>
      <c r="C197" s="1">
        <v>7.7184715390300003E-5</v>
      </c>
      <c r="D197" s="1">
        <v>1.2625442933699999E-3</v>
      </c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</row>
    <row r="198" spans="1:51" x14ac:dyDescent="0.25">
      <c r="A198">
        <v>3.7876945056500001E-2</v>
      </c>
      <c r="B198" s="1">
        <v>2.2911457013699999E-4</v>
      </c>
      <c r="C198" s="1">
        <v>7.1767234999599999E-5</v>
      </c>
      <c r="D198" s="1">
        <v>1.2711697363000001E-3</v>
      </c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</row>
    <row r="199" spans="1:51" x14ac:dyDescent="0.25">
      <c r="A199">
        <v>3.8255714507099997E-2</v>
      </c>
      <c r="B199" s="1">
        <v>1.94806315905E-4</v>
      </c>
      <c r="C199" s="1">
        <v>6.8857398587700004E-5</v>
      </c>
      <c r="D199" s="1">
        <v>1.2798814336599999E-3</v>
      </c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</row>
    <row r="200" spans="1:51" x14ac:dyDescent="0.25">
      <c r="A200">
        <v>3.8638271652100001E-2</v>
      </c>
      <c r="B200" s="1">
        <v>1.8187660658199999E-4</v>
      </c>
      <c r="C200" s="1">
        <v>6.7743990376600003E-5</v>
      </c>
      <c r="D200" s="1">
        <v>1.288680248E-3</v>
      </c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</row>
    <row r="201" spans="1:51" x14ac:dyDescent="0.25">
      <c r="A201">
        <v>3.90246543687E-2</v>
      </c>
      <c r="B201" s="1">
        <v>1.7620628223799999E-4</v>
      </c>
      <c r="C201" s="1">
        <v>6.3915237199899995E-5</v>
      </c>
      <c r="D201" s="1">
        <v>1.2975670504800001E-3</v>
      </c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</row>
    <row r="202" spans="1:51" x14ac:dyDescent="0.25">
      <c r="A202">
        <v>3.9414900912399999E-2</v>
      </c>
      <c r="B202" s="1">
        <v>1.4358886254600001E-4</v>
      </c>
      <c r="C202" s="1">
        <v>5.9186573817699999E-5</v>
      </c>
      <c r="D202" s="1">
        <v>1.30654272098E-3</v>
      </c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</row>
    <row r="203" spans="1:51" x14ac:dyDescent="0.25">
      <c r="A203">
        <v>3.98090499215E-2</v>
      </c>
      <c r="B203" s="1">
        <v>2.1123996738699999E-4</v>
      </c>
      <c r="C203" s="1">
        <v>6.6673359679799999E-5</v>
      </c>
      <c r="D203" s="1">
        <v>1.31560814819E-3</v>
      </c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</row>
    <row r="204" spans="1:51" x14ac:dyDescent="0.25">
      <c r="A204">
        <v>4.0207140420699998E-2</v>
      </c>
      <c r="B204" s="1">
        <v>1.5859629248199999E-4</v>
      </c>
      <c r="C204" s="1">
        <v>6.8964680585199999E-5</v>
      </c>
      <c r="D204" s="1">
        <v>1.32476422968E-3</v>
      </c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</row>
    <row r="205" spans="1:51" x14ac:dyDescent="0.25">
      <c r="A205">
        <v>4.0609211824900002E-2</v>
      </c>
      <c r="B205" s="1">
        <v>1.1904897414600001E-4</v>
      </c>
      <c r="C205" s="1">
        <v>5.8135477036700003E-5</v>
      </c>
      <c r="D205" s="1">
        <v>1.3340118719700001E-3</v>
      </c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</row>
    <row r="206" spans="1:51" x14ac:dyDescent="0.25">
      <c r="A206">
        <v>4.1015303943099997E-2</v>
      </c>
      <c r="B206" s="1">
        <v>1.1009875681699999E-4</v>
      </c>
      <c r="C206" s="1">
        <v>6.5149443560600002E-5</v>
      </c>
      <c r="D206" s="1">
        <v>1.3433519906900001E-3</v>
      </c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</row>
    <row r="207" spans="1:51" x14ac:dyDescent="0.25">
      <c r="A207">
        <v>4.1425456982600001E-2</v>
      </c>
      <c r="B207" s="1">
        <v>1.8800241938399999E-4</v>
      </c>
      <c r="C207" s="1">
        <v>6.6481426861299999E-5</v>
      </c>
      <c r="D207" s="1">
        <v>1.3527855106E-3</v>
      </c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</row>
    <row r="208" spans="1:51" x14ac:dyDescent="0.25">
      <c r="A208">
        <v>4.1839711552400002E-2</v>
      </c>
      <c r="B208" s="1">
        <v>1.51665925384E-4</v>
      </c>
      <c r="C208" s="1">
        <v>5.9821545297900003E-5</v>
      </c>
      <c r="D208" s="1">
        <v>1.36231336571E-3</v>
      </c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</row>
    <row r="209" spans="1:51" x14ac:dyDescent="0.25">
      <c r="A209">
        <v>4.2258108667900002E-2</v>
      </c>
      <c r="B209" s="1">
        <v>1.67096817166E-4</v>
      </c>
      <c r="C209" s="1">
        <v>6.1319459696700004E-5</v>
      </c>
      <c r="D209" s="1">
        <v>1.37193649936E-3</v>
      </c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</row>
    <row r="210" spans="1:51" x14ac:dyDescent="0.25">
      <c r="A210">
        <v>4.2680689754600001E-2</v>
      </c>
      <c r="B210" s="1">
        <v>1.9657825515599999E-4</v>
      </c>
      <c r="C210" s="1">
        <v>6.5337821386199997E-5</v>
      </c>
      <c r="D210" s="1">
        <v>1.3816558643600001E-3</v>
      </c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</row>
    <row r="211" spans="1:51" x14ac:dyDescent="0.25">
      <c r="A211">
        <v>4.3107496652199997E-2</v>
      </c>
      <c r="B211" s="1">
        <v>1.51185534799E-4</v>
      </c>
      <c r="C211" s="1">
        <v>1.9145808695799999E-5</v>
      </c>
      <c r="D211" s="1">
        <v>1.391472423E-3</v>
      </c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</row>
    <row r="212" spans="1:51" x14ac:dyDescent="0.25">
      <c r="A212">
        <v>4.3538571618699999E-2</v>
      </c>
      <c r="B212" s="1">
        <v>2.0728835353699999E-4</v>
      </c>
      <c r="C212" s="1">
        <v>2.1010360652599999E-5</v>
      </c>
      <c r="D212" s="1">
        <v>1.4013871472299999E-3</v>
      </c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</row>
    <row r="213" spans="1:51" x14ac:dyDescent="0.25">
      <c r="A213">
        <v>4.3973957334899998E-2</v>
      </c>
      <c r="B213" s="1">
        <v>2.0278459983699999E-4</v>
      </c>
      <c r="C213" s="1">
        <v>1.99936630176E-5</v>
      </c>
      <c r="D213" s="1">
        <v>1.4114010186999999E-3</v>
      </c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</row>
    <row r="214" spans="1:51" x14ac:dyDescent="0.25">
      <c r="A214">
        <v>4.4413696908199997E-2</v>
      </c>
      <c r="B214" s="1">
        <v>2.8783221578500002E-4</v>
      </c>
      <c r="C214" s="1">
        <v>2.35642248393E-5</v>
      </c>
      <c r="D214" s="1">
        <v>1.4215150288899999E-3</v>
      </c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</row>
    <row r="215" spans="1:51" x14ac:dyDescent="0.25">
      <c r="A215">
        <v>4.4857833877300003E-2</v>
      </c>
      <c r="B215" s="1">
        <v>3.0390907976600001E-4</v>
      </c>
      <c r="C215" s="1">
        <v>2.3485784166799999E-5</v>
      </c>
      <c r="D215" s="1">
        <v>1.43173017918E-3</v>
      </c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</row>
    <row r="216" spans="1:51" x14ac:dyDescent="0.25">
      <c r="A216">
        <v>4.5306412216100003E-2</v>
      </c>
      <c r="B216" s="1">
        <v>3.0689312277399998E-4</v>
      </c>
      <c r="C216" s="1">
        <v>2.25722863586E-5</v>
      </c>
      <c r="D216" s="1">
        <v>1.4420474809700001E-3</v>
      </c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</row>
    <row r="217" spans="1:51" x14ac:dyDescent="0.25">
      <c r="A217">
        <v>4.5759476338200003E-2</v>
      </c>
      <c r="B217" s="1">
        <v>3.9161833602400001E-4</v>
      </c>
      <c r="C217" s="1">
        <v>2.56226716595E-5</v>
      </c>
      <c r="D217" s="1">
        <v>1.4524679557800001E-3</v>
      </c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</row>
    <row r="218" spans="1:51" x14ac:dyDescent="0.25">
      <c r="A218">
        <v>4.6217071101599998E-2</v>
      </c>
      <c r="B218" s="1">
        <v>4.5112470217199997E-4</v>
      </c>
      <c r="C218" s="1">
        <v>2.7619531772000001E-5</v>
      </c>
      <c r="D218" s="1">
        <v>1.46299263534E-3</v>
      </c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</row>
    <row r="219" spans="1:51" x14ac:dyDescent="0.25">
      <c r="A219">
        <v>4.6679241812599997E-2</v>
      </c>
      <c r="B219" s="1">
        <v>5.2498963159300002E-4</v>
      </c>
      <c r="C219" s="1">
        <v>2.99158799612E-5</v>
      </c>
      <c r="D219" s="1">
        <v>1.47362256169E-3</v>
      </c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</row>
    <row r="220" spans="1:51" x14ac:dyDescent="0.25">
      <c r="A220">
        <v>4.71460342308E-2</v>
      </c>
      <c r="B220" s="1">
        <v>5.7622439016100004E-4</v>
      </c>
      <c r="C220" s="1">
        <v>3.1367242235300001E-5</v>
      </c>
      <c r="D220" s="1">
        <v>1.48435878731E-3</v>
      </c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</row>
    <row r="221" spans="1:51" x14ac:dyDescent="0.25">
      <c r="A221">
        <v>4.7617494573100001E-2</v>
      </c>
      <c r="B221" s="1">
        <v>5.6945852591599999E-4</v>
      </c>
      <c r="C221" s="1">
        <v>3.1377476603500001E-5</v>
      </c>
      <c r="D221" s="1">
        <v>1.4952023751800001E-3</v>
      </c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</row>
    <row r="222" spans="1:51" x14ac:dyDescent="0.25">
      <c r="A222">
        <v>4.8093669518800002E-2</v>
      </c>
      <c r="B222" s="1">
        <v>5.6083592324600003E-4</v>
      </c>
      <c r="C222" s="1">
        <v>2.94878094033E-5</v>
      </c>
      <c r="D222" s="1">
        <v>1.5061543989299999E-3</v>
      </c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</row>
    <row r="223" spans="1:51" x14ac:dyDescent="0.25">
      <c r="A223">
        <v>4.8574606213999998E-2</v>
      </c>
      <c r="B223" s="1">
        <v>5.3769167181400002E-4</v>
      </c>
      <c r="C223" s="1">
        <v>2.8278053952499999E-5</v>
      </c>
      <c r="D223" s="1">
        <v>1.51721594292E-3</v>
      </c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</row>
    <row r="224" spans="1:51" x14ac:dyDescent="0.25">
      <c r="A224">
        <v>4.9060352276099999E-2</v>
      </c>
      <c r="B224" s="1">
        <v>6.0508870824E-4</v>
      </c>
      <c r="C224" s="1">
        <v>3.33157057733E-5</v>
      </c>
      <c r="D224" s="1">
        <v>1.5283881023500001E-3</v>
      </c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</row>
    <row r="225" spans="1:51" x14ac:dyDescent="0.25">
      <c r="A225">
        <v>4.9550955798900002E-2</v>
      </c>
      <c r="B225" s="1">
        <v>6.2501894521700002E-4</v>
      </c>
      <c r="C225" s="1">
        <v>3.3949440115600001E-5</v>
      </c>
      <c r="D225" s="1">
        <v>1.5396719833700001E-3</v>
      </c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</row>
    <row r="226" spans="1:51" x14ac:dyDescent="0.25">
      <c r="A226">
        <v>5.0046465356900001E-2</v>
      </c>
      <c r="B226" s="1">
        <v>5.0374134786600004E-4</v>
      </c>
      <c r="C226" s="1">
        <v>2.8175812373700001E-5</v>
      </c>
      <c r="D226" s="1">
        <v>1.5510687032100001E-3</v>
      </c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</row>
    <row r="227" spans="1:51" x14ac:dyDescent="0.25">
      <c r="A227">
        <v>5.0546930010399997E-2</v>
      </c>
      <c r="B227" s="1">
        <v>4.6853548203000002E-4</v>
      </c>
      <c r="C227" s="1">
        <v>2.7835861409000002E-5</v>
      </c>
      <c r="D227" s="1">
        <v>1.56257939024E-3</v>
      </c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</row>
    <row r="228" spans="1:51" x14ac:dyDescent="0.25">
      <c r="A228">
        <v>5.1052399310499999E-2</v>
      </c>
      <c r="B228" s="1">
        <v>4.2710841245099999E-4</v>
      </c>
      <c r="C228" s="1">
        <v>2.4536093333E-5</v>
      </c>
      <c r="D228" s="1">
        <v>1.5742051841400001E-3</v>
      </c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</row>
    <row r="229" spans="1:51" x14ac:dyDescent="0.25">
      <c r="A229">
        <v>5.1562923303600003E-2</v>
      </c>
      <c r="B229" s="1">
        <v>3.5617306188300002E-4</v>
      </c>
      <c r="C229" s="1">
        <v>2.2556715228699998E-5</v>
      </c>
      <c r="D229" s="1">
        <v>1.58594723598E-3</v>
      </c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</row>
    <row r="230" spans="1:51" x14ac:dyDescent="0.25">
      <c r="A230">
        <v>5.2078552536699997E-2</v>
      </c>
      <c r="B230" s="1">
        <v>3.1033413693500001E-4</v>
      </c>
      <c r="C230" s="1">
        <v>2.08398927325E-5</v>
      </c>
      <c r="D230" s="1">
        <v>1.5978067083399999E-3</v>
      </c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</row>
    <row r="231" spans="1:51" x14ac:dyDescent="0.25">
      <c r="A231">
        <v>5.2599338062100001E-2</v>
      </c>
      <c r="B231" s="1">
        <v>3.07869178149E-4</v>
      </c>
      <c r="C231" s="1">
        <v>2.1075530722300001E-5</v>
      </c>
      <c r="D231" s="1">
        <v>1.6097847754299999E-3</v>
      </c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</row>
    <row r="232" spans="1:51" x14ac:dyDescent="0.25">
      <c r="A232">
        <v>5.31253314427E-2</v>
      </c>
      <c r="B232" s="1">
        <v>2.1434778754100001E-4</v>
      </c>
      <c r="C232" s="1">
        <v>1.7584937773299999E-5</v>
      </c>
      <c r="D232" s="1">
        <v>1.6218826231800001E-3</v>
      </c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</row>
    <row r="233" spans="1:51" x14ac:dyDescent="0.25">
      <c r="A233">
        <v>5.3656584757100001E-2</v>
      </c>
      <c r="B233" s="1">
        <v>1.9893614031800001E-4</v>
      </c>
      <c r="C233" s="1">
        <v>1.7371313301400001E-5</v>
      </c>
      <c r="D233" s="1">
        <v>1.6341014494100001E-3</v>
      </c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</row>
    <row r="234" spans="1:51" x14ac:dyDescent="0.25">
      <c r="A234">
        <v>5.4193150604700001E-2</v>
      </c>
      <c r="B234" s="1">
        <v>1.6417051713499999E-4</v>
      </c>
      <c r="C234" s="1">
        <v>1.59901205729E-5</v>
      </c>
      <c r="D234" s="1">
        <v>1.64644246391E-3</v>
      </c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</row>
    <row r="235" spans="1:51" x14ac:dyDescent="0.25">
      <c r="A235">
        <v>5.4735082110700002E-2</v>
      </c>
      <c r="B235" s="1">
        <v>1.31520381767E-4</v>
      </c>
      <c r="C235" s="1">
        <v>1.39850185657E-5</v>
      </c>
      <c r="D235" s="1">
        <v>1.65890688855E-3</v>
      </c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</row>
    <row r="236" spans="1:51" x14ac:dyDescent="0.25">
      <c r="A236">
        <v>5.5282432931799998E-2</v>
      </c>
      <c r="B236" s="1">
        <v>1.12151888618E-4</v>
      </c>
      <c r="C236" s="1">
        <v>1.2811901545E-5</v>
      </c>
      <c r="D236" s="1">
        <v>1.6714959574299999E-3</v>
      </c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</row>
    <row r="237" spans="1:51" x14ac:dyDescent="0.25">
      <c r="A237">
        <v>5.5835257261100002E-2</v>
      </c>
      <c r="B237" s="1">
        <v>1.1604333277100001E-4</v>
      </c>
      <c r="C237" s="1">
        <v>1.32550309486E-5</v>
      </c>
      <c r="D237" s="1">
        <v>1.6842109170100001E-3</v>
      </c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</row>
    <row r="238" spans="1:51" x14ac:dyDescent="0.25">
      <c r="A238">
        <v>5.6393609833799999E-2</v>
      </c>
      <c r="B238" s="1">
        <v>9.3163608862300003E-5</v>
      </c>
      <c r="C238" s="1">
        <v>1.15729556505E-5</v>
      </c>
      <c r="D238" s="1">
        <v>1.69705302618E-3</v>
      </c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</row>
    <row r="239" spans="1:51" x14ac:dyDescent="0.25">
      <c r="A239">
        <v>5.69575459321E-2</v>
      </c>
      <c r="B239" s="1">
        <v>1.05784574513E-4</v>
      </c>
      <c r="C239" s="1">
        <v>1.1898325950400001E-5</v>
      </c>
      <c r="D239" s="1">
        <v>1.7100235564399999E-3</v>
      </c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</row>
    <row r="240" spans="1:51" x14ac:dyDescent="0.25">
      <c r="A240">
        <v>5.7527121391400003E-2</v>
      </c>
      <c r="B240" s="1">
        <v>1.3133031924299999E-4</v>
      </c>
      <c r="C240" s="1">
        <v>1.32939676855E-5</v>
      </c>
      <c r="D240" s="1">
        <v>1.7231237920000001E-3</v>
      </c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</row>
    <row r="241" spans="1:51" x14ac:dyDescent="0.25">
      <c r="A241">
        <v>5.81023926053E-2</v>
      </c>
      <c r="B241" s="1">
        <v>1.0767207157800001E-4</v>
      </c>
      <c r="C241" s="1">
        <v>1.18291374762E-5</v>
      </c>
      <c r="D241" s="1">
        <v>1.73635502992E-3</v>
      </c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</row>
    <row r="242" spans="1:51" x14ac:dyDescent="0.25">
      <c r="A242">
        <v>5.8683416531400003E-2</v>
      </c>
      <c r="B242" s="1">
        <v>1.2125699315E-4</v>
      </c>
      <c r="C242" s="1">
        <v>1.27859764761E-5</v>
      </c>
      <c r="D242" s="1">
        <v>1.74971858022E-3</v>
      </c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</row>
    <row r="243" spans="1:51" x14ac:dyDescent="0.25">
      <c r="A243">
        <v>5.92702506967E-2</v>
      </c>
      <c r="B243" s="1">
        <v>8.9703575216400002E-5</v>
      </c>
      <c r="C243" s="1">
        <v>1.09261353739E-5</v>
      </c>
      <c r="D243" s="1">
        <v>1.7632157660200001E-3</v>
      </c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</row>
    <row r="244" spans="1:51" x14ac:dyDescent="0.25">
      <c r="A244">
        <v>5.9862953203699998E-2</v>
      </c>
      <c r="B244" s="1">
        <v>1.01381411825E-4</v>
      </c>
      <c r="C244" s="1">
        <v>1.1895954644099999E-5</v>
      </c>
      <c r="D244" s="1">
        <v>1.7768479236799999E-3</v>
      </c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</row>
    <row r="245" spans="1:51" x14ac:dyDescent="0.25">
      <c r="A245">
        <v>6.0461582735700001E-2</v>
      </c>
      <c r="B245" s="1">
        <v>9.4223320853999994E-5</v>
      </c>
      <c r="C245" s="1">
        <v>1.2068119377800001E-5</v>
      </c>
      <c r="D245" s="1">
        <v>1.79061640292E-3</v>
      </c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</row>
    <row r="246" spans="1:51" x14ac:dyDescent="0.25">
      <c r="A246">
        <v>6.1066198563099999E-2</v>
      </c>
      <c r="B246" s="1">
        <v>9.7927974105400007E-5</v>
      </c>
      <c r="C246" s="1">
        <v>1.34235872533E-5</v>
      </c>
      <c r="D246" s="1">
        <v>1.80452256695E-3</v>
      </c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</row>
    <row r="247" spans="1:51" x14ac:dyDescent="0.25">
      <c r="A247">
        <v>6.1676860548700002E-2</v>
      </c>
      <c r="B247" s="1">
        <v>7.3792972873400005E-5</v>
      </c>
      <c r="C247" s="1">
        <v>1.0727120521500001E-5</v>
      </c>
      <c r="D247" s="1">
        <v>1.8185677926199999E-3</v>
      </c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</row>
    <row r="248" spans="1:51" x14ac:dyDescent="0.25">
      <c r="A248">
        <v>6.2293629154200003E-2</v>
      </c>
      <c r="B248" s="1">
        <v>5.9274224681999997E-5</v>
      </c>
      <c r="C248" s="1">
        <v>1.00675041324E-5</v>
      </c>
      <c r="D248" s="1">
        <v>1.8327534705499999E-3</v>
      </c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</row>
    <row r="249" spans="1:51" x14ac:dyDescent="0.25">
      <c r="A249">
        <v>6.2916565445699998E-2</v>
      </c>
      <c r="B249" s="1">
        <v>7.2034170856500004E-5</v>
      </c>
      <c r="C249" s="1">
        <v>9.6638721140500006E-6</v>
      </c>
      <c r="D249" s="1">
        <v>1.8470810052500001E-3</v>
      </c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</row>
    <row r="250" spans="1:51" x14ac:dyDescent="0.25">
      <c r="A250">
        <v>6.3545731100199995E-2</v>
      </c>
      <c r="B250" s="1">
        <v>5.2157407837599998E-5</v>
      </c>
      <c r="C250" s="1">
        <v>8.5919909009700006E-6</v>
      </c>
      <c r="D250" s="1">
        <v>1.8615518153E-3</v>
      </c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</row>
    <row r="251" spans="1:51" x14ac:dyDescent="0.25">
      <c r="A251">
        <v>6.4181188411200005E-2</v>
      </c>
      <c r="B251" s="1">
        <v>5.4674776388999998E-5</v>
      </c>
      <c r="C251" s="1">
        <v>8.5991381624E-6</v>
      </c>
      <c r="D251" s="1">
        <v>1.87616733346E-3</v>
      </c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</row>
    <row r="252" spans="1:51" x14ac:dyDescent="0.25">
      <c r="A252">
        <v>6.4823000295299998E-2</v>
      </c>
      <c r="B252" s="1">
        <v>4.4801933887200001E-5</v>
      </c>
      <c r="C252" s="1">
        <v>8.0399953017300008E-6</v>
      </c>
      <c r="D252" s="1">
        <v>1.8909290067899999E-3</v>
      </c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</row>
    <row r="253" spans="1:51" x14ac:dyDescent="0.25">
      <c r="A253">
        <v>6.5471230298199998E-2</v>
      </c>
      <c r="B253" s="1">
        <v>3.43773047197E-5</v>
      </c>
      <c r="C253" s="1">
        <v>7.8819409521199994E-6</v>
      </c>
      <c r="D253" s="1">
        <v>1.9058382968600001E-3</v>
      </c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</row>
    <row r="254" spans="1:51" x14ac:dyDescent="0.25">
      <c r="A254">
        <v>6.61259426012E-2</v>
      </c>
      <c r="B254" s="1">
        <v>2.9450661242999999E-5</v>
      </c>
      <c r="C254" s="1">
        <v>7.2606432965100002E-6</v>
      </c>
      <c r="D254" s="1">
        <v>1.9208966798300001E-3</v>
      </c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</row>
    <row r="255" spans="1:51" x14ac:dyDescent="0.25">
      <c r="A255">
        <v>6.6787202027199996E-2</v>
      </c>
      <c r="B255" s="1">
        <v>3.8245682098500001E-5</v>
      </c>
      <c r="C255" s="1">
        <v>7.41775648895E-6</v>
      </c>
      <c r="D255" s="1">
        <v>1.93610564663E-3</v>
      </c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</row>
    <row r="256" spans="1:51" x14ac:dyDescent="0.25">
      <c r="A256">
        <v>6.7455074047499994E-2</v>
      </c>
      <c r="B256" s="1">
        <v>4.5967684686600001E-5</v>
      </c>
      <c r="C256" s="1">
        <v>8.1854124725700006E-6</v>
      </c>
      <c r="D256" s="1">
        <v>1.9514667030900001E-3</v>
      </c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</row>
    <row r="257" spans="1:51" x14ac:dyDescent="0.25">
      <c r="A257">
        <v>6.8129624787999998E-2</v>
      </c>
      <c r="B257" s="1">
        <v>3.4403767458400001E-5</v>
      </c>
      <c r="C257" s="1">
        <v>7.4375057934200001E-6</v>
      </c>
      <c r="D257" s="1">
        <v>1.9669813701200002E-3</v>
      </c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</row>
    <row r="258" spans="1:51" x14ac:dyDescent="0.25">
      <c r="A258">
        <v>6.8810921035900002E-2</v>
      </c>
      <c r="B258" s="1">
        <v>4.3893493438000002E-5</v>
      </c>
      <c r="C258" s="1">
        <v>7.3935486610400001E-6</v>
      </c>
      <c r="D258" s="1">
        <v>1.9826511838199998E-3</v>
      </c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</row>
    <row r="259" spans="1:51" x14ac:dyDescent="0.25">
      <c r="A259">
        <v>6.9499030246199994E-2</v>
      </c>
      <c r="B259" s="1">
        <v>4.0958853530499998E-5</v>
      </c>
      <c r="C259" s="1">
        <v>7.3614374263999998E-6</v>
      </c>
      <c r="D259" s="1">
        <v>1.9984776956599999E-3</v>
      </c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</row>
    <row r="260" spans="1:51" x14ac:dyDescent="0.25">
      <c r="A260">
        <v>7.0194020548699998E-2</v>
      </c>
      <c r="B260" s="1">
        <v>3.50782585441E-5</v>
      </c>
      <c r="C260" s="1">
        <v>7.1302144893899997E-6</v>
      </c>
      <c r="D260" s="1">
        <v>2.0144624726199998E-3</v>
      </c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</row>
    <row r="261" spans="1:51" x14ac:dyDescent="0.25">
      <c r="A261">
        <v>7.0895960754200002E-2</v>
      </c>
      <c r="B261" s="1">
        <v>5.00493470424E-5</v>
      </c>
      <c r="C261" s="1">
        <v>8.2457844747199993E-6</v>
      </c>
      <c r="D261" s="1">
        <v>2.0306070973499998E-3</v>
      </c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</row>
    <row r="262" spans="1:51" x14ac:dyDescent="0.25">
      <c r="A262">
        <v>7.1604920361700006E-2</v>
      </c>
      <c r="B262" s="1">
        <v>5.7827007084799998E-5</v>
      </c>
      <c r="C262" s="1">
        <v>8.0716164651300008E-6</v>
      </c>
      <c r="D262" s="1">
        <v>2.0469131683199999E-3</v>
      </c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</row>
    <row r="263" spans="1:51" x14ac:dyDescent="0.25">
      <c r="A263">
        <v>7.23209695653E-2</v>
      </c>
      <c r="B263" s="1">
        <v>4.5483113812800003E-5</v>
      </c>
      <c r="C263" s="1">
        <v>8.1774603387800004E-6</v>
      </c>
      <c r="D263" s="1">
        <v>2.0633823E-3</v>
      </c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</row>
    <row r="264" spans="1:51" x14ac:dyDescent="0.25">
      <c r="A264">
        <v>7.3044179261E-2</v>
      </c>
      <c r="B264" s="1">
        <v>4.9984595910000003E-5</v>
      </c>
      <c r="C264" s="1">
        <v>8.1285361391700005E-6</v>
      </c>
      <c r="D264" s="1">
        <v>2.080016123E-3</v>
      </c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</row>
    <row r="265" spans="1:51" x14ac:dyDescent="0.25">
      <c r="A265">
        <v>7.3774621053599998E-2</v>
      </c>
      <c r="B265" s="1">
        <v>4.4905932526E-5</v>
      </c>
      <c r="C265" s="1">
        <v>7.6789151558699997E-6</v>
      </c>
      <c r="D265" s="1">
        <v>2.0968162842299998E-3</v>
      </c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</row>
    <row r="266" spans="1:51" x14ac:dyDescent="0.25">
      <c r="A266">
        <v>7.4512367264100002E-2</v>
      </c>
      <c r="B266" s="1">
        <v>6.1755445539899998E-5</v>
      </c>
      <c r="C266" s="1">
        <v>8.7761347444500002E-6</v>
      </c>
      <c r="D266" s="1">
        <v>2.11378444707E-3</v>
      </c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</row>
    <row r="267" spans="1:51" x14ac:dyDescent="0.25">
      <c r="A267">
        <v>7.5257490936799995E-2</v>
      </c>
      <c r="B267" s="1">
        <v>5.36368059493E-5</v>
      </c>
      <c r="C267" s="1">
        <v>5.3162323650900002E-6</v>
      </c>
      <c r="D267" s="1">
        <v>2.1309222915499998E-3</v>
      </c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</row>
    <row r="268" spans="1:51" x14ac:dyDescent="0.25">
      <c r="A268">
        <v>7.6010065846099997E-2</v>
      </c>
      <c r="B268" s="1">
        <v>7.1683620115999997E-5</v>
      </c>
      <c r="C268" s="1">
        <v>6.0403485194100003E-6</v>
      </c>
      <c r="D268" s="1">
        <v>2.1482315144599998E-3</v>
      </c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</row>
    <row r="269" spans="1:51" x14ac:dyDescent="0.25">
      <c r="A269">
        <v>7.6770166504600001E-2</v>
      </c>
      <c r="B269" s="1">
        <v>5.9908169840100002E-5</v>
      </c>
      <c r="C269" s="1">
        <v>5.67190792612E-6</v>
      </c>
      <c r="D269" s="1">
        <v>2.1657138296100002E-3</v>
      </c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</row>
    <row r="270" spans="1:51" x14ac:dyDescent="0.25">
      <c r="A270">
        <v>7.7537868169599997E-2</v>
      </c>
      <c r="B270" s="1">
        <v>5.9177658462900002E-5</v>
      </c>
      <c r="C270" s="1">
        <v>5.2925133860199999E-6</v>
      </c>
      <c r="D270" s="1">
        <v>2.1833709679000002E-3</v>
      </c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</row>
    <row r="271" spans="1:51" x14ac:dyDescent="0.25">
      <c r="A271">
        <v>7.8313246851300006E-2</v>
      </c>
      <c r="B271" s="1">
        <v>4.8912836367100002E-5</v>
      </c>
      <c r="C271" s="1">
        <v>4.87114679007E-6</v>
      </c>
      <c r="D271" s="1">
        <v>2.2012046775799999E-3</v>
      </c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</row>
    <row r="272" spans="1:51" x14ac:dyDescent="0.25">
      <c r="A272">
        <v>7.90963793198E-2</v>
      </c>
      <c r="B272" s="1">
        <v>4.5710821886599998E-5</v>
      </c>
      <c r="C272" s="1">
        <v>4.6444006461600003E-6</v>
      </c>
      <c r="D272" s="1">
        <v>2.2192167243599999E-3</v>
      </c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</row>
    <row r="273" spans="1:51" x14ac:dyDescent="0.25">
      <c r="A273">
        <v>7.9887343112999998E-2</v>
      </c>
      <c r="B273" s="1">
        <v>4.9053483113399999E-5</v>
      </c>
      <c r="C273" s="1">
        <v>4.7020512107200001E-6</v>
      </c>
      <c r="D273" s="1">
        <v>2.2374088916000002E-3</v>
      </c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</row>
    <row r="274" spans="1:51" x14ac:dyDescent="0.25">
      <c r="A274">
        <v>8.0686216544199996E-2</v>
      </c>
      <c r="B274" s="1">
        <v>4.2510743012000001E-5</v>
      </c>
      <c r="C274" s="1">
        <v>4.4337084142499999E-6</v>
      </c>
      <c r="D274" s="1">
        <v>2.2557829805199998E-3</v>
      </c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</row>
    <row r="275" spans="1:51" x14ac:dyDescent="0.25">
      <c r="A275">
        <v>8.14930787096E-2</v>
      </c>
      <c r="B275" s="1">
        <v>3.3946636886899999E-5</v>
      </c>
      <c r="C275" s="1">
        <v>4.1699010369999999E-6</v>
      </c>
      <c r="D275" s="1">
        <v>2.27434081032E-3</v>
      </c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</row>
    <row r="276" spans="1:51" x14ac:dyDescent="0.25">
      <c r="A276">
        <v>8.2308009496700002E-2</v>
      </c>
      <c r="B276" s="1">
        <v>4.04823502816E-5</v>
      </c>
      <c r="C276" s="1">
        <v>4.3189250946400003E-6</v>
      </c>
      <c r="D276" s="1">
        <v>2.2930842184199999E-3</v>
      </c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</row>
    <row r="277" spans="1:51" x14ac:dyDescent="0.25">
      <c r="A277">
        <v>8.31310895917E-2</v>
      </c>
      <c r="B277" s="1">
        <v>3.0832992162300003E-5</v>
      </c>
      <c r="C277" s="1">
        <v>4.13113797495E-6</v>
      </c>
      <c r="D277" s="1">
        <v>2.3120150606099998E-3</v>
      </c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</row>
    <row r="278" spans="1:51" x14ac:dyDescent="0.25">
      <c r="A278">
        <v>8.3962400487599995E-2</v>
      </c>
      <c r="B278" s="1">
        <v>3.7454711624200001E-5</v>
      </c>
      <c r="C278" s="1">
        <v>4.1770676676400002E-6</v>
      </c>
      <c r="D278" s="1">
        <v>2.3311352112099998E-3</v>
      </c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</row>
    <row r="279" spans="1:51" x14ac:dyDescent="0.25">
      <c r="A279">
        <v>8.4802024492500003E-2</v>
      </c>
      <c r="B279" s="1">
        <v>3.0653933585600001E-5</v>
      </c>
      <c r="C279" s="1">
        <v>3.8187586812400001E-6</v>
      </c>
      <c r="D279" s="1">
        <v>2.3504465633299998E-3</v>
      </c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</row>
    <row r="280" spans="1:51" x14ac:dyDescent="0.25">
      <c r="A280">
        <v>8.5650044737399997E-2</v>
      </c>
      <c r="B280" s="1">
        <v>3.5051084044800003E-5</v>
      </c>
      <c r="C280" s="1">
        <v>3.92374214117E-6</v>
      </c>
      <c r="D280" s="1">
        <v>2.3699510289600001E-3</v>
      </c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</row>
    <row r="281" spans="1:51" x14ac:dyDescent="0.25">
      <c r="A281">
        <v>8.6506545184799999E-2</v>
      </c>
      <c r="B281" s="1">
        <v>3.5292021636400002E-5</v>
      </c>
      <c r="C281" s="1">
        <v>3.9339641248900002E-6</v>
      </c>
      <c r="D281" s="1">
        <v>2.3896505392499998E-3</v>
      </c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</row>
    <row r="282" spans="1:51" x14ac:dyDescent="0.25">
      <c r="A282">
        <v>8.7371610636599997E-2</v>
      </c>
      <c r="B282" s="1">
        <v>3.7706862421799998E-5</v>
      </c>
      <c r="C282" s="1">
        <v>3.9022428144800002E-6</v>
      </c>
      <c r="D282" s="1">
        <v>2.4095470446400002E-3</v>
      </c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</row>
    <row r="283" spans="1:51" x14ac:dyDescent="0.25">
      <c r="A283">
        <v>8.8245326742999994E-2</v>
      </c>
      <c r="B283" s="1">
        <v>2.4821254191699998E-5</v>
      </c>
      <c r="C283" s="1">
        <v>3.3537086317500001E-6</v>
      </c>
      <c r="D283" s="1">
        <v>2.4296425150899998E-3</v>
      </c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</row>
    <row r="284" spans="1:51" x14ac:dyDescent="0.25">
      <c r="A284">
        <v>8.9127780010400004E-2</v>
      </c>
      <c r="B284" s="1">
        <v>2.6851913899700001E-5</v>
      </c>
      <c r="C284" s="1">
        <v>3.4251523863600001E-6</v>
      </c>
      <c r="D284" s="1">
        <v>2.44993894024E-3</v>
      </c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</row>
    <row r="285" spans="1:51" x14ac:dyDescent="0.25">
      <c r="A285">
        <v>9.00190578105E-2</v>
      </c>
      <c r="B285" s="1">
        <v>2.9015817015999999E-5</v>
      </c>
      <c r="C285" s="1">
        <v>3.4796122096099999E-6</v>
      </c>
      <c r="D285" s="1">
        <v>2.4704383296399999E-3</v>
      </c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</row>
    <row r="286" spans="1:51" x14ac:dyDescent="0.25">
      <c r="A286">
        <v>9.0919248388599994E-2</v>
      </c>
      <c r="B286" s="1">
        <v>2.5761341790300001E-5</v>
      </c>
      <c r="C286" s="1">
        <v>3.3174168610500002E-6</v>
      </c>
      <c r="D286" s="1">
        <v>2.49114271294E-3</v>
      </c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</row>
    <row r="287" spans="1:51" x14ac:dyDescent="0.25">
      <c r="A287">
        <v>9.18284408725E-2</v>
      </c>
      <c r="B287" s="1">
        <v>2.2162690333800001E-5</v>
      </c>
      <c r="C287" s="1">
        <v>3.2936208417100002E-6</v>
      </c>
      <c r="D287" s="1">
        <v>2.51205414007E-3</v>
      </c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</row>
    <row r="288" spans="1:51" x14ac:dyDescent="0.25">
      <c r="A288">
        <v>9.2746725281199996E-2</v>
      </c>
      <c r="B288" s="1">
        <v>1.9078789743899999E-5</v>
      </c>
      <c r="C288" s="1">
        <v>3.5705759302100001E-6</v>
      </c>
      <c r="D288" s="1">
        <v>2.5331746814699998E-3</v>
      </c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</row>
    <row r="289" spans="1:51" x14ac:dyDescent="0.25">
      <c r="A289">
        <v>9.3674192534E-2</v>
      </c>
      <c r="B289" s="1">
        <v>1.6374340748300001E-5</v>
      </c>
      <c r="C289" s="1">
        <v>3.8442757381399998E-6</v>
      </c>
      <c r="D289" s="1">
        <v>2.5545064282799998E-3</v>
      </c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</row>
    <row r="290" spans="1:51" x14ac:dyDescent="0.25">
      <c r="A290">
        <v>9.4610934459399998E-2</v>
      </c>
      <c r="B290" s="1">
        <v>2.0133217785299999E-5</v>
      </c>
      <c r="C290" s="1">
        <v>3.6988752909400001E-6</v>
      </c>
      <c r="D290" s="1">
        <v>2.5760514925700002E-3</v>
      </c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</row>
    <row r="291" spans="1:51" x14ac:dyDescent="0.25">
      <c r="A291">
        <v>9.5557043804E-2</v>
      </c>
      <c r="B291" s="1">
        <v>2.63452017968E-5</v>
      </c>
      <c r="C291" s="1">
        <v>4.0157251022500002E-6</v>
      </c>
      <c r="D291" s="1">
        <v>2.5978120074900001E-3</v>
      </c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</row>
    <row r="292" spans="1:51" x14ac:dyDescent="0.25">
      <c r="A292">
        <v>9.6512614242E-2</v>
      </c>
      <c r="B292" s="1">
        <v>1.87377079417E-5</v>
      </c>
      <c r="C292" s="1">
        <v>3.52508318927E-6</v>
      </c>
      <c r="D292" s="1">
        <v>2.61979012757E-3</v>
      </c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</row>
    <row r="293" spans="1:51" x14ac:dyDescent="0.25">
      <c r="A293">
        <v>9.7477740384400005E-2</v>
      </c>
      <c r="B293" s="1">
        <v>2.2974880115100002E-5</v>
      </c>
      <c r="C293" s="1">
        <v>3.69892438749E-6</v>
      </c>
      <c r="D293" s="1">
        <v>2.6419880288399999E-3</v>
      </c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</row>
    <row r="294" spans="1:51" x14ac:dyDescent="0.25">
      <c r="A294">
        <v>9.8452517788299998E-2</v>
      </c>
      <c r="B294" s="1">
        <v>1.6420099465E-5</v>
      </c>
      <c r="C294" s="1">
        <v>2.9657772505999999E-6</v>
      </c>
      <c r="D294" s="1">
        <v>2.6644079091300002E-3</v>
      </c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</row>
    <row r="295" spans="1:51" x14ac:dyDescent="0.25">
      <c r="A295">
        <v>9.9437042966199998E-2</v>
      </c>
      <c r="B295" s="1">
        <v>1.59472336064E-5</v>
      </c>
      <c r="C295" s="1">
        <v>3.4396673011299998E-6</v>
      </c>
      <c r="D295" s="1">
        <v>2.68705198822E-3</v>
      </c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</row>
    <row r="296" spans="1:51" x14ac:dyDescent="0.25">
      <c r="A296">
        <v>0.10043141339599999</v>
      </c>
      <c r="B296" s="1">
        <v>2.2490983593299998E-5</v>
      </c>
      <c r="C296" s="1">
        <v>3.5485421134800002E-6</v>
      </c>
      <c r="D296" s="1">
        <v>2.7099225081E-3</v>
      </c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</row>
    <row r="297" spans="1:51" x14ac:dyDescent="0.25">
      <c r="A297">
        <v>0.10143572753000001</v>
      </c>
      <c r="B297" s="1">
        <v>1.8186813200899998E-5</v>
      </c>
      <c r="C297" s="1">
        <v>3.3488542783500001E-6</v>
      </c>
      <c r="D297" s="1">
        <v>2.73302173319E-3</v>
      </c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</row>
    <row r="298" spans="1:51" x14ac:dyDescent="0.25">
      <c r="A298">
        <v>0.10245008480499999</v>
      </c>
      <c r="B298" s="1">
        <v>1.7878736887500001E-5</v>
      </c>
      <c r="C298" s="1">
        <v>3.21041495393E-6</v>
      </c>
      <c r="D298" s="1">
        <v>2.7563519505200001E-3</v>
      </c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</row>
    <row r="299" spans="1:51" x14ac:dyDescent="0.25">
      <c r="A299">
        <v>0.103474585653</v>
      </c>
      <c r="B299" s="1">
        <v>2.41162053664E-5</v>
      </c>
      <c r="C299" s="1">
        <v>3.55011101668E-6</v>
      </c>
      <c r="D299" s="1">
        <v>2.7799154700199999E-3</v>
      </c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</row>
    <row r="300" spans="1:51" x14ac:dyDescent="0.25">
      <c r="A300">
        <v>0.10450933151</v>
      </c>
      <c r="B300" s="1">
        <v>2.22886241493E-5</v>
      </c>
      <c r="C300" s="1">
        <v>3.3465849375300001E-6</v>
      </c>
      <c r="D300" s="1">
        <v>2.8037146247199998E-3</v>
      </c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</row>
    <row r="301" spans="1:51" x14ac:dyDescent="0.25">
      <c r="A301">
        <v>0.10555442482500001</v>
      </c>
      <c r="B301" s="1">
        <v>1.23407047104E-5</v>
      </c>
      <c r="C301" s="1">
        <v>3.1002177036900002E-6</v>
      </c>
      <c r="D301" s="1">
        <v>2.82775177097E-3</v>
      </c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</row>
    <row r="302" spans="1:51" x14ac:dyDescent="0.25">
      <c r="A302">
        <v>0.10660996907299999</v>
      </c>
      <c r="B302" s="1">
        <v>1.25945699333E-5</v>
      </c>
      <c r="C302" s="1">
        <v>3.45610555307E-6</v>
      </c>
      <c r="D302" s="1">
        <v>2.8520292886799999E-3</v>
      </c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</row>
    <row r="303" spans="1:51" x14ac:dyDescent="0.25">
      <c r="A303">
        <v>0.107676068764</v>
      </c>
      <c r="B303" s="1">
        <v>1.65094757475E-5</v>
      </c>
      <c r="C303" s="1">
        <v>3.3521213332499999E-6</v>
      </c>
      <c r="D303" s="1">
        <v>2.87654958157E-3</v>
      </c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</row>
    <row r="304" spans="1:51" x14ac:dyDescent="0.25">
      <c r="A304">
        <v>0.108752829451</v>
      </c>
      <c r="B304" s="1">
        <v>7.0039648511700002E-6</v>
      </c>
      <c r="C304" s="1">
        <v>2.7390113933000001E-6</v>
      </c>
      <c r="D304" s="1">
        <v>2.9013150773800002E-3</v>
      </c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</row>
    <row r="305" spans="1:51" x14ac:dyDescent="0.25">
      <c r="A305">
        <v>0.109840357746</v>
      </c>
      <c r="B305" s="1">
        <v>1.3014514354999999E-5</v>
      </c>
      <c r="C305" s="1">
        <v>3.0352175588900001E-6</v>
      </c>
      <c r="D305" s="1">
        <v>2.9263282281600002E-3</v>
      </c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</row>
    <row r="306" spans="1:51" x14ac:dyDescent="0.25">
      <c r="A306">
        <v>0.110938761323</v>
      </c>
      <c r="B306" s="1">
        <v>1.2052185585100001E-5</v>
      </c>
      <c r="C306" s="1">
        <v>2.8976163646199998E-6</v>
      </c>
      <c r="D306" s="1">
        <v>2.9515915104400001E-3</v>
      </c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</row>
    <row r="307" spans="1:51" x14ac:dyDescent="0.25">
      <c r="A307">
        <v>0.11204814893700001</v>
      </c>
      <c r="B307" s="1">
        <v>1.6957416649699998E-5</v>
      </c>
      <c r="C307" s="1">
        <v>3.0309537401000001E-6</v>
      </c>
      <c r="D307" s="1">
        <v>2.97710742554E-3</v>
      </c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</row>
    <row r="308" spans="1:51" x14ac:dyDescent="0.25">
      <c r="A308">
        <v>0.11316863042600001</v>
      </c>
      <c r="B308" s="1">
        <v>7.8590176240299994E-6</v>
      </c>
      <c r="C308" s="1">
        <v>2.4622241790800002E-6</v>
      </c>
      <c r="D308" s="1">
        <v>3.0028784998000001E-3</v>
      </c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</row>
    <row r="309" spans="1:51" x14ac:dyDescent="0.25">
      <c r="A309">
        <v>0.11430031673</v>
      </c>
      <c r="B309" s="1">
        <v>1.6110568974000002E-5</v>
      </c>
      <c r="C309" s="1">
        <v>3.0704433725400001E-6</v>
      </c>
      <c r="D309" s="1">
        <v>3.0289072847900001E-3</v>
      </c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</row>
    <row r="310" spans="1:51" x14ac:dyDescent="0.25">
      <c r="A310">
        <v>0.115443319898</v>
      </c>
      <c r="B310" s="1">
        <v>1.47619765566E-5</v>
      </c>
      <c r="C310" s="1">
        <v>3.1046372961599999E-6</v>
      </c>
      <c r="D310" s="1">
        <v>3.0551963576400001E-3</v>
      </c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</row>
    <row r="311" spans="1:51" x14ac:dyDescent="0.25">
      <c r="A311">
        <v>0.116597753096</v>
      </c>
      <c r="B311" s="1">
        <v>1.02786706648E-5</v>
      </c>
      <c r="C311" s="1">
        <v>2.4348862022800002E-6</v>
      </c>
      <c r="D311" s="1">
        <v>3.0817483212199999E-3</v>
      </c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</row>
    <row r="312" spans="1:51" x14ac:dyDescent="0.25">
      <c r="A312">
        <v>0.117763730627</v>
      </c>
      <c r="B312" s="1">
        <v>8.8160918487500005E-6</v>
      </c>
      <c r="C312" s="1">
        <v>2.62363051303E-6</v>
      </c>
      <c r="D312" s="1">
        <v>3.1085658044299998E-3</v>
      </c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</row>
    <row r="313" spans="1:51" x14ac:dyDescent="0.25">
      <c r="A313">
        <v>0.11894136793399999</v>
      </c>
      <c r="B313" s="1">
        <v>9.5581739504000003E-6</v>
      </c>
      <c r="C313" s="1">
        <v>2.6320839169599999E-6</v>
      </c>
      <c r="D313" s="1">
        <v>3.1356514624800002E-3</v>
      </c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</row>
    <row r="314" spans="1:51" x14ac:dyDescent="0.25">
      <c r="A314">
        <v>0.120130781613</v>
      </c>
      <c r="B314" s="1">
        <v>8.3107276420200002E-6</v>
      </c>
      <c r="C314" s="1">
        <v>2.3416663587999999E-6</v>
      </c>
      <c r="D314" s="1">
        <v>3.1630079771000001E-3</v>
      </c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</row>
    <row r="315" spans="1:51" x14ac:dyDescent="0.25">
      <c r="A315">
        <v>0.12133208942900001</v>
      </c>
      <c r="B315" s="1">
        <v>7.4747592682800003E-6</v>
      </c>
      <c r="C315" s="1">
        <v>2.41551695653E-6</v>
      </c>
      <c r="D315" s="1">
        <v>3.19063805687E-3</v>
      </c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</row>
    <row r="316" spans="1:51" x14ac:dyDescent="0.25">
      <c r="A316">
        <v>0.122545410323</v>
      </c>
      <c r="B316" s="1">
        <v>9.5497669199500004E-6</v>
      </c>
      <c r="C316" s="1">
        <v>2.5228342757E-6</v>
      </c>
      <c r="D316" s="1">
        <v>3.2185444374399999E-3</v>
      </c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</row>
    <row r="317" spans="1:51" x14ac:dyDescent="0.25">
      <c r="A317">
        <v>0.123770864427</v>
      </c>
      <c r="B317" s="1">
        <v>7.1387600765999998E-6</v>
      </c>
      <c r="C317" s="1">
        <v>2.4851062494299999E-6</v>
      </c>
      <c r="D317" s="1">
        <v>3.2467298818099999E-3</v>
      </c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</row>
    <row r="318" spans="1:51" x14ac:dyDescent="0.25">
      <c r="A318">
        <v>0.125008573071</v>
      </c>
      <c r="B318" s="1">
        <v>7.5448961511599999E-6</v>
      </c>
      <c r="C318" s="1">
        <v>2.3082359269300001E-6</v>
      </c>
      <c r="D318" s="1">
        <v>3.2751971806300002E-3</v>
      </c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</row>
    <row r="319" spans="1:51" x14ac:dyDescent="0.25">
      <c r="A319">
        <v>0.12625865880199999</v>
      </c>
      <c r="B319" s="1">
        <v>1.1920542164799999E-5</v>
      </c>
      <c r="C319" s="1">
        <v>2.6330739718299999E-6</v>
      </c>
      <c r="D319" s="1">
        <v>3.3039491524399999E-3</v>
      </c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</row>
    <row r="320" spans="1:51" x14ac:dyDescent="0.25">
      <c r="A320">
        <v>0.12752124539000001</v>
      </c>
      <c r="B320" s="1">
        <v>2.6007045566999998E-6</v>
      </c>
      <c r="C320" s="1">
        <v>2.13240025889E-6</v>
      </c>
      <c r="D320" s="1">
        <v>3.3329886439600002E-3</v>
      </c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</row>
    <row r="321" spans="1:51" x14ac:dyDescent="0.25">
      <c r="A321">
        <v>0.12879645784400001</v>
      </c>
      <c r="B321" s="1">
        <v>3.7173440834500001E-6</v>
      </c>
      <c r="C321" s="1">
        <v>2.1487970038100001E-6</v>
      </c>
      <c r="D321" s="1">
        <v>3.3623185304E-3</v>
      </c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</row>
    <row r="322" spans="1:51" x14ac:dyDescent="0.25">
      <c r="A322">
        <v>0.130084422422</v>
      </c>
      <c r="B322" s="1">
        <v>4.68539138648E-6</v>
      </c>
      <c r="C322" s="1">
        <v>2.2266903636100002E-6</v>
      </c>
      <c r="D322" s="1">
        <v>3.3919417157099998E-3</v>
      </c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</row>
    <row r="323" spans="1:51" x14ac:dyDescent="0.25">
      <c r="A323">
        <v>0.131385266646</v>
      </c>
      <c r="B323" s="1">
        <v>6.4654887712300002E-6</v>
      </c>
      <c r="C323" s="1">
        <v>2.36157065901E-6</v>
      </c>
      <c r="D323" s="1">
        <v>3.4218611328599999E-3</v>
      </c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</row>
    <row r="324" spans="1:51" x14ac:dyDescent="0.25">
      <c r="A324">
        <v>0.13269911931299999</v>
      </c>
      <c r="B324" s="1">
        <v>4.5953867328099996E-6</v>
      </c>
      <c r="C324" s="1">
        <v>2.57096188397E-6</v>
      </c>
      <c r="D324" s="1">
        <v>3.4520797441899998E-3</v>
      </c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</row>
    <row r="325" spans="1:51" x14ac:dyDescent="0.25">
      <c r="A325">
        <v>0.134026110506</v>
      </c>
      <c r="B325" s="1">
        <v>1.18564067027E-5</v>
      </c>
      <c r="C325" s="1">
        <v>2.59719367101E-6</v>
      </c>
      <c r="D325" s="1">
        <v>3.4826005416300002E-3</v>
      </c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</row>
    <row r="326" spans="1:51" x14ac:dyDescent="0.25">
      <c r="A326">
        <v>0.13536637161100001</v>
      </c>
      <c r="B326" s="1">
        <v>4.2635119834599998E-6</v>
      </c>
      <c r="C326" s="1">
        <v>2.23235255716E-6</v>
      </c>
      <c r="D326" s="1">
        <v>3.51342654705E-3</v>
      </c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</row>
    <row r="327" spans="1:51" x14ac:dyDescent="0.25">
      <c r="A327">
        <v>0.136720035327</v>
      </c>
      <c r="B327" s="1">
        <v>8.7788998896199992E-6</v>
      </c>
      <c r="C327" s="1">
        <v>2.5005853076200002E-6</v>
      </c>
      <c r="D327" s="1">
        <v>3.5445608125200001E-3</v>
      </c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</row>
    <row r="328" spans="1:51" x14ac:dyDescent="0.25">
      <c r="A328">
        <v>0.13808723568</v>
      </c>
      <c r="B328" s="1">
        <v>9.12067183545E-6</v>
      </c>
      <c r="C328" s="1">
        <v>2.3600251464100002E-6</v>
      </c>
      <c r="D328" s="1">
        <v>3.5760064206500001E-3</v>
      </c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</row>
    <row r="329" spans="1:51" x14ac:dyDescent="0.25">
      <c r="A329">
        <v>0.13946810803699999</v>
      </c>
      <c r="B329" s="1">
        <v>1.03779042159E-5</v>
      </c>
      <c r="C329" s="1">
        <v>2.4141852751200002E-6</v>
      </c>
      <c r="D329" s="1">
        <v>3.6077664848500001E-3</v>
      </c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</row>
    <row r="330" spans="1:51" x14ac:dyDescent="0.25">
      <c r="A330">
        <v>0.14086278911700001</v>
      </c>
      <c r="B330" s="1">
        <v>1.0257588364300001E-5</v>
      </c>
      <c r="C330" s="1">
        <v>2.5634340323899999E-6</v>
      </c>
      <c r="D330" s="1">
        <v>3.6398441496999999E-3</v>
      </c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</row>
    <row r="331" spans="1:51" x14ac:dyDescent="0.25">
      <c r="A331">
        <v>0.14227141700900001</v>
      </c>
      <c r="B331" s="1">
        <v>4.8829244087700003E-6</v>
      </c>
      <c r="C331" s="1">
        <v>2.2904723445600001E-6</v>
      </c>
      <c r="D331" s="1">
        <v>3.6722425912E-3</v>
      </c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</row>
    <row r="332" spans="1:51" x14ac:dyDescent="0.25">
      <c r="A332">
        <v>0.14369413117900001</v>
      </c>
      <c r="B332" s="1">
        <v>2.2393589231799999E-6</v>
      </c>
      <c r="C332" s="1">
        <v>2.2167405621799999E-6</v>
      </c>
      <c r="D332" s="1">
        <v>3.7049650171100002E-3</v>
      </c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</row>
    <row r="333" spans="1:51" x14ac:dyDescent="0.25">
      <c r="A333">
        <v>0.14513107249099999</v>
      </c>
      <c r="B333" s="1">
        <v>8.5646441313800004E-6</v>
      </c>
      <c r="C333" s="1">
        <v>2.4085266538199998E-6</v>
      </c>
      <c r="D333" s="1">
        <v>3.7380146672799999E-3</v>
      </c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</row>
    <row r="334" spans="1:51" x14ac:dyDescent="0.25">
      <c r="A334">
        <v>0.146582383215</v>
      </c>
      <c r="B334" s="1">
        <v>4.3117846909099998E-6</v>
      </c>
      <c r="C334" s="1">
        <v>2.3398337090400001E-6</v>
      </c>
      <c r="D334" s="1">
        <v>3.7713948139499998E-3</v>
      </c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</row>
    <row r="335" spans="1:51" x14ac:dyDescent="0.25">
      <c r="A335">
        <v>0.14804820704800001</v>
      </c>
      <c r="B335" s="1">
        <v>7.9949187837200004E-6</v>
      </c>
      <c r="C335" s="1">
        <v>2.35328316228E-6</v>
      </c>
      <c r="D335" s="1">
        <v>3.8051087620899998E-3</v>
      </c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</row>
    <row r="336" spans="1:51" x14ac:dyDescent="0.25">
      <c r="A336">
        <v>0.14952868911799999</v>
      </c>
      <c r="B336" s="1">
        <v>7.8004722089500001E-6</v>
      </c>
      <c r="C336" s="1">
        <v>2.2992234088599999E-6</v>
      </c>
      <c r="D336" s="1">
        <v>3.8391598497200001E-3</v>
      </c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</row>
    <row r="337" spans="1:51" x14ac:dyDescent="0.25">
      <c r="A337">
        <v>0.151023976009</v>
      </c>
      <c r="B337" s="1">
        <v>8.2656196570000006E-6</v>
      </c>
      <c r="C337" s="1">
        <v>2.4654038116700002E-6</v>
      </c>
      <c r="D337" s="1">
        <v>3.8735514482100002E-3</v>
      </c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</row>
    <row r="338" spans="1:51" x14ac:dyDescent="0.25">
      <c r="A338">
        <v>0.152534215769</v>
      </c>
      <c r="B338" s="1">
        <v>7.2794872823699998E-6</v>
      </c>
      <c r="C338" s="1">
        <v>2.6567748302099999E-6</v>
      </c>
      <c r="D338" s="1">
        <v>3.9082869626900002E-3</v>
      </c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</row>
    <row r="339" spans="1:51" x14ac:dyDescent="0.25">
      <c r="A339">
        <v>0.15405955792699999</v>
      </c>
      <c r="B339" s="1">
        <v>6.5021050412900003E-6</v>
      </c>
      <c r="C339" s="1">
        <v>2.2560786897099999E-6</v>
      </c>
      <c r="D339" s="1">
        <v>3.9433698323199998E-3</v>
      </c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</row>
    <row r="340" spans="1:51" x14ac:dyDescent="0.25">
      <c r="A340">
        <v>0.158727716592</v>
      </c>
      <c r="B340" s="1">
        <v>3.1866087327499998E-6</v>
      </c>
      <c r="C340" s="1">
        <v>2.1734549403000001E-6</v>
      </c>
      <c r="D340" s="1">
        <v>4.0507374816099997E-3</v>
      </c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</row>
    <row r="341" spans="1:51" x14ac:dyDescent="0.25">
      <c r="A341">
        <v>0.16031499375800001</v>
      </c>
      <c r="B341" s="1">
        <v>5.8879277186400003E-6</v>
      </c>
      <c r="C341" s="1">
        <v>2.2963548980099999E-6</v>
      </c>
      <c r="D341" s="1">
        <v>4.0872448564300001E-3</v>
      </c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</row>
    <row r="342" spans="1:51" x14ac:dyDescent="0.25"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</row>
    <row r="343" spans="1:51" x14ac:dyDescent="0.25"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</row>
    <row r="344" spans="1:51" x14ac:dyDescent="0.25"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</row>
    <row r="345" spans="1:51" x14ac:dyDescent="0.25"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</row>
    <row r="346" spans="1:51" x14ac:dyDescent="0.25"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</row>
    <row r="347" spans="1:51" x14ac:dyDescent="0.25"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</row>
    <row r="348" spans="1:51" x14ac:dyDescent="0.25"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</row>
    <row r="349" spans="1:51" x14ac:dyDescent="0.25"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</row>
    <row r="350" spans="1:51" x14ac:dyDescent="0.25"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</row>
    <row r="351" spans="1:51" x14ac:dyDescent="0.25"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</row>
    <row r="352" spans="1:51" x14ac:dyDescent="0.25"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</row>
    <row r="353" spans="14:33" x14ac:dyDescent="0.25"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</row>
    <row r="354" spans="14:33" x14ac:dyDescent="0.25"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</row>
    <row r="355" spans="14:33" x14ac:dyDescent="0.25"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</row>
    <row r="356" spans="14:33" x14ac:dyDescent="0.25"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</row>
    <row r="357" spans="14:33" x14ac:dyDescent="0.25"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</row>
    <row r="358" spans="14:33" x14ac:dyDescent="0.25"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</row>
    <row r="359" spans="14:33" x14ac:dyDescent="0.25"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</row>
    <row r="360" spans="14:33" x14ac:dyDescent="0.25"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</row>
    <row r="361" spans="14:33" x14ac:dyDescent="0.25"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</row>
    <row r="362" spans="14:33" x14ac:dyDescent="0.25"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</row>
    <row r="363" spans="14:33" x14ac:dyDescent="0.25"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</row>
    <row r="364" spans="14:33" x14ac:dyDescent="0.25"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</row>
    <row r="365" spans="14:33" x14ac:dyDescent="0.25"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</row>
    <row r="366" spans="14:33" x14ac:dyDescent="0.25"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</row>
    <row r="367" spans="14:33" x14ac:dyDescent="0.25"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</row>
    <row r="368" spans="14:33" x14ac:dyDescent="0.25"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</row>
    <row r="369" spans="14:28" x14ac:dyDescent="0.25"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</row>
    <row r="370" spans="14:28" x14ac:dyDescent="0.25"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</row>
    <row r="371" spans="14:28" x14ac:dyDescent="0.25"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</row>
    <row r="372" spans="14:28" x14ac:dyDescent="0.25"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</row>
    <row r="373" spans="14:28" x14ac:dyDescent="0.25"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</row>
    <row r="374" spans="14:28" x14ac:dyDescent="0.25"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</row>
    <row r="375" spans="14:28" x14ac:dyDescent="0.25"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</row>
    <row r="376" spans="14:28" x14ac:dyDescent="0.25"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</row>
    <row r="377" spans="14:28" x14ac:dyDescent="0.25"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</row>
    <row r="378" spans="14:28" x14ac:dyDescent="0.25"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</row>
    <row r="379" spans="14:28" x14ac:dyDescent="0.25"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</row>
    <row r="380" spans="14:28" x14ac:dyDescent="0.25"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</row>
    <row r="381" spans="14:28" x14ac:dyDescent="0.25"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</row>
    <row r="382" spans="14:28" x14ac:dyDescent="0.25"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</row>
    <row r="383" spans="14:28" x14ac:dyDescent="0.25"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</row>
    <row r="384" spans="14:28" x14ac:dyDescent="0.25"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</row>
    <row r="385" spans="14:28" x14ac:dyDescent="0.25"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</row>
    <row r="386" spans="14:28" x14ac:dyDescent="0.25"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</row>
    <row r="387" spans="14:28" x14ac:dyDescent="0.25"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</row>
    <row r="388" spans="14:28" x14ac:dyDescent="0.25"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</row>
    <row r="389" spans="14:28" x14ac:dyDescent="0.25"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</row>
    <row r="390" spans="14:28" x14ac:dyDescent="0.25"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</row>
    <row r="391" spans="14:28" x14ac:dyDescent="0.25"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</row>
    <row r="392" spans="14:28" x14ac:dyDescent="0.25"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</row>
    <row r="393" spans="14:28" x14ac:dyDescent="0.25"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</row>
    <row r="394" spans="14:28" x14ac:dyDescent="0.25"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</row>
    <row r="395" spans="14:28" x14ac:dyDescent="0.25"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</row>
    <row r="396" spans="14:28" x14ac:dyDescent="0.25"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</row>
    <row r="397" spans="14:28" x14ac:dyDescent="0.25"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</row>
    <row r="398" spans="14:28" x14ac:dyDescent="0.25"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</row>
    <row r="399" spans="14:28" x14ac:dyDescent="0.25"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</row>
    <row r="400" spans="14:28" x14ac:dyDescent="0.25"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</row>
    <row r="401" spans="14:28" x14ac:dyDescent="0.25"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</row>
    <row r="402" spans="14:28" x14ac:dyDescent="0.25"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</row>
    <row r="403" spans="14:28" x14ac:dyDescent="0.25"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</row>
    <row r="404" spans="14:28" x14ac:dyDescent="0.25"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</row>
    <row r="405" spans="14:28" x14ac:dyDescent="0.25"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</row>
    <row r="406" spans="14:28" x14ac:dyDescent="0.25"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</row>
    <row r="407" spans="14:28" x14ac:dyDescent="0.25"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</row>
    <row r="408" spans="14:28" x14ac:dyDescent="0.25"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</row>
    <row r="409" spans="14:28" x14ac:dyDescent="0.25"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</row>
    <row r="410" spans="14:28" x14ac:dyDescent="0.25"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</row>
    <row r="411" spans="14:28" x14ac:dyDescent="0.25"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</row>
    <row r="412" spans="14:28" x14ac:dyDescent="0.25"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</row>
    <row r="413" spans="14:28" x14ac:dyDescent="0.25"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</row>
    <row r="414" spans="14:28" x14ac:dyDescent="0.25"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</row>
    <row r="415" spans="14:28" x14ac:dyDescent="0.25"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</row>
    <row r="416" spans="14:28" x14ac:dyDescent="0.25"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</row>
    <row r="417" spans="14:28" x14ac:dyDescent="0.25"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</row>
    <row r="418" spans="14:28" x14ac:dyDescent="0.25"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</row>
    <row r="419" spans="14:28" x14ac:dyDescent="0.25"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</row>
    <row r="420" spans="14:28" x14ac:dyDescent="0.25"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</row>
    <row r="421" spans="14:28" x14ac:dyDescent="0.25"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</row>
    <row r="422" spans="14:28" x14ac:dyDescent="0.25"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</row>
    <row r="423" spans="14:28" x14ac:dyDescent="0.25"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</row>
    <row r="424" spans="14:28" x14ac:dyDescent="0.25"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</row>
    <row r="425" spans="14:28" x14ac:dyDescent="0.25"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</row>
    <row r="426" spans="14:28" x14ac:dyDescent="0.25"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</row>
    <row r="427" spans="14:28" x14ac:dyDescent="0.25"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</row>
    <row r="428" spans="14:28" x14ac:dyDescent="0.25"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</row>
    <row r="429" spans="14:28" x14ac:dyDescent="0.25"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</row>
    <row r="430" spans="14:28" x14ac:dyDescent="0.25"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</row>
    <row r="431" spans="14:28" x14ac:dyDescent="0.25"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</row>
    <row r="432" spans="14:28" x14ac:dyDescent="0.25"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</row>
    <row r="433" spans="14:28" x14ac:dyDescent="0.25"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</row>
    <row r="434" spans="14:28" x14ac:dyDescent="0.25"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</row>
    <row r="435" spans="14:28" x14ac:dyDescent="0.25"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</row>
    <row r="436" spans="14:28" x14ac:dyDescent="0.25"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</row>
    <row r="437" spans="14:28" x14ac:dyDescent="0.25"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</row>
    <row r="438" spans="14:28" x14ac:dyDescent="0.25"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</row>
    <row r="439" spans="14:28" x14ac:dyDescent="0.25"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</row>
    <row r="440" spans="14:28" x14ac:dyDescent="0.25"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</row>
    <row r="441" spans="14:28" x14ac:dyDescent="0.25">
      <c r="W441"/>
      <c r="X441"/>
      <c r="Y441"/>
      <c r="Z441"/>
      <c r="AA441"/>
      <c r="AB441"/>
    </row>
    <row r="442" spans="14:28" x14ac:dyDescent="0.25">
      <c r="W442"/>
      <c r="X442"/>
      <c r="Y442"/>
      <c r="Z442"/>
      <c r="AA442"/>
      <c r="AB442"/>
    </row>
    <row r="443" spans="14:28" x14ac:dyDescent="0.25">
      <c r="W443"/>
      <c r="X443"/>
      <c r="Y443"/>
      <c r="Z443"/>
      <c r="AA443"/>
      <c r="AB443"/>
    </row>
    <row r="444" spans="14:28" x14ac:dyDescent="0.25">
      <c r="W444"/>
      <c r="X444"/>
      <c r="Y444"/>
      <c r="Z444"/>
      <c r="AA444"/>
      <c r="AB444"/>
    </row>
    <row r="445" spans="14:28" x14ac:dyDescent="0.25">
      <c r="W445"/>
      <c r="X445"/>
      <c r="Y445"/>
      <c r="Z445"/>
      <c r="AA445"/>
      <c r="AB445"/>
    </row>
    <row r="446" spans="14:28" x14ac:dyDescent="0.25">
      <c r="W446"/>
      <c r="X446"/>
      <c r="Y446"/>
      <c r="Z446"/>
      <c r="AA446"/>
      <c r="AB446"/>
    </row>
    <row r="447" spans="14:28" x14ac:dyDescent="0.25">
      <c r="W447"/>
      <c r="X447"/>
      <c r="Y447"/>
      <c r="Z447"/>
      <c r="AA447"/>
      <c r="AB447"/>
    </row>
    <row r="448" spans="14:28" x14ac:dyDescent="0.25">
      <c r="W448"/>
      <c r="X448"/>
      <c r="Y448"/>
      <c r="Z448"/>
      <c r="AA448"/>
      <c r="AB448"/>
    </row>
    <row r="449" spans="23:28" x14ac:dyDescent="0.25">
      <c r="W449"/>
      <c r="X449"/>
      <c r="Y449"/>
      <c r="Z449"/>
      <c r="AA449"/>
      <c r="AB449"/>
    </row>
    <row r="450" spans="23:28" x14ac:dyDescent="0.25">
      <c r="W450"/>
      <c r="X450"/>
      <c r="Y450"/>
      <c r="Z450"/>
      <c r="AA450"/>
      <c r="AB450"/>
    </row>
    <row r="451" spans="23:28" x14ac:dyDescent="0.25">
      <c r="W451"/>
      <c r="X451"/>
      <c r="Y451"/>
      <c r="Z451"/>
      <c r="AA451"/>
      <c r="AB451"/>
    </row>
    <row r="452" spans="23:28" x14ac:dyDescent="0.25">
      <c r="W452"/>
      <c r="X452"/>
      <c r="Y452"/>
      <c r="Z452"/>
      <c r="AA452"/>
      <c r="AB452"/>
    </row>
    <row r="453" spans="23:28" x14ac:dyDescent="0.25">
      <c r="W453"/>
      <c r="X453"/>
      <c r="Y453"/>
      <c r="Z453"/>
      <c r="AA453"/>
      <c r="AB453"/>
    </row>
    <row r="454" spans="23:28" x14ac:dyDescent="0.25">
      <c r="W454"/>
      <c r="X454"/>
      <c r="Y454"/>
      <c r="Z454"/>
      <c r="AA454"/>
      <c r="AB454"/>
    </row>
    <row r="455" spans="23:28" x14ac:dyDescent="0.25">
      <c r="W455"/>
      <c r="X455"/>
      <c r="Y455"/>
      <c r="Z455"/>
      <c r="AA455"/>
      <c r="AB455"/>
    </row>
    <row r="456" spans="23:28" x14ac:dyDescent="0.25">
      <c r="W456"/>
      <c r="X456"/>
      <c r="Y456"/>
      <c r="Z456"/>
      <c r="AA456"/>
      <c r="AB456"/>
    </row>
    <row r="457" spans="23:28" x14ac:dyDescent="0.25">
      <c r="W457"/>
      <c r="X457"/>
      <c r="Y457"/>
      <c r="Z457"/>
      <c r="AA457"/>
      <c r="AB457"/>
    </row>
    <row r="458" spans="23:28" x14ac:dyDescent="0.25">
      <c r="W458"/>
      <c r="X458"/>
      <c r="Y458"/>
      <c r="Z458"/>
      <c r="AA458"/>
      <c r="AB458"/>
    </row>
    <row r="459" spans="23:28" x14ac:dyDescent="0.25">
      <c r="W459"/>
      <c r="X459"/>
      <c r="Y459"/>
      <c r="Z459"/>
      <c r="AA459"/>
      <c r="AB459"/>
    </row>
    <row r="460" spans="23:28" x14ac:dyDescent="0.25">
      <c r="W460"/>
      <c r="X460"/>
      <c r="Y460"/>
      <c r="Z460"/>
      <c r="AA460"/>
      <c r="AB460"/>
    </row>
    <row r="461" spans="23:28" x14ac:dyDescent="0.25">
      <c r="W461"/>
      <c r="X461"/>
      <c r="Y461"/>
      <c r="Z461"/>
      <c r="AA461"/>
      <c r="AB461"/>
    </row>
    <row r="462" spans="23:28" x14ac:dyDescent="0.25">
      <c r="W462"/>
      <c r="X462"/>
      <c r="Y462"/>
      <c r="Z462"/>
      <c r="AA462"/>
      <c r="AB462"/>
    </row>
    <row r="463" spans="23:28" x14ac:dyDescent="0.25">
      <c r="W463"/>
      <c r="X463"/>
      <c r="Y463"/>
      <c r="Z463"/>
      <c r="AA463"/>
      <c r="AB463"/>
    </row>
    <row r="464" spans="23:28" x14ac:dyDescent="0.25">
      <c r="W464"/>
      <c r="X464"/>
      <c r="Y464"/>
      <c r="Z464"/>
      <c r="AA464"/>
      <c r="AB464"/>
    </row>
    <row r="465" spans="23:28" x14ac:dyDescent="0.25">
      <c r="W465"/>
      <c r="X465"/>
      <c r="Y465"/>
      <c r="Z465"/>
      <c r="AA465"/>
      <c r="AB465"/>
    </row>
    <row r="466" spans="23:28" x14ac:dyDescent="0.25">
      <c r="W466"/>
      <c r="X466"/>
      <c r="Y466"/>
      <c r="Z466"/>
      <c r="AA466"/>
      <c r="AB466"/>
    </row>
    <row r="467" spans="23:28" x14ac:dyDescent="0.25">
      <c r="W467"/>
      <c r="X467"/>
      <c r="Y467"/>
      <c r="Z467"/>
      <c r="AA467"/>
      <c r="AB467"/>
    </row>
    <row r="468" spans="23:28" x14ac:dyDescent="0.25">
      <c r="W468"/>
      <c r="X468"/>
      <c r="Y468"/>
      <c r="Z468"/>
      <c r="AA468"/>
      <c r="AB468"/>
    </row>
    <row r="469" spans="23:28" x14ac:dyDescent="0.25">
      <c r="W469"/>
      <c r="X469"/>
      <c r="Y469"/>
      <c r="Z469"/>
      <c r="AA469"/>
      <c r="AB469"/>
    </row>
    <row r="470" spans="23:28" x14ac:dyDescent="0.25">
      <c r="W470"/>
      <c r="X470"/>
      <c r="Y470"/>
      <c r="Z470"/>
      <c r="AA470"/>
      <c r="AB470"/>
    </row>
    <row r="471" spans="23:28" x14ac:dyDescent="0.25">
      <c r="W471"/>
      <c r="X471"/>
      <c r="Y471"/>
      <c r="Z471"/>
      <c r="AA471"/>
      <c r="AB471"/>
    </row>
    <row r="472" spans="23:28" x14ac:dyDescent="0.25">
      <c r="W472"/>
      <c r="X472"/>
      <c r="Y472"/>
      <c r="Z472"/>
      <c r="AA472"/>
      <c r="AB472"/>
    </row>
    <row r="473" spans="23:28" x14ac:dyDescent="0.25">
      <c r="W473"/>
      <c r="X473"/>
      <c r="Y473"/>
      <c r="Z473"/>
      <c r="AA473"/>
      <c r="AB473"/>
    </row>
    <row r="474" spans="23:28" x14ac:dyDescent="0.25">
      <c r="W474"/>
      <c r="X474"/>
      <c r="Y474"/>
      <c r="Z474"/>
      <c r="AA474"/>
      <c r="AB474"/>
    </row>
    <row r="475" spans="23:28" x14ac:dyDescent="0.25">
      <c r="W475"/>
      <c r="X475"/>
      <c r="Y475"/>
      <c r="Z475"/>
      <c r="AA475"/>
      <c r="AB475"/>
    </row>
    <row r="476" spans="23:28" x14ac:dyDescent="0.25">
      <c r="W476"/>
      <c r="X476"/>
      <c r="Y476"/>
      <c r="Z476"/>
      <c r="AA476"/>
      <c r="AB476"/>
    </row>
    <row r="477" spans="23:28" x14ac:dyDescent="0.25">
      <c r="W477"/>
      <c r="X477"/>
      <c r="Y477"/>
      <c r="Z477"/>
      <c r="AA477"/>
      <c r="AB477"/>
    </row>
    <row r="478" spans="23:28" x14ac:dyDescent="0.25">
      <c r="W478"/>
      <c r="X478"/>
      <c r="Y478"/>
      <c r="Z478"/>
      <c r="AA478"/>
      <c r="AB478"/>
    </row>
    <row r="479" spans="23:28" x14ac:dyDescent="0.25">
      <c r="W479"/>
      <c r="X479"/>
      <c r="Y479"/>
      <c r="Z479"/>
      <c r="AA479"/>
      <c r="AB479"/>
    </row>
    <row r="480" spans="23:28" x14ac:dyDescent="0.25">
      <c r="W480"/>
      <c r="X480"/>
      <c r="Y480"/>
      <c r="Z480"/>
      <c r="AA480"/>
      <c r="AB480"/>
    </row>
    <row r="481" spans="23:28" x14ac:dyDescent="0.25">
      <c r="W481"/>
      <c r="X481"/>
      <c r="Y481"/>
      <c r="Z481"/>
      <c r="AA481"/>
      <c r="AB481"/>
    </row>
    <row r="482" spans="23:28" x14ac:dyDescent="0.25">
      <c r="W482"/>
      <c r="X482"/>
      <c r="Y482"/>
      <c r="Z482"/>
      <c r="AA482"/>
      <c r="AB482"/>
    </row>
    <row r="483" spans="23:28" x14ac:dyDescent="0.25">
      <c r="W483"/>
      <c r="X483"/>
      <c r="Y483"/>
      <c r="Z483"/>
      <c r="AA483"/>
      <c r="AB483"/>
    </row>
    <row r="484" spans="23:28" x14ac:dyDescent="0.25">
      <c r="W484"/>
      <c r="X484"/>
      <c r="Y484"/>
      <c r="Z484"/>
      <c r="AA484"/>
      <c r="AB484"/>
    </row>
    <row r="485" spans="23:28" x14ac:dyDescent="0.25">
      <c r="W485"/>
      <c r="X485"/>
      <c r="Y485"/>
      <c r="Z485"/>
      <c r="AA485"/>
      <c r="AB485"/>
    </row>
    <row r="486" spans="23:28" x14ac:dyDescent="0.25">
      <c r="W486"/>
      <c r="X486"/>
      <c r="Y486"/>
      <c r="Z486"/>
      <c r="AA486"/>
      <c r="AB486"/>
    </row>
    <row r="487" spans="23:28" x14ac:dyDescent="0.25">
      <c r="W487"/>
      <c r="X487"/>
      <c r="Y487"/>
      <c r="Z487"/>
      <c r="AA487"/>
      <c r="AB487"/>
    </row>
    <row r="488" spans="23:28" x14ac:dyDescent="0.25">
      <c r="W488"/>
      <c r="X488"/>
      <c r="Y488"/>
      <c r="Z488"/>
      <c r="AA488"/>
      <c r="AB488"/>
    </row>
    <row r="489" spans="23:28" x14ac:dyDescent="0.25">
      <c r="W489"/>
      <c r="X489"/>
      <c r="Y489"/>
      <c r="Z489"/>
      <c r="AA489"/>
      <c r="AB489"/>
    </row>
    <row r="490" spans="23:28" x14ac:dyDescent="0.25">
      <c r="W490"/>
      <c r="X490"/>
      <c r="Y490"/>
      <c r="Z490"/>
      <c r="AA490"/>
      <c r="AB490"/>
    </row>
    <row r="491" spans="23:28" x14ac:dyDescent="0.25">
      <c r="W491"/>
      <c r="X491"/>
      <c r="Y491"/>
      <c r="Z491"/>
      <c r="AA491"/>
      <c r="AB491"/>
    </row>
    <row r="492" spans="23:28" x14ac:dyDescent="0.25">
      <c r="W492"/>
      <c r="X492"/>
      <c r="Y492"/>
      <c r="Z492"/>
      <c r="AA492"/>
      <c r="AB492"/>
    </row>
    <row r="493" spans="23:28" x14ac:dyDescent="0.25">
      <c r="W493"/>
      <c r="X493"/>
      <c r="Y493"/>
      <c r="Z493"/>
      <c r="AA493"/>
      <c r="AB493"/>
    </row>
    <row r="494" spans="23:28" x14ac:dyDescent="0.25">
      <c r="W494"/>
      <c r="X494"/>
      <c r="Y494"/>
      <c r="Z494"/>
      <c r="AA494"/>
      <c r="AB494"/>
    </row>
    <row r="495" spans="23:28" x14ac:dyDescent="0.25">
      <c r="W495"/>
      <c r="X495"/>
      <c r="Y495"/>
      <c r="Z495"/>
      <c r="AA495"/>
      <c r="AB495"/>
    </row>
  </sheetData>
  <phoneticPr fontId="27" type="noConversion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/>
  <dimension ref="A1:F17"/>
  <sheetViews>
    <sheetView workbookViewId="0">
      <selection activeCell="A16" sqref="A16:F16"/>
    </sheetView>
  </sheetViews>
  <sheetFormatPr defaultRowHeight="15.75" x14ac:dyDescent="0.25"/>
  <cols>
    <col min="1" max="1" width="15.5" style="56" bestFit="1" customWidth="1"/>
    <col min="2" max="2" width="28.375" style="56" customWidth="1"/>
    <col min="3" max="3" width="9.25" style="57" bestFit="1" customWidth="1"/>
    <col min="4" max="4" width="9.875" style="19" customWidth="1"/>
    <col min="5" max="5" width="13" style="19" customWidth="1"/>
    <col min="6" max="6" width="10.25" style="19" customWidth="1"/>
    <col min="8" max="8" width="18.75" customWidth="1"/>
  </cols>
  <sheetData>
    <row r="1" spans="1:6" s="15" customFormat="1" ht="20.25" x14ac:dyDescent="0.35">
      <c r="A1" s="54" t="s">
        <v>481</v>
      </c>
      <c r="B1" s="54" t="s">
        <v>484</v>
      </c>
      <c r="C1" s="55" t="s">
        <v>485</v>
      </c>
      <c r="D1" s="44" t="s">
        <v>486</v>
      </c>
      <c r="E1" s="45" t="s">
        <v>487</v>
      </c>
      <c r="F1" s="45" t="s">
        <v>488</v>
      </c>
    </row>
    <row r="2" spans="1:6" x14ac:dyDescent="0.25">
      <c r="A2" s="56" t="s">
        <v>52</v>
      </c>
      <c r="B2" s="56" t="s">
        <v>501</v>
      </c>
      <c r="C2" s="57">
        <v>4.9942497018034215E-2</v>
      </c>
      <c r="D2" s="19">
        <v>2.072048823249142E-6</v>
      </c>
      <c r="E2" s="19">
        <v>4.7498147887006942E-11</v>
      </c>
      <c r="F2" s="19">
        <v>1.9976998807213682E-12</v>
      </c>
    </row>
    <row r="3" spans="1:6" x14ac:dyDescent="0.25">
      <c r="A3" s="56" t="s">
        <v>502</v>
      </c>
      <c r="B3" s="56" t="s">
        <v>503</v>
      </c>
      <c r="C3" s="57">
        <v>2.655102913739529E-2</v>
      </c>
      <c r="D3" s="19">
        <v>4.1832340803477697E-6</v>
      </c>
      <c r="E3" s="19">
        <v>2.5307649463664093E-11</v>
      </c>
      <c r="F3" s="19">
        <v>1.486857631694136E-12</v>
      </c>
    </row>
    <row r="4" spans="1:6" x14ac:dyDescent="0.25">
      <c r="A4" s="56" t="s">
        <v>504</v>
      </c>
      <c r="D4" s="19">
        <f>0.9*D3</f>
        <v>3.764910672312993E-6</v>
      </c>
      <c r="E4" s="19">
        <f>0.9*E3</f>
        <v>2.2776884517297683E-11</v>
      </c>
      <c r="F4" s="19">
        <f>0.9*F3</f>
        <v>1.3381718685247225E-12</v>
      </c>
    </row>
    <row r="5" spans="1:6" x14ac:dyDescent="0.25">
      <c r="A5" s="56" t="s">
        <v>509</v>
      </c>
      <c r="B5" s="56" t="s">
        <v>508</v>
      </c>
      <c r="C5" s="57">
        <v>3.285999295857293E-3</v>
      </c>
      <c r="D5" s="19">
        <v>1.5527929795992151E-6</v>
      </c>
      <c r="E5" s="19">
        <v>5.27581990394992E-11</v>
      </c>
      <c r="F5" s="19">
        <v>1.8461973007862922E-8</v>
      </c>
    </row>
    <row r="6" spans="1:6" x14ac:dyDescent="0.25">
      <c r="A6" s="56" t="s">
        <v>510</v>
      </c>
      <c r="C6" s="57">
        <v>4.9939999999999998E-2</v>
      </c>
      <c r="D6" s="19">
        <f>C6*(14.2*0.0000282)</f>
        <v>1.99979736E-5</v>
      </c>
      <c r="E6" s="19">
        <f>60.6*2.33*0.00000001/1.54</f>
        <v>9.1687012987012986E-7</v>
      </c>
    </row>
    <row r="7" spans="1:6" x14ac:dyDescent="0.25">
      <c r="A7" s="56" t="s">
        <v>511</v>
      </c>
      <c r="C7" s="57">
        <v>1.0360928628347291E-2</v>
      </c>
      <c r="D7" s="19">
        <f>C7*33*0.0000282</f>
        <v>9.6418801815399894E-6</v>
      </c>
      <c r="E7" s="19">
        <f>0.00000001*1*(36*4.6+8*0.435+14*7.52)/58/1.54</f>
        <v>3.0716524854455891E-8</v>
      </c>
    </row>
    <row r="8" spans="1:6" x14ac:dyDescent="0.25">
      <c r="A8" s="56" t="s">
        <v>513</v>
      </c>
      <c r="B8" s="56" t="s">
        <v>512</v>
      </c>
      <c r="C8" s="57">
        <v>1.0360928628347291E-2</v>
      </c>
      <c r="D8" s="19">
        <v>-6.3496959147850051E-8</v>
      </c>
      <c r="E8" s="19">
        <v>2.6341998353038914E-10</v>
      </c>
      <c r="F8" s="19">
        <v>6.6577566007892881E-8</v>
      </c>
    </row>
    <row r="9" spans="1:6" x14ac:dyDescent="0.25">
      <c r="A9" s="56" t="s">
        <v>514</v>
      </c>
      <c r="C9" s="57">
        <v>3.285999295857293E-3</v>
      </c>
      <c r="D9" s="19">
        <v>8.8000000000000004E-6</v>
      </c>
      <c r="E9" s="19">
        <f>0.00000001*1*(96*4.6+7*0.435+48*11.5+32*89.1)/183/1.54</f>
        <v>1.3653555460932508E-7</v>
      </c>
    </row>
    <row r="10" spans="1:6" x14ac:dyDescent="0.25">
      <c r="A10" s="56" t="s">
        <v>518</v>
      </c>
      <c r="C10" s="57">
        <v>2.655102913739529E-2</v>
      </c>
      <c r="D10" s="19">
        <f>C10*(14+2*8)*0.0000282</f>
        <v>2.2462170650236417E-5</v>
      </c>
      <c r="E10" s="19">
        <f>0.00000001*2.65*(28*60.6+32*11.5)/60/1.54</f>
        <v>5.9217748917748919E-7</v>
      </c>
    </row>
    <row r="11" spans="1:6" x14ac:dyDescent="0.25">
      <c r="A11" s="56" t="s">
        <v>519</v>
      </c>
      <c r="B11" s="56" t="s">
        <v>520</v>
      </c>
      <c r="C11" s="57">
        <v>6.005397758637196E-4</v>
      </c>
      <c r="D11" s="19">
        <v>1.2822583229318904E-5</v>
      </c>
      <c r="E11" s="19">
        <v>2.5888974143657558E-10</v>
      </c>
      <c r="F11" s="19">
        <v>2.2610807797407942E-8</v>
      </c>
    </row>
    <row r="12" spans="1:6" x14ac:dyDescent="0.25">
      <c r="A12" s="56" t="s">
        <v>521</v>
      </c>
      <c r="C12" s="57">
        <v>6.005397758637196E-4</v>
      </c>
      <c r="D12" s="19">
        <v>2.436978399659457E-5</v>
      </c>
      <c r="E12" s="19">
        <v>1.1018671326910043E-7</v>
      </c>
    </row>
    <row r="13" spans="1:6" x14ac:dyDescent="0.25">
      <c r="A13" s="56" t="s">
        <v>169</v>
      </c>
      <c r="B13" s="56" t="s">
        <v>523</v>
      </c>
      <c r="C13" s="57">
        <v>6.4002501563477157E-2</v>
      </c>
      <c r="D13" s="19">
        <v>4.2992227838059625E-6</v>
      </c>
      <c r="E13" s="19">
        <v>8.8279312501347805E-10</v>
      </c>
      <c r="F13" s="19">
        <v>2.5601000625390861E-11</v>
      </c>
    </row>
    <row r="14" spans="1:6" x14ac:dyDescent="0.25">
      <c r="A14" s="56" t="s">
        <v>106</v>
      </c>
      <c r="B14" s="56" t="s">
        <v>524</v>
      </c>
      <c r="C14" s="57">
        <v>9.1274275979557049E-2</v>
      </c>
      <c r="D14" s="19">
        <v>9.3902183164896167E-6</v>
      </c>
      <c r="E14" s="19">
        <v>2.2793186826930543E-9</v>
      </c>
      <c r="F14" s="19">
        <v>4.7462623509369665E-9</v>
      </c>
    </row>
    <row r="15" spans="1:6" x14ac:dyDescent="0.25">
      <c r="A15" s="56" t="s">
        <v>540</v>
      </c>
      <c r="B15" s="56" t="s">
        <v>541</v>
      </c>
      <c r="C15" s="57">
        <v>6.5404355365112736E-3</v>
      </c>
      <c r="D15" s="19">
        <v>5.1157766512658035E-6</v>
      </c>
      <c r="E15" s="19">
        <v>6.3636473457023485E-13</v>
      </c>
      <c r="F15" s="19">
        <v>8.0483983538093133E-10</v>
      </c>
    </row>
    <row r="16" spans="1:6" x14ac:dyDescent="0.25">
      <c r="A16" s="56" t="s">
        <v>543</v>
      </c>
      <c r="B16" s="56" t="s">
        <v>544</v>
      </c>
      <c r="C16" s="57">
        <v>5.4164357333602049E-3</v>
      </c>
      <c r="D16" s="19">
        <v>1.15860846168802E-6</v>
      </c>
      <c r="E16" s="19">
        <v>1.4805095044947011E-10</v>
      </c>
      <c r="F16" s="19">
        <v>3.9152532372650772E-8</v>
      </c>
    </row>
    <row r="17" spans="1:6" x14ac:dyDescent="0.25">
      <c r="A17" s="56" t="s">
        <v>542</v>
      </c>
      <c r="B17" s="56" t="s">
        <v>545</v>
      </c>
      <c r="C17" s="57">
        <v>6.992665831883303E-3</v>
      </c>
      <c r="D17" s="19">
        <v>1.1018936434248805E-6</v>
      </c>
      <c r="E17" s="19">
        <v>7.8170847990927675E-11</v>
      </c>
      <c r="F17" s="19">
        <v>3.3674273169303826E-8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mdCompoundCalculator">
          <controlPr autoLine="0" r:id="rId5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0</xdr:colOff>
                <xdr:row>1</xdr:row>
                <xdr:rowOff>190500</xdr:rowOff>
              </to>
            </anchor>
          </controlPr>
        </control>
      </mc:Choice>
      <mc:Fallback>
        <control shapeId="2049" r:id="rId4" name="cmdCompoundCalculator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/>
  <dimension ref="A1:M374"/>
  <sheetViews>
    <sheetView zoomScaleNormal="100" workbookViewId="0">
      <pane ySplit="2" topLeftCell="A3" activePane="bottomLeft" state="frozen"/>
      <selection pane="bottomLeft" activeCell="H18" sqref="H18"/>
    </sheetView>
  </sheetViews>
  <sheetFormatPr defaultColWidth="8.75" defaultRowHeight="15.75" customHeight="1" x14ac:dyDescent="0.2"/>
  <cols>
    <col min="1" max="1" width="6.875" style="4" customWidth="1"/>
    <col min="2" max="2" width="9" style="4" customWidth="1"/>
    <col min="3" max="3" width="12" style="4" customWidth="1"/>
    <col min="4" max="4" width="14.625" style="4" customWidth="1"/>
    <col min="5" max="5" width="8" style="4" customWidth="1"/>
    <col min="6" max="6" width="8.375" style="4" customWidth="1"/>
    <col min="7" max="7" width="8" style="4" customWidth="1"/>
    <col min="8" max="8" width="12" style="4" customWidth="1"/>
    <col min="9" max="9" width="8.625" style="4" customWidth="1"/>
    <col min="10" max="10" width="11.75" style="13" customWidth="1"/>
    <col min="11" max="11" width="12.375" style="13" customWidth="1"/>
    <col min="12" max="12" width="12" style="9" customWidth="1"/>
    <col min="13" max="13" width="9.875" style="9" customWidth="1"/>
    <col min="14" max="16384" width="8.75" style="2"/>
  </cols>
  <sheetData>
    <row r="1" spans="1:13" ht="15.75" customHeight="1" x14ac:dyDescent="0.2">
      <c r="A1" s="202" t="s">
        <v>1</v>
      </c>
      <c r="B1" s="202"/>
      <c r="C1" s="202"/>
      <c r="D1" s="202"/>
      <c r="E1" s="202"/>
      <c r="F1" s="202"/>
      <c r="G1" s="202"/>
      <c r="H1" s="202"/>
      <c r="I1" s="3"/>
      <c r="J1" s="11"/>
      <c r="K1" s="11"/>
      <c r="L1" s="8"/>
      <c r="M1" s="8"/>
    </row>
    <row r="2" spans="1:13" ht="15.75" customHeight="1" x14ac:dyDescent="0.25">
      <c r="A2" s="5" t="s">
        <v>2</v>
      </c>
      <c r="B2" s="5" t="s">
        <v>3</v>
      </c>
      <c r="C2" s="5" t="s">
        <v>4</v>
      </c>
      <c r="D2" s="5" t="s">
        <v>5</v>
      </c>
      <c r="E2" s="5" t="s">
        <v>6</v>
      </c>
      <c r="F2" s="5" t="s">
        <v>7</v>
      </c>
      <c r="G2" s="5" t="s">
        <v>8</v>
      </c>
      <c r="H2" s="5" t="s">
        <v>9</v>
      </c>
      <c r="I2" s="5" t="s">
        <v>480</v>
      </c>
      <c r="J2" s="12" t="s">
        <v>10</v>
      </c>
      <c r="K2" s="12" t="s">
        <v>11</v>
      </c>
      <c r="L2" s="10" t="s">
        <v>482</v>
      </c>
      <c r="M2" s="10" t="s">
        <v>483</v>
      </c>
    </row>
    <row r="3" spans="1:13" ht="15.75" customHeight="1" x14ac:dyDescent="0.2">
      <c r="A3" s="6" t="s">
        <v>12</v>
      </c>
      <c r="B3" s="6" t="s">
        <v>13</v>
      </c>
      <c r="C3" s="6">
        <v>-3.7389999999999999</v>
      </c>
      <c r="D3" s="6" t="s">
        <v>13</v>
      </c>
      <c r="E3" s="6">
        <v>1.7567999999999999</v>
      </c>
      <c r="F3" s="6">
        <v>80.260000000000005</v>
      </c>
      <c r="G3" s="6">
        <v>82.02</v>
      </c>
      <c r="H3" s="6">
        <v>0.33260000000000001</v>
      </c>
      <c r="I3" s="6">
        <v>1.0079</v>
      </c>
      <c r="J3" s="13">
        <v>8.9900000000000003E-5</v>
      </c>
      <c r="K3" s="14">
        <v>5.3712999999999997E-2</v>
      </c>
      <c r="L3" s="9">
        <f>(H3*10^-8/1.798)*6.02*10^23/I3</f>
        <v>1104871073579897.6</v>
      </c>
      <c r="M3" s="9">
        <f t="shared" ref="M3:M13" si="0">F3*10^-8*6.02*10^23/I3</f>
        <v>4.7937811290802656E+17</v>
      </c>
    </row>
    <row r="4" spans="1:13" ht="15.75" customHeight="1" x14ac:dyDescent="0.2">
      <c r="A4" s="7" t="s">
        <v>14</v>
      </c>
      <c r="B4" s="7">
        <v>99.984999999999999</v>
      </c>
      <c r="C4" s="7">
        <v>-3.7406000000000001</v>
      </c>
      <c r="D4" s="7">
        <v>25.274000000000001</v>
      </c>
      <c r="E4" s="7">
        <v>1.7583</v>
      </c>
      <c r="F4" s="7">
        <v>80.27</v>
      </c>
      <c r="G4" s="7">
        <v>82.03</v>
      </c>
      <c r="H4" s="7">
        <v>0.33260000000000001</v>
      </c>
      <c r="I4" s="7">
        <v>1.0079</v>
      </c>
      <c r="L4" s="9">
        <f t="shared" ref="L4:L67" si="1">(H4*10^-8/1.798)*6.02*10^23/I4</f>
        <v>1104871073579897.6</v>
      </c>
      <c r="M4" s="9">
        <f t="shared" si="0"/>
        <v>4.7943784105566022E+17</v>
      </c>
    </row>
    <row r="5" spans="1:13" ht="15.75" customHeight="1" x14ac:dyDescent="0.2">
      <c r="A5" s="7" t="s">
        <v>15</v>
      </c>
      <c r="B5" s="7">
        <v>1.4999999999999999E-2</v>
      </c>
      <c r="C5" s="7">
        <v>6.6710000000000003</v>
      </c>
      <c r="D5" s="7">
        <v>4.04</v>
      </c>
      <c r="E5" s="7">
        <v>5.5919999999999996</v>
      </c>
      <c r="F5" s="7">
        <v>2.0499999999999998</v>
      </c>
      <c r="G5" s="7">
        <v>7.64</v>
      </c>
      <c r="H5" s="7">
        <v>5.1900000000000004E-4</v>
      </c>
      <c r="I5" s="7">
        <v>2</v>
      </c>
      <c r="L5" s="9">
        <f t="shared" si="1"/>
        <v>868848720800.88977</v>
      </c>
      <c r="M5" s="9">
        <f t="shared" si="0"/>
        <v>6170499999999999</v>
      </c>
    </row>
    <row r="6" spans="1:13" ht="15.75" customHeight="1" x14ac:dyDescent="0.2">
      <c r="A6" s="7" t="s">
        <v>16</v>
      </c>
      <c r="B6" s="7" t="s">
        <v>17</v>
      </c>
      <c r="C6" s="7">
        <v>4.7919999999999998</v>
      </c>
      <c r="D6" s="7">
        <v>-1.04</v>
      </c>
      <c r="E6" s="7">
        <v>2.89</v>
      </c>
      <c r="F6" s="7">
        <v>0.14000000000000001</v>
      </c>
      <c r="G6" s="7">
        <v>3.03</v>
      </c>
      <c r="H6" s="7">
        <v>0</v>
      </c>
      <c r="I6" s="7">
        <v>3</v>
      </c>
      <c r="L6" s="9">
        <f t="shared" si="1"/>
        <v>0</v>
      </c>
      <c r="M6" s="9">
        <f t="shared" si="0"/>
        <v>280933333333333.28</v>
      </c>
    </row>
    <row r="7" spans="1:13" ht="15.75" customHeight="1" x14ac:dyDescent="0.2">
      <c r="A7" s="7" t="s">
        <v>18</v>
      </c>
      <c r="B7" s="7" t="s">
        <v>13</v>
      </c>
      <c r="C7" s="7">
        <v>3.26</v>
      </c>
      <c r="D7" s="7" t="s">
        <v>13</v>
      </c>
      <c r="E7" s="7">
        <v>1.34</v>
      </c>
      <c r="F7" s="7">
        <v>0</v>
      </c>
      <c r="G7" s="7">
        <v>1.34</v>
      </c>
      <c r="H7" s="7">
        <v>7.4700000000000001E-3</v>
      </c>
      <c r="I7" s="7">
        <v>4.0026000000000002</v>
      </c>
      <c r="J7" s="14">
        <v>1.7870000000000001E-4</v>
      </c>
      <c r="K7" s="14">
        <v>2.6886E-2</v>
      </c>
      <c r="L7" s="9">
        <f t="shared" si="1"/>
        <v>6248635828313.374</v>
      </c>
      <c r="M7" s="9">
        <f t="shared" si="0"/>
        <v>0</v>
      </c>
    </row>
    <row r="8" spans="1:13" ht="15.75" customHeight="1" x14ac:dyDescent="0.2">
      <c r="A8" s="7" t="s">
        <v>19</v>
      </c>
      <c r="B8" s="7">
        <v>1.3999999999999999E-4</v>
      </c>
      <c r="C8" s="7">
        <v>5.74</v>
      </c>
      <c r="D8" s="7" t="s">
        <v>20</v>
      </c>
      <c r="E8" s="7">
        <v>4.42</v>
      </c>
      <c r="F8" s="7">
        <v>1.6</v>
      </c>
      <c r="G8" s="7">
        <v>6</v>
      </c>
      <c r="H8" s="7">
        <v>5333</v>
      </c>
      <c r="I8" s="7">
        <v>3</v>
      </c>
      <c r="L8" s="9">
        <f t="shared" si="1"/>
        <v>5.951920652576937E+18</v>
      </c>
      <c r="M8" s="9">
        <f t="shared" si="0"/>
        <v>3210666666666666.5</v>
      </c>
    </row>
    <row r="9" spans="1:13" ht="15.75" customHeight="1" x14ac:dyDescent="0.2">
      <c r="A9" s="7" t="s">
        <v>21</v>
      </c>
      <c r="B9" s="7">
        <v>99.999859999999998</v>
      </c>
      <c r="C9" s="7">
        <v>3.26</v>
      </c>
      <c r="D9" s="7">
        <v>0</v>
      </c>
      <c r="E9" s="7">
        <v>1.34</v>
      </c>
      <c r="F9" s="7">
        <v>0</v>
      </c>
      <c r="G9" s="7">
        <v>1.34</v>
      </c>
      <c r="H9" s="7">
        <v>0</v>
      </c>
      <c r="I9" s="7">
        <f>I7</f>
        <v>4.0026000000000002</v>
      </c>
      <c r="L9" s="9">
        <f t="shared" si="1"/>
        <v>0</v>
      </c>
      <c r="M9" s="9">
        <f t="shared" si="0"/>
        <v>0</v>
      </c>
    </row>
    <row r="10" spans="1:13" ht="15.75" customHeight="1" x14ac:dyDescent="0.2">
      <c r="A10" s="7" t="s">
        <v>22</v>
      </c>
      <c r="B10" s="7" t="s">
        <v>13</v>
      </c>
      <c r="C10" s="7">
        <v>-1.9</v>
      </c>
      <c r="D10" s="7" t="s">
        <v>13</v>
      </c>
      <c r="E10" s="7">
        <v>0.45400000000000001</v>
      </c>
      <c r="F10" s="7">
        <v>0.92</v>
      </c>
      <c r="G10" s="7">
        <v>1.37</v>
      </c>
      <c r="H10" s="7">
        <v>70.5</v>
      </c>
      <c r="I10" s="7">
        <v>6.9409999999999998</v>
      </c>
      <c r="J10" s="14">
        <v>0.53400000000000003</v>
      </c>
      <c r="K10" s="14">
        <v>46.33</v>
      </c>
      <c r="L10" s="9">
        <f t="shared" si="1"/>
        <v>3.40074349847491E+16</v>
      </c>
      <c r="M10" s="9">
        <f t="shared" si="0"/>
        <v>797925370984008.13</v>
      </c>
    </row>
    <row r="11" spans="1:13" ht="15.75" customHeight="1" x14ac:dyDescent="0.2">
      <c r="A11" s="7" t="s">
        <v>23</v>
      </c>
      <c r="B11" s="7">
        <v>7.5</v>
      </c>
      <c r="C11" s="7">
        <v>2</v>
      </c>
      <c r="D11" s="7">
        <v>-1.89</v>
      </c>
      <c r="E11" s="7">
        <v>0.51</v>
      </c>
      <c r="F11" s="7">
        <v>0.46</v>
      </c>
      <c r="G11" s="7">
        <v>0.97</v>
      </c>
      <c r="H11" s="7">
        <v>940</v>
      </c>
      <c r="I11" s="7">
        <v>6</v>
      </c>
      <c r="L11" s="9">
        <f t="shared" si="1"/>
        <v>5.2454579162031878E+17</v>
      </c>
      <c r="M11" s="9">
        <f t="shared" si="0"/>
        <v>461533333333333.31</v>
      </c>
    </row>
    <row r="12" spans="1:13" ht="15.75" customHeight="1" x14ac:dyDescent="0.2">
      <c r="A12" s="7" t="s">
        <v>24</v>
      </c>
      <c r="B12" s="7">
        <v>92.5</v>
      </c>
      <c r="C12" s="7">
        <v>-2.2200000000000002</v>
      </c>
      <c r="D12" s="7">
        <v>-2.4900000000000002</v>
      </c>
      <c r="E12" s="7">
        <v>0.61899999999999999</v>
      </c>
      <c r="F12" s="7">
        <v>0.78</v>
      </c>
      <c r="G12" s="7">
        <v>1.4</v>
      </c>
      <c r="H12" s="7">
        <v>4.5400000000000003E-2</v>
      </c>
      <c r="I12" s="7">
        <v>7</v>
      </c>
      <c r="L12" s="9">
        <f t="shared" si="1"/>
        <v>21715239154616.238</v>
      </c>
      <c r="M12" s="9">
        <f t="shared" si="0"/>
        <v>670800000000000</v>
      </c>
    </row>
    <row r="13" spans="1:13" ht="15.75" customHeight="1" x14ac:dyDescent="0.2">
      <c r="A13" s="7" t="s">
        <v>25</v>
      </c>
      <c r="B13" s="7">
        <v>100</v>
      </c>
      <c r="C13" s="7">
        <v>7.79</v>
      </c>
      <c r="D13" s="7">
        <v>0.12</v>
      </c>
      <c r="E13" s="7">
        <v>7.63</v>
      </c>
      <c r="F13" s="7">
        <v>1.8E-3</v>
      </c>
      <c r="G13" s="7">
        <v>7.63</v>
      </c>
      <c r="H13" s="7">
        <v>7.6E-3</v>
      </c>
      <c r="I13" s="7">
        <v>9.0122</v>
      </c>
      <c r="J13" s="14">
        <v>1.85</v>
      </c>
      <c r="K13" s="14">
        <v>123.62</v>
      </c>
      <c r="L13" s="9">
        <f t="shared" si="1"/>
        <v>2823511591838.2192</v>
      </c>
      <c r="M13" s="9">
        <f t="shared" si="0"/>
        <v>1202370120503.3176</v>
      </c>
    </row>
    <row r="14" spans="1:13" ht="15.75" customHeight="1" x14ac:dyDescent="0.2">
      <c r="A14" s="7" t="s">
        <v>26</v>
      </c>
      <c r="B14" s="7" t="s">
        <v>13</v>
      </c>
      <c r="C14" s="7">
        <v>5.3</v>
      </c>
      <c r="D14" s="7" t="s">
        <v>13</v>
      </c>
      <c r="E14" s="7">
        <v>3.54</v>
      </c>
      <c r="F14" s="7">
        <v>1.7</v>
      </c>
      <c r="G14" s="7">
        <v>5.24</v>
      </c>
      <c r="H14" s="7">
        <v>767</v>
      </c>
      <c r="I14" s="7">
        <v>10.81</v>
      </c>
      <c r="J14" s="14">
        <v>2.34</v>
      </c>
      <c r="K14" s="14">
        <v>130.36000000000001</v>
      </c>
      <c r="L14" s="9">
        <f t="shared" si="1"/>
        <v>2.375617270294159E+17</v>
      </c>
      <c r="M14" s="9">
        <f t="shared" ref="M14:M77" si="2">F14*10^-8*6.02*10^23/I14</f>
        <v>946716003700277.25</v>
      </c>
    </row>
    <row r="15" spans="1:13" ht="15.75" customHeight="1" x14ac:dyDescent="0.2">
      <c r="A15" s="7" t="s">
        <v>27</v>
      </c>
      <c r="B15" s="7">
        <v>20</v>
      </c>
      <c r="C15" s="7">
        <v>-0.1</v>
      </c>
      <c r="D15" s="7" t="s">
        <v>28</v>
      </c>
      <c r="E15" s="7">
        <v>0.14399999999999999</v>
      </c>
      <c r="F15" s="7">
        <v>3</v>
      </c>
      <c r="G15" s="7">
        <v>3.1</v>
      </c>
      <c r="H15" s="7">
        <v>3835</v>
      </c>
      <c r="I15" s="7">
        <v>10</v>
      </c>
      <c r="J15" s="13">
        <v>2.34</v>
      </c>
      <c r="K15" s="13">
        <v>130.36000000000001</v>
      </c>
      <c r="L15" s="9">
        <f t="shared" si="1"/>
        <v>1.2840211345939935E+18</v>
      </c>
      <c r="M15" s="9">
        <f t="shared" si="2"/>
        <v>1806000000000000</v>
      </c>
    </row>
    <row r="16" spans="1:13" ht="15.75" customHeight="1" x14ac:dyDescent="0.2">
      <c r="A16" s="7" t="s">
        <v>29</v>
      </c>
      <c r="B16" s="7">
        <v>80</v>
      </c>
      <c r="C16" s="7">
        <v>6.65</v>
      </c>
      <c r="D16" s="7">
        <v>-1.3</v>
      </c>
      <c r="E16" s="7">
        <v>5.56</v>
      </c>
      <c r="F16" s="7">
        <v>0.21</v>
      </c>
      <c r="G16" s="7">
        <v>5.77</v>
      </c>
      <c r="H16" s="7">
        <v>5.4999999999999997E-3</v>
      </c>
      <c r="I16" s="7">
        <v>11</v>
      </c>
      <c r="L16" s="9">
        <f t="shared" si="1"/>
        <v>1674082313681.8687</v>
      </c>
      <c r="M16" s="9">
        <f t="shared" si="2"/>
        <v>114927272727272.7</v>
      </c>
    </row>
    <row r="17" spans="1:13" ht="15.75" customHeight="1" x14ac:dyDescent="0.2">
      <c r="A17" s="7" t="s">
        <v>30</v>
      </c>
      <c r="B17" s="7" t="s">
        <v>13</v>
      </c>
      <c r="C17" s="7">
        <v>6.6459999999999999</v>
      </c>
      <c r="D17" s="7" t="s">
        <v>13</v>
      </c>
      <c r="E17" s="7">
        <v>5.5510000000000002</v>
      </c>
      <c r="F17" s="7">
        <v>1E-3</v>
      </c>
      <c r="G17" s="7">
        <v>5.5510000000000002</v>
      </c>
      <c r="H17" s="7">
        <v>3.5000000000000001E-3</v>
      </c>
      <c r="I17" s="7">
        <v>12.010999999999999</v>
      </c>
      <c r="J17" s="14">
        <v>2.25</v>
      </c>
      <c r="K17" s="14">
        <v>112.81</v>
      </c>
      <c r="L17" s="9">
        <f t="shared" si="1"/>
        <v>975653667119.56384</v>
      </c>
      <c r="M17" s="9">
        <f t="shared" si="2"/>
        <v>501207226708.85016</v>
      </c>
    </row>
    <row r="18" spans="1:13" ht="15.75" customHeight="1" x14ac:dyDescent="0.2">
      <c r="A18" s="7" t="s">
        <v>31</v>
      </c>
      <c r="B18" s="7">
        <v>98.9</v>
      </c>
      <c r="C18" s="7">
        <v>6.6510999999999996</v>
      </c>
      <c r="D18" s="7">
        <v>0</v>
      </c>
      <c r="E18" s="7">
        <v>5.5590000000000002</v>
      </c>
      <c r="F18" s="7">
        <v>0</v>
      </c>
      <c r="G18" s="7">
        <v>5.5590000000000002</v>
      </c>
      <c r="H18" s="7">
        <v>3.5300000000000002E-3</v>
      </c>
      <c r="I18" s="7">
        <v>12</v>
      </c>
      <c r="L18" s="9">
        <f t="shared" si="1"/>
        <v>984918427882.83252</v>
      </c>
      <c r="M18" s="9">
        <f t="shared" si="2"/>
        <v>0</v>
      </c>
    </row>
    <row r="19" spans="1:13" ht="15.75" customHeight="1" x14ac:dyDescent="0.2">
      <c r="A19" s="7" t="s">
        <v>32</v>
      </c>
      <c r="B19" s="7">
        <v>1.1000000000000001</v>
      </c>
      <c r="C19" s="7">
        <v>6.19</v>
      </c>
      <c r="D19" s="7">
        <v>-0.52</v>
      </c>
      <c r="E19" s="7">
        <v>4.8099999999999996</v>
      </c>
      <c r="F19" s="7">
        <v>3.4000000000000002E-2</v>
      </c>
      <c r="G19" s="7">
        <v>4.84</v>
      </c>
      <c r="H19" s="7">
        <v>1.3699999999999999E-3</v>
      </c>
      <c r="I19" s="7">
        <v>13</v>
      </c>
      <c r="L19" s="9">
        <f t="shared" si="1"/>
        <v>352845041499.10144</v>
      </c>
      <c r="M19" s="9">
        <f t="shared" si="2"/>
        <v>15744615384615.383</v>
      </c>
    </row>
    <row r="20" spans="1:13" ht="15.75" customHeight="1" x14ac:dyDescent="0.2">
      <c r="A20" s="7" t="s">
        <v>33</v>
      </c>
      <c r="B20" s="7" t="s">
        <v>13</v>
      </c>
      <c r="C20" s="7">
        <v>9.36</v>
      </c>
      <c r="D20" s="7" t="s">
        <v>13</v>
      </c>
      <c r="E20" s="7">
        <v>11.01</v>
      </c>
      <c r="F20" s="7">
        <v>0.5</v>
      </c>
      <c r="G20" s="7">
        <v>11.51</v>
      </c>
      <c r="H20" s="7">
        <v>1.9</v>
      </c>
      <c r="I20" s="7">
        <v>14.0067</v>
      </c>
      <c r="J20" s="14">
        <v>1.2509999999999999E-3</v>
      </c>
      <c r="K20" s="14">
        <v>5.3784999999999999E-2</v>
      </c>
      <c r="L20" s="9">
        <f t="shared" si="1"/>
        <v>454176415000756.75</v>
      </c>
      <c r="M20" s="9">
        <f t="shared" si="2"/>
        <v>214897156360884.41</v>
      </c>
    </row>
    <row r="21" spans="1:13" ht="15.75" customHeight="1" x14ac:dyDescent="0.2">
      <c r="A21" s="7" t="s">
        <v>34</v>
      </c>
      <c r="B21" s="7">
        <v>99.63</v>
      </c>
      <c r="C21" s="7">
        <v>9.3699999999999992</v>
      </c>
      <c r="D21" s="7">
        <v>2</v>
      </c>
      <c r="E21" s="7">
        <v>11.03</v>
      </c>
      <c r="F21" s="7">
        <v>0.5</v>
      </c>
      <c r="G21" s="7">
        <v>11.53</v>
      </c>
      <c r="H21" s="7">
        <v>1.91</v>
      </c>
      <c r="I21" s="7">
        <v>14</v>
      </c>
      <c r="L21" s="9">
        <f t="shared" si="1"/>
        <v>456785317018909.69</v>
      </c>
      <c r="M21" s="9">
        <f t="shared" si="2"/>
        <v>214999999999999.97</v>
      </c>
    </row>
    <row r="22" spans="1:13" ht="15.75" customHeight="1" x14ac:dyDescent="0.2">
      <c r="A22" s="7" t="s">
        <v>35</v>
      </c>
      <c r="B22" s="7">
        <v>0.37</v>
      </c>
      <c r="C22" s="7">
        <v>6.44</v>
      </c>
      <c r="D22" s="7">
        <v>-0.02</v>
      </c>
      <c r="E22" s="7">
        <v>5.21</v>
      </c>
      <c r="F22" s="7">
        <v>5.0000000000000002E-5</v>
      </c>
      <c r="G22" s="7">
        <v>5.21</v>
      </c>
      <c r="H22" s="7">
        <v>2.4000000000000001E-5</v>
      </c>
      <c r="I22" s="7">
        <v>15</v>
      </c>
      <c r="L22" s="9">
        <f t="shared" si="1"/>
        <v>5357063403.7819796</v>
      </c>
      <c r="M22" s="9">
        <f t="shared" si="2"/>
        <v>20066666666.666664</v>
      </c>
    </row>
    <row r="23" spans="1:13" ht="15.75" customHeight="1" x14ac:dyDescent="0.2">
      <c r="A23" s="7" t="s">
        <v>36</v>
      </c>
      <c r="B23" s="7" t="s">
        <v>13</v>
      </c>
      <c r="C23" s="7">
        <v>5.8029999999999999</v>
      </c>
      <c r="D23" s="7" t="s">
        <v>13</v>
      </c>
      <c r="E23" s="7">
        <v>4.2320000000000002</v>
      </c>
      <c r="F23" s="7">
        <v>8.0000000000000004E-4</v>
      </c>
      <c r="G23" s="7">
        <v>4.2320000000000002</v>
      </c>
      <c r="H23" s="7">
        <v>1.9000000000000001E-4</v>
      </c>
      <c r="I23" s="7">
        <v>15.9994</v>
      </c>
      <c r="J23" s="14">
        <v>1.4289999999999999E-3</v>
      </c>
      <c r="K23" s="14">
        <v>5.3786E-2</v>
      </c>
      <c r="L23" s="9">
        <f t="shared" si="1"/>
        <v>39760945985.418839</v>
      </c>
      <c r="M23" s="9">
        <f t="shared" si="2"/>
        <v>301011287923.29706</v>
      </c>
    </row>
    <row r="24" spans="1:13" ht="15.75" customHeight="1" x14ac:dyDescent="0.2">
      <c r="A24" s="7" t="s">
        <v>37</v>
      </c>
      <c r="B24" s="7">
        <v>99.762</v>
      </c>
      <c r="C24" s="7">
        <v>5.8029999999999999</v>
      </c>
      <c r="D24" s="7">
        <v>0</v>
      </c>
      <c r="E24" s="7">
        <v>4.2320000000000002</v>
      </c>
      <c r="F24" s="7">
        <v>0</v>
      </c>
      <c r="G24" s="7">
        <v>4.2320000000000002</v>
      </c>
      <c r="H24" s="7">
        <v>1E-4</v>
      </c>
      <c r="I24" s="7">
        <v>16</v>
      </c>
      <c r="L24" s="9">
        <f t="shared" si="1"/>
        <v>20926028921.023357</v>
      </c>
      <c r="M24" s="9">
        <f t="shared" si="2"/>
        <v>0</v>
      </c>
    </row>
    <row r="25" spans="1:13" ht="15.75" customHeight="1" x14ac:dyDescent="0.2">
      <c r="A25" s="7" t="s">
        <v>38</v>
      </c>
      <c r="B25" s="7">
        <v>3.7999999999999999E-2</v>
      </c>
      <c r="C25" s="7">
        <v>5.78</v>
      </c>
      <c r="D25" s="7">
        <v>0.18</v>
      </c>
      <c r="E25" s="7">
        <v>4.2</v>
      </c>
      <c r="F25" s="7">
        <v>4.0000000000000001E-3</v>
      </c>
      <c r="G25" s="7">
        <v>4.2</v>
      </c>
      <c r="H25" s="7">
        <v>0.23599999999999999</v>
      </c>
      <c r="I25" s="7">
        <v>17</v>
      </c>
      <c r="L25" s="9">
        <f t="shared" si="1"/>
        <v>46480403062226</v>
      </c>
      <c r="M25" s="9">
        <f t="shared" si="2"/>
        <v>1416470588235.2939</v>
      </c>
    </row>
    <row r="26" spans="1:13" ht="15.75" customHeight="1" x14ac:dyDescent="0.2">
      <c r="A26" s="7" t="s">
        <v>39</v>
      </c>
      <c r="B26" s="7">
        <v>0.2</v>
      </c>
      <c r="C26" s="7">
        <v>5.84</v>
      </c>
      <c r="D26" s="7">
        <v>0</v>
      </c>
      <c r="E26" s="7">
        <v>4.29</v>
      </c>
      <c r="F26" s="7">
        <v>0</v>
      </c>
      <c r="G26" s="7">
        <v>4.29</v>
      </c>
      <c r="H26" s="7">
        <v>1.6000000000000001E-4</v>
      </c>
      <c r="I26" s="7">
        <v>18</v>
      </c>
      <c r="L26" s="9">
        <f t="shared" si="1"/>
        <v>29761463354.344334</v>
      </c>
      <c r="M26" s="9">
        <f t="shared" si="2"/>
        <v>0</v>
      </c>
    </row>
    <row r="27" spans="1:13" ht="15.75" customHeight="1" x14ac:dyDescent="0.2">
      <c r="A27" s="7" t="s">
        <v>40</v>
      </c>
      <c r="B27" s="7">
        <v>100</v>
      </c>
      <c r="C27" s="7">
        <v>5.6539999999999999</v>
      </c>
      <c r="D27" s="7">
        <v>-8.2000000000000003E-2</v>
      </c>
      <c r="E27" s="7">
        <v>4.0170000000000003</v>
      </c>
      <c r="F27" s="7">
        <v>8.0000000000000004E-4</v>
      </c>
      <c r="G27" s="7">
        <v>4.0179999999999998</v>
      </c>
      <c r="H27" s="7">
        <v>9.5999999999999992E-3</v>
      </c>
      <c r="I27" s="7">
        <v>18.9984</v>
      </c>
      <c r="J27" s="14">
        <v>1.696E-3</v>
      </c>
      <c r="K27" s="14">
        <v>5.3759000000000001E-2</v>
      </c>
      <c r="L27" s="9">
        <f t="shared" si="1"/>
        <v>1691846704074.6519</v>
      </c>
      <c r="M27" s="9">
        <f t="shared" si="2"/>
        <v>253495031160.51874</v>
      </c>
    </row>
    <row r="28" spans="1:13" ht="15.75" customHeight="1" x14ac:dyDescent="0.2">
      <c r="A28" s="7" t="s">
        <v>41</v>
      </c>
      <c r="B28" s="7" t="s">
        <v>13</v>
      </c>
      <c r="C28" s="7">
        <v>4.5659999999999998</v>
      </c>
      <c r="D28" s="7" t="s">
        <v>13</v>
      </c>
      <c r="E28" s="7">
        <v>2.62</v>
      </c>
      <c r="F28" s="7">
        <v>8.0000000000000002E-3</v>
      </c>
      <c r="G28" s="7">
        <v>2.6280000000000001</v>
      </c>
      <c r="H28" s="7">
        <v>3.9E-2</v>
      </c>
      <c r="I28" s="7">
        <v>20.178999999999998</v>
      </c>
      <c r="J28" s="14">
        <v>9.01E-4</v>
      </c>
      <c r="K28" s="14">
        <v>2.6887999999999999E-2</v>
      </c>
      <c r="L28" s="9">
        <f t="shared" si="1"/>
        <v>6471005523920.2012</v>
      </c>
      <c r="M28" s="9">
        <f t="shared" si="2"/>
        <v>2386639575796.6201</v>
      </c>
    </row>
    <row r="29" spans="1:13" ht="15.75" customHeight="1" x14ac:dyDescent="0.2">
      <c r="A29" s="7" t="s">
        <v>42</v>
      </c>
      <c r="B29" s="7">
        <v>90.51</v>
      </c>
      <c r="C29" s="7">
        <v>4.6310000000000002</v>
      </c>
      <c r="D29" s="7">
        <v>0</v>
      </c>
      <c r="E29" s="7">
        <v>2.6949999999999998</v>
      </c>
      <c r="F29" s="7">
        <v>0</v>
      </c>
      <c r="G29" s="7">
        <v>2.6949999999999998</v>
      </c>
      <c r="H29" s="7">
        <v>3.5999999999999997E-2</v>
      </c>
      <c r="I29" s="7">
        <v>20</v>
      </c>
      <c r="L29" s="9">
        <f t="shared" si="1"/>
        <v>6026696329254.7266</v>
      </c>
      <c r="M29" s="9">
        <f t="shared" si="2"/>
        <v>0</v>
      </c>
    </row>
    <row r="30" spans="1:13" ht="15.75" customHeight="1" x14ac:dyDescent="0.2">
      <c r="A30" s="7" t="s">
        <v>43</v>
      </c>
      <c r="B30" s="7">
        <v>0.27</v>
      </c>
      <c r="C30" s="7">
        <v>6.66</v>
      </c>
      <c r="D30" s="7" t="s">
        <v>44</v>
      </c>
      <c r="E30" s="7">
        <v>5.6</v>
      </c>
      <c r="F30" s="7">
        <v>0.05</v>
      </c>
      <c r="G30" s="7">
        <v>5.7</v>
      </c>
      <c r="H30" s="7">
        <v>0.67</v>
      </c>
      <c r="I30" s="7">
        <v>21</v>
      </c>
      <c r="L30" s="9">
        <f t="shared" si="1"/>
        <v>106822395253985.89</v>
      </c>
      <c r="M30" s="9">
        <f t="shared" si="2"/>
        <v>14333333333333.334</v>
      </c>
    </row>
    <row r="31" spans="1:13" ht="15.75" customHeight="1" x14ac:dyDescent="0.2">
      <c r="A31" s="7" t="s">
        <v>45</v>
      </c>
      <c r="B31" s="7">
        <v>9.2200000000000006</v>
      </c>
      <c r="C31" s="7">
        <v>3.87</v>
      </c>
      <c r="D31" s="7">
        <v>0</v>
      </c>
      <c r="E31" s="7">
        <v>1.88</v>
      </c>
      <c r="F31" s="7">
        <v>0</v>
      </c>
      <c r="G31" s="7">
        <v>1.88</v>
      </c>
      <c r="H31" s="7">
        <v>4.5999999999999999E-2</v>
      </c>
      <c r="I31" s="7">
        <v>22</v>
      </c>
      <c r="L31" s="9">
        <f t="shared" si="1"/>
        <v>7000707857215.0869</v>
      </c>
      <c r="M31" s="9">
        <f t="shared" si="2"/>
        <v>0</v>
      </c>
    </row>
    <row r="32" spans="1:13" ht="15.75" customHeight="1" x14ac:dyDescent="0.2">
      <c r="A32" s="7" t="s">
        <v>46</v>
      </c>
      <c r="B32" s="7">
        <v>100</v>
      </c>
      <c r="C32" s="7">
        <v>3.63</v>
      </c>
      <c r="D32" s="7">
        <v>3.59</v>
      </c>
      <c r="E32" s="7">
        <v>1.66</v>
      </c>
      <c r="F32" s="7">
        <v>1.62</v>
      </c>
      <c r="G32" s="7">
        <v>3.28</v>
      </c>
      <c r="H32" s="7">
        <v>0.53</v>
      </c>
      <c r="I32" s="7">
        <v>22.989799999999999</v>
      </c>
      <c r="J32" s="14">
        <v>0.97</v>
      </c>
      <c r="K32" s="14">
        <v>25.405999999999999</v>
      </c>
      <c r="L32" s="9">
        <f t="shared" si="1"/>
        <v>77187589822563.938</v>
      </c>
      <c r="M32" s="9">
        <f t="shared" si="2"/>
        <v>424205517229380</v>
      </c>
    </row>
    <row r="33" spans="1:13" ht="15.75" customHeight="1" x14ac:dyDescent="0.2">
      <c r="A33" s="7" t="s">
        <v>47</v>
      </c>
      <c r="B33" s="7" t="s">
        <v>13</v>
      </c>
      <c r="C33" s="7">
        <v>5.375</v>
      </c>
      <c r="D33" s="7" t="s">
        <v>13</v>
      </c>
      <c r="E33" s="7">
        <v>3.6309999999999998</v>
      </c>
      <c r="F33" s="7">
        <v>0.08</v>
      </c>
      <c r="G33" s="7">
        <v>3.71</v>
      </c>
      <c r="H33" s="7">
        <v>6.3E-2</v>
      </c>
      <c r="I33" s="7">
        <v>24.305</v>
      </c>
      <c r="J33" s="14">
        <v>1.74</v>
      </c>
      <c r="K33" s="14">
        <v>43.112000000000002</v>
      </c>
      <c r="L33" s="9">
        <f t="shared" si="1"/>
        <v>8678641083065.8467</v>
      </c>
      <c r="M33" s="9">
        <f t="shared" si="2"/>
        <v>19814852910923.676</v>
      </c>
    </row>
    <row r="34" spans="1:13" ht="15.75" customHeight="1" x14ac:dyDescent="0.2">
      <c r="A34" s="7" t="s">
        <v>48</v>
      </c>
      <c r="B34" s="7">
        <v>78.989999999999995</v>
      </c>
      <c r="C34" s="7">
        <v>5.66</v>
      </c>
      <c r="D34" s="7">
        <v>0</v>
      </c>
      <c r="E34" s="7">
        <v>4.03</v>
      </c>
      <c r="F34" s="7">
        <v>0</v>
      </c>
      <c r="G34" s="7">
        <v>4.03</v>
      </c>
      <c r="H34" s="7">
        <v>0.05</v>
      </c>
      <c r="I34" s="7">
        <v>24</v>
      </c>
      <c r="L34" s="9">
        <f t="shared" si="1"/>
        <v>6975342973674.4521</v>
      </c>
      <c r="M34" s="9">
        <f t="shared" si="2"/>
        <v>0</v>
      </c>
    </row>
    <row r="35" spans="1:13" ht="15.75" customHeight="1" x14ac:dyDescent="0.2">
      <c r="A35" s="7" t="s">
        <v>49</v>
      </c>
      <c r="B35" s="7">
        <v>10</v>
      </c>
      <c r="C35" s="7">
        <v>3.62</v>
      </c>
      <c r="D35" s="7">
        <v>1.48</v>
      </c>
      <c r="E35" s="7">
        <v>1.65</v>
      </c>
      <c r="F35" s="7">
        <v>0.28000000000000003</v>
      </c>
      <c r="G35" s="7">
        <v>1.93</v>
      </c>
      <c r="H35" s="7">
        <v>0.19</v>
      </c>
      <c r="I35" s="7">
        <v>25</v>
      </c>
      <c r="L35" s="9">
        <f t="shared" si="1"/>
        <v>25446051167964.406</v>
      </c>
      <c r="M35" s="9">
        <f t="shared" si="2"/>
        <v>67423999999999.992</v>
      </c>
    </row>
    <row r="36" spans="1:13" ht="15.75" customHeight="1" x14ac:dyDescent="0.2">
      <c r="A36" s="7" t="s">
        <v>50</v>
      </c>
      <c r="B36" s="7">
        <v>11.01</v>
      </c>
      <c r="C36" s="7">
        <v>4.8899999999999997</v>
      </c>
      <c r="D36" s="7">
        <v>0</v>
      </c>
      <c r="E36" s="7">
        <v>3</v>
      </c>
      <c r="F36" s="7">
        <v>0</v>
      </c>
      <c r="G36" s="7">
        <v>3</v>
      </c>
      <c r="H36" s="7">
        <v>3.8199999999999998E-2</v>
      </c>
      <c r="I36" s="7">
        <v>26</v>
      </c>
      <c r="L36" s="9">
        <f t="shared" si="1"/>
        <v>4919226490972.874</v>
      </c>
      <c r="M36" s="9">
        <f t="shared" si="2"/>
        <v>0</v>
      </c>
    </row>
    <row r="37" spans="1:13" ht="15.75" customHeight="1" x14ac:dyDescent="0.2">
      <c r="A37" s="7" t="s">
        <v>51</v>
      </c>
      <c r="B37" s="7">
        <v>100</v>
      </c>
      <c r="C37" s="7">
        <v>3.4489999999999998</v>
      </c>
      <c r="D37" s="7">
        <v>0.25600000000000001</v>
      </c>
      <c r="E37" s="7">
        <v>1.4950000000000001</v>
      </c>
      <c r="F37" s="7">
        <v>8.2000000000000007E-3</v>
      </c>
      <c r="G37" s="7">
        <v>1.5029999999999999</v>
      </c>
      <c r="H37" s="7">
        <v>0.23100000000000001</v>
      </c>
      <c r="I37" s="7">
        <v>26.9815</v>
      </c>
      <c r="J37" s="14">
        <v>2.702</v>
      </c>
      <c r="K37" s="14">
        <v>60.305999999999997</v>
      </c>
      <c r="L37" s="9">
        <f t="shared" si="1"/>
        <v>28665049345700.691</v>
      </c>
      <c r="M37" s="9">
        <f t="shared" si="2"/>
        <v>1829549876767.4148</v>
      </c>
    </row>
    <row r="38" spans="1:13" ht="15.75" customHeight="1" x14ac:dyDescent="0.2">
      <c r="A38" s="7" t="s">
        <v>52</v>
      </c>
      <c r="B38" s="7" t="s">
        <v>13</v>
      </c>
      <c r="C38" s="7">
        <v>4.1490999999999998</v>
      </c>
      <c r="D38" s="7" t="s">
        <v>13</v>
      </c>
      <c r="E38" s="7">
        <v>2.1629999999999998</v>
      </c>
      <c r="F38" s="7">
        <v>4.0000000000000001E-3</v>
      </c>
      <c r="G38" s="7">
        <v>2.1669999999999998</v>
      </c>
      <c r="H38" s="7">
        <v>0.17100000000000001</v>
      </c>
      <c r="I38" s="7">
        <v>28.0855</v>
      </c>
      <c r="J38" s="14">
        <v>2.33</v>
      </c>
      <c r="K38" s="14">
        <v>49.959000000000003</v>
      </c>
      <c r="L38" s="9">
        <f t="shared" si="1"/>
        <v>20385471196140.32</v>
      </c>
      <c r="M38" s="9">
        <f t="shared" si="2"/>
        <v>857381923056.38123</v>
      </c>
    </row>
    <row r="39" spans="1:13" ht="15.75" customHeight="1" x14ac:dyDescent="0.2">
      <c r="A39" s="7" t="s">
        <v>53</v>
      </c>
      <c r="B39" s="7">
        <v>92.23</v>
      </c>
      <c r="C39" s="7">
        <v>4.1070000000000002</v>
      </c>
      <c r="D39" s="7">
        <v>0</v>
      </c>
      <c r="E39" s="7">
        <v>2.12</v>
      </c>
      <c r="F39" s="7">
        <v>0</v>
      </c>
      <c r="G39" s="7">
        <v>2.12</v>
      </c>
      <c r="H39" s="7">
        <v>0.17699999999999999</v>
      </c>
      <c r="I39" s="7">
        <v>28</v>
      </c>
      <c r="L39" s="9">
        <f t="shared" si="1"/>
        <v>21165183537263.621</v>
      </c>
      <c r="M39" s="9">
        <f t="shared" si="2"/>
        <v>0</v>
      </c>
    </row>
    <row r="40" spans="1:13" ht="15.75" customHeight="1" x14ac:dyDescent="0.2">
      <c r="A40" s="7" t="s">
        <v>54</v>
      </c>
      <c r="B40" s="7">
        <v>4.67</v>
      </c>
      <c r="C40" s="7">
        <v>4.7</v>
      </c>
      <c r="D40" s="7">
        <v>0.09</v>
      </c>
      <c r="E40" s="7">
        <v>2.78</v>
      </c>
      <c r="F40" s="7">
        <v>1E-3</v>
      </c>
      <c r="G40" s="7">
        <v>2.78</v>
      </c>
      <c r="H40" s="7">
        <v>0.10100000000000001</v>
      </c>
      <c r="I40" s="7">
        <v>29</v>
      </c>
      <c r="L40" s="9">
        <f t="shared" si="1"/>
        <v>11660849219439.223</v>
      </c>
      <c r="M40" s="9">
        <f t="shared" si="2"/>
        <v>207586206896.5517</v>
      </c>
    </row>
    <row r="41" spans="1:13" ht="15.75" customHeight="1" x14ac:dyDescent="0.2">
      <c r="A41" s="7" t="s">
        <v>55</v>
      </c>
      <c r="B41" s="7">
        <v>3.1</v>
      </c>
      <c r="C41" s="7">
        <v>4.58</v>
      </c>
      <c r="D41" s="7">
        <v>0</v>
      </c>
      <c r="E41" s="7">
        <v>2.64</v>
      </c>
      <c r="F41" s="7">
        <v>0</v>
      </c>
      <c r="G41" s="7">
        <v>2.64</v>
      </c>
      <c r="H41" s="7">
        <v>0.107</v>
      </c>
      <c r="I41" s="7">
        <v>30</v>
      </c>
      <c r="L41" s="9">
        <f t="shared" si="1"/>
        <v>11941787170930.662</v>
      </c>
      <c r="M41" s="9">
        <f t="shared" si="2"/>
        <v>0</v>
      </c>
    </row>
    <row r="42" spans="1:13" ht="15.75" customHeight="1" x14ac:dyDescent="0.2">
      <c r="A42" s="7" t="s">
        <v>56</v>
      </c>
      <c r="B42" s="7">
        <v>100</v>
      </c>
      <c r="C42" s="7">
        <v>5.13</v>
      </c>
      <c r="D42" s="7">
        <v>0.2</v>
      </c>
      <c r="E42" s="7">
        <v>3.3069999999999999</v>
      </c>
      <c r="F42" s="7">
        <v>5.0000000000000001E-3</v>
      </c>
      <c r="G42" s="7">
        <v>3.3119999999999998</v>
      </c>
      <c r="H42" s="7">
        <v>0.17199999999999999</v>
      </c>
      <c r="I42" s="7">
        <v>30.973800000000001</v>
      </c>
      <c r="J42" s="14">
        <v>2.2999999999999998</v>
      </c>
      <c r="K42" s="14">
        <v>44.716999999999999</v>
      </c>
      <c r="L42" s="9">
        <f t="shared" si="1"/>
        <v>18592627185123</v>
      </c>
      <c r="M42" s="9">
        <f t="shared" si="2"/>
        <v>971789060431.7196</v>
      </c>
    </row>
    <row r="43" spans="1:13" ht="15.75" customHeight="1" x14ac:dyDescent="0.2">
      <c r="A43" s="7" t="s">
        <v>57</v>
      </c>
      <c r="B43" s="7" t="s">
        <v>13</v>
      </c>
      <c r="C43" s="7">
        <v>2.847</v>
      </c>
      <c r="D43" s="7" t="s">
        <v>13</v>
      </c>
      <c r="E43" s="7">
        <v>1.0185999999999999</v>
      </c>
      <c r="F43" s="7">
        <v>7.0000000000000001E-3</v>
      </c>
      <c r="G43" s="7">
        <v>1.026</v>
      </c>
      <c r="H43" s="7">
        <v>0.53</v>
      </c>
      <c r="I43" s="7">
        <v>32.06</v>
      </c>
      <c r="J43" s="14">
        <v>2.0699999999999998</v>
      </c>
      <c r="K43" s="14">
        <v>38.881999999999998</v>
      </c>
      <c r="L43" s="9">
        <f t="shared" si="1"/>
        <v>55350195025039.938</v>
      </c>
      <c r="M43" s="9">
        <f t="shared" si="2"/>
        <v>1314410480349.345</v>
      </c>
    </row>
    <row r="44" spans="1:13" ht="15.75" customHeight="1" x14ac:dyDescent="0.2">
      <c r="A44" s="7" t="s">
        <v>58</v>
      </c>
      <c r="B44" s="7">
        <v>95.02</v>
      </c>
      <c r="C44" s="7">
        <v>2.8039999999999998</v>
      </c>
      <c r="D44" s="7">
        <v>0</v>
      </c>
      <c r="E44" s="7">
        <v>0.98799999999999999</v>
      </c>
      <c r="F44" s="7">
        <v>0</v>
      </c>
      <c r="G44" s="7">
        <v>0.98799999999999999</v>
      </c>
      <c r="H44" s="7">
        <v>0.54</v>
      </c>
      <c r="I44" s="7">
        <v>32</v>
      </c>
      <c r="L44" s="9">
        <f t="shared" si="1"/>
        <v>56500278086763.063</v>
      </c>
      <c r="M44" s="9">
        <f t="shared" si="2"/>
        <v>0</v>
      </c>
    </row>
    <row r="45" spans="1:13" ht="15.75" customHeight="1" x14ac:dyDescent="0.2">
      <c r="A45" s="7" t="s">
        <v>59</v>
      </c>
      <c r="B45" s="7">
        <v>0.75</v>
      </c>
      <c r="C45" s="7">
        <v>4.74</v>
      </c>
      <c r="D45" s="7">
        <v>1.5</v>
      </c>
      <c r="E45" s="7">
        <v>2.8</v>
      </c>
      <c r="F45" s="7">
        <v>0.3</v>
      </c>
      <c r="G45" s="7">
        <v>3.1</v>
      </c>
      <c r="H45" s="7">
        <v>0.54</v>
      </c>
      <c r="I45" s="7">
        <v>33</v>
      </c>
      <c r="L45" s="9">
        <f t="shared" si="1"/>
        <v>54788148447770.242</v>
      </c>
      <c r="M45" s="9">
        <f t="shared" si="2"/>
        <v>54727272727272.711</v>
      </c>
    </row>
    <row r="46" spans="1:13" ht="15.75" customHeight="1" x14ac:dyDescent="0.2">
      <c r="A46" s="7" t="s">
        <v>60</v>
      </c>
      <c r="B46" s="7">
        <v>4.21</v>
      </c>
      <c r="C46" s="7">
        <v>3.48</v>
      </c>
      <c r="D46" s="7">
        <v>0</v>
      </c>
      <c r="E46" s="7">
        <v>1.52</v>
      </c>
      <c r="F46" s="7">
        <v>0</v>
      </c>
      <c r="G46" s="7">
        <v>1.52</v>
      </c>
      <c r="H46" s="7">
        <v>0.22700000000000001</v>
      </c>
      <c r="I46" s="7">
        <v>34</v>
      </c>
      <c r="L46" s="9">
        <f t="shared" si="1"/>
        <v>22353922659163.777</v>
      </c>
      <c r="M46" s="9">
        <f t="shared" si="2"/>
        <v>0</v>
      </c>
    </row>
    <row r="47" spans="1:13" ht="15.75" customHeight="1" x14ac:dyDescent="0.2">
      <c r="A47" s="7" t="s">
        <v>61</v>
      </c>
      <c r="B47" s="7">
        <v>0.02</v>
      </c>
      <c r="C47" s="7">
        <v>3</v>
      </c>
      <c r="D47" s="7">
        <v>0</v>
      </c>
      <c r="E47" s="7">
        <v>1.1000000000000001</v>
      </c>
      <c r="F47" s="7">
        <v>0</v>
      </c>
      <c r="G47" s="7">
        <v>1.1000000000000001</v>
      </c>
      <c r="H47" s="7">
        <v>0.15</v>
      </c>
      <c r="I47" s="7">
        <v>36</v>
      </c>
      <c r="L47" s="9">
        <f t="shared" si="1"/>
        <v>13950685947348.902</v>
      </c>
      <c r="M47" s="9">
        <f t="shared" si="2"/>
        <v>0</v>
      </c>
    </row>
    <row r="48" spans="1:13" ht="15.75" customHeight="1" x14ac:dyDescent="0.2">
      <c r="A48" s="7" t="s">
        <v>62</v>
      </c>
      <c r="B48" s="7" t="s">
        <v>13</v>
      </c>
      <c r="C48" s="7">
        <v>9.577</v>
      </c>
      <c r="D48" s="7" t="s">
        <v>13</v>
      </c>
      <c r="E48" s="7">
        <v>11.525700000000001</v>
      </c>
      <c r="F48" s="7">
        <v>5.3</v>
      </c>
      <c r="G48" s="7">
        <v>16.8</v>
      </c>
      <c r="H48" s="7">
        <v>33.5</v>
      </c>
      <c r="I48" s="7">
        <v>35.453000000000003</v>
      </c>
      <c r="J48" s="14">
        <v>3.1700000000000001E-3</v>
      </c>
      <c r="K48" s="14">
        <v>5.3844999999999997E-2</v>
      </c>
      <c r="L48" s="9">
        <f t="shared" si="1"/>
        <v>3163724226911267.5</v>
      </c>
      <c r="M48" s="9">
        <f t="shared" si="2"/>
        <v>899952049191887.5</v>
      </c>
    </row>
    <row r="49" spans="1:13" ht="15.75" customHeight="1" x14ac:dyDescent="0.2">
      <c r="A49" s="7" t="s">
        <v>63</v>
      </c>
      <c r="B49" s="7">
        <v>75.77</v>
      </c>
      <c r="C49" s="7">
        <v>11.65</v>
      </c>
      <c r="D49" s="7">
        <v>6.1</v>
      </c>
      <c r="E49" s="7">
        <v>17.059999999999999</v>
      </c>
      <c r="F49" s="7">
        <v>4.7</v>
      </c>
      <c r="G49" s="7">
        <v>21.8</v>
      </c>
      <c r="H49" s="7">
        <v>44.1</v>
      </c>
      <c r="I49" s="7">
        <v>35</v>
      </c>
      <c r="L49" s="9">
        <f t="shared" si="1"/>
        <v>4218687430478308.5</v>
      </c>
      <c r="M49" s="9">
        <f t="shared" si="2"/>
        <v>808400000000000</v>
      </c>
    </row>
    <row r="50" spans="1:13" ht="15.75" customHeight="1" x14ac:dyDescent="0.2">
      <c r="A50" s="7" t="s">
        <v>64</v>
      </c>
      <c r="B50" s="7">
        <v>24.23</v>
      </c>
      <c r="C50" s="7">
        <v>3.08</v>
      </c>
      <c r="D50" s="7">
        <v>0.1</v>
      </c>
      <c r="E50" s="7">
        <v>1.19</v>
      </c>
      <c r="F50" s="7">
        <v>1E-3</v>
      </c>
      <c r="G50" s="7">
        <v>1.19</v>
      </c>
      <c r="H50" s="7">
        <v>0.433</v>
      </c>
      <c r="I50" s="7">
        <v>37</v>
      </c>
      <c r="L50" s="9">
        <f t="shared" si="1"/>
        <v>39182575233743.188</v>
      </c>
      <c r="M50" s="9">
        <f t="shared" si="2"/>
        <v>162702702702.70267</v>
      </c>
    </row>
    <row r="51" spans="1:13" ht="15.75" customHeight="1" x14ac:dyDescent="0.2">
      <c r="A51" s="7" t="s">
        <v>65</v>
      </c>
      <c r="B51" s="7" t="s">
        <v>13</v>
      </c>
      <c r="C51" s="7">
        <v>1.909</v>
      </c>
      <c r="D51" s="7" t="s">
        <v>13</v>
      </c>
      <c r="E51" s="7">
        <v>0.45800000000000002</v>
      </c>
      <c r="F51" s="7">
        <v>0.22500000000000001</v>
      </c>
      <c r="G51" s="7">
        <v>0.68300000000000005</v>
      </c>
      <c r="H51" s="7">
        <v>0.67500000000000004</v>
      </c>
      <c r="I51" s="7">
        <v>39.948</v>
      </c>
      <c r="J51" s="14">
        <v>1.784E-3</v>
      </c>
      <c r="K51" s="14">
        <v>2.6893E-2</v>
      </c>
      <c r="L51" s="9">
        <f t="shared" si="1"/>
        <v>56573824058038.516</v>
      </c>
      <c r="M51" s="9">
        <f t="shared" si="2"/>
        <v>33906578552117.754</v>
      </c>
    </row>
    <row r="52" spans="1:13" ht="15.75" customHeight="1" x14ac:dyDescent="0.2">
      <c r="A52" s="7" t="s">
        <v>66</v>
      </c>
      <c r="B52" s="7">
        <v>0.33700000000000002</v>
      </c>
      <c r="C52" s="7">
        <v>24.9</v>
      </c>
      <c r="D52" s="7">
        <v>0</v>
      </c>
      <c r="E52" s="7">
        <v>77.900000000000006</v>
      </c>
      <c r="F52" s="7">
        <v>0</v>
      </c>
      <c r="G52" s="7">
        <v>77.900000000000006</v>
      </c>
      <c r="H52" s="7">
        <v>5.2</v>
      </c>
      <c r="I52" s="7">
        <v>36</v>
      </c>
      <c r="L52" s="9">
        <f t="shared" si="1"/>
        <v>483623779508095.31</v>
      </c>
      <c r="M52" s="9">
        <f t="shared" si="2"/>
        <v>0</v>
      </c>
    </row>
    <row r="53" spans="1:13" ht="15.75" customHeight="1" x14ac:dyDescent="0.2">
      <c r="A53" s="7" t="s">
        <v>67</v>
      </c>
      <c r="B53" s="7">
        <v>6.3E-2</v>
      </c>
      <c r="C53" s="7">
        <v>3.5</v>
      </c>
      <c r="D53" s="7">
        <v>0</v>
      </c>
      <c r="E53" s="7" t="s">
        <v>68</v>
      </c>
      <c r="F53" s="7">
        <v>0</v>
      </c>
      <c r="G53" s="7" t="s">
        <v>68</v>
      </c>
      <c r="H53" s="7">
        <v>0.8</v>
      </c>
      <c r="I53" s="7">
        <v>38</v>
      </c>
      <c r="L53" s="9">
        <f t="shared" si="1"/>
        <v>70487676365552.359</v>
      </c>
      <c r="M53" s="9">
        <f t="shared" si="2"/>
        <v>0</v>
      </c>
    </row>
    <row r="54" spans="1:13" ht="15.75" customHeight="1" x14ac:dyDescent="0.2">
      <c r="A54" s="7" t="s">
        <v>69</v>
      </c>
      <c r="B54" s="7">
        <v>99.6</v>
      </c>
      <c r="C54" s="7">
        <v>1.83</v>
      </c>
      <c r="D54" s="7">
        <v>0</v>
      </c>
      <c r="E54" s="7">
        <v>0.42099999999999999</v>
      </c>
      <c r="F54" s="7">
        <v>0</v>
      </c>
      <c r="G54" s="7">
        <v>0.42099999999999999</v>
      </c>
      <c r="H54" s="7">
        <v>0.66</v>
      </c>
      <c r="I54" s="7">
        <v>40</v>
      </c>
      <c r="L54" s="9">
        <f t="shared" si="1"/>
        <v>55244716351501.656</v>
      </c>
      <c r="M54" s="9">
        <f t="shared" si="2"/>
        <v>0</v>
      </c>
    </row>
    <row r="55" spans="1:13" ht="15.75" customHeight="1" x14ac:dyDescent="0.2">
      <c r="A55" s="7" t="s">
        <v>70</v>
      </c>
      <c r="B55" s="7" t="s">
        <v>13</v>
      </c>
      <c r="C55" s="7">
        <v>3.67</v>
      </c>
      <c r="D55" s="7" t="s">
        <v>13</v>
      </c>
      <c r="E55" s="7">
        <v>1.69</v>
      </c>
      <c r="F55" s="7">
        <v>0.27</v>
      </c>
      <c r="G55" s="7">
        <v>1.96</v>
      </c>
      <c r="H55" s="7">
        <v>2.1</v>
      </c>
      <c r="I55" s="7">
        <v>39.096299999999999</v>
      </c>
      <c r="J55" s="14">
        <v>0.86</v>
      </c>
      <c r="K55" s="14">
        <v>13.246</v>
      </c>
      <c r="L55" s="9">
        <f t="shared" si="1"/>
        <v>179841716926252.56</v>
      </c>
      <c r="M55" s="9">
        <f t="shared" si="2"/>
        <v>41574266618580.273</v>
      </c>
    </row>
    <row r="56" spans="1:13" ht="15.75" customHeight="1" x14ac:dyDescent="0.2">
      <c r="A56" s="7" t="s">
        <v>71</v>
      </c>
      <c r="B56" s="7">
        <v>93.257999999999996</v>
      </c>
      <c r="C56" s="7">
        <v>3.74</v>
      </c>
      <c r="D56" s="7">
        <v>1.4</v>
      </c>
      <c r="E56" s="7">
        <v>1.76</v>
      </c>
      <c r="F56" s="7">
        <v>0.25</v>
      </c>
      <c r="G56" s="7">
        <v>2.0099999999999998</v>
      </c>
      <c r="H56" s="7">
        <v>2.1</v>
      </c>
      <c r="I56" s="7">
        <v>39</v>
      </c>
      <c r="L56" s="9">
        <f t="shared" si="1"/>
        <v>180285787627278.16</v>
      </c>
      <c r="M56" s="9">
        <f t="shared" si="2"/>
        <v>38589743589743.586</v>
      </c>
    </row>
    <row r="57" spans="1:13" ht="15.75" customHeight="1" x14ac:dyDescent="0.2">
      <c r="A57" s="7" t="s">
        <v>72</v>
      </c>
      <c r="B57" s="7">
        <v>1.2E-2</v>
      </c>
      <c r="C57" s="7">
        <v>3</v>
      </c>
      <c r="D57" s="7" t="s">
        <v>13</v>
      </c>
      <c r="E57" s="7">
        <v>1.1000000000000001</v>
      </c>
      <c r="F57" s="7">
        <v>0.5</v>
      </c>
      <c r="G57" s="7">
        <v>1.6</v>
      </c>
      <c r="H57" s="7">
        <v>35</v>
      </c>
      <c r="I57" s="7">
        <v>40</v>
      </c>
      <c r="L57" s="9">
        <f t="shared" si="1"/>
        <v>2929644048943269</v>
      </c>
      <c r="M57" s="9">
        <f t="shared" si="2"/>
        <v>75249999999999.984</v>
      </c>
    </row>
    <row r="58" spans="1:13" ht="15.75" customHeight="1" x14ac:dyDescent="0.2">
      <c r="A58" s="7" t="s">
        <v>73</v>
      </c>
      <c r="B58" s="7">
        <v>6.73</v>
      </c>
      <c r="C58" s="7">
        <v>2.69</v>
      </c>
      <c r="D58" s="7">
        <v>1.5</v>
      </c>
      <c r="E58" s="7">
        <v>0.91</v>
      </c>
      <c r="F58" s="7">
        <v>0.3</v>
      </c>
      <c r="G58" s="7">
        <v>1.2</v>
      </c>
      <c r="H58" s="7">
        <v>1.46</v>
      </c>
      <c r="I58" s="7">
        <v>41</v>
      </c>
      <c r="L58" s="9">
        <f t="shared" si="1"/>
        <v>119227325754903.81</v>
      </c>
      <c r="M58" s="9">
        <f t="shared" si="2"/>
        <v>44048780487804.867</v>
      </c>
    </row>
    <row r="59" spans="1:13" ht="15.75" customHeight="1" x14ac:dyDescent="0.2">
      <c r="A59" s="7" t="s">
        <v>74</v>
      </c>
      <c r="B59" s="7" t="s">
        <v>13</v>
      </c>
      <c r="C59" s="7">
        <v>4.7</v>
      </c>
      <c r="D59" s="7" t="s">
        <v>13</v>
      </c>
      <c r="E59" s="7">
        <v>2.78</v>
      </c>
      <c r="F59" s="7">
        <v>0.05</v>
      </c>
      <c r="G59" s="7">
        <v>2.83</v>
      </c>
      <c r="H59" s="7">
        <v>0.43</v>
      </c>
      <c r="I59" s="7">
        <v>40.08</v>
      </c>
      <c r="J59" s="14">
        <v>1.54</v>
      </c>
      <c r="K59" s="14">
        <v>23.138000000000002</v>
      </c>
      <c r="L59" s="9">
        <f t="shared" si="1"/>
        <v>35920927888383.406</v>
      </c>
      <c r="M59" s="9">
        <f t="shared" si="2"/>
        <v>7509980039920.1602</v>
      </c>
    </row>
    <row r="60" spans="1:13" ht="15.75" customHeight="1" x14ac:dyDescent="0.2">
      <c r="A60" s="7" t="s">
        <v>75</v>
      </c>
      <c r="B60" s="7">
        <v>96.941000000000003</v>
      </c>
      <c r="C60" s="7">
        <v>4.8</v>
      </c>
      <c r="D60" s="7">
        <v>0</v>
      </c>
      <c r="E60" s="7">
        <v>2.9</v>
      </c>
      <c r="F60" s="7">
        <v>0</v>
      </c>
      <c r="G60" s="7">
        <v>2.9</v>
      </c>
      <c r="H60" s="7">
        <v>0.41</v>
      </c>
      <c r="I60" s="7">
        <v>40</v>
      </c>
      <c r="L60" s="9">
        <f t="shared" si="1"/>
        <v>34318687430478.301</v>
      </c>
      <c r="M60" s="9">
        <f t="shared" si="2"/>
        <v>0</v>
      </c>
    </row>
    <row r="61" spans="1:13" ht="15.75" customHeight="1" x14ac:dyDescent="0.2">
      <c r="A61" s="7" t="s">
        <v>76</v>
      </c>
      <c r="B61" s="7">
        <v>0.64700000000000002</v>
      </c>
      <c r="C61" s="7">
        <v>3.36</v>
      </c>
      <c r="D61" s="7">
        <v>0</v>
      </c>
      <c r="E61" s="7">
        <v>1.42</v>
      </c>
      <c r="F61" s="7">
        <v>0</v>
      </c>
      <c r="G61" s="7">
        <v>1.42</v>
      </c>
      <c r="H61" s="7">
        <v>0.68</v>
      </c>
      <c r="I61" s="7">
        <v>42</v>
      </c>
      <c r="L61" s="9">
        <f t="shared" si="1"/>
        <v>54208379681127.18</v>
      </c>
      <c r="M61" s="9">
        <f t="shared" si="2"/>
        <v>0</v>
      </c>
    </row>
    <row r="62" spans="1:13" ht="15.75" customHeight="1" x14ac:dyDescent="0.2">
      <c r="A62" s="7" t="s">
        <v>77</v>
      </c>
      <c r="B62" s="7">
        <v>0.13500000000000001</v>
      </c>
      <c r="C62" s="7">
        <v>-1.56</v>
      </c>
      <c r="D62" s="7" t="s">
        <v>13</v>
      </c>
      <c r="E62" s="7">
        <v>0.31</v>
      </c>
      <c r="F62" s="7">
        <v>0.5</v>
      </c>
      <c r="G62" s="7">
        <v>0.8</v>
      </c>
      <c r="H62" s="7">
        <v>6.2</v>
      </c>
      <c r="I62" s="7">
        <v>43</v>
      </c>
      <c r="L62" s="9">
        <f t="shared" si="1"/>
        <v>482758620689655.06</v>
      </c>
      <c r="M62" s="9">
        <f t="shared" si="2"/>
        <v>69999999999999.992</v>
      </c>
    </row>
    <row r="63" spans="1:13" ht="15.75" customHeight="1" x14ac:dyDescent="0.2">
      <c r="A63" s="7" t="s">
        <v>78</v>
      </c>
      <c r="B63" s="7">
        <v>2.0859999999999999</v>
      </c>
      <c r="C63" s="7">
        <v>1.42</v>
      </c>
      <c r="D63" s="7">
        <v>0</v>
      </c>
      <c r="E63" s="7">
        <v>0.25</v>
      </c>
      <c r="F63" s="7">
        <v>0</v>
      </c>
      <c r="G63" s="7">
        <v>0.25</v>
      </c>
      <c r="H63" s="7">
        <v>0.88</v>
      </c>
      <c r="I63" s="7">
        <v>44</v>
      </c>
      <c r="L63" s="9">
        <f t="shared" si="1"/>
        <v>66963292547274.75</v>
      </c>
      <c r="M63" s="9">
        <f t="shared" si="2"/>
        <v>0</v>
      </c>
    </row>
    <row r="64" spans="1:13" ht="15.75" customHeight="1" x14ac:dyDescent="0.2">
      <c r="A64" s="7" t="s">
        <v>79</v>
      </c>
      <c r="B64" s="7">
        <v>4.0000000000000001E-3</v>
      </c>
      <c r="C64" s="7">
        <v>3.6</v>
      </c>
      <c r="D64" s="7">
        <v>0</v>
      </c>
      <c r="E64" s="7">
        <v>1.6</v>
      </c>
      <c r="F64" s="7">
        <v>0</v>
      </c>
      <c r="G64" s="7">
        <v>1.6</v>
      </c>
      <c r="H64" s="7">
        <v>0.74</v>
      </c>
      <c r="I64" s="7">
        <v>46</v>
      </c>
      <c r="L64" s="9">
        <f t="shared" si="1"/>
        <v>53861778788025.328</v>
      </c>
      <c r="M64" s="9">
        <f t="shared" si="2"/>
        <v>0</v>
      </c>
    </row>
    <row r="65" spans="1:13" ht="15.75" customHeight="1" x14ac:dyDescent="0.2">
      <c r="A65" s="7" t="s">
        <v>80</v>
      </c>
      <c r="B65" s="7">
        <v>0.187</v>
      </c>
      <c r="C65" s="7">
        <v>0.39</v>
      </c>
      <c r="D65" s="7">
        <v>0</v>
      </c>
      <c r="E65" s="7">
        <v>1.9E-2</v>
      </c>
      <c r="F65" s="7">
        <v>0</v>
      </c>
      <c r="G65" s="7">
        <v>1.9E-2</v>
      </c>
      <c r="H65" s="7">
        <v>1.0900000000000001</v>
      </c>
      <c r="I65" s="7">
        <v>48</v>
      </c>
      <c r="L65" s="9">
        <f t="shared" si="1"/>
        <v>76031238413051.547</v>
      </c>
      <c r="M65" s="9">
        <f t="shared" si="2"/>
        <v>0</v>
      </c>
    </row>
    <row r="66" spans="1:13" ht="15.75" customHeight="1" x14ac:dyDescent="0.2">
      <c r="A66" s="7" t="s">
        <v>81</v>
      </c>
      <c r="B66" s="7">
        <v>100</v>
      </c>
      <c r="C66" s="7">
        <v>12.29</v>
      </c>
      <c r="D66" s="7">
        <v>-6</v>
      </c>
      <c r="E66" s="7">
        <v>19</v>
      </c>
      <c r="F66" s="7">
        <v>4.5</v>
      </c>
      <c r="G66" s="7">
        <v>23.5</v>
      </c>
      <c r="H66" s="7">
        <v>27.5</v>
      </c>
      <c r="I66" s="7">
        <v>44.9559</v>
      </c>
      <c r="J66" s="14">
        <v>2.9889999999999999</v>
      </c>
      <c r="K66" s="14">
        <v>40.039000000000001</v>
      </c>
      <c r="L66" s="9">
        <f t="shared" si="1"/>
        <v>2048107751207355.8</v>
      </c>
      <c r="M66" s="9">
        <f t="shared" si="2"/>
        <v>602590538727953.25</v>
      </c>
    </row>
    <row r="67" spans="1:13" ht="15.75" customHeight="1" x14ac:dyDescent="0.2">
      <c r="A67" s="7" t="s">
        <v>82</v>
      </c>
      <c r="B67" s="7" t="s">
        <v>13</v>
      </c>
      <c r="C67" s="7">
        <v>-3.4380000000000002</v>
      </c>
      <c r="D67" s="7" t="s">
        <v>13</v>
      </c>
      <c r="E67" s="7">
        <v>1.4850000000000001</v>
      </c>
      <c r="F67" s="7">
        <v>2.87</v>
      </c>
      <c r="G67" s="7">
        <v>4.3499999999999996</v>
      </c>
      <c r="H67" s="7">
        <v>6.09</v>
      </c>
      <c r="I67" s="7">
        <v>47.9</v>
      </c>
      <c r="J67" s="14">
        <v>4.5</v>
      </c>
      <c r="K67" s="14">
        <v>56.573999999999998</v>
      </c>
      <c r="L67" s="9">
        <f t="shared" si="1"/>
        <v>425685231328708.88</v>
      </c>
      <c r="M67" s="9">
        <f t="shared" si="2"/>
        <v>360697286012526.13</v>
      </c>
    </row>
    <row r="68" spans="1:13" ht="15.75" customHeight="1" x14ac:dyDescent="0.2">
      <c r="A68" s="7" t="s">
        <v>83</v>
      </c>
      <c r="B68" s="7">
        <v>8.1999999999999993</v>
      </c>
      <c r="C68" s="7">
        <v>4.93</v>
      </c>
      <c r="D68" s="7">
        <v>0</v>
      </c>
      <c r="E68" s="7">
        <v>3.05</v>
      </c>
      <c r="F68" s="7">
        <v>0</v>
      </c>
      <c r="G68" s="7">
        <v>3.05</v>
      </c>
      <c r="H68" s="7">
        <v>0.59</v>
      </c>
      <c r="I68" s="7">
        <v>46</v>
      </c>
      <c r="L68" s="9">
        <f t="shared" ref="L68:L131" si="3">(H68*10^-8/1.798)*6.02*10^23/I68</f>
        <v>42943850655317.492</v>
      </c>
      <c r="M68" s="9">
        <f t="shared" si="2"/>
        <v>0</v>
      </c>
    </row>
    <row r="69" spans="1:13" ht="15.75" customHeight="1" x14ac:dyDescent="0.2">
      <c r="A69" s="7" t="s">
        <v>84</v>
      </c>
      <c r="B69" s="7">
        <v>7.4</v>
      </c>
      <c r="C69" s="7">
        <v>3.63</v>
      </c>
      <c r="D69" s="7">
        <v>-3.5</v>
      </c>
      <c r="E69" s="7">
        <v>1.66</v>
      </c>
      <c r="F69" s="7">
        <v>1.5</v>
      </c>
      <c r="G69" s="7">
        <v>3.2</v>
      </c>
      <c r="H69" s="7">
        <v>1.7</v>
      </c>
      <c r="I69" s="7">
        <v>47</v>
      </c>
      <c r="L69" s="9">
        <f t="shared" si="3"/>
        <v>121103826947199</v>
      </c>
      <c r="M69" s="9">
        <f t="shared" si="2"/>
        <v>192127659574468.09</v>
      </c>
    </row>
    <row r="70" spans="1:13" ht="15.75" customHeight="1" x14ac:dyDescent="0.2">
      <c r="A70" s="7" t="s">
        <v>85</v>
      </c>
      <c r="B70" s="7">
        <v>73.8</v>
      </c>
      <c r="C70" s="7">
        <v>-6.08</v>
      </c>
      <c r="D70" s="7">
        <v>0</v>
      </c>
      <c r="E70" s="7">
        <v>4.6500000000000004</v>
      </c>
      <c r="F70" s="7">
        <v>0</v>
      </c>
      <c r="G70" s="7">
        <v>4.6500000000000004</v>
      </c>
      <c r="H70" s="7">
        <v>7.84</v>
      </c>
      <c r="I70" s="7">
        <v>48</v>
      </c>
      <c r="L70" s="9">
        <f t="shared" si="3"/>
        <v>546866889136077</v>
      </c>
      <c r="M70" s="9">
        <f t="shared" si="2"/>
        <v>0</v>
      </c>
    </row>
    <row r="71" spans="1:13" ht="15.75" customHeight="1" x14ac:dyDescent="0.2">
      <c r="A71" s="7" t="s">
        <v>86</v>
      </c>
      <c r="B71" s="7">
        <v>5.4</v>
      </c>
      <c r="C71" s="7">
        <v>1.04</v>
      </c>
      <c r="D71" s="7">
        <v>5.0999999999999996</v>
      </c>
      <c r="E71" s="7">
        <v>0.14000000000000001</v>
      </c>
      <c r="F71" s="7">
        <v>3.3</v>
      </c>
      <c r="G71" s="7">
        <v>3.4</v>
      </c>
      <c r="H71" s="7">
        <v>2.2000000000000002</v>
      </c>
      <c r="I71" s="7">
        <v>49</v>
      </c>
      <c r="L71" s="9">
        <f t="shared" si="3"/>
        <v>150325758779596.38</v>
      </c>
      <c r="M71" s="9">
        <f t="shared" si="2"/>
        <v>405428571428571.38</v>
      </c>
    </row>
    <row r="72" spans="1:13" ht="15.75" customHeight="1" x14ac:dyDescent="0.2">
      <c r="A72" s="7" t="s">
        <v>87</v>
      </c>
      <c r="B72" s="7">
        <v>5.2</v>
      </c>
      <c r="C72" s="7">
        <v>6.18</v>
      </c>
      <c r="D72" s="7">
        <v>0</v>
      </c>
      <c r="E72" s="7">
        <v>4.8</v>
      </c>
      <c r="F72" s="7">
        <v>0</v>
      </c>
      <c r="G72" s="7">
        <v>4.8</v>
      </c>
      <c r="H72" s="7">
        <v>0.17899999999999999</v>
      </c>
      <c r="I72" s="7">
        <v>50</v>
      </c>
      <c r="L72" s="9">
        <f t="shared" si="3"/>
        <v>11986429365962.178</v>
      </c>
      <c r="M72" s="9">
        <f t="shared" si="2"/>
        <v>0</v>
      </c>
    </row>
    <row r="73" spans="1:13" ht="15.75" customHeight="1" x14ac:dyDescent="0.2">
      <c r="A73" s="7" t="s">
        <v>88</v>
      </c>
      <c r="B73" s="7" t="s">
        <v>13</v>
      </c>
      <c r="C73" s="7">
        <v>-0.38240000000000002</v>
      </c>
      <c r="D73" s="7" t="s">
        <v>13</v>
      </c>
      <c r="E73" s="7">
        <v>1.84E-2</v>
      </c>
      <c r="F73" s="7">
        <v>5.08</v>
      </c>
      <c r="G73" s="7">
        <v>5.0999999999999996</v>
      </c>
      <c r="H73" s="7">
        <v>5.08</v>
      </c>
      <c r="I73" s="7">
        <v>50.941499999999998</v>
      </c>
      <c r="J73" s="14">
        <v>5.96</v>
      </c>
      <c r="K73" s="14">
        <v>70.456000000000003</v>
      </c>
      <c r="L73" s="9">
        <f t="shared" si="3"/>
        <v>333886444392249.63</v>
      </c>
      <c r="M73" s="9">
        <f t="shared" si="2"/>
        <v>600327827017264.88</v>
      </c>
    </row>
    <row r="74" spans="1:13" ht="15.75" customHeight="1" x14ac:dyDescent="0.2">
      <c r="A74" s="7" t="s">
        <v>89</v>
      </c>
      <c r="B74" s="7">
        <v>0.25</v>
      </c>
      <c r="C74" s="7">
        <v>7.6</v>
      </c>
      <c r="D74" s="7" t="s">
        <v>13</v>
      </c>
      <c r="E74" s="7" t="s">
        <v>90</v>
      </c>
      <c r="F74" s="7">
        <v>0.5</v>
      </c>
      <c r="G74" s="7" t="s">
        <v>91</v>
      </c>
      <c r="H74" s="7">
        <v>60</v>
      </c>
      <c r="I74" s="7">
        <v>50</v>
      </c>
      <c r="L74" s="9">
        <f t="shared" si="3"/>
        <v>4017797552836484</v>
      </c>
      <c r="M74" s="9">
        <f t="shared" si="2"/>
        <v>60199999999999.992</v>
      </c>
    </row>
    <row r="75" spans="1:13" ht="15.75" customHeight="1" x14ac:dyDescent="0.2">
      <c r="A75" s="7" t="s">
        <v>92</v>
      </c>
      <c r="B75" s="7">
        <v>99.75</v>
      </c>
      <c r="C75" s="7">
        <v>-0.40200000000000002</v>
      </c>
      <c r="D75" s="7">
        <v>6.35</v>
      </c>
      <c r="E75" s="7">
        <v>2.0299999999999999E-2</v>
      </c>
      <c r="F75" s="7">
        <v>5.07</v>
      </c>
      <c r="G75" s="7">
        <v>5.09</v>
      </c>
      <c r="H75" s="7">
        <v>4.9000000000000004</v>
      </c>
      <c r="I75" s="7">
        <v>51</v>
      </c>
      <c r="L75" s="9">
        <f t="shared" si="3"/>
        <v>321686405374162.94</v>
      </c>
      <c r="M75" s="9">
        <f t="shared" si="2"/>
        <v>598458823529411.75</v>
      </c>
    </row>
    <row r="76" spans="1:13" ht="15.75" customHeight="1" x14ac:dyDescent="0.2">
      <c r="A76" s="7" t="s">
        <v>93</v>
      </c>
      <c r="B76" s="7" t="s">
        <v>13</v>
      </c>
      <c r="C76" s="7">
        <v>3.6349999999999998</v>
      </c>
      <c r="D76" s="7" t="s">
        <v>13</v>
      </c>
      <c r="E76" s="7">
        <v>1.66</v>
      </c>
      <c r="F76" s="7">
        <v>1.83</v>
      </c>
      <c r="G76" s="7">
        <v>3.49</v>
      </c>
      <c r="H76" s="7">
        <v>3.05</v>
      </c>
      <c r="I76" s="7">
        <v>51.996000000000002</v>
      </c>
      <c r="J76" s="14">
        <v>7.2</v>
      </c>
      <c r="K76" s="14">
        <v>83.388000000000005</v>
      </c>
      <c r="L76" s="9">
        <f t="shared" si="3"/>
        <v>196397840477332.81</v>
      </c>
      <c r="M76" s="9">
        <f t="shared" si="2"/>
        <v>211873990306946.69</v>
      </c>
    </row>
    <row r="77" spans="1:13" ht="15.75" customHeight="1" x14ac:dyDescent="0.2">
      <c r="A77" s="7" t="s">
        <v>94</v>
      </c>
      <c r="B77" s="7">
        <v>4.3499999999999996</v>
      </c>
      <c r="C77" s="7">
        <v>-4.5</v>
      </c>
      <c r="D77" s="7">
        <v>0</v>
      </c>
      <c r="E77" s="7">
        <v>2.54</v>
      </c>
      <c r="F77" s="7">
        <v>0</v>
      </c>
      <c r="G77" s="7">
        <v>2.54</v>
      </c>
      <c r="H77" s="7">
        <v>15.8</v>
      </c>
      <c r="I77" s="7">
        <v>50</v>
      </c>
      <c r="L77" s="9">
        <f t="shared" si="3"/>
        <v>1058020022246941</v>
      </c>
      <c r="M77" s="9">
        <f t="shared" si="2"/>
        <v>0</v>
      </c>
    </row>
    <row r="78" spans="1:13" ht="15.75" customHeight="1" x14ac:dyDescent="0.2">
      <c r="A78" s="7" t="s">
        <v>95</v>
      </c>
      <c r="B78" s="7">
        <v>83.79</v>
      </c>
      <c r="C78" s="7">
        <v>4.92</v>
      </c>
      <c r="D78" s="7">
        <v>0</v>
      </c>
      <c r="E78" s="7">
        <v>3.0419999999999998</v>
      </c>
      <c r="F78" s="7">
        <v>0</v>
      </c>
      <c r="G78" s="7">
        <v>3.0419999999999998</v>
      </c>
      <c r="H78" s="7">
        <v>0.76</v>
      </c>
      <c r="I78" s="7">
        <v>52</v>
      </c>
      <c r="L78" s="9">
        <f t="shared" si="3"/>
        <v>48934713784546.93</v>
      </c>
      <c r="M78" s="9">
        <f t="shared" ref="M78:M141" si="4">F78*10^-8*6.02*10^23/I78</f>
        <v>0</v>
      </c>
    </row>
    <row r="79" spans="1:13" ht="15.75" customHeight="1" x14ac:dyDescent="0.2">
      <c r="A79" s="7" t="s">
        <v>96</v>
      </c>
      <c r="B79" s="7">
        <v>9.5</v>
      </c>
      <c r="C79" s="7">
        <v>-4.2</v>
      </c>
      <c r="D79" s="7">
        <v>6.87</v>
      </c>
      <c r="E79" s="7">
        <v>2.2200000000000002</v>
      </c>
      <c r="F79" s="7">
        <v>5.93</v>
      </c>
      <c r="G79" s="7">
        <v>8.15</v>
      </c>
      <c r="H79" s="7">
        <v>18.100000000000001</v>
      </c>
      <c r="I79" s="7">
        <v>53</v>
      </c>
      <c r="L79" s="9">
        <f t="shared" si="3"/>
        <v>1143429806703465</v>
      </c>
      <c r="M79" s="9">
        <f t="shared" si="4"/>
        <v>673558490566037.63</v>
      </c>
    </row>
    <row r="80" spans="1:13" ht="15.75" customHeight="1" x14ac:dyDescent="0.2">
      <c r="A80" s="7" t="s">
        <v>97</v>
      </c>
      <c r="B80" s="7">
        <v>2.36</v>
      </c>
      <c r="C80" s="7">
        <v>4.55</v>
      </c>
      <c r="D80" s="7">
        <v>0</v>
      </c>
      <c r="E80" s="7">
        <v>2.6</v>
      </c>
      <c r="F80" s="7">
        <v>0</v>
      </c>
      <c r="G80" s="7">
        <v>2.6</v>
      </c>
      <c r="H80" s="7">
        <v>0.36</v>
      </c>
      <c r="I80" s="7">
        <v>54</v>
      </c>
      <c r="L80" s="9">
        <f t="shared" si="3"/>
        <v>22321097515758.246</v>
      </c>
      <c r="M80" s="9">
        <f t="shared" si="4"/>
        <v>0</v>
      </c>
    </row>
    <row r="81" spans="1:13" ht="15.75" customHeight="1" x14ac:dyDescent="0.2">
      <c r="A81" s="7" t="s">
        <v>98</v>
      </c>
      <c r="B81" s="7">
        <v>100</v>
      </c>
      <c r="C81" s="7">
        <v>-3.73</v>
      </c>
      <c r="D81" s="7">
        <v>1.79</v>
      </c>
      <c r="E81" s="7">
        <v>1.75</v>
      </c>
      <c r="F81" s="7">
        <v>0.4</v>
      </c>
      <c r="G81" s="7">
        <v>2.15</v>
      </c>
      <c r="H81" s="7">
        <v>13.3</v>
      </c>
      <c r="I81" s="7">
        <v>54.938000000000002</v>
      </c>
      <c r="J81" s="14">
        <v>7.2</v>
      </c>
      <c r="K81" s="14">
        <v>78.921999999999997</v>
      </c>
      <c r="L81" s="9">
        <f t="shared" si="3"/>
        <v>810560805707119</v>
      </c>
      <c r="M81" s="9">
        <f t="shared" si="4"/>
        <v>43831227929666.164</v>
      </c>
    </row>
    <row r="82" spans="1:13" ht="15.75" customHeight="1" x14ac:dyDescent="0.2">
      <c r="A82" s="7" t="s">
        <v>99</v>
      </c>
      <c r="B82" s="7" t="s">
        <v>13</v>
      </c>
      <c r="C82" s="7">
        <v>9.4499999999999993</v>
      </c>
      <c r="D82" s="7" t="s">
        <v>13</v>
      </c>
      <c r="E82" s="7">
        <v>11.22</v>
      </c>
      <c r="F82" s="7">
        <v>0.4</v>
      </c>
      <c r="G82" s="7">
        <v>11.62</v>
      </c>
      <c r="H82" s="7">
        <v>2.56</v>
      </c>
      <c r="I82" s="7">
        <v>55.847000000000001</v>
      </c>
      <c r="J82" s="14">
        <v>7.86</v>
      </c>
      <c r="K82" s="14">
        <v>84.754999999999995</v>
      </c>
      <c r="L82" s="9">
        <f t="shared" si="3"/>
        <v>153478278977405.53</v>
      </c>
      <c r="M82" s="9">
        <f t="shared" si="4"/>
        <v>43117804000214.875</v>
      </c>
    </row>
    <row r="83" spans="1:13" ht="15.75" customHeight="1" x14ac:dyDescent="0.2">
      <c r="A83" s="7" t="s">
        <v>100</v>
      </c>
      <c r="B83" s="7">
        <v>5.8</v>
      </c>
      <c r="C83" s="7">
        <v>4.2</v>
      </c>
      <c r="D83" s="7">
        <v>0</v>
      </c>
      <c r="E83" s="7">
        <v>2.2000000000000002</v>
      </c>
      <c r="F83" s="7">
        <v>0</v>
      </c>
      <c r="G83" s="7">
        <v>2.2000000000000002</v>
      </c>
      <c r="H83" s="7">
        <v>2.25</v>
      </c>
      <c r="I83" s="7">
        <v>54</v>
      </c>
      <c r="L83" s="9">
        <f t="shared" si="3"/>
        <v>139506859473489.03</v>
      </c>
      <c r="M83" s="9">
        <f t="shared" si="4"/>
        <v>0</v>
      </c>
    </row>
    <row r="84" spans="1:13" ht="15.75" customHeight="1" x14ac:dyDescent="0.2">
      <c r="A84" s="7" t="s">
        <v>101</v>
      </c>
      <c r="B84" s="7">
        <v>91.7</v>
      </c>
      <c r="C84" s="7">
        <v>9.94</v>
      </c>
      <c r="D84" s="7">
        <v>0</v>
      </c>
      <c r="E84" s="7">
        <v>12.42</v>
      </c>
      <c r="F84" s="7">
        <v>0</v>
      </c>
      <c r="G84" s="7">
        <v>12.42</v>
      </c>
      <c r="H84" s="7">
        <v>2.59</v>
      </c>
      <c r="I84" s="7">
        <v>56</v>
      </c>
      <c r="L84" s="9">
        <f t="shared" si="3"/>
        <v>154852614015572.84</v>
      </c>
      <c r="M84" s="9">
        <f t="shared" si="4"/>
        <v>0</v>
      </c>
    </row>
    <row r="85" spans="1:13" ht="15.75" customHeight="1" x14ac:dyDescent="0.2">
      <c r="A85" s="7" t="s">
        <v>102</v>
      </c>
      <c r="B85" s="7">
        <v>2.2000000000000002</v>
      </c>
      <c r="C85" s="7">
        <v>2.2999999999999998</v>
      </c>
      <c r="D85" s="7" t="s">
        <v>13</v>
      </c>
      <c r="E85" s="7">
        <v>0.66</v>
      </c>
      <c r="F85" s="7">
        <v>0.3</v>
      </c>
      <c r="G85" s="7">
        <v>1</v>
      </c>
      <c r="H85" s="7">
        <v>2.48</v>
      </c>
      <c r="I85" s="7">
        <v>57</v>
      </c>
      <c r="L85" s="9">
        <f t="shared" si="3"/>
        <v>145674531155474.88</v>
      </c>
      <c r="M85" s="9">
        <f t="shared" si="4"/>
        <v>31684210526315.781</v>
      </c>
    </row>
    <row r="86" spans="1:13" ht="15.75" customHeight="1" x14ac:dyDescent="0.2">
      <c r="A86" s="7" t="s">
        <v>103</v>
      </c>
      <c r="B86" s="7">
        <v>0.3</v>
      </c>
      <c r="C86" s="7">
        <v>15</v>
      </c>
      <c r="D86" s="7">
        <v>0</v>
      </c>
      <c r="E86" s="7">
        <v>28</v>
      </c>
      <c r="F86" s="7">
        <v>0</v>
      </c>
      <c r="G86" s="7" t="s">
        <v>104</v>
      </c>
      <c r="H86" s="7">
        <v>1.28</v>
      </c>
      <c r="I86" s="7">
        <v>58</v>
      </c>
      <c r="L86" s="9">
        <f t="shared" si="3"/>
        <v>73890529707337.641</v>
      </c>
      <c r="M86" s="9">
        <f t="shared" si="4"/>
        <v>0</v>
      </c>
    </row>
    <row r="87" spans="1:13" ht="15.75" customHeight="1" x14ac:dyDescent="0.2">
      <c r="A87" s="7" t="s">
        <v>105</v>
      </c>
      <c r="B87" s="7">
        <v>100</v>
      </c>
      <c r="C87" s="7">
        <v>2.4900000000000002</v>
      </c>
      <c r="D87" s="7">
        <v>-6.2</v>
      </c>
      <c r="E87" s="7">
        <v>0.77900000000000003</v>
      </c>
      <c r="F87" s="7">
        <v>4.8</v>
      </c>
      <c r="G87" s="7">
        <v>5.6</v>
      </c>
      <c r="H87" s="7">
        <v>37.18</v>
      </c>
      <c r="I87" s="7">
        <v>58.933199999999999</v>
      </c>
      <c r="J87" s="14">
        <v>8.9</v>
      </c>
      <c r="K87" s="14">
        <v>90.942999999999998</v>
      </c>
      <c r="L87" s="9">
        <f t="shared" si="3"/>
        <v>2112302757111165.3</v>
      </c>
      <c r="M87" s="9">
        <f t="shared" si="4"/>
        <v>490317851397853.69</v>
      </c>
    </row>
    <row r="88" spans="1:13" ht="15.75" customHeight="1" x14ac:dyDescent="0.2">
      <c r="A88" s="7" t="s">
        <v>106</v>
      </c>
      <c r="B88" s="7" t="s">
        <v>13</v>
      </c>
      <c r="C88" s="7">
        <v>10.3</v>
      </c>
      <c r="D88" s="7" t="s">
        <v>13</v>
      </c>
      <c r="E88" s="7">
        <v>13.3</v>
      </c>
      <c r="F88" s="7">
        <v>5.2</v>
      </c>
      <c r="G88" s="7">
        <v>18.5</v>
      </c>
      <c r="H88" s="7">
        <v>4.49</v>
      </c>
      <c r="I88" s="7">
        <v>58.7</v>
      </c>
      <c r="J88" s="14">
        <v>8.9</v>
      </c>
      <c r="K88" s="14">
        <v>91.305000000000007</v>
      </c>
      <c r="L88" s="9">
        <f t="shared" si="3"/>
        <v>256103222774500.5</v>
      </c>
      <c r="M88" s="9">
        <f t="shared" si="4"/>
        <v>533287904599659.19</v>
      </c>
    </row>
    <row r="89" spans="1:13" ht="15.75" customHeight="1" x14ac:dyDescent="0.2">
      <c r="A89" s="7" t="s">
        <v>107</v>
      </c>
      <c r="B89" s="7">
        <v>68.27</v>
      </c>
      <c r="C89" s="7">
        <v>14.4</v>
      </c>
      <c r="D89" s="7">
        <v>0</v>
      </c>
      <c r="E89" s="7">
        <v>26.1</v>
      </c>
      <c r="F89" s="7">
        <v>0</v>
      </c>
      <c r="G89" s="7">
        <v>26.1</v>
      </c>
      <c r="H89" s="7">
        <v>4.5999999999999996</v>
      </c>
      <c r="I89" s="7">
        <v>58</v>
      </c>
      <c r="L89" s="9">
        <f t="shared" si="3"/>
        <v>265544091135744.66</v>
      </c>
      <c r="M89" s="9">
        <f t="shared" si="4"/>
        <v>0</v>
      </c>
    </row>
    <row r="90" spans="1:13" ht="15.75" customHeight="1" x14ac:dyDescent="0.2">
      <c r="A90" s="7" t="s">
        <v>108</v>
      </c>
      <c r="B90" s="7">
        <v>26.1</v>
      </c>
      <c r="C90" s="7">
        <v>2.8</v>
      </c>
      <c r="D90" s="7">
        <v>0</v>
      </c>
      <c r="E90" s="7">
        <v>0.99</v>
      </c>
      <c r="F90" s="7">
        <v>0</v>
      </c>
      <c r="G90" s="7">
        <v>0.99</v>
      </c>
      <c r="H90" s="7">
        <v>2.9</v>
      </c>
      <c r="I90" s="7">
        <v>60</v>
      </c>
      <c r="L90" s="9">
        <f t="shared" si="3"/>
        <v>161827956989247.28</v>
      </c>
      <c r="M90" s="9">
        <f t="shared" si="4"/>
        <v>0</v>
      </c>
    </row>
    <row r="91" spans="1:13" ht="15.75" customHeight="1" x14ac:dyDescent="0.2">
      <c r="A91" s="7" t="s">
        <v>109</v>
      </c>
      <c r="B91" s="7">
        <v>1.1299999999999999</v>
      </c>
      <c r="C91" s="7">
        <v>7.6</v>
      </c>
      <c r="D91" s="7" t="s">
        <v>110</v>
      </c>
      <c r="E91" s="7">
        <v>7.26</v>
      </c>
      <c r="F91" s="7">
        <v>1.9</v>
      </c>
      <c r="G91" s="7">
        <v>9.1999999999999993</v>
      </c>
      <c r="H91" s="7">
        <v>2.5</v>
      </c>
      <c r="I91" s="7">
        <v>61</v>
      </c>
      <c r="L91" s="9">
        <f t="shared" si="3"/>
        <v>137219861777202.33</v>
      </c>
      <c r="M91" s="9">
        <f t="shared" si="4"/>
        <v>187508196721311.44</v>
      </c>
    </row>
    <row r="92" spans="1:13" ht="15.75" customHeight="1" x14ac:dyDescent="0.2">
      <c r="A92" s="7" t="s">
        <v>111</v>
      </c>
      <c r="B92" s="7">
        <v>3.59</v>
      </c>
      <c r="C92" s="7">
        <v>-8.6999999999999993</v>
      </c>
      <c r="D92" s="7">
        <v>0</v>
      </c>
      <c r="E92" s="7">
        <v>9.5</v>
      </c>
      <c r="F92" s="7">
        <v>0</v>
      </c>
      <c r="G92" s="7">
        <v>9.5</v>
      </c>
      <c r="H92" s="7">
        <v>14.5</v>
      </c>
      <c r="I92" s="7">
        <v>62</v>
      </c>
      <c r="L92" s="9">
        <f t="shared" si="3"/>
        <v>783038501560873.88</v>
      </c>
      <c r="M92" s="9">
        <f t="shared" si="4"/>
        <v>0</v>
      </c>
    </row>
    <row r="93" spans="1:13" ht="15.75" customHeight="1" x14ac:dyDescent="0.2">
      <c r="A93" s="7" t="s">
        <v>112</v>
      </c>
      <c r="B93" s="7">
        <v>0.91</v>
      </c>
      <c r="C93" s="7">
        <v>-0.37</v>
      </c>
      <c r="D93" s="7">
        <v>0</v>
      </c>
      <c r="E93" s="7">
        <v>1.7000000000000001E-2</v>
      </c>
      <c r="F93" s="7">
        <v>0</v>
      </c>
      <c r="G93" s="7">
        <v>1.7000000000000001E-2</v>
      </c>
      <c r="H93" s="7">
        <v>1.52</v>
      </c>
      <c r="I93" s="7">
        <v>64</v>
      </c>
      <c r="L93" s="9">
        <f t="shared" si="3"/>
        <v>79518909899888.766</v>
      </c>
      <c r="M93" s="9">
        <f t="shared" si="4"/>
        <v>0</v>
      </c>
    </row>
    <row r="94" spans="1:13" ht="15.75" customHeight="1" x14ac:dyDescent="0.2">
      <c r="A94" s="7" t="s">
        <v>113</v>
      </c>
      <c r="B94" s="7" t="s">
        <v>13</v>
      </c>
      <c r="C94" s="7">
        <v>7.718</v>
      </c>
      <c r="D94" s="7" t="s">
        <v>13</v>
      </c>
      <c r="E94" s="7">
        <v>7.4850000000000003</v>
      </c>
      <c r="F94" s="7">
        <v>0.55000000000000004</v>
      </c>
      <c r="G94" s="7">
        <v>8.0299999999999994</v>
      </c>
      <c r="H94" s="7">
        <v>3.78</v>
      </c>
      <c r="I94" s="7">
        <v>63.540599999999998</v>
      </c>
      <c r="J94" s="14">
        <v>8.92</v>
      </c>
      <c r="K94" s="14">
        <v>84.531000000000006</v>
      </c>
      <c r="L94" s="9">
        <f t="shared" si="3"/>
        <v>199180717390690.78</v>
      </c>
      <c r="M94" s="9">
        <f t="shared" si="4"/>
        <v>52108415721601.625</v>
      </c>
    </row>
    <row r="95" spans="1:13" ht="15.75" customHeight="1" x14ac:dyDescent="0.2">
      <c r="A95" s="7" t="s">
        <v>114</v>
      </c>
      <c r="B95" s="7">
        <v>69.17</v>
      </c>
      <c r="C95" s="7">
        <v>6.43</v>
      </c>
      <c r="D95" s="7">
        <v>0.22</v>
      </c>
      <c r="E95" s="7">
        <v>5.2</v>
      </c>
      <c r="F95" s="7">
        <v>6.0000000000000001E-3</v>
      </c>
      <c r="G95" s="7">
        <v>5.2</v>
      </c>
      <c r="H95" s="7">
        <v>4.5</v>
      </c>
      <c r="I95" s="7">
        <v>63</v>
      </c>
      <c r="L95" s="9">
        <f t="shared" si="3"/>
        <v>239154616240266.91</v>
      </c>
      <c r="M95" s="9">
        <f t="shared" si="4"/>
        <v>573333333333.33325</v>
      </c>
    </row>
    <row r="96" spans="1:13" ht="15.75" customHeight="1" x14ac:dyDescent="0.2">
      <c r="A96" s="7" t="s">
        <v>115</v>
      </c>
      <c r="B96" s="7">
        <v>30.83</v>
      </c>
      <c r="C96" s="7">
        <v>10.61</v>
      </c>
      <c r="D96" s="7">
        <v>1.79</v>
      </c>
      <c r="E96" s="7">
        <v>14.1</v>
      </c>
      <c r="F96" s="7">
        <v>0.4</v>
      </c>
      <c r="G96" s="7">
        <v>14.5</v>
      </c>
      <c r="H96" s="7">
        <v>2.17</v>
      </c>
      <c r="I96" s="7">
        <v>65</v>
      </c>
      <c r="L96" s="9">
        <f t="shared" si="3"/>
        <v>111777188328912.44</v>
      </c>
      <c r="M96" s="9">
        <f t="shared" si="4"/>
        <v>37046153846153.844</v>
      </c>
    </row>
    <row r="97" spans="1:13" ht="15.75" customHeight="1" x14ac:dyDescent="0.2">
      <c r="A97" s="7" t="s">
        <v>116</v>
      </c>
      <c r="B97" s="7" t="s">
        <v>13</v>
      </c>
      <c r="C97" s="7">
        <v>5.68</v>
      </c>
      <c r="D97" s="7" t="s">
        <v>13</v>
      </c>
      <c r="E97" s="7">
        <v>4.0540000000000003</v>
      </c>
      <c r="F97" s="7">
        <v>7.6999999999999999E-2</v>
      </c>
      <c r="G97" s="7">
        <v>4.1310000000000002</v>
      </c>
      <c r="H97" s="7">
        <v>1.1100000000000001</v>
      </c>
      <c r="I97" s="7">
        <v>65.38</v>
      </c>
      <c r="J97" s="14">
        <v>7.14</v>
      </c>
      <c r="K97" s="14">
        <v>65.765000000000001</v>
      </c>
      <c r="L97" s="9">
        <f t="shared" si="3"/>
        <v>56844030840834.336</v>
      </c>
      <c r="M97" s="9">
        <f t="shared" si="4"/>
        <v>7089935760171.3057</v>
      </c>
    </row>
    <row r="98" spans="1:13" ht="15.75" customHeight="1" x14ac:dyDescent="0.2">
      <c r="A98" s="7" t="s">
        <v>117</v>
      </c>
      <c r="B98" s="7">
        <v>48.6</v>
      </c>
      <c r="C98" s="7">
        <v>5.22</v>
      </c>
      <c r="D98" s="7">
        <v>0</v>
      </c>
      <c r="E98" s="7">
        <v>3.42</v>
      </c>
      <c r="F98" s="7">
        <v>0</v>
      </c>
      <c r="G98" s="7">
        <v>3.42</v>
      </c>
      <c r="H98" s="7">
        <v>0.93</v>
      </c>
      <c r="I98" s="7">
        <v>64</v>
      </c>
      <c r="L98" s="9">
        <f t="shared" si="3"/>
        <v>48653017241379.305</v>
      </c>
      <c r="M98" s="9">
        <f t="shared" si="4"/>
        <v>0</v>
      </c>
    </row>
    <row r="99" spans="1:13" ht="15.75" customHeight="1" x14ac:dyDescent="0.2">
      <c r="A99" s="7" t="s">
        <v>118</v>
      </c>
      <c r="B99" s="7">
        <v>27.9</v>
      </c>
      <c r="C99" s="7">
        <v>5.97</v>
      </c>
      <c r="D99" s="7">
        <v>0</v>
      </c>
      <c r="E99" s="7">
        <v>4.4800000000000004</v>
      </c>
      <c r="F99" s="7">
        <v>0</v>
      </c>
      <c r="G99" s="7">
        <v>4.4800000000000004</v>
      </c>
      <c r="H99" s="7">
        <v>0.62</v>
      </c>
      <c r="I99" s="7">
        <v>66</v>
      </c>
      <c r="L99" s="9">
        <f t="shared" si="3"/>
        <v>31452455590386.621</v>
      </c>
      <c r="M99" s="9">
        <f t="shared" si="4"/>
        <v>0</v>
      </c>
    </row>
    <row r="100" spans="1:13" ht="15.75" customHeight="1" x14ac:dyDescent="0.2">
      <c r="A100" s="7" t="s">
        <v>119</v>
      </c>
      <c r="B100" s="7">
        <v>4.0999999999999996</v>
      </c>
      <c r="C100" s="7">
        <v>7.56</v>
      </c>
      <c r="D100" s="7">
        <v>-1.5</v>
      </c>
      <c r="E100" s="7">
        <v>7.18</v>
      </c>
      <c r="F100" s="7">
        <v>0.28000000000000003</v>
      </c>
      <c r="G100" s="7">
        <v>7.46</v>
      </c>
      <c r="H100" s="7">
        <v>6.8</v>
      </c>
      <c r="I100" s="7">
        <v>67</v>
      </c>
      <c r="L100" s="9">
        <f t="shared" si="3"/>
        <v>339813723374230</v>
      </c>
      <c r="M100" s="9">
        <f t="shared" si="4"/>
        <v>25158208955223.875</v>
      </c>
    </row>
    <row r="101" spans="1:13" ht="15.75" customHeight="1" x14ac:dyDescent="0.2">
      <c r="A101" s="7" t="s">
        <v>120</v>
      </c>
      <c r="B101" s="7">
        <v>18.8</v>
      </c>
      <c r="C101" s="7">
        <v>6.03</v>
      </c>
      <c r="D101" s="7">
        <v>0</v>
      </c>
      <c r="E101" s="7">
        <v>4.57</v>
      </c>
      <c r="F101" s="7">
        <v>0</v>
      </c>
      <c r="G101" s="7">
        <v>4.57</v>
      </c>
      <c r="H101" s="7">
        <v>1.1000000000000001</v>
      </c>
      <c r="I101" s="7">
        <v>68</v>
      </c>
      <c r="L101" s="9">
        <f t="shared" si="3"/>
        <v>54161486619119.281</v>
      </c>
      <c r="M101" s="9">
        <f t="shared" si="4"/>
        <v>0</v>
      </c>
    </row>
    <row r="102" spans="1:13" ht="15.75" customHeight="1" x14ac:dyDescent="0.2">
      <c r="A102" s="7" t="s">
        <v>121</v>
      </c>
      <c r="B102" s="7">
        <v>0.6</v>
      </c>
      <c r="C102" s="7">
        <v>6</v>
      </c>
      <c r="D102" s="7">
        <v>0</v>
      </c>
      <c r="E102" s="7">
        <v>4.5</v>
      </c>
      <c r="F102" s="7">
        <v>0</v>
      </c>
      <c r="G102" s="7" t="s">
        <v>122</v>
      </c>
      <c r="H102" s="7">
        <v>9.1999999999999998E-2</v>
      </c>
      <c r="I102" s="7">
        <v>70</v>
      </c>
      <c r="L102" s="9">
        <f t="shared" si="3"/>
        <v>4400444938820.9111</v>
      </c>
      <c r="M102" s="9">
        <f t="shared" si="4"/>
        <v>0</v>
      </c>
    </row>
    <row r="103" spans="1:13" ht="15.75" customHeight="1" x14ac:dyDescent="0.2">
      <c r="A103" s="7" t="s">
        <v>123</v>
      </c>
      <c r="B103" s="7" t="s">
        <v>13</v>
      </c>
      <c r="C103" s="7">
        <v>7.2880000000000003</v>
      </c>
      <c r="D103" s="7" t="s">
        <v>13</v>
      </c>
      <c r="E103" s="7">
        <v>6.6749999999999998</v>
      </c>
      <c r="F103" s="7">
        <v>0.16</v>
      </c>
      <c r="G103" s="7">
        <v>6.83</v>
      </c>
      <c r="H103" s="7">
        <v>2.75</v>
      </c>
      <c r="I103" s="7">
        <v>69.72</v>
      </c>
      <c r="J103" s="14">
        <v>5.9039999999999999</v>
      </c>
      <c r="K103" s="14">
        <v>50.994999999999997</v>
      </c>
      <c r="L103" s="9">
        <f t="shared" si="3"/>
        <v>132063292100549.03</v>
      </c>
      <c r="M103" s="9">
        <f t="shared" si="4"/>
        <v>13815261044176.705</v>
      </c>
    </row>
    <row r="104" spans="1:13" ht="15.75" customHeight="1" x14ac:dyDescent="0.2">
      <c r="A104" s="7" t="s">
        <v>124</v>
      </c>
      <c r="B104" s="7">
        <v>60.1</v>
      </c>
      <c r="C104" s="7">
        <v>7.88</v>
      </c>
      <c r="D104" s="7">
        <v>-0.85</v>
      </c>
      <c r="E104" s="7">
        <v>7.8</v>
      </c>
      <c r="F104" s="7">
        <v>9.0999999999999998E-2</v>
      </c>
      <c r="G104" s="7">
        <v>7.89</v>
      </c>
      <c r="H104" s="7">
        <v>2.1800000000000002</v>
      </c>
      <c r="I104" s="7">
        <v>69</v>
      </c>
      <c r="L104" s="9">
        <f t="shared" si="3"/>
        <v>105782592574680.41</v>
      </c>
      <c r="M104" s="9">
        <f t="shared" si="4"/>
        <v>7939420289855.0713</v>
      </c>
    </row>
    <row r="105" spans="1:13" ht="15.75" customHeight="1" x14ac:dyDescent="0.2">
      <c r="A105" s="7" t="s">
        <v>125</v>
      </c>
      <c r="B105" s="7">
        <v>39.9</v>
      </c>
      <c r="C105" s="7">
        <v>6.4</v>
      </c>
      <c r="D105" s="7">
        <v>-0.82</v>
      </c>
      <c r="E105" s="7">
        <v>5.15</v>
      </c>
      <c r="F105" s="7">
        <v>8.4000000000000005E-2</v>
      </c>
      <c r="G105" s="7">
        <v>5.23</v>
      </c>
      <c r="H105" s="7">
        <v>3.61</v>
      </c>
      <c r="I105" s="7">
        <v>71</v>
      </c>
      <c r="L105" s="9">
        <f t="shared" si="3"/>
        <v>170237666264550.56</v>
      </c>
      <c r="M105" s="9">
        <f t="shared" si="4"/>
        <v>7122253521126.7607</v>
      </c>
    </row>
    <row r="106" spans="1:13" ht="15.75" customHeight="1" x14ac:dyDescent="0.2">
      <c r="A106" s="7" t="s">
        <v>126</v>
      </c>
      <c r="B106" s="7" t="s">
        <v>13</v>
      </c>
      <c r="C106" s="7">
        <v>8.1850000000000005</v>
      </c>
      <c r="D106" s="7" t="s">
        <v>13</v>
      </c>
      <c r="E106" s="7">
        <v>8.42</v>
      </c>
      <c r="F106" s="7">
        <v>0.18</v>
      </c>
      <c r="G106" s="7">
        <v>8.6</v>
      </c>
      <c r="H106" s="7">
        <v>2.2000000000000002</v>
      </c>
      <c r="I106" s="7">
        <v>72.59</v>
      </c>
      <c r="J106" s="14">
        <v>5.35</v>
      </c>
      <c r="K106" s="14">
        <v>44.383000000000003</v>
      </c>
      <c r="L106" s="9">
        <f t="shared" si="3"/>
        <v>101473511230200.05</v>
      </c>
      <c r="M106" s="9">
        <f t="shared" si="4"/>
        <v>14927675988428.154</v>
      </c>
    </row>
    <row r="107" spans="1:13" ht="15.75" customHeight="1" x14ac:dyDescent="0.2">
      <c r="A107" s="7" t="s">
        <v>127</v>
      </c>
      <c r="B107" s="7">
        <v>20.5</v>
      </c>
      <c r="C107" s="7">
        <v>10</v>
      </c>
      <c r="D107" s="7">
        <v>0</v>
      </c>
      <c r="E107" s="7">
        <v>12.6</v>
      </c>
      <c r="F107" s="7">
        <v>0</v>
      </c>
      <c r="G107" s="7">
        <v>12.6</v>
      </c>
      <c r="H107" s="7">
        <v>3</v>
      </c>
      <c r="I107" s="7">
        <v>70</v>
      </c>
      <c r="L107" s="9">
        <f t="shared" si="3"/>
        <v>143492769744160.16</v>
      </c>
      <c r="M107" s="9">
        <f t="shared" si="4"/>
        <v>0</v>
      </c>
    </row>
    <row r="108" spans="1:13" ht="15.75" customHeight="1" x14ac:dyDescent="0.2">
      <c r="A108" s="7" t="s">
        <v>128</v>
      </c>
      <c r="B108" s="7">
        <v>27.4</v>
      </c>
      <c r="C108" s="7">
        <v>8.51</v>
      </c>
      <c r="D108" s="7">
        <v>0</v>
      </c>
      <c r="E108" s="7">
        <v>9.1</v>
      </c>
      <c r="F108" s="7">
        <v>0</v>
      </c>
      <c r="G108" s="7">
        <v>9.1</v>
      </c>
      <c r="H108" s="7">
        <v>0.8</v>
      </c>
      <c r="I108" s="7">
        <v>72</v>
      </c>
      <c r="L108" s="9">
        <f t="shared" si="3"/>
        <v>37201829192930.406</v>
      </c>
      <c r="M108" s="9">
        <f t="shared" si="4"/>
        <v>0</v>
      </c>
    </row>
    <row r="109" spans="1:13" ht="15.75" customHeight="1" x14ac:dyDescent="0.2">
      <c r="A109" s="7" t="s">
        <v>129</v>
      </c>
      <c r="B109" s="7">
        <v>7.8</v>
      </c>
      <c r="C109" s="7">
        <v>5.0199999999999996</v>
      </c>
      <c r="D109" s="7">
        <v>3.4</v>
      </c>
      <c r="E109" s="7">
        <v>3.17</v>
      </c>
      <c r="F109" s="7">
        <v>1.5</v>
      </c>
      <c r="G109" s="7">
        <v>4.7</v>
      </c>
      <c r="H109" s="7">
        <v>15.1</v>
      </c>
      <c r="I109" s="7">
        <v>73</v>
      </c>
      <c r="L109" s="9">
        <f t="shared" si="3"/>
        <v>692565559906745.63</v>
      </c>
      <c r="M109" s="9">
        <f t="shared" si="4"/>
        <v>123698630136986.3</v>
      </c>
    </row>
    <row r="110" spans="1:13" ht="15.75" customHeight="1" x14ac:dyDescent="0.2">
      <c r="A110" s="7" t="s">
        <v>130</v>
      </c>
      <c r="B110" s="7">
        <v>36.5</v>
      </c>
      <c r="C110" s="7">
        <v>7.58</v>
      </c>
      <c r="D110" s="7">
        <v>0</v>
      </c>
      <c r="E110" s="7">
        <v>7.2</v>
      </c>
      <c r="F110" s="7">
        <v>0</v>
      </c>
      <c r="G110" s="7">
        <v>7.2</v>
      </c>
      <c r="H110" s="7">
        <v>0.4</v>
      </c>
      <c r="I110" s="7">
        <v>74</v>
      </c>
      <c r="L110" s="9">
        <f t="shared" si="3"/>
        <v>18098187174939.117</v>
      </c>
      <c r="M110" s="9">
        <f t="shared" si="4"/>
        <v>0</v>
      </c>
    </row>
    <row r="111" spans="1:13" ht="15.75" customHeight="1" x14ac:dyDescent="0.2">
      <c r="A111" s="7" t="s">
        <v>131</v>
      </c>
      <c r="B111" s="7">
        <v>7.8</v>
      </c>
      <c r="C111" s="7">
        <v>8.1999999999999993</v>
      </c>
      <c r="D111" s="7">
        <v>0</v>
      </c>
      <c r="E111" s="7" t="s">
        <v>132</v>
      </c>
      <c r="F111" s="7">
        <v>0</v>
      </c>
      <c r="G111" s="7" t="s">
        <v>132</v>
      </c>
      <c r="H111" s="7">
        <v>0.16</v>
      </c>
      <c r="I111" s="7">
        <v>76</v>
      </c>
      <c r="L111" s="9">
        <f t="shared" si="3"/>
        <v>7048767636555.2363</v>
      </c>
      <c r="M111" s="9">
        <f t="shared" si="4"/>
        <v>0</v>
      </c>
    </row>
    <row r="112" spans="1:13" ht="15.75" customHeight="1" x14ac:dyDescent="0.2">
      <c r="A112" s="7" t="s">
        <v>133</v>
      </c>
      <c r="B112" s="7">
        <v>100</v>
      </c>
      <c r="C112" s="7">
        <v>6.58</v>
      </c>
      <c r="D112" s="7">
        <v>-0.69</v>
      </c>
      <c r="E112" s="7">
        <v>5.44</v>
      </c>
      <c r="F112" s="7">
        <v>0.06</v>
      </c>
      <c r="G112" s="7">
        <v>5.5</v>
      </c>
      <c r="H112" s="7">
        <v>4.5</v>
      </c>
      <c r="I112" s="7">
        <v>74.921599999999998</v>
      </c>
      <c r="J112" s="14">
        <v>5.7270000000000003</v>
      </c>
      <c r="K112" s="14">
        <v>46.031999999999996</v>
      </c>
      <c r="L112" s="9">
        <f t="shared" si="3"/>
        <v>201100094273705</v>
      </c>
      <c r="M112" s="9">
        <f t="shared" si="4"/>
        <v>4821039593388.2881</v>
      </c>
    </row>
    <row r="113" spans="1:13" ht="15.75" customHeight="1" x14ac:dyDescent="0.2">
      <c r="A113" s="7" t="s">
        <v>134</v>
      </c>
      <c r="B113" s="7" t="s">
        <v>13</v>
      </c>
      <c r="C113" s="7">
        <v>7.97</v>
      </c>
      <c r="D113" s="7" t="s">
        <v>13</v>
      </c>
      <c r="E113" s="7">
        <v>7.98</v>
      </c>
      <c r="F113" s="7">
        <v>0.32</v>
      </c>
      <c r="G113" s="7">
        <v>8.3000000000000007</v>
      </c>
      <c r="H113" s="7">
        <v>11.7</v>
      </c>
      <c r="I113" s="7">
        <v>78.959999999999994</v>
      </c>
      <c r="J113" s="14">
        <v>4.8099999999999996</v>
      </c>
      <c r="K113" s="14">
        <v>36.683999999999997</v>
      </c>
      <c r="L113" s="9">
        <f t="shared" si="3"/>
        <v>496118618796298.44</v>
      </c>
      <c r="M113" s="9">
        <f t="shared" si="4"/>
        <v>24397163120567.375</v>
      </c>
    </row>
    <row r="114" spans="1:13" ht="15.75" customHeight="1" x14ac:dyDescent="0.2">
      <c r="A114" s="7" t="s">
        <v>135</v>
      </c>
      <c r="B114" s="7">
        <v>0.9</v>
      </c>
      <c r="C114" s="7">
        <v>0.8</v>
      </c>
      <c r="D114" s="7">
        <v>0</v>
      </c>
      <c r="E114" s="7">
        <v>0.1</v>
      </c>
      <c r="F114" s="7">
        <v>0</v>
      </c>
      <c r="G114" s="7">
        <v>0.1</v>
      </c>
      <c r="H114" s="7">
        <v>51.8</v>
      </c>
      <c r="I114" s="7">
        <v>74</v>
      </c>
      <c r="L114" s="9">
        <f t="shared" si="3"/>
        <v>2343715239154615.5</v>
      </c>
      <c r="M114" s="9">
        <f t="shared" si="4"/>
        <v>0</v>
      </c>
    </row>
    <row r="115" spans="1:13" ht="15.75" customHeight="1" x14ac:dyDescent="0.2">
      <c r="A115" s="7" t="s">
        <v>136</v>
      </c>
      <c r="B115" s="7">
        <v>9</v>
      </c>
      <c r="C115" s="7">
        <v>12.2</v>
      </c>
      <c r="D115" s="7">
        <v>0</v>
      </c>
      <c r="E115" s="7">
        <v>18.7</v>
      </c>
      <c r="F115" s="7">
        <v>0</v>
      </c>
      <c r="G115" s="7">
        <v>18.7</v>
      </c>
      <c r="H115" s="7">
        <v>85</v>
      </c>
      <c r="I115" s="7">
        <v>76</v>
      </c>
      <c r="L115" s="9">
        <f t="shared" si="3"/>
        <v>3744657806919969</v>
      </c>
      <c r="M115" s="9">
        <f t="shared" si="4"/>
        <v>0</v>
      </c>
    </row>
    <row r="116" spans="1:13" ht="15.75" customHeight="1" x14ac:dyDescent="0.2">
      <c r="A116" s="7" t="s">
        <v>137</v>
      </c>
      <c r="B116" s="7">
        <v>7.6</v>
      </c>
      <c r="C116" s="7">
        <v>8.25</v>
      </c>
      <c r="D116" s="7" t="s">
        <v>138</v>
      </c>
      <c r="E116" s="7">
        <v>8.6</v>
      </c>
      <c r="F116" s="7">
        <v>0.05</v>
      </c>
      <c r="G116" s="7">
        <v>8.65</v>
      </c>
      <c r="H116" s="7">
        <v>42</v>
      </c>
      <c r="I116" s="7">
        <v>77</v>
      </c>
      <c r="L116" s="9">
        <f t="shared" si="3"/>
        <v>1826271614925674.5</v>
      </c>
      <c r="M116" s="9">
        <f t="shared" si="4"/>
        <v>3909090909090.9092</v>
      </c>
    </row>
    <row r="117" spans="1:13" ht="15.75" customHeight="1" x14ac:dyDescent="0.2">
      <c r="A117" s="7" t="s">
        <v>139</v>
      </c>
      <c r="B117" s="7">
        <v>23.5</v>
      </c>
      <c r="C117" s="7">
        <v>8.24</v>
      </c>
      <c r="D117" s="7">
        <v>0</v>
      </c>
      <c r="E117" s="7">
        <v>8.5</v>
      </c>
      <c r="F117" s="7">
        <v>0</v>
      </c>
      <c r="G117" s="7">
        <v>8.5</v>
      </c>
      <c r="H117" s="7">
        <v>0.43</v>
      </c>
      <c r="I117" s="7">
        <v>78</v>
      </c>
      <c r="L117" s="9">
        <f t="shared" si="3"/>
        <v>18457830638030.855</v>
      </c>
      <c r="M117" s="9">
        <f t="shared" si="4"/>
        <v>0</v>
      </c>
    </row>
    <row r="118" spans="1:13" ht="15.75" customHeight="1" x14ac:dyDescent="0.2">
      <c r="A118" s="7" t="s">
        <v>140</v>
      </c>
      <c r="B118" s="7">
        <v>49.6</v>
      </c>
      <c r="C118" s="7">
        <v>7.48</v>
      </c>
      <c r="D118" s="7">
        <v>0</v>
      </c>
      <c r="E118" s="7">
        <v>7.03</v>
      </c>
      <c r="F118" s="7">
        <v>0</v>
      </c>
      <c r="G118" s="7">
        <v>7.03</v>
      </c>
      <c r="H118" s="7">
        <v>0.61</v>
      </c>
      <c r="I118" s="7">
        <v>80</v>
      </c>
      <c r="L118" s="9">
        <f t="shared" si="3"/>
        <v>25529755283648.496</v>
      </c>
      <c r="M118" s="9">
        <f t="shared" si="4"/>
        <v>0</v>
      </c>
    </row>
    <row r="119" spans="1:13" ht="15.75" customHeight="1" x14ac:dyDescent="0.2">
      <c r="A119" s="7" t="s">
        <v>141</v>
      </c>
      <c r="B119" s="7">
        <v>9.4</v>
      </c>
      <c r="C119" s="7">
        <v>6.34</v>
      </c>
      <c r="D119" s="7">
        <v>0</v>
      </c>
      <c r="E119" s="7">
        <v>5.05</v>
      </c>
      <c r="F119" s="7">
        <v>0</v>
      </c>
      <c r="G119" s="7">
        <v>5.05</v>
      </c>
      <c r="H119" s="7">
        <v>4.3999999999999997E-2</v>
      </c>
      <c r="I119" s="7">
        <v>82</v>
      </c>
      <c r="L119" s="9">
        <f t="shared" si="3"/>
        <v>1796576141512.2493</v>
      </c>
      <c r="M119" s="9">
        <f t="shared" si="4"/>
        <v>0</v>
      </c>
    </row>
    <row r="120" spans="1:13" ht="15.75" customHeight="1" x14ac:dyDescent="0.2">
      <c r="A120" s="7" t="s">
        <v>142</v>
      </c>
      <c r="B120" s="7" t="s">
        <v>13</v>
      </c>
      <c r="C120" s="7">
        <v>6.7949999999999999</v>
      </c>
      <c r="D120" s="7" t="s">
        <v>13</v>
      </c>
      <c r="E120" s="7">
        <v>5.8</v>
      </c>
      <c r="F120" s="7">
        <v>0.1</v>
      </c>
      <c r="G120" s="7">
        <v>5.9</v>
      </c>
      <c r="H120" s="7">
        <v>6.9</v>
      </c>
      <c r="I120" s="7">
        <v>79.903999999999996</v>
      </c>
      <c r="J120" s="14">
        <v>3.1199999999999999E-3</v>
      </c>
      <c r="K120" s="14">
        <v>2.3514E-2</v>
      </c>
      <c r="L120" s="9">
        <f t="shared" si="3"/>
        <v>289126150490711.19</v>
      </c>
      <c r="M120" s="9">
        <f t="shared" si="4"/>
        <v>7534040849018.8232</v>
      </c>
    </row>
    <row r="121" spans="1:13" ht="15.75" customHeight="1" x14ac:dyDescent="0.2">
      <c r="A121" s="7" t="s">
        <v>143</v>
      </c>
      <c r="B121" s="7">
        <v>50.69</v>
      </c>
      <c r="C121" s="7">
        <v>6.8</v>
      </c>
      <c r="D121" s="7">
        <v>-1.1000000000000001</v>
      </c>
      <c r="E121" s="7">
        <v>5.81</v>
      </c>
      <c r="F121" s="7">
        <v>0.15</v>
      </c>
      <c r="G121" s="7">
        <v>5.96</v>
      </c>
      <c r="H121" s="7">
        <v>11</v>
      </c>
      <c r="I121" s="7">
        <v>79</v>
      </c>
      <c r="L121" s="9">
        <f t="shared" si="3"/>
        <v>466200137987355.88</v>
      </c>
      <c r="M121" s="9">
        <f t="shared" si="4"/>
        <v>11430379746835.439</v>
      </c>
    </row>
    <row r="122" spans="1:13" ht="15.75" customHeight="1" x14ac:dyDescent="0.2">
      <c r="A122" s="7" t="s">
        <v>144</v>
      </c>
      <c r="B122" s="7">
        <v>49.31</v>
      </c>
      <c r="C122" s="7">
        <v>6.79</v>
      </c>
      <c r="D122" s="7">
        <v>0.6</v>
      </c>
      <c r="E122" s="7">
        <v>5.79</v>
      </c>
      <c r="F122" s="7">
        <v>0.05</v>
      </c>
      <c r="G122" s="7">
        <v>5.84</v>
      </c>
      <c r="H122" s="7">
        <v>2.7</v>
      </c>
      <c r="I122" s="7">
        <v>81</v>
      </c>
      <c r="L122" s="9">
        <f t="shared" si="3"/>
        <v>111605487578791.23</v>
      </c>
      <c r="M122" s="9">
        <f t="shared" si="4"/>
        <v>3716049382716.0493</v>
      </c>
    </row>
    <row r="123" spans="1:13" ht="15.75" customHeight="1" x14ac:dyDescent="0.2">
      <c r="A123" s="7" t="s">
        <v>145</v>
      </c>
      <c r="B123" s="7" t="s">
        <v>13</v>
      </c>
      <c r="C123" s="7">
        <v>7.81</v>
      </c>
      <c r="D123" s="7" t="s">
        <v>13</v>
      </c>
      <c r="E123" s="7">
        <v>7.67</v>
      </c>
      <c r="F123" s="7">
        <v>0.01</v>
      </c>
      <c r="G123" s="7">
        <v>7.68</v>
      </c>
      <c r="H123" s="7">
        <v>25</v>
      </c>
      <c r="I123" s="7">
        <v>83.8</v>
      </c>
      <c r="J123" s="14">
        <v>3.7399999999999998E-3</v>
      </c>
      <c r="K123" s="14">
        <v>2.6876000000000001E-2</v>
      </c>
      <c r="L123" s="9">
        <f t="shared" si="3"/>
        <v>998855795752904.63</v>
      </c>
      <c r="M123" s="9">
        <f t="shared" si="4"/>
        <v>718377088305.48914</v>
      </c>
    </row>
    <row r="124" spans="1:13" ht="15.75" customHeight="1" x14ac:dyDescent="0.2">
      <c r="A124" s="7" t="s">
        <v>146</v>
      </c>
      <c r="B124" s="7">
        <v>0.35</v>
      </c>
      <c r="C124" s="7" t="s">
        <v>13</v>
      </c>
      <c r="D124" s="7">
        <v>0</v>
      </c>
      <c r="E124" s="7" t="s">
        <v>13</v>
      </c>
      <c r="F124" s="7">
        <v>0</v>
      </c>
      <c r="G124" s="7" t="s">
        <v>13</v>
      </c>
      <c r="H124" s="7">
        <v>6.4</v>
      </c>
      <c r="I124" s="7">
        <v>78</v>
      </c>
      <c r="L124" s="9">
        <f t="shared" si="3"/>
        <v>274721200193947.66</v>
      </c>
      <c r="M124" s="9">
        <f t="shared" si="4"/>
        <v>0</v>
      </c>
    </row>
    <row r="125" spans="1:13" ht="15.75" customHeight="1" x14ac:dyDescent="0.2">
      <c r="A125" s="7" t="s">
        <v>147</v>
      </c>
      <c r="B125" s="7">
        <v>2.25</v>
      </c>
      <c r="C125" s="7" t="s">
        <v>13</v>
      </c>
      <c r="D125" s="7">
        <v>0</v>
      </c>
      <c r="E125" s="7" t="s">
        <v>13</v>
      </c>
      <c r="F125" s="7">
        <v>0</v>
      </c>
      <c r="G125" s="7" t="s">
        <v>13</v>
      </c>
      <c r="H125" s="7">
        <v>11.8</v>
      </c>
      <c r="I125" s="7">
        <v>80</v>
      </c>
      <c r="L125" s="9">
        <f t="shared" si="3"/>
        <v>493854282536151.19</v>
      </c>
      <c r="M125" s="9">
        <f t="shared" si="4"/>
        <v>0</v>
      </c>
    </row>
    <row r="126" spans="1:13" ht="15.75" customHeight="1" x14ac:dyDescent="0.2">
      <c r="A126" s="7" t="s">
        <v>148</v>
      </c>
      <c r="B126" s="7">
        <v>11.6</v>
      </c>
      <c r="C126" s="7" t="s">
        <v>13</v>
      </c>
      <c r="D126" s="7">
        <v>0</v>
      </c>
      <c r="E126" s="7" t="s">
        <v>13</v>
      </c>
      <c r="F126" s="7">
        <v>0</v>
      </c>
      <c r="G126" s="7" t="s">
        <v>13</v>
      </c>
      <c r="H126" s="7">
        <v>29</v>
      </c>
      <c r="I126" s="7">
        <v>82</v>
      </c>
      <c r="L126" s="9">
        <f t="shared" si="3"/>
        <v>1184107002360346</v>
      </c>
      <c r="M126" s="9">
        <f t="shared" si="4"/>
        <v>0</v>
      </c>
    </row>
    <row r="127" spans="1:13" ht="15.75" customHeight="1" x14ac:dyDescent="0.2">
      <c r="A127" s="7" t="s">
        <v>149</v>
      </c>
      <c r="B127" s="7">
        <v>11.5</v>
      </c>
      <c r="C127" s="7" t="s">
        <v>13</v>
      </c>
      <c r="D127" s="7" t="s">
        <v>13</v>
      </c>
      <c r="E127" s="7" t="s">
        <v>13</v>
      </c>
      <c r="F127" s="7" t="s">
        <v>13</v>
      </c>
      <c r="G127" s="7" t="s">
        <v>13</v>
      </c>
      <c r="H127" s="7">
        <v>185</v>
      </c>
      <c r="I127" s="7">
        <v>83</v>
      </c>
      <c r="L127" s="9">
        <f t="shared" si="3"/>
        <v>7462776579063751</v>
      </c>
    </row>
    <row r="128" spans="1:13" ht="15.75" customHeight="1" x14ac:dyDescent="0.2">
      <c r="A128" s="7" t="s">
        <v>150</v>
      </c>
      <c r="B128" s="7">
        <v>57</v>
      </c>
      <c r="C128" s="7" t="s">
        <v>13</v>
      </c>
      <c r="D128" s="7">
        <v>0</v>
      </c>
      <c r="E128" s="7" t="s">
        <v>13</v>
      </c>
      <c r="F128" s="7">
        <v>0</v>
      </c>
      <c r="G128" s="7">
        <v>6.6</v>
      </c>
      <c r="H128" s="7">
        <v>0.113</v>
      </c>
      <c r="I128" s="7">
        <v>84</v>
      </c>
      <c r="L128" s="9">
        <f t="shared" si="3"/>
        <v>4504078605858.3604</v>
      </c>
      <c r="M128" s="9">
        <f t="shared" si="4"/>
        <v>0</v>
      </c>
    </row>
    <row r="129" spans="1:13" ht="15.75" customHeight="1" x14ac:dyDescent="0.2">
      <c r="A129" s="7" t="s">
        <v>151</v>
      </c>
      <c r="B129" s="7">
        <v>17.3</v>
      </c>
      <c r="C129" s="7">
        <v>8.1</v>
      </c>
      <c r="D129" s="7">
        <v>0</v>
      </c>
      <c r="E129" s="7">
        <v>8.1999999999999993</v>
      </c>
      <c r="F129" s="7">
        <v>0</v>
      </c>
      <c r="G129" s="7">
        <v>8.1999999999999993</v>
      </c>
      <c r="H129" s="7">
        <v>3.0000000000000001E-3</v>
      </c>
      <c r="I129" s="7">
        <v>86</v>
      </c>
      <c r="L129" s="9">
        <f t="shared" si="3"/>
        <v>116796440489.43266</v>
      </c>
      <c r="M129" s="9">
        <f t="shared" si="4"/>
        <v>0</v>
      </c>
    </row>
    <row r="130" spans="1:13" ht="15.75" customHeight="1" x14ac:dyDescent="0.2">
      <c r="A130" s="7" t="s">
        <v>152</v>
      </c>
      <c r="B130" s="7" t="s">
        <v>13</v>
      </c>
      <c r="C130" s="7">
        <v>7.09</v>
      </c>
      <c r="D130" s="7" t="s">
        <v>13</v>
      </c>
      <c r="E130" s="7">
        <v>6.32</v>
      </c>
      <c r="F130" s="7">
        <v>0.5</v>
      </c>
      <c r="G130" s="7">
        <v>6.8</v>
      </c>
      <c r="H130" s="7">
        <v>0.38</v>
      </c>
      <c r="I130" s="7">
        <v>85.467799999999997</v>
      </c>
      <c r="J130" s="14">
        <v>1.532</v>
      </c>
      <c r="K130" s="14">
        <v>10.794</v>
      </c>
      <c r="L130" s="9">
        <f t="shared" si="3"/>
        <v>14886337993937.135</v>
      </c>
      <c r="M130" s="9">
        <f t="shared" si="4"/>
        <v>35217941727761.797</v>
      </c>
    </row>
    <row r="131" spans="1:13" ht="15.75" customHeight="1" x14ac:dyDescent="0.2">
      <c r="A131" s="7" t="s">
        <v>153</v>
      </c>
      <c r="B131" s="7">
        <v>72.17</v>
      </c>
      <c r="C131" s="7">
        <v>7.03</v>
      </c>
      <c r="D131" s="7" t="s">
        <v>13</v>
      </c>
      <c r="E131" s="7">
        <v>6.2</v>
      </c>
      <c r="F131" s="7">
        <v>0.5</v>
      </c>
      <c r="G131" s="7">
        <v>6.7</v>
      </c>
      <c r="H131" s="7">
        <v>0.48</v>
      </c>
      <c r="I131" s="7">
        <v>85</v>
      </c>
      <c r="L131" s="9">
        <f t="shared" si="3"/>
        <v>18907282601583.457</v>
      </c>
      <c r="M131" s="9">
        <f t="shared" si="4"/>
        <v>35411764705882.344</v>
      </c>
    </row>
    <row r="132" spans="1:13" ht="15.75" customHeight="1" x14ac:dyDescent="0.2">
      <c r="A132" s="7" t="s">
        <v>154</v>
      </c>
      <c r="B132" s="7">
        <v>27.83</v>
      </c>
      <c r="C132" s="7">
        <v>7.23</v>
      </c>
      <c r="D132" s="7" t="s">
        <v>13</v>
      </c>
      <c r="E132" s="7">
        <v>6.6</v>
      </c>
      <c r="F132" s="7">
        <v>0.5</v>
      </c>
      <c r="G132" s="7">
        <v>7.1</v>
      </c>
      <c r="H132" s="7">
        <v>0.12</v>
      </c>
      <c r="I132" s="7">
        <v>87</v>
      </c>
      <c r="L132" s="9">
        <f t="shared" ref="L132:L195" si="5">(H132*10^-8/1.798)*6.02*10^23/I132</f>
        <v>4618158106708.6025</v>
      </c>
      <c r="M132" s="9">
        <f t="shared" si="4"/>
        <v>34597701149425.281</v>
      </c>
    </row>
    <row r="133" spans="1:13" ht="15.75" customHeight="1" x14ac:dyDescent="0.2">
      <c r="A133" s="7" t="s">
        <v>155</v>
      </c>
      <c r="B133" s="7" t="s">
        <v>13</v>
      </c>
      <c r="C133" s="7">
        <v>7.02</v>
      </c>
      <c r="D133" s="7" t="s">
        <v>13</v>
      </c>
      <c r="E133" s="7">
        <v>6.19</v>
      </c>
      <c r="F133" s="7">
        <v>0.06</v>
      </c>
      <c r="G133" s="7">
        <v>6.25</v>
      </c>
      <c r="H133" s="7">
        <v>1.28</v>
      </c>
      <c r="I133" s="7">
        <v>87.62</v>
      </c>
      <c r="J133" s="14">
        <v>2.6</v>
      </c>
      <c r="K133" s="14">
        <v>17.869</v>
      </c>
      <c r="L133" s="9">
        <f t="shared" si="5"/>
        <v>48911786384679.109</v>
      </c>
      <c r="M133" s="9">
        <f t="shared" si="4"/>
        <v>4122346496233.7358</v>
      </c>
    </row>
    <row r="134" spans="1:13" ht="15.75" customHeight="1" x14ac:dyDescent="0.2">
      <c r="A134" s="7" t="s">
        <v>156</v>
      </c>
      <c r="B134" s="7">
        <v>0.56000000000000005</v>
      </c>
      <c r="C134" s="7">
        <v>7</v>
      </c>
      <c r="D134" s="7">
        <v>0</v>
      </c>
      <c r="E134" s="7" t="s">
        <v>157</v>
      </c>
      <c r="F134" s="7">
        <v>0</v>
      </c>
      <c r="G134" s="7" t="s">
        <v>157</v>
      </c>
      <c r="H134" s="7">
        <v>0.87</v>
      </c>
      <c r="I134" s="7">
        <v>84</v>
      </c>
      <c r="L134" s="9">
        <f t="shared" si="5"/>
        <v>34677419354838.703</v>
      </c>
      <c r="M134" s="9">
        <f t="shared" si="4"/>
        <v>0</v>
      </c>
    </row>
    <row r="135" spans="1:13" ht="15.75" customHeight="1" x14ac:dyDescent="0.2">
      <c r="A135" s="7" t="s">
        <v>158</v>
      </c>
      <c r="B135" s="7">
        <v>9.86</v>
      </c>
      <c r="C135" s="7">
        <v>5.67</v>
      </c>
      <c r="D135" s="7">
        <v>0</v>
      </c>
      <c r="E135" s="7">
        <v>4.04</v>
      </c>
      <c r="F135" s="7">
        <v>0</v>
      </c>
      <c r="G135" s="7">
        <v>4.04</v>
      </c>
      <c r="H135" s="7">
        <v>1.04</v>
      </c>
      <c r="I135" s="7">
        <v>86</v>
      </c>
      <c r="L135" s="9">
        <f t="shared" si="5"/>
        <v>40489432703003.328</v>
      </c>
      <c r="M135" s="9">
        <f t="shared" si="4"/>
        <v>0</v>
      </c>
    </row>
    <row r="136" spans="1:13" ht="15.75" customHeight="1" x14ac:dyDescent="0.2">
      <c r="A136" s="7" t="s">
        <v>159</v>
      </c>
      <c r="B136" s="7">
        <v>7</v>
      </c>
      <c r="C136" s="7">
        <v>7.4</v>
      </c>
      <c r="D136" s="7" t="s">
        <v>13</v>
      </c>
      <c r="E136" s="7">
        <v>6.88</v>
      </c>
      <c r="F136" s="7">
        <v>0.5</v>
      </c>
      <c r="G136" s="7">
        <v>7.4</v>
      </c>
      <c r="H136" s="7">
        <v>16</v>
      </c>
      <c r="I136" s="7">
        <v>87</v>
      </c>
      <c r="L136" s="9">
        <f t="shared" si="5"/>
        <v>615754414227813.63</v>
      </c>
      <c r="M136" s="9">
        <f t="shared" si="4"/>
        <v>34597701149425.281</v>
      </c>
    </row>
    <row r="137" spans="1:13" ht="15.75" customHeight="1" x14ac:dyDescent="0.2">
      <c r="A137" s="7" t="s">
        <v>160</v>
      </c>
      <c r="B137" s="7">
        <v>82.58</v>
      </c>
      <c r="C137" s="7">
        <v>7.15</v>
      </c>
      <c r="D137" s="7">
        <v>0</v>
      </c>
      <c r="E137" s="7">
        <v>6.42</v>
      </c>
      <c r="F137" s="7">
        <v>0</v>
      </c>
      <c r="G137" s="7">
        <v>6.42</v>
      </c>
      <c r="H137" s="7">
        <v>5.8000000000000003E-2</v>
      </c>
      <c r="I137" s="7">
        <v>88</v>
      </c>
      <c r="L137" s="9">
        <f t="shared" si="5"/>
        <v>2206744868035.1909</v>
      </c>
      <c r="M137" s="9">
        <f t="shared" si="4"/>
        <v>0</v>
      </c>
    </row>
    <row r="138" spans="1:13" ht="15.75" customHeight="1" x14ac:dyDescent="0.2">
      <c r="A138" s="7" t="s">
        <v>161</v>
      </c>
      <c r="B138" s="7">
        <v>100</v>
      </c>
      <c r="C138" s="7">
        <v>7.75</v>
      </c>
      <c r="D138" s="7">
        <v>1.1000000000000001</v>
      </c>
      <c r="E138" s="7">
        <v>7.55</v>
      </c>
      <c r="F138" s="7">
        <v>0.15</v>
      </c>
      <c r="G138" s="7">
        <v>7.7</v>
      </c>
      <c r="H138" s="7">
        <v>1.28</v>
      </c>
      <c r="I138" s="7">
        <v>88.905900000000003</v>
      </c>
      <c r="J138" s="14">
        <v>4.47</v>
      </c>
      <c r="K138" s="14">
        <v>30.277000000000001</v>
      </c>
      <c r="L138" s="9">
        <f t="shared" si="5"/>
        <v>48204345527412.508</v>
      </c>
      <c r="M138" s="9">
        <f t="shared" si="4"/>
        <v>10156806241205.586</v>
      </c>
    </row>
    <row r="139" spans="1:13" ht="15.75" customHeight="1" x14ac:dyDescent="0.2">
      <c r="A139" s="7" t="s">
        <v>162</v>
      </c>
      <c r="B139" s="7" t="s">
        <v>13</v>
      </c>
      <c r="C139" s="7">
        <v>7.16</v>
      </c>
      <c r="D139" s="7" t="s">
        <v>13</v>
      </c>
      <c r="E139" s="7">
        <v>6.44</v>
      </c>
      <c r="F139" s="7">
        <v>0.02</v>
      </c>
      <c r="G139" s="7">
        <v>6.46</v>
      </c>
      <c r="H139" s="7">
        <v>0.185</v>
      </c>
      <c r="I139" s="7">
        <v>91.22</v>
      </c>
      <c r="J139" s="14">
        <v>6.49</v>
      </c>
      <c r="K139" s="14">
        <v>42.844999999999999</v>
      </c>
      <c r="L139" s="9">
        <f t="shared" si="5"/>
        <v>6790292217302.0313</v>
      </c>
      <c r="M139" s="9">
        <f t="shared" si="4"/>
        <v>1319885989914.4922</v>
      </c>
    </row>
    <row r="140" spans="1:13" ht="15.75" customHeight="1" x14ac:dyDescent="0.2">
      <c r="A140" s="7" t="s">
        <v>163</v>
      </c>
      <c r="B140" s="7">
        <v>51.45</v>
      </c>
      <c r="C140" s="7">
        <v>6.4</v>
      </c>
      <c r="D140" s="7">
        <v>0</v>
      </c>
      <c r="E140" s="7">
        <v>5.0999999999999996</v>
      </c>
      <c r="F140" s="7">
        <v>0</v>
      </c>
      <c r="G140" s="7">
        <v>5.0999999999999996</v>
      </c>
      <c r="H140" s="7">
        <v>1.0999999999999999E-2</v>
      </c>
      <c r="I140" s="7">
        <v>90</v>
      </c>
      <c r="L140" s="9">
        <f t="shared" si="5"/>
        <v>409220121122.23456</v>
      </c>
      <c r="M140" s="9">
        <f t="shared" si="4"/>
        <v>0</v>
      </c>
    </row>
    <row r="141" spans="1:13" ht="15.75" customHeight="1" x14ac:dyDescent="0.2">
      <c r="A141" s="7" t="s">
        <v>164</v>
      </c>
      <c r="B141" s="7">
        <v>11.32</v>
      </c>
      <c r="C141" s="7">
        <v>8.6999999999999993</v>
      </c>
      <c r="D141" s="7">
        <v>-1.08</v>
      </c>
      <c r="E141" s="7">
        <v>9.5</v>
      </c>
      <c r="F141" s="7">
        <v>0.15</v>
      </c>
      <c r="G141" s="7">
        <v>9.6999999999999993</v>
      </c>
      <c r="H141" s="7">
        <v>1.17</v>
      </c>
      <c r="I141" s="7">
        <v>91</v>
      </c>
      <c r="L141" s="9">
        <f t="shared" si="5"/>
        <v>43047830923248.047</v>
      </c>
      <c r="M141" s="9">
        <f t="shared" si="4"/>
        <v>9923076923076.9199</v>
      </c>
    </row>
    <row r="142" spans="1:13" ht="15.75" customHeight="1" x14ac:dyDescent="0.2">
      <c r="A142" s="7" t="s">
        <v>165</v>
      </c>
      <c r="B142" s="7">
        <v>17.190000000000001</v>
      </c>
      <c r="C142" s="7">
        <v>7.4</v>
      </c>
      <c r="D142" s="7">
        <v>0</v>
      </c>
      <c r="E142" s="7">
        <v>6.9</v>
      </c>
      <c r="F142" s="7">
        <v>0</v>
      </c>
      <c r="G142" s="7">
        <v>6.9</v>
      </c>
      <c r="H142" s="7">
        <v>0.22</v>
      </c>
      <c r="I142" s="7">
        <v>92</v>
      </c>
      <c r="L142" s="9">
        <f t="shared" si="5"/>
        <v>8006480630652.416</v>
      </c>
      <c r="M142" s="9">
        <f t="shared" ref="M142:M205" si="6">F142*10^-8*6.02*10^23/I142</f>
        <v>0</v>
      </c>
    </row>
    <row r="143" spans="1:13" ht="15.75" customHeight="1" x14ac:dyDescent="0.2">
      <c r="A143" s="7" t="s">
        <v>166</v>
      </c>
      <c r="B143" s="7">
        <v>17.28</v>
      </c>
      <c r="C143" s="7">
        <v>8.1999999999999993</v>
      </c>
      <c r="D143" s="7">
        <v>0</v>
      </c>
      <c r="E143" s="7">
        <v>8.4</v>
      </c>
      <c r="F143" s="7">
        <v>0</v>
      </c>
      <c r="G143" s="7">
        <v>8.4</v>
      </c>
      <c r="H143" s="7">
        <v>4.99E-2</v>
      </c>
      <c r="I143" s="7">
        <v>94</v>
      </c>
      <c r="L143" s="9">
        <f t="shared" si="5"/>
        <v>1777376754313.303</v>
      </c>
      <c r="M143" s="9">
        <f t="shared" si="6"/>
        <v>0</v>
      </c>
    </row>
    <row r="144" spans="1:13" ht="15.75" customHeight="1" x14ac:dyDescent="0.2">
      <c r="A144" s="7" t="s">
        <v>167</v>
      </c>
      <c r="B144" s="7">
        <v>2.76</v>
      </c>
      <c r="C144" s="7">
        <v>5.5</v>
      </c>
      <c r="D144" s="7">
        <v>0</v>
      </c>
      <c r="E144" s="7">
        <v>3.8</v>
      </c>
      <c r="F144" s="7">
        <v>0</v>
      </c>
      <c r="G144" s="7">
        <v>3.8</v>
      </c>
      <c r="H144" s="7">
        <v>2.29E-2</v>
      </c>
      <c r="I144" s="7">
        <v>96</v>
      </c>
      <c r="L144" s="9">
        <f t="shared" si="5"/>
        <v>798676770485.72473</v>
      </c>
      <c r="M144" s="9">
        <f t="shared" si="6"/>
        <v>0</v>
      </c>
    </row>
    <row r="145" spans="1:13" ht="15.75" customHeight="1" x14ac:dyDescent="0.2">
      <c r="A145" s="7" t="s">
        <v>168</v>
      </c>
      <c r="B145" s="7">
        <v>100</v>
      </c>
      <c r="C145" s="7">
        <v>7.0540000000000003</v>
      </c>
      <c r="D145" s="7">
        <v>-0.13900000000000001</v>
      </c>
      <c r="E145" s="7">
        <v>6.2530000000000001</v>
      </c>
      <c r="F145" s="7">
        <v>2.3999999999999998E-3</v>
      </c>
      <c r="G145" s="7">
        <v>6.2549999999999999</v>
      </c>
      <c r="H145" s="7">
        <v>1.1499999999999999</v>
      </c>
      <c r="I145" s="7">
        <v>92.906400000000005</v>
      </c>
      <c r="J145" s="14">
        <v>8.57</v>
      </c>
      <c r="K145" s="14">
        <v>55.548999999999999</v>
      </c>
      <c r="L145" s="9">
        <f t="shared" si="5"/>
        <v>41443746840565.313</v>
      </c>
      <c r="M145" s="9">
        <f t="shared" si="6"/>
        <v>155511353362.09341</v>
      </c>
    </row>
    <row r="146" spans="1:13" ht="15.75" customHeight="1" x14ac:dyDescent="0.2">
      <c r="A146" s="7" t="s">
        <v>169</v>
      </c>
      <c r="B146" s="7" t="s">
        <v>13</v>
      </c>
      <c r="C146" s="7">
        <v>6.7149999999999999</v>
      </c>
      <c r="D146" s="7" t="s">
        <v>13</v>
      </c>
      <c r="E146" s="7">
        <v>5.67</v>
      </c>
      <c r="F146" s="7">
        <v>0.04</v>
      </c>
      <c r="G146" s="7">
        <v>5.71</v>
      </c>
      <c r="H146" s="7">
        <v>2.48</v>
      </c>
      <c r="I146" s="7">
        <v>95.94</v>
      </c>
      <c r="J146" s="14">
        <v>10.199999999999999</v>
      </c>
      <c r="K146" s="14">
        <v>64.024000000000001</v>
      </c>
      <c r="L146" s="9">
        <f t="shared" si="5"/>
        <v>86548345589556.688</v>
      </c>
      <c r="M146" s="9">
        <f t="shared" si="6"/>
        <v>2509902022097.1436</v>
      </c>
    </row>
    <row r="147" spans="1:13" ht="15.75" customHeight="1" x14ac:dyDescent="0.2">
      <c r="A147" s="7" t="s">
        <v>170</v>
      </c>
      <c r="B147" s="7">
        <v>14.84</v>
      </c>
      <c r="C147" s="7">
        <v>6.91</v>
      </c>
      <c r="D147" s="7">
        <v>0</v>
      </c>
      <c r="E147" s="7">
        <v>6</v>
      </c>
      <c r="F147" s="7">
        <v>0</v>
      </c>
      <c r="G147" s="7">
        <v>6</v>
      </c>
      <c r="H147" s="7">
        <v>1.9E-2</v>
      </c>
      <c r="I147" s="7">
        <v>92</v>
      </c>
      <c r="L147" s="9">
        <f t="shared" si="5"/>
        <v>691468781738.16309</v>
      </c>
      <c r="M147" s="9">
        <f t="shared" si="6"/>
        <v>0</v>
      </c>
    </row>
    <row r="148" spans="1:13" ht="15.75" customHeight="1" x14ac:dyDescent="0.2">
      <c r="A148" s="7" t="s">
        <v>171</v>
      </c>
      <c r="B148" s="7">
        <v>9.25</v>
      </c>
      <c r="C148" s="7">
        <v>6.8</v>
      </c>
      <c r="D148" s="7">
        <v>0</v>
      </c>
      <c r="E148" s="7">
        <v>5.81</v>
      </c>
      <c r="F148" s="7">
        <v>0</v>
      </c>
      <c r="G148" s="7">
        <v>5.81</v>
      </c>
      <c r="H148" s="7">
        <v>1.4999999999999999E-2</v>
      </c>
      <c r="I148" s="7">
        <v>94</v>
      </c>
      <c r="L148" s="9">
        <f t="shared" si="5"/>
        <v>534281589472.93677</v>
      </c>
      <c r="M148" s="9">
        <f t="shared" si="6"/>
        <v>0</v>
      </c>
    </row>
    <row r="149" spans="1:13" ht="15.75" customHeight="1" x14ac:dyDescent="0.2">
      <c r="A149" s="7" t="s">
        <v>172</v>
      </c>
      <c r="B149" s="7">
        <v>15.92</v>
      </c>
      <c r="C149" s="7">
        <v>6.91</v>
      </c>
      <c r="D149" s="7" t="s">
        <v>13</v>
      </c>
      <c r="E149" s="7">
        <v>6</v>
      </c>
      <c r="F149" s="7">
        <v>0.5</v>
      </c>
      <c r="G149" s="7">
        <v>6.5</v>
      </c>
      <c r="H149" s="7">
        <v>13.1</v>
      </c>
      <c r="I149" s="7">
        <v>95</v>
      </c>
      <c r="L149" s="9">
        <f t="shared" si="5"/>
        <v>461694280194367.94</v>
      </c>
      <c r="M149" s="9">
        <f t="shared" si="6"/>
        <v>31684210526315.785</v>
      </c>
    </row>
    <row r="150" spans="1:13" ht="15.75" customHeight="1" x14ac:dyDescent="0.2">
      <c r="A150" s="7" t="s">
        <v>173</v>
      </c>
      <c r="B150" s="7">
        <v>16.68</v>
      </c>
      <c r="C150" s="7">
        <v>6.2</v>
      </c>
      <c r="D150" s="7">
        <v>0</v>
      </c>
      <c r="E150" s="7">
        <v>4.83</v>
      </c>
      <c r="F150" s="7">
        <v>0</v>
      </c>
      <c r="G150" s="7">
        <v>4.83</v>
      </c>
      <c r="H150" s="7">
        <v>0.5</v>
      </c>
      <c r="I150" s="7">
        <v>96</v>
      </c>
      <c r="L150" s="9">
        <f t="shared" si="5"/>
        <v>17438357434186.127</v>
      </c>
      <c r="M150" s="9">
        <f t="shared" si="6"/>
        <v>0</v>
      </c>
    </row>
    <row r="151" spans="1:13" ht="15.75" customHeight="1" x14ac:dyDescent="0.2">
      <c r="A151" s="7" t="s">
        <v>174</v>
      </c>
      <c r="B151" s="7">
        <v>9.5500000000000007</v>
      </c>
      <c r="C151" s="7">
        <v>7.24</v>
      </c>
      <c r="D151" s="7" t="s">
        <v>13</v>
      </c>
      <c r="E151" s="7">
        <v>6.59</v>
      </c>
      <c r="F151" s="7">
        <v>0.5</v>
      </c>
      <c r="G151" s="7">
        <v>7.1</v>
      </c>
      <c r="H151" s="7">
        <v>2.5</v>
      </c>
      <c r="I151" s="7">
        <v>97</v>
      </c>
      <c r="L151" s="9">
        <f t="shared" si="5"/>
        <v>86292902767106.625</v>
      </c>
      <c r="M151" s="9">
        <f t="shared" si="6"/>
        <v>31030927835051.543</v>
      </c>
    </row>
    <row r="152" spans="1:13" ht="15.75" customHeight="1" x14ac:dyDescent="0.2">
      <c r="A152" s="7" t="s">
        <v>175</v>
      </c>
      <c r="B152" s="7">
        <v>24.13</v>
      </c>
      <c r="C152" s="7">
        <v>6.58</v>
      </c>
      <c r="D152" s="7">
        <v>0</v>
      </c>
      <c r="E152" s="7">
        <v>5.44</v>
      </c>
      <c r="F152" s="7">
        <v>0</v>
      </c>
      <c r="G152" s="7">
        <v>5.44</v>
      </c>
      <c r="H152" s="7">
        <v>0.127</v>
      </c>
      <c r="I152" s="7">
        <v>98</v>
      </c>
      <c r="L152" s="9">
        <f t="shared" si="5"/>
        <v>4338948037501.9854</v>
      </c>
      <c r="M152" s="9">
        <f t="shared" si="6"/>
        <v>0</v>
      </c>
    </row>
    <row r="153" spans="1:13" ht="15.75" customHeight="1" x14ac:dyDescent="0.2">
      <c r="A153" s="7" t="s">
        <v>176</v>
      </c>
      <c r="B153" s="7">
        <v>9.6300000000000008</v>
      </c>
      <c r="C153" s="7">
        <v>6.73</v>
      </c>
      <c r="D153" s="7">
        <v>0</v>
      </c>
      <c r="E153" s="7">
        <v>5.69</v>
      </c>
      <c r="F153" s="7">
        <v>0</v>
      </c>
      <c r="G153" s="7">
        <v>5.69</v>
      </c>
      <c r="H153" s="7">
        <v>0.4</v>
      </c>
      <c r="I153" s="7">
        <v>100</v>
      </c>
      <c r="L153" s="9">
        <f t="shared" si="5"/>
        <v>13392658509454.947</v>
      </c>
      <c r="M153" s="9">
        <f t="shared" si="6"/>
        <v>0</v>
      </c>
    </row>
    <row r="154" spans="1:13" ht="15.75" customHeight="1" x14ac:dyDescent="0.2">
      <c r="A154" s="7" t="s">
        <v>177</v>
      </c>
      <c r="B154" s="7" t="s">
        <v>178</v>
      </c>
      <c r="C154" s="7">
        <v>6.8</v>
      </c>
      <c r="D154" s="7" t="s">
        <v>13</v>
      </c>
      <c r="E154" s="7">
        <v>5.8</v>
      </c>
      <c r="F154" s="7">
        <v>0.5</v>
      </c>
      <c r="G154" s="7">
        <v>6.3</v>
      </c>
      <c r="H154" s="7">
        <v>20</v>
      </c>
      <c r="I154" s="7">
        <v>98</v>
      </c>
      <c r="J154" s="14">
        <v>11.5</v>
      </c>
      <c r="K154" s="14">
        <v>70.665999999999997</v>
      </c>
      <c r="L154" s="9">
        <f t="shared" si="5"/>
        <v>683298903543619.75</v>
      </c>
      <c r="M154" s="9">
        <f t="shared" si="6"/>
        <v>30714285714285.711</v>
      </c>
    </row>
    <row r="155" spans="1:13" ht="15.75" customHeight="1" x14ac:dyDescent="0.2">
      <c r="A155" s="7" t="s">
        <v>179</v>
      </c>
      <c r="B155" s="7" t="s">
        <v>13</v>
      </c>
      <c r="C155" s="7">
        <v>7.03</v>
      </c>
      <c r="D155" s="7" t="s">
        <v>13</v>
      </c>
      <c r="E155" s="7">
        <v>6.21</v>
      </c>
      <c r="F155" s="7">
        <v>0.4</v>
      </c>
      <c r="G155" s="7">
        <v>6.6</v>
      </c>
      <c r="H155" s="7">
        <v>2.56</v>
      </c>
      <c r="I155" s="7">
        <v>101.07</v>
      </c>
      <c r="J155" s="14">
        <v>12.3</v>
      </c>
      <c r="K155" s="14">
        <v>73.286000000000001</v>
      </c>
      <c r="L155" s="9">
        <f t="shared" si="5"/>
        <v>84805594598309.766</v>
      </c>
      <c r="M155" s="9">
        <f t="shared" si="6"/>
        <v>23825071732462.652</v>
      </c>
    </row>
    <row r="156" spans="1:13" ht="15.75" customHeight="1" x14ac:dyDescent="0.2">
      <c r="A156" s="7" t="s">
        <v>180</v>
      </c>
      <c r="B156" s="7">
        <v>5.5</v>
      </c>
      <c r="C156" s="7" t="s">
        <v>13</v>
      </c>
      <c r="D156" s="7">
        <v>0</v>
      </c>
      <c r="E156" s="7" t="s">
        <v>13</v>
      </c>
      <c r="F156" s="7">
        <v>0</v>
      </c>
      <c r="G156" s="7" t="s">
        <v>13</v>
      </c>
      <c r="H156" s="7">
        <v>0.28000000000000003</v>
      </c>
      <c r="I156" s="7">
        <v>96</v>
      </c>
      <c r="L156" s="9">
        <f t="shared" si="5"/>
        <v>9765480163144.2324</v>
      </c>
      <c r="M156" s="9">
        <f t="shared" si="6"/>
        <v>0</v>
      </c>
    </row>
    <row r="157" spans="1:13" ht="15.75" customHeight="1" x14ac:dyDescent="0.2">
      <c r="A157" s="7" t="s">
        <v>181</v>
      </c>
      <c r="B157" s="7">
        <v>1.9</v>
      </c>
      <c r="C157" s="7" t="s">
        <v>13</v>
      </c>
      <c r="D157" s="7">
        <v>0</v>
      </c>
      <c r="E157" s="7" t="s">
        <v>13</v>
      </c>
      <c r="F157" s="7">
        <v>0</v>
      </c>
      <c r="G157" s="7" t="s">
        <v>13</v>
      </c>
      <c r="H157" s="7" t="s">
        <v>182</v>
      </c>
      <c r="I157" s="7"/>
      <c r="L157" s="9" t="e">
        <f t="shared" si="5"/>
        <v>#VALUE!</v>
      </c>
    </row>
    <row r="158" spans="1:13" ht="15.75" customHeight="1" x14ac:dyDescent="0.2">
      <c r="A158" s="7" t="s">
        <v>183</v>
      </c>
      <c r="B158" s="7">
        <v>12.7</v>
      </c>
      <c r="C158" s="7" t="s">
        <v>13</v>
      </c>
      <c r="D158" s="7" t="s">
        <v>13</v>
      </c>
      <c r="E158" s="7" t="s">
        <v>13</v>
      </c>
      <c r="F158" s="7" t="s">
        <v>13</v>
      </c>
      <c r="G158" s="7" t="s">
        <v>13</v>
      </c>
      <c r="H158" s="7">
        <v>6.9</v>
      </c>
      <c r="I158" s="7">
        <v>99</v>
      </c>
      <c r="L158" s="9">
        <f t="shared" si="5"/>
        <v>233356928573836.25</v>
      </c>
    </row>
    <row r="159" spans="1:13" ht="15.75" customHeight="1" x14ac:dyDescent="0.2">
      <c r="A159" s="7" t="s">
        <v>184</v>
      </c>
      <c r="B159" s="7">
        <v>12.6</v>
      </c>
      <c r="C159" s="7" t="s">
        <v>13</v>
      </c>
      <c r="D159" s="7">
        <v>0</v>
      </c>
      <c r="E159" s="7" t="s">
        <v>13</v>
      </c>
      <c r="F159" s="7">
        <v>0</v>
      </c>
      <c r="G159" s="7" t="s">
        <v>13</v>
      </c>
      <c r="H159" s="7">
        <v>4.8</v>
      </c>
      <c r="I159" s="7">
        <v>100</v>
      </c>
      <c r="L159" s="9">
        <f t="shared" si="5"/>
        <v>160711902113459.38</v>
      </c>
      <c r="M159" s="9">
        <f t="shared" si="6"/>
        <v>0</v>
      </c>
    </row>
    <row r="160" spans="1:13" ht="15.75" customHeight="1" x14ac:dyDescent="0.2">
      <c r="A160" s="7" t="s">
        <v>185</v>
      </c>
      <c r="B160" s="7">
        <v>17</v>
      </c>
      <c r="C160" s="7" t="s">
        <v>13</v>
      </c>
      <c r="D160" s="7" t="s">
        <v>13</v>
      </c>
      <c r="E160" s="7" t="s">
        <v>13</v>
      </c>
      <c r="F160" s="7" t="s">
        <v>13</v>
      </c>
      <c r="G160" s="7" t="s">
        <v>13</v>
      </c>
      <c r="H160" s="7">
        <v>3.3</v>
      </c>
      <c r="I160" s="7">
        <v>101</v>
      </c>
      <c r="L160" s="9">
        <f t="shared" si="5"/>
        <v>109395477923765.64</v>
      </c>
    </row>
    <row r="161" spans="1:13" ht="15.75" customHeight="1" x14ac:dyDescent="0.2">
      <c r="A161" s="7" t="s">
        <v>186</v>
      </c>
      <c r="B161" s="7">
        <v>31.6</v>
      </c>
      <c r="C161" s="7" t="s">
        <v>13</v>
      </c>
      <c r="D161" s="7">
        <v>0</v>
      </c>
      <c r="E161" s="7" t="s">
        <v>13</v>
      </c>
      <c r="F161" s="7">
        <v>0</v>
      </c>
      <c r="G161" s="7">
        <v>144.80000000000001</v>
      </c>
      <c r="H161" s="7">
        <v>1.17</v>
      </c>
      <c r="I161" s="7">
        <v>102</v>
      </c>
      <c r="L161" s="9">
        <f t="shared" si="5"/>
        <v>38405417784466.391</v>
      </c>
      <c r="M161" s="9">
        <f t="shared" si="6"/>
        <v>0</v>
      </c>
    </row>
    <row r="162" spans="1:13" ht="15.75" customHeight="1" x14ac:dyDescent="0.2">
      <c r="A162" s="7" t="s">
        <v>187</v>
      </c>
      <c r="B162" s="7">
        <v>18.7</v>
      </c>
      <c r="C162" s="7" t="s">
        <v>13</v>
      </c>
      <c r="D162" s="7">
        <v>0</v>
      </c>
      <c r="E162" s="7" t="s">
        <v>13</v>
      </c>
      <c r="F162" s="7">
        <v>0</v>
      </c>
      <c r="G162" s="7">
        <v>4.4829999999999997</v>
      </c>
      <c r="H162" s="7">
        <v>0.31</v>
      </c>
      <c r="I162" s="7">
        <v>104</v>
      </c>
      <c r="L162" s="9">
        <f t="shared" si="5"/>
        <v>9980106100795.7539</v>
      </c>
      <c r="M162" s="9">
        <f t="shared" si="6"/>
        <v>0</v>
      </c>
    </row>
    <row r="163" spans="1:13" ht="15.75" customHeight="1" x14ac:dyDescent="0.2">
      <c r="A163" s="7" t="s">
        <v>188</v>
      </c>
      <c r="B163" s="7">
        <v>100</v>
      </c>
      <c r="C163" s="7">
        <v>5.88</v>
      </c>
      <c r="D163" s="7" t="s">
        <v>13</v>
      </c>
      <c r="E163" s="7">
        <v>4.34</v>
      </c>
      <c r="F163" s="7">
        <v>0.3</v>
      </c>
      <c r="G163" s="7">
        <v>4.5999999999999996</v>
      </c>
      <c r="H163" s="7">
        <v>144.80000000000001</v>
      </c>
      <c r="I163" s="7">
        <v>102.90600000000001</v>
      </c>
      <c r="J163" s="14">
        <v>12.4</v>
      </c>
      <c r="K163" s="14">
        <v>72.563999999999993</v>
      </c>
      <c r="L163" s="9">
        <f t="shared" si="5"/>
        <v>4711233922631033</v>
      </c>
      <c r="M163" s="9">
        <f t="shared" si="6"/>
        <v>17549997084718.086</v>
      </c>
    </row>
    <row r="164" spans="1:13" ht="15.75" customHeight="1" x14ac:dyDescent="0.2">
      <c r="A164" s="7" t="s">
        <v>189</v>
      </c>
      <c r="B164" s="7" t="s">
        <v>13</v>
      </c>
      <c r="C164" s="7">
        <v>5.91</v>
      </c>
      <c r="D164" s="7" t="s">
        <v>13</v>
      </c>
      <c r="E164" s="7">
        <v>4.3899999999999997</v>
      </c>
      <c r="F164" s="7">
        <v>9.2999999999999999E-2</v>
      </c>
      <c r="G164" s="7">
        <v>4.4800000000000004</v>
      </c>
      <c r="H164" s="7">
        <v>6.9</v>
      </c>
      <c r="I164" s="7">
        <v>106.4</v>
      </c>
      <c r="J164" s="14">
        <v>12.02</v>
      </c>
      <c r="K164" s="14">
        <v>68.03</v>
      </c>
      <c r="L164" s="9">
        <f t="shared" si="5"/>
        <v>217127217376031.84</v>
      </c>
      <c r="M164" s="9">
        <f t="shared" si="6"/>
        <v>5261842105263.1563</v>
      </c>
    </row>
    <row r="165" spans="1:13" ht="15.75" customHeight="1" x14ac:dyDescent="0.2">
      <c r="A165" s="7" t="s">
        <v>190</v>
      </c>
      <c r="B165" s="7">
        <v>1.02</v>
      </c>
      <c r="C165" s="7">
        <v>7.7</v>
      </c>
      <c r="D165" s="7">
        <v>0</v>
      </c>
      <c r="E165" s="7" t="s">
        <v>191</v>
      </c>
      <c r="F165" s="7">
        <v>0</v>
      </c>
      <c r="G165" s="7" t="s">
        <v>191</v>
      </c>
      <c r="H165" s="7">
        <v>3.4</v>
      </c>
      <c r="I165" s="7">
        <v>102</v>
      </c>
      <c r="L165" s="9">
        <f t="shared" si="5"/>
        <v>111605487578791.23</v>
      </c>
      <c r="M165" s="9">
        <f t="shared" si="6"/>
        <v>0</v>
      </c>
    </row>
    <row r="166" spans="1:13" ht="15.75" customHeight="1" x14ac:dyDescent="0.2">
      <c r="A166" s="7" t="s">
        <v>192</v>
      </c>
      <c r="B166" s="7">
        <v>11.14</v>
      </c>
      <c r="C166" s="7">
        <v>7.7</v>
      </c>
      <c r="D166" s="7">
        <v>0</v>
      </c>
      <c r="E166" s="7" t="s">
        <v>191</v>
      </c>
      <c r="F166" s="7">
        <v>0</v>
      </c>
      <c r="G166" s="7" t="s">
        <v>191</v>
      </c>
      <c r="H166" s="7">
        <v>0.6</v>
      </c>
      <c r="I166" s="7">
        <v>104</v>
      </c>
      <c r="L166" s="9">
        <f t="shared" si="5"/>
        <v>19316334388636.941</v>
      </c>
      <c r="M166" s="9">
        <f t="shared" si="6"/>
        <v>0</v>
      </c>
    </row>
    <row r="167" spans="1:13" ht="15.75" customHeight="1" x14ac:dyDescent="0.2">
      <c r="A167" s="7" t="s">
        <v>193</v>
      </c>
      <c r="B167" s="7">
        <v>22.33</v>
      </c>
      <c r="C167" s="7">
        <v>5.5</v>
      </c>
      <c r="D167" s="7" t="s">
        <v>194</v>
      </c>
      <c r="E167" s="7">
        <v>3.8</v>
      </c>
      <c r="F167" s="7">
        <v>0.8</v>
      </c>
      <c r="G167" s="7" t="s">
        <v>195</v>
      </c>
      <c r="H167" s="7">
        <v>20</v>
      </c>
      <c r="I167" s="7">
        <v>105</v>
      </c>
      <c r="L167" s="9">
        <f t="shared" si="5"/>
        <v>637745643307378.5</v>
      </c>
      <c r="M167" s="9">
        <f t="shared" si="6"/>
        <v>45866666666666.664</v>
      </c>
    </row>
    <row r="168" spans="1:13" ht="15.75" customHeight="1" x14ac:dyDescent="0.2">
      <c r="A168" s="7" t="s">
        <v>196</v>
      </c>
      <c r="B168" s="7">
        <v>27.33</v>
      </c>
      <c r="C168" s="7">
        <v>6.4</v>
      </c>
      <c r="D168" s="7">
        <v>0</v>
      </c>
      <c r="E168" s="7">
        <v>5.0999999999999996</v>
      </c>
      <c r="F168" s="7">
        <v>0</v>
      </c>
      <c r="G168" s="7">
        <v>5.0999999999999996</v>
      </c>
      <c r="H168" s="7">
        <v>0.30399999999999999</v>
      </c>
      <c r="I168" s="7">
        <v>106</v>
      </c>
      <c r="L168" s="9">
        <f t="shared" si="5"/>
        <v>9602283459609.207</v>
      </c>
      <c r="M168" s="9">
        <f t="shared" si="6"/>
        <v>0</v>
      </c>
    </row>
    <row r="169" spans="1:13" ht="15.75" customHeight="1" x14ac:dyDescent="0.2">
      <c r="A169" s="7" t="s">
        <v>197</v>
      </c>
      <c r="B169" s="7">
        <v>26.46</v>
      </c>
      <c r="C169" s="7">
        <v>4.0999999999999996</v>
      </c>
      <c r="D169" s="7">
        <v>0</v>
      </c>
      <c r="E169" s="7">
        <v>2.1</v>
      </c>
      <c r="F169" s="7">
        <v>0</v>
      </c>
      <c r="G169" s="7">
        <v>2.1</v>
      </c>
      <c r="H169" s="7">
        <v>8.5500000000000007</v>
      </c>
      <c r="I169" s="7">
        <v>108</v>
      </c>
      <c r="L169" s="9">
        <f t="shared" si="5"/>
        <v>265063032999629.19</v>
      </c>
      <c r="M169" s="9">
        <f t="shared" si="6"/>
        <v>0</v>
      </c>
    </row>
    <row r="170" spans="1:13" ht="15.75" customHeight="1" x14ac:dyDescent="0.2">
      <c r="A170" s="7" t="s">
        <v>198</v>
      </c>
      <c r="B170" s="7">
        <v>11.72</v>
      </c>
      <c r="C170" s="7">
        <v>7.7</v>
      </c>
      <c r="D170" s="7">
        <v>0</v>
      </c>
      <c r="E170" s="7" t="s">
        <v>191</v>
      </c>
      <c r="F170" s="7">
        <v>0</v>
      </c>
      <c r="G170" s="7" t="s">
        <v>191</v>
      </c>
      <c r="H170" s="7">
        <v>0.22600000000000001</v>
      </c>
      <c r="I170" s="7">
        <v>110</v>
      </c>
      <c r="L170" s="9">
        <f t="shared" si="5"/>
        <v>6878956416220.041</v>
      </c>
      <c r="M170" s="9">
        <f t="shared" si="6"/>
        <v>0</v>
      </c>
    </row>
    <row r="171" spans="1:13" ht="15.75" customHeight="1" x14ac:dyDescent="0.2">
      <c r="A171" s="7" t="s">
        <v>199</v>
      </c>
      <c r="B171" s="7" t="s">
        <v>13</v>
      </c>
      <c r="C171" s="7">
        <v>5.9219999999999997</v>
      </c>
      <c r="D171" s="7" t="s">
        <v>13</v>
      </c>
      <c r="E171" s="7">
        <v>4.407</v>
      </c>
      <c r="F171" s="7">
        <v>0.57999999999999996</v>
      </c>
      <c r="G171" s="7">
        <v>4.99</v>
      </c>
      <c r="H171" s="7">
        <v>63.3</v>
      </c>
      <c r="I171" s="7">
        <v>107.86799999999999</v>
      </c>
      <c r="J171" s="14">
        <v>10.5</v>
      </c>
      <c r="K171" s="14">
        <v>58.619</v>
      </c>
      <c r="L171" s="9">
        <f t="shared" si="5"/>
        <v>1964797909594361.5</v>
      </c>
      <c r="M171" s="9">
        <f t="shared" si="6"/>
        <v>32369191975377.305</v>
      </c>
    </row>
    <row r="172" spans="1:13" ht="15.75" customHeight="1" x14ac:dyDescent="0.2">
      <c r="A172" s="7" t="s">
        <v>200</v>
      </c>
      <c r="B172" s="7">
        <v>51.83</v>
      </c>
      <c r="C172" s="7">
        <v>7.5549999999999997</v>
      </c>
      <c r="D172" s="7">
        <v>1</v>
      </c>
      <c r="E172" s="7">
        <v>7.17</v>
      </c>
      <c r="F172" s="7">
        <v>0.13</v>
      </c>
      <c r="G172" s="7">
        <v>7.3</v>
      </c>
      <c r="H172" s="7">
        <v>37.6</v>
      </c>
      <c r="I172" s="7">
        <v>107</v>
      </c>
      <c r="L172" s="9">
        <f t="shared" si="5"/>
        <v>1176551308307257.3</v>
      </c>
      <c r="M172" s="9">
        <f t="shared" si="6"/>
        <v>7314018691588.7852</v>
      </c>
    </row>
    <row r="173" spans="1:13" ht="15.75" customHeight="1" x14ac:dyDescent="0.2">
      <c r="A173" s="7" t="s">
        <v>201</v>
      </c>
      <c r="B173" s="7">
        <v>48.17</v>
      </c>
      <c r="C173" s="7">
        <v>4.165</v>
      </c>
      <c r="D173" s="7">
        <v>-1.6</v>
      </c>
      <c r="E173" s="7">
        <v>2.1800000000000002</v>
      </c>
      <c r="F173" s="7">
        <v>0.32</v>
      </c>
      <c r="G173" s="7">
        <v>2.5</v>
      </c>
      <c r="H173" s="7">
        <v>91</v>
      </c>
      <c r="I173" s="7">
        <v>109</v>
      </c>
      <c r="L173" s="9">
        <f t="shared" si="5"/>
        <v>2795256707248624</v>
      </c>
      <c r="M173" s="9">
        <f t="shared" si="6"/>
        <v>17673394495412.84</v>
      </c>
    </row>
    <row r="174" spans="1:13" ht="15.75" customHeight="1" x14ac:dyDescent="0.2">
      <c r="A174" s="7" t="s">
        <v>202</v>
      </c>
      <c r="B174" s="7" t="s">
        <v>13</v>
      </c>
      <c r="C174" s="7">
        <v>4.87</v>
      </c>
      <c r="D174" s="7" t="s">
        <v>13</v>
      </c>
      <c r="E174" s="7">
        <v>3.04</v>
      </c>
      <c r="F174" s="7">
        <v>3.46</v>
      </c>
      <c r="G174" s="7">
        <v>6.5</v>
      </c>
      <c r="H174" s="7">
        <v>2520</v>
      </c>
      <c r="I174" s="7">
        <v>112.41</v>
      </c>
      <c r="J174" s="14">
        <v>8.6419999999999995</v>
      </c>
      <c r="K174" s="14">
        <v>46.296999999999997</v>
      </c>
      <c r="L174" s="9">
        <f t="shared" si="5"/>
        <v>7.5058934800788352E+16</v>
      </c>
      <c r="M174" s="9">
        <f t="shared" si="6"/>
        <v>185296681789876.31</v>
      </c>
    </row>
    <row r="175" spans="1:13" ht="15.75" customHeight="1" x14ac:dyDescent="0.2">
      <c r="A175" s="7" t="s">
        <v>203</v>
      </c>
      <c r="B175" s="7">
        <v>1.25</v>
      </c>
      <c r="C175" s="7">
        <v>5</v>
      </c>
      <c r="D175" s="7">
        <v>0</v>
      </c>
      <c r="E175" s="7">
        <v>3.1</v>
      </c>
      <c r="F175" s="7">
        <v>0</v>
      </c>
      <c r="G175" s="7" t="s">
        <v>204</v>
      </c>
      <c r="H175" s="7">
        <v>1</v>
      </c>
      <c r="I175" s="7">
        <v>106</v>
      </c>
      <c r="L175" s="9">
        <f t="shared" si="5"/>
        <v>31586458748714.496</v>
      </c>
      <c r="M175" s="9">
        <f t="shared" si="6"/>
        <v>0</v>
      </c>
    </row>
    <row r="176" spans="1:13" ht="15.75" customHeight="1" x14ac:dyDescent="0.2">
      <c r="A176" s="7" t="s">
        <v>205</v>
      </c>
      <c r="B176" s="7">
        <v>0.89</v>
      </c>
      <c r="C176" s="7">
        <v>5.4</v>
      </c>
      <c r="D176" s="7">
        <v>0</v>
      </c>
      <c r="E176" s="7">
        <v>3.7</v>
      </c>
      <c r="F176" s="7">
        <v>0</v>
      </c>
      <c r="G176" s="7">
        <v>3.7</v>
      </c>
      <c r="H176" s="7">
        <v>1.1000000000000001</v>
      </c>
      <c r="I176" s="7">
        <v>108</v>
      </c>
      <c r="L176" s="9">
        <f t="shared" si="5"/>
        <v>34101676760186.215</v>
      </c>
      <c r="M176" s="9">
        <f t="shared" si="6"/>
        <v>0</v>
      </c>
    </row>
    <row r="177" spans="1:13" ht="15.75" customHeight="1" x14ac:dyDescent="0.2">
      <c r="A177" s="7" t="s">
        <v>206</v>
      </c>
      <c r="B177" s="7">
        <v>12.51</v>
      </c>
      <c r="C177" s="7">
        <v>5.9</v>
      </c>
      <c r="D177" s="7">
        <v>0</v>
      </c>
      <c r="E177" s="7">
        <v>4.4000000000000004</v>
      </c>
      <c r="F177" s="7">
        <v>0</v>
      </c>
      <c r="G177" s="7">
        <v>4.4000000000000004</v>
      </c>
      <c r="H177" s="7">
        <v>11</v>
      </c>
      <c r="I177" s="7">
        <v>110</v>
      </c>
      <c r="L177" s="9">
        <f t="shared" si="5"/>
        <v>334816462736373.75</v>
      </c>
      <c r="M177" s="9">
        <f t="shared" si="6"/>
        <v>0</v>
      </c>
    </row>
    <row r="178" spans="1:13" ht="15.75" customHeight="1" x14ac:dyDescent="0.2">
      <c r="A178" s="7" t="s">
        <v>207</v>
      </c>
      <c r="B178" s="7">
        <v>12.81</v>
      </c>
      <c r="C178" s="7">
        <v>6.5</v>
      </c>
      <c r="D178" s="7" t="s">
        <v>13</v>
      </c>
      <c r="E178" s="7">
        <v>5.3</v>
      </c>
      <c r="F178" s="7">
        <v>0.3</v>
      </c>
      <c r="G178" s="7">
        <v>5.6</v>
      </c>
      <c r="H178" s="7">
        <v>24</v>
      </c>
      <c r="I178" s="7">
        <v>111</v>
      </c>
      <c r="L178" s="9">
        <f t="shared" si="5"/>
        <v>723927486997564.88</v>
      </c>
      <c r="M178" s="9">
        <f t="shared" si="6"/>
        <v>16270270270270.266</v>
      </c>
    </row>
    <row r="179" spans="1:13" ht="15.75" customHeight="1" x14ac:dyDescent="0.2">
      <c r="A179" s="7" t="s">
        <v>208</v>
      </c>
      <c r="B179" s="7">
        <v>24.13</v>
      </c>
      <c r="C179" s="7">
        <v>6.4</v>
      </c>
      <c r="D179" s="7">
        <v>0</v>
      </c>
      <c r="E179" s="7">
        <v>5.0999999999999996</v>
      </c>
      <c r="F179" s="7">
        <v>0</v>
      </c>
      <c r="G179" s="7">
        <v>5.0999999999999996</v>
      </c>
      <c r="H179" s="7">
        <v>2.2000000000000002</v>
      </c>
      <c r="I179" s="7">
        <v>112</v>
      </c>
      <c r="L179" s="9">
        <f t="shared" si="5"/>
        <v>65767519466073.414</v>
      </c>
      <c r="M179" s="9">
        <f t="shared" si="6"/>
        <v>0</v>
      </c>
    </row>
    <row r="180" spans="1:13" ht="15.75" customHeight="1" x14ac:dyDescent="0.2">
      <c r="A180" s="7" t="s">
        <v>209</v>
      </c>
      <c r="B180" s="7">
        <v>12.22</v>
      </c>
      <c r="C180" s="7">
        <v>-8</v>
      </c>
      <c r="D180" s="7" t="s">
        <v>13</v>
      </c>
      <c r="E180" s="7">
        <v>12.1</v>
      </c>
      <c r="F180" s="7">
        <v>0.3</v>
      </c>
      <c r="G180" s="7">
        <v>12.4</v>
      </c>
      <c r="H180" s="7">
        <v>20600</v>
      </c>
      <c r="I180" s="7">
        <v>113</v>
      </c>
      <c r="L180" s="9">
        <f t="shared" si="5"/>
        <v>6.1037337454595558E+17</v>
      </c>
      <c r="M180" s="9">
        <f t="shared" si="6"/>
        <v>15982300884955.748</v>
      </c>
    </row>
    <row r="181" spans="1:13" ht="15.75" customHeight="1" x14ac:dyDescent="0.2">
      <c r="A181" s="7" t="s">
        <v>210</v>
      </c>
      <c r="B181" s="7">
        <v>28.72</v>
      </c>
      <c r="C181" s="7">
        <v>7.5</v>
      </c>
      <c r="D181" s="7">
        <v>0</v>
      </c>
      <c r="E181" s="7">
        <v>7.1</v>
      </c>
      <c r="F181" s="7">
        <v>0</v>
      </c>
      <c r="G181" s="7">
        <v>7.1</v>
      </c>
      <c r="H181" s="7">
        <v>0.34</v>
      </c>
      <c r="I181" s="7">
        <v>114</v>
      </c>
      <c r="L181" s="9">
        <f t="shared" si="5"/>
        <v>9985754151786.5859</v>
      </c>
      <c r="M181" s="9">
        <f t="shared" si="6"/>
        <v>0</v>
      </c>
    </row>
    <row r="182" spans="1:13" ht="15.75" customHeight="1" x14ac:dyDescent="0.2">
      <c r="A182" s="7" t="s">
        <v>211</v>
      </c>
      <c r="B182" s="7">
        <v>7.47</v>
      </c>
      <c r="C182" s="7">
        <v>6.3</v>
      </c>
      <c r="D182" s="7">
        <v>0</v>
      </c>
      <c r="E182" s="7">
        <v>5</v>
      </c>
      <c r="F182" s="7">
        <v>0</v>
      </c>
      <c r="G182" s="7">
        <v>5</v>
      </c>
      <c r="H182" s="7">
        <v>7.4999999999999997E-2</v>
      </c>
      <c r="I182" s="7">
        <v>116</v>
      </c>
      <c r="L182" s="9">
        <f t="shared" si="5"/>
        <v>2164761612519.6572</v>
      </c>
      <c r="M182" s="9">
        <f t="shared" si="6"/>
        <v>0</v>
      </c>
    </row>
    <row r="183" spans="1:13" ht="15.75" customHeight="1" x14ac:dyDescent="0.2">
      <c r="A183" s="7" t="s">
        <v>212</v>
      </c>
      <c r="B183" s="7" t="s">
        <v>13</v>
      </c>
      <c r="C183" s="7">
        <v>4.0650000000000004</v>
      </c>
      <c r="D183" s="7" t="s">
        <v>13</v>
      </c>
      <c r="E183" s="7">
        <v>2.08</v>
      </c>
      <c r="F183" s="7">
        <v>0.54</v>
      </c>
      <c r="G183" s="7">
        <v>2.62</v>
      </c>
      <c r="H183" s="7">
        <v>193.8</v>
      </c>
      <c r="I183" s="7">
        <v>114.82</v>
      </c>
      <c r="J183" s="14">
        <v>7.3</v>
      </c>
      <c r="K183" s="14">
        <v>38.286999999999999</v>
      </c>
      <c r="L183" s="9">
        <f t="shared" si="5"/>
        <v>5651230663500195</v>
      </c>
      <c r="M183" s="9">
        <f t="shared" si="6"/>
        <v>28312140742031.008</v>
      </c>
    </row>
    <row r="184" spans="1:13" ht="15.75" customHeight="1" x14ac:dyDescent="0.2">
      <c r="A184" s="7" t="s">
        <v>213</v>
      </c>
      <c r="B184" s="7">
        <v>4.3</v>
      </c>
      <c r="C184" s="7">
        <v>5.39</v>
      </c>
      <c r="D184" s="7" t="s">
        <v>214</v>
      </c>
      <c r="E184" s="7">
        <v>3.65</v>
      </c>
      <c r="F184" s="7">
        <v>3.6999999999999998E-5</v>
      </c>
      <c r="G184" s="7">
        <v>3.65</v>
      </c>
      <c r="H184" s="7">
        <v>12</v>
      </c>
      <c r="I184" s="7">
        <v>113</v>
      </c>
      <c r="L184" s="9">
        <f t="shared" si="5"/>
        <v>355557305560750.88</v>
      </c>
      <c r="M184" s="9">
        <f t="shared" si="6"/>
        <v>1971150442.4778755</v>
      </c>
    </row>
    <row r="185" spans="1:13" ht="15.75" customHeight="1" x14ac:dyDescent="0.2">
      <c r="A185" s="7" t="s">
        <v>215</v>
      </c>
      <c r="B185" s="7">
        <v>95.7</v>
      </c>
      <c r="C185" s="7">
        <v>4.01</v>
      </c>
      <c r="D185" s="7">
        <v>-2.1</v>
      </c>
      <c r="E185" s="7">
        <v>2.02</v>
      </c>
      <c r="F185" s="7">
        <v>0.55000000000000004</v>
      </c>
      <c r="G185" s="7">
        <v>2.57</v>
      </c>
      <c r="H185" s="7">
        <v>202</v>
      </c>
      <c r="I185" s="7">
        <v>115</v>
      </c>
      <c r="L185" s="9">
        <f t="shared" si="5"/>
        <v>5881123954151956</v>
      </c>
      <c r="M185" s="9">
        <f t="shared" si="6"/>
        <v>28791304347826.086</v>
      </c>
    </row>
    <row r="186" spans="1:13" ht="15.75" customHeight="1" x14ac:dyDescent="0.2">
      <c r="A186" s="7" t="s">
        <v>216</v>
      </c>
      <c r="B186" s="7" t="s">
        <v>13</v>
      </c>
      <c r="C186" s="7">
        <v>6.2249999999999996</v>
      </c>
      <c r="D186" s="7" t="s">
        <v>13</v>
      </c>
      <c r="E186" s="7">
        <v>4.8710000000000004</v>
      </c>
      <c r="F186" s="7">
        <v>2.1999999999999999E-2</v>
      </c>
      <c r="G186" s="7">
        <v>4.8920000000000003</v>
      </c>
      <c r="H186" s="7">
        <v>0.626</v>
      </c>
      <c r="I186" s="7">
        <v>118.69</v>
      </c>
      <c r="J186" s="14">
        <v>7.28</v>
      </c>
      <c r="K186" s="14">
        <v>36.936999999999998</v>
      </c>
      <c r="L186" s="9">
        <f t="shared" si="5"/>
        <v>17659036622543.594</v>
      </c>
      <c r="M186" s="9">
        <f t="shared" si="6"/>
        <v>1115848007414.2725</v>
      </c>
    </row>
    <row r="187" spans="1:13" ht="15.75" customHeight="1" x14ac:dyDescent="0.2">
      <c r="A187" s="7" t="s">
        <v>217</v>
      </c>
      <c r="B187" s="7">
        <v>1</v>
      </c>
      <c r="C187" s="7">
        <v>6</v>
      </c>
      <c r="D187" s="7">
        <v>0</v>
      </c>
      <c r="E187" s="7" t="s">
        <v>122</v>
      </c>
      <c r="F187" s="7">
        <v>0</v>
      </c>
      <c r="G187" s="7" t="s">
        <v>122</v>
      </c>
      <c r="H187" s="7">
        <v>1</v>
      </c>
      <c r="I187" s="7">
        <v>112</v>
      </c>
      <c r="L187" s="9">
        <f t="shared" si="5"/>
        <v>29894327030033.363</v>
      </c>
      <c r="M187" s="9">
        <f t="shared" si="6"/>
        <v>0</v>
      </c>
    </row>
    <row r="188" spans="1:13" ht="15.75" customHeight="1" x14ac:dyDescent="0.2">
      <c r="A188" s="7" t="s">
        <v>218</v>
      </c>
      <c r="B188" s="7">
        <v>0.7</v>
      </c>
      <c r="C188" s="7">
        <v>6.2</v>
      </c>
      <c r="D188" s="7">
        <v>0</v>
      </c>
      <c r="E188" s="7">
        <v>4.8</v>
      </c>
      <c r="F188" s="7">
        <v>0</v>
      </c>
      <c r="G188" s="7">
        <v>4.8</v>
      </c>
      <c r="H188" s="7">
        <v>0.114</v>
      </c>
      <c r="I188" s="7">
        <v>114</v>
      </c>
      <c r="L188" s="9">
        <f t="shared" si="5"/>
        <v>3348164627363.7373</v>
      </c>
      <c r="M188" s="9">
        <f t="shared" si="6"/>
        <v>0</v>
      </c>
    </row>
    <row r="189" spans="1:13" ht="15.75" customHeight="1" x14ac:dyDescent="0.2">
      <c r="A189" s="7" t="s">
        <v>219</v>
      </c>
      <c r="B189" s="7">
        <v>0.4</v>
      </c>
      <c r="C189" s="7">
        <v>6</v>
      </c>
      <c r="D189" s="7" t="s">
        <v>13</v>
      </c>
      <c r="E189" s="7" t="s">
        <v>122</v>
      </c>
      <c r="F189" s="7">
        <v>0.3</v>
      </c>
      <c r="G189" s="7" t="s">
        <v>220</v>
      </c>
      <c r="H189" s="7">
        <v>30</v>
      </c>
      <c r="I189" s="7">
        <v>115</v>
      </c>
      <c r="L189" s="9">
        <f t="shared" si="5"/>
        <v>873434250616626.88</v>
      </c>
      <c r="M189" s="9">
        <f t="shared" si="6"/>
        <v>15704347826086.953</v>
      </c>
    </row>
    <row r="190" spans="1:13" ht="15.75" customHeight="1" x14ac:dyDescent="0.2">
      <c r="A190" s="7" t="s">
        <v>221</v>
      </c>
      <c r="B190" s="7">
        <v>14.7</v>
      </c>
      <c r="C190" s="7">
        <v>5.93</v>
      </c>
      <c r="D190" s="7">
        <v>0</v>
      </c>
      <c r="E190" s="7">
        <v>4.42</v>
      </c>
      <c r="F190" s="7">
        <v>0</v>
      </c>
      <c r="G190" s="7">
        <v>4.42</v>
      </c>
      <c r="H190" s="7">
        <v>0.14000000000000001</v>
      </c>
      <c r="I190" s="7">
        <v>116</v>
      </c>
      <c r="L190" s="9">
        <f t="shared" si="5"/>
        <v>4040888343370.0273</v>
      </c>
      <c r="M190" s="9">
        <f t="shared" si="6"/>
        <v>0</v>
      </c>
    </row>
    <row r="191" spans="1:13" ht="15.75" customHeight="1" x14ac:dyDescent="0.2">
      <c r="A191" s="7" t="s">
        <v>222</v>
      </c>
      <c r="B191" s="7">
        <v>7.7</v>
      </c>
      <c r="C191" s="7">
        <v>6.48</v>
      </c>
      <c r="D191" s="7" t="s">
        <v>13</v>
      </c>
      <c r="E191" s="7">
        <v>5.28</v>
      </c>
      <c r="F191" s="7">
        <v>0.3</v>
      </c>
      <c r="G191" s="7">
        <v>5.6</v>
      </c>
      <c r="H191" s="7">
        <v>2.2999999999999998</v>
      </c>
      <c r="I191" s="7">
        <v>117</v>
      </c>
      <c r="L191" s="9">
        <f t="shared" si="5"/>
        <v>65818620879799.961</v>
      </c>
      <c r="M191" s="9">
        <f t="shared" si="6"/>
        <v>15435897435897.432</v>
      </c>
    </row>
    <row r="192" spans="1:13" ht="15.75" customHeight="1" x14ac:dyDescent="0.2">
      <c r="A192" s="7" t="s">
        <v>223</v>
      </c>
      <c r="B192" s="7">
        <v>24.3</v>
      </c>
      <c r="C192" s="7">
        <v>6.07</v>
      </c>
      <c r="D192" s="7">
        <v>0</v>
      </c>
      <c r="E192" s="7">
        <v>4.63</v>
      </c>
      <c r="F192" s="7">
        <v>0</v>
      </c>
      <c r="G192" s="7">
        <v>4.63</v>
      </c>
      <c r="H192" s="7">
        <v>0.22</v>
      </c>
      <c r="I192" s="7">
        <v>118</v>
      </c>
      <c r="L192" s="9">
        <f t="shared" si="5"/>
        <v>6242340830678.1543</v>
      </c>
      <c r="M192" s="9">
        <f t="shared" si="6"/>
        <v>0</v>
      </c>
    </row>
    <row r="193" spans="1:13" ht="15.75" customHeight="1" x14ac:dyDescent="0.2">
      <c r="A193" s="7" t="s">
        <v>224</v>
      </c>
      <c r="B193" s="7">
        <v>8.6</v>
      </c>
      <c r="C193" s="7">
        <v>6.12</v>
      </c>
      <c r="D193" s="7" t="s">
        <v>13</v>
      </c>
      <c r="E193" s="7">
        <v>4.71</v>
      </c>
      <c r="F193" s="7">
        <v>0.3</v>
      </c>
      <c r="G193" s="7">
        <v>5</v>
      </c>
      <c r="H193" s="7">
        <v>2.2000000000000002</v>
      </c>
      <c r="I193" s="7">
        <v>119</v>
      </c>
      <c r="L193" s="9">
        <f t="shared" si="5"/>
        <v>61898841850422.031</v>
      </c>
      <c r="M193" s="9">
        <f t="shared" si="6"/>
        <v>15176470588235.289</v>
      </c>
    </row>
    <row r="194" spans="1:13" ht="15.75" customHeight="1" x14ac:dyDescent="0.2">
      <c r="A194" s="7" t="s">
        <v>225</v>
      </c>
      <c r="B194" s="7">
        <v>32.4</v>
      </c>
      <c r="C194" s="7">
        <v>6.49</v>
      </c>
      <c r="D194" s="7">
        <v>0</v>
      </c>
      <c r="E194" s="7">
        <v>5.29</v>
      </c>
      <c r="F194" s="7">
        <v>0</v>
      </c>
      <c r="G194" s="7">
        <v>5.29</v>
      </c>
      <c r="H194" s="7">
        <v>0.14000000000000001</v>
      </c>
      <c r="I194" s="7">
        <v>120</v>
      </c>
      <c r="L194" s="9">
        <f t="shared" si="5"/>
        <v>3906192065257.6934</v>
      </c>
      <c r="M194" s="9">
        <f t="shared" si="6"/>
        <v>0</v>
      </c>
    </row>
    <row r="195" spans="1:13" ht="15.75" customHeight="1" x14ac:dyDescent="0.2">
      <c r="A195" s="7" t="s">
        <v>226</v>
      </c>
      <c r="B195" s="7">
        <v>4.5999999999999996</v>
      </c>
      <c r="C195" s="7">
        <v>5.74</v>
      </c>
      <c r="D195" s="7">
        <v>0</v>
      </c>
      <c r="E195" s="7">
        <v>4.1399999999999997</v>
      </c>
      <c r="F195" s="7">
        <v>0</v>
      </c>
      <c r="G195" s="7">
        <v>4.1399999999999997</v>
      </c>
      <c r="H195" s="7">
        <v>0.18</v>
      </c>
      <c r="I195" s="7">
        <v>122</v>
      </c>
      <c r="L195" s="9">
        <f t="shared" si="5"/>
        <v>4939915023979.2842</v>
      </c>
      <c r="M195" s="9">
        <f t="shared" si="6"/>
        <v>0</v>
      </c>
    </row>
    <row r="196" spans="1:13" ht="15.75" customHeight="1" x14ac:dyDescent="0.2">
      <c r="A196" s="7" t="s">
        <v>227</v>
      </c>
      <c r="B196" s="7">
        <v>5.6</v>
      </c>
      <c r="C196" s="7">
        <v>5.97</v>
      </c>
      <c r="D196" s="7">
        <v>0</v>
      </c>
      <c r="E196" s="7">
        <v>4.4800000000000004</v>
      </c>
      <c r="F196" s="7">
        <v>0</v>
      </c>
      <c r="G196" s="7">
        <v>4.4800000000000004</v>
      </c>
      <c r="H196" s="7">
        <v>0.13300000000000001</v>
      </c>
      <c r="I196" s="7">
        <v>124</v>
      </c>
      <c r="L196" s="9">
        <f t="shared" ref="L196:L259" si="7">(H196*10^-8/1.798)*6.02*10^23/I196</f>
        <v>3591176576124.0088</v>
      </c>
      <c r="M196" s="9">
        <f t="shared" si="6"/>
        <v>0</v>
      </c>
    </row>
    <row r="197" spans="1:13" ht="15.75" customHeight="1" x14ac:dyDescent="0.2">
      <c r="A197" s="7" t="s">
        <v>228</v>
      </c>
      <c r="B197" s="7" t="s">
        <v>13</v>
      </c>
      <c r="C197" s="7">
        <v>5.57</v>
      </c>
      <c r="D197" s="7" t="s">
        <v>13</v>
      </c>
      <c r="E197" s="7">
        <v>3.9</v>
      </c>
      <c r="F197" s="7">
        <v>7.0000000000000001E-3</v>
      </c>
      <c r="G197" s="7">
        <v>3.9</v>
      </c>
      <c r="H197" s="7">
        <v>4.91</v>
      </c>
      <c r="I197" s="7">
        <v>121.75</v>
      </c>
      <c r="J197" s="14">
        <v>6.6840000000000002</v>
      </c>
      <c r="K197" s="14">
        <v>33.06</v>
      </c>
      <c r="L197" s="9">
        <f t="shared" si="7"/>
        <v>135026598113806.55</v>
      </c>
      <c r="M197" s="9">
        <f t="shared" si="6"/>
        <v>346119096509.24023</v>
      </c>
    </row>
    <row r="198" spans="1:13" ht="15.75" customHeight="1" x14ac:dyDescent="0.2">
      <c r="A198" s="7" t="s">
        <v>229</v>
      </c>
      <c r="B198" s="7">
        <v>57.3</v>
      </c>
      <c r="C198" s="7">
        <v>5.71</v>
      </c>
      <c r="D198" s="7">
        <v>-0.05</v>
      </c>
      <c r="E198" s="7">
        <v>4.0999999999999996</v>
      </c>
      <c r="F198" s="7">
        <v>2.9999999999999997E-4</v>
      </c>
      <c r="G198" s="7">
        <v>4.0999999999999996</v>
      </c>
      <c r="H198" s="7">
        <v>5.75</v>
      </c>
      <c r="I198" s="7">
        <v>121</v>
      </c>
      <c r="L198" s="9">
        <f t="shared" si="7"/>
        <v>159106996754888.31</v>
      </c>
      <c r="M198" s="9">
        <f t="shared" si="6"/>
        <v>14925619834.710739</v>
      </c>
    </row>
    <row r="199" spans="1:13" ht="15.75" customHeight="1" x14ac:dyDescent="0.2">
      <c r="A199" s="7" t="s">
        <v>230</v>
      </c>
      <c r="B199" s="7">
        <v>42.7</v>
      </c>
      <c r="C199" s="7">
        <v>5.38</v>
      </c>
      <c r="D199" s="7">
        <v>-0.1</v>
      </c>
      <c r="E199" s="7">
        <v>3.64</v>
      </c>
      <c r="F199" s="7">
        <v>1E-3</v>
      </c>
      <c r="G199" s="7">
        <v>3.64</v>
      </c>
      <c r="H199" s="7">
        <v>3.8</v>
      </c>
      <c r="I199" s="7">
        <v>123</v>
      </c>
      <c r="L199" s="9">
        <f t="shared" si="7"/>
        <v>103439232390099.19</v>
      </c>
      <c r="M199" s="9">
        <f t="shared" si="6"/>
        <v>48943089430.894302</v>
      </c>
    </row>
    <row r="200" spans="1:13" ht="15.75" customHeight="1" x14ac:dyDescent="0.2">
      <c r="A200" s="7" t="s">
        <v>231</v>
      </c>
      <c r="B200" s="7" t="s">
        <v>13</v>
      </c>
      <c r="C200" s="7">
        <v>5.8</v>
      </c>
      <c r="D200" s="7" t="s">
        <v>13</v>
      </c>
      <c r="E200" s="7">
        <v>4.2300000000000004</v>
      </c>
      <c r="F200" s="7">
        <v>0.09</v>
      </c>
      <c r="G200" s="7">
        <v>4.32</v>
      </c>
      <c r="H200" s="7">
        <v>4.7</v>
      </c>
      <c r="I200" s="7">
        <v>127.6</v>
      </c>
      <c r="J200" s="14">
        <v>6</v>
      </c>
      <c r="K200" s="14">
        <v>28.317</v>
      </c>
      <c r="L200" s="9">
        <f t="shared" si="7"/>
        <v>123325813076877.48</v>
      </c>
      <c r="M200" s="9">
        <f t="shared" si="6"/>
        <v>4246081504702.1934</v>
      </c>
    </row>
    <row r="201" spans="1:13" ht="15.75" customHeight="1" x14ac:dyDescent="0.2">
      <c r="A201" s="7" t="s">
        <v>232</v>
      </c>
      <c r="B201" s="7">
        <v>9.6000000000000002E-2</v>
      </c>
      <c r="C201" s="7">
        <v>5.3</v>
      </c>
      <c r="D201" s="7">
        <v>0</v>
      </c>
      <c r="E201" s="7">
        <v>3.5</v>
      </c>
      <c r="F201" s="7">
        <v>0</v>
      </c>
      <c r="G201" s="7">
        <v>3.5</v>
      </c>
      <c r="H201" s="7">
        <v>2.2999999999999998</v>
      </c>
      <c r="I201" s="7">
        <v>120</v>
      </c>
      <c r="L201" s="9">
        <f t="shared" si="7"/>
        <v>64173155357804.961</v>
      </c>
      <c r="M201" s="9">
        <f t="shared" si="6"/>
        <v>0</v>
      </c>
    </row>
    <row r="202" spans="1:13" ht="15.75" customHeight="1" x14ac:dyDescent="0.2">
      <c r="A202" s="7" t="s">
        <v>233</v>
      </c>
      <c r="B202" s="7">
        <v>2.6</v>
      </c>
      <c r="C202" s="7">
        <v>3.8</v>
      </c>
      <c r="D202" s="7">
        <v>0</v>
      </c>
      <c r="E202" s="7">
        <v>1.8</v>
      </c>
      <c r="F202" s="7">
        <v>0</v>
      </c>
      <c r="G202" s="7">
        <v>1.8</v>
      </c>
      <c r="H202" s="7">
        <v>3.4</v>
      </c>
      <c r="I202" s="7">
        <v>122</v>
      </c>
      <c r="L202" s="9">
        <f t="shared" si="7"/>
        <v>93309506008497.594</v>
      </c>
      <c r="M202" s="9">
        <f t="shared" si="6"/>
        <v>0</v>
      </c>
    </row>
    <row r="203" spans="1:13" ht="15.75" customHeight="1" x14ac:dyDescent="0.2">
      <c r="A203" s="7" t="s">
        <v>234</v>
      </c>
      <c r="B203" s="7">
        <v>0.90800000000000003</v>
      </c>
      <c r="C203" s="7">
        <v>-0.05</v>
      </c>
      <c r="D203" s="7">
        <v>-2.04</v>
      </c>
      <c r="E203" s="7">
        <v>2E-3</v>
      </c>
      <c r="F203" s="7">
        <v>0.52</v>
      </c>
      <c r="G203" s="7">
        <v>0.52</v>
      </c>
      <c r="H203" s="7">
        <v>418</v>
      </c>
      <c r="I203" s="7">
        <v>123</v>
      </c>
      <c r="L203" s="9">
        <f t="shared" si="7"/>
        <v>1.137831556291091E+16</v>
      </c>
      <c r="M203" s="9">
        <f t="shared" si="6"/>
        <v>25450406504065.039</v>
      </c>
    </row>
    <row r="204" spans="1:13" ht="15.75" customHeight="1" x14ac:dyDescent="0.2">
      <c r="A204" s="7" t="s">
        <v>235</v>
      </c>
      <c r="B204" s="7">
        <v>4.8159999999999998</v>
      </c>
      <c r="C204" s="7">
        <v>7.96</v>
      </c>
      <c r="D204" s="7">
        <v>0</v>
      </c>
      <c r="E204" s="7">
        <v>8</v>
      </c>
      <c r="F204" s="7">
        <v>0</v>
      </c>
      <c r="G204" s="7">
        <v>8</v>
      </c>
      <c r="H204" s="7">
        <v>6.8</v>
      </c>
      <c r="I204" s="7">
        <v>124</v>
      </c>
      <c r="L204" s="9">
        <f t="shared" si="7"/>
        <v>183609027952204.94</v>
      </c>
      <c r="M204" s="9">
        <f t="shared" si="6"/>
        <v>0</v>
      </c>
    </row>
    <row r="205" spans="1:13" ht="15.75" customHeight="1" x14ac:dyDescent="0.2">
      <c r="A205" s="7" t="s">
        <v>236</v>
      </c>
      <c r="B205" s="7">
        <v>7.14</v>
      </c>
      <c r="C205" s="7">
        <v>5.0199999999999996</v>
      </c>
      <c r="D205" s="7">
        <v>-0.26</v>
      </c>
      <c r="E205" s="7">
        <v>3.17</v>
      </c>
      <c r="F205" s="7">
        <v>8.0000000000000002E-3</v>
      </c>
      <c r="G205" s="7">
        <v>3.18</v>
      </c>
      <c r="H205" s="7">
        <v>1.55</v>
      </c>
      <c r="I205" s="7">
        <v>125</v>
      </c>
      <c r="L205" s="9">
        <f t="shared" si="7"/>
        <v>41517241379310.336</v>
      </c>
      <c r="M205" s="9">
        <f t="shared" si="6"/>
        <v>385279999999.99994</v>
      </c>
    </row>
    <row r="206" spans="1:13" ht="15.75" customHeight="1" x14ac:dyDescent="0.2">
      <c r="A206" s="7" t="s">
        <v>237</v>
      </c>
      <c r="B206" s="7">
        <v>18.95</v>
      </c>
      <c r="C206" s="7">
        <v>5.56</v>
      </c>
      <c r="D206" s="7">
        <v>0</v>
      </c>
      <c r="E206" s="7">
        <v>3.88</v>
      </c>
      <c r="F206" s="7">
        <v>0</v>
      </c>
      <c r="G206" s="7">
        <v>3.88</v>
      </c>
      <c r="H206" s="7">
        <v>1.04</v>
      </c>
      <c r="I206" s="7">
        <v>126</v>
      </c>
      <c r="L206" s="9">
        <f t="shared" si="7"/>
        <v>27635644543319.734</v>
      </c>
      <c r="M206" s="9">
        <f t="shared" ref="M206:M269" si="8">F206*10^-8*6.02*10^23/I206</f>
        <v>0</v>
      </c>
    </row>
    <row r="207" spans="1:13" ht="15.75" customHeight="1" x14ac:dyDescent="0.2">
      <c r="A207" s="7" t="s">
        <v>238</v>
      </c>
      <c r="B207" s="7">
        <v>31.69</v>
      </c>
      <c r="C207" s="7">
        <v>5.89</v>
      </c>
      <c r="D207" s="7">
        <v>0</v>
      </c>
      <c r="E207" s="7">
        <v>4.3600000000000003</v>
      </c>
      <c r="F207" s="7">
        <v>0</v>
      </c>
      <c r="G207" s="7">
        <v>4.3600000000000003</v>
      </c>
      <c r="H207" s="7">
        <v>0.215</v>
      </c>
      <c r="I207" s="7">
        <v>128</v>
      </c>
      <c r="L207" s="9">
        <f t="shared" si="7"/>
        <v>5623870272525.0264</v>
      </c>
      <c r="M207" s="9">
        <f t="shared" si="8"/>
        <v>0</v>
      </c>
    </row>
    <row r="208" spans="1:13" ht="15.75" customHeight="1" x14ac:dyDescent="0.2">
      <c r="A208" s="7" t="s">
        <v>239</v>
      </c>
      <c r="B208" s="7">
        <v>33.799999999999997</v>
      </c>
      <c r="C208" s="7">
        <v>6.02</v>
      </c>
      <c r="D208" s="7">
        <v>0</v>
      </c>
      <c r="E208" s="7">
        <v>4.55</v>
      </c>
      <c r="F208" s="7">
        <v>0</v>
      </c>
      <c r="G208" s="7">
        <v>4.55</v>
      </c>
      <c r="H208" s="7">
        <v>0.28999999999999998</v>
      </c>
      <c r="I208" s="7">
        <v>130</v>
      </c>
      <c r="L208" s="9">
        <f t="shared" si="7"/>
        <v>7468982630272.9512</v>
      </c>
      <c r="M208" s="9">
        <f t="shared" si="8"/>
        <v>0</v>
      </c>
    </row>
    <row r="209" spans="1:13" ht="15.75" customHeight="1" x14ac:dyDescent="0.2">
      <c r="A209" s="7" t="s">
        <v>240</v>
      </c>
      <c r="B209" s="7">
        <v>100</v>
      </c>
      <c r="C209" s="7">
        <v>5.28</v>
      </c>
      <c r="D209" s="7">
        <v>1.58</v>
      </c>
      <c r="E209" s="7">
        <v>3.5</v>
      </c>
      <c r="F209" s="7">
        <v>0.31</v>
      </c>
      <c r="G209" s="7">
        <v>3.81</v>
      </c>
      <c r="H209" s="7">
        <v>6.15</v>
      </c>
      <c r="I209" s="7">
        <v>126.91</v>
      </c>
      <c r="J209" s="14">
        <v>4.9199999999999999E-3</v>
      </c>
      <c r="K209" s="14">
        <v>2.3345999999999999E-2</v>
      </c>
      <c r="L209" s="9">
        <f t="shared" si="7"/>
        <v>162250511845299.69</v>
      </c>
      <c r="M209" s="9">
        <f t="shared" si="8"/>
        <v>14704908990623.275</v>
      </c>
    </row>
    <row r="210" spans="1:13" ht="15.75" customHeight="1" x14ac:dyDescent="0.2">
      <c r="A210" s="7" t="s">
        <v>241</v>
      </c>
      <c r="B210" s="7" t="s">
        <v>13</v>
      </c>
      <c r="C210" s="7">
        <v>4.92</v>
      </c>
      <c r="D210" s="7">
        <v>3.04</v>
      </c>
      <c r="E210" s="7">
        <v>2.96</v>
      </c>
      <c r="F210" s="7">
        <v>0</v>
      </c>
      <c r="G210" s="7" t="s">
        <v>13</v>
      </c>
      <c r="H210" s="7">
        <v>23.9</v>
      </c>
      <c r="I210" s="7">
        <v>131.30000000000001</v>
      </c>
      <c r="J210" s="14">
        <v>5.8900000000000003E-3</v>
      </c>
      <c r="K210" s="14">
        <v>2.7014E-2</v>
      </c>
      <c r="L210" s="9">
        <f t="shared" si="7"/>
        <v>609452662558974.13</v>
      </c>
      <c r="M210" s="9">
        <f t="shared" si="8"/>
        <v>0</v>
      </c>
    </row>
    <row r="211" spans="1:13" ht="15.75" customHeight="1" x14ac:dyDescent="0.2">
      <c r="A211" s="7" t="s">
        <v>242</v>
      </c>
      <c r="B211" s="7">
        <v>0.1</v>
      </c>
      <c r="C211" s="7" t="s">
        <v>13</v>
      </c>
      <c r="D211" s="7">
        <v>0</v>
      </c>
      <c r="E211" s="7" t="s">
        <v>13</v>
      </c>
      <c r="F211" s="7">
        <v>0</v>
      </c>
      <c r="G211" s="7" t="s">
        <v>13</v>
      </c>
      <c r="H211" s="7">
        <v>165</v>
      </c>
      <c r="I211" s="7">
        <v>124</v>
      </c>
      <c r="L211" s="9">
        <f t="shared" si="7"/>
        <v>4455219060604973</v>
      </c>
      <c r="M211" s="9">
        <f t="shared" si="8"/>
        <v>0</v>
      </c>
    </row>
    <row r="212" spans="1:13" ht="15.75" customHeight="1" x14ac:dyDescent="0.2">
      <c r="A212" s="7" t="s">
        <v>243</v>
      </c>
      <c r="B212" s="7">
        <v>0.09</v>
      </c>
      <c r="C212" s="7" t="s">
        <v>13</v>
      </c>
      <c r="D212" s="7">
        <v>0</v>
      </c>
      <c r="E212" s="7" t="s">
        <v>13</v>
      </c>
      <c r="F212" s="7">
        <v>0</v>
      </c>
      <c r="G212" s="7" t="s">
        <v>13</v>
      </c>
      <c r="H212" s="7">
        <v>3.5</v>
      </c>
      <c r="I212" s="7">
        <v>126</v>
      </c>
      <c r="L212" s="9">
        <f t="shared" si="7"/>
        <v>93004572982326.031</v>
      </c>
      <c r="M212" s="9">
        <f t="shared" si="8"/>
        <v>0</v>
      </c>
    </row>
    <row r="213" spans="1:13" ht="15.75" customHeight="1" x14ac:dyDescent="0.2">
      <c r="A213" s="7" t="s">
        <v>244</v>
      </c>
      <c r="B213" s="7">
        <v>1.91</v>
      </c>
      <c r="C213" s="7" t="s">
        <v>13</v>
      </c>
      <c r="D213" s="7">
        <v>0</v>
      </c>
      <c r="E213" s="7" t="s">
        <v>13</v>
      </c>
      <c r="F213" s="7">
        <v>0</v>
      </c>
      <c r="G213" s="7" t="s">
        <v>13</v>
      </c>
      <c r="H213" s="7" t="s">
        <v>245</v>
      </c>
      <c r="I213" s="7"/>
      <c r="L213" s="9" t="e">
        <f t="shared" si="7"/>
        <v>#VALUE!</v>
      </c>
    </row>
    <row r="214" spans="1:13" ht="15.75" customHeight="1" x14ac:dyDescent="0.2">
      <c r="A214" s="7" t="s">
        <v>246</v>
      </c>
      <c r="B214" s="7">
        <v>26.4</v>
      </c>
      <c r="C214" s="7" t="s">
        <v>13</v>
      </c>
      <c r="D214" s="7" t="s">
        <v>13</v>
      </c>
      <c r="E214" s="7" t="s">
        <v>13</v>
      </c>
      <c r="F214" s="7" t="s">
        <v>13</v>
      </c>
      <c r="G214" s="7" t="s">
        <v>13</v>
      </c>
      <c r="H214" s="7">
        <v>21</v>
      </c>
      <c r="I214" s="7">
        <v>129</v>
      </c>
      <c r="L214" s="9">
        <f t="shared" si="7"/>
        <v>545050055617352.5</v>
      </c>
    </row>
    <row r="215" spans="1:13" ht="15.75" customHeight="1" x14ac:dyDescent="0.2">
      <c r="A215" s="7" t="s">
        <v>247</v>
      </c>
      <c r="B215" s="7">
        <v>4.0999999999999996</v>
      </c>
      <c r="C215" s="7" t="s">
        <v>13</v>
      </c>
      <c r="D215" s="7">
        <v>0</v>
      </c>
      <c r="E215" s="7" t="s">
        <v>13</v>
      </c>
      <c r="F215" s="7">
        <v>0</v>
      </c>
      <c r="G215" s="7" t="s">
        <v>13</v>
      </c>
      <c r="H215" s="7" t="s">
        <v>248</v>
      </c>
      <c r="I215" s="7"/>
      <c r="L215" s="9" t="e">
        <f t="shared" si="7"/>
        <v>#VALUE!</v>
      </c>
    </row>
    <row r="216" spans="1:13" ht="15.75" customHeight="1" x14ac:dyDescent="0.2">
      <c r="A216" s="7" t="s">
        <v>249</v>
      </c>
      <c r="B216" s="7">
        <v>21.2</v>
      </c>
      <c r="C216" s="7" t="s">
        <v>13</v>
      </c>
      <c r="D216" s="7" t="s">
        <v>13</v>
      </c>
      <c r="E216" s="7" t="s">
        <v>13</v>
      </c>
      <c r="F216" s="7" t="s">
        <v>13</v>
      </c>
      <c r="G216" s="7" t="s">
        <v>13</v>
      </c>
      <c r="H216" s="7">
        <v>85</v>
      </c>
      <c r="I216" s="7">
        <v>131</v>
      </c>
      <c r="L216" s="9">
        <f t="shared" si="7"/>
        <v>2172473231495554.5</v>
      </c>
    </row>
    <row r="217" spans="1:13" ht="15.75" customHeight="1" x14ac:dyDescent="0.2">
      <c r="A217" s="7" t="s">
        <v>250</v>
      </c>
      <c r="B217" s="7">
        <v>26.9</v>
      </c>
      <c r="C217" s="7" t="s">
        <v>13</v>
      </c>
      <c r="D217" s="7">
        <v>0</v>
      </c>
      <c r="E217" s="7" t="s">
        <v>13</v>
      </c>
      <c r="F217" s="7">
        <v>0</v>
      </c>
      <c r="G217" s="7" t="s">
        <v>13</v>
      </c>
      <c r="H217" s="7">
        <v>0.45</v>
      </c>
      <c r="I217" s="7">
        <v>132</v>
      </c>
      <c r="L217" s="9">
        <f t="shared" si="7"/>
        <v>11414197593285.469</v>
      </c>
      <c r="M217" s="9">
        <f t="shared" si="8"/>
        <v>0</v>
      </c>
    </row>
    <row r="218" spans="1:13" ht="15.75" customHeight="1" x14ac:dyDescent="0.2">
      <c r="A218" s="7" t="s">
        <v>251</v>
      </c>
      <c r="B218" s="7">
        <v>10.4</v>
      </c>
      <c r="C218" s="7" t="s">
        <v>13</v>
      </c>
      <c r="D218" s="7">
        <v>0</v>
      </c>
      <c r="E218" s="7" t="s">
        <v>13</v>
      </c>
      <c r="F218" s="7">
        <v>0</v>
      </c>
      <c r="G218" s="7" t="s">
        <v>13</v>
      </c>
      <c r="H218" s="7">
        <v>0.26500000000000001</v>
      </c>
      <c r="I218" s="7">
        <v>134</v>
      </c>
      <c r="L218" s="9">
        <f t="shared" si="7"/>
        <v>6621370345159.6289</v>
      </c>
      <c r="M218" s="9">
        <f t="shared" si="8"/>
        <v>0</v>
      </c>
    </row>
    <row r="219" spans="1:13" ht="15.75" customHeight="1" x14ac:dyDescent="0.2">
      <c r="A219" s="7" t="s">
        <v>252</v>
      </c>
      <c r="B219" s="7">
        <v>8.9</v>
      </c>
      <c r="C219" s="7" t="s">
        <v>13</v>
      </c>
      <c r="D219" s="7">
        <v>0</v>
      </c>
      <c r="E219" s="7" t="s">
        <v>13</v>
      </c>
      <c r="F219" s="7">
        <v>0</v>
      </c>
      <c r="G219" s="7" t="s">
        <v>13</v>
      </c>
      <c r="H219" s="7">
        <v>0.26</v>
      </c>
      <c r="I219" s="7">
        <v>136</v>
      </c>
      <c r="L219" s="9">
        <f t="shared" si="7"/>
        <v>6400902964077.7324</v>
      </c>
      <c r="M219" s="9">
        <f t="shared" si="8"/>
        <v>0</v>
      </c>
    </row>
    <row r="220" spans="1:13" ht="15.75" customHeight="1" x14ac:dyDescent="0.2">
      <c r="A220" s="7" t="s">
        <v>253</v>
      </c>
      <c r="B220" s="7">
        <v>100</v>
      </c>
      <c r="C220" s="7">
        <v>5.42</v>
      </c>
      <c r="D220" s="7">
        <v>1.29</v>
      </c>
      <c r="E220" s="7">
        <v>3.69</v>
      </c>
      <c r="F220" s="7">
        <v>0.21</v>
      </c>
      <c r="G220" s="7">
        <v>3.9</v>
      </c>
      <c r="H220" s="7">
        <v>29</v>
      </c>
      <c r="I220" s="7">
        <v>132.905</v>
      </c>
      <c r="J220" s="14">
        <v>1.88</v>
      </c>
      <c r="K220" s="14">
        <v>8.5183999999999997</v>
      </c>
      <c r="L220" s="9">
        <f t="shared" si="7"/>
        <v>730572771479992.25</v>
      </c>
      <c r="M220" s="9">
        <f t="shared" si="8"/>
        <v>9512057484669.498</v>
      </c>
    </row>
    <row r="221" spans="1:13" ht="15.75" customHeight="1" x14ac:dyDescent="0.2">
      <c r="A221" s="7" t="s">
        <v>254</v>
      </c>
      <c r="B221" s="7" t="s">
        <v>13</v>
      </c>
      <c r="C221" s="7">
        <v>5.07</v>
      </c>
      <c r="D221" s="7" t="s">
        <v>13</v>
      </c>
      <c r="E221" s="7">
        <v>3.23</v>
      </c>
      <c r="F221" s="7">
        <v>0.15</v>
      </c>
      <c r="G221" s="7">
        <v>3.38</v>
      </c>
      <c r="H221" s="7">
        <v>1.1000000000000001</v>
      </c>
      <c r="I221" s="7">
        <v>137.33000000000001</v>
      </c>
      <c r="J221" s="14">
        <v>3.5</v>
      </c>
      <c r="K221" s="14">
        <v>15.348000000000001</v>
      </c>
      <c r="L221" s="9">
        <f t="shared" si="7"/>
        <v>26818474405447.539</v>
      </c>
      <c r="M221" s="9">
        <f t="shared" si="8"/>
        <v>6575402315590.1816</v>
      </c>
    </row>
    <row r="222" spans="1:13" ht="15.75" customHeight="1" x14ac:dyDescent="0.2">
      <c r="A222" s="7" t="s">
        <v>255</v>
      </c>
      <c r="B222" s="7">
        <v>0.11</v>
      </c>
      <c r="C222" s="7">
        <v>-3.6</v>
      </c>
      <c r="D222" s="7">
        <v>0</v>
      </c>
      <c r="E222" s="7">
        <v>1.6</v>
      </c>
      <c r="F222" s="7">
        <v>0</v>
      </c>
      <c r="G222" s="7">
        <v>1.6</v>
      </c>
      <c r="H222" s="7">
        <v>30</v>
      </c>
      <c r="I222" s="7">
        <v>130</v>
      </c>
      <c r="L222" s="9">
        <f t="shared" si="7"/>
        <v>772653375545477.63</v>
      </c>
      <c r="M222" s="9">
        <f t="shared" si="8"/>
        <v>0</v>
      </c>
    </row>
    <row r="223" spans="1:13" ht="15.75" customHeight="1" x14ac:dyDescent="0.2">
      <c r="A223" s="7" t="s">
        <v>256</v>
      </c>
      <c r="B223" s="7">
        <v>0.1</v>
      </c>
      <c r="C223" s="7">
        <v>7.8</v>
      </c>
      <c r="D223" s="7">
        <v>0</v>
      </c>
      <c r="E223" s="7">
        <v>7.6</v>
      </c>
      <c r="F223" s="7">
        <v>0</v>
      </c>
      <c r="G223" s="7">
        <v>7.6</v>
      </c>
      <c r="H223" s="7">
        <v>7</v>
      </c>
      <c r="I223" s="7">
        <v>132</v>
      </c>
      <c r="L223" s="9">
        <f t="shared" si="7"/>
        <v>177554184784440.59</v>
      </c>
      <c r="M223" s="9">
        <f t="shared" si="8"/>
        <v>0</v>
      </c>
    </row>
    <row r="224" spans="1:13" ht="15.75" customHeight="1" x14ac:dyDescent="0.2">
      <c r="A224" s="7" t="s">
        <v>257</v>
      </c>
      <c r="B224" s="7">
        <v>2.42</v>
      </c>
      <c r="C224" s="7">
        <v>5.7</v>
      </c>
      <c r="D224" s="7">
        <v>0</v>
      </c>
      <c r="E224" s="7">
        <v>4.08</v>
      </c>
      <c r="F224" s="7">
        <v>0</v>
      </c>
      <c r="G224" s="7">
        <v>4.08</v>
      </c>
      <c r="H224" s="7">
        <v>2</v>
      </c>
      <c r="I224" s="7">
        <v>134</v>
      </c>
      <c r="L224" s="9">
        <f t="shared" si="7"/>
        <v>49972606378563.234</v>
      </c>
      <c r="M224" s="9">
        <f t="shared" si="8"/>
        <v>0</v>
      </c>
    </row>
    <row r="225" spans="1:13" ht="15.75" customHeight="1" x14ac:dyDescent="0.2">
      <c r="A225" s="7" t="s">
        <v>258</v>
      </c>
      <c r="B225" s="7">
        <v>6.59</v>
      </c>
      <c r="C225" s="7">
        <v>4.67</v>
      </c>
      <c r="D225" s="7" t="s">
        <v>13</v>
      </c>
      <c r="E225" s="7">
        <v>2.74</v>
      </c>
      <c r="F225" s="7">
        <v>0.5</v>
      </c>
      <c r="G225" s="7">
        <v>3.2</v>
      </c>
      <c r="H225" s="7">
        <v>5.8</v>
      </c>
      <c r="I225" s="7">
        <v>135</v>
      </c>
      <c r="L225" s="9">
        <f t="shared" si="7"/>
        <v>143847072879330.91</v>
      </c>
      <c r="M225" s="9">
        <f t="shared" si="8"/>
        <v>22296296296296.293</v>
      </c>
    </row>
    <row r="226" spans="1:13" ht="15.75" customHeight="1" x14ac:dyDescent="0.2">
      <c r="A226" s="7" t="s">
        <v>259</v>
      </c>
      <c r="B226" s="7">
        <v>7.85</v>
      </c>
      <c r="C226" s="7">
        <v>4.91</v>
      </c>
      <c r="D226" s="7">
        <v>0</v>
      </c>
      <c r="E226" s="7">
        <v>3.03</v>
      </c>
      <c r="F226" s="7">
        <v>0</v>
      </c>
      <c r="G226" s="7">
        <v>3.03</v>
      </c>
      <c r="H226" s="7">
        <v>0.68</v>
      </c>
      <c r="I226" s="7">
        <v>136</v>
      </c>
      <c r="L226" s="9">
        <f t="shared" si="7"/>
        <v>16740823136818.688</v>
      </c>
      <c r="M226" s="9">
        <f t="shared" si="8"/>
        <v>0</v>
      </c>
    </row>
    <row r="227" spans="1:13" ht="15.75" customHeight="1" x14ac:dyDescent="0.2">
      <c r="A227" s="7" t="s">
        <v>260</v>
      </c>
      <c r="B227" s="7">
        <v>11.23</v>
      </c>
      <c r="C227" s="7">
        <v>6.83</v>
      </c>
      <c r="D227" s="7" t="s">
        <v>13</v>
      </c>
      <c r="E227" s="7">
        <v>5.86</v>
      </c>
      <c r="F227" s="7">
        <v>0.5</v>
      </c>
      <c r="G227" s="7">
        <v>6.4</v>
      </c>
      <c r="H227" s="7">
        <v>3.6</v>
      </c>
      <c r="I227" s="7">
        <v>137</v>
      </c>
      <c r="L227" s="9">
        <f t="shared" si="7"/>
        <v>87980968310287.984</v>
      </c>
      <c r="M227" s="9">
        <f t="shared" si="8"/>
        <v>21970802919708.027</v>
      </c>
    </row>
    <row r="228" spans="1:13" ht="15.75" customHeight="1" x14ac:dyDescent="0.2">
      <c r="A228" s="7" t="s">
        <v>261</v>
      </c>
      <c r="B228" s="7">
        <v>71.7</v>
      </c>
      <c r="C228" s="7">
        <v>4.84</v>
      </c>
      <c r="D228" s="7">
        <v>0</v>
      </c>
      <c r="E228" s="7">
        <v>2.94</v>
      </c>
      <c r="F228" s="7">
        <v>0</v>
      </c>
      <c r="G228" s="7">
        <v>2.94</v>
      </c>
      <c r="H228" s="7">
        <v>0.27</v>
      </c>
      <c r="I228" s="7">
        <v>138</v>
      </c>
      <c r="L228" s="9">
        <f t="shared" si="7"/>
        <v>6550756879624.7031</v>
      </c>
      <c r="M228" s="9">
        <f t="shared" si="8"/>
        <v>0</v>
      </c>
    </row>
    <row r="229" spans="1:13" ht="15.75" customHeight="1" x14ac:dyDescent="0.2">
      <c r="A229" s="7" t="s">
        <v>262</v>
      </c>
      <c r="B229" s="7" t="s">
        <v>13</v>
      </c>
      <c r="C229" s="7">
        <v>8.24</v>
      </c>
      <c r="D229" s="7" t="s">
        <v>13</v>
      </c>
      <c r="E229" s="7">
        <v>8.5299999999999994</v>
      </c>
      <c r="F229" s="7">
        <v>1.1299999999999999</v>
      </c>
      <c r="G229" s="7">
        <v>9.66</v>
      </c>
      <c r="H229" s="7">
        <v>8.9700000000000006</v>
      </c>
      <c r="I229" s="7">
        <v>138.90600000000001</v>
      </c>
      <c r="J229" s="14">
        <v>6.14</v>
      </c>
      <c r="K229" s="14">
        <v>26.619</v>
      </c>
      <c r="L229" s="9">
        <f t="shared" si="7"/>
        <v>216211227070484.53</v>
      </c>
      <c r="M229" s="9">
        <f t="shared" si="8"/>
        <v>48972686565015.172</v>
      </c>
    </row>
    <row r="230" spans="1:13" ht="15.75" customHeight="1" x14ac:dyDescent="0.2">
      <c r="A230" s="7" t="s">
        <v>263</v>
      </c>
      <c r="B230" s="7">
        <v>0.09</v>
      </c>
      <c r="C230" s="7">
        <v>8</v>
      </c>
      <c r="D230" s="7" t="s">
        <v>13</v>
      </c>
      <c r="E230" s="7" t="s">
        <v>264</v>
      </c>
      <c r="F230" s="7">
        <v>0.5</v>
      </c>
      <c r="G230" s="7" t="s">
        <v>265</v>
      </c>
      <c r="H230" s="7">
        <v>57</v>
      </c>
      <c r="I230" s="7">
        <v>138</v>
      </c>
      <c r="L230" s="9">
        <f t="shared" si="7"/>
        <v>1382937563476326.3</v>
      </c>
      <c r="M230" s="9">
        <f t="shared" si="8"/>
        <v>21811594202898.547</v>
      </c>
    </row>
    <row r="231" spans="1:13" ht="15.75" customHeight="1" x14ac:dyDescent="0.2">
      <c r="A231" s="7" t="s">
        <v>266</v>
      </c>
      <c r="B231" s="7">
        <v>99.91</v>
      </c>
      <c r="C231" s="7">
        <v>8.24</v>
      </c>
      <c r="D231" s="7">
        <v>3</v>
      </c>
      <c r="E231" s="7">
        <v>8.5299999999999994</v>
      </c>
      <c r="F231" s="7">
        <v>1.1299999999999999</v>
      </c>
      <c r="G231" s="7">
        <v>9.66</v>
      </c>
      <c r="H231" s="7">
        <v>8.93</v>
      </c>
      <c r="I231" s="7">
        <v>139</v>
      </c>
      <c r="L231" s="9">
        <f t="shared" si="7"/>
        <v>215101511671641.53</v>
      </c>
      <c r="M231" s="9">
        <f t="shared" si="8"/>
        <v>48939568345323.727</v>
      </c>
    </row>
    <row r="232" spans="1:13" ht="15.75" customHeight="1" x14ac:dyDescent="0.2">
      <c r="A232" s="7" t="s">
        <v>267</v>
      </c>
      <c r="B232" s="7" t="s">
        <v>13</v>
      </c>
      <c r="C232" s="7">
        <v>4.84</v>
      </c>
      <c r="D232" s="7" t="s">
        <v>13</v>
      </c>
      <c r="E232" s="7">
        <v>2.94</v>
      </c>
      <c r="F232" s="7">
        <v>1E-3</v>
      </c>
      <c r="G232" s="7">
        <v>2.94</v>
      </c>
      <c r="H232" s="7">
        <v>0.63</v>
      </c>
      <c r="I232" s="7">
        <v>140.12</v>
      </c>
      <c r="J232" s="14">
        <v>6.66</v>
      </c>
      <c r="K232" s="14">
        <v>28.623000000000001</v>
      </c>
      <c r="L232" s="9">
        <f t="shared" si="7"/>
        <v>15053837533822.111</v>
      </c>
      <c r="M232" s="9">
        <f t="shared" si="8"/>
        <v>42963174421.924057</v>
      </c>
    </row>
    <row r="233" spans="1:13" ht="15.75" customHeight="1" x14ac:dyDescent="0.2">
      <c r="A233" s="7" t="s">
        <v>268</v>
      </c>
      <c r="B233" s="7">
        <v>0.19</v>
      </c>
      <c r="C233" s="7">
        <v>5.8</v>
      </c>
      <c r="D233" s="7">
        <v>0</v>
      </c>
      <c r="E233" s="7">
        <v>4.2300000000000004</v>
      </c>
      <c r="F233" s="7">
        <v>0</v>
      </c>
      <c r="G233" s="7">
        <v>4.2300000000000004</v>
      </c>
      <c r="H233" s="7">
        <v>7.3</v>
      </c>
      <c r="I233" s="7">
        <v>136</v>
      </c>
      <c r="L233" s="9">
        <f t="shared" si="7"/>
        <v>179717660145259.44</v>
      </c>
      <c r="M233" s="9">
        <f t="shared" si="8"/>
        <v>0</v>
      </c>
    </row>
    <row r="234" spans="1:13" ht="15.75" customHeight="1" x14ac:dyDescent="0.2">
      <c r="A234" s="7" t="s">
        <v>269</v>
      </c>
      <c r="B234" s="7">
        <v>0.25</v>
      </c>
      <c r="C234" s="7">
        <v>6.7</v>
      </c>
      <c r="D234" s="7">
        <v>0</v>
      </c>
      <c r="E234" s="7">
        <v>5.64</v>
      </c>
      <c r="F234" s="7">
        <v>0</v>
      </c>
      <c r="G234" s="7">
        <v>5.64</v>
      </c>
      <c r="H234" s="7">
        <v>1.1000000000000001</v>
      </c>
      <c r="I234" s="7">
        <v>138</v>
      </c>
      <c r="L234" s="9">
        <f t="shared" si="7"/>
        <v>26688268768841.383</v>
      </c>
      <c r="M234" s="9">
        <f t="shared" si="8"/>
        <v>0</v>
      </c>
    </row>
    <row r="235" spans="1:13" ht="15.75" customHeight="1" x14ac:dyDescent="0.2">
      <c r="A235" s="7" t="s">
        <v>270</v>
      </c>
      <c r="B235" s="7">
        <v>88.48</v>
      </c>
      <c r="C235" s="7">
        <v>4.84</v>
      </c>
      <c r="D235" s="7">
        <v>0</v>
      </c>
      <c r="E235" s="7">
        <v>2.94</v>
      </c>
      <c r="F235" s="7">
        <v>0</v>
      </c>
      <c r="G235" s="7">
        <v>2.94</v>
      </c>
      <c r="H235" s="7">
        <v>0.56999999999999995</v>
      </c>
      <c r="I235" s="7">
        <v>140</v>
      </c>
      <c r="L235" s="9">
        <f t="shared" si="7"/>
        <v>13631813125695.215</v>
      </c>
      <c r="M235" s="9">
        <f t="shared" si="8"/>
        <v>0</v>
      </c>
    </row>
    <row r="236" spans="1:13" ht="15.75" customHeight="1" x14ac:dyDescent="0.2">
      <c r="A236" s="7" t="s">
        <v>271</v>
      </c>
      <c r="B236" s="7">
        <v>11.08</v>
      </c>
      <c r="C236" s="7">
        <v>4.75</v>
      </c>
      <c r="D236" s="7">
        <v>0</v>
      </c>
      <c r="E236" s="7">
        <v>2.84</v>
      </c>
      <c r="F236" s="7">
        <v>0</v>
      </c>
      <c r="G236" s="7">
        <v>2.84</v>
      </c>
      <c r="H236" s="7">
        <v>0.95</v>
      </c>
      <c r="I236" s="7">
        <v>142</v>
      </c>
      <c r="L236" s="9">
        <f t="shared" si="7"/>
        <v>22399692929546.125</v>
      </c>
      <c r="M236" s="9">
        <f t="shared" si="8"/>
        <v>0</v>
      </c>
    </row>
    <row r="237" spans="1:13" ht="15.75" customHeight="1" x14ac:dyDescent="0.2">
      <c r="A237" s="7" t="s">
        <v>272</v>
      </c>
      <c r="B237" s="7">
        <v>100</v>
      </c>
      <c r="C237" s="7">
        <v>4.58</v>
      </c>
      <c r="D237" s="7">
        <v>-0.35</v>
      </c>
      <c r="E237" s="7">
        <v>2.64</v>
      </c>
      <c r="F237" s="7">
        <v>1.4999999999999999E-2</v>
      </c>
      <c r="G237" s="7">
        <v>2.66</v>
      </c>
      <c r="H237" s="7">
        <v>11.5</v>
      </c>
      <c r="I237" s="7">
        <v>140.90700000000001</v>
      </c>
      <c r="J237" s="14">
        <v>6.7729999999999997</v>
      </c>
      <c r="K237" s="14">
        <v>28.946000000000002</v>
      </c>
      <c r="L237" s="9">
        <f t="shared" si="7"/>
        <v>273257490505673.72</v>
      </c>
      <c r="M237" s="9">
        <f t="shared" si="8"/>
        <v>640848219038.08875</v>
      </c>
    </row>
    <row r="238" spans="1:13" ht="15.75" customHeight="1" x14ac:dyDescent="0.2">
      <c r="A238" s="7" t="s">
        <v>273</v>
      </c>
      <c r="B238" s="7" t="s">
        <v>13</v>
      </c>
      <c r="C238" s="7">
        <v>7.69</v>
      </c>
      <c r="D238" s="7" t="s">
        <v>13</v>
      </c>
      <c r="E238" s="7">
        <v>7.43</v>
      </c>
      <c r="F238" s="7">
        <v>9.1999999999999993</v>
      </c>
      <c r="G238" s="7">
        <v>16.600000000000001</v>
      </c>
      <c r="H238" s="7">
        <v>50.5</v>
      </c>
      <c r="I238" s="7">
        <v>144.24</v>
      </c>
      <c r="J238" s="14">
        <v>7.0039999999999996</v>
      </c>
      <c r="K238" s="14">
        <v>29.242000000000001</v>
      </c>
      <c r="L238" s="9">
        <f t="shared" si="7"/>
        <v>1172229018870415.5</v>
      </c>
      <c r="M238" s="9">
        <f t="shared" si="8"/>
        <v>383971159179145.81</v>
      </c>
    </row>
    <row r="239" spans="1:13" ht="15.75" customHeight="1" x14ac:dyDescent="0.2">
      <c r="A239" s="7" t="s">
        <v>274</v>
      </c>
      <c r="B239" s="7">
        <v>27.16</v>
      </c>
      <c r="C239" s="7">
        <v>7.7</v>
      </c>
      <c r="D239" s="7">
        <v>0</v>
      </c>
      <c r="E239" s="7">
        <v>7.5</v>
      </c>
      <c r="F239" s="7">
        <v>0</v>
      </c>
      <c r="G239" s="7">
        <v>7.5</v>
      </c>
      <c r="H239" s="7">
        <v>18.7</v>
      </c>
      <c r="I239" s="7">
        <v>142</v>
      </c>
      <c r="L239" s="9">
        <f t="shared" si="7"/>
        <v>440920271350013.25</v>
      </c>
      <c r="M239" s="9">
        <f t="shared" si="8"/>
        <v>0</v>
      </c>
    </row>
    <row r="240" spans="1:13" ht="15.75" customHeight="1" x14ac:dyDescent="0.2">
      <c r="A240" s="7" t="s">
        <v>275</v>
      </c>
      <c r="B240" s="7">
        <v>12.18</v>
      </c>
      <c r="C240" s="7">
        <v>14</v>
      </c>
      <c r="D240" s="7" t="s">
        <v>276</v>
      </c>
      <c r="E240" s="7" t="s">
        <v>277</v>
      </c>
      <c r="F240" s="7">
        <v>55</v>
      </c>
      <c r="G240" s="7" t="s">
        <v>278</v>
      </c>
      <c r="H240" s="7">
        <v>337</v>
      </c>
      <c r="I240" s="7">
        <v>143</v>
      </c>
      <c r="L240" s="9">
        <f t="shared" si="7"/>
        <v>7890429926025030</v>
      </c>
      <c r="M240" s="9">
        <f t="shared" si="8"/>
        <v>2315384615384615</v>
      </c>
    </row>
    <row r="241" spans="1:13" ht="15.75" customHeight="1" x14ac:dyDescent="0.2">
      <c r="A241" s="7" t="s">
        <v>279</v>
      </c>
      <c r="B241" s="7">
        <v>23.8</v>
      </c>
      <c r="C241" s="7">
        <v>2.8</v>
      </c>
      <c r="D241" s="7">
        <v>0</v>
      </c>
      <c r="E241" s="7">
        <v>1</v>
      </c>
      <c r="F241" s="7">
        <v>0</v>
      </c>
      <c r="G241" s="7">
        <v>1</v>
      </c>
      <c r="H241" s="7">
        <v>3.6</v>
      </c>
      <c r="I241" s="7">
        <v>144</v>
      </c>
      <c r="L241" s="9">
        <f t="shared" si="7"/>
        <v>83704115684093.438</v>
      </c>
      <c r="M241" s="9">
        <f t="shared" si="8"/>
        <v>0</v>
      </c>
    </row>
    <row r="242" spans="1:13" ht="15.75" customHeight="1" x14ac:dyDescent="0.2">
      <c r="A242" s="7" t="s">
        <v>280</v>
      </c>
      <c r="B242" s="7">
        <v>8.2899999999999991</v>
      </c>
      <c r="C242" s="7">
        <v>14</v>
      </c>
      <c r="D242" s="7" t="s">
        <v>13</v>
      </c>
      <c r="E242" s="7" t="s">
        <v>277</v>
      </c>
      <c r="F242" s="7">
        <v>5</v>
      </c>
      <c r="G242" s="7" t="s">
        <v>281</v>
      </c>
      <c r="H242" s="7">
        <v>42</v>
      </c>
      <c r="I242" s="7">
        <v>145</v>
      </c>
      <c r="L242" s="9">
        <f t="shared" si="7"/>
        <v>969813202408806.5</v>
      </c>
      <c r="M242" s="9">
        <f t="shared" si="8"/>
        <v>207586206896551.66</v>
      </c>
    </row>
    <row r="243" spans="1:13" ht="15.75" customHeight="1" x14ac:dyDescent="0.2">
      <c r="A243" s="7" t="s">
        <v>282</v>
      </c>
      <c r="B243" s="7">
        <v>17.190000000000001</v>
      </c>
      <c r="C243" s="7">
        <v>8.6999999999999993</v>
      </c>
      <c r="D243" s="7">
        <v>0</v>
      </c>
      <c r="E243" s="7">
        <v>9.5</v>
      </c>
      <c r="F243" s="7">
        <v>0</v>
      </c>
      <c r="G243" s="7">
        <v>9.5</v>
      </c>
      <c r="H243" s="7">
        <v>1.4</v>
      </c>
      <c r="I243" s="7">
        <v>146</v>
      </c>
      <c r="L243" s="9">
        <f t="shared" si="7"/>
        <v>32105688207597.48</v>
      </c>
      <c r="M243" s="9">
        <f t="shared" si="8"/>
        <v>0</v>
      </c>
    </row>
    <row r="244" spans="1:13" ht="15.75" customHeight="1" x14ac:dyDescent="0.2">
      <c r="A244" s="7" t="s">
        <v>283</v>
      </c>
      <c r="B244" s="7">
        <v>5.75</v>
      </c>
      <c r="C244" s="7">
        <v>5.7</v>
      </c>
      <c r="D244" s="7">
        <v>0</v>
      </c>
      <c r="E244" s="7">
        <v>4.0999999999999996</v>
      </c>
      <c r="F244" s="7">
        <v>0</v>
      </c>
      <c r="G244" s="7">
        <v>4.0999999999999996</v>
      </c>
      <c r="H244" s="7">
        <v>2.5</v>
      </c>
      <c r="I244" s="7">
        <v>148</v>
      </c>
      <c r="L244" s="9">
        <f t="shared" si="7"/>
        <v>56556834921684.742</v>
      </c>
      <c r="M244" s="9">
        <f t="shared" si="8"/>
        <v>0</v>
      </c>
    </row>
    <row r="245" spans="1:13" ht="15.75" customHeight="1" x14ac:dyDescent="0.2">
      <c r="A245" s="7" t="s">
        <v>284</v>
      </c>
      <c r="B245" s="7">
        <v>5.63</v>
      </c>
      <c r="C245" s="7">
        <v>5.3</v>
      </c>
      <c r="D245" s="7">
        <v>0</v>
      </c>
      <c r="E245" s="7">
        <v>3.5</v>
      </c>
      <c r="F245" s="7">
        <v>0</v>
      </c>
      <c r="G245" s="7">
        <v>3.5</v>
      </c>
      <c r="H245" s="7">
        <v>1.2</v>
      </c>
      <c r="I245" s="7">
        <v>150</v>
      </c>
      <c r="L245" s="9">
        <f t="shared" si="7"/>
        <v>26785317018909.895</v>
      </c>
      <c r="M245" s="9">
        <f t="shared" si="8"/>
        <v>0</v>
      </c>
    </row>
    <row r="246" spans="1:13" ht="15.75" customHeight="1" x14ac:dyDescent="0.2">
      <c r="A246" s="7" t="s">
        <v>285</v>
      </c>
      <c r="B246" s="7" t="s">
        <v>286</v>
      </c>
      <c r="C246" s="7">
        <v>12.6</v>
      </c>
      <c r="D246" s="7" t="s">
        <v>287</v>
      </c>
      <c r="E246" s="7" t="s">
        <v>288</v>
      </c>
      <c r="F246" s="7">
        <v>1.3</v>
      </c>
      <c r="G246" s="7" t="s">
        <v>289</v>
      </c>
      <c r="H246" s="7">
        <v>168.4</v>
      </c>
      <c r="I246" s="7">
        <v>145</v>
      </c>
      <c r="J246" s="13">
        <v>6.4749999999999996</v>
      </c>
      <c r="K246" s="13">
        <v>26.890999999999998</v>
      </c>
      <c r="L246" s="9">
        <f t="shared" si="7"/>
        <v>3888489125848644</v>
      </c>
      <c r="M246" s="9">
        <f t="shared" si="8"/>
        <v>53972413793103.438</v>
      </c>
    </row>
    <row r="247" spans="1:13" ht="15.75" customHeight="1" x14ac:dyDescent="0.2">
      <c r="A247" s="7" t="s">
        <v>290</v>
      </c>
      <c r="B247" s="7" t="s">
        <v>13</v>
      </c>
      <c r="C247" s="7">
        <v>0.8</v>
      </c>
      <c r="D247" s="7" t="s">
        <v>13</v>
      </c>
      <c r="E247" s="7">
        <v>0.42199999999999999</v>
      </c>
      <c r="F247" s="7">
        <v>39</v>
      </c>
      <c r="G247" s="7" t="s">
        <v>291</v>
      </c>
      <c r="H247" s="7">
        <v>5922</v>
      </c>
      <c r="I247" s="7">
        <v>150.35</v>
      </c>
      <c r="J247" s="13">
        <v>7.52</v>
      </c>
      <c r="K247" s="13">
        <v>30.12</v>
      </c>
      <c r="L247" s="9">
        <f t="shared" si="7"/>
        <v>1.3187782456433688E+17</v>
      </c>
      <c r="M247" s="9">
        <f t="shared" si="8"/>
        <v>1561556368473561.5</v>
      </c>
    </row>
    <row r="248" spans="1:13" ht="15.75" customHeight="1" x14ac:dyDescent="0.2">
      <c r="A248" s="7" t="s">
        <v>292</v>
      </c>
      <c r="B248" s="7">
        <v>3.1</v>
      </c>
      <c r="C248" s="7">
        <v>-3</v>
      </c>
      <c r="D248" s="7">
        <v>0</v>
      </c>
      <c r="E248" s="7" t="s">
        <v>293</v>
      </c>
      <c r="F248" s="7">
        <v>0</v>
      </c>
      <c r="G248" s="7" t="s">
        <v>293</v>
      </c>
      <c r="H248" s="7">
        <v>0.7</v>
      </c>
      <c r="I248" s="7">
        <v>144</v>
      </c>
      <c r="L248" s="9">
        <f t="shared" si="7"/>
        <v>16275800271907.055</v>
      </c>
      <c r="M248" s="9">
        <f t="shared" si="8"/>
        <v>0</v>
      </c>
    </row>
    <row r="249" spans="1:13" ht="15.75" customHeight="1" x14ac:dyDescent="0.2">
      <c r="A249" s="7" t="s">
        <v>294</v>
      </c>
      <c r="B249" s="7">
        <v>15.1</v>
      </c>
      <c r="C249" s="7">
        <v>14</v>
      </c>
      <c r="D249" s="7" t="s">
        <v>295</v>
      </c>
      <c r="E249" s="7" t="s">
        <v>296</v>
      </c>
      <c r="F249" s="7">
        <v>143</v>
      </c>
      <c r="G249" s="7" t="s">
        <v>297</v>
      </c>
      <c r="H249" s="7">
        <v>57</v>
      </c>
      <c r="I249" s="7">
        <v>147</v>
      </c>
      <c r="L249" s="9">
        <f t="shared" si="7"/>
        <v>1298267916732877.8</v>
      </c>
      <c r="M249" s="9">
        <f t="shared" si="8"/>
        <v>5856190476190475</v>
      </c>
    </row>
    <row r="250" spans="1:13" ht="15.75" customHeight="1" x14ac:dyDescent="0.2">
      <c r="A250" s="7" t="s">
        <v>298</v>
      </c>
      <c r="B250" s="7">
        <v>11.3</v>
      </c>
      <c r="C250" s="7">
        <v>-3</v>
      </c>
      <c r="D250" s="7">
        <v>0</v>
      </c>
      <c r="E250" s="7" t="s">
        <v>293</v>
      </c>
      <c r="F250" s="7">
        <v>0</v>
      </c>
      <c r="G250" s="7" t="s">
        <v>293</v>
      </c>
      <c r="H250" s="7">
        <v>2.4</v>
      </c>
      <c r="I250" s="7">
        <v>148</v>
      </c>
      <c r="L250" s="9">
        <f t="shared" si="7"/>
        <v>54294561524817.352</v>
      </c>
      <c r="M250" s="9">
        <f t="shared" si="8"/>
        <v>0</v>
      </c>
    </row>
    <row r="251" spans="1:13" ht="15.75" customHeight="1" x14ac:dyDescent="0.2">
      <c r="A251" s="7" t="s">
        <v>299</v>
      </c>
      <c r="B251" s="7">
        <v>13.9</v>
      </c>
      <c r="C251" s="7">
        <v>-19.2</v>
      </c>
      <c r="D251" s="7" t="s">
        <v>300</v>
      </c>
      <c r="E251" s="7">
        <v>63.5</v>
      </c>
      <c r="F251" s="7">
        <v>137</v>
      </c>
      <c r="G251" s="7" t="s">
        <v>301</v>
      </c>
      <c r="H251" s="7">
        <v>42080</v>
      </c>
      <c r="I251" s="7">
        <v>149</v>
      </c>
      <c r="L251" s="9">
        <f t="shared" si="7"/>
        <v>9.455756209360137E+17</v>
      </c>
      <c r="M251" s="9">
        <f t="shared" si="8"/>
        <v>5535167785234898</v>
      </c>
    </row>
    <row r="252" spans="1:13" ht="15.75" customHeight="1" x14ac:dyDescent="0.2">
      <c r="A252" s="7" t="s">
        <v>302</v>
      </c>
      <c r="B252" s="7">
        <v>7.4</v>
      </c>
      <c r="C252" s="7">
        <v>14</v>
      </c>
      <c r="D252" s="7">
        <v>0</v>
      </c>
      <c r="E252" s="7" t="s">
        <v>296</v>
      </c>
      <c r="F252" s="7">
        <v>0</v>
      </c>
      <c r="G252" s="7" t="s">
        <v>296</v>
      </c>
      <c r="H252" s="7">
        <v>104</v>
      </c>
      <c r="I252" s="7">
        <v>150</v>
      </c>
      <c r="L252" s="9">
        <f t="shared" si="7"/>
        <v>2321394141638857.5</v>
      </c>
      <c r="M252" s="9">
        <f t="shared" si="8"/>
        <v>0</v>
      </c>
    </row>
    <row r="253" spans="1:13" ht="15.75" customHeight="1" x14ac:dyDescent="0.2">
      <c r="A253" s="7" t="s">
        <v>303</v>
      </c>
      <c r="B253" s="7">
        <v>26.6</v>
      </c>
      <c r="C253" s="7">
        <v>-5</v>
      </c>
      <c r="D253" s="7">
        <v>0</v>
      </c>
      <c r="E253" s="7">
        <v>3.1</v>
      </c>
      <c r="F253" s="7">
        <v>0</v>
      </c>
      <c r="G253" s="7">
        <v>3.1</v>
      </c>
      <c r="H253" s="7">
        <v>206</v>
      </c>
      <c r="I253" s="7">
        <v>152</v>
      </c>
      <c r="L253" s="9">
        <f t="shared" si="7"/>
        <v>4537644166032433</v>
      </c>
      <c r="M253" s="9">
        <f t="shared" si="8"/>
        <v>0</v>
      </c>
    </row>
    <row r="254" spans="1:13" ht="15.75" customHeight="1" x14ac:dyDescent="0.2">
      <c r="A254" s="7" t="s">
        <v>304</v>
      </c>
      <c r="B254" s="7">
        <v>22.6</v>
      </c>
      <c r="C254" s="7">
        <v>9.3000000000000007</v>
      </c>
      <c r="D254" s="7">
        <v>0</v>
      </c>
      <c r="E254" s="7" t="s">
        <v>305</v>
      </c>
      <c r="F254" s="7">
        <v>0</v>
      </c>
      <c r="G254" s="7" t="s">
        <v>305</v>
      </c>
      <c r="H254" s="7">
        <v>8.4</v>
      </c>
      <c r="I254" s="7">
        <v>154</v>
      </c>
      <c r="L254" s="9">
        <f t="shared" si="7"/>
        <v>182627161492567.47</v>
      </c>
      <c r="M254" s="9">
        <f t="shared" si="8"/>
        <v>0</v>
      </c>
    </row>
    <row r="255" spans="1:13" ht="15.75" customHeight="1" x14ac:dyDescent="0.2">
      <c r="A255" s="7" t="s">
        <v>306</v>
      </c>
      <c r="B255" s="7" t="s">
        <v>13</v>
      </c>
      <c r="C255" s="7">
        <v>7.22</v>
      </c>
      <c r="D255" s="7" t="s">
        <v>13</v>
      </c>
      <c r="E255" s="7">
        <v>6.57</v>
      </c>
      <c r="F255" s="7">
        <v>2.5</v>
      </c>
      <c r="G255" s="7">
        <v>9.1999999999999993</v>
      </c>
      <c r="H255" s="7">
        <v>4530</v>
      </c>
      <c r="I255" s="7">
        <v>151.96</v>
      </c>
      <c r="J255" s="14">
        <v>5.24</v>
      </c>
      <c r="K255" s="14">
        <v>20.765999999999998</v>
      </c>
      <c r="L255" s="9">
        <f t="shared" si="7"/>
        <v>9.9810382745181152E+16</v>
      </c>
      <c r="M255" s="9">
        <f t="shared" si="8"/>
        <v>99039220847591.438</v>
      </c>
    </row>
    <row r="256" spans="1:13" ht="15.75" customHeight="1" x14ac:dyDescent="0.2">
      <c r="A256" s="7" t="s">
        <v>307</v>
      </c>
      <c r="B256" s="7">
        <v>47.8</v>
      </c>
      <c r="C256" s="7">
        <v>6.13</v>
      </c>
      <c r="D256" s="7" t="s">
        <v>308</v>
      </c>
      <c r="E256" s="7">
        <v>5.5</v>
      </c>
      <c r="F256" s="7">
        <v>3.1</v>
      </c>
      <c r="G256" s="7">
        <v>8.6</v>
      </c>
      <c r="H256" s="7">
        <v>9100</v>
      </c>
      <c r="I256" s="7">
        <v>151</v>
      </c>
      <c r="L256" s="9">
        <f t="shared" si="7"/>
        <v>2.0177680866894045E+17</v>
      </c>
      <c r="M256" s="9">
        <f t="shared" si="8"/>
        <v>123589403973509.91</v>
      </c>
    </row>
    <row r="257" spans="1:13" ht="15.75" customHeight="1" x14ac:dyDescent="0.2">
      <c r="A257" s="7" t="s">
        <v>309</v>
      </c>
      <c r="B257" s="7">
        <v>52.2</v>
      </c>
      <c r="C257" s="7">
        <v>8.2200000000000006</v>
      </c>
      <c r="D257" s="7" t="s">
        <v>310</v>
      </c>
      <c r="E257" s="7">
        <v>8.5</v>
      </c>
      <c r="F257" s="7">
        <v>1.3</v>
      </c>
      <c r="G257" s="7">
        <v>9.8000000000000007</v>
      </c>
      <c r="H257" s="7">
        <v>312</v>
      </c>
      <c r="I257" s="7">
        <v>153</v>
      </c>
      <c r="L257" s="9">
        <f t="shared" si="7"/>
        <v>6827629828349581</v>
      </c>
      <c r="M257" s="9">
        <f t="shared" si="8"/>
        <v>51150326797385.617</v>
      </c>
    </row>
    <row r="258" spans="1:13" ht="15.75" customHeight="1" x14ac:dyDescent="0.2">
      <c r="A258" s="7" t="s">
        <v>311</v>
      </c>
      <c r="B258" s="7" t="s">
        <v>13</v>
      </c>
      <c r="C258" s="7">
        <v>6.5</v>
      </c>
      <c r="D258" s="7" t="s">
        <v>13</v>
      </c>
      <c r="E258" s="7">
        <v>29.3</v>
      </c>
      <c r="F258" s="7">
        <v>151</v>
      </c>
      <c r="G258" s="7" t="s">
        <v>312</v>
      </c>
      <c r="H258" s="7">
        <v>49700</v>
      </c>
      <c r="I258" s="7">
        <v>157.25</v>
      </c>
      <c r="J258" s="13">
        <v>7.9004000000000003</v>
      </c>
      <c r="K258" s="13">
        <v>30.254999999999999</v>
      </c>
      <c r="L258" s="9">
        <f t="shared" si="7"/>
        <v>1.0582116501111462E+18</v>
      </c>
      <c r="M258" s="9">
        <f t="shared" si="8"/>
        <v>5780731319554848</v>
      </c>
    </row>
    <row r="259" spans="1:13" ht="15.75" customHeight="1" x14ac:dyDescent="0.2">
      <c r="A259" s="7" t="s">
        <v>313</v>
      </c>
      <c r="B259" s="7">
        <v>0.2</v>
      </c>
      <c r="C259" s="7">
        <v>10</v>
      </c>
      <c r="D259" s="7">
        <v>0</v>
      </c>
      <c r="E259" s="7" t="s">
        <v>314</v>
      </c>
      <c r="F259" s="7">
        <v>0</v>
      </c>
      <c r="G259" s="7" t="s">
        <v>314</v>
      </c>
      <c r="H259" s="7">
        <v>735</v>
      </c>
      <c r="I259" s="7">
        <v>152</v>
      </c>
      <c r="L259" s="9">
        <f t="shared" si="7"/>
        <v>1.6190138165212806E+16</v>
      </c>
      <c r="M259" s="9">
        <f t="shared" si="8"/>
        <v>0</v>
      </c>
    </row>
    <row r="260" spans="1:13" ht="15.75" customHeight="1" x14ac:dyDescent="0.2">
      <c r="A260" s="7" t="s">
        <v>315</v>
      </c>
      <c r="B260" s="7">
        <v>2.1</v>
      </c>
      <c r="C260" s="7">
        <v>10</v>
      </c>
      <c r="D260" s="7">
        <v>0</v>
      </c>
      <c r="E260" s="7" t="s">
        <v>314</v>
      </c>
      <c r="F260" s="7">
        <v>0</v>
      </c>
      <c r="G260" s="7" t="s">
        <v>314</v>
      </c>
      <c r="H260" s="7">
        <v>85</v>
      </c>
      <c r="I260" s="7">
        <v>154</v>
      </c>
      <c r="L260" s="9">
        <f t="shared" ref="L260:L323" si="9">(H260*10^-8/1.798)*6.02*10^23/I260</f>
        <v>1848012943674789.8</v>
      </c>
      <c r="M260" s="9">
        <f t="shared" si="8"/>
        <v>0</v>
      </c>
    </row>
    <row r="261" spans="1:13" ht="15.75" customHeight="1" x14ac:dyDescent="0.2">
      <c r="A261" s="7" t="s">
        <v>316</v>
      </c>
      <c r="B261" s="7">
        <v>14.8</v>
      </c>
      <c r="C261" s="7">
        <v>6</v>
      </c>
      <c r="D261" s="7" t="s">
        <v>317</v>
      </c>
      <c r="E261" s="7">
        <v>40.799999999999997</v>
      </c>
      <c r="F261" s="7">
        <v>25</v>
      </c>
      <c r="G261" s="7" t="s">
        <v>318</v>
      </c>
      <c r="H261" s="7">
        <v>61100</v>
      </c>
      <c r="I261" s="7">
        <v>155</v>
      </c>
      <c r="L261" s="9">
        <f t="shared" si="9"/>
        <v>1.319824895044673E+18</v>
      </c>
      <c r="M261" s="9">
        <f t="shared" si="8"/>
        <v>970967741935483.63</v>
      </c>
    </row>
    <row r="262" spans="1:13" ht="15.75" customHeight="1" x14ac:dyDescent="0.2">
      <c r="A262" s="7" t="s">
        <v>319</v>
      </c>
      <c r="B262" s="7">
        <v>20.6</v>
      </c>
      <c r="C262" s="7">
        <v>6.3</v>
      </c>
      <c r="D262" s="7">
        <v>0</v>
      </c>
      <c r="E262" s="7">
        <v>5</v>
      </c>
      <c r="F262" s="7">
        <v>0</v>
      </c>
      <c r="G262" s="7">
        <v>5</v>
      </c>
      <c r="H262" s="7">
        <v>1.5</v>
      </c>
      <c r="I262" s="7">
        <v>156</v>
      </c>
      <c r="L262" s="9">
        <f t="shared" si="9"/>
        <v>32193890647728.242</v>
      </c>
      <c r="M262" s="9">
        <f t="shared" si="8"/>
        <v>0</v>
      </c>
    </row>
    <row r="263" spans="1:13" ht="15.75" customHeight="1" x14ac:dyDescent="0.2">
      <c r="A263" s="7" t="s">
        <v>320</v>
      </c>
      <c r="B263" s="7">
        <v>15.7</v>
      </c>
      <c r="C263" s="7">
        <v>-1.1399999999999999</v>
      </c>
      <c r="D263" s="7" t="s">
        <v>321</v>
      </c>
      <c r="E263" s="7" t="s">
        <v>322</v>
      </c>
      <c r="F263" s="7">
        <v>394</v>
      </c>
      <c r="G263" s="7" t="s">
        <v>323</v>
      </c>
      <c r="H263" s="7">
        <v>259000</v>
      </c>
      <c r="I263" s="7">
        <v>157</v>
      </c>
      <c r="L263" s="9">
        <f t="shared" si="9"/>
        <v>5.5234053406828534E+18</v>
      </c>
      <c r="M263" s="9">
        <f t="shared" si="8"/>
        <v>1.5107515923566878E+16</v>
      </c>
    </row>
    <row r="264" spans="1:13" ht="15.75" customHeight="1" x14ac:dyDescent="0.2">
      <c r="A264" s="7" t="s">
        <v>324</v>
      </c>
      <c r="B264" s="7">
        <v>24.8</v>
      </c>
      <c r="C264" s="7">
        <v>9</v>
      </c>
      <c r="D264" s="7">
        <v>0</v>
      </c>
      <c r="E264" s="7" t="s">
        <v>325</v>
      </c>
      <c r="F264" s="7">
        <v>0</v>
      </c>
      <c r="G264" s="7" t="s">
        <v>325</v>
      </c>
      <c r="H264" s="7">
        <v>2.2000000000000002</v>
      </c>
      <c r="I264" s="7">
        <v>158</v>
      </c>
      <c r="L264" s="9">
        <f t="shared" si="9"/>
        <v>46620013798735.586</v>
      </c>
      <c r="M264" s="9">
        <f t="shared" si="8"/>
        <v>0</v>
      </c>
    </row>
    <row r="265" spans="1:13" ht="15.75" customHeight="1" x14ac:dyDescent="0.2">
      <c r="A265" s="7" t="s">
        <v>326</v>
      </c>
      <c r="B265" s="7">
        <v>21.8</v>
      </c>
      <c r="C265" s="7">
        <v>9.15</v>
      </c>
      <c r="D265" s="7">
        <v>0</v>
      </c>
      <c r="E265" s="7">
        <v>10.52</v>
      </c>
      <c r="F265" s="7">
        <v>0</v>
      </c>
      <c r="G265" s="7">
        <v>10.52</v>
      </c>
      <c r="H265" s="7">
        <v>0.77</v>
      </c>
      <c r="I265" s="7">
        <v>160</v>
      </c>
      <c r="L265" s="9">
        <f t="shared" si="9"/>
        <v>16113042269187.988</v>
      </c>
      <c r="M265" s="9">
        <f t="shared" si="8"/>
        <v>0</v>
      </c>
    </row>
    <row r="266" spans="1:13" ht="15.75" customHeight="1" x14ac:dyDescent="0.2">
      <c r="A266" s="7" t="s">
        <v>327</v>
      </c>
      <c r="B266" s="7">
        <v>100</v>
      </c>
      <c r="C266" s="7">
        <v>7.38</v>
      </c>
      <c r="D266" s="7">
        <v>-0.17</v>
      </c>
      <c r="E266" s="7">
        <v>6.84</v>
      </c>
      <c r="F266" s="7">
        <v>4.0000000000000001E-3</v>
      </c>
      <c r="G266" s="7">
        <v>6.84</v>
      </c>
      <c r="H266" s="7">
        <v>23.4</v>
      </c>
      <c r="I266" s="7">
        <v>158.92400000000001</v>
      </c>
      <c r="J266" s="14">
        <v>8.2294</v>
      </c>
      <c r="K266" s="14">
        <v>31.183</v>
      </c>
      <c r="L266" s="9">
        <f t="shared" si="9"/>
        <v>492984396820564.75</v>
      </c>
      <c r="M266" s="9">
        <f t="shared" si="8"/>
        <v>151518965039.89325</v>
      </c>
    </row>
    <row r="267" spans="1:13" ht="15.75" customHeight="1" x14ac:dyDescent="0.2">
      <c r="A267" s="7" t="s">
        <v>328</v>
      </c>
      <c r="B267" s="7" t="s">
        <v>13</v>
      </c>
      <c r="C267" s="7">
        <v>16.899999999999999</v>
      </c>
      <c r="D267" s="7" t="s">
        <v>13</v>
      </c>
      <c r="E267" s="7">
        <v>35.9</v>
      </c>
      <c r="F267" s="7">
        <v>54.4</v>
      </c>
      <c r="G267" s="7">
        <v>90.3</v>
      </c>
      <c r="H267" s="7">
        <v>994</v>
      </c>
      <c r="I267" s="7">
        <v>162.5</v>
      </c>
      <c r="J267" s="13">
        <v>8.5500000000000007</v>
      </c>
      <c r="K267" s="14">
        <v>31.684999999999999</v>
      </c>
      <c r="L267" s="9">
        <f t="shared" si="9"/>
        <v>2.0480465474458796E+16</v>
      </c>
      <c r="M267" s="9">
        <f t="shared" si="8"/>
        <v>2015310769230768.8</v>
      </c>
    </row>
    <row r="268" spans="1:13" ht="15.75" customHeight="1" x14ac:dyDescent="0.2">
      <c r="A268" s="7" t="s">
        <v>329</v>
      </c>
      <c r="B268" s="7">
        <v>0.06</v>
      </c>
      <c r="C268" s="7">
        <v>6.1</v>
      </c>
      <c r="D268" s="7">
        <v>0</v>
      </c>
      <c r="E268" s="7">
        <v>4.7</v>
      </c>
      <c r="F268" s="7">
        <v>0</v>
      </c>
      <c r="G268" s="7">
        <v>4.7</v>
      </c>
      <c r="H268" s="7">
        <v>33</v>
      </c>
      <c r="I268" s="7">
        <v>156</v>
      </c>
      <c r="L268" s="9">
        <f t="shared" si="9"/>
        <v>708265594250021.38</v>
      </c>
      <c r="M268" s="9">
        <f t="shared" si="8"/>
        <v>0</v>
      </c>
    </row>
    <row r="269" spans="1:13" ht="15.75" customHeight="1" x14ac:dyDescent="0.2">
      <c r="A269" s="7" t="s">
        <v>330</v>
      </c>
      <c r="B269" s="7">
        <v>0.1</v>
      </c>
      <c r="C269" s="7">
        <v>6</v>
      </c>
      <c r="D269" s="7">
        <v>0</v>
      </c>
      <c r="E269" s="7" t="s">
        <v>331</v>
      </c>
      <c r="F269" s="7">
        <v>0</v>
      </c>
      <c r="G269" s="7" t="s">
        <v>331</v>
      </c>
      <c r="H269" s="7">
        <v>43</v>
      </c>
      <c r="I269" s="7">
        <v>158</v>
      </c>
      <c r="L269" s="9">
        <f t="shared" si="9"/>
        <v>911209360611649.88</v>
      </c>
      <c r="M269" s="9">
        <f t="shared" si="8"/>
        <v>0</v>
      </c>
    </row>
    <row r="270" spans="1:13" ht="15.75" customHeight="1" x14ac:dyDescent="0.2">
      <c r="A270" s="7" t="s">
        <v>332</v>
      </c>
      <c r="B270" s="7">
        <v>2.34</v>
      </c>
      <c r="C270" s="7">
        <v>6.7</v>
      </c>
      <c r="D270" s="7">
        <v>0</v>
      </c>
      <c r="E270" s="7">
        <v>5.6</v>
      </c>
      <c r="F270" s="7">
        <v>0</v>
      </c>
      <c r="G270" s="7">
        <v>5.6</v>
      </c>
      <c r="H270" s="7">
        <v>56</v>
      </c>
      <c r="I270" s="7">
        <v>160</v>
      </c>
      <c r="L270" s="9">
        <f t="shared" si="9"/>
        <v>1171857619577308</v>
      </c>
      <c r="M270" s="9">
        <f t="shared" ref="M270:M333" si="10">F270*10^-8*6.02*10^23/I270</f>
        <v>0</v>
      </c>
    </row>
    <row r="271" spans="1:13" ht="15.75" customHeight="1" x14ac:dyDescent="0.2">
      <c r="A271" s="7" t="s">
        <v>333</v>
      </c>
      <c r="B271" s="7">
        <v>19</v>
      </c>
      <c r="C271" s="7">
        <v>10.3</v>
      </c>
      <c r="D271" s="7" t="s">
        <v>334</v>
      </c>
      <c r="E271" s="7">
        <v>13.3</v>
      </c>
      <c r="F271" s="7">
        <v>3</v>
      </c>
      <c r="G271" s="7" t="s">
        <v>335</v>
      </c>
      <c r="H271" s="7">
        <v>600</v>
      </c>
      <c r="I271" s="7">
        <v>161</v>
      </c>
      <c r="L271" s="9">
        <f t="shared" si="9"/>
        <v>1.24776321516661E+16</v>
      </c>
      <c r="M271" s="9">
        <f t="shared" si="10"/>
        <v>112173913043478.27</v>
      </c>
    </row>
    <row r="272" spans="1:13" ht="15.75" customHeight="1" x14ac:dyDescent="0.2">
      <c r="A272" s="7" t="s">
        <v>336</v>
      </c>
      <c r="B272" s="7">
        <v>25.5</v>
      </c>
      <c r="C272" s="7">
        <v>-1.4</v>
      </c>
      <c r="D272" s="7">
        <v>0</v>
      </c>
      <c r="E272" s="7">
        <v>0.25</v>
      </c>
      <c r="F272" s="7">
        <v>0</v>
      </c>
      <c r="G272" s="7">
        <v>0.25</v>
      </c>
      <c r="H272" s="7">
        <v>194</v>
      </c>
      <c r="I272" s="7">
        <v>162</v>
      </c>
      <c r="L272" s="9">
        <f t="shared" si="9"/>
        <v>4009530479682500</v>
      </c>
      <c r="M272" s="9">
        <f t="shared" si="10"/>
        <v>0</v>
      </c>
    </row>
    <row r="273" spans="1:13" ht="15.75" customHeight="1" x14ac:dyDescent="0.2">
      <c r="A273" s="7" t="s">
        <v>337</v>
      </c>
      <c r="B273" s="7">
        <v>24.9</v>
      </c>
      <c r="C273" s="7">
        <v>5</v>
      </c>
      <c r="D273" s="7">
        <v>1.3</v>
      </c>
      <c r="E273" s="7">
        <v>3.1</v>
      </c>
      <c r="F273" s="7">
        <v>0.21</v>
      </c>
      <c r="G273" s="7">
        <v>3.3</v>
      </c>
      <c r="H273" s="7">
        <v>124</v>
      </c>
      <c r="I273" s="7">
        <v>163</v>
      </c>
      <c r="L273" s="9">
        <f t="shared" si="9"/>
        <v>2547070023270573</v>
      </c>
      <c r="M273" s="9">
        <f t="shared" si="10"/>
        <v>7755828220858.8945</v>
      </c>
    </row>
    <row r="274" spans="1:13" ht="15.75" customHeight="1" x14ac:dyDescent="0.2">
      <c r="A274" s="7" t="s">
        <v>338</v>
      </c>
      <c r="B274" s="7">
        <v>28.1</v>
      </c>
      <c r="C274" s="7">
        <v>49.4</v>
      </c>
      <c r="D274" s="7">
        <v>0</v>
      </c>
      <c r="E274" s="7" t="s">
        <v>339</v>
      </c>
      <c r="F274" s="7">
        <v>0</v>
      </c>
      <c r="G274" s="7" t="s">
        <v>339</v>
      </c>
      <c r="H274" s="7">
        <v>2840</v>
      </c>
      <c r="I274" s="7">
        <v>164</v>
      </c>
      <c r="L274" s="9">
        <f t="shared" si="9"/>
        <v>5.7980411839713496E+16</v>
      </c>
      <c r="M274" s="9">
        <f t="shared" si="10"/>
        <v>0</v>
      </c>
    </row>
    <row r="275" spans="1:13" ht="15.75" customHeight="1" x14ac:dyDescent="0.2">
      <c r="A275" s="7" t="s">
        <v>340</v>
      </c>
      <c r="B275" s="7">
        <v>100</v>
      </c>
      <c r="C275" s="7">
        <v>8.01</v>
      </c>
      <c r="D275" s="7">
        <v>-1.7</v>
      </c>
      <c r="E275" s="7">
        <v>8.06</v>
      </c>
      <c r="F275" s="7">
        <v>0.36</v>
      </c>
      <c r="G275" s="7">
        <v>8.42</v>
      </c>
      <c r="H275" s="7">
        <v>64.7</v>
      </c>
      <c r="I275" s="7">
        <v>164.93</v>
      </c>
      <c r="J275" s="14">
        <v>8.7947000000000006</v>
      </c>
      <c r="K275" s="14">
        <v>32.112000000000002</v>
      </c>
      <c r="L275" s="9">
        <f t="shared" si="9"/>
        <v>1313443590556198</v>
      </c>
      <c r="M275" s="9">
        <f t="shared" si="10"/>
        <v>13140120050930.693</v>
      </c>
    </row>
    <row r="276" spans="1:13" ht="15.75" customHeight="1" x14ac:dyDescent="0.2">
      <c r="A276" s="7" t="s">
        <v>341</v>
      </c>
      <c r="B276" s="7" t="s">
        <v>13</v>
      </c>
      <c r="C276" s="7">
        <v>7.79</v>
      </c>
      <c r="D276" s="7" t="s">
        <v>13</v>
      </c>
      <c r="E276" s="7">
        <v>7.63</v>
      </c>
      <c r="F276" s="7">
        <v>1.1000000000000001</v>
      </c>
      <c r="G276" s="7">
        <v>8.6999999999999993</v>
      </c>
      <c r="H276" s="7">
        <v>159</v>
      </c>
      <c r="I276" s="7">
        <v>167.28</v>
      </c>
      <c r="J276" s="14">
        <v>9.0060000000000002</v>
      </c>
      <c r="K276" s="14">
        <v>32.420999999999999</v>
      </c>
      <c r="L276" s="9">
        <f t="shared" si="9"/>
        <v>3182437683828516.5</v>
      </c>
      <c r="M276" s="9">
        <f t="shared" si="10"/>
        <v>39586322333811.57</v>
      </c>
    </row>
    <row r="277" spans="1:13" ht="15.75" customHeight="1" x14ac:dyDescent="0.2">
      <c r="A277" s="7" t="s">
        <v>342</v>
      </c>
      <c r="B277" s="7">
        <v>0.14000000000000001</v>
      </c>
      <c r="C277" s="7">
        <v>8.8000000000000007</v>
      </c>
      <c r="D277" s="7">
        <v>0</v>
      </c>
      <c r="E277" s="7">
        <v>9.6999999999999993</v>
      </c>
      <c r="F277" s="7">
        <v>0</v>
      </c>
      <c r="G277" s="7">
        <v>9.6999999999999993</v>
      </c>
      <c r="H277" s="7">
        <v>19</v>
      </c>
      <c r="I277" s="7">
        <v>162</v>
      </c>
      <c r="L277" s="9">
        <f t="shared" si="9"/>
        <v>392685974814265.5</v>
      </c>
      <c r="M277" s="9">
        <f t="shared" si="10"/>
        <v>0</v>
      </c>
    </row>
    <row r="278" spans="1:13" ht="15.75" customHeight="1" x14ac:dyDescent="0.2">
      <c r="A278" s="7" t="s">
        <v>343</v>
      </c>
      <c r="B278" s="7">
        <v>1.56</v>
      </c>
      <c r="C278" s="7">
        <v>8.1999999999999993</v>
      </c>
      <c r="D278" s="7">
        <v>0</v>
      </c>
      <c r="E278" s="7">
        <v>8.4</v>
      </c>
      <c r="F278" s="7">
        <v>0</v>
      </c>
      <c r="G278" s="7">
        <v>8.4</v>
      </c>
      <c r="H278" s="7">
        <v>13</v>
      </c>
      <c r="I278" s="7">
        <v>164</v>
      </c>
      <c r="L278" s="9">
        <f t="shared" si="9"/>
        <v>265403293632491.31</v>
      </c>
      <c r="M278" s="9">
        <f t="shared" si="10"/>
        <v>0</v>
      </c>
    </row>
    <row r="279" spans="1:13" ht="15.75" customHeight="1" x14ac:dyDescent="0.2">
      <c r="A279" s="7" t="s">
        <v>344</v>
      </c>
      <c r="B279" s="7">
        <v>33.4</v>
      </c>
      <c r="C279" s="7">
        <v>10.6</v>
      </c>
      <c r="D279" s="7">
        <v>0</v>
      </c>
      <c r="E279" s="7">
        <v>14.1</v>
      </c>
      <c r="F279" s="7">
        <v>0</v>
      </c>
      <c r="G279" s="7">
        <v>14.1</v>
      </c>
      <c r="H279" s="7">
        <v>19.600000000000001</v>
      </c>
      <c r="I279" s="7">
        <v>166</v>
      </c>
      <c r="L279" s="9">
        <f t="shared" si="9"/>
        <v>395325462026079.75</v>
      </c>
      <c r="M279" s="9">
        <f t="shared" si="10"/>
        <v>0</v>
      </c>
    </row>
    <row r="280" spans="1:13" ht="15.75" customHeight="1" x14ac:dyDescent="0.2">
      <c r="A280" s="7" t="s">
        <v>345</v>
      </c>
      <c r="B280" s="7">
        <v>22.9</v>
      </c>
      <c r="C280" s="7">
        <v>3</v>
      </c>
      <c r="D280" s="7">
        <v>1</v>
      </c>
      <c r="E280" s="7">
        <v>1.1000000000000001</v>
      </c>
      <c r="F280" s="7">
        <v>0.13</v>
      </c>
      <c r="G280" s="7">
        <v>1.2</v>
      </c>
      <c r="H280" s="7">
        <v>659</v>
      </c>
      <c r="I280" s="7">
        <v>167</v>
      </c>
      <c r="L280" s="9">
        <f t="shared" si="9"/>
        <v>1.321221849959702E+16</v>
      </c>
      <c r="M280" s="9">
        <f t="shared" si="10"/>
        <v>4686227544910.1797</v>
      </c>
    </row>
    <row r="281" spans="1:13" ht="15.75" customHeight="1" x14ac:dyDescent="0.2">
      <c r="A281" s="7" t="s">
        <v>346</v>
      </c>
      <c r="B281" s="7">
        <v>27.1</v>
      </c>
      <c r="C281" s="7">
        <v>7.4</v>
      </c>
      <c r="D281" s="7">
        <v>0</v>
      </c>
      <c r="E281" s="7">
        <v>6.9</v>
      </c>
      <c r="F281" s="7">
        <v>0</v>
      </c>
      <c r="G281" s="7">
        <v>6.9</v>
      </c>
      <c r="H281" s="7">
        <v>2.74</v>
      </c>
      <c r="I281" s="7">
        <v>168</v>
      </c>
      <c r="L281" s="9">
        <f t="shared" si="9"/>
        <v>54606970708194.297</v>
      </c>
      <c r="M281" s="9">
        <f t="shared" si="10"/>
        <v>0</v>
      </c>
    </row>
    <row r="282" spans="1:13" ht="15.75" customHeight="1" x14ac:dyDescent="0.2">
      <c r="A282" s="7" t="s">
        <v>347</v>
      </c>
      <c r="B282" s="7">
        <v>14.9</v>
      </c>
      <c r="C282" s="7">
        <v>9.6</v>
      </c>
      <c r="D282" s="7">
        <v>0</v>
      </c>
      <c r="E282" s="7">
        <v>11.6</v>
      </c>
      <c r="F282" s="7">
        <v>0</v>
      </c>
      <c r="G282" s="7" t="s">
        <v>348</v>
      </c>
      <c r="H282" s="7">
        <v>5.8</v>
      </c>
      <c r="I282" s="7">
        <v>170</v>
      </c>
      <c r="L282" s="9">
        <f t="shared" si="9"/>
        <v>114231499051233.36</v>
      </c>
      <c r="M282" s="9">
        <f t="shared" si="10"/>
        <v>0</v>
      </c>
    </row>
    <row r="283" spans="1:13" ht="15.75" customHeight="1" x14ac:dyDescent="0.2">
      <c r="A283" s="7" t="s">
        <v>349</v>
      </c>
      <c r="B283" s="7">
        <v>100</v>
      </c>
      <c r="C283" s="7">
        <v>7.07</v>
      </c>
      <c r="D283" s="7">
        <v>0.9</v>
      </c>
      <c r="E283" s="7">
        <v>6.28</v>
      </c>
      <c r="F283" s="7">
        <v>0.1</v>
      </c>
      <c r="G283" s="7">
        <v>6.38</v>
      </c>
      <c r="H283" s="7">
        <v>100</v>
      </c>
      <c r="I283" s="7">
        <v>168.934</v>
      </c>
      <c r="J283" s="14">
        <v>9.32</v>
      </c>
      <c r="K283" s="14">
        <v>33.222999999999999</v>
      </c>
      <c r="L283" s="9">
        <f t="shared" si="9"/>
        <v>1981936512107531</v>
      </c>
      <c r="M283" s="9">
        <f t="shared" si="10"/>
        <v>3563521848769.3418</v>
      </c>
    </row>
    <row r="284" spans="1:13" ht="15.75" customHeight="1" x14ac:dyDescent="0.2">
      <c r="A284" s="7" t="s">
        <v>350</v>
      </c>
      <c r="B284" s="7" t="s">
        <v>13</v>
      </c>
      <c r="C284" s="7">
        <v>12.43</v>
      </c>
      <c r="D284" s="7" t="s">
        <v>13</v>
      </c>
      <c r="E284" s="7">
        <v>19.420000000000002</v>
      </c>
      <c r="F284" s="7">
        <v>4</v>
      </c>
      <c r="G284" s="7">
        <v>23.4</v>
      </c>
      <c r="H284" s="7">
        <v>34.799999999999997</v>
      </c>
      <c r="I284" s="7">
        <v>173.04</v>
      </c>
      <c r="J284" s="14">
        <v>6.9649999999999999</v>
      </c>
      <c r="K284" s="14">
        <v>24.239000000000001</v>
      </c>
      <c r="L284" s="9">
        <f t="shared" si="9"/>
        <v>673347948637644.75</v>
      </c>
      <c r="M284" s="9">
        <f t="shared" si="10"/>
        <v>139158576051779.92</v>
      </c>
    </row>
    <row r="285" spans="1:13" ht="15.75" customHeight="1" x14ac:dyDescent="0.2">
      <c r="A285" s="7" t="s">
        <v>351</v>
      </c>
      <c r="B285" s="7">
        <v>0.14000000000000001</v>
      </c>
      <c r="C285" s="7">
        <v>-4.07</v>
      </c>
      <c r="D285" s="7">
        <v>0</v>
      </c>
      <c r="E285" s="7">
        <v>2.13</v>
      </c>
      <c r="F285" s="7">
        <v>0</v>
      </c>
      <c r="G285" s="7">
        <v>2.13</v>
      </c>
      <c r="H285" s="7">
        <v>2230</v>
      </c>
      <c r="I285" s="7">
        <v>168</v>
      </c>
      <c r="L285" s="9">
        <f t="shared" si="9"/>
        <v>4.4442899517982936E+16</v>
      </c>
      <c r="M285" s="9">
        <f t="shared" si="10"/>
        <v>0</v>
      </c>
    </row>
    <row r="286" spans="1:13" ht="15.75" customHeight="1" x14ac:dyDescent="0.2">
      <c r="A286" s="7" t="s">
        <v>352</v>
      </c>
      <c r="B286" s="7">
        <v>3.06</v>
      </c>
      <c r="C286" s="7">
        <v>6.77</v>
      </c>
      <c r="D286" s="7">
        <v>0</v>
      </c>
      <c r="E286" s="7">
        <v>5.8</v>
      </c>
      <c r="F286" s="7">
        <v>0</v>
      </c>
      <c r="G286" s="7">
        <v>5.8</v>
      </c>
      <c r="H286" s="7">
        <v>11.4</v>
      </c>
      <c r="I286" s="7">
        <v>170</v>
      </c>
      <c r="L286" s="9">
        <f t="shared" si="9"/>
        <v>224523980893803.53</v>
      </c>
      <c r="M286" s="9">
        <f t="shared" si="10"/>
        <v>0</v>
      </c>
    </row>
    <row r="287" spans="1:13" ht="15.75" customHeight="1" x14ac:dyDescent="0.2">
      <c r="A287" s="7" t="s">
        <v>353</v>
      </c>
      <c r="B287" s="7">
        <v>14.3</v>
      </c>
      <c r="C287" s="7">
        <v>9.66</v>
      </c>
      <c r="D287" s="7">
        <v>-5.59</v>
      </c>
      <c r="E287" s="7">
        <v>11.7</v>
      </c>
      <c r="F287" s="7">
        <v>3.9</v>
      </c>
      <c r="G287" s="7">
        <v>15.6</v>
      </c>
      <c r="H287" s="7">
        <v>48.6</v>
      </c>
      <c r="I287" s="7">
        <v>171</v>
      </c>
      <c r="L287" s="9">
        <f t="shared" si="9"/>
        <v>951583630934956.88</v>
      </c>
      <c r="M287" s="9">
        <f t="shared" si="10"/>
        <v>137298245614035.06</v>
      </c>
    </row>
    <row r="288" spans="1:13" ht="15.75" customHeight="1" x14ac:dyDescent="0.2">
      <c r="A288" s="7" t="s">
        <v>354</v>
      </c>
      <c r="B288" s="7">
        <v>21.9</v>
      </c>
      <c r="C288" s="7">
        <v>9.43</v>
      </c>
      <c r="D288" s="7">
        <v>0</v>
      </c>
      <c r="E288" s="7">
        <v>11.2</v>
      </c>
      <c r="F288" s="7">
        <v>0</v>
      </c>
      <c r="G288" s="7">
        <v>11.2</v>
      </c>
      <c r="H288" s="7">
        <v>0.8</v>
      </c>
      <c r="I288" s="7">
        <v>172</v>
      </c>
      <c r="L288" s="9">
        <f t="shared" si="9"/>
        <v>15572858731924.357</v>
      </c>
      <c r="M288" s="9">
        <f t="shared" si="10"/>
        <v>0</v>
      </c>
    </row>
    <row r="289" spans="1:13" ht="15.75" customHeight="1" x14ac:dyDescent="0.2">
      <c r="A289" s="7" t="s">
        <v>355</v>
      </c>
      <c r="B289" s="7">
        <v>16.100000000000001</v>
      </c>
      <c r="C289" s="7">
        <v>9.56</v>
      </c>
      <c r="D289" s="7">
        <v>-5.3</v>
      </c>
      <c r="E289" s="7">
        <v>11.5</v>
      </c>
      <c r="F289" s="7">
        <v>3.5</v>
      </c>
      <c r="G289" s="7">
        <v>15</v>
      </c>
      <c r="H289" s="7">
        <v>17.100000000000001</v>
      </c>
      <c r="I289" s="7">
        <v>173</v>
      </c>
      <c r="L289" s="9">
        <f t="shared" si="9"/>
        <v>330945752184508.13</v>
      </c>
      <c r="M289" s="9">
        <f t="shared" si="10"/>
        <v>121791907514450.86</v>
      </c>
    </row>
    <row r="290" spans="1:13" ht="15.75" customHeight="1" x14ac:dyDescent="0.2">
      <c r="A290" s="7" t="s">
        <v>356</v>
      </c>
      <c r="B290" s="7">
        <v>31.8</v>
      </c>
      <c r="C290" s="7">
        <v>19.3</v>
      </c>
      <c r="D290" s="7">
        <v>0</v>
      </c>
      <c r="E290" s="7">
        <v>46.8</v>
      </c>
      <c r="F290" s="7">
        <v>0</v>
      </c>
      <c r="G290" s="7">
        <v>46.8</v>
      </c>
      <c r="H290" s="7">
        <v>69.400000000000006</v>
      </c>
      <c r="I290" s="7">
        <v>174</v>
      </c>
      <c r="L290" s="9">
        <f t="shared" si="9"/>
        <v>1335417385856570.8</v>
      </c>
      <c r="M290" s="9">
        <f t="shared" si="10"/>
        <v>0</v>
      </c>
    </row>
    <row r="291" spans="1:13" ht="15.75" customHeight="1" x14ac:dyDescent="0.2">
      <c r="A291" s="7" t="s">
        <v>357</v>
      </c>
      <c r="B291" s="7">
        <v>12.7</v>
      </c>
      <c r="C291" s="7">
        <v>8.7200000000000006</v>
      </c>
      <c r="D291" s="7">
        <v>0</v>
      </c>
      <c r="E291" s="7">
        <v>9.6</v>
      </c>
      <c r="F291" s="7">
        <v>0</v>
      </c>
      <c r="G291" s="7">
        <v>9.6</v>
      </c>
      <c r="H291" s="7">
        <v>2.85</v>
      </c>
      <c r="I291" s="7">
        <v>176</v>
      </c>
      <c r="L291" s="9">
        <f t="shared" si="9"/>
        <v>54217438568105.969</v>
      </c>
      <c r="M291" s="9">
        <f t="shared" si="10"/>
        <v>0</v>
      </c>
    </row>
    <row r="292" spans="1:13" ht="15.75" customHeight="1" x14ac:dyDescent="0.2">
      <c r="A292" s="7" t="s">
        <v>358</v>
      </c>
      <c r="B292" s="7" t="s">
        <v>13</v>
      </c>
      <c r="C292" s="7">
        <v>7.21</v>
      </c>
      <c r="D292" s="7" t="s">
        <v>13</v>
      </c>
      <c r="E292" s="7">
        <v>6.53</v>
      </c>
      <c r="F292" s="7">
        <v>0.7</v>
      </c>
      <c r="G292" s="7">
        <v>7.2</v>
      </c>
      <c r="H292" s="7">
        <v>74</v>
      </c>
      <c r="I292" s="7">
        <v>174.97</v>
      </c>
      <c r="J292" s="14">
        <v>9.8404000000000007</v>
      </c>
      <c r="K292" s="14">
        <v>33.868000000000002</v>
      </c>
      <c r="L292" s="9">
        <f t="shared" si="9"/>
        <v>1416038077527099.3</v>
      </c>
      <c r="M292" s="9">
        <f t="shared" si="10"/>
        <v>24084128707778.473</v>
      </c>
    </row>
    <row r="293" spans="1:13" ht="15.75" customHeight="1" x14ac:dyDescent="0.2">
      <c r="A293" s="7" t="s">
        <v>359</v>
      </c>
      <c r="B293" s="7">
        <v>97.39</v>
      </c>
      <c r="C293" s="7">
        <v>7.24</v>
      </c>
      <c r="D293" s="7" t="s">
        <v>360</v>
      </c>
      <c r="E293" s="7">
        <v>6.59</v>
      </c>
      <c r="F293" s="7">
        <v>0.6</v>
      </c>
      <c r="G293" s="7">
        <v>7.2</v>
      </c>
      <c r="H293" s="7">
        <v>21</v>
      </c>
      <c r="I293" s="7">
        <v>175</v>
      </c>
      <c r="L293" s="9">
        <f t="shared" si="9"/>
        <v>401779755283648.44</v>
      </c>
      <c r="M293" s="9">
        <f t="shared" si="10"/>
        <v>20639999999999.996</v>
      </c>
    </row>
    <row r="294" spans="1:13" ht="15.75" customHeight="1" x14ac:dyDescent="0.2">
      <c r="A294" s="7" t="s">
        <v>361</v>
      </c>
      <c r="B294" s="7">
        <v>2.61</v>
      </c>
      <c r="C294" s="7">
        <v>6.1</v>
      </c>
      <c r="D294" s="7" t="s">
        <v>362</v>
      </c>
      <c r="E294" s="7">
        <v>4.7</v>
      </c>
      <c r="F294" s="7">
        <v>1.2</v>
      </c>
      <c r="G294" s="7">
        <v>5.9</v>
      </c>
      <c r="H294" s="7">
        <v>2065</v>
      </c>
      <c r="I294" s="7">
        <v>176</v>
      </c>
      <c r="L294" s="9">
        <f t="shared" si="9"/>
        <v>3.928386338355748E+16</v>
      </c>
      <c r="M294" s="9">
        <f t="shared" si="10"/>
        <v>41045454545454.531</v>
      </c>
    </row>
    <row r="295" spans="1:13" ht="15.75" customHeight="1" x14ac:dyDescent="0.2">
      <c r="A295" s="7" t="s">
        <v>363</v>
      </c>
      <c r="B295" s="7" t="s">
        <v>13</v>
      </c>
      <c r="C295" s="7">
        <v>7.7</v>
      </c>
      <c r="D295" s="7" t="s">
        <v>13</v>
      </c>
      <c r="E295" s="7">
        <v>7.6</v>
      </c>
      <c r="F295" s="7">
        <v>2.6</v>
      </c>
      <c r="G295" s="7">
        <v>10.199999999999999</v>
      </c>
      <c r="H295" s="7">
        <v>104.1</v>
      </c>
      <c r="I295" s="7">
        <v>178.49</v>
      </c>
      <c r="J295" s="14">
        <v>13.31</v>
      </c>
      <c r="K295" s="14">
        <v>44.905999999999999</v>
      </c>
      <c r="L295" s="9">
        <f t="shared" si="9"/>
        <v>1952736499011513</v>
      </c>
      <c r="M295" s="9">
        <f t="shared" si="10"/>
        <v>87691187181354.688</v>
      </c>
    </row>
    <row r="296" spans="1:13" ht="15.75" customHeight="1" x14ac:dyDescent="0.2">
      <c r="A296" s="7" t="s">
        <v>364</v>
      </c>
      <c r="B296" s="7">
        <v>0.2</v>
      </c>
      <c r="C296" s="7">
        <v>10.9</v>
      </c>
      <c r="D296" s="7">
        <v>0</v>
      </c>
      <c r="E296" s="7" t="s">
        <v>365</v>
      </c>
      <c r="F296" s="7">
        <v>0</v>
      </c>
      <c r="G296" s="7" t="s">
        <v>365</v>
      </c>
      <c r="H296" s="7">
        <v>561</v>
      </c>
      <c r="I296" s="7">
        <v>174</v>
      </c>
      <c r="L296" s="9">
        <f t="shared" si="9"/>
        <v>1.0794944574431358E+16</v>
      </c>
      <c r="M296" s="9">
        <f t="shared" si="10"/>
        <v>0</v>
      </c>
    </row>
    <row r="297" spans="1:13" ht="15.75" customHeight="1" x14ac:dyDescent="0.2">
      <c r="A297" s="7" t="s">
        <v>366</v>
      </c>
      <c r="B297" s="7">
        <v>5.2</v>
      </c>
      <c r="C297" s="7">
        <v>6.61</v>
      </c>
      <c r="D297" s="7">
        <v>0</v>
      </c>
      <c r="E297" s="7">
        <v>5.5</v>
      </c>
      <c r="F297" s="7">
        <v>0</v>
      </c>
      <c r="G297" s="7">
        <v>5.5</v>
      </c>
      <c r="H297" s="7">
        <v>23.5</v>
      </c>
      <c r="I297" s="7">
        <v>176</v>
      </c>
      <c r="L297" s="9">
        <f t="shared" si="9"/>
        <v>447056072403680.75</v>
      </c>
      <c r="M297" s="9">
        <f t="shared" si="10"/>
        <v>0</v>
      </c>
    </row>
    <row r="298" spans="1:13" ht="15.75" customHeight="1" x14ac:dyDescent="0.2">
      <c r="A298" s="7" t="s">
        <v>367</v>
      </c>
      <c r="B298" s="7">
        <v>18.600000000000001</v>
      </c>
      <c r="C298" s="7">
        <v>0.8</v>
      </c>
      <c r="D298" s="7" t="s">
        <v>368</v>
      </c>
      <c r="E298" s="7">
        <v>0.1</v>
      </c>
      <c r="F298" s="7">
        <v>0.1</v>
      </c>
      <c r="G298" s="7">
        <v>0.2</v>
      </c>
      <c r="H298" s="7">
        <v>373</v>
      </c>
      <c r="I298" s="7">
        <v>177</v>
      </c>
      <c r="L298" s="9">
        <f t="shared" si="9"/>
        <v>7055736757099853</v>
      </c>
      <c r="M298" s="9">
        <f t="shared" si="10"/>
        <v>3401129943502.8247</v>
      </c>
    </row>
    <row r="299" spans="1:13" ht="15.75" customHeight="1" x14ac:dyDescent="0.2">
      <c r="A299" s="7" t="s">
        <v>369</v>
      </c>
      <c r="B299" s="7">
        <v>27.1</v>
      </c>
      <c r="C299" s="7">
        <v>5.9</v>
      </c>
      <c r="D299" s="7">
        <v>0</v>
      </c>
      <c r="E299" s="7">
        <v>4.4000000000000004</v>
      </c>
      <c r="F299" s="7">
        <v>0</v>
      </c>
      <c r="G299" s="7">
        <v>4.4000000000000004</v>
      </c>
      <c r="H299" s="7">
        <v>84</v>
      </c>
      <c r="I299" s="7">
        <v>178</v>
      </c>
      <c r="L299" s="9">
        <f t="shared" si="9"/>
        <v>1580032745497493.8</v>
      </c>
      <c r="M299" s="9">
        <f t="shared" si="10"/>
        <v>0</v>
      </c>
    </row>
    <row r="300" spans="1:13" ht="15.75" customHeight="1" x14ac:dyDescent="0.2">
      <c r="A300" s="7" t="s">
        <v>370</v>
      </c>
      <c r="B300" s="7">
        <v>13.7</v>
      </c>
      <c r="C300" s="7">
        <v>7.46</v>
      </c>
      <c r="D300" s="7" t="s">
        <v>371</v>
      </c>
      <c r="E300" s="7">
        <v>7</v>
      </c>
      <c r="F300" s="7">
        <v>0.14000000000000001</v>
      </c>
      <c r="G300" s="7">
        <v>7.1</v>
      </c>
      <c r="H300" s="7">
        <v>41</v>
      </c>
      <c r="I300" s="7">
        <v>179</v>
      </c>
      <c r="L300" s="9">
        <f t="shared" si="9"/>
        <v>766898043139179.88</v>
      </c>
      <c r="M300" s="9">
        <f t="shared" si="10"/>
        <v>4708379888268.1553</v>
      </c>
    </row>
    <row r="301" spans="1:13" ht="15.75" customHeight="1" x14ac:dyDescent="0.2">
      <c r="A301" s="7" t="s">
        <v>372</v>
      </c>
      <c r="B301" s="7">
        <v>35.200000000000003</v>
      </c>
      <c r="C301" s="7">
        <v>13.2</v>
      </c>
      <c r="D301" s="7">
        <v>0</v>
      </c>
      <c r="E301" s="7">
        <v>21.9</v>
      </c>
      <c r="F301" s="7">
        <v>0</v>
      </c>
      <c r="G301" s="7" t="s">
        <v>373</v>
      </c>
      <c r="H301" s="7">
        <v>13.04</v>
      </c>
      <c r="I301" s="7">
        <v>180</v>
      </c>
      <c r="L301" s="9">
        <f t="shared" si="9"/>
        <v>242555926337906.28</v>
      </c>
      <c r="M301" s="9">
        <f t="shared" si="10"/>
        <v>0</v>
      </c>
    </row>
    <row r="302" spans="1:13" ht="15.75" customHeight="1" x14ac:dyDescent="0.2">
      <c r="A302" s="7" t="s">
        <v>374</v>
      </c>
      <c r="B302" s="7" t="s">
        <v>13</v>
      </c>
      <c r="C302" s="7">
        <v>6.91</v>
      </c>
      <c r="D302" s="7" t="s">
        <v>13</v>
      </c>
      <c r="E302" s="7">
        <v>6</v>
      </c>
      <c r="F302" s="7">
        <v>0.01</v>
      </c>
      <c r="G302" s="7">
        <v>6.01</v>
      </c>
      <c r="H302" s="7">
        <v>20.6</v>
      </c>
      <c r="I302" s="7">
        <v>180.94800000000001</v>
      </c>
      <c r="J302" s="14">
        <v>16.600000000000001</v>
      </c>
      <c r="K302" s="14">
        <v>55.244999999999997</v>
      </c>
      <c r="L302" s="9">
        <f t="shared" si="9"/>
        <v>381171338305441.19</v>
      </c>
      <c r="M302" s="9">
        <f t="shared" si="10"/>
        <v>332692265181.15698</v>
      </c>
    </row>
    <row r="303" spans="1:13" ht="15.75" customHeight="1" x14ac:dyDescent="0.2">
      <c r="A303" s="7" t="s">
        <v>375</v>
      </c>
      <c r="B303" s="7">
        <v>1.2E-2</v>
      </c>
      <c r="C303" s="7">
        <v>7</v>
      </c>
      <c r="D303" s="7" t="s">
        <v>13</v>
      </c>
      <c r="E303" s="7">
        <v>6.2</v>
      </c>
      <c r="F303" s="7">
        <v>0.5</v>
      </c>
      <c r="G303" s="7" t="s">
        <v>376</v>
      </c>
      <c r="H303" s="7">
        <v>563</v>
      </c>
      <c r="I303" s="7">
        <v>180</v>
      </c>
      <c r="L303" s="9">
        <f t="shared" si="9"/>
        <v>1.047231491780991E+16</v>
      </c>
      <c r="M303" s="9">
        <f t="shared" si="10"/>
        <v>16722222222222.219</v>
      </c>
    </row>
    <row r="304" spans="1:13" ht="15.75" customHeight="1" x14ac:dyDescent="0.2">
      <c r="A304" s="7" t="s">
        <v>377</v>
      </c>
      <c r="B304" s="7">
        <v>99.988</v>
      </c>
      <c r="C304" s="7">
        <v>6.91</v>
      </c>
      <c r="D304" s="7">
        <v>-0.28999999999999998</v>
      </c>
      <c r="E304" s="7">
        <v>6</v>
      </c>
      <c r="F304" s="7">
        <v>1.0999999999999999E-2</v>
      </c>
      <c r="G304" s="7">
        <v>6.01</v>
      </c>
      <c r="H304" s="7">
        <v>20.5</v>
      </c>
      <c r="I304" s="7">
        <v>181</v>
      </c>
      <c r="L304" s="9">
        <f t="shared" si="9"/>
        <v>379212015806390.06</v>
      </c>
      <c r="M304" s="9">
        <f t="shared" si="10"/>
        <v>365856353591.16016</v>
      </c>
    </row>
    <row r="305" spans="1:13" ht="15.75" customHeight="1" x14ac:dyDescent="0.2">
      <c r="A305" s="7" t="s">
        <v>378</v>
      </c>
      <c r="B305" s="7" t="s">
        <v>13</v>
      </c>
      <c r="C305" s="7">
        <v>4.8600000000000003</v>
      </c>
      <c r="D305" s="7" t="s">
        <v>13</v>
      </c>
      <c r="E305" s="7">
        <v>2.97</v>
      </c>
      <c r="F305" s="7">
        <v>1.63</v>
      </c>
      <c r="G305" s="7">
        <v>4.5999999999999996</v>
      </c>
      <c r="H305" s="7">
        <v>18.3</v>
      </c>
      <c r="I305" s="7">
        <v>183.85</v>
      </c>
      <c r="J305" s="14">
        <v>19.350000000000001</v>
      </c>
      <c r="K305" s="14">
        <v>63.381</v>
      </c>
      <c r="L305" s="9">
        <f t="shared" si="9"/>
        <v>333268494320132.69</v>
      </c>
      <c r="M305" s="9">
        <f t="shared" si="10"/>
        <v>53372858308403.594</v>
      </c>
    </row>
    <row r="306" spans="1:13" ht="15.75" customHeight="1" x14ac:dyDescent="0.2">
      <c r="A306" s="7" t="s">
        <v>379</v>
      </c>
      <c r="B306" s="7">
        <v>0.1</v>
      </c>
      <c r="C306" s="7">
        <v>5</v>
      </c>
      <c r="D306" s="7">
        <v>0</v>
      </c>
      <c r="E306" s="7" t="s">
        <v>380</v>
      </c>
      <c r="F306" s="7">
        <v>0</v>
      </c>
      <c r="G306" s="7" t="s">
        <v>380</v>
      </c>
      <c r="H306" s="7">
        <v>30</v>
      </c>
      <c r="I306" s="7">
        <v>180</v>
      </c>
      <c r="L306" s="9">
        <f t="shared" si="9"/>
        <v>558027437893956.06</v>
      </c>
      <c r="M306" s="9">
        <f t="shared" si="10"/>
        <v>0</v>
      </c>
    </row>
    <row r="307" spans="1:13" ht="15.75" customHeight="1" x14ac:dyDescent="0.2">
      <c r="A307" s="7" t="s">
        <v>381</v>
      </c>
      <c r="B307" s="7">
        <v>26.3</v>
      </c>
      <c r="C307" s="7">
        <v>6.97</v>
      </c>
      <c r="D307" s="7">
        <v>0</v>
      </c>
      <c r="E307" s="7">
        <v>6.1</v>
      </c>
      <c r="F307" s="7">
        <v>0</v>
      </c>
      <c r="G307" s="7">
        <v>6.1</v>
      </c>
      <c r="H307" s="7">
        <v>20.7</v>
      </c>
      <c r="I307" s="7">
        <v>182</v>
      </c>
      <c r="L307" s="9">
        <f t="shared" si="9"/>
        <v>380807735090271.13</v>
      </c>
      <c r="M307" s="9">
        <f t="shared" si="10"/>
        <v>0</v>
      </c>
    </row>
    <row r="308" spans="1:13" ht="15.75" customHeight="1" x14ac:dyDescent="0.2">
      <c r="A308" s="7" t="s">
        <v>382</v>
      </c>
      <c r="B308" s="7">
        <v>14.3</v>
      </c>
      <c r="C308" s="7">
        <v>6.53</v>
      </c>
      <c r="D308" s="7" t="s">
        <v>13</v>
      </c>
      <c r="E308" s="7">
        <v>5.36</v>
      </c>
      <c r="F308" s="7">
        <v>0.3</v>
      </c>
      <c r="G308" s="7">
        <v>5.7</v>
      </c>
      <c r="H308" s="7">
        <v>10.1</v>
      </c>
      <c r="I308" s="7">
        <v>183</v>
      </c>
      <c r="L308" s="9">
        <f t="shared" si="9"/>
        <v>184789413859965.81</v>
      </c>
      <c r="M308" s="9">
        <f t="shared" si="10"/>
        <v>9868852459016.3906</v>
      </c>
    </row>
    <row r="309" spans="1:13" ht="15.75" customHeight="1" x14ac:dyDescent="0.2">
      <c r="A309" s="7" t="s">
        <v>383</v>
      </c>
      <c r="B309" s="7">
        <v>30.7</v>
      </c>
      <c r="C309" s="7">
        <v>7.48</v>
      </c>
      <c r="D309" s="7">
        <v>0</v>
      </c>
      <c r="E309" s="7">
        <v>7.03</v>
      </c>
      <c r="F309" s="7">
        <v>0</v>
      </c>
      <c r="G309" s="7">
        <v>7.03</v>
      </c>
      <c r="H309" s="7">
        <v>1.7</v>
      </c>
      <c r="I309" s="7">
        <v>184</v>
      </c>
      <c r="L309" s="9">
        <f t="shared" si="9"/>
        <v>30934129709338.875</v>
      </c>
      <c r="M309" s="9">
        <f t="shared" si="10"/>
        <v>0</v>
      </c>
    </row>
    <row r="310" spans="1:13" ht="15.75" customHeight="1" x14ac:dyDescent="0.2">
      <c r="A310" s="7" t="s">
        <v>384</v>
      </c>
      <c r="B310" s="7">
        <v>28.6</v>
      </c>
      <c r="C310" s="7">
        <v>-0.72</v>
      </c>
      <c r="D310" s="7">
        <v>0</v>
      </c>
      <c r="E310" s="7">
        <v>6.5000000000000002E-2</v>
      </c>
      <c r="F310" s="7">
        <v>0</v>
      </c>
      <c r="G310" s="7">
        <v>6.5000000000000002E-2</v>
      </c>
      <c r="H310" s="7">
        <v>37.9</v>
      </c>
      <c r="I310" s="7">
        <v>186</v>
      </c>
      <c r="L310" s="9">
        <f t="shared" si="9"/>
        <v>682233545038094.75</v>
      </c>
      <c r="M310" s="9">
        <f t="shared" si="10"/>
        <v>0</v>
      </c>
    </row>
    <row r="311" spans="1:13" ht="15.75" customHeight="1" x14ac:dyDescent="0.2">
      <c r="A311" s="7" t="s">
        <v>385</v>
      </c>
      <c r="B311" s="7" t="s">
        <v>13</v>
      </c>
      <c r="C311" s="7">
        <v>9.1999999999999993</v>
      </c>
      <c r="D311" s="7" t="s">
        <v>13</v>
      </c>
      <c r="E311" s="7">
        <v>10.6</v>
      </c>
      <c r="F311" s="7">
        <v>0.9</v>
      </c>
      <c r="G311" s="7">
        <v>11.5</v>
      </c>
      <c r="H311" s="7">
        <v>89.7</v>
      </c>
      <c r="I311" s="7">
        <v>186.2</v>
      </c>
      <c r="J311" s="14">
        <v>20.53</v>
      </c>
      <c r="K311" s="14">
        <v>66.397000000000006</v>
      </c>
      <c r="L311" s="9">
        <f t="shared" si="9"/>
        <v>1612945043364808</v>
      </c>
      <c r="M311" s="9">
        <f t="shared" si="10"/>
        <v>29097744360902.258</v>
      </c>
    </row>
    <row r="312" spans="1:13" ht="15.75" customHeight="1" x14ac:dyDescent="0.2">
      <c r="A312" s="7" t="s">
        <v>386</v>
      </c>
      <c r="B312" s="7">
        <v>37.4</v>
      </c>
      <c r="C312" s="7">
        <v>9</v>
      </c>
      <c r="D312" s="7" t="s">
        <v>387</v>
      </c>
      <c r="E312" s="7">
        <v>10.199999999999999</v>
      </c>
      <c r="F312" s="7">
        <v>0.5</v>
      </c>
      <c r="G312" s="7">
        <v>10.7</v>
      </c>
      <c r="H312" s="7">
        <v>112</v>
      </c>
      <c r="I312" s="7">
        <v>185</v>
      </c>
      <c r="L312" s="9">
        <f t="shared" si="9"/>
        <v>2026996963593181.5</v>
      </c>
      <c r="M312" s="9">
        <f t="shared" si="10"/>
        <v>16270270270270.268</v>
      </c>
    </row>
    <row r="313" spans="1:13" ht="15.75" customHeight="1" x14ac:dyDescent="0.2">
      <c r="A313" s="7" t="s">
        <v>388</v>
      </c>
      <c r="B313" s="7">
        <v>62.6</v>
      </c>
      <c r="C313" s="7">
        <v>9.3000000000000007</v>
      </c>
      <c r="D313" s="7" t="s">
        <v>389</v>
      </c>
      <c r="E313" s="7">
        <v>10.9</v>
      </c>
      <c r="F313" s="7">
        <v>1</v>
      </c>
      <c r="G313" s="7">
        <v>11.9</v>
      </c>
      <c r="H313" s="7">
        <v>76.400000000000006</v>
      </c>
      <c r="I313" s="7">
        <v>187</v>
      </c>
      <c r="L313" s="9">
        <f t="shared" si="9"/>
        <v>1367913248826682.3</v>
      </c>
      <c r="M313" s="9">
        <f t="shared" si="10"/>
        <v>32192513368983.953</v>
      </c>
    </row>
    <row r="314" spans="1:13" ht="15.75" customHeight="1" x14ac:dyDescent="0.2">
      <c r="A314" s="7" t="s">
        <v>390</v>
      </c>
      <c r="B314" s="7" t="s">
        <v>13</v>
      </c>
      <c r="C314" s="7">
        <v>10.7</v>
      </c>
      <c r="D314" s="7" t="s">
        <v>13</v>
      </c>
      <c r="E314" s="7">
        <v>14.4</v>
      </c>
      <c r="F314" s="7">
        <v>0.3</v>
      </c>
      <c r="G314" s="7">
        <v>14.7</v>
      </c>
      <c r="H314" s="7">
        <v>16</v>
      </c>
      <c r="I314" s="7">
        <v>190.2</v>
      </c>
      <c r="J314" s="14">
        <v>22.48</v>
      </c>
      <c r="K314" s="14">
        <v>71.174999999999997</v>
      </c>
      <c r="L314" s="9">
        <f t="shared" si="9"/>
        <v>281654227328179.75</v>
      </c>
      <c r="M314" s="9">
        <f t="shared" si="10"/>
        <v>9495268138801.2598</v>
      </c>
    </row>
    <row r="315" spans="1:13" ht="15.75" customHeight="1" x14ac:dyDescent="0.2">
      <c r="A315" s="7" t="s">
        <v>391</v>
      </c>
      <c r="B315" s="7">
        <v>0.02</v>
      </c>
      <c r="C315" s="7">
        <v>10</v>
      </c>
      <c r="D315" s="7">
        <v>0</v>
      </c>
      <c r="E315" s="7" t="s">
        <v>393</v>
      </c>
      <c r="F315" s="7">
        <v>0</v>
      </c>
      <c r="G315" s="7" t="s">
        <v>393</v>
      </c>
      <c r="H315" s="7">
        <v>3000</v>
      </c>
      <c r="I315" s="7">
        <v>184</v>
      </c>
      <c r="L315" s="9">
        <f t="shared" si="9"/>
        <v>5.45896406635392E+16</v>
      </c>
      <c r="M315" s="9">
        <f t="shared" si="10"/>
        <v>0</v>
      </c>
    </row>
    <row r="316" spans="1:13" ht="15.75" customHeight="1" x14ac:dyDescent="0.2">
      <c r="A316" s="7" t="s">
        <v>394</v>
      </c>
      <c r="B316" s="7">
        <v>1.58</v>
      </c>
      <c r="C316" s="7">
        <v>11.6</v>
      </c>
      <c r="D316" s="7">
        <v>0</v>
      </c>
      <c r="E316" s="7" t="s">
        <v>395</v>
      </c>
      <c r="F316" s="7">
        <v>0</v>
      </c>
      <c r="G316" s="7" t="s">
        <v>395</v>
      </c>
      <c r="H316" s="7">
        <v>80</v>
      </c>
      <c r="I316" s="7">
        <v>186</v>
      </c>
      <c r="L316" s="9">
        <f t="shared" si="9"/>
        <v>1440070807468274</v>
      </c>
      <c r="M316" s="9">
        <f t="shared" si="10"/>
        <v>0</v>
      </c>
    </row>
    <row r="317" spans="1:13" ht="15.75" customHeight="1" x14ac:dyDescent="0.2">
      <c r="A317" s="7" t="s">
        <v>396</v>
      </c>
      <c r="B317" s="7">
        <v>1.6</v>
      </c>
      <c r="C317" s="7">
        <v>10</v>
      </c>
      <c r="D317" s="7" t="s">
        <v>13</v>
      </c>
      <c r="E317" s="7" t="s">
        <v>393</v>
      </c>
      <c r="F317" s="7">
        <v>0.3</v>
      </c>
      <c r="G317" s="7" t="s">
        <v>393</v>
      </c>
      <c r="H317" s="7">
        <v>320</v>
      </c>
      <c r="I317" s="7">
        <v>187</v>
      </c>
      <c r="L317" s="9">
        <f t="shared" si="9"/>
        <v>5729479576237411</v>
      </c>
      <c r="M317" s="9">
        <f t="shared" si="10"/>
        <v>9657754010695.1836</v>
      </c>
    </row>
    <row r="318" spans="1:13" ht="15.75" customHeight="1" x14ac:dyDescent="0.2">
      <c r="A318" s="7" t="s">
        <v>397</v>
      </c>
      <c r="B318" s="7">
        <v>13.3</v>
      </c>
      <c r="C318" s="7">
        <v>7.6</v>
      </c>
      <c r="D318" s="7">
        <v>0</v>
      </c>
      <c r="E318" s="7">
        <v>7.3</v>
      </c>
      <c r="F318" s="7">
        <v>0</v>
      </c>
      <c r="G318" s="7">
        <v>7.3</v>
      </c>
      <c r="H318" s="7">
        <v>4.7</v>
      </c>
      <c r="I318" s="7">
        <v>188</v>
      </c>
      <c r="L318" s="9">
        <f t="shared" si="9"/>
        <v>83704115684093.438</v>
      </c>
      <c r="M318" s="9">
        <f t="shared" si="10"/>
        <v>0</v>
      </c>
    </row>
    <row r="319" spans="1:13" ht="15.75" customHeight="1" x14ac:dyDescent="0.2">
      <c r="A319" s="7" t="s">
        <v>398</v>
      </c>
      <c r="B319" s="7">
        <v>16.100000000000001</v>
      </c>
      <c r="C319" s="7">
        <v>10.7</v>
      </c>
      <c r="D319" s="7" t="s">
        <v>13</v>
      </c>
      <c r="E319" s="7">
        <v>14.4</v>
      </c>
      <c r="F319" s="7">
        <v>0.5</v>
      </c>
      <c r="G319" s="7">
        <v>14.9</v>
      </c>
      <c r="H319" s="7">
        <v>25</v>
      </c>
      <c r="I319" s="7">
        <v>189</v>
      </c>
      <c r="L319" s="9">
        <f t="shared" si="9"/>
        <v>442878918963457.19</v>
      </c>
      <c r="M319" s="9">
        <f t="shared" si="10"/>
        <v>15925925925925.924</v>
      </c>
    </row>
    <row r="320" spans="1:13" ht="15.75" customHeight="1" x14ac:dyDescent="0.2">
      <c r="A320" s="7" t="s">
        <v>399</v>
      </c>
      <c r="B320" s="7">
        <v>26.4</v>
      </c>
      <c r="C320" s="7">
        <v>11</v>
      </c>
      <c r="D320" s="7">
        <v>0</v>
      </c>
      <c r="E320" s="7">
        <v>15.2</v>
      </c>
      <c r="F320" s="7">
        <v>0</v>
      </c>
      <c r="G320" s="7">
        <v>15.2</v>
      </c>
      <c r="H320" s="7">
        <v>13.1</v>
      </c>
      <c r="I320" s="7">
        <v>190</v>
      </c>
      <c r="L320" s="9">
        <f t="shared" si="9"/>
        <v>230847140097183.97</v>
      </c>
      <c r="M320" s="9">
        <f t="shared" si="10"/>
        <v>0</v>
      </c>
    </row>
    <row r="321" spans="1:13" ht="15.75" customHeight="1" x14ac:dyDescent="0.2">
      <c r="A321" s="7" t="s">
        <v>400</v>
      </c>
      <c r="B321" s="7">
        <v>41</v>
      </c>
      <c r="C321" s="7">
        <v>11.5</v>
      </c>
      <c r="D321" s="7">
        <v>0</v>
      </c>
      <c r="E321" s="7">
        <v>16.600000000000001</v>
      </c>
      <c r="F321" s="7">
        <v>0</v>
      </c>
      <c r="G321" s="7" t="s">
        <v>401</v>
      </c>
      <c r="H321" s="7">
        <v>2</v>
      </c>
      <c r="I321" s="7">
        <v>192</v>
      </c>
      <c r="L321" s="9">
        <f t="shared" si="9"/>
        <v>34876714868372.254</v>
      </c>
      <c r="M321" s="9">
        <f t="shared" si="10"/>
        <v>0</v>
      </c>
    </row>
    <row r="322" spans="1:13" ht="15.75" customHeight="1" x14ac:dyDescent="0.2">
      <c r="A322" s="7" t="s">
        <v>402</v>
      </c>
      <c r="B322" s="7" t="s">
        <v>13</v>
      </c>
      <c r="C322" s="7">
        <v>10.6</v>
      </c>
      <c r="D322" s="7" t="s">
        <v>13</v>
      </c>
      <c r="E322" s="7">
        <v>14.1</v>
      </c>
      <c r="F322" s="7">
        <v>0</v>
      </c>
      <c r="G322" s="7">
        <v>14</v>
      </c>
      <c r="H322" s="7">
        <v>425</v>
      </c>
      <c r="I322" s="7">
        <v>192.2</v>
      </c>
      <c r="J322" s="13">
        <v>22.420999999999999</v>
      </c>
      <c r="K322" s="13">
        <v>70.248999999999995</v>
      </c>
      <c r="L322" s="9">
        <f t="shared" si="9"/>
        <v>7403589836782457</v>
      </c>
      <c r="M322" s="9">
        <f t="shared" si="10"/>
        <v>0</v>
      </c>
    </row>
    <row r="323" spans="1:13" ht="15.75" customHeight="1" x14ac:dyDescent="0.2">
      <c r="A323" s="7" t="s">
        <v>403</v>
      </c>
      <c r="B323" s="7">
        <v>37.299999999999997</v>
      </c>
      <c r="C323" s="7" t="s">
        <v>13</v>
      </c>
      <c r="D323" s="7" t="s">
        <v>13</v>
      </c>
      <c r="E323" s="7" t="s">
        <v>13</v>
      </c>
      <c r="F323" s="7" t="s">
        <v>13</v>
      </c>
      <c r="G323" s="7" t="s">
        <v>13</v>
      </c>
      <c r="H323" s="7">
        <v>954</v>
      </c>
      <c r="I323" s="7">
        <v>191</v>
      </c>
      <c r="L323" s="9">
        <f t="shared" si="9"/>
        <v>1.6723293479083796E+16</v>
      </c>
    </row>
    <row r="324" spans="1:13" ht="15.75" customHeight="1" x14ac:dyDescent="0.2">
      <c r="A324" s="7" t="s">
        <v>404</v>
      </c>
      <c r="B324" s="7">
        <v>62.7</v>
      </c>
      <c r="C324" s="7" t="s">
        <v>13</v>
      </c>
      <c r="D324" s="7" t="s">
        <v>13</v>
      </c>
      <c r="E324" s="7" t="s">
        <v>13</v>
      </c>
      <c r="F324" s="7" t="s">
        <v>13</v>
      </c>
      <c r="G324" s="7" t="s">
        <v>13</v>
      </c>
      <c r="H324" s="7">
        <v>111</v>
      </c>
      <c r="I324" s="7">
        <v>193</v>
      </c>
      <c r="L324" s="9">
        <f t="shared" ref="L324:L373" si="11">(H324*10^-8/1.798)*6.02*10^23/I324</f>
        <v>1925628360815413.5</v>
      </c>
    </row>
    <row r="325" spans="1:13" ht="15.75" customHeight="1" x14ac:dyDescent="0.2">
      <c r="A325" s="7" t="s">
        <v>405</v>
      </c>
      <c r="B325" s="7" t="s">
        <v>13</v>
      </c>
      <c r="C325" s="7">
        <v>9.6</v>
      </c>
      <c r="D325" s="7" t="s">
        <v>13</v>
      </c>
      <c r="E325" s="7">
        <v>11.58</v>
      </c>
      <c r="F325" s="7">
        <v>0.13</v>
      </c>
      <c r="G325" s="7">
        <v>11.71</v>
      </c>
      <c r="H325" s="7">
        <v>10.3</v>
      </c>
      <c r="I325" s="7">
        <v>195.09</v>
      </c>
      <c r="J325" s="14">
        <v>21.45</v>
      </c>
      <c r="K325" s="14">
        <v>66.210999999999999</v>
      </c>
      <c r="L325" s="9">
        <f t="shared" si="11"/>
        <v>176770186384983.78</v>
      </c>
      <c r="M325" s="9">
        <f t="shared" si="10"/>
        <v>4011481880157.876</v>
      </c>
    </row>
    <row r="326" spans="1:13" ht="15.75" customHeight="1" x14ac:dyDescent="0.2">
      <c r="A326" s="7" t="s">
        <v>406</v>
      </c>
      <c r="B326" s="7">
        <v>0.01</v>
      </c>
      <c r="C326" s="7">
        <v>9</v>
      </c>
      <c r="D326" s="7">
        <v>0</v>
      </c>
      <c r="E326" s="7" t="s">
        <v>392</v>
      </c>
      <c r="F326" s="7">
        <v>0</v>
      </c>
      <c r="G326" s="7" t="s">
        <v>392</v>
      </c>
      <c r="H326" s="7">
        <v>152</v>
      </c>
      <c r="I326" s="7">
        <v>190</v>
      </c>
      <c r="L326" s="9">
        <f t="shared" si="11"/>
        <v>2678531701890990</v>
      </c>
      <c r="M326" s="9">
        <f t="shared" si="10"/>
        <v>0</v>
      </c>
    </row>
    <row r="327" spans="1:13" ht="15.75" customHeight="1" x14ac:dyDescent="0.2">
      <c r="A327" s="7" t="s">
        <v>407</v>
      </c>
      <c r="B327" s="7">
        <v>0.79</v>
      </c>
      <c r="C327" s="7">
        <v>9.9</v>
      </c>
      <c r="D327" s="7">
        <v>0</v>
      </c>
      <c r="E327" s="7" t="s">
        <v>408</v>
      </c>
      <c r="F327" s="7">
        <v>0</v>
      </c>
      <c r="G327" s="7" t="s">
        <v>408</v>
      </c>
      <c r="H327" s="7">
        <v>10</v>
      </c>
      <c r="I327" s="7">
        <v>192</v>
      </c>
      <c r="L327" s="9">
        <f t="shared" si="11"/>
        <v>174383574341861.28</v>
      </c>
      <c r="M327" s="9">
        <f t="shared" si="10"/>
        <v>0</v>
      </c>
    </row>
    <row r="328" spans="1:13" ht="15.75" customHeight="1" x14ac:dyDescent="0.2">
      <c r="A328" s="7" t="s">
        <v>409</v>
      </c>
      <c r="B328" s="7">
        <v>32.9</v>
      </c>
      <c r="C328" s="7">
        <v>10.55</v>
      </c>
      <c r="D328" s="7">
        <v>0</v>
      </c>
      <c r="E328" s="7">
        <v>14</v>
      </c>
      <c r="F328" s="7">
        <v>0</v>
      </c>
      <c r="G328" s="7">
        <v>14</v>
      </c>
      <c r="H328" s="7">
        <v>1.44</v>
      </c>
      <c r="I328" s="7">
        <v>194</v>
      </c>
      <c r="L328" s="9">
        <f t="shared" si="11"/>
        <v>24852355996926.707</v>
      </c>
      <c r="M328" s="9">
        <f t="shared" si="10"/>
        <v>0</v>
      </c>
    </row>
    <row r="329" spans="1:13" ht="15.75" customHeight="1" x14ac:dyDescent="0.2">
      <c r="A329" s="7" t="s">
        <v>410</v>
      </c>
      <c r="B329" s="7">
        <v>33.799999999999997</v>
      </c>
      <c r="C329" s="7">
        <v>8.83</v>
      </c>
      <c r="D329" s="7">
        <v>-1</v>
      </c>
      <c r="E329" s="7">
        <v>9.8000000000000007</v>
      </c>
      <c r="F329" s="7">
        <v>0.13</v>
      </c>
      <c r="G329" s="7">
        <v>9.9</v>
      </c>
      <c r="H329" s="7">
        <v>27.5</v>
      </c>
      <c r="I329" s="7">
        <v>195</v>
      </c>
      <c r="L329" s="9">
        <f t="shared" si="11"/>
        <v>472177062833347.5</v>
      </c>
      <c r="M329" s="9">
        <f t="shared" si="10"/>
        <v>4013333333333.3335</v>
      </c>
    </row>
    <row r="330" spans="1:13" ht="15.75" customHeight="1" x14ac:dyDescent="0.2">
      <c r="A330" s="7" t="s">
        <v>411</v>
      </c>
      <c r="B330" s="7">
        <v>25.3</v>
      </c>
      <c r="C330" s="7">
        <v>9.89</v>
      </c>
      <c r="D330" s="7">
        <v>0</v>
      </c>
      <c r="E330" s="7">
        <v>12.3</v>
      </c>
      <c r="F330" s="7">
        <v>0</v>
      </c>
      <c r="G330" s="7">
        <v>12.3</v>
      </c>
      <c r="H330" s="7">
        <v>0.72</v>
      </c>
      <c r="I330" s="7">
        <v>196</v>
      </c>
      <c r="L330" s="9">
        <f t="shared" si="11"/>
        <v>12299380263785.156</v>
      </c>
      <c r="M330" s="9">
        <f t="shared" si="10"/>
        <v>0</v>
      </c>
    </row>
    <row r="331" spans="1:13" ht="15.75" customHeight="1" x14ac:dyDescent="0.2">
      <c r="A331" s="7" t="s">
        <v>412</v>
      </c>
      <c r="B331" s="7">
        <v>7.2</v>
      </c>
      <c r="C331" s="7">
        <v>7.8</v>
      </c>
      <c r="D331" s="7">
        <v>0</v>
      </c>
      <c r="E331" s="7">
        <v>7.6</v>
      </c>
      <c r="F331" s="7">
        <v>0</v>
      </c>
      <c r="G331" s="7">
        <v>7.6</v>
      </c>
      <c r="H331" s="7">
        <v>3.66</v>
      </c>
      <c r="I331" s="7">
        <v>198</v>
      </c>
      <c r="L331" s="9">
        <f t="shared" si="11"/>
        <v>61890315839147.875</v>
      </c>
      <c r="M331" s="9">
        <f t="shared" si="10"/>
        <v>0</v>
      </c>
    </row>
    <row r="332" spans="1:13" ht="15.75" customHeight="1" x14ac:dyDescent="0.2">
      <c r="A332" s="7" t="s">
        <v>413</v>
      </c>
      <c r="B332" s="7">
        <v>100</v>
      </c>
      <c r="C332" s="7">
        <v>7.63</v>
      </c>
      <c r="D332" s="7">
        <v>-1.84</v>
      </c>
      <c r="E332" s="7">
        <v>7.32</v>
      </c>
      <c r="F332" s="7">
        <v>0.43</v>
      </c>
      <c r="G332" s="7">
        <v>7.75</v>
      </c>
      <c r="H332" s="7">
        <v>98.65</v>
      </c>
      <c r="I332" s="7">
        <v>196.97</v>
      </c>
      <c r="J332" s="14">
        <v>18.88</v>
      </c>
      <c r="K332" s="14">
        <v>57.722000000000001</v>
      </c>
      <c r="L332" s="9">
        <f t="shared" si="11"/>
        <v>1676887041120133.3</v>
      </c>
      <c r="M332" s="9">
        <f t="shared" si="10"/>
        <v>13142102858303.289</v>
      </c>
    </row>
    <row r="333" spans="1:13" ht="15.75" customHeight="1" x14ac:dyDescent="0.2">
      <c r="A333" s="7" t="s">
        <v>414</v>
      </c>
      <c r="B333" s="7" t="s">
        <v>13</v>
      </c>
      <c r="C333" s="7">
        <v>12.692</v>
      </c>
      <c r="D333" s="7" t="s">
        <v>13</v>
      </c>
      <c r="E333" s="7">
        <v>20.239999999999998</v>
      </c>
      <c r="F333" s="7">
        <v>6.6</v>
      </c>
      <c r="G333" s="7">
        <v>26.8</v>
      </c>
      <c r="H333" s="7">
        <v>372.3</v>
      </c>
      <c r="I333" s="7">
        <v>200.59</v>
      </c>
      <c r="J333" s="14">
        <v>13.593999999999999</v>
      </c>
      <c r="K333" s="14">
        <v>40.811</v>
      </c>
      <c r="L333" s="9">
        <f t="shared" si="11"/>
        <v>6214276338638613</v>
      </c>
      <c r="M333" s="9">
        <f t="shared" si="10"/>
        <v>198075676753576.91</v>
      </c>
    </row>
    <row r="334" spans="1:13" ht="15.75" customHeight="1" x14ac:dyDescent="0.2">
      <c r="A334" s="7" t="s">
        <v>415</v>
      </c>
      <c r="B334" s="7">
        <v>0.2</v>
      </c>
      <c r="C334" s="7">
        <v>30.3</v>
      </c>
      <c r="D334" s="7">
        <v>0</v>
      </c>
      <c r="E334" s="7" t="s">
        <v>416</v>
      </c>
      <c r="F334" s="7">
        <v>0</v>
      </c>
      <c r="G334" s="7" t="s">
        <v>416</v>
      </c>
      <c r="H334" s="7">
        <v>3080</v>
      </c>
      <c r="I334" s="7">
        <v>196</v>
      </c>
      <c r="L334" s="9">
        <f t="shared" si="11"/>
        <v>5.261401557285872E+16</v>
      </c>
      <c r="M334" s="9">
        <f t="shared" ref="M334:M373" si="12">F334*10^-8*6.02*10^23/I334</f>
        <v>0</v>
      </c>
    </row>
    <row r="335" spans="1:13" ht="15.75" customHeight="1" x14ac:dyDescent="0.2">
      <c r="A335" s="7" t="s">
        <v>417</v>
      </c>
      <c r="B335" s="7">
        <v>10.1</v>
      </c>
      <c r="C335" s="7" t="s">
        <v>13</v>
      </c>
      <c r="D335" s="7">
        <v>0</v>
      </c>
      <c r="E335" s="7" t="s">
        <v>13</v>
      </c>
      <c r="F335" s="7">
        <v>0</v>
      </c>
      <c r="G335" s="7" t="s">
        <v>13</v>
      </c>
      <c r="H335" s="7">
        <v>2</v>
      </c>
      <c r="I335" s="7">
        <v>198</v>
      </c>
      <c r="L335" s="9">
        <f t="shared" si="11"/>
        <v>33819844720845.824</v>
      </c>
      <c r="M335" s="9">
        <f t="shared" si="12"/>
        <v>0</v>
      </c>
    </row>
    <row r="336" spans="1:13" ht="15.75" customHeight="1" x14ac:dyDescent="0.2">
      <c r="A336" s="7" t="s">
        <v>418</v>
      </c>
      <c r="B336" s="7">
        <v>17</v>
      </c>
      <c r="C336" s="7">
        <v>16.899999999999999</v>
      </c>
      <c r="D336" s="7" t="s">
        <v>419</v>
      </c>
      <c r="E336" s="7" t="s">
        <v>420</v>
      </c>
      <c r="F336" s="7">
        <v>30</v>
      </c>
      <c r="G336" s="7" t="s">
        <v>421</v>
      </c>
      <c r="H336" s="7">
        <v>2150</v>
      </c>
      <c r="I336" s="7">
        <v>199</v>
      </c>
      <c r="L336" s="9">
        <f t="shared" si="11"/>
        <v>3.6173637933829328E+16</v>
      </c>
      <c r="M336" s="9">
        <f t="shared" si="12"/>
        <v>907537688442210.88</v>
      </c>
    </row>
    <row r="337" spans="1:13" ht="15.75" customHeight="1" x14ac:dyDescent="0.2">
      <c r="A337" s="7" t="s">
        <v>422</v>
      </c>
      <c r="B337" s="7">
        <v>23.1</v>
      </c>
      <c r="C337" s="7" t="s">
        <v>13</v>
      </c>
      <c r="D337" s="7">
        <v>0</v>
      </c>
      <c r="E337" s="7" t="s">
        <v>13</v>
      </c>
      <c r="F337" s="7">
        <v>0</v>
      </c>
      <c r="G337" s="7" t="s">
        <v>13</v>
      </c>
      <c r="H337" s="7" t="s">
        <v>423</v>
      </c>
      <c r="I337" s="7"/>
    </row>
    <row r="338" spans="1:13" ht="15.75" customHeight="1" x14ac:dyDescent="0.2">
      <c r="A338" s="7" t="s">
        <v>424</v>
      </c>
      <c r="B338" s="7">
        <v>13.2</v>
      </c>
      <c r="C338" s="7" t="s">
        <v>13</v>
      </c>
      <c r="D338" s="7" t="s">
        <v>13</v>
      </c>
      <c r="E338" s="7" t="s">
        <v>13</v>
      </c>
      <c r="F338" s="7" t="s">
        <v>13</v>
      </c>
      <c r="G338" s="7" t="s">
        <v>13</v>
      </c>
      <c r="H338" s="7">
        <v>7.8</v>
      </c>
      <c r="I338" s="7">
        <v>201</v>
      </c>
      <c r="L338" s="9">
        <f t="shared" si="11"/>
        <v>129928776584264.42</v>
      </c>
    </row>
    <row r="339" spans="1:13" ht="15.75" customHeight="1" x14ac:dyDescent="0.2">
      <c r="A339" s="7" t="s">
        <v>425</v>
      </c>
      <c r="B339" s="7">
        <v>29.6</v>
      </c>
      <c r="C339" s="7" t="s">
        <v>13</v>
      </c>
      <c r="D339" s="7">
        <v>0</v>
      </c>
      <c r="E339" s="7" t="s">
        <v>13</v>
      </c>
      <c r="F339" s="7">
        <v>0</v>
      </c>
      <c r="G339" s="7">
        <v>9.8279999999999994</v>
      </c>
      <c r="H339" s="7">
        <v>4.8899999999999997</v>
      </c>
      <c r="I339" s="7">
        <v>202</v>
      </c>
      <c r="L339" s="9">
        <f t="shared" si="11"/>
        <v>81052104098062.75</v>
      </c>
      <c r="M339" s="9">
        <f t="shared" si="12"/>
        <v>0</v>
      </c>
    </row>
    <row r="340" spans="1:13" ht="15.75" customHeight="1" x14ac:dyDescent="0.2">
      <c r="A340" s="7" t="s">
        <v>426</v>
      </c>
      <c r="B340" s="7">
        <v>6.8</v>
      </c>
      <c r="C340" s="7" t="s">
        <v>13</v>
      </c>
      <c r="D340" s="7">
        <v>0</v>
      </c>
      <c r="E340" s="7" t="s">
        <v>13</v>
      </c>
      <c r="F340" s="7">
        <v>0</v>
      </c>
      <c r="G340" s="7" t="s">
        <v>13</v>
      </c>
      <c r="H340" s="7">
        <v>0.43</v>
      </c>
      <c r="I340" s="7">
        <v>204</v>
      </c>
      <c r="L340" s="9">
        <f t="shared" si="11"/>
        <v>7057405832188.2686</v>
      </c>
      <c r="M340" s="9">
        <f t="shared" si="12"/>
        <v>0</v>
      </c>
    </row>
    <row r="341" spans="1:13" ht="15.75" customHeight="1" x14ac:dyDescent="0.2">
      <c r="A341" s="7" t="s">
        <v>427</v>
      </c>
      <c r="B341" s="7" t="s">
        <v>13</v>
      </c>
      <c r="C341" s="7">
        <v>8.7759999999999998</v>
      </c>
      <c r="D341" s="7" t="s">
        <v>13</v>
      </c>
      <c r="E341" s="7">
        <v>9.6780000000000008</v>
      </c>
      <c r="F341" s="7">
        <v>0.21</v>
      </c>
      <c r="G341" s="7">
        <v>9.89</v>
      </c>
      <c r="H341" s="7">
        <v>3.43</v>
      </c>
      <c r="I341" s="7">
        <v>204.37</v>
      </c>
      <c r="J341" s="14">
        <v>11.85</v>
      </c>
      <c r="K341" s="14">
        <v>34.917000000000002</v>
      </c>
      <c r="L341" s="9">
        <f t="shared" si="11"/>
        <v>56193201897820.719</v>
      </c>
      <c r="M341" s="9">
        <f t="shared" si="12"/>
        <v>6185839408915.2012</v>
      </c>
    </row>
    <row r="342" spans="1:13" ht="15.75" customHeight="1" x14ac:dyDescent="0.2">
      <c r="A342" s="7" t="s">
        <v>428</v>
      </c>
      <c r="B342" s="7">
        <v>29.524000000000001</v>
      </c>
      <c r="C342" s="7">
        <v>6.99</v>
      </c>
      <c r="D342" s="7">
        <v>1.06</v>
      </c>
      <c r="E342" s="7">
        <v>6.14</v>
      </c>
      <c r="F342" s="7">
        <v>0.14000000000000001</v>
      </c>
      <c r="G342" s="7">
        <v>6.28</v>
      </c>
      <c r="H342" s="7">
        <v>11.4</v>
      </c>
      <c r="I342" s="7">
        <v>203</v>
      </c>
      <c r="L342" s="9">
        <f t="shared" si="11"/>
        <v>188025008630278.81</v>
      </c>
      <c r="M342" s="9">
        <f t="shared" si="12"/>
        <v>4151724137931.0337</v>
      </c>
    </row>
    <row r="343" spans="1:13" ht="15.75" customHeight="1" x14ac:dyDescent="0.2">
      <c r="A343" s="7" t="s">
        <v>429</v>
      </c>
      <c r="B343" s="7">
        <v>70.475999999999999</v>
      </c>
      <c r="C343" s="7">
        <v>9.52</v>
      </c>
      <c r="D343" s="7">
        <v>-0.24199999999999999</v>
      </c>
      <c r="E343" s="7">
        <v>11.39</v>
      </c>
      <c r="F343" s="7">
        <v>7.0000000000000001E-3</v>
      </c>
      <c r="G343" s="7">
        <v>11.4</v>
      </c>
      <c r="H343" s="7">
        <v>0.104</v>
      </c>
      <c r="I343" s="7">
        <v>205</v>
      </c>
      <c r="L343" s="9">
        <f t="shared" si="11"/>
        <v>1698581079247.9441</v>
      </c>
      <c r="M343" s="9">
        <f t="shared" si="12"/>
        <v>205560975609.7561</v>
      </c>
    </row>
    <row r="344" spans="1:13" ht="15.75" customHeight="1" x14ac:dyDescent="0.2">
      <c r="A344" s="7" t="s">
        <v>430</v>
      </c>
      <c r="B344" s="7" t="s">
        <v>13</v>
      </c>
      <c r="C344" s="7">
        <v>9.4049999999999994</v>
      </c>
      <c r="D344" s="7" t="s">
        <v>13</v>
      </c>
      <c r="E344" s="7">
        <v>11.115</v>
      </c>
      <c r="F344" s="7">
        <v>3.0000000000000001E-3</v>
      </c>
      <c r="G344" s="7">
        <v>11.118</v>
      </c>
      <c r="H344" s="7">
        <v>0.17100000000000001</v>
      </c>
      <c r="I344" s="7">
        <v>207.19</v>
      </c>
      <c r="J344" s="14">
        <v>11.343999999999999</v>
      </c>
      <c r="K344" s="14">
        <v>32.970999999999997</v>
      </c>
      <c r="L344" s="9">
        <f t="shared" si="11"/>
        <v>2763338729085.376</v>
      </c>
      <c r="M344" s="9">
        <f t="shared" si="12"/>
        <v>87166369033.254486</v>
      </c>
    </row>
    <row r="345" spans="1:13" ht="15.75" customHeight="1" x14ac:dyDescent="0.2">
      <c r="A345" s="7" t="s">
        <v>431</v>
      </c>
      <c r="B345" s="7">
        <v>1.4</v>
      </c>
      <c r="C345" s="7">
        <v>9.9</v>
      </c>
      <c r="D345" s="7">
        <v>0</v>
      </c>
      <c r="E345" s="7">
        <v>12.3</v>
      </c>
      <c r="F345" s="7">
        <v>0</v>
      </c>
      <c r="G345" s="7">
        <v>12.3</v>
      </c>
      <c r="H345" s="7">
        <v>0.65</v>
      </c>
      <c r="I345" s="7">
        <v>204</v>
      </c>
      <c r="L345" s="9">
        <f t="shared" si="11"/>
        <v>10668171606796.221</v>
      </c>
      <c r="M345" s="9">
        <f t="shared" si="12"/>
        <v>0</v>
      </c>
    </row>
    <row r="346" spans="1:13" ht="15.75" customHeight="1" x14ac:dyDescent="0.2">
      <c r="A346" s="7" t="s">
        <v>432</v>
      </c>
      <c r="B346" s="7">
        <v>24.1</v>
      </c>
      <c r="C346" s="7">
        <v>9.2200000000000006</v>
      </c>
      <c r="D346" s="7">
        <v>0</v>
      </c>
      <c r="E346" s="7">
        <v>10.68</v>
      </c>
      <c r="F346" s="7">
        <v>0</v>
      </c>
      <c r="G346" s="7">
        <v>10.68</v>
      </c>
      <c r="H346" s="7">
        <v>0.03</v>
      </c>
      <c r="I346" s="7">
        <v>206</v>
      </c>
      <c r="L346" s="9">
        <f t="shared" si="11"/>
        <v>487596790392.77722</v>
      </c>
      <c r="M346" s="9">
        <f t="shared" si="12"/>
        <v>0</v>
      </c>
    </row>
    <row r="347" spans="1:13" ht="15.75" customHeight="1" x14ac:dyDescent="0.2">
      <c r="A347" s="7" t="s">
        <v>433</v>
      </c>
      <c r="B347" s="7">
        <v>22.1</v>
      </c>
      <c r="C347" s="7">
        <v>9.2799999999999994</v>
      </c>
      <c r="D347" s="7">
        <v>0.14000000000000001</v>
      </c>
      <c r="E347" s="7">
        <v>10.82</v>
      </c>
      <c r="F347" s="7">
        <v>2E-3</v>
      </c>
      <c r="G347" s="7">
        <v>10.82</v>
      </c>
      <c r="H347" s="7">
        <v>0.69899999999999995</v>
      </c>
      <c r="I347" s="7">
        <v>207</v>
      </c>
      <c r="L347" s="9">
        <f t="shared" si="11"/>
        <v>11306121132981.896</v>
      </c>
      <c r="M347" s="9">
        <f t="shared" si="12"/>
        <v>58164251207.729462</v>
      </c>
    </row>
    <row r="348" spans="1:13" ht="15.75" customHeight="1" x14ac:dyDescent="0.2">
      <c r="A348" s="7" t="s">
        <v>434</v>
      </c>
      <c r="B348" s="7">
        <v>52.4</v>
      </c>
      <c r="C348" s="7">
        <v>9.5</v>
      </c>
      <c r="D348" s="7">
        <v>0</v>
      </c>
      <c r="E348" s="7">
        <v>11.34</v>
      </c>
      <c r="F348" s="7">
        <v>0</v>
      </c>
      <c r="G348" s="7">
        <v>11.34</v>
      </c>
      <c r="H348" s="7">
        <v>4.8000000000000001E-4</v>
      </c>
      <c r="I348" s="7">
        <v>208</v>
      </c>
      <c r="L348" s="9">
        <f t="shared" si="11"/>
        <v>7726533755.4547787</v>
      </c>
      <c r="M348" s="9">
        <f t="shared" si="12"/>
        <v>0</v>
      </c>
    </row>
    <row r="349" spans="1:13" ht="15.75" customHeight="1" x14ac:dyDescent="0.2">
      <c r="A349" s="7" t="s">
        <v>435</v>
      </c>
      <c r="B349" s="7">
        <v>100</v>
      </c>
      <c r="C349" s="7">
        <v>8.532</v>
      </c>
      <c r="D349" s="7" t="s">
        <v>13</v>
      </c>
      <c r="E349" s="7">
        <v>9.1479999999999997</v>
      </c>
      <c r="F349" s="7">
        <v>8.3999999999999995E-3</v>
      </c>
      <c r="G349" s="7">
        <v>9.1560000000000006</v>
      </c>
      <c r="H349" s="7">
        <v>3.3799999999999997E-2</v>
      </c>
      <c r="I349" s="7">
        <v>208.98</v>
      </c>
      <c r="J349" s="14">
        <v>9.8000000000000007</v>
      </c>
      <c r="K349" s="14">
        <v>28.24</v>
      </c>
      <c r="L349" s="9">
        <f t="shared" si="11"/>
        <v>541525334505.18854</v>
      </c>
      <c r="M349" s="9">
        <f t="shared" si="12"/>
        <v>241975308641.97528</v>
      </c>
    </row>
    <row r="350" spans="1:13" ht="15.75" customHeight="1" x14ac:dyDescent="0.2">
      <c r="A350" s="7" t="s">
        <v>436</v>
      </c>
      <c r="B350" s="7" t="s">
        <v>13</v>
      </c>
      <c r="C350" s="7" t="s">
        <v>13</v>
      </c>
      <c r="D350" s="7">
        <v>0.25900000000000001</v>
      </c>
      <c r="E350" s="7">
        <v>0</v>
      </c>
      <c r="F350" s="7" t="s">
        <v>13</v>
      </c>
      <c r="G350" s="7" t="s">
        <v>13</v>
      </c>
      <c r="H350" s="7" t="s">
        <v>13</v>
      </c>
      <c r="I350" s="7"/>
    </row>
    <row r="351" spans="1:13" ht="15.75" customHeight="1" x14ac:dyDescent="0.2">
      <c r="A351" s="7" t="s">
        <v>437</v>
      </c>
      <c r="B351" s="7" t="s">
        <v>13</v>
      </c>
      <c r="C351" s="7" t="s">
        <v>13</v>
      </c>
      <c r="D351" s="7" t="s">
        <v>13</v>
      </c>
      <c r="E351" s="7">
        <v>0</v>
      </c>
      <c r="F351" s="7" t="s">
        <v>13</v>
      </c>
      <c r="G351" s="7" t="s">
        <v>13</v>
      </c>
      <c r="H351" s="7" t="s">
        <v>13</v>
      </c>
      <c r="I351" s="7"/>
    </row>
    <row r="352" spans="1:13" ht="15.75" customHeight="1" x14ac:dyDescent="0.2">
      <c r="A352" s="7" t="s">
        <v>438</v>
      </c>
      <c r="B352" s="7" t="s">
        <v>13</v>
      </c>
      <c r="C352" s="7" t="s">
        <v>13</v>
      </c>
      <c r="D352" s="7" t="s">
        <v>13</v>
      </c>
      <c r="E352" s="7">
        <v>0</v>
      </c>
      <c r="F352" s="7" t="s">
        <v>13</v>
      </c>
      <c r="G352" s="7">
        <v>12.6</v>
      </c>
      <c r="H352" s="7" t="s">
        <v>13</v>
      </c>
      <c r="I352" s="7"/>
    </row>
    <row r="353" spans="1:13" ht="15.75" customHeight="1" x14ac:dyDescent="0.2">
      <c r="A353" s="7" t="s">
        <v>439</v>
      </c>
      <c r="B353" s="7" t="s">
        <v>13</v>
      </c>
      <c r="C353" s="7" t="s">
        <v>13</v>
      </c>
      <c r="D353" s="7" t="s">
        <v>13</v>
      </c>
      <c r="E353" s="7">
        <v>0</v>
      </c>
      <c r="F353" s="7" t="s">
        <v>13</v>
      </c>
      <c r="G353" s="7" t="s">
        <v>13</v>
      </c>
      <c r="H353" s="7" t="s">
        <v>13</v>
      </c>
      <c r="I353" s="7"/>
    </row>
    <row r="354" spans="1:13" ht="15.75" customHeight="1" x14ac:dyDescent="0.2">
      <c r="A354" s="7" t="s">
        <v>440</v>
      </c>
      <c r="B354" s="7" t="s">
        <v>441</v>
      </c>
      <c r="C354" s="7">
        <v>10</v>
      </c>
      <c r="D354" s="7">
        <v>0</v>
      </c>
      <c r="E354" s="7" t="s">
        <v>442</v>
      </c>
      <c r="F354" s="7">
        <v>0</v>
      </c>
      <c r="G354" s="7" t="s">
        <v>442</v>
      </c>
      <c r="H354" s="7">
        <v>12.8</v>
      </c>
      <c r="I354" s="7">
        <v>226.02539999999999</v>
      </c>
      <c r="L354" s="9">
        <f t="shared" si="11"/>
        <v>189609252899257.5</v>
      </c>
      <c r="M354" s="9">
        <f t="shared" si="12"/>
        <v>0</v>
      </c>
    </row>
    <row r="355" spans="1:13" ht="15.75" customHeight="1" x14ac:dyDescent="0.2">
      <c r="A355" s="7" t="s">
        <v>443</v>
      </c>
      <c r="B355" s="7" t="s">
        <v>13</v>
      </c>
      <c r="C355" s="7" t="s">
        <v>13</v>
      </c>
      <c r="D355" s="7" t="s">
        <v>13</v>
      </c>
      <c r="E355" s="7">
        <v>0</v>
      </c>
      <c r="F355" s="7" t="s">
        <v>13</v>
      </c>
      <c r="G355" s="7" t="s">
        <v>13</v>
      </c>
      <c r="H355" s="7" t="s">
        <v>13</v>
      </c>
      <c r="I355" s="7"/>
    </row>
    <row r="356" spans="1:13" ht="15.75" customHeight="1" x14ac:dyDescent="0.2">
      <c r="A356" s="7" t="s">
        <v>444</v>
      </c>
      <c r="B356" s="7">
        <v>100</v>
      </c>
      <c r="C356" s="7">
        <v>10.31</v>
      </c>
      <c r="D356" s="7">
        <v>0</v>
      </c>
      <c r="E356" s="7">
        <v>13.36</v>
      </c>
      <c r="F356" s="7">
        <v>0</v>
      </c>
      <c r="G356" s="7">
        <v>13.36</v>
      </c>
      <c r="H356" s="7">
        <v>7.37</v>
      </c>
      <c r="I356" s="7">
        <v>232.03809999999999</v>
      </c>
      <c r="L356" s="9">
        <f t="shared" si="11"/>
        <v>106344489563010.33</v>
      </c>
      <c r="M356" s="9">
        <f t="shared" si="12"/>
        <v>0</v>
      </c>
    </row>
    <row r="357" spans="1:13" ht="15.75" customHeight="1" x14ac:dyDescent="0.2">
      <c r="A357" s="7" t="s">
        <v>445</v>
      </c>
      <c r="B357" s="7" t="s">
        <v>446</v>
      </c>
      <c r="C357" s="7">
        <v>9.1</v>
      </c>
      <c r="D357" s="7" t="s">
        <v>13</v>
      </c>
      <c r="E357" s="7">
        <v>10.4</v>
      </c>
      <c r="F357" s="7">
        <v>0.1</v>
      </c>
      <c r="G357" s="7" t="s">
        <v>447</v>
      </c>
      <c r="H357" s="7">
        <v>200.6</v>
      </c>
      <c r="I357" s="7">
        <v>231.0359</v>
      </c>
      <c r="L357" s="9">
        <f t="shared" si="11"/>
        <v>2907088570430680.5</v>
      </c>
      <c r="M357" s="9">
        <f t="shared" si="12"/>
        <v>2605655657843.6514</v>
      </c>
    </row>
    <row r="358" spans="1:13" ht="15.75" customHeight="1" x14ac:dyDescent="0.2">
      <c r="A358" s="7" t="s">
        <v>448</v>
      </c>
      <c r="B358" s="7" t="s">
        <v>13</v>
      </c>
      <c r="C358" s="7">
        <v>8.4169999999999998</v>
      </c>
      <c r="D358" s="7" t="s">
        <v>13</v>
      </c>
      <c r="E358" s="7">
        <v>8.9030000000000005</v>
      </c>
      <c r="F358" s="7">
        <v>5.0000000000000001E-3</v>
      </c>
      <c r="G358" s="7">
        <v>8.9079999999999995</v>
      </c>
      <c r="H358" s="7">
        <v>7.57</v>
      </c>
      <c r="I358" s="7">
        <v>238.029</v>
      </c>
      <c r="L358" s="9">
        <f t="shared" si="11"/>
        <v>106481169223680.72</v>
      </c>
      <c r="M358" s="9">
        <f t="shared" si="12"/>
        <v>126455179831.02898</v>
      </c>
    </row>
    <row r="359" spans="1:13" ht="15.75" customHeight="1" x14ac:dyDescent="0.2">
      <c r="A359" s="7" t="s">
        <v>449</v>
      </c>
      <c r="B359" s="7" t="s">
        <v>450</v>
      </c>
      <c r="C359" s="7">
        <v>10.1</v>
      </c>
      <c r="D359" s="7" t="s">
        <v>451</v>
      </c>
      <c r="E359" s="7">
        <v>12.8</v>
      </c>
      <c r="F359" s="7">
        <v>0.1</v>
      </c>
      <c r="G359" s="7">
        <v>12.9</v>
      </c>
      <c r="H359" s="7">
        <v>574.70000000000005</v>
      </c>
      <c r="I359" s="7">
        <v>233</v>
      </c>
      <c r="L359" s="9">
        <f t="shared" si="11"/>
        <v>8258327087321630</v>
      </c>
      <c r="M359" s="9">
        <f t="shared" si="12"/>
        <v>2583690987124.4634</v>
      </c>
    </row>
    <row r="360" spans="1:13" ht="15.75" customHeight="1" x14ac:dyDescent="0.2">
      <c r="A360" s="7" t="s">
        <v>452</v>
      </c>
      <c r="B360" s="7">
        <v>5.0000000000000001E-3</v>
      </c>
      <c r="C360" s="7">
        <v>12.4</v>
      </c>
      <c r="D360" s="7">
        <v>0</v>
      </c>
      <c r="E360" s="7">
        <v>19.3</v>
      </c>
      <c r="F360" s="7">
        <v>0</v>
      </c>
      <c r="G360" s="7">
        <v>19.3</v>
      </c>
      <c r="H360" s="7">
        <v>100.1</v>
      </c>
      <c r="I360" s="7">
        <v>234</v>
      </c>
      <c r="L360" s="9">
        <f t="shared" si="11"/>
        <v>1432270423927820.8</v>
      </c>
      <c r="M360" s="9">
        <f t="shared" si="12"/>
        <v>0</v>
      </c>
    </row>
    <row r="361" spans="1:13" ht="15.75" customHeight="1" x14ac:dyDescent="0.2">
      <c r="A361" s="7" t="s">
        <v>453</v>
      </c>
      <c r="B361" s="7">
        <v>0.72</v>
      </c>
      <c r="C361" s="7">
        <v>10.47</v>
      </c>
      <c r="D361" s="7" t="s">
        <v>454</v>
      </c>
      <c r="E361" s="7">
        <v>13.78</v>
      </c>
      <c r="F361" s="7">
        <v>0.2</v>
      </c>
      <c r="G361" s="7">
        <v>14</v>
      </c>
      <c r="H361" s="7">
        <v>680.9</v>
      </c>
      <c r="I361" s="7">
        <v>235</v>
      </c>
      <c r="L361" s="9">
        <f t="shared" si="11"/>
        <v>9701128913923270</v>
      </c>
      <c r="M361" s="9">
        <f t="shared" si="12"/>
        <v>5123404255319.1494</v>
      </c>
    </row>
    <row r="362" spans="1:13" ht="15.75" customHeight="1" x14ac:dyDescent="0.2">
      <c r="A362" s="7" t="s">
        <v>455</v>
      </c>
      <c r="B362" s="7">
        <v>99.275000000000006</v>
      </c>
      <c r="C362" s="7">
        <v>8.4019999999999992</v>
      </c>
      <c r="D362" s="7">
        <v>0</v>
      </c>
      <c r="E362" s="7">
        <v>8.8710000000000004</v>
      </c>
      <c r="F362" s="7">
        <v>0</v>
      </c>
      <c r="G362" s="7">
        <v>8.8710000000000004</v>
      </c>
      <c r="H362" s="7">
        <v>2.68</v>
      </c>
      <c r="I362" s="7">
        <v>238</v>
      </c>
      <c r="L362" s="9">
        <f t="shared" si="11"/>
        <v>37702021854347.961</v>
      </c>
      <c r="M362" s="9">
        <f t="shared" si="12"/>
        <v>0</v>
      </c>
    </row>
    <row r="363" spans="1:13" ht="15.75" customHeight="1" x14ac:dyDescent="0.2">
      <c r="A363" s="7" t="s">
        <v>456</v>
      </c>
      <c r="B363" s="7" t="s">
        <v>457</v>
      </c>
      <c r="C363" s="7">
        <v>10.55</v>
      </c>
      <c r="D363" s="7" t="s">
        <v>13</v>
      </c>
      <c r="E363" s="7">
        <v>14</v>
      </c>
      <c r="F363" s="7">
        <v>0.5</v>
      </c>
      <c r="G363" s="7">
        <v>14.5</v>
      </c>
      <c r="H363" s="7">
        <v>175.9</v>
      </c>
      <c r="I363" s="7">
        <v>237.04820000000001</v>
      </c>
      <c r="L363" s="9">
        <f t="shared" si="11"/>
        <v>2484482725257062.5</v>
      </c>
      <c r="M363" s="9">
        <f t="shared" si="12"/>
        <v>12697839511120.521</v>
      </c>
    </row>
    <row r="364" spans="1:13" ht="15.75" customHeight="1" x14ac:dyDescent="0.2">
      <c r="A364" s="7" t="s">
        <v>458</v>
      </c>
      <c r="B364" s="7" t="s">
        <v>13</v>
      </c>
      <c r="C364" s="7" t="s">
        <v>13</v>
      </c>
      <c r="D364" s="7" t="s">
        <v>13</v>
      </c>
      <c r="E364" s="7" t="s">
        <v>13</v>
      </c>
      <c r="F364" s="7" t="s">
        <v>13</v>
      </c>
      <c r="G364" s="7" t="s">
        <v>13</v>
      </c>
      <c r="H364" s="7" t="s">
        <v>13</v>
      </c>
      <c r="I364" s="7"/>
    </row>
    <row r="365" spans="1:13" ht="15.75" customHeight="1" x14ac:dyDescent="0.2">
      <c r="A365" s="7" t="s">
        <v>459</v>
      </c>
      <c r="B365" s="7" t="s">
        <v>460</v>
      </c>
      <c r="C365" s="7">
        <v>14.1</v>
      </c>
      <c r="D365" s="7">
        <v>0</v>
      </c>
      <c r="E365" s="7" t="s">
        <v>461</v>
      </c>
      <c r="F365" s="7">
        <v>0</v>
      </c>
      <c r="G365" s="7" t="s">
        <v>461</v>
      </c>
      <c r="H365" s="7">
        <v>558</v>
      </c>
      <c r="I365" s="7">
        <v>238</v>
      </c>
      <c r="L365" s="9">
        <f t="shared" si="11"/>
        <v>7849898580121702</v>
      </c>
      <c r="M365" s="9">
        <f t="shared" si="12"/>
        <v>0</v>
      </c>
    </row>
    <row r="366" spans="1:13" ht="15.75" customHeight="1" x14ac:dyDescent="0.2">
      <c r="A366" s="7" t="s">
        <v>462</v>
      </c>
      <c r="B366" s="7" t="s">
        <v>463</v>
      </c>
      <c r="C366" s="7">
        <v>7.7</v>
      </c>
      <c r="D366" s="7" t="s">
        <v>464</v>
      </c>
      <c r="E366" s="7">
        <v>7.5</v>
      </c>
      <c r="F366" s="7">
        <v>0.2</v>
      </c>
      <c r="G366" s="7">
        <v>7.7</v>
      </c>
      <c r="H366" s="7">
        <v>1017.3</v>
      </c>
      <c r="I366" s="7">
        <v>239</v>
      </c>
      <c r="L366" s="9">
        <f t="shared" si="11"/>
        <v>1.425141370467418E+16</v>
      </c>
      <c r="M366" s="9">
        <f t="shared" si="12"/>
        <v>5037656903765.6904</v>
      </c>
    </row>
    <row r="367" spans="1:13" ht="15.75" customHeight="1" x14ac:dyDescent="0.2">
      <c r="A367" s="7" t="s">
        <v>465</v>
      </c>
      <c r="B367" s="7" t="s">
        <v>466</v>
      </c>
      <c r="C367" s="7">
        <v>3.5</v>
      </c>
      <c r="D367" s="7">
        <v>0</v>
      </c>
      <c r="E367" s="7">
        <v>1.54</v>
      </c>
      <c r="F367" s="7">
        <v>0</v>
      </c>
      <c r="G367" s="7">
        <v>1.54</v>
      </c>
      <c r="H367" s="7">
        <v>289.60000000000002</v>
      </c>
      <c r="I367" s="7">
        <v>240</v>
      </c>
      <c r="L367" s="9">
        <f t="shared" si="11"/>
        <v>4040118650352242.5</v>
      </c>
      <c r="M367" s="9">
        <f t="shared" si="12"/>
        <v>0</v>
      </c>
    </row>
    <row r="368" spans="1:13" ht="15.75" customHeight="1" x14ac:dyDescent="0.2">
      <c r="A368" s="7" t="s">
        <v>467</v>
      </c>
      <c r="B368" s="7" t="s">
        <v>468</v>
      </c>
      <c r="C368" s="7">
        <v>8.1</v>
      </c>
      <c r="D368" s="7">
        <v>0</v>
      </c>
      <c r="E368" s="7">
        <v>8.1999999999999993</v>
      </c>
      <c r="F368" s="7">
        <v>0</v>
      </c>
      <c r="G368" s="7">
        <v>8.1999999999999993</v>
      </c>
      <c r="H368" s="7">
        <v>18.5</v>
      </c>
      <c r="I368" s="7">
        <v>242</v>
      </c>
      <c r="L368" s="9">
        <f t="shared" si="11"/>
        <v>255954733910037.75</v>
      </c>
      <c r="M368" s="9">
        <f t="shared" si="12"/>
        <v>0</v>
      </c>
    </row>
    <row r="369" spans="1:13" ht="15.75" customHeight="1" x14ac:dyDescent="0.2">
      <c r="A369" s="7" t="s">
        <v>469</v>
      </c>
      <c r="B369" s="7" t="s">
        <v>470</v>
      </c>
      <c r="C369" s="7">
        <v>8.3000000000000007</v>
      </c>
      <c r="D369" s="7" t="s">
        <v>471</v>
      </c>
      <c r="E369" s="7">
        <v>8.6999999999999993</v>
      </c>
      <c r="F369" s="7">
        <v>0.3</v>
      </c>
      <c r="G369" s="7" t="s">
        <v>472</v>
      </c>
      <c r="H369" s="7">
        <v>75.3</v>
      </c>
      <c r="I369" s="7">
        <v>243</v>
      </c>
      <c r="L369" s="9">
        <f t="shared" si="11"/>
        <v>1037517680825059.1</v>
      </c>
      <c r="M369" s="9">
        <f t="shared" si="12"/>
        <v>7432098765432.0967</v>
      </c>
    </row>
    <row r="370" spans="1:13" ht="15.75" customHeight="1" x14ac:dyDescent="0.2">
      <c r="A370" s="7" t="s">
        <v>473</v>
      </c>
      <c r="B370" s="7" t="s">
        <v>13</v>
      </c>
      <c r="C370" s="7" t="s">
        <v>13</v>
      </c>
      <c r="D370" s="7" t="s">
        <v>13</v>
      </c>
      <c r="E370" s="7">
        <v>0</v>
      </c>
      <c r="F370" s="7" t="s">
        <v>13</v>
      </c>
      <c r="G370" s="7" t="s">
        <v>13</v>
      </c>
      <c r="H370" s="7" t="s">
        <v>13</v>
      </c>
      <c r="I370" s="7"/>
    </row>
    <row r="371" spans="1:13" ht="15.75" customHeight="1" x14ac:dyDescent="0.2">
      <c r="A371" s="7" t="s">
        <v>474</v>
      </c>
      <c r="B371" s="7" t="s">
        <v>475</v>
      </c>
      <c r="C371" s="7">
        <v>9.5</v>
      </c>
      <c r="D371" s="7">
        <v>0</v>
      </c>
      <c r="E371" s="7">
        <v>11.3</v>
      </c>
      <c r="F371" s="7">
        <v>0</v>
      </c>
      <c r="G371" s="7">
        <v>11.3</v>
      </c>
      <c r="H371" s="7">
        <v>16.2</v>
      </c>
      <c r="I371" s="7">
        <v>244</v>
      </c>
      <c r="L371" s="9">
        <f t="shared" si="11"/>
        <v>222296176079067.78</v>
      </c>
      <c r="M371" s="9">
        <f t="shared" si="12"/>
        <v>0</v>
      </c>
    </row>
    <row r="372" spans="1:13" ht="15.75" customHeight="1" x14ac:dyDescent="0.2">
      <c r="A372" s="7" t="s">
        <v>476</v>
      </c>
      <c r="B372" s="7" t="s">
        <v>477</v>
      </c>
      <c r="C372" s="7">
        <v>9.3000000000000007</v>
      </c>
      <c r="D372" s="7">
        <v>0</v>
      </c>
      <c r="E372" s="7">
        <v>10.9</v>
      </c>
      <c r="F372" s="7">
        <v>0</v>
      </c>
      <c r="G372" s="7">
        <v>10.9</v>
      </c>
      <c r="H372" s="7">
        <v>1.36</v>
      </c>
      <c r="I372" s="7">
        <v>246</v>
      </c>
      <c r="L372" s="9">
        <f t="shared" si="11"/>
        <v>18510178427701.965</v>
      </c>
      <c r="M372" s="9">
        <f t="shared" si="12"/>
        <v>0</v>
      </c>
    </row>
    <row r="373" spans="1:13" ht="15.75" customHeight="1" x14ac:dyDescent="0.2">
      <c r="A373" s="7" t="s">
        <v>478</v>
      </c>
      <c r="B373" s="7" t="s">
        <v>479</v>
      </c>
      <c r="C373" s="7">
        <v>7.7</v>
      </c>
      <c r="D373" s="7">
        <v>0</v>
      </c>
      <c r="E373" s="7">
        <v>7.5</v>
      </c>
      <c r="F373" s="7">
        <v>0</v>
      </c>
      <c r="G373" s="7">
        <v>7.5</v>
      </c>
      <c r="H373" s="7">
        <v>3</v>
      </c>
      <c r="I373" s="7">
        <v>248</v>
      </c>
      <c r="L373" s="9">
        <f t="shared" si="11"/>
        <v>40501991460045.211</v>
      </c>
      <c r="M373" s="9">
        <f t="shared" si="12"/>
        <v>0</v>
      </c>
    </row>
    <row r="374" spans="1:13" ht="15.75" customHeight="1" x14ac:dyDescent="0.2">
      <c r="A374" s="7"/>
      <c r="B374" s="7"/>
      <c r="C374" s="7"/>
      <c r="D374" s="7"/>
      <c r="E374" s="7"/>
      <c r="F374" s="7"/>
      <c r="G374" s="7"/>
      <c r="H374" s="7"/>
      <c r="I374" s="7"/>
    </row>
  </sheetData>
  <mergeCells count="1">
    <mergeCell ref="A1:H1"/>
  </mergeCells>
  <phoneticPr fontId="1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Reflectivity</vt:lpstr>
      <vt:lpstr>Uncertainties</vt:lpstr>
      <vt:lpstr>swellRatioRich</vt:lpstr>
      <vt:lpstr>swellRatioPoor</vt:lpstr>
      <vt:lpstr>sigMarker</vt:lpstr>
      <vt:lpstr>deldod</vt:lpstr>
      <vt:lpstr>dSiOx</vt:lpstr>
      <vt:lpstr>sigBuffer</vt:lpstr>
      <vt:lpstr>ScaledCombined</vt:lpstr>
      <vt:lpstr>ScatteringParameters</vt:lpstr>
      <vt:lpstr>AtomicParameters</vt:lpstr>
      <vt:lpstr>ScaledCombined!REF_L_2790_2008_01_10T13_3A40_3A12_04_3A00_CE_scaling</vt:lpstr>
    </vt:vector>
  </TitlesOfParts>
  <Company>Argonne National Laboratory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Ankner</dc:creator>
  <cp:lastModifiedBy>Ankner, John Francis</cp:lastModifiedBy>
  <cp:lastPrinted>2016-06-14T15:27:36Z</cp:lastPrinted>
  <dcterms:created xsi:type="dcterms:W3CDTF">2000-09-25T14:43:08Z</dcterms:created>
  <dcterms:modified xsi:type="dcterms:W3CDTF">2020-03-05T21:58:32Z</dcterms:modified>
</cp:coreProperties>
</file>