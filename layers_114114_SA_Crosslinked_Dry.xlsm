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tuff\Data\LiqRef\2017\Eugenia\ElasticPaper\"/>
    </mc:Choice>
  </mc:AlternateContent>
  <xr:revisionPtr revIDLastSave="0" documentId="13_ncr:1_{DBB3DA44-3DA9-47CE-AC79-4943DD9918F5}" xr6:coauthVersionLast="44" xr6:coauthVersionMax="44" xr10:uidLastSave="{00000000-0000-0000-0000-000000000000}"/>
  <bookViews>
    <workbookView xWindow="1350" yWindow="915" windowWidth="17565" windowHeight="19410" tabRatio="749" xr2:uid="{00000000-000D-0000-FFFF-FFFF00000000}"/>
  </bookViews>
  <sheets>
    <sheet name="Reflectivity" sheetId="1" r:id="rId1"/>
    <sheet name="Uncertainties" sheetId="35" r:id="rId2"/>
    <sheet name="dMarker" sheetId="22" r:id="rId3"/>
    <sheet name="f_PMAA" sheetId="30" r:id="rId4"/>
    <sheet name="sigTop" sheetId="26" r:id="rId5"/>
    <sheet name="sigMarker" sheetId="34" r:id="rId6"/>
    <sheet name="dPGMA" sheetId="38" r:id="rId7"/>
    <sheet name="ScaledCombined" sheetId="18" r:id="rId8"/>
    <sheet name="ScatteringParameters" sheetId="7" r:id="rId9"/>
    <sheet name="AtomicParameters" sheetId="6" r:id="rId10"/>
  </sheets>
  <functionGroups builtInGroupCount="19"/>
  <definedNames>
    <definedName name="REF_L_2790_2008_01_10T13_3A40_3A12_04_3A00_CE_scaling" localSheetId="7">ScaledCombined!$A$1:$E$393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3" i="1" l="1"/>
  <c r="G42" i="1"/>
  <c r="G41" i="1"/>
  <c r="G40" i="1"/>
  <c r="F40" i="1"/>
  <c r="H39" i="1"/>
  <c r="H49" i="1" s="1"/>
  <c r="H37" i="1" s="1"/>
  <c r="G39" i="1"/>
  <c r="C39" i="1"/>
  <c r="G38" i="1"/>
  <c r="F38" i="1"/>
  <c r="F37" i="1" s="1"/>
  <c r="G37" i="1"/>
  <c r="H35" i="1"/>
  <c r="C37" i="1" s="1"/>
  <c r="C35" i="1"/>
  <c r="C36" i="1" l="1"/>
  <c r="C38" i="1"/>
  <c r="C40" i="1"/>
  <c r="C41" i="1"/>
  <c r="F39" i="1"/>
  <c r="H43" i="1" s="1"/>
  <c r="G7" i="1" l="1"/>
  <c r="F4" i="1"/>
  <c r="B5" i="35" l="1"/>
  <c r="B4" i="35" l="1"/>
  <c r="B14" i="35" l="1"/>
  <c r="B19" i="35"/>
  <c r="B32" i="35" s="1"/>
  <c r="B30" i="35" l="1"/>
  <c r="C31" i="35" s="1"/>
  <c r="H22" i="1"/>
  <c r="B31" i="35" s="1"/>
  <c r="B23" i="35" l="1"/>
  <c r="B21" i="35"/>
  <c r="B2" i="35" l="1"/>
  <c r="B11" i="35" l="1"/>
  <c r="G12" i="1" l="1"/>
  <c r="G6" i="1" l="1"/>
  <c r="F7" i="1" l="1"/>
  <c r="H18" i="1" l="1"/>
  <c r="G11" i="1"/>
  <c r="H10" i="1"/>
  <c r="F9" i="1"/>
  <c r="F10" i="1" s="1"/>
  <c r="G8" i="1"/>
  <c r="G9" i="1" s="1"/>
  <c r="G10" i="1" s="1"/>
  <c r="G5" i="1"/>
  <c r="H8" i="1" l="1"/>
  <c r="H28" i="1" s="1"/>
  <c r="B8" i="35"/>
  <c r="F8" i="1"/>
  <c r="B22" i="35"/>
  <c r="F6" i="1"/>
  <c r="B38" i="35" l="1"/>
  <c r="B37" i="35"/>
  <c r="B36" i="35"/>
  <c r="B22" i="1"/>
  <c r="C22" i="1"/>
  <c r="D22" i="1" s="1"/>
  <c r="E22" i="1"/>
  <c r="H20" i="1" s="1"/>
  <c r="H12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3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A233" i="1"/>
  <c r="Z233" i="1"/>
  <c r="Y233" i="1"/>
  <c r="X233" i="1"/>
  <c r="AC232" i="1"/>
  <c r="AA232" i="1"/>
  <c r="Z232" i="1"/>
  <c r="Y232" i="1"/>
  <c r="X232" i="1"/>
  <c r="AC231" i="1"/>
  <c r="AA231" i="1"/>
  <c r="Z231" i="1"/>
  <c r="Y231" i="1"/>
  <c r="X231" i="1"/>
  <c r="AC230" i="1"/>
  <c r="AA230" i="1"/>
  <c r="Z230" i="1"/>
  <c r="Y230" i="1"/>
  <c r="X230" i="1"/>
  <c r="AC229" i="1"/>
  <c r="AA229" i="1"/>
  <c r="Z229" i="1"/>
  <c r="Y229" i="1"/>
  <c r="X229" i="1"/>
  <c r="AC228" i="1"/>
  <c r="AA228" i="1"/>
  <c r="Z228" i="1"/>
  <c r="Y228" i="1"/>
  <c r="X228" i="1"/>
  <c r="AC227" i="1"/>
  <c r="AA227" i="1"/>
  <c r="Z227" i="1"/>
  <c r="Y227" i="1"/>
  <c r="X227" i="1"/>
  <c r="AC226" i="1"/>
  <c r="AA226" i="1"/>
  <c r="Z226" i="1"/>
  <c r="Y226" i="1"/>
  <c r="X226" i="1"/>
  <c r="AC225" i="1"/>
  <c r="AA225" i="1"/>
  <c r="Z225" i="1"/>
  <c r="Y225" i="1"/>
  <c r="X225" i="1"/>
  <c r="AC224" i="1"/>
  <c r="AA224" i="1"/>
  <c r="Z224" i="1"/>
  <c r="Y224" i="1"/>
  <c r="X224" i="1"/>
  <c r="AC223" i="1"/>
  <c r="AA223" i="1"/>
  <c r="Z223" i="1"/>
  <c r="Y223" i="1"/>
  <c r="X223" i="1"/>
  <c r="AC222" i="1"/>
  <c r="AA222" i="1"/>
  <c r="Z222" i="1"/>
  <c r="Y222" i="1"/>
  <c r="X222" i="1"/>
  <c r="AC221" i="1"/>
  <c r="AA221" i="1"/>
  <c r="Z221" i="1"/>
  <c r="Y221" i="1"/>
  <c r="X221" i="1"/>
  <c r="AC220" i="1"/>
  <c r="AA220" i="1"/>
  <c r="Z220" i="1"/>
  <c r="Y220" i="1"/>
  <c r="X220" i="1"/>
  <c r="AC219" i="1"/>
  <c r="AA219" i="1"/>
  <c r="Z219" i="1"/>
  <c r="Y219" i="1"/>
  <c r="X219" i="1"/>
  <c r="AC218" i="1"/>
  <c r="AA218" i="1"/>
  <c r="Z218" i="1"/>
  <c r="Y218" i="1"/>
  <c r="X218" i="1"/>
  <c r="AC217" i="1"/>
  <c r="AA217" i="1"/>
  <c r="Z217" i="1"/>
  <c r="Y217" i="1"/>
  <c r="X217" i="1"/>
  <c r="AC216" i="1"/>
  <c r="AA216" i="1"/>
  <c r="Z216" i="1"/>
  <c r="Y216" i="1"/>
  <c r="X216" i="1"/>
  <c r="AC215" i="1"/>
  <c r="AA215" i="1"/>
  <c r="Z215" i="1"/>
  <c r="Y215" i="1"/>
  <c r="X215" i="1"/>
  <c r="AC214" i="1"/>
  <c r="AA214" i="1"/>
  <c r="Z214" i="1"/>
  <c r="Y214" i="1"/>
  <c r="X214" i="1"/>
  <c r="AC213" i="1"/>
  <c r="AA213" i="1"/>
  <c r="Z213" i="1"/>
  <c r="Y213" i="1"/>
  <c r="X213" i="1"/>
  <c r="AC212" i="1"/>
  <c r="AA212" i="1"/>
  <c r="Z212" i="1"/>
  <c r="Y212" i="1"/>
  <c r="X212" i="1"/>
  <c r="AC211" i="1"/>
  <c r="AA211" i="1"/>
  <c r="Z211" i="1"/>
  <c r="Y211" i="1"/>
  <c r="X211" i="1"/>
  <c r="AC210" i="1"/>
  <c r="AA210" i="1"/>
  <c r="Z210" i="1"/>
  <c r="Y210" i="1"/>
  <c r="X210" i="1"/>
  <c r="AC209" i="1"/>
  <c r="AA209" i="1"/>
  <c r="Z209" i="1"/>
  <c r="Y209" i="1"/>
  <c r="X209" i="1"/>
  <c r="AC208" i="1"/>
  <c r="AA208" i="1"/>
  <c r="Z208" i="1"/>
  <c r="Y208" i="1"/>
  <c r="X208" i="1"/>
  <c r="AC207" i="1"/>
  <c r="AA207" i="1"/>
  <c r="Z207" i="1"/>
  <c r="Y207" i="1"/>
  <c r="X207" i="1"/>
  <c r="AC206" i="1"/>
  <c r="AA206" i="1"/>
  <c r="Z206" i="1"/>
  <c r="Y206" i="1"/>
  <c r="X206" i="1"/>
  <c r="AC205" i="1"/>
  <c r="AA205" i="1"/>
  <c r="Z205" i="1"/>
  <c r="Y205" i="1"/>
  <c r="X205" i="1"/>
  <c r="AC204" i="1"/>
  <c r="AA204" i="1"/>
  <c r="Z204" i="1"/>
  <c r="Y204" i="1"/>
  <c r="X204" i="1"/>
  <c r="AC203" i="1"/>
  <c r="AA203" i="1"/>
  <c r="Z203" i="1"/>
  <c r="Y203" i="1"/>
  <c r="X203" i="1"/>
  <c r="AC202" i="1"/>
  <c r="AA202" i="1"/>
  <c r="Z202" i="1"/>
  <c r="Y202" i="1"/>
  <c r="X202" i="1"/>
  <c r="AC201" i="1"/>
  <c r="AA201" i="1"/>
  <c r="Z201" i="1"/>
  <c r="Y201" i="1"/>
  <c r="X201" i="1"/>
  <c r="AC200" i="1"/>
  <c r="AA200" i="1"/>
  <c r="Z200" i="1"/>
  <c r="Y200" i="1"/>
  <c r="X200" i="1"/>
  <c r="AC199" i="1"/>
  <c r="AA199" i="1"/>
  <c r="Z199" i="1"/>
  <c r="Y199" i="1"/>
  <c r="X199" i="1"/>
  <c r="AC198" i="1"/>
  <c r="AA198" i="1"/>
  <c r="Z198" i="1"/>
  <c r="Y198" i="1"/>
  <c r="X198" i="1"/>
  <c r="AC197" i="1"/>
  <c r="AA197" i="1"/>
  <c r="Z197" i="1"/>
  <c r="Y197" i="1"/>
  <c r="X197" i="1"/>
  <c r="AC196" i="1"/>
  <c r="AA196" i="1"/>
  <c r="Z196" i="1"/>
  <c r="Y196" i="1"/>
  <c r="X196" i="1"/>
  <c r="AC195" i="1"/>
  <c r="AA195" i="1"/>
  <c r="Z195" i="1"/>
  <c r="Y195" i="1"/>
  <c r="X195" i="1"/>
  <c r="AC194" i="1"/>
  <c r="AA194" i="1"/>
  <c r="Z194" i="1"/>
  <c r="Y194" i="1"/>
  <c r="X194" i="1"/>
  <c r="AC193" i="1"/>
  <c r="AA193" i="1"/>
  <c r="Z193" i="1"/>
  <c r="Y193" i="1"/>
  <c r="X193" i="1"/>
  <c r="AC192" i="1"/>
  <c r="AA192" i="1"/>
  <c r="Z192" i="1"/>
  <c r="Y192" i="1"/>
  <c r="X192" i="1"/>
  <c r="AC191" i="1"/>
  <c r="AA191" i="1"/>
  <c r="Z191" i="1"/>
  <c r="Y191" i="1"/>
  <c r="X191" i="1"/>
  <c r="AC190" i="1"/>
  <c r="AA190" i="1"/>
  <c r="Z190" i="1"/>
  <c r="Y190" i="1"/>
  <c r="X190" i="1"/>
  <c r="AC189" i="1"/>
  <c r="AA189" i="1"/>
  <c r="Z189" i="1"/>
  <c r="Y189" i="1"/>
  <c r="X189" i="1"/>
  <c r="AC188" i="1"/>
  <c r="AA188" i="1"/>
  <c r="Z188" i="1"/>
  <c r="Y188" i="1"/>
  <c r="X188" i="1"/>
  <c r="AC187" i="1"/>
  <c r="AA187" i="1"/>
  <c r="Z187" i="1"/>
  <c r="Y187" i="1"/>
  <c r="X187" i="1"/>
  <c r="AC186" i="1"/>
  <c r="AA186" i="1"/>
  <c r="Z186" i="1"/>
  <c r="Y186" i="1"/>
  <c r="X186" i="1"/>
  <c r="AC185" i="1"/>
  <c r="AA185" i="1"/>
  <c r="Z185" i="1"/>
  <c r="Y185" i="1"/>
  <c r="X185" i="1"/>
  <c r="AC184" i="1"/>
  <c r="AA184" i="1"/>
  <c r="Z184" i="1"/>
  <c r="Y184" i="1"/>
  <c r="X184" i="1"/>
  <c r="AC183" i="1"/>
  <c r="AA183" i="1"/>
  <c r="Z183" i="1"/>
  <c r="Y183" i="1"/>
  <c r="X183" i="1"/>
  <c r="AC182" i="1"/>
  <c r="AA182" i="1"/>
  <c r="Z182" i="1"/>
  <c r="Y182" i="1"/>
  <c r="X182" i="1"/>
  <c r="AC181" i="1"/>
  <c r="AA181" i="1"/>
  <c r="Z181" i="1"/>
  <c r="Y181" i="1"/>
  <c r="X181" i="1"/>
  <c r="AC180" i="1"/>
  <c r="AA180" i="1"/>
  <c r="Z180" i="1"/>
  <c r="Y180" i="1"/>
  <c r="X180" i="1"/>
  <c r="AC179" i="1"/>
  <c r="AA179" i="1"/>
  <c r="Z179" i="1"/>
  <c r="Y179" i="1"/>
  <c r="X179" i="1"/>
  <c r="AC178" i="1"/>
  <c r="AA178" i="1"/>
  <c r="Z178" i="1"/>
  <c r="Y178" i="1"/>
  <c r="X178" i="1"/>
  <c r="AC177" i="1"/>
  <c r="AA177" i="1"/>
  <c r="Z177" i="1"/>
  <c r="Y177" i="1"/>
  <c r="X177" i="1"/>
  <c r="AC176" i="1"/>
  <c r="AA176" i="1"/>
  <c r="Z176" i="1"/>
  <c r="Y176" i="1"/>
  <c r="X176" i="1"/>
  <c r="AC175" i="1"/>
  <c r="AA175" i="1"/>
  <c r="Z175" i="1"/>
  <c r="Y175" i="1"/>
  <c r="X175" i="1"/>
  <c r="AC174" i="1"/>
  <c r="AA174" i="1"/>
  <c r="Z174" i="1"/>
  <c r="Y174" i="1"/>
  <c r="X174" i="1"/>
  <c r="AC173" i="1"/>
  <c r="AA173" i="1"/>
  <c r="Z173" i="1"/>
  <c r="Y173" i="1"/>
  <c r="X173" i="1"/>
  <c r="AC172" i="1"/>
  <c r="AA172" i="1"/>
  <c r="Z172" i="1"/>
  <c r="Y172" i="1"/>
  <c r="X172" i="1"/>
  <c r="AC171" i="1"/>
  <c r="AA171" i="1"/>
  <c r="Z171" i="1"/>
  <c r="Y171" i="1"/>
  <c r="X171" i="1"/>
  <c r="AC170" i="1"/>
  <c r="AA170" i="1"/>
  <c r="Z170" i="1"/>
  <c r="Y170" i="1"/>
  <c r="X170" i="1"/>
  <c r="AC169" i="1"/>
  <c r="AA169" i="1"/>
  <c r="Z169" i="1"/>
  <c r="Y169" i="1"/>
  <c r="X169" i="1"/>
  <c r="AC168" i="1"/>
  <c r="AA168" i="1"/>
  <c r="Z168" i="1"/>
  <c r="Y168" i="1"/>
  <c r="X168" i="1"/>
  <c r="AC167" i="1"/>
  <c r="AA167" i="1"/>
  <c r="Z167" i="1"/>
  <c r="Y167" i="1"/>
  <c r="X167" i="1"/>
  <c r="AC166" i="1"/>
  <c r="AA166" i="1"/>
  <c r="Z166" i="1"/>
  <c r="Y166" i="1"/>
  <c r="X166" i="1"/>
  <c r="AC165" i="1"/>
  <c r="AA165" i="1"/>
  <c r="Z165" i="1"/>
  <c r="Y165" i="1"/>
  <c r="X165" i="1"/>
  <c r="AC164" i="1"/>
  <c r="AA164" i="1"/>
  <c r="Z164" i="1"/>
  <c r="Y164" i="1"/>
  <c r="X164" i="1"/>
  <c r="AC163" i="1"/>
  <c r="AA163" i="1"/>
  <c r="Z163" i="1"/>
  <c r="Y163" i="1"/>
  <c r="X163" i="1"/>
  <c r="AC162" i="1"/>
  <c r="AA162" i="1"/>
  <c r="Z162" i="1"/>
  <c r="Y162" i="1"/>
  <c r="X162" i="1"/>
  <c r="AC161" i="1"/>
  <c r="AA161" i="1"/>
  <c r="Z161" i="1"/>
  <c r="Y161" i="1"/>
  <c r="X161" i="1"/>
  <c r="AC160" i="1"/>
  <c r="AA160" i="1"/>
  <c r="Z160" i="1"/>
  <c r="Y160" i="1"/>
  <c r="X160" i="1"/>
  <c r="AC159" i="1"/>
  <c r="AA159" i="1"/>
  <c r="Z159" i="1"/>
  <c r="Y159" i="1"/>
  <c r="X159" i="1"/>
  <c r="AC158" i="1"/>
  <c r="AA158" i="1"/>
  <c r="Z158" i="1"/>
  <c r="Y158" i="1"/>
  <c r="X158" i="1"/>
  <c r="AC157" i="1"/>
  <c r="AA157" i="1"/>
  <c r="Z157" i="1"/>
  <c r="Y157" i="1"/>
  <c r="X157" i="1"/>
  <c r="AC156" i="1"/>
  <c r="AA156" i="1"/>
  <c r="Z156" i="1"/>
  <c r="Y156" i="1"/>
  <c r="X156" i="1"/>
  <c r="AC155" i="1"/>
  <c r="AA155" i="1"/>
  <c r="Z155" i="1"/>
  <c r="Y155" i="1"/>
  <c r="X155" i="1"/>
  <c r="AC154" i="1"/>
  <c r="AA154" i="1"/>
  <c r="Z154" i="1"/>
  <c r="Y154" i="1"/>
  <c r="X154" i="1"/>
  <c r="AC153" i="1"/>
  <c r="AA153" i="1"/>
  <c r="Z153" i="1"/>
  <c r="Y153" i="1"/>
  <c r="X153" i="1"/>
  <c r="AC152" i="1"/>
  <c r="AA152" i="1"/>
  <c r="Z152" i="1"/>
  <c r="Y152" i="1"/>
  <c r="X152" i="1"/>
  <c r="AC151" i="1"/>
  <c r="AA151" i="1"/>
  <c r="Z151" i="1"/>
  <c r="Y151" i="1"/>
  <c r="X151" i="1"/>
  <c r="AC150" i="1"/>
  <c r="AA150" i="1"/>
  <c r="Z150" i="1"/>
  <c r="Y150" i="1"/>
  <c r="X150" i="1"/>
  <c r="AC149" i="1"/>
  <c r="AA149" i="1"/>
  <c r="Z149" i="1"/>
  <c r="Y149" i="1"/>
  <c r="X149" i="1"/>
  <c r="AC148" i="1"/>
  <c r="AA148" i="1"/>
  <c r="Z148" i="1"/>
  <c r="Y148" i="1"/>
  <c r="X148" i="1"/>
  <c r="AC147" i="1"/>
  <c r="AA147" i="1"/>
  <c r="Z147" i="1"/>
  <c r="Y147" i="1"/>
  <c r="X147" i="1"/>
  <c r="AC146" i="1"/>
  <c r="AA146" i="1"/>
  <c r="Z146" i="1"/>
  <c r="Y146" i="1"/>
  <c r="X146" i="1"/>
  <c r="AC145" i="1"/>
  <c r="AA145" i="1"/>
  <c r="Z145" i="1"/>
  <c r="Y145" i="1"/>
  <c r="X145" i="1"/>
  <c r="AC144" i="1"/>
  <c r="AA144" i="1"/>
  <c r="Z144" i="1"/>
  <c r="Y144" i="1"/>
  <c r="X144" i="1"/>
  <c r="AC143" i="1"/>
  <c r="AA143" i="1"/>
  <c r="Z143" i="1"/>
  <c r="Y143" i="1"/>
  <c r="X143" i="1"/>
  <c r="AC142" i="1"/>
  <c r="AA142" i="1"/>
  <c r="Z142" i="1"/>
  <c r="Y142" i="1"/>
  <c r="X142" i="1"/>
  <c r="AC141" i="1"/>
  <c r="AA141" i="1"/>
  <c r="Z141" i="1"/>
  <c r="Y141" i="1"/>
  <c r="X141" i="1"/>
  <c r="AC140" i="1"/>
  <c r="AA140" i="1"/>
  <c r="Z140" i="1"/>
  <c r="Y140" i="1"/>
  <c r="X140" i="1"/>
  <c r="AC139" i="1"/>
  <c r="AA139" i="1"/>
  <c r="Z139" i="1"/>
  <c r="Y139" i="1"/>
  <c r="X139" i="1"/>
  <c r="AC138" i="1"/>
  <c r="AA138" i="1"/>
  <c r="Z138" i="1"/>
  <c r="Y138" i="1"/>
  <c r="X138" i="1"/>
  <c r="AC137" i="1"/>
  <c r="AA137" i="1"/>
  <c r="Z137" i="1"/>
  <c r="Y137" i="1"/>
  <c r="X137" i="1"/>
  <c r="AC136" i="1"/>
  <c r="AA136" i="1"/>
  <c r="Z136" i="1"/>
  <c r="Y136" i="1"/>
  <c r="X136" i="1"/>
  <c r="AC135" i="1"/>
  <c r="AA135" i="1"/>
  <c r="Z135" i="1"/>
  <c r="Y135" i="1"/>
  <c r="X135" i="1"/>
  <c r="AC134" i="1"/>
  <c r="AA134" i="1"/>
  <c r="Z134" i="1"/>
  <c r="Y134" i="1"/>
  <c r="X134" i="1"/>
  <c r="AC133" i="1"/>
  <c r="AA133" i="1"/>
  <c r="Z133" i="1"/>
  <c r="Y133" i="1"/>
  <c r="X133" i="1"/>
  <c r="AC132" i="1"/>
  <c r="AA132" i="1"/>
  <c r="Z132" i="1"/>
  <c r="Y132" i="1"/>
  <c r="X132" i="1"/>
  <c r="AC131" i="1"/>
  <c r="AA131" i="1"/>
  <c r="Z131" i="1"/>
  <c r="Y131" i="1"/>
  <c r="X131" i="1"/>
  <c r="AC130" i="1"/>
  <c r="AA130" i="1"/>
  <c r="Z130" i="1"/>
  <c r="Y130" i="1"/>
  <c r="X130" i="1"/>
  <c r="AC129" i="1"/>
  <c r="AA129" i="1"/>
  <c r="Z129" i="1"/>
  <c r="Y129" i="1"/>
  <c r="X129" i="1"/>
  <c r="AC128" i="1"/>
  <c r="AA128" i="1"/>
  <c r="Z128" i="1"/>
  <c r="Y128" i="1"/>
  <c r="X128" i="1"/>
  <c r="AC127" i="1"/>
  <c r="AA127" i="1"/>
  <c r="Z127" i="1"/>
  <c r="Y127" i="1"/>
  <c r="X127" i="1"/>
  <c r="AC126" i="1"/>
  <c r="AA126" i="1"/>
  <c r="Z126" i="1"/>
  <c r="Y126" i="1"/>
  <c r="X126" i="1"/>
  <c r="AC125" i="1"/>
  <c r="AA125" i="1"/>
  <c r="Z125" i="1"/>
  <c r="Y125" i="1"/>
  <c r="X125" i="1"/>
  <c r="AC124" i="1"/>
  <c r="AA124" i="1"/>
  <c r="Z124" i="1"/>
  <c r="Y124" i="1"/>
  <c r="X124" i="1"/>
  <c r="AC123" i="1"/>
  <c r="AA123" i="1"/>
  <c r="Z123" i="1"/>
  <c r="Y123" i="1"/>
  <c r="X123" i="1"/>
  <c r="AC122" i="1"/>
  <c r="AA122" i="1"/>
  <c r="Z122" i="1"/>
  <c r="Y122" i="1"/>
  <c r="X122" i="1"/>
  <c r="AC121" i="1"/>
  <c r="AA121" i="1"/>
  <c r="Z121" i="1"/>
  <c r="Y121" i="1"/>
  <c r="X121" i="1"/>
  <c r="AC120" i="1"/>
  <c r="AA120" i="1"/>
  <c r="Z120" i="1"/>
  <c r="Y120" i="1"/>
  <c r="X120" i="1"/>
  <c r="AC119" i="1"/>
  <c r="AA119" i="1"/>
  <c r="Z119" i="1"/>
  <c r="Y119" i="1"/>
  <c r="X119" i="1"/>
  <c r="AC118" i="1"/>
  <c r="AA118" i="1"/>
  <c r="Z118" i="1"/>
  <c r="Y118" i="1"/>
  <c r="X118" i="1"/>
  <c r="AC117" i="1"/>
  <c r="AA117" i="1"/>
  <c r="Z117" i="1"/>
  <c r="Y117" i="1"/>
  <c r="X117" i="1"/>
  <c r="AC116" i="1"/>
  <c r="AA116" i="1"/>
  <c r="Z116" i="1"/>
  <c r="Y116" i="1"/>
  <c r="X116" i="1"/>
  <c r="AC115" i="1"/>
  <c r="AA115" i="1"/>
  <c r="Z115" i="1"/>
  <c r="Y115" i="1"/>
  <c r="X115" i="1"/>
  <c r="AC114" i="1"/>
  <c r="AA114" i="1"/>
  <c r="Z114" i="1"/>
  <c r="Y114" i="1"/>
  <c r="X114" i="1"/>
  <c r="AC113" i="1"/>
  <c r="AA113" i="1"/>
  <c r="Z113" i="1"/>
  <c r="Y113" i="1"/>
  <c r="X113" i="1"/>
  <c r="AC112" i="1"/>
  <c r="AA112" i="1"/>
  <c r="Z112" i="1"/>
  <c r="Y112" i="1"/>
  <c r="X112" i="1"/>
  <c r="AC111" i="1"/>
  <c r="AA111" i="1"/>
  <c r="Z111" i="1"/>
  <c r="Y111" i="1"/>
  <c r="X111" i="1"/>
  <c r="AC110" i="1"/>
  <c r="AA110" i="1"/>
  <c r="Z110" i="1"/>
  <c r="Y110" i="1"/>
  <c r="X110" i="1"/>
  <c r="AC109" i="1"/>
  <c r="AA109" i="1"/>
  <c r="Z109" i="1"/>
  <c r="Y109" i="1"/>
  <c r="X109" i="1"/>
  <c r="AC108" i="1"/>
  <c r="AA108" i="1"/>
  <c r="Z108" i="1"/>
  <c r="Y108" i="1"/>
  <c r="X108" i="1"/>
  <c r="AC107" i="1"/>
  <c r="AA107" i="1"/>
  <c r="Z107" i="1"/>
  <c r="Y107" i="1"/>
  <c r="X107" i="1"/>
  <c r="AC106" i="1"/>
  <c r="AA106" i="1"/>
  <c r="Z106" i="1"/>
  <c r="Y106" i="1"/>
  <c r="X106" i="1"/>
  <c r="AC105" i="1"/>
  <c r="AA105" i="1"/>
  <c r="Z105" i="1"/>
  <c r="Y105" i="1"/>
  <c r="X105" i="1"/>
  <c r="AC104" i="1"/>
  <c r="AA104" i="1"/>
  <c r="Z104" i="1"/>
  <c r="Y104" i="1"/>
  <c r="X104" i="1"/>
  <c r="AC103" i="1"/>
  <c r="AA103" i="1"/>
  <c r="Z103" i="1"/>
  <c r="Y103" i="1"/>
  <c r="X103" i="1"/>
  <c r="AC102" i="1"/>
  <c r="AA102" i="1"/>
  <c r="Z102" i="1"/>
  <c r="Y102" i="1"/>
  <c r="X102" i="1"/>
  <c r="AC101" i="1"/>
  <c r="AA101" i="1"/>
  <c r="Z101" i="1"/>
  <c r="Y101" i="1"/>
  <c r="X101" i="1"/>
  <c r="AC100" i="1"/>
  <c r="AA100" i="1"/>
  <c r="Z100" i="1"/>
  <c r="Y100" i="1"/>
  <c r="X100" i="1"/>
  <c r="AC99" i="1"/>
  <c r="AA99" i="1"/>
  <c r="Z99" i="1"/>
  <c r="Y99" i="1"/>
  <c r="X99" i="1"/>
  <c r="AC98" i="1"/>
  <c r="AA98" i="1"/>
  <c r="Z98" i="1"/>
  <c r="Y98" i="1"/>
  <c r="X98" i="1"/>
  <c r="AC97" i="1"/>
  <c r="AA97" i="1"/>
  <c r="Z97" i="1"/>
  <c r="Y97" i="1"/>
  <c r="X97" i="1"/>
  <c r="AC96" i="1"/>
  <c r="AA96" i="1"/>
  <c r="Z96" i="1"/>
  <c r="Y96" i="1"/>
  <c r="X96" i="1"/>
  <c r="AC95" i="1"/>
  <c r="AA95" i="1"/>
  <c r="Z95" i="1"/>
  <c r="Y95" i="1"/>
  <c r="X95" i="1"/>
  <c r="AC94" i="1"/>
  <c r="AA94" i="1"/>
  <c r="Z94" i="1"/>
  <c r="Y94" i="1"/>
  <c r="X94" i="1"/>
  <c r="AC93" i="1"/>
  <c r="AA93" i="1"/>
  <c r="Z93" i="1"/>
  <c r="Y93" i="1"/>
  <c r="X93" i="1"/>
  <c r="AC92" i="1"/>
  <c r="AA92" i="1"/>
  <c r="Z92" i="1"/>
  <c r="Y92" i="1"/>
  <c r="X92" i="1"/>
  <c r="AC91" i="1"/>
  <c r="AA91" i="1"/>
  <c r="Z91" i="1"/>
  <c r="Y91" i="1"/>
  <c r="X91" i="1"/>
  <c r="AC90" i="1"/>
  <c r="AA90" i="1"/>
  <c r="Z90" i="1"/>
  <c r="Y90" i="1"/>
  <c r="X90" i="1"/>
  <c r="AC89" i="1"/>
  <c r="AA89" i="1"/>
  <c r="Z89" i="1"/>
  <c r="Y89" i="1"/>
  <c r="X89" i="1"/>
  <c r="AC88" i="1"/>
  <c r="AA88" i="1"/>
  <c r="Z88" i="1"/>
  <c r="Y88" i="1"/>
  <c r="X88" i="1"/>
  <c r="AC87" i="1"/>
  <c r="AA87" i="1"/>
  <c r="Z87" i="1"/>
  <c r="Y87" i="1"/>
  <c r="X87" i="1"/>
  <c r="AC86" i="1"/>
  <c r="AA86" i="1"/>
  <c r="Z86" i="1"/>
  <c r="Y86" i="1"/>
  <c r="X86" i="1"/>
  <c r="AC85" i="1"/>
  <c r="AA85" i="1"/>
  <c r="Z85" i="1"/>
  <c r="Y85" i="1"/>
  <c r="X85" i="1"/>
  <c r="AC84" i="1"/>
  <c r="AA84" i="1"/>
  <c r="Z84" i="1"/>
  <c r="Y84" i="1"/>
  <c r="X84" i="1"/>
  <c r="AC83" i="1"/>
  <c r="AA83" i="1"/>
  <c r="Z83" i="1"/>
  <c r="Y83" i="1"/>
  <c r="X83" i="1"/>
  <c r="AC82" i="1"/>
  <c r="AA82" i="1"/>
  <c r="Z82" i="1"/>
  <c r="Y82" i="1"/>
  <c r="X82" i="1"/>
  <c r="AC81" i="1"/>
  <c r="AA81" i="1"/>
  <c r="Z81" i="1"/>
  <c r="Y81" i="1"/>
  <c r="X81" i="1"/>
  <c r="AC80" i="1"/>
  <c r="AA80" i="1"/>
  <c r="Z80" i="1"/>
  <c r="Y80" i="1"/>
  <c r="X80" i="1"/>
  <c r="AC79" i="1"/>
  <c r="AA79" i="1"/>
  <c r="Z79" i="1"/>
  <c r="Y79" i="1"/>
  <c r="X79" i="1"/>
  <c r="AC78" i="1"/>
  <c r="AA78" i="1"/>
  <c r="Z78" i="1"/>
  <c r="Y78" i="1"/>
  <c r="X78" i="1"/>
  <c r="AC77" i="1"/>
  <c r="AA77" i="1"/>
  <c r="Z77" i="1"/>
  <c r="Y77" i="1"/>
  <c r="X77" i="1"/>
  <c r="AC76" i="1"/>
  <c r="AA76" i="1"/>
  <c r="Z76" i="1"/>
  <c r="Y76" i="1"/>
  <c r="X76" i="1"/>
  <c r="AC75" i="1"/>
  <c r="AA75" i="1"/>
  <c r="Z75" i="1"/>
  <c r="Y75" i="1"/>
  <c r="X75" i="1"/>
  <c r="AC74" i="1"/>
  <c r="AA74" i="1"/>
  <c r="Z74" i="1"/>
  <c r="Y74" i="1"/>
  <c r="X74" i="1"/>
  <c r="AC73" i="1"/>
  <c r="AA73" i="1"/>
  <c r="Z73" i="1"/>
  <c r="Y73" i="1"/>
  <c r="X73" i="1"/>
  <c r="AC72" i="1"/>
  <c r="AA72" i="1"/>
  <c r="Z72" i="1"/>
  <c r="Y72" i="1"/>
  <c r="X72" i="1"/>
  <c r="AC71" i="1"/>
  <c r="AA71" i="1"/>
  <c r="Z71" i="1"/>
  <c r="Y71" i="1"/>
  <c r="X71" i="1"/>
  <c r="AC70" i="1"/>
  <c r="AA70" i="1"/>
  <c r="Z70" i="1"/>
  <c r="Y70" i="1"/>
  <c r="X70" i="1"/>
  <c r="AC69" i="1"/>
  <c r="AA69" i="1"/>
  <c r="Z69" i="1"/>
  <c r="Y69" i="1"/>
  <c r="X69" i="1"/>
  <c r="AC68" i="1"/>
  <c r="AA68" i="1"/>
  <c r="Z68" i="1"/>
  <c r="Y68" i="1"/>
  <c r="X68" i="1"/>
  <c r="AC67" i="1"/>
  <c r="AA67" i="1"/>
  <c r="Z67" i="1"/>
  <c r="Y67" i="1"/>
  <c r="X67" i="1"/>
  <c r="AC66" i="1"/>
  <c r="AA66" i="1"/>
  <c r="Z66" i="1"/>
  <c r="Y66" i="1"/>
  <c r="X66" i="1"/>
  <c r="AC65" i="1"/>
  <c r="AA65" i="1"/>
  <c r="Z65" i="1"/>
  <c r="Y65" i="1"/>
  <c r="X65" i="1"/>
  <c r="AC64" i="1"/>
  <c r="AA64" i="1"/>
  <c r="Z64" i="1"/>
  <c r="Y64" i="1"/>
  <c r="X64" i="1"/>
  <c r="AC63" i="1"/>
  <c r="AA63" i="1"/>
  <c r="Z63" i="1"/>
  <c r="Y63" i="1"/>
  <c r="X63" i="1"/>
  <c r="AC62" i="1"/>
  <c r="AA62" i="1"/>
  <c r="Z62" i="1"/>
  <c r="Y62" i="1"/>
  <c r="X62" i="1"/>
  <c r="AC61" i="1"/>
  <c r="AA61" i="1"/>
  <c r="Z61" i="1"/>
  <c r="Y61" i="1"/>
  <c r="X61" i="1"/>
  <c r="AC60" i="1"/>
  <c r="AA60" i="1"/>
  <c r="Z60" i="1"/>
  <c r="Y60" i="1"/>
  <c r="X60" i="1"/>
  <c r="AC59" i="1"/>
  <c r="AA59" i="1"/>
  <c r="Z59" i="1"/>
  <c r="Y59" i="1"/>
  <c r="X59" i="1"/>
  <c r="AC58" i="1"/>
  <c r="AA58" i="1"/>
  <c r="Z58" i="1"/>
  <c r="Y58" i="1"/>
  <c r="X58" i="1"/>
  <c r="AC57" i="1"/>
  <c r="AA57" i="1"/>
  <c r="Z57" i="1"/>
  <c r="Y57" i="1"/>
  <c r="X57" i="1"/>
  <c r="AC56" i="1"/>
  <c r="AA56" i="1"/>
  <c r="Z56" i="1"/>
  <c r="Y56" i="1"/>
  <c r="X56" i="1"/>
  <c r="AC55" i="1"/>
  <c r="AA55" i="1"/>
  <c r="Z55" i="1"/>
  <c r="Y55" i="1"/>
  <c r="X55" i="1"/>
  <c r="AC54" i="1"/>
  <c r="AA54" i="1"/>
  <c r="Z54" i="1"/>
  <c r="Y54" i="1"/>
  <c r="X54" i="1"/>
  <c r="AC53" i="1"/>
  <c r="AA53" i="1"/>
  <c r="Z53" i="1"/>
  <c r="Y53" i="1"/>
  <c r="X53" i="1"/>
  <c r="AC52" i="1"/>
  <c r="AA52" i="1"/>
  <c r="Z52" i="1"/>
  <c r="Y52" i="1"/>
  <c r="X52" i="1"/>
  <c r="AC51" i="1"/>
  <c r="AA51" i="1"/>
  <c r="Z51" i="1"/>
  <c r="Y51" i="1"/>
  <c r="X51" i="1"/>
  <c r="AC50" i="1"/>
  <c r="AA50" i="1"/>
  <c r="Z50" i="1"/>
  <c r="Y50" i="1"/>
  <c r="X50" i="1"/>
  <c r="AC49" i="1"/>
  <c r="AA49" i="1"/>
  <c r="Z49" i="1"/>
  <c r="Y49" i="1"/>
  <c r="X49" i="1"/>
  <c r="AC48" i="1"/>
  <c r="AA48" i="1"/>
  <c r="Z48" i="1"/>
  <c r="Y48" i="1"/>
  <c r="X48" i="1"/>
  <c r="AC47" i="1"/>
  <c r="AA47" i="1"/>
  <c r="Z47" i="1"/>
  <c r="Y47" i="1"/>
  <c r="X47" i="1"/>
  <c r="AC46" i="1"/>
  <c r="AA46" i="1"/>
  <c r="Z46" i="1"/>
  <c r="Y46" i="1"/>
  <c r="X46" i="1"/>
  <c r="AC45" i="1"/>
  <c r="AA45" i="1"/>
  <c r="Z45" i="1"/>
  <c r="Y45" i="1"/>
  <c r="X45" i="1"/>
  <c r="AC44" i="1"/>
  <c r="AA44" i="1"/>
  <c r="Z44" i="1"/>
  <c r="Y44" i="1"/>
  <c r="X44" i="1"/>
  <c r="AC43" i="1"/>
  <c r="AA43" i="1"/>
  <c r="Z43" i="1"/>
  <c r="Y43" i="1"/>
  <c r="X43" i="1"/>
  <c r="AC42" i="1"/>
  <c r="AA42" i="1"/>
  <c r="Z42" i="1"/>
  <c r="Y42" i="1"/>
  <c r="X42" i="1"/>
  <c r="AC41" i="1"/>
  <c r="AA41" i="1"/>
  <c r="Z41" i="1"/>
  <c r="Y41" i="1"/>
  <c r="X41" i="1"/>
  <c r="AC40" i="1"/>
  <c r="AA40" i="1"/>
  <c r="Z40" i="1"/>
  <c r="Y40" i="1"/>
  <c r="X40" i="1"/>
  <c r="AC39" i="1"/>
  <c r="AA39" i="1"/>
  <c r="Z39" i="1"/>
  <c r="Y39" i="1"/>
  <c r="X39" i="1"/>
  <c r="AC38" i="1"/>
  <c r="AA38" i="1"/>
  <c r="Z38" i="1"/>
  <c r="Y38" i="1"/>
  <c r="X38" i="1"/>
  <c r="AC37" i="1"/>
  <c r="AA37" i="1"/>
  <c r="Z37" i="1"/>
  <c r="Y37" i="1"/>
  <c r="X37" i="1"/>
  <c r="AC36" i="1"/>
  <c r="AA36" i="1"/>
  <c r="Z36" i="1"/>
  <c r="Y36" i="1"/>
  <c r="X36" i="1"/>
  <c r="AC35" i="1"/>
  <c r="AA35" i="1"/>
  <c r="Z35" i="1"/>
  <c r="Y35" i="1"/>
  <c r="X35" i="1"/>
  <c r="AC34" i="1"/>
  <c r="AA34" i="1"/>
  <c r="Z34" i="1"/>
  <c r="Y34" i="1"/>
  <c r="X34" i="1"/>
  <c r="AC33" i="1"/>
  <c r="AA33" i="1"/>
  <c r="Z33" i="1"/>
  <c r="Y33" i="1"/>
  <c r="X33" i="1"/>
  <c r="AC32" i="1"/>
  <c r="AA32" i="1"/>
  <c r="Z32" i="1"/>
  <c r="Y32" i="1"/>
  <c r="X32" i="1"/>
  <c r="AC31" i="1"/>
  <c r="AA31" i="1"/>
  <c r="Z31" i="1"/>
  <c r="Y31" i="1"/>
  <c r="X31" i="1"/>
  <c r="AC30" i="1"/>
  <c r="AA30" i="1"/>
  <c r="Z30" i="1"/>
  <c r="Y30" i="1"/>
  <c r="X30" i="1"/>
  <c r="AC29" i="1"/>
  <c r="AA29" i="1"/>
  <c r="Z29" i="1"/>
  <c r="Y29" i="1"/>
  <c r="X29" i="1"/>
  <c r="AC28" i="1"/>
  <c r="AA28" i="1"/>
  <c r="Z28" i="1"/>
  <c r="Y28" i="1"/>
  <c r="X28" i="1"/>
  <c r="AC27" i="1"/>
  <c r="AA27" i="1"/>
  <c r="Z27" i="1"/>
  <c r="Y27" i="1"/>
  <c r="X27" i="1"/>
  <c r="AC26" i="1"/>
  <c r="AA26" i="1"/>
  <c r="Z26" i="1"/>
  <c r="Y26" i="1"/>
  <c r="X26" i="1"/>
  <c r="AC25" i="1"/>
  <c r="AA25" i="1"/>
  <c r="Z25" i="1"/>
  <c r="Y25" i="1"/>
  <c r="X25" i="1"/>
  <c r="AC24" i="1"/>
  <c r="AA24" i="1"/>
  <c r="Z24" i="1"/>
  <c r="Y24" i="1"/>
  <c r="X24" i="1"/>
  <c r="AC23" i="1"/>
  <c r="AA23" i="1"/>
  <c r="Z23" i="1"/>
  <c r="Y23" i="1"/>
  <c r="X23" i="1"/>
  <c r="AC22" i="1"/>
  <c r="AA22" i="1"/>
  <c r="Z22" i="1"/>
  <c r="Y22" i="1"/>
  <c r="X22" i="1"/>
  <c r="AC21" i="1"/>
  <c r="AA21" i="1"/>
  <c r="Z21" i="1"/>
  <c r="Y21" i="1"/>
  <c r="X21" i="1"/>
  <c r="AC20" i="1"/>
  <c r="AA20" i="1"/>
  <c r="Z20" i="1"/>
  <c r="Y20" i="1"/>
  <c r="X20" i="1"/>
  <c r="AC19" i="1"/>
  <c r="AA19" i="1"/>
  <c r="Z19" i="1"/>
  <c r="Y19" i="1"/>
  <c r="X19" i="1"/>
  <c r="AC18" i="1"/>
  <c r="AA18" i="1"/>
  <c r="Z18" i="1"/>
  <c r="Y18" i="1"/>
  <c r="X18" i="1"/>
  <c r="AC17" i="1"/>
  <c r="AA17" i="1"/>
  <c r="Z17" i="1"/>
  <c r="Y17" i="1"/>
  <c r="X17" i="1"/>
  <c r="AC16" i="1"/>
  <c r="AA16" i="1"/>
  <c r="Z16" i="1"/>
  <c r="Y16" i="1"/>
  <c r="X16" i="1"/>
  <c r="AC15" i="1"/>
  <c r="AA15" i="1"/>
  <c r="Z15" i="1"/>
  <c r="Y15" i="1"/>
  <c r="X15" i="1"/>
  <c r="AC14" i="1"/>
  <c r="AA14" i="1"/>
  <c r="Z14" i="1"/>
  <c r="Y14" i="1"/>
  <c r="X14" i="1"/>
  <c r="AC13" i="1"/>
  <c r="AA13" i="1"/>
  <c r="Z13" i="1"/>
  <c r="Y13" i="1"/>
  <c r="X13" i="1"/>
  <c r="AC12" i="1"/>
  <c r="AA12" i="1"/>
  <c r="Z12" i="1"/>
  <c r="Y12" i="1"/>
  <c r="X12" i="1"/>
  <c r="AC11" i="1"/>
  <c r="AA11" i="1"/>
  <c r="Z11" i="1"/>
  <c r="Y11" i="1"/>
  <c r="X11" i="1"/>
  <c r="AC10" i="1"/>
  <c r="AA10" i="1"/>
  <c r="Z10" i="1"/>
  <c r="Y10" i="1"/>
  <c r="X10" i="1"/>
  <c r="AC9" i="1"/>
  <c r="AA9" i="1"/>
  <c r="Z9" i="1"/>
  <c r="Y9" i="1"/>
  <c r="X9" i="1"/>
  <c r="AC8" i="1"/>
  <c r="AA8" i="1"/>
  <c r="Z8" i="1"/>
  <c r="Y8" i="1"/>
  <c r="X8" i="1"/>
  <c r="AC7" i="1"/>
  <c r="AA7" i="1"/>
  <c r="Z7" i="1"/>
  <c r="Y7" i="1"/>
  <c r="X7" i="1"/>
  <c r="AC6" i="1"/>
  <c r="AA6" i="1"/>
  <c r="Z6" i="1"/>
  <c r="Y6" i="1"/>
  <c r="X6" i="1"/>
  <c r="AC5" i="1"/>
  <c r="AA5" i="1"/>
  <c r="Z5" i="1"/>
  <c r="Y5" i="1"/>
  <c r="X5" i="1"/>
  <c r="AC4" i="1"/>
  <c r="AA4" i="1"/>
  <c r="Z4" i="1"/>
  <c r="Y4" i="1"/>
  <c r="X4" i="1"/>
  <c r="AC3" i="1"/>
  <c r="AA3" i="1"/>
  <c r="Z3" i="1"/>
  <c r="Y3" i="1"/>
  <c r="X3" i="1"/>
  <c r="B10" i="35"/>
  <c r="B6" i="35"/>
  <c r="B3" i="35"/>
  <c r="B17" i="35"/>
  <c r="C17" i="35"/>
  <c r="C4" i="35"/>
  <c r="B15" i="35"/>
  <c r="C15" i="35"/>
  <c r="C14" i="35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 s="1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M9" i="6"/>
  <c r="H24" i="1" l="1"/>
  <c r="C8" i="35"/>
  <c r="B12" i="35"/>
  <c r="C12" i="35" s="1"/>
  <c r="H16" i="1"/>
  <c r="H4" i="1" s="1"/>
  <c r="C4" i="1" s="1"/>
  <c r="B25" i="35"/>
  <c r="B26" i="35"/>
  <c r="B27" i="35"/>
  <c r="B24" i="35"/>
  <c r="C2" i="35"/>
  <c r="C9" i="35"/>
  <c r="B18" i="35"/>
  <c r="C7" i="35"/>
  <c r="B7" i="35"/>
  <c r="C10" i="1" l="1"/>
  <c r="C6" i="1"/>
  <c r="C8" i="1"/>
  <c r="H6" i="1"/>
  <c r="B40" i="35"/>
  <c r="B39" i="35"/>
  <c r="C28" i="35"/>
  <c r="C18" i="35"/>
  <c r="B44" i="35" l="1"/>
  <c r="C5" i="1"/>
  <c r="C9" i="1"/>
  <c r="C7" i="1"/>
  <c r="C41" i="35"/>
  <c r="B9" i="35"/>
  <c r="B28" i="35" l="1"/>
  <c r="B41" i="35"/>
  <c r="B42" i="35" s="1"/>
  <c r="B34" i="35"/>
  <c r="B33" i="35" l="1"/>
  <c r="C34" i="35" s="1"/>
  <c r="B43" i="35"/>
  <c r="C44" i="3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4" background="1" saveData="1">
    <textPr codePage="437" sourceFile="C:\Stuff\Data\LiqRef\2013\Eugenia\ElasticPaper\REFL_102384_UAB_0813_VK2_combin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<sst xmlns="http://schemas.openxmlformats.org/spreadsheetml/2006/main" count="1033" uniqueCount="639">
  <si>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</si>
  <si>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</si>
  <si>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</si>
  <si>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</si>
  <si>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</si>
  <si>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</si>
  <si>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</si>
  <si>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</si>
  <si>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</si>
  <si>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</si>
  <si>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</si>
  <si>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</si>
  <si>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</si>
  <si>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</si>
  <si>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</si>
  <si>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</si>
  <si>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</si>
  <si>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</si>
  <si>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</si>
  <si>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</si>
  <si>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</si>
  <si>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</si>
  <si>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</si>
  <si>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</si>
  <si>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</si>
  <si>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</si>
  <si>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</si>
  <si>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</si>
  <si>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</si>
  <si>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</si>
  <si>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</si>
  <si>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</si>
  <si>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</si>
  <si>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</si>
  <si>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</si>
  <si>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</si>
  <si>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</si>
  <si>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</si>
  <si>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</si>
  <si>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</si>
  <si>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</si>
  <si>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</si>
  <si>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</si>
  <si>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</si>
  <si>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</si>
  <si>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</si>
  <si>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</si>
  <si>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</si>
  <si>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</si>
  <si>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</si>
  <si>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</si>
  <si>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</si>
  <si>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</si>
  <si>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</si>
  <si>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</si>
  <si>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</si>
  <si>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</si>
  <si>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</si>
  <si>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</si>
  <si>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</si>
  <si>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</si>
  <si>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</si>
  <si>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</si>
  <si>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</si>
  <si>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</si>
  <si>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</si>
  <si>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</si>
  <si>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</si>
  <si>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</si>
  <si>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</si>
  <si>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</si>
  <si>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</si>
  <si>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</si>
  <si>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</si>
  <si>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</si>
  <si>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</si>
  <si>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</si>
  <si>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</si>
  <si>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</si>
  <si>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</si>
  <si>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</si>
  <si>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</si>
  <si>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</si>
  <si>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</si>
  <si>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</si>
  <si>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</si>
  <si>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</si>
  <si>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</si>
  <si>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</si>
  <si>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</si>
  <si>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</si>
  <si>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</si>
  <si>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</si>
  <si>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</si>
  <si>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</si>
  <si>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</si>
  <si>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</si>
  <si>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</si>
  <si>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</si>
  <si>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</si>
  <si>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</si>
  <si>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</si>
  <si>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</si>
  <si>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</si>
  <si>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</si>
  <si>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</si>
  <si>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</si>
  <si>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</si>
  <si>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</si>
  <si>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</si>
  <si>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</si>
  <si>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</si>
  <si>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</si>
  <si>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</si>
  <si>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</si>
  <si>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</si>
  <si>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</si>
  <si>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</si>
  <si>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</si>
  <si>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</si>
  <si>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</si>
  <si>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</si>
  <si>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</si>
  <si>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</si>
  <si>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</si>
  <si>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</si>
  <si>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</si>
  <si>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</si>
  <si>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</si>
  <si>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</si>
  <si>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</si>
  <si>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</si>
  <si>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</si>
  <si>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</si>
  <si>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</si>
  <si>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</si>
  <si>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</si>
  <si>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</si>
  <si>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</si>
  <si>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</si>
  <si>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</si>
  <si>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</si>
  <si>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</si>
  <si>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</si>
  <si>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</si>
  <si>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</si>
  <si>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</si>
  <si>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</si>
  <si>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</si>
  <si>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</si>
  <si>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</si>
  <si>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</si>
  <si>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</si>
  <si>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</si>
  <si>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</si>
  <si>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</si>
  <si>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</si>
  <si>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</si>
  <si>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</si>
  <si>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</si>
  <si>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</si>
  <si>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</si>
  <si>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</si>
  <si>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</si>
  <si>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</si>
  <si>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</si>
  <si>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</si>
  <si>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</si>
  <si>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</si>
  <si>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</si>
  <si>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</si>
  <si>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</si>
  <si>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</si>
  <si>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</si>
  <si>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</si>
  <si>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</si>
  <si>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</si>
  <si>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</si>
  <si>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</si>
  <si>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</si>
  <si>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</si>
  <si>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</si>
  <si>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</si>
  <si>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</si>
  <si>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</si>
  <si>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</si>
  <si>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</si>
  <si>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</si>
  <si>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</si>
  <si>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</si>
  <si>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</si>
  <si>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</si>
  <si>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</si>
  <si>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</si>
  <si>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</si>
  <si>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</si>
  <si>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</si>
  <si>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</si>
  <si>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</si>
  <si>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</si>
  <si>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</si>
  <si>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</si>
  <si>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</si>
  <si>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</si>
  <si>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</si>
  <si>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</si>
  <si>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</si>
  <si>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</si>
  <si>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</si>
  <si>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</si>
  <si>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</si>
  <si>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</si>
  <si>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</si>
  <si>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</si>
  <si>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</si>
  <si>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</si>
  <si>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</si>
  <si>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</si>
  <si>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</si>
  <si>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</si>
  <si>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</si>
  <si>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</si>
  <si>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</si>
  <si>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</si>
  <si>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</si>
  <si>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</si>
  <si>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</si>
  <si>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</si>
  <si>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</si>
  <si>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</si>
  <si>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</si>
  <si>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</si>
  <si>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</si>
  <si>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</si>
  <si>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</si>
  <si>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</si>
  <si>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</si>
  <si>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</si>
  <si>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</si>
  <si>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</si>
  <si>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</si>
  <si>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</si>
  <si>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</si>
  <si>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</si>
  <si>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</si>
  <si>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</si>
  <si>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</si>
  <si>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</si>
  <si>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</si>
  <si>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</si>
  <si>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</si>
  <si>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</si>
  <si>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</si>
  <si>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</si>
  <si>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</si>
  <si>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</si>
  <si>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</si>
  <si>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</si>
  <si>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</si>
  <si>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</si>
  <si>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</si>
  <si>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</si>
  <si>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</si>
  <si>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</si>
  <si>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</si>
  <si>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</si>
  <si>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</si>
  <si>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</si>
  <si>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</si>
  <si>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</si>
  <si>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</si>
  <si>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</si>
  <si>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</si>
  <si>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</si>
  <si>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</si>
  <si>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</si>
  <si>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</si>
  <si>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</si>
  <si>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</si>
  <si>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</si>
  <si>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</si>
  <si>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</si>
  <si>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</si>
  <si>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</si>
  <si>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</si>
  <si>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</si>
  <si>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</si>
  <si>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</si>
  <si>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</si>
  <si>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</si>
  <si>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</si>
  <si>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</si>
  <si>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</si>
  <si>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</si>
  <si>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</si>
  <si>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</si>
  <si>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</si>
  <si>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</si>
  <si>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</si>
  <si>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</si>
  <si>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</si>
  <si>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</si>
  <si>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</si>
  <si>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</si>
  <si>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</si>
  <si>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</si>
  <si>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</si>
  <si>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</si>
  <si>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</si>
  <si>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</si>
  <si>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</si>
  <si>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</si>
  <si>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</si>
  <si>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</si>
  <si>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</si>
  <si>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</si>
  <si>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</si>
  <si>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</si>
  <si>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</si>
  <si>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</si>
  <si>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</si>
  <si>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</si>
  <si>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</si>
  <si>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</si>
  <si>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</si>
  <si>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</si>
  <si>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</si>
  <si>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</si>
  <si>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</si>
  <si>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</si>
  <si>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</si>
  <si>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</si>
  <si>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</si>
  <si>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</si>
  <si>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</si>
  <si>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</si>
  <si>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</si>
  <si>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</si>
  <si>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</si>
  <si>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</si>
  <si>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</si>
  <si>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</si>
  <si>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</si>
  <si>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</si>
  <si>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</si>
  <si>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</si>
  <si>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</si>
  <si>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</si>
  <si>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</si>
  <si>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</si>
  <si>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</si>
  <si>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</si>
  <si>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</si>
  <si>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</si>
  <si>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</si>
  <si>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</si>
  <si>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</si>
  <si>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</si>
  <si>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</si>
  <si>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</si>
  <si>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</si>
  <si>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</si>
  <si>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</si>
  <si>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</si>
  <si>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</si>
  <si>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</si>
  <si>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</si>
  <si>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</si>
  <si>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</si>
  <si>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</si>
  <si>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</si>
  <si>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</si>
  <si>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</si>
  <si>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</si>
  <si>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</si>
  <si>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</si>
  <si>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</si>
  <si>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</si>
  <si>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</si>
  <si>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</si>
  <si>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</si>
  <si>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</si>
  <si>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</si>
  <si>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</si>
  <si>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</si>
  <si>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</si>
  <si>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</si>
  <si>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</si>
  <si>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</si>
  <si>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</si>
  <si>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</si>
  <si>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</si>
  <si>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</si>
  <si>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</si>
  <si>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</si>
  <si>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</si>
  <si>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</si>
  <si>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</si>
  <si>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</si>
  <si>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</si>
  <si>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</si>
  <si>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</si>
  <si>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</si>
  <si>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</si>
  <si>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</si>
  <si>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</si>
  <si>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</si>
  <si>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</si>
  <si>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</si>
  <si>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</si>
  <si>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</si>
  <si>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</si>
  <si>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</si>
  <si>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</si>
  <si>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</si>
  <si>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</si>
  <si>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</si>
  <si>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</si>
  <si>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</si>
  <si>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</si>
  <si>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</si>
  <si>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</si>
  <si>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</si>
  <si>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</si>
  <si>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</si>
  <si>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</si>
  <si>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</si>
  <si>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</si>
  <si>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</si>
  <si>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</si>
  <si>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</si>
  <si>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</si>
  <si>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</si>
  <si>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</si>
  <si>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</si>
  <si>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</si>
  <si>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</si>
  <si>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</si>
  <si>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</si>
  <si>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</si>
  <si>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</si>
  <si>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</si>
  <si>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</si>
  <si>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</si>
  <si>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</si>
  <si>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</si>
  <si>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</si>
  <si>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</si>
  <si>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</si>
  <si>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</si>
  <si>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</si>
  <si>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</si>
  <si>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</si>
  <si>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</si>
  <si>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</si>
  <si>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</si>
  <si>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</si>
  <si>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</si>
  <si>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</si>
  <si>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</si>
  <si>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</si>
  <si>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</si>
  <si>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</si>
  <si>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</si>
  <si>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</si>
  <si>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</si>
  <si>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</si>
  <si>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</si>
  <si>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</si>
  <si>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</si>
  <si>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</si>
  <si>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</si>
  <si>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</si>
  <si>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</si>
  <si>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</si>
  <si>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</si>
  <si>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</si>
  <si>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</si>
  <si>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</si>
  <si>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</si>
  <si>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</si>
  <si>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</si>
  <si>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</si>
  <si>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</si>
  <si>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</si>
  <si>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</si>
  <si>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</si>
  <si>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</si>
  <si>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</si>
  <si>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</si>
  <si>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</si>
  <si>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</si>
  <si>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</si>
  <si>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</si>
  <si>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</si>
  <si>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</si>
  <si>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</si>
  <si>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</si>
  <si>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</si>
  <si>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</si>
  <si>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</si>
  <si>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</si>
  <si>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</si>
  <si>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</si>
  <si>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</si>
  <si>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</si>
  <si>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</si>
  <si>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</si>
  <si>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</si>
  <si>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</si>
  <si>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</si>
  <si>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</si>
  <si>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</si>
  <si>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</si>
  <si>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</si>
  <si>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</si>
  <si>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</si>
  <si>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</si>
  <si>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</si>
  <si>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</si>
  <si>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</si>
  <si>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</si>
  <si>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</si>
  <si>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</si>
  <si>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</si>
  <si>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</si>
  <si>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</si>
  <si>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</si>
  <si>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</si>
  <si>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</si>
  <si>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</si>
  <si>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</si>
  <si>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</si>
  <si>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</si>
  <si>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</si>
  <si>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</si>
  <si>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</si>
  <si>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</si>
  <si>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X</t>
  </si>
  <si>
    <t>,</t>
  </si>
  <si>
    <t>Y0</t>
  </si>
  <si>
    <t>E0</t>
  </si>
  <si>
    <t>PVPON/PMAA</t>
  </si>
  <si>
    <t>PGMA</t>
  </si>
  <si>
    <t>dPMAA</t>
  </si>
  <si>
    <t>C 4;2H 6;O 2;</t>
  </si>
  <si>
    <t>PMAA</t>
  </si>
  <si>
    <t>PVPON</t>
  </si>
  <si>
    <t>C 6;H 9;N 1;O 1;</t>
  </si>
  <si>
    <t>C 4;H 6;O 2;</t>
  </si>
  <si>
    <t>G4</t>
  </si>
  <si>
    <t>δp</t>
  </si>
  <si>
    <t>Quantity</t>
  </si>
  <si>
    <t>F11</t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</si>
  <si>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Symbol"/>
        <family val="1"/>
        <charset val="2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</si>
  <si>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Symbol"/>
        <family val="1"/>
        <charset val="2"/>
      </rPr>
      <t>)</t>
    </r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</si>
  <si>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</si>
  <si>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PMAAx</t>
  </si>
  <si>
    <t>dPMAAx</t>
  </si>
  <si>
    <t>Hydrogen-Bonded Model Parameters</t>
  </si>
  <si>
    <t>Air</t>
  </si>
  <si>
    <t>PVPON/PMAA (top)</t>
  </si>
  <si>
    <t>PVPON/PMAA (bottom)</t>
  </si>
  <si>
    <r>
      <t>SiO</t>
    </r>
    <r>
      <rPr>
        <i/>
        <vertAlign val="subscript"/>
        <sz val="12"/>
        <rFont val="Times New Roman"/>
        <family val="1"/>
      </rPr>
      <t>x</t>
    </r>
  </si>
  <si>
    <r>
      <t>Q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</si>
  <si>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z</t>
    </r>
    <r>
      <rPr>
        <b/>
        <sz val="12"/>
        <rFont val="Times New Roman"/>
        <family val="1"/>
      </rPr>
      <t xml:space="preserve"> (nm)</t>
    </r>
  </si>
  <si>
    <r>
      <t>Nb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</si>
  <si>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H14</t>
  </si>
  <si>
    <t>F5</t>
  </si>
  <si>
    <t>G7</t>
  </si>
  <si>
    <r>
      <t>f</t>
    </r>
    <r>
      <rPr>
        <b/>
        <vertAlign val="subscript"/>
        <sz val="12"/>
        <rFont val="Times New Roman"/>
        <family val="1"/>
      </rPr>
      <t>cross</t>
    </r>
  </si>
  <si>
    <r>
      <t>M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</si>
  <si>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</si>
  <si>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</si>
  <si>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</si>
  <si>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</si>
  <si>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</si>
  <si>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</si>
  <si>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</si>
  <si>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</si>
  <si>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</si>
  <si>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</si>
  <si>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</si>
  <si>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i/>
        <vertAlign val="superscript"/>
        <sz val="12"/>
        <rFont val="Times New Roman"/>
        <family val="1"/>
      </rPr>
      <t>x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</si>
  <si>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</si>
  <si>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</si>
  <si>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</si>
  <si>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</si>
  <si>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</si>
  <si>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</si>
  <si>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</si>
  <si>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M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</si>
  <si>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</si>
  <si>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Crosslinked Model Parameters</t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</si>
  <si>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</si>
  <si>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</si>
  <si>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</si>
  <si>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</si>
  <si>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</si>
  <si>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</si>
  <si>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</si>
  <si>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</si>
  <si>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</si>
  <si>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</si>
  <si>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</si>
  <si>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</si>
  <si>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marker,rms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</si>
  <si>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top,rms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</si>
  <si>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</si>
  <si>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</si>
  <si>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</si>
  <si>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</si>
  <si>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</si>
  <si>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</si>
  <si>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</si>
  <si>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</si>
  <si>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d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</si>
  <si>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</si>
  <si>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∂ρ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</si>
  <si>
    <r>
      <t>∂ρ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 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</si>
  <si>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 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</si>
  <si>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</si>
  <si>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∂S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 xml:space="preserve">cross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</si>
  <si>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</si>
  <si>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∂f</t>
    </r>
    <r>
      <rPr>
        <b/>
        <vertAlign val="subscript"/>
        <sz val="12"/>
        <rFont val="Times New Roman"/>
        <family val="1"/>
      </rPr>
      <t>cross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</si>
  <si>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∂P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</si>
  <si>
    <r>
      <t>∂P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</si>
  <si>
    <r>
      <t>∂P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</si>
  <si>
    <r>
      <t>∂S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∂f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</si>
  <si>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</si>
  <si>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 g)</t>
    </r>
  </si>
  <si>
    <r>
      <t>∂Σ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</si>
  <si>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Å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</si>
  <si>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</si>
  <si>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</si>
  <si>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</si>
  <si>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</si>
  <si>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</si>
  <si>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f</t>
    </r>
    <r>
      <rPr>
        <b/>
        <vertAlign val="subscript"/>
        <sz val="12"/>
        <rFont val="Times New Roman"/>
        <family val="1"/>
      </rPr>
      <t>PMAA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</si>
</sst>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E+00"/>
    <numFmt numFmtId="166" formatCode="0.0"/>
    <numFmt numFmtId="167" formatCode="0.0000"/>
    <numFmt numFmtId="168" formatCode="0.0000E+00"/>
  </numFmts>
  <fonts count="56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  <font>
      <b/>
      <sz val="12"/>
      <name val="Symbol"/>
      <family val="1"/>
      <charset val="2"/>
    </font>
    <font>
      <b/>
      <i/>
      <vertAlign val="superscript"/>
      <sz val="12"/>
      <name val="Times New Roman"/>
      <family val="1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8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Fill="1"/>
    <xf numFmtId="11" fontId="23" fillId="28" borderId="0" xfId="0" applyNumberFormat="1" applyFont="1" applyFill="1" applyAlignment="1">
      <alignment horizontal="right"/>
    </xf>
    <xf numFmtId="2" fontId="23" fillId="28" borderId="0" xfId="0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/>
    <xf numFmtId="11" fontId="0" fillId="0" borderId="0" xfId="0" applyNumberFormat="1" applyAlignment="1">
      <alignment horizontal="right"/>
    </xf>
    <xf numFmtId="166" fontId="16" fillId="0" borderId="0" xfId="0" applyNumberFormat="1" applyFont="1"/>
    <xf numFmtId="165" fontId="17" fillId="0" borderId="0" xfId="0" applyNumberFormat="1" applyFont="1" applyAlignment="1">
      <alignment horizontal="right"/>
    </xf>
    <xf numFmtId="11" fontId="17" fillId="0" borderId="0" xfId="0" applyNumberFormat="1" applyFont="1" applyAlignment="1">
      <alignment horizontal="right"/>
    </xf>
    <xf numFmtId="2" fontId="16" fillId="0" borderId="0" xfId="0" applyFont="1" applyAlignment="1">
      <alignment vertical="center"/>
    </xf>
    <xf numFmtId="11" fontId="16" fillId="0" borderId="0" xfId="0" applyNumberFormat="1" applyFont="1" applyAlignment="1">
      <alignment horizontal="center" vertical="center"/>
    </xf>
    <xf numFmtId="11" fontId="10" fillId="0" borderId="0" xfId="0" applyNumberFormat="1" applyFont="1"/>
    <xf numFmtId="11" fontId="10" fillId="0" borderId="0" xfId="0" applyNumberFormat="1" applyFont="1" applyAlignment="1">
      <alignment horizontal="right"/>
    </xf>
    <xf numFmtId="11" fontId="25" fillId="0" borderId="0" xfId="0" applyNumberFormat="1" applyFont="1" applyAlignment="1">
      <alignment horizontal="right"/>
    </xf>
    <xf numFmtId="11" fontId="22" fillId="0" borderId="0" xfId="0" applyNumberFormat="1" applyFont="1" applyAlignment="1">
      <alignment horizontal="right"/>
    </xf>
    <xf numFmtId="11" fontId="26" fillId="0" borderId="0" xfId="0" applyNumberFormat="1" applyFont="1" applyAlignment="1">
      <alignment horizontal="right"/>
    </xf>
    <xf numFmtId="11" fontId="10" fillId="0" borderId="0" xfId="0" applyNumberFormat="1" applyFont="1" applyAlignment="1">
      <alignment horizontal="right" vertical="center"/>
    </xf>
    <xf numFmtId="164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Font="1" applyFill="1" applyAlignment="1">
      <alignment horizontal="center"/>
    </xf>
    <xf numFmtId="2" fontId="48" fillId="29" borderId="0" xfId="0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6" fillId="31" borderId="0" xfId="0" applyFont="1" applyFill="1" applyAlignment="1">
      <alignment horizontal="center" vertical="center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2" fontId="17" fillId="35" borderId="0" xfId="0" applyFont="1" applyFill="1" applyAlignment="1">
      <alignment horizontal="center"/>
    </xf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11" fontId="0" fillId="37" borderId="0" xfId="0" applyNumberFormat="1" applyFill="1"/>
    <xf numFmtId="165" fontId="0" fillId="38" borderId="0" xfId="0" applyNumberFormat="1" applyFill="1"/>
    <xf numFmtId="11" fontId="10" fillId="38" borderId="0" xfId="0" applyNumberFormat="1" applyFont="1" applyFill="1"/>
    <xf numFmtId="11" fontId="0" fillId="38" borderId="0" xfId="0" applyNumberFormat="1" applyFill="1"/>
    <xf numFmtId="166" fontId="10" fillId="39" borderId="0" xfId="0" applyNumberFormat="1" applyFont="1" applyFill="1"/>
    <xf numFmtId="166" fontId="0" fillId="38" borderId="0" xfId="0" applyNumberFormat="1" applyFill="1"/>
    <xf numFmtId="164" fontId="17" fillId="35" borderId="0" xfId="0" applyNumberFormat="1" applyFont="1" applyFill="1" applyAlignment="1">
      <alignment horizontal="center" vertical="center"/>
    </xf>
    <xf numFmtId="164" fontId="17" fillId="35" borderId="0" xfId="0" applyNumberFormat="1" applyFont="1" applyFill="1" applyAlignment="1">
      <alignment horizontal="center"/>
    </xf>
    <xf numFmtId="166" fontId="0" fillId="37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4" fontId="0" fillId="39" borderId="0" xfId="0" applyNumberFormat="1" applyFill="1"/>
    <xf numFmtId="166" fontId="0" fillId="32" borderId="0" xfId="0" applyNumberFormat="1" applyFill="1"/>
    <xf numFmtId="166" fontId="0" fillId="34" borderId="0" xfId="0" applyNumberFormat="1" applyFill="1"/>
    <xf numFmtId="168" fontId="0" fillId="26" borderId="0" xfId="0" applyNumberFormat="1" applyFill="1"/>
    <xf numFmtId="168" fontId="10" fillId="26" borderId="0" xfId="0" applyNumberFormat="1" applyFont="1" applyFill="1"/>
    <xf numFmtId="11" fontId="10" fillId="26" borderId="0" xfId="0" applyNumberFormat="1" applyFont="1" applyFill="1"/>
    <xf numFmtId="165" fontId="16" fillId="0" borderId="0" xfId="0" applyNumberFormat="1" applyFont="1"/>
    <xf numFmtId="166" fontId="10" fillId="40" borderId="0" xfId="0" applyNumberFormat="1" applyFont="1" applyFill="1"/>
    <xf numFmtId="166" fontId="0" fillId="39" borderId="0" xfId="0" applyNumberFormat="1" applyFill="1"/>
    <xf numFmtId="166" fontId="10" fillId="38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65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0" fillId="32" borderId="0" xfId="0" applyNumberFormat="1" applyFill="1"/>
    <xf numFmtId="2" fontId="23" fillId="36" borderId="0" xfId="0" applyFont="1" applyFill="1" applyAlignment="1">
      <alignment horizontal="right"/>
    </xf>
    <xf numFmtId="2" fontId="0" fillId="37" borderId="0" xfId="0" applyNumberFormat="1" applyFill="1"/>
    <xf numFmtId="164" fontId="0" fillId="37" borderId="0" xfId="0" applyNumberFormat="1" applyFill="1"/>
    <xf numFmtId="2" fontId="16" fillId="31" borderId="0" xfId="0" applyFont="1" applyFill="1" applyAlignment="1">
      <alignment horizontal="center" vertical="center"/>
    </xf>
    <xf numFmtId="164" fontId="48" fillId="29" borderId="0" xfId="0" applyNumberFormat="1" applyFont="1" applyFill="1"/>
    <xf numFmtId="2" fontId="17" fillId="35" borderId="0" xfId="0" applyFont="1" applyFill="1" applyAlignment="1">
      <alignment horizontal="center" vertical="center"/>
    </xf>
    <xf numFmtId="2" fontId="0" fillId="33" borderId="0" xfId="0" applyFill="1"/>
    <xf numFmtId="2" fontId="16" fillId="33" borderId="0" xfId="0" applyFont="1" applyFill="1" applyAlignment="1">
      <alignment horizontal="center" vertical="center"/>
    </xf>
    <xf numFmtId="166" fontId="0" fillId="41" borderId="0" xfId="0" applyNumberFormat="1" applyFill="1"/>
    <xf numFmtId="164" fontId="0" fillId="41" borderId="0" xfId="0" applyNumberFormat="1" applyFill="1"/>
    <xf numFmtId="2" fontId="0" fillId="41" borderId="0" xfId="0" applyNumberFormat="1" applyFill="1"/>
    <xf numFmtId="1" fontId="0" fillId="41" borderId="0" xfId="0" applyNumberFormat="1" applyFill="1"/>
    <xf numFmtId="2" fontId="16" fillId="31" borderId="0" xfId="0" applyFont="1" applyFill="1" applyAlignment="1">
      <alignment horizontal="center" vertical="center"/>
    </xf>
    <xf numFmtId="165" fontId="10" fillId="40" borderId="0" xfId="0" applyNumberFormat="1" applyFont="1" applyFill="1"/>
    <xf numFmtId="11" fontId="10" fillId="40" borderId="0" xfId="0" applyNumberFormat="1" applyFont="1" applyFill="1"/>
    <xf numFmtId="2" fontId="10" fillId="40" borderId="0" xfId="0" applyFont="1" applyFill="1"/>
    <xf numFmtId="11" fontId="0" fillId="41" borderId="0" xfId="0" applyNumberFormat="1" applyFill="1"/>
    <xf numFmtId="2" fontId="0" fillId="41" borderId="0" xfId="0" applyFill="1"/>
    <xf numFmtId="2" fontId="0" fillId="39" borderId="0" xfId="0" applyFill="1"/>
    <xf numFmtId="165" fontId="0" fillId="40" borderId="0" xfId="0" applyNumberFormat="1" applyFill="1"/>
    <xf numFmtId="11" fontId="0" fillId="40" borderId="0" xfId="0" applyNumberFormat="1" applyFill="1"/>
    <xf numFmtId="166" fontId="0" fillId="40" borderId="0" xfId="0" applyNumberFormat="1" applyFill="1"/>
    <xf numFmtId="165" fontId="17" fillId="42" borderId="0" xfId="0" applyNumberFormat="1" applyFont="1" applyFill="1" applyAlignment="1">
      <alignment horizontal="right"/>
    </xf>
    <xf numFmtId="11" fontId="17" fillId="42" borderId="0" xfId="0" applyNumberFormat="1" applyFont="1" applyFill="1" applyAlignment="1">
      <alignment horizontal="right"/>
    </xf>
    <xf numFmtId="11" fontId="19" fillId="42" borderId="0" xfId="0" applyNumberFormat="1" applyFont="1" applyFill="1" applyAlignment="1">
      <alignment horizontal="right"/>
    </xf>
    <xf numFmtId="11" fontId="17" fillId="42" borderId="0" xfId="0" applyNumberFormat="1" applyFont="1" applyFill="1" applyAlignment="1">
      <alignment horizontal="center" vertical="center"/>
    </xf>
    <xf numFmtId="11" fontId="10" fillId="32" borderId="0" xfId="0" applyNumberFormat="1" applyFont="1" applyFill="1"/>
    <xf numFmtId="11" fontId="0" fillId="32" borderId="0" xfId="0" applyNumberFormat="1" applyFill="1"/>
    <xf numFmtId="164" fontId="17" fillId="36" borderId="0" xfId="0" applyNumberFormat="1" applyFont="1" applyFill="1" applyAlignment="1">
      <alignment horizontal="center"/>
    </xf>
    <xf numFmtId="2" fontId="0" fillId="37" borderId="0" xfId="0" applyFill="1"/>
    <xf numFmtId="2" fontId="0" fillId="36" borderId="0" xfId="0" applyFill="1"/>
    <xf numFmtId="164" fontId="17" fillId="36" borderId="0" xfId="0" applyNumberFormat="1" applyFont="1" applyFill="1" applyAlignment="1">
      <alignment horizontal="center" vertical="center"/>
    </xf>
    <xf numFmtId="2" fontId="17" fillId="0" borderId="0" xfId="0" applyFont="1" applyFill="1" applyAlignment="1">
      <alignment horizontal="center" vertical="center"/>
    </xf>
    <xf numFmtId="11" fontId="0" fillId="0" borderId="0" xfId="0" applyNumberFormat="1" applyFill="1"/>
    <xf numFmtId="2" fontId="0" fillId="0" borderId="0" xfId="0" applyFill="1"/>
    <xf numFmtId="2" fontId="16" fillId="35" borderId="0" xfId="0" applyFont="1" applyFill="1" applyAlignment="1">
      <alignment horizontal="center" vertical="center"/>
    </xf>
    <xf numFmtId="2" fontId="16" fillId="0" borderId="0" xfId="0" applyFont="1" applyAlignment="1">
      <alignment horizont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2" fontId="16" fillId="31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112.64102058404922</c:v>
                </c:pt>
                <c:pt idx="4">
                  <c:v>112.64102058404922</c:v>
                </c:pt>
                <c:pt idx="5">
                  <c:v>122.05404984782638</c:v>
                </c:pt>
                <c:pt idx="6">
                  <c:v>122.05404984782638</c:v>
                </c:pt>
                <c:pt idx="7">
                  <c:v>127.29220216805851</c:v>
                </c:pt>
                <c:pt idx="8">
                  <c:v>127.29220216805851</c:v>
                </c:pt>
                <c:pt idx="9">
                  <c:v>131.13003320223305</c:v>
                </c:pt>
                <c:pt idx="10">
                  <c:v>131.13003320223305</c:v>
                </c:pt>
                <c:pt idx="11">
                  <c:v>134.25320755841523</c:v>
                </c:pt>
                <c:pt idx="12">
                  <c:v>134.25320755841523</c:v>
                </c:pt>
                <c:pt idx="13">
                  <c:v>136.95008595433416</c:v>
                </c:pt>
                <c:pt idx="14">
                  <c:v>136.95008595433416</c:v>
                </c:pt>
                <c:pt idx="15">
                  <c:v>139.37280779015074</c:v>
                </c:pt>
                <c:pt idx="16">
                  <c:v>139.37280779015074</c:v>
                </c:pt>
                <c:pt idx="17">
                  <c:v>141.61382639687312</c:v>
                </c:pt>
                <c:pt idx="18">
                  <c:v>141.61382639687312</c:v>
                </c:pt>
                <c:pt idx="19">
                  <c:v>143.73570938655857</c:v>
                </c:pt>
                <c:pt idx="20">
                  <c:v>143.73570938655857</c:v>
                </c:pt>
                <c:pt idx="21">
                  <c:v>145.78504284150702</c:v>
                </c:pt>
                <c:pt idx="22">
                  <c:v>145.78504284150702</c:v>
                </c:pt>
                <c:pt idx="23">
                  <c:v>147.7999509653321</c:v>
                </c:pt>
                <c:pt idx="24">
                  <c:v>147.7999509653321</c:v>
                </c:pt>
                <c:pt idx="25">
                  <c:v>148.62017047234485</c:v>
                </c:pt>
                <c:pt idx="26">
                  <c:v>148.62017047234485</c:v>
                </c:pt>
                <c:pt idx="27">
                  <c:v>150.26060948637033</c:v>
                </c:pt>
                <c:pt idx="28">
                  <c:v>150.26060948637033</c:v>
                </c:pt>
                <c:pt idx="29">
                  <c:v>151.9010485003958</c:v>
                </c:pt>
                <c:pt idx="30">
                  <c:v>151.9010485003958</c:v>
                </c:pt>
                <c:pt idx="31">
                  <c:v>153.54148751442128</c:v>
                </c:pt>
                <c:pt idx="32">
                  <c:v>153.54148751442128</c:v>
                </c:pt>
                <c:pt idx="33">
                  <c:v>155.18192652844675</c:v>
                </c:pt>
                <c:pt idx="34">
                  <c:v>155.18192652844675</c:v>
                </c:pt>
                <c:pt idx="35">
                  <c:v>156.82236554247223</c:v>
                </c:pt>
                <c:pt idx="36">
                  <c:v>156.82236554247223</c:v>
                </c:pt>
                <c:pt idx="37">
                  <c:v>158.4628045564977</c:v>
                </c:pt>
                <c:pt idx="38">
                  <c:v>158.4628045564977</c:v>
                </c:pt>
                <c:pt idx="39">
                  <c:v>160.10324357052318</c:v>
                </c:pt>
                <c:pt idx="40">
                  <c:v>160.10324357052318</c:v>
                </c:pt>
                <c:pt idx="41">
                  <c:v>161.74368258454865</c:v>
                </c:pt>
                <c:pt idx="42">
                  <c:v>161.74368258454865</c:v>
                </c:pt>
                <c:pt idx="43">
                  <c:v>163.38412159857413</c:v>
                </c:pt>
                <c:pt idx="44">
                  <c:v>163.38412159857413</c:v>
                </c:pt>
                <c:pt idx="45">
                  <c:v>165.0245606125996</c:v>
                </c:pt>
                <c:pt idx="46">
                  <c:v>165.0245606125996</c:v>
                </c:pt>
                <c:pt idx="47">
                  <c:v>166.66499962662508</c:v>
                </c:pt>
                <c:pt idx="48">
                  <c:v>166.66499962662508</c:v>
                </c:pt>
                <c:pt idx="49">
                  <c:v>168.30543864065055</c:v>
                </c:pt>
                <c:pt idx="50">
                  <c:v>168.30543864065055</c:v>
                </c:pt>
                <c:pt idx="51">
                  <c:v>169.94587765467602</c:v>
                </c:pt>
                <c:pt idx="52">
                  <c:v>169.94587765467602</c:v>
                </c:pt>
                <c:pt idx="53">
                  <c:v>171.5863166687015</c:v>
                </c:pt>
                <c:pt idx="54">
                  <c:v>171.5863166687015</c:v>
                </c:pt>
                <c:pt idx="55">
                  <c:v>173.22675568272697</c:v>
                </c:pt>
                <c:pt idx="56">
                  <c:v>173.22675568272697</c:v>
                </c:pt>
                <c:pt idx="57">
                  <c:v>174.86719469675245</c:v>
                </c:pt>
                <c:pt idx="58">
                  <c:v>174.86719469675245</c:v>
                </c:pt>
                <c:pt idx="59">
                  <c:v>176.50763371077792</c:v>
                </c:pt>
                <c:pt idx="60">
                  <c:v>176.50763371077792</c:v>
                </c:pt>
                <c:pt idx="61">
                  <c:v>178.1480727248034</c:v>
                </c:pt>
                <c:pt idx="62">
                  <c:v>178.1480727248034</c:v>
                </c:pt>
                <c:pt idx="63">
                  <c:v>179.78851173882887</c:v>
                </c:pt>
                <c:pt idx="64">
                  <c:v>179.78851173882887</c:v>
                </c:pt>
                <c:pt idx="65">
                  <c:v>181.42895075285435</c:v>
                </c:pt>
                <c:pt idx="66">
                  <c:v>181.42895075285435</c:v>
                </c:pt>
                <c:pt idx="67">
                  <c:v>183.06938976687982</c:v>
                </c:pt>
                <c:pt idx="68">
                  <c:v>183.06938976687982</c:v>
                </c:pt>
                <c:pt idx="69">
                  <c:v>183.88960927389257</c:v>
                </c:pt>
                <c:pt idx="70">
                  <c:v>183.88960927389257</c:v>
                </c:pt>
                <c:pt idx="71">
                  <c:v>184.90155364044966</c:v>
                </c:pt>
                <c:pt idx="72">
                  <c:v>184.90155364044966</c:v>
                </c:pt>
                <c:pt idx="73">
                  <c:v>186.92544237356384</c:v>
                </c:pt>
                <c:pt idx="74">
                  <c:v>186.92544237356384</c:v>
                </c:pt>
                <c:pt idx="75">
                  <c:v>188.94933110667802</c:v>
                </c:pt>
                <c:pt idx="76">
                  <c:v>188.94933110667802</c:v>
                </c:pt>
                <c:pt idx="77">
                  <c:v>190.97321983979219</c:v>
                </c:pt>
                <c:pt idx="78">
                  <c:v>190.97321983979219</c:v>
                </c:pt>
                <c:pt idx="79">
                  <c:v>192.99710857290637</c:v>
                </c:pt>
                <c:pt idx="80">
                  <c:v>192.99710857290637</c:v>
                </c:pt>
                <c:pt idx="81">
                  <c:v>195.02099730602055</c:v>
                </c:pt>
                <c:pt idx="82">
                  <c:v>195.02099730602055</c:v>
                </c:pt>
                <c:pt idx="83">
                  <c:v>197.04488603913472</c:v>
                </c:pt>
                <c:pt idx="84">
                  <c:v>197.04488603913472</c:v>
                </c:pt>
                <c:pt idx="85">
                  <c:v>199.0687747722489</c:v>
                </c:pt>
                <c:pt idx="86">
                  <c:v>199.0687747722489</c:v>
                </c:pt>
                <c:pt idx="87">
                  <c:v>201.09266350536308</c:v>
                </c:pt>
                <c:pt idx="88">
                  <c:v>201.09266350536308</c:v>
                </c:pt>
                <c:pt idx="89">
                  <c:v>203.11655223847725</c:v>
                </c:pt>
                <c:pt idx="90">
                  <c:v>203.11655223847725</c:v>
                </c:pt>
                <c:pt idx="91">
                  <c:v>205.14044097159143</c:v>
                </c:pt>
                <c:pt idx="92">
                  <c:v>205.14044097159143</c:v>
                </c:pt>
                <c:pt idx="93">
                  <c:v>207.16432970470561</c:v>
                </c:pt>
                <c:pt idx="94">
                  <c:v>207.16432970470561</c:v>
                </c:pt>
                <c:pt idx="95">
                  <c:v>209.18821843781978</c:v>
                </c:pt>
                <c:pt idx="96">
                  <c:v>209.18821843781978</c:v>
                </c:pt>
                <c:pt idx="97">
                  <c:v>211.21210717093396</c:v>
                </c:pt>
                <c:pt idx="98">
                  <c:v>211.21210717093396</c:v>
                </c:pt>
                <c:pt idx="99">
                  <c:v>213.23599590404814</c:v>
                </c:pt>
                <c:pt idx="100">
                  <c:v>213.23599590404814</c:v>
                </c:pt>
                <c:pt idx="101">
                  <c:v>215.25988463716232</c:v>
                </c:pt>
                <c:pt idx="102">
                  <c:v>215.25988463716232</c:v>
                </c:pt>
                <c:pt idx="103">
                  <c:v>217.28377337027649</c:v>
                </c:pt>
                <c:pt idx="104">
                  <c:v>217.28377337027649</c:v>
                </c:pt>
                <c:pt idx="105">
                  <c:v>219.30766210339067</c:v>
                </c:pt>
                <c:pt idx="106">
                  <c:v>219.30766210339067</c:v>
                </c:pt>
                <c:pt idx="107">
                  <c:v>221.33155083650485</c:v>
                </c:pt>
                <c:pt idx="108">
                  <c:v>221.33155083650485</c:v>
                </c:pt>
                <c:pt idx="109">
                  <c:v>223.35543956961902</c:v>
                </c:pt>
                <c:pt idx="110">
                  <c:v>223.35543956961902</c:v>
                </c:pt>
                <c:pt idx="111">
                  <c:v>225.3793283027332</c:v>
                </c:pt>
                <c:pt idx="112">
                  <c:v>225.3793283027332</c:v>
                </c:pt>
                <c:pt idx="113">
                  <c:v>227.40321703584738</c:v>
                </c:pt>
                <c:pt idx="114">
                  <c:v>227.40321703584738</c:v>
                </c:pt>
                <c:pt idx="115">
                  <c:v>228.41516140240446</c:v>
                </c:pt>
                <c:pt idx="116">
                  <c:v>228.41516140240446</c:v>
                </c:pt>
                <c:pt idx="117">
                  <c:v>230.09901649467321</c:v>
                </c:pt>
                <c:pt idx="118">
                  <c:v>230.09901649467321</c:v>
                </c:pt>
                <c:pt idx="119">
                  <c:v>233.46672667921069</c:v>
                </c:pt>
                <c:pt idx="120">
                  <c:v>233.46672667921069</c:v>
                </c:pt>
                <c:pt idx="121">
                  <c:v>236.83443686374818</c:v>
                </c:pt>
                <c:pt idx="122">
                  <c:v>236.83443686374818</c:v>
                </c:pt>
                <c:pt idx="123">
                  <c:v>240.20214704828567</c:v>
                </c:pt>
                <c:pt idx="124">
                  <c:v>240.20214704828567</c:v>
                </c:pt>
                <c:pt idx="125">
                  <c:v>243.56985723282315</c:v>
                </c:pt>
                <c:pt idx="126">
                  <c:v>243.56985723282315</c:v>
                </c:pt>
                <c:pt idx="127">
                  <c:v>246.93756741736064</c:v>
                </c:pt>
                <c:pt idx="128">
                  <c:v>246.93756741736064</c:v>
                </c:pt>
                <c:pt idx="129">
                  <c:v>250.30527760189813</c:v>
                </c:pt>
                <c:pt idx="130">
                  <c:v>250.30527760189813</c:v>
                </c:pt>
                <c:pt idx="131">
                  <c:v>253.67298778643561</c:v>
                </c:pt>
                <c:pt idx="132">
                  <c:v>253.67298778643561</c:v>
                </c:pt>
                <c:pt idx="133">
                  <c:v>257.0406979709731</c:v>
                </c:pt>
                <c:pt idx="134">
                  <c:v>257.0406979709731</c:v>
                </c:pt>
                <c:pt idx="135">
                  <c:v>260.40840815551059</c:v>
                </c:pt>
                <c:pt idx="136">
                  <c:v>260.40840815551059</c:v>
                </c:pt>
                <c:pt idx="137">
                  <c:v>263.77611834004807</c:v>
                </c:pt>
                <c:pt idx="138">
                  <c:v>263.77611834004807</c:v>
                </c:pt>
                <c:pt idx="139">
                  <c:v>267.14382852458556</c:v>
                </c:pt>
                <c:pt idx="140">
                  <c:v>267.14382852458556</c:v>
                </c:pt>
                <c:pt idx="141">
                  <c:v>270.51153870912304</c:v>
                </c:pt>
                <c:pt idx="142">
                  <c:v>270.51153870912304</c:v>
                </c:pt>
                <c:pt idx="143">
                  <c:v>273.87924889366053</c:v>
                </c:pt>
                <c:pt idx="144">
                  <c:v>273.87924889366053</c:v>
                </c:pt>
                <c:pt idx="145">
                  <c:v>277.24695907819802</c:v>
                </c:pt>
                <c:pt idx="146">
                  <c:v>277.24695907819802</c:v>
                </c:pt>
                <c:pt idx="147">
                  <c:v>280.6146692627355</c:v>
                </c:pt>
                <c:pt idx="148">
                  <c:v>280.6146692627355</c:v>
                </c:pt>
                <c:pt idx="149">
                  <c:v>283.98237944727299</c:v>
                </c:pt>
                <c:pt idx="150">
                  <c:v>283.98237944727299</c:v>
                </c:pt>
                <c:pt idx="151">
                  <c:v>287.35008963181048</c:v>
                </c:pt>
                <c:pt idx="152">
                  <c:v>287.35008963181048</c:v>
                </c:pt>
                <c:pt idx="153">
                  <c:v>290.71779981634796</c:v>
                </c:pt>
                <c:pt idx="154">
                  <c:v>290.71779981634796</c:v>
                </c:pt>
                <c:pt idx="155">
                  <c:v>294.08551000088545</c:v>
                </c:pt>
                <c:pt idx="156">
                  <c:v>294.08551000088545</c:v>
                </c:pt>
                <c:pt idx="157">
                  <c:v>297.45322018542294</c:v>
                </c:pt>
                <c:pt idx="158">
                  <c:v>297.45322018542294</c:v>
                </c:pt>
                <c:pt idx="159">
                  <c:v>300.82093036996042</c:v>
                </c:pt>
                <c:pt idx="160">
                  <c:v>300.82093036996042</c:v>
                </c:pt>
                <c:pt idx="161">
                  <c:v>302.50478546222917</c:v>
                </c:pt>
                <c:pt idx="162">
                  <c:v>302.50478546222917</c:v>
                </c:pt>
                <c:pt idx="163">
                  <c:v>303.51672982878625</c:v>
                </c:pt>
                <c:pt idx="164">
                  <c:v>303.51672982878625</c:v>
                </c:pt>
                <c:pt idx="165">
                  <c:v>305.54061856190043</c:v>
                </c:pt>
                <c:pt idx="166">
                  <c:v>305.54061856190043</c:v>
                </c:pt>
                <c:pt idx="167">
                  <c:v>307.56450729501461</c:v>
                </c:pt>
                <c:pt idx="168">
                  <c:v>307.56450729501461</c:v>
                </c:pt>
                <c:pt idx="169">
                  <c:v>309.58839602812878</c:v>
                </c:pt>
                <c:pt idx="170">
                  <c:v>309.58839602812878</c:v>
                </c:pt>
                <c:pt idx="171">
                  <c:v>311.61228476124296</c:v>
                </c:pt>
                <c:pt idx="172">
                  <c:v>311.61228476124296</c:v>
                </c:pt>
                <c:pt idx="173">
                  <c:v>313.63617349435714</c:v>
                </c:pt>
                <c:pt idx="174">
                  <c:v>313.63617349435714</c:v>
                </c:pt>
                <c:pt idx="175">
                  <c:v>315.66006222747131</c:v>
                </c:pt>
                <c:pt idx="176">
                  <c:v>315.66006222747131</c:v>
                </c:pt>
                <c:pt idx="177">
                  <c:v>317.68395096058549</c:v>
                </c:pt>
                <c:pt idx="178">
                  <c:v>317.68395096058549</c:v>
                </c:pt>
                <c:pt idx="179">
                  <c:v>319.70783969369967</c:v>
                </c:pt>
                <c:pt idx="180">
                  <c:v>319.70783969369967</c:v>
                </c:pt>
                <c:pt idx="181">
                  <c:v>321.73172842681385</c:v>
                </c:pt>
                <c:pt idx="182">
                  <c:v>321.73172842681385</c:v>
                </c:pt>
                <c:pt idx="183">
                  <c:v>323.75561715992802</c:v>
                </c:pt>
                <c:pt idx="184">
                  <c:v>323.75561715992802</c:v>
                </c:pt>
                <c:pt idx="185">
                  <c:v>325.7795058930422</c:v>
                </c:pt>
                <c:pt idx="186">
                  <c:v>325.7795058930422</c:v>
                </c:pt>
                <c:pt idx="187">
                  <c:v>327.80339462615638</c:v>
                </c:pt>
                <c:pt idx="188">
                  <c:v>327.80339462615638</c:v>
                </c:pt>
                <c:pt idx="189">
                  <c:v>329.82728335927055</c:v>
                </c:pt>
                <c:pt idx="190">
                  <c:v>329.82728335927055</c:v>
                </c:pt>
                <c:pt idx="191">
                  <c:v>331.85117209238473</c:v>
                </c:pt>
                <c:pt idx="192">
                  <c:v>331.85117209238473</c:v>
                </c:pt>
                <c:pt idx="193">
                  <c:v>333.87506082549891</c:v>
                </c:pt>
                <c:pt idx="194">
                  <c:v>333.87506082549891</c:v>
                </c:pt>
                <c:pt idx="195">
                  <c:v>335.89894955861308</c:v>
                </c:pt>
                <c:pt idx="196">
                  <c:v>335.89894955861308</c:v>
                </c:pt>
                <c:pt idx="197">
                  <c:v>337.92283829172726</c:v>
                </c:pt>
                <c:pt idx="198">
                  <c:v>337.92283829172726</c:v>
                </c:pt>
                <c:pt idx="199">
                  <c:v>339.94672702484144</c:v>
                </c:pt>
                <c:pt idx="200">
                  <c:v>339.94672702484144</c:v>
                </c:pt>
                <c:pt idx="201">
                  <c:v>341.97061575795561</c:v>
                </c:pt>
                <c:pt idx="202">
                  <c:v>341.97061575795561</c:v>
                </c:pt>
                <c:pt idx="203">
                  <c:v>343.99450449106979</c:v>
                </c:pt>
                <c:pt idx="204">
                  <c:v>343.99450449106979</c:v>
                </c:pt>
                <c:pt idx="205">
                  <c:v>346.01839322418397</c:v>
                </c:pt>
                <c:pt idx="206">
                  <c:v>346.01839322418397</c:v>
                </c:pt>
                <c:pt idx="207">
                  <c:v>347.03033759074106</c:v>
                </c:pt>
                <c:pt idx="208">
                  <c:v>347.03033759074106</c:v>
                </c:pt>
                <c:pt idx="209">
                  <c:v>348.7141926830098</c:v>
                </c:pt>
                <c:pt idx="210">
                  <c:v>348.7141926830098</c:v>
                </c:pt>
                <c:pt idx="211">
                  <c:v>352.08190286754729</c:v>
                </c:pt>
                <c:pt idx="212">
                  <c:v>352.08190286754729</c:v>
                </c:pt>
                <c:pt idx="213">
                  <c:v>355.44961305208477</c:v>
                </c:pt>
                <c:pt idx="214">
                  <c:v>355.44961305208477</c:v>
                </c:pt>
                <c:pt idx="215">
                  <c:v>358.81732323662226</c:v>
                </c:pt>
                <c:pt idx="216">
                  <c:v>358.81732323662226</c:v>
                </c:pt>
                <c:pt idx="217">
                  <c:v>362.18503342115974</c:v>
                </c:pt>
                <c:pt idx="218">
                  <c:v>362.18503342115974</c:v>
                </c:pt>
                <c:pt idx="219">
                  <c:v>365.55274360569723</c:v>
                </c:pt>
                <c:pt idx="220">
                  <c:v>365.55274360569723</c:v>
                </c:pt>
                <c:pt idx="221">
                  <c:v>368.92045379023472</c:v>
                </c:pt>
                <c:pt idx="222">
                  <c:v>368.92045379023472</c:v>
                </c:pt>
                <c:pt idx="223">
                  <c:v>372.2881639747722</c:v>
                </c:pt>
                <c:pt idx="224">
                  <c:v>372.2881639747722</c:v>
                </c:pt>
                <c:pt idx="225">
                  <c:v>375.65587415930969</c:v>
                </c:pt>
                <c:pt idx="226">
                  <c:v>375.65587415930969</c:v>
                </c:pt>
                <c:pt idx="227">
                  <c:v>379.02358434384718</c:v>
                </c:pt>
                <c:pt idx="228">
                  <c:v>379.02358434384718</c:v>
                </c:pt>
                <c:pt idx="229">
                  <c:v>382.39129452838466</c:v>
                </c:pt>
                <c:pt idx="230">
                  <c:v>382.39129452838466</c:v>
                </c:pt>
                <c:pt idx="231">
                  <c:v>385.75900471292215</c:v>
                </c:pt>
                <c:pt idx="232">
                  <c:v>385.75900471292215</c:v>
                </c:pt>
                <c:pt idx="233">
                  <c:v>389.12671489745964</c:v>
                </c:pt>
                <c:pt idx="234">
                  <c:v>389.12671489745964</c:v>
                </c:pt>
                <c:pt idx="235">
                  <c:v>392.49442508199712</c:v>
                </c:pt>
                <c:pt idx="236">
                  <c:v>392.49442508199712</c:v>
                </c:pt>
                <c:pt idx="237">
                  <c:v>395.86213526653461</c:v>
                </c:pt>
                <c:pt idx="238">
                  <c:v>395.86213526653461</c:v>
                </c:pt>
                <c:pt idx="239">
                  <c:v>399.22984545107209</c:v>
                </c:pt>
                <c:pt idx="240">
                  <c:v>399.22984545107209</c:v>
                </c:pt>
                <c:pt idx="241">
                  <c:v>402.59755563560958</c:v>
                </c:pt>
                <c:pt idx="242">
                  <c:v>402.59755563560958</c:v>
                </c:pt>
                <c:pt idx="243">
                  <c:v>405.96526582014707</c:v>
                </c:pt>
                <c:pt idx="244">
                  <c:v>405.96526582014707</c:v>
                </c:pt>
                <c:pt idx="245">
                  <c:v>409.33297600468455</c:v>
                </c:pt>
                <c:pt idx="246">
                  <c:v>409.33297600468455</c:v>
                </c:pt>
                <c:pt idx="247">
                  <c:v>412.70068618922204</c:v>
                </c:pt>
                <c:pt idx="248">
                  <c:v>412.70068618922204</c:v>
                </c:pt>
                <c:pt idx="249">
                  <c:v>416.06839637375953</c:v>
                </c:pt>
                <c:pt idx="250">
                  <c:v>416.06839637375953</c:v>
                </c:pt>
                <c:pt idx="251">
                  <c:v>419.43610655829701</c:v>
                </c:pt>
                <c:pt idx="252">
                  <c:v>419.43610655829701</c:v>
                </c:pt>
                <c:pt idx="253">
                  <c:v>421.11996165056576</c:v>
                </c:pt>
                <c:pt idx="254">
                  <c:v>421.11996165056576</c:v>
                </c:pt>
                <c:pt idx="255">
                  <c:v>422.13190601712284</c:v>
                </c:pt>
                <c:pt idx="256">
                  <c:v>422.13190601712284</c:v>
                </c:pt>
                <c:pt idx="257">
                  <c:v>424.15579475023702</c:v>
                </c:pt>
                <c:pt idx="258">
                  <c:v>424.15579475023702</c:v>
                </c:pt>
                <c:pt idx="259">
                  <c:v>426.1796834833512</c:v>
                </c:pt>
                <c:pt idx="260">
                  <c:v>426.1796834833512</c:v>
                </c:pt>
                <c:pt idx="261">
                  <c:v>428.20357221646537</c:v>
                </c:pt>
                <c:pt idx="262">
                  <c:v>428.20357221646537</c:v>
                </c:pt>
                <c:pt idx="263">
                  <c:v>430.22746094957955</c:v>
                </c:pt>
                <c:pt idx="264">
                  <c:v>430.22746094957955</c:v>
                </c:pt>
                <c:pt idx="265">
                  <c:v>432.25134968269373</c:v>
                </c:pt>
                <c:pt idx="266">
                  <c:v>432.25134968269373</c:v>
                </c:pt>
                <c:pt idx="267">
                  <c:v>434.27523841580791</c:v>
                </c:pt>
                <c:pt idx="268">
                  <c:v>434.27523841580791</c:v>
                </c:pt>
                <c:pt idx="269">
                  <c:v>436.29912714892208</c:v>
                </c:pt>
                <c:pt idx="270">
                  <c:v>436.29912714892208</c:v>
                </c:pt>
                <c:pt idx="271">
                  <c:v>438.32301588203626</c:v>
                </c:pt>
                <c:pt idx="272">
                  <c:v>438.32301588203626</c:v>
                </c:pt>
                <c:pt idx="273">
                  <c:v>440.34690461515044</c:v>
                </c:pt>
                <c:pt idx="274">
                  <c:v>440.34690461515044</c:v>
                </c:pt>
                <c:pt idx="275">
                  <c:v>442.37079334826461</c:v>
                </c:pt>
                <c:pt idx="276">
                  <c:v>442.37079334826461</c:v>
                </c:pt>
                <c:pt idx="277">
                  <c:v>444.39468208137879</c:v>
                </c:pt>
                <c:pt idx="278">
                  <c:v>444.39468208137879</c:v>
                </c:pt>
                <c:pt idx="279">
                  <c:v>446.41857081449297</c:v>
                </c:pt>
                <c:pt idx="280">
                  <c:v>446.41857081449297</c:v>
                </c:pt>
                <c:pt idx="281">
                  <c:v>448.44245954760714</c:v>
                </c:pt>
                <c:pt idx="282">
                  <c:v>448.44245954760714</c:v>
                </c:pt>
                <c:pt idx="283">
                  <c:v>450.46634828072132</c:v>
                </c:pt>
                <c:pt idx="284">
                  <c:v>450.46634828072132</c:v>
                </c:pt>
                <c:pt idx="285">
                  <c:v>452.4902370138355</c:v>
                </c:pt>
                <c:pt idx="286">
                  <c:v>452.4902370138355</c:v>
                </c:pt>
                <c:pt idx="287">
                  <c:v>454.51412574694967</c:v>
                </c:pt>
                <c:pt idx="288">
                  <c:v>454.51412574694967</c:v>
                </c:pt>
                <c:pt idx="289">
                  <c:v>456.53801448006385</c:v>
                </c:pt>
                <c:pt idx="290">
                  <c:v>456.53801448006385</c:v>
                </c:pt>
                <c:pt idx="291">
                  <c:v>458.56190321317803</c:v>
                </c:pt>
                <c:pt idx="292">
                  <c:v>458.56190321317803</c:v>
                </c:pt>
                <c:pt idx="293">
                  <c:v>460.5857919462922</c:v>
                </c:pt>
                <c:pt idx="294">
                  <c:v>460.5857919462922</c:v>
                </c:pt>
                <c:pt idx="295">
                  <c:v>462.60968067940638</c:v>
                </c:pt>
                <c:pt idx="296">
                  <c:v>462.60968067940638</c:v>
                </c:pt>
                <c:pt idx="297">
                  <c:v>464.63356941252056</c:v>
                </c:pt>
                <c:pt idx="298">
                  <c:v>464.63356941252056</c:v>
                </c:pt>
                <c:pt idx="299">
                  <c:v>465.64551377907765</c:v>
                </c:pt>
                <c:pt idx="300">
                  <c:v>465.64551377907765</c:v>
                </c:pt>
                <c:pt idx="301">
                  <c:v>467.1186741650576</c:v>
                </c:pt>
                <c:pt idx="302">
                  <c:v>467.1186741650576</c:v>
                </c:pt>
                <c:pt idx="303">
                  <c:v>470.0649949370175</c:v>
                </c:pt>
                <c:pt idx="304">
                  <c:v>470.0649949370175</c:v>
                </c:pt>
                <c:pt idx="305">
                  <c:v>473.01131570897741</c:v>
                </c:pt>
                <c:pt idx="306">
                  <c:v>473.01131570897741</c:v>
                </c:pt>
                <c:pt idx="307">
                  <c:v>475.95763648093731</c:v>
                </c:pt>
                <c:pt idx="308">
                  <c:v>475.95763648093731</c:v>
                </c:pt>
                <c:pt idx="309">
                  <c:v>478.90395725289721</c:v>
                </c:pt>
                <c:pt idx="310">
                  <c:v>478.90395725289721</c:v>
                </c:pt>
                <c:pt idx="311">
                  <c:v>481.85027802485712</c:v>
                </c:pt>
                <c:pt idx="312">
                  <c:v>481.85027802485712</c:v>
                </c:pt>
                <c:pt idx="313">
                  <c:v>484.79659879681702</c:v>
                </c:pt>
                <c:pt idx="314">
                  <c:v>484.79659879681702</c:v>
                </c:pt>
                <c:pt idx="315">
                  <c:v>487.74291956877693</c:v>
                </c:pt>
                <c:pt idx="316">
                  <c:v>487.74291956877693</c:v>
                </c:pt>
                <c:pt idx="317">
                  <c:v>490.68924034073683</c:v>
                </c:pt>
                <c:pt idx="318">
                  <c:v>490.68924034073683</c:v>
                </c:pt>
                <c:pt idx="319">
                  <c:v>493.63556111269673</c:v>
                </c:pt>
                <c:pt idx="320">
                  <c:v>493.63556111269673</c:v>
                </c:pt>
                <c:pt idx="321">
                  <c:v>496.58188188465664</c:v>
                </c:pt>
                <c:pt idx="322">
                  <c:v>496.58188188465664</c:v>
                </c:pt>
                <c:pt idx="323">
                  <c:v>499.52820265661654</c:v>
                </c:pt>
                <c:pt idx="324">
                  <c:v>499.52820265661654</c:v>
                </c:pt>
                <c:pt idx="325">
                  <c:v>502.47452342857645</c:v>
                </c:pt>
                <c:pt idx="326">
                  <c:v>502.47452342857645</c:v>
                </c:pt>
                <c:pt idx="327">
                  <c:v>505.42084420053635</c:v>
                </c:pt>
                <c:pt idx="328">
                  <c:v>505.42084420053635</c:v>
                </c:pt>
                <c:pt idx="329">
                  <c:v>508.36716497249625</c:v>
                </c:pt>
                <c:pt idx="330">
                  <c:v>508.36716497249625</c:v>
                </c:pt>
                <c:pt idx="331">
                  <c:v>511.31348574445616</c:v>
                </c:pt>
                <c:pt idx="332">
                  <c:v>511.31348574445616</c:v>
                </c:pt>
                <c:pt idx="333">
                  <c:v>514.25980651641612</c:v>
                </c:pt>
                <c:pt idx="334">
                  <c:v>514.25980651641612</c:v>
                </c:pt>
                <c:pt idx="335">
                  <c:v>517.20612728837602</c:v>
                </c:pt>
                <c:pt idx="336">
                  <c:v>517.20612728837602</c:v>
                </c:pt>
                <c:pt idx="337">
                  <c:v>520.15244806033593</c:v>
                </c:pt>
                <c:pt idx="338">
                  <c:v>520.15244806033593</c:v>
                </c:pt>
                <c:pt idx="339">
                  <c:v>523.09876883229583</c:v>
                </c:pt>
                <c:pt idx="340">
                  <c:v>523.09876883229583</c:v>
                </c:pt>
                <c:pt idx="341">
                  <c:v>526.04508960425574</c:v>
                </c:pt>
                <c:pt idx="342">
                  <c:v>526.04508960425574</c:v>
                </c:pt>
                <c:pt idx="343">
                  <c:v>528.99141037621564</c:v>
                </c:pt>
                <c:pt idx="344">
                  <c:v>528.99141037621564</c:v>
                </c:pt>
                <c:pt idx="345">
                  <c:v>530.46457076219565</c:v>
                </c:pt>
                <c:pt idx="346">
                  <c:v>530.46457076219565</c:v>
                </c:pt>
                <c:pt idx="347">
                  <c:v>530.82141725462725</c:v>
                </c:pt>
                <c:pt idx="348">
                  <c:v>530.82141725462725</c:v>
                </c:pt>
                <c:pt idx="349">
                  <c:v>531.53511023949056</c:v>
                </c:pt>
                <c:pt idx="350">
                  <c:v>531.53511023949056</c:v>
                </c:pt>
                <c:pt idx="351">
                  <c:v>532.24880322435388</c:v>
                </c:pt>
                <c:pt idx="352">
                  <c:v>532.24880322435388</c:v>
                </c:pt>
                <c:pt idx="353">
                  <c:v>532.96249620921719</c:v>
                </c:pt>
                <c:pt idx="354">
                  <c:v>532.96249620921719</c:v>
                </c:pt>
                <c:pt idx="355">
                  <c:v>533.67618919408051</c:v>
                </c:pt>
                <c:pt idx="356">
                  <c:v>533.67618919408051</c:v>
                </c:pt>
                <c:pt idx="357">
                  <c:v>534.38988217894382</c:v>
                </c:pt>
                <c:pt idx="358">
                  <c:v>534.38988217894382</c:v>
                </c:pt>
                <c:pt idx="359">
                  <c:v>535.10357516380714</c:v>
                </c:pt>
                <c:pt idx="360">
                  <c:v>535.10357516380714</c:v>
                </c:pt>
                <c:pt idx="361">
                  <c:v>535.81726814867045</c:v>
                </c:pt>
                <c:pt idx="362">
                  <c:v>535.81726814867045</c:v>
                </c:pt>
                <c:pt idx="363">
                  <c:v>536.53096113353376</c:v>
                </c:pt>
                <c:pt idx="364">
                  <c:v>536.53096113353376</c:v>
                </c:pt>
                <c:pt idx="365">
                  <c:v>537.24465411839708</c:v>
                </c:pt>
                <c:pt idx="366">
                  <c:v>537.24465411839708</c:v>
                </c:pt>
                <c:pt idx="367">
                  <c:v>537.95834710326039</c:v>
                </c:pt>
                <c:pt idx="368">
                  <c:v>537.95834710326039</c:v>
                </c:pt>
                <c:pt idx="369">
                  <c:v>538.67204008812371</c:v>
                </c:pt>
                <c:pt idx="370">
                  <c:v>538.67204008812371</c:v>
                </c:pt>
                <c:pt idx="371">
                  <c:v>539.38573307298702</c:v>
                </c:pt>
                <c:pt idx="372">
                  <c:v>539.38573307298702</c:v>
                </c:pt>
                <c:pt idx="373">
                  <c:v>540.09942605785034</c:v>
                </c:pt>
                <c:pt idx="374">
                  <c:v>540.09942605785034</c:v>
                </c:pt>
                <c:pt idx="375">
                  <c:v>540.81311904271365</c:v>
                </c:pt>
                <c:pt idx="376">
                  <c:v>540.81311904271365</c:v>
                </c:pt>
                <c:pt idx="377">
                  <c:v>541.52681202757697</c:v>
                </c:pt>
                <c:pt idx="378">
                  <c:v>541.52681202757697</c:v>
                </c:pt>
                <c:pt idx="379">
                  <c:v>542.24050501244028</c:v>
                </c:pt>
                <c:pt idx="380">
                  <c:v>542.24050501244028</c:v>
                </c:pt>
                <c:pt idx="381">
                  <c:v>542.9541979973036</c:v>
                </c:pt>
                <c:pt idx="382">
                  <c:v>542.9541979973036</c:v>
                </c:pt>
                <c:pt idx="383">
                  <c:v>543.66789098216691</c:v>
                </c:pt>
                <c:pt idx="384">
                  <c:v>543.66789098216691</c:v>
                </c:pt>
                <c:pt idx="385">
                  <c:v>544.38158396703022</c:v>
                </c:pt>
                <c:pt idx="386">
                  <c:v>544.38158396703022</c:v>
                </c:pt>
                <c:pt idx="387">
                  <c:v>545.09527695189354</c:v>
                </c:pt>
                <c:pt idx="388">
                  <c:v>545.09527695189354</c:v>
                </c:pt>
                <c:pt idx="389">
                  <c:v>545.80896993675685</c:v>
                </c:pt>
                <c:pt idx="390">
                  <c:v>545.80896993675685</c:v>
                </c:pt>
                <c:pt idx="391">
                  <c:v>546.16581642918845</c:v>
                </c:pt>
                <c:pt idx="392">
                  <c:v>546.16581642918845</c:v>
                </c:pt>
                <c:pt idx="393">
                  <c:v>546.50218006555212</c:v>
                </c:pt>
                <c:pt idx="394">
                  <c:v>546.50218006555212</c:v>
                </c:pt>
                <c:pt idx="395">
                  <c:v>547.17490733827935</c:v>
                </c:pt>
                <c:pt idx="396">
                  <c:v>547.17490733827935</c:v>
                </c:pt>
                <c:pt idx="397">
                  <c:v>547.84763461100658</c:v>
                </c:pt>
                <c:pt idx="398">
                  <c:v>547.84763461100658</c:v>
                </c:pt>
                <c:pt idx="399">
                  <c:v>548.52036188373381</c:v>
                </c:pt>
                <c:pt idx="400">
                  <c:v>548.52036188373381</c:v>
                </c:pt>
                <c:pt idx="401">
                  <c:v>549.19308915646104</c:v>
                </c:pt>
                <c:pt idx="402">
                  <c:v>549.19308915646104</c:v>
                </c:pt>
                <c:pt idx="403">
                  <c:v>549.86581642918827</c:v>
                </c:pt>
                <c:pt idx="404">
                  <c:v>549.86581642918827</c:v>
                </c:pt>
                <c:pt idx="405">
                  <c:v>550.5385437019155</c:v>
                </c:pt>
                <c:pt idx="406">
                  <c:v>550.5385437019155</c:v>
                </c:pt>
                <c:pt idx="407">
                  <c:v>551.21127097464273</c:v>
                </c:pt>
                <c:pt idx="408">
                  <c:v>551.21127097464273</c:v>
                </c:pt>
                <c:pt idx="409">
                  <c:v>551.88399824736996</c:v>
                </c:pt>
                <c:pt idx="410">
                  <c:v>551.88399824736996</c:v>
                </c:pt>
                <c:pt idx="411">
                  <c:v>552.55672552009719</c:v>
                </c:pt>
                <c:pt idx="412">
                  <c:v>552.55672552009719</c:v>
                </c:pt>
                <c:pt idx="413">
                  <c:v>553.22945279282442</c:v>
                </c:pt>
                <c:pt idx="414">
                  <c:v>553.22945279282442</c:v>
                </c:pt>
                <c:pt idx="415">
                  <c:v>553.90218006555165</c:v>
                </c:pt>
                <c:pt idx="416">
                  <c:v>553.90218006555165</c:v>
                </c:pt>
                <c:pt idx="417">
                  <c:v>554.57490733827888</c:v>
                </c:pt>
                <c:pt idx="418">
                  <c:v>554.57490733827888</c:v>
                </c:pt>
                <c:pt idx="419">
                  <c:v>555.24763461100611</c:v>
                </c:pt>
                <c:pt idx="420">
                  <c:v>555.24763461100611</c:v>
                </c:pt>
                <c:pt idx="421">
                  <c:v>555.92036188373334</c:v>
                </c:pt>
                <c:pt idx="422">
                  <c:v>555.92036188373334</c:v>
                </c:pt>
                <c:pt idx="423">
                  <c:v>556.59308915646056</c:v>
                </c:pt>
                <c:pt idx="424">
                  <c:v>556.59308915646056</c:v>
                </c:pt>
                <c:pt idx="425">
                  <c:v>557.26581642918779</c:v>
                </c:pt>
                <c:pt idx="426">
                  <c:v>557.26581642918779</c:v>
                </c:pt>
                <c:pt idx="427">
                  <c:v>557.93854370191502</c:v>
                </c:pt>
                <c:pt idx="428">
                  <c:v>557.93854370191502</c:v>
                </c:pt>
                <c:pt idx="429">
                  <c:v>558.61127097464225</c:v>
                </c:pt>
                <c:pt idx="430">
                  <c:v>558.61127097464225</c:v>
                </c:pt>
                <c:pt idx="431">
                  <c:v>559.28399824736948</c:v>
                </c:pt>
                <c:pt idx="432">
                  <c:v>559.28399824736948</c:v>
                </c:pt>
                <c:pt idx="433">
                  <c:v>559.95672552009671</c:v>
                </c:pt>
                <c:pt idx="434">
                  <c:v>559.95672552009671</c:v>
                </c:pt>
                <c:pt idx="435">
                  <c:v>560.62945279282394</c:v>
                </c:pt>
                <c:pt idx="436">
                  <c:v>560.62945279282394</c:v>
                </c:pt>
                <c:pt idx="437">
                  <c:v>560.96581642918761</c:v>
                </c:pt>
                <c:pt idx="438">
                  <c:v>560.96581642918761</c:v>
                </c:pt>
                <c:pt idx="439">
                  <c:v>561.24014722791696</c:v>
                </c:pt>
                <c:pt idx="440">
                  <c:v>561.24014722791696</c:v>
                </c:pt>
                <c:pt idx="441">
                  <c:v>561.51916505354939</c:v>
                </c:pt>
                <c:pt idx="442">
                  <c:v>561.51916505354939</c:v>
                </c:pt>
                <c:pt idx="443">
                  <c:v>561.80806053641913</c:v>
                </c:pt>
                <c:pt idx="444">
                  <c:v>561.80806053641913</c:v>
                </c:pt>
                <c:pt idx="445">
                  <c:v>562.11317639608546</c:v>
                </c:pt>
                <c:pt idx="446">
                  <c:v>562.11317639608546</c:v>
                </c:pt>
                <c:pt idx="447">
                  <c:v>562.443031245773</c:v>
                </c:pt>
                <c:pt idx="448">
                  <c:v>562.443031245773</c:v>
                </c:pt>
                <c:pt idx="449">
                  <c:v>562.81021265502943</c:v>
                </c:pt>
                <c:pt idx="450">
                  <c:v>562.81021265502943</c:v>
                </c:pt>
                <c:pt idx="451">
                  <c:v>563.23543448304804</c:v>
                </c:pt>
                <c:pt idx="452">
                  <c:v>563.23543448304804</c:v>
                </c:pt>
                <c:pt idx="453">
                  <c:v>563.75795719291466</c:v>
                </c:pt>
                <c:pt idx="454">
                  <c:v>563.75795719291466</c:v>
                </c:pt>
                <c:pt idx="455">
                  <c:v>564.47113438093811</c:v>
                </c:pt>
                <c:pt idx="456">
                  <c:v>564.47113438093811</c:v>
                </c:pt>
                <c:pt idx="457">
                  <c:v>565.75272325631204</c:v>
                </c:pt>
                <c:pt idx="458">
                  <c:v>565.75272325631204</c:v>
                </c:pt>
                <c:pt idx="459">
                  <c:v>567.47380484438611</c:v>
                </c:pt>
                <c:pt idx="460">
                  <c:v>567.47380484438611</c:v>
                </c:pt>
                <c:pt idx="461">
                  <c:v>667.47380484438611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3.6986852477478688E-9</c:v>
                </c:pt>
                <c:pt idx="3">
                  <c:v>3.6986852477478688E-9</c:v>
                </c:pt>
                <c:pt idx="4">
                  <c:v>3.0467140107770605E-8</c:v>
                </c:pt>
                <c:pt idx="5">
                  <c:v>3.0467140107770605E-8</c:v>
                </c:pt>
                <c:pt idx="6">
                  <c:v>6.9191729519527564E-8</c:v>
                </c:pt>
                <c:pt idx="7">
                  <c:v>6.9191729519527564E-8</c:v>
                </c:pt>
                <c:pt idx="8">
                  <c:v>1.1301062836818117E-7</c:v>
                </c:pt>
                <c:pt idx="9">
                  <c:v>1.1301062836818117E-7</c:v>
                </c:pt>
                <c:pt idx="10">
                  <c:v>1.5925491138082353E-7</c:v>
                </c:pt>
                <c:pt idx="11">
                  <c:v>1.5925491138082353E-7</c:v>
                </c:pt>
                <c:pt idx="12">
                  <c:v>2.0670276575281222E-7</c:v>
                </c:pt>
                <c:pt idx="13">
                  <c:v>2.0670276575281222E-7</c:v>
                </c:pt>
                <c:pt idx="14">
                  <c:v>2.5474510369493849E-7</c:v>
                </c:pt>
                <c:pt idx="15">
                  <c:v>2.5474510369493849E-7</c:v>
                </c:pt>
                <c:pt idx="16">
                  <c:v>3.030673196711259E-7</c:v>
                </c:pt>
                <c:pt idx="17">
                  <c:v>3.030673196711259E-7</c:v>
                </c:pt>
                <c:pt idx="18">
                  <c:v>3.5150819152409238E-7</c:v>
                </c:pt>
                <c:pt idx="19">
                  <c:v>3.5150819152409238E-7</c:v>
                </c:pt>
                <c:pt idx="20">
                  <c:v>3.9999016535451186E-7</c:v>
                </c:pt>
                <c:pt idx="21">
                  <c:v>3.9999016535451186E-7</c:v>
                </c:pt>
                <c:pt idx="22">
                  <c:v>4.4848162362374449E-7</c:v>
                </c:pt>
                <c:pt idx="23">
                  <c:v>4.4848162362374449E-7</c:v>
                </c:pt>
                <c:pt idx="24">
                  <c:v>5.017414596015909E-7</c:v>
                </c:pt>
                <c:pt idx="25">
                  <c:v>5.017414596015909E-7</c:v>
                </c:pt>
                <c:pt idx="26">
                  <c:v>5.359135335880487E-7</c:v>
                </c:pt>
                <c:pt idx="27">
                  <c:v>5.359135335880487E-7</c:v>
                </c:pt>
                <c:pt idx="28">
                  <c:v>5.8246664946954231E-7</c:v>
                </c:pt>
                <c:pt idx="29">
                  <c:v>5.8246664946954231E-7</c:v>
                </c:pt>
                <c:pt idx="30">
                  <c:v>6.3006405895124264E-7</c:v>
                </c:pt>
                <c:pt idx="31">
                  <c:v>6.3006405895124264E-7</c:v>
                </c:pt>
                <c:pt idx="32">
                  <c:v>6.7866854497420413E-7</c:v>
                </c:pt>
                <c:pt idx="33">
                  <c:v>6.7866854497420413E-7</c:v>
                </c:pt>
                <c:pt idx="34">
                  <c:v>7.2831154029451507E-7</c:v>
                </c:pt>
                <c:pt idx="35">
                  <c:v>7.2831154029451507E-7</c:v>
                </c:pt>
                <c:pt idx="36">
                  <c:v>7.790952627376928E-7</c:v>
                </c:pt>
                <c:pt idx="37">
                  <c:v>7.790952627376928E-7</c:v>
                </c:pt>
                <c:pt idx="38">
                  <c:v>8.3118941230527131E-7</c:v>
                </c:pt>
                <c:pt idx="39">
                  <c:v>8.3118941230527131E-7</c:v>
                </c:pt>
                <c:pt idx="40">
                  <c:v>8.8482222027475653E-7</c:v>
                </c:pt>
                <c:pt idx="41">
                  <c:v>8.8482222027475653E-7</c:v>
                </c:pt>
                <c:pt idx="42">
                  <c:v>9.402660478291831E-7</c:v>
                </c:pt>
                <c:pt idx="43">
                  <c:v>9.402660478291831E-7</c:v>
                </c:pt>
                <c:pt idx="44">
                  <c:v>9.9781815675816437E-7</c:v>
                </c:pt>
                <c:pt idx="45">
                  <c:v>9.9781815675816437E-7</c:v>
                </c:pt>
                <c:pt idx="46">
                  <c:v>1.0577776825060128E-6</c:v>
                </c:pt>
                <c:pt idx="47">
                  <c:v>1.0577776825060128E-6</c:v>
                </c:pt>
                <c:pt idx="48">
                  <c:v>1.1204201943869662E-6</c:v>
                </c:pt>
                <c:pt idx="49">
                  <c:v>1.1204201943869662E-6</c:v>
                </c:pt>
                <c:pt idx="50">
                  <c:v>1.1859714954393028E-6</c:v>
                </c:pt>
                <c:pt idx="51">
                  <c:v>1.1859714954393028E-6</c:v>
                </c:pt>
                <c:pt idx="52">
                  <c:v>1.2545824669823085E-6</c:v>
                </c:pt>
                <c:pt idx="53">
                  <c:v>1.2545824669823085E-6</c:v>
                </c:pt>
                <c:pt idx="54">
                  <c:v>1.3263067809193098E-6</c:v>
                </c:pt>
                <c:pt idx="55">
                  <c:v>1.3263067809193098E-6</c:v>
                </c:pt>
                <c:pt idx="56">
                  <c:v>1.4010831777463208E-6</c:v>
                </c:pt>
                <c:pt idx="57">
                  <c:v>1.4010831777463208E-6</c:v>
                </c:pt>
                <c:pt idx="58">
                  <c:v>1.4787237443074788E-6</c:v>
                </c:pt>
                <c:pt idx="59">
                  <c:v>1.4787237443074788E-6</c:v>
                </c:pt>
                <c:pt idx="60">
                  <c:v>1.5589092398814157E-6</c:v>
                </c:pt>
                <c:pt idx="61">
                  <c:v>1.5589092398814157E-6</c:v>
                </c:pt>
                <c:pt idx="62">
                  <c:v>1.6411920415897764E-6</c:v>
                </c:pt>
                <c:pt idx="63">
                  <c:v>1.6411920415897764E-6</c:v>
                </c:pt>
                <c:pt idx="64">
                  <c:v>1.7250067495692204E-6</c:v>
                </c:pt>
                <c:pt idx="65">
                  <c:v>1.7250067495692204E-6</c:v>
                </c:pt>
                <c:pt idx="66">
                  <c:v>1.8096879542510372E-6</c:v>
                </c:pt>
                <c:pt idx="67">
                  <c:v>1.8096879542510372E-6</c:v>
                </c:pt>
                <c:pt idx="68">
                  <c:v>1.8733235187606166E-6</c:v>
                </c:pt>
                <c:pt idx="69">
                  <c:v>1.8733235187606166E-6</c:v>
                </c:pt>
                <c:pt idx="70">
                  <c:v>1.8923806396690646E-6</c:v>
                </c:pt>
                <c:pt idx="71">
                  <c:v>1.8923806396690646E-6</c:v>
                </c:pt>
                <c:pt idx="72">
                  <c:v>1.9670834694238081E-6</c:v>
                </c:pt>
                <c:pt idx="73">
                  <c:v>1.9670834694238081E-6</c:v>
                </c:pt>
                <c:pt idx="74">
                  <c:v>2.0626643228278135E-6</c:v>
                </c:pt>
                <c:pt idx="75">
                  <c:v>2.0626643228278135E-6</c:v>
                </c:pt>
                <c:pt idx="76">
                  <c:v>2.1520148768817673E-6</c:v>
                </c:pt>
                <c:pt idx="77">
                  <c:v>2.1520148768817673E-6</c:v>
                </c:pt>
                <c:pt idx="78">
                  <c:v>2.2334756107682768E-6</c:v>
                </c:pt>
                <c:pt idx="79">
                  <c:v>2.2334756107682768E-6</c:v>
                </c:pt>
                <c:pt idx="80">
                  <c:v>2.3055807793645637E-6</c:v>
                </c:pt>
                <c:pt idx="81">
                  <c:v>2.3055807793645637E-6</c:v>
                </c:pt>
                <c:pt idx="82">
                  <c:v>2.3671107587399015E-6</c:v>
                </c:pt>
                <c:pt idx="83">
                  <c:v>2.3671107587399015E-6</c:v>
                </c:pt>
                <c:pt idx="84">
                  <c:v>2.4171266163784574E-6</c:v>
                </c:pt>
                <c:pt idx="85">
                  <c:v>2.4171266163784574E-6</c:v>
                </c:pt>
                <c:pt idx="86">
                  <c:v>2.4549865109675697E-6</c:v>
                </c:pt>
                <c:pt idx="87">
                  <c:v>2.4549865109675697E-6</c:v>
                </c:pt>
                <c:pt idx="88">
                  <c:v>2.4803452173214624E-6</c:v>
                </c:pt>
                <c:pt idx="89">
                  <c:v>2.4803452173214624E-6</c:v>
                </c:pt>
                <c:pt idx="90">
                  <c:v>2.4931394925407768E-6</c:v>
                </c:pt>
                <c:pt idx="91">
                  <c:v>2.4931394925407768E-6</c:v>
                </c:pt>
                <c:pt idx="92">
                  <c:v>2.4935629573024491E-6</c:v>
                </c:pt>
                <c:pt idx="93">
                  <c:v>2.4935629573024491E-6</c:v>
                </c:pt>
                <c:pt idx="94">
                  <c:v>2.4820345510165029E-6</c:v>
                </c:pt>
                <c:pt idx="95">
                  <c:v>2.4820345510165029E-6</c:v>
                </c:pt>
                <c:pt idx="96">
                  <c:v>2.4591644257125509E-6</c:v>
                </c:pt>
                <c:pt idx="97">
                  <c:v>2.4591644257125509E-6</c:v>
                </c:pt>
                <c:pt idx="98">
                  <c:v>2.4257204653223286E-6</c:v>
                </c:pt>
                <c:pt idx="99">
                  <c:v>2.4257204653223286E-6</c:v>
                </c:pt>
                <c:pt idx="100">
                  <c:v>2.3825976223518388E-6</c:v>
                </c:pt>
                <c:pt idx="101">
                  <c:v>2.3825976223518388E-6</c:v>
                </c:pt>
                <c:pt idx="102">
                  <c:v>2.3307911544372097E-6</c:v>
                </c:pt>
                <c:pt idx="103">
                  <c:v>2.3307911544372097E-6</c:v>
                </c:pt>
                <c:pt idx="104">
                  <c:v>2.2713738128989623E-6</c:v>
                </c:pt>
                <c:pt idx="105">
                  <c:v>2.2713738128989623E-6</c:v>
                </c:pt>
                <c:pt idx="106">
                  <c:v>2.2054762364611922E-6</c:v>
                </c:pt>
                <c:pt idx="107">
                  <c:v>2.2054762364611922E-6</c:v>
                </c:pt>
                <c:pt idx="108">
                  <c:v>2.1342693258836977E-6</c:v>
                </c:pt>
                <c:pt idx="109">
                  <c:v>2.1342693258836977E-6</c:v>
                </c:pt>
                <c:pt idx="110">
                  <c:v>2.0589472416761894E-6</c:v>
                </c:pt>
                <c:pt idx="111">
                  <c:v>2.0589472416761894E-6</c:v>
                </c:pt>
                <c:pt idx="112">
                  <c:v>1.9807098394195424E-6</c:v>
                </c:pt>
                <c:pt idx="113">
                  <c:v>1.9807098394195424E-6</c:v>
                </c:pt>
                <c:pt idx="114">
                  <c:v>1.9208335124870904E-6</c:v>
                </c:pt>
                <c:pt idx="115">
                  <c:v>1.9208335124870904E-6</c:v>
                </c:pt>
                <c:pt idx="116">
                  <c:v>1.8702962541498241E-6</c:v>
                </c:pt>
                <c:pt idx="117">
                  <c:v>1.8702962541498241E-6</c:v>
                </c:pt>
                <c:pt idx="118">
                  <c:v>1.7688324662025232E-6</c:v>
                </c:pt>
                <c:pt idx="119">
                  <c:v>1.7688324662025232E-6</c:v>
                </c:pt>
                <c:pt idx="120">
                  <c:v>1.6376283450753004E-6</c:v>
                </c:pt>
                <c:pt idx="121">
                  <c:v>1.6376283450753004E-6</c:v>
                </c:pt>
                <c:pt idx="122">
                  <c:v>1.5146426181151297E-6</c:v>
                </c:pt>
                <c:pt idx="123">
                  <c:v>1.5146426181151297E-6</c:v>
                </c:pt>
                <c:pt idx="124">
                  <c:v>1.4031066876685453E-6</c:v>
                </c:pt>
                <c:pt idx="125">
                  <c:v>1.4031066876685453E-6</c:v>
                </c:pt>
                <c:pt idx="126">
                  <c:v>1.305377272555333E-6</c:v>
                </c:pt>
                <c:pt idx="127">
                  <c:v>1.305377272555333E-6</c:v>
                </c:pt>
                <c:pt idx="128">
                  <c:v>1.2228772604720725E-6</c:v>
                </c:pt>
                <c:pt idx="129">
                  <c:v>1.2228772604720725E-6</c:v>
                </c:pt>
                <c:pt idx="130">
                  <c:v>1.1561762585327351E-6</c:v>
                </c:pt>
                <c:pt idx="131">
                  <c:v>1.1561762585327351E-6</c:v>
                </c:pt>
                <c:pt idx="132">
                  <c:v>1.1051848000284319E-6</c:v>
                </c:pt>
                <c:pt idx="133">
                  <c:v>1.1051848000284319E-6</c:v>
                </c:pt>
                <c:pt idx="134">
                  <c:v>1.0694180362321652E-6</c:v>
                </c:pt>
                <c:pt idx="135">
                  <c:v>1.0694180362321652E-6</c:v>
                </c:pt>
                <c:pt idx="136">
                  <c:v>1.0482758692323742E-6</c:v>
                </c:pt>
                <c:pt idx="137">
                  <c:v>1.0482758692323742E-6</c:v>
                </c:pt>
                <c:pt idx="138">
                  <c:v>1.04128730121217E-6</c:v>
                </c:pt>
                <c:pt idx="139">
                  <c:v>1.04128730121217E-6</c:v>
                </c:pt>
                <c:pt idx="140">
                  <c:v>1.0482758692323742E-6</c:v>
                </c:pt>
                <c:pt idx="141">
                  <c:v>1.0482758692323742E-6</c:v>
                </c:pt>
                <c:pt idx="142">
                  <c:v>1.0694180362321652E-6</c:v>
                </c:pt>
                <c:pt idx="143">
                  <c:v>1.0694180362321652E-6</c:v>
                </c:pt>
                <c:pt idx="144">
                  <c:v>1.105184800031399E-6</c:v>
                </c:pt>
                <c:pt idx="145">
                  <c:v>1.105184800031399E-6</c:v>
                </c:pt>
                <c:pt idx="146">
                  <c:v>1.1561762585465877E-6</c:v>
                </c:pt>
                <c:pt idx="147">
                  <c:v>1.1561762585465877E-6</c:v>
                </c:pt>
                <c:pt idx="148">
                  <c:v>1.2228772605345359E-6</c:v>
                </c:pt>
                <c:pt idx="149">
                  <c:v>1.2228772605345359E-6</c:v>
                </c:pt>
                <c:pt idx="150">
                  <c:v>1.3053772728269231E-6</c:v>
                </c:pt>
                <c:pt idx="151">
                  <c:v>1.3053772728269231E-6</c:v>
                </c:pt>
                <c:pt idx="152">
                  <c:v>1.4031066888046663E-6</c:v>
                </c:pt>
                <c:pt idx="153">
                  <c:v>1.4031066888046663E-6</c:v>
                </c:pt>
                <c:pt idx="154">
                  <c:v>1.5146426226760279E-6</c:v>
                </c:pt>
                <c:pt idx="155">
                  <c:v>1.5146426226760279E-6</c:v>
                </c:pt>
                <c:pt idx="156">
                  <c:v>1.6376283625997315E-6</c:v>
                </c:pt>
                <c:pt idx="157">
                  <c:v>1.6376283625997315E-6</c:v>
                </c:pt>
                <c:pt idx="158">
                  <c:v>1.7688325304890855E-6</c:v>
                </c:pt>
                <c:pt idx="159">
                  <c:v>1.7688325304890855E-6</c:v>
                </c:pt>
                <c:pt idx="160">
                  <c:v>1.8702964192330608E-6</c:v>
                </c:pt>
                <c:pt idx="161">
                  <c:v>1.8702964192330608E-6</c:v>
                </c:pt>
                <c:pt idx="162">
                  <c:v>1.905715498047669E-6</c:v>
                </c:pt>
                <c:pt idx="163">
                  <c:v>1.905715498047669E-6</c:v>
                </c:pt>
                <c:pt idx="164">
                  <c:v>1.9625283358909057E-6</c:v>
                </c:pt>
                <c:pt idx="165">
                  <c:v>1.9625283358909057E-6</c:v>
                </c:pt>
                <c:pt idx="166">
                  <c:v>2.0359946166018008E-6</c:v>
                </c:pt>
                <c:pt idx="167">
                  <c:v>2.0359946166018008E-6</c:v>
                </c:pt>
                <c:pt idx="168">
                  <c:v>2.1057308125796915E-6</c:v>
                </c:pt>
                <c:pt idx="169">
                  <c:v>2.1057308125796915E-6</c:v>
                </c:pt>
                <c:pt idx="170">
                  <c:v>2.1705425692575141E-6</c:v>
                </c:pt>
                <c:pt idx="171">
                  <c:v>2.1705425692575141E-6</c:v>
                </c:pt>
                <c:pt idx="172">
                  <c:v>2.2292945502592072E-6</c:v>
                </c:pt>
                <c:pt idx="173">
                  <c:v>2.2292945502592072E-6</c:v>
                </c:pt>
                <c:pt idx="174">
                  <c:v>2.2809400213609134E-6</c:v>
                </c:pt>
                <c:pt idx="175">
                  <c:v>2.2809400213609134E-6</c:v>
                </c:pt>
                <c:pt idx="176">
                  <c:v>2.3245473683167164E-6</c:v>
                </c:pt>
                <c:pt idx="177">
                  <c:v>2.3245473683167164E-6</c:v>
                </c:pt>
                <c:pt idx="178">
                  <c:v>2.3593229640482888E-6</c:v>
                </c:pt>
                <c:pt idx="179">
                  <c:v>2.3593229640482888E-6</c:v>
                </c:pt>
                <c:pt idx="180">
                  <c:v>2.3846300244401552E-6</c:v>
                </c:pt>
                <c:pt idx="181">
                  <c:v>2.3846300244401552E-6</c:v>
                </c:pt>
                <c:pt idx="182">
                  <c:v>2.4000032780819523E-6</c:v>
                </c:pt>
                <c:pt idx="183">
                  <c:v>2.4000032780819523E-6</c:v>
                </c:pt>
                <c:pt idx="184">
                  <c:v>2.4051594061217929E-6</c:v>
                </c:pt>
                <c:pt idx="185">
                  <c:v>2.4051594061217929E-6</c:v>
                </c:pt>
                <c:pt idx="186">
                  <c:v>2.4000032780819523E-6</c:v>
                </c:pt>
                <c:pt idx="187">
                  <c:v>2.4000032780819523E-6</c:v>
                </c:pt>
                <c:pt idx="188">
                  <c:v>2.3846300244401552E-6</c:v>
                </c:pt>
                <c:pt idx="189">
                  <c:v>2.3846300244401552E-6</c:v>
                </c:pt>
                <c:pt idx="190">
                  <c:v>2.3593229640482888E-6</c:v>
                </c:pt>
                <c:pt idx="191">
                  <c:v>2.3593229640482888E-6</c:v>
                </c:pt>
                <c:pt idx="192">
                  <c:v>2.3245473683167169E-6</c:v>
                </c:pt>
                <c:pt idx="193">
                  <c:v>2.3245473683167169E-6</c:v>
                </c:pt>
                <c:pt idx="194">
                  <c:v>2.2809400213609138E-6</c:v>
                </c:pt>
                <c:pt idx="195">
                  <c:v>2.2809400213609138E-6</c:v>
                </c:pt>
                <c:pt idx="196">
                  <c:v>2.2292945502592072E-6</c:v>
                </c:pt>
                <c:pt idx="197">
                  <c:v>2.2292945502592072E-6</c:v>
                </c:pt>
                <c:pt idx="198">
                  <c:v>2.1705425692575145E-6</c:v>
                </c:pt>
                <c:pt idx="199">
                  <c:v>2.1705425692575145E-6</c:v>
                </c:pt>
                <c:pt idx="200">
                  <c:v>2.1057308125796915E-6</c:v>
                </c:pt>
                <c:pt idx="201">
                  <c:v>2.1057308125796915E-6</c:v>
                </c:pt>
                <c:pt idx="202">
                  <c:v>2.0359946166018013E-6</c:v>
                </c:pt>
                <c:pt idx="203">
                  <c:v>2.0359946166018013E-6</c:v>
                </c:pt>
                <c:pt idx="204">
                  <c:v>1.9625283358909061E-6</c:v>
                </c:pt>
                <c:pt idx="205">
                  <c:v>1.9625283358909061E-6</c:v>
                </c:pt>
                <c:pt idx="206">
                  <c:v>1.905715498047669E-6</c:v>
                </c:pt>
                <c:pt idx="207">
                  <c:v>1.905715498047669E-6</c:v>
                </c:pt>
                <c:pt idx="208">
                  <c:v>1.8702964192330608E-6</c:v>
                </c:pt>
                <c:pt idx="209">
                  <c:v>1.8702964192330608E-6</c:v>
                </c:pt>
                <c:pt idx="210">
                  <c:v>1.7688325304890867E-6</c:v>
                </c:pt>
                <c:pt idx="211">
                  <c:v>1.7688325304890867E-6</c:v>
                </c:pt>
                <c:pt idx="212">
                  <c:v>1.6376283625997323E-6</c:v>
                </c:pt>
                <c:pt idx="213">
                  <c:v>1.6376283625997323E-6</c:v>
                </c:pt>
                <c:pt idx="214">
                  <c:v>1.5146426226760287E-6</c:v>
                </c:pt>
                <c:pt idx="215">
                  <c:v>1.5146426226760287E-6</c:v>
                </c:pt>
                <c:pt idx="216">
                  <c:v>1.4031066888046668E-6</c:v>
                </c:pt>
                <c:pt idx="217">
                  <c:v>1.4031066888046668E-6</c:v>
                </c:pt>
                <c:pt idx="218">
                  <c:v>1.3053772728269235E-6</c:v>
                </c:pt>
                <c:pt idx="219">
                  <c:v>1.3053772728269235E-6</c:v>
                </c:pt>
                <c:pt idx="220">
                  <c:v>1.2228772605345361E-6</c:v>
                </c:pt>
                <c:pt idx="221">
                  <c:v>1.2228772605345361E-6</c:v>
                </c:pt>
                <c:pt idx="222">
                  <c:v>1.1561762585465877E-6</c:v>
                </c:pt>
                <c:pt idx="223">
                  <c:v>1.1561762585465877E-6</c:v>
                </c:pt>
                <c:pt idx="224">
                  <c:v>1.1051848000313992E-6</c:v>
                </c:pt>
                <c:pt idx="225">
                  <c:v>1.1051848000313992E-6</c:v>
                </c:pt>
                <c:pt idx="226">
                  <c:v>1.0694180362321652E-6</c:v>
                </c:pt>
                <c:pt idx="227">
                  <c:v>1.0694180362321652E-6</c:v>
                </c:pt>
                <c:pt idx="228">
                  <c:v>1.0482758692323742E-6</c:v>
                </c:pt>
                <c:pt idx="229">
                  <c:v>1.0482758692323742E-6</c:v>
                </c:pt>
                <c:pt idx="230">
                  <c:v>1.04128730121217E-6</c:v>
                </c:pt>
                <c:pt idx="231">
                  <c:v>1.04128730121217E-6</c:v>
                </c:pt>
                <c:pt idx="232">
                  <c:v>1.0482758692323742E-6</c:v>
                </c:pt>
                <c:pt idx="233">
                  <c:v>1.0482758692323742E-6</c:v>
                </c:pt>
                <c:pt idx="234">
                  <c:v>1.0694180362321652E-6</c:v>
                </c:pt>
                <c:pt idx="235">
                  <c:v>1.0694180362321652E-6</c:v>
                </c:pt>
                <c:pt idx="236">
                  <c:v>1.105184800031399E-6</c:v>
                </c:pt>
                <c:pt idx="237">
                  <c:v>1.105184800031399E-6</c:v>
                </c:pt>
                <c:pt idx="238">
                  <c:v>1.1561762585465877E-6</c:v>
                </c:pt>
                <c:pt idx="239">
                  <c:v>1.1561762585465877E-6</c:v>
                </c:pt>
                <c:pt idx="240">
                  <c:v>1.2228772605345359E-6</c:v>
                </c:pt>
                <c:pt idx="241">
                  <c:v>1.2228772605345359E-6</c:v>
                </c:pt>
                <c:pt idx="242">
                  <c:v>1.3053772728269231E-6</c:v>
                </c:pt>
                <c:pt idx="243">
                  <c:v>1.3053772728269231E-6</c:v>
                </c:pt>
                <c:pt idx="244">
                  <c:v>1.4031066888046663E-6</c:v>
                </c:pt>
                <c:pt idx="245">
                  <c:v>1.4031066888046663E-6</c:v>
                </c:pt>
                <c:pt idx="246">
                  <c:v>1.5146426226760279E-6</c:v>
                </c:pt>
                <c:pt idx="247">
                  <c:v>1.5146426226760279E-6</c:v>
                </c:pt>
                <c:pt idx="248">
                  <c:v>1.6376283625997315E-6</c:v>
                </c:pt>
                <c:pt idx="249">
                  <c:v>1.6376283625997315E-6</c:v>
                </c:pt>
                <c:pt idx="250">
                  <c:v>1.7688325304890855E-6</c:v>
                </c:pt>
                <c:pt idx="251">
                  <c:v>1.7688325304890855E-6</c:v>
                </c:pt>
                <c:pt idx="252">
                  <c:v>1.8702964192330608E-6</c:v>
                </c:pt>
                <c:pt idx="253">
                  <c:v>1.8702964192330608E-6</c:v>
                </c:pt>
                <c:pt idx="254">
                  <c:v>1.905715498047669E-6</c:v>
                </c:pt>
                <c:pt idx="255">
                  <c:v>1.905715498047669E-6</c:v>
                </c:pt>
                <c:pt idx="256">
                  <c:v>1.9625283358909057E-6</c:v>
                </c:pt>
                <c:pt idx="257">
                  <c:v>1.9625283358909057E-6</c:v>
                </c:pt>
                <c:pt idx="258">
                  <c:v>2.0359946166018008E-6</c:v>
                </c:pt>
                <c:pt idx="259">
                  <c:v>2.0359946166018008E-6</c:v>
                </c:pt>
                <c:pt idx="260">
                  <c:v>2.1057308125796915E-6</c:v>
                </c:pt>
                <c:pt idx="261">
                  <c:v>2.1057308125796915E-6</c:v>
                </c:pt>
                <c:pt idx="262">
                  <c:v>2.1705425692575141E-6</c:v>
                </c:pt>
                <c:pt idx="263">
                  <c:v>2.1705425692575141E-6</c:v>
                </c:pt>
                <c:pt idx="264">
                  <c:v>2.2292945502592072E-6</c:v>
                </c:pt>
                <c:pt idx="265">
                  <c:v>2.2292945502592072E-6</c:v>
                </c:pt>
                <c:pt idx="266">
                  <c:v>2.2809400213609134E-6</c:v>
                </c:pt>
                <c:pt idx="267">
                  <c:v>2.2809400213609134E-6</c:v>
                </c:pt>
                <c:pt idx="268">
                  <c:v>2.3245473683167164E-6</c:v>
                </c:pt>
                <c:pt idx="269">
                  <c:v>2.3245473683167164E-6</c:v>
                </c:pt>
                <c:pt idx="270">
                  <c:v>2.3593229640482888E-6</c:v>
                </c:pt>
                <c:pt idx="271">
                  <c:v>2.3593229640482888E-6</c:v>
                </c:pt>
                <c:pt idx="272">
                  <c:v>2.3846300244401552E-6</c:v>
                </c:pt>
                <c:pt idx="273">
                  <c:v>2.3846300244401552E-6</c:v>
                </c:pt>
                <c:pt idx="274">
                  <c:v>2.4000032780819523E-6</c:v>
                </c:pt>
                <c:pt idx="275">
                  <c:v>2.4000032780819523E-6</c:v>
                </c:pt>
                <c:pt idx="276">
                  <c:v>2.4051594061217929E-6</c:v>
                </c:pt>
                <c:pt idx="277">
                  <c:v>2.4051594061217929E-6</c:v>
                </c:pt>
                <c:pt idx="278">
                  <c:v>2.4000032780819523E-6</c:v>
                </c:pt>
                <c:pt idx="279">
                  <c:v>2.4000032780819523E-6</c:v>
                </c:pt>
                <c:pt idx="280">
                  <c:v>2.3846300244401552E-6</c:v>
                </c:pt>
                <c:pt idx="281">
                  <c:v>2.3846300244401552E-6</c:v>
                </c:pt>
                <c:pt idx="282">
                  <c:v>2.3593229640482888E-6</c:v>
                </c:pt>
                <c:pt idx="283">
                  <c:v>2.3593229640482888E-6</c:v>
                </c:pt>
                <c:pt idx="284">
                  <c:v>2.3245473683167169E-6</c:v>
                </c:pt>
                <c:pt idx="285">
                  <c:v>2.3245473683167169E-6</c:v>
                </c:pt>
                <c:pt idx="286">
                  <c:v>2.2809400213609138E-6</c:v>
                </c:pt>
                <c:pt idx="287">
                  <c:v>2.2809400213609138E-6</c:v>
                </c:pt>
                <c:pt idx="288">
                  <c:v>2.2292945502592072E-6</c:v>
                </c:pt>
                <c:pt idx="289">
                  <c:v>2.2292945502592072E-6</c:v>
                </c:pt>
                <c:pt idx="290">
                  <c:v>2.1705425692575145E-6</c:v>
                </c:pt>
                <c:pt idx="291">
                  <c:v>2.1705425692575145E-6</c:v>
                </c:pt>
                <c:pt idx="292">
                  <c:v>2.1057308125796915E-6</c:v>
                </c:pt>
                <c:pt idx="293">
                  <c:v>2.1057308125796915E-6</c:v>
                </c:pt>
                <c:pt idx="294">
                  <c:v>2.0359946166018013E-6</c:v>
                </c:pt>
                <c:pt idx="295">
                  <c:v>2.0359946166018013E-6</c:v>
                </c:pt>
                <c:pt idx="296">
                  <c:v>1.9625283358909061E-6</c:v>
                </c:pt>
                <c:pt idx="297">
                  <c:v>1.9625283358909061E-6</c:v>
                </c:pt>
                <c:pt idx="298">
                  <c:v>1.905715498047669E-6</c:v>
                </c:pt>
                <c:pt idx="299">
                  <c:v>1.905715498047669E-6</c:v>
                </c:pt>
                <c:pt idx="300">
                  <c:v>1.874455242704308E-6</c:v>
                </c:pt>
                <c:pt idx="301">
                  <c:v>1.874455242704308E-6</c:v>
                </c:pt>
                <c:pt idx="302">
                  <c:v>1.7854786996445372E-6</c:v>
                </c:pt>
                <c:pt idx="303">
                  <c:v>1.7854786996445372E-6</c:v>
                </c:pt>
                <c:pt idx="304">
                  <c:v>1.6695395464689015E-6</c:v>
                </c:pt>
                <c:pt idx="305">
                  <c:v>1.6695395464689015E-6</c:v>
                </c:pt>
                <c:pt idx="306">
                  <c:v>1.5590903317549217E-6</c:v>
                </c:pt>
                <c:pt idx="307">
                  <c:v>1.5590903317549217E-6</c:v>
                </c:pt>
                <c:pt idx="308">
                  <c:v>1.4563927768767517E-6</c:v>
                </c:pt>
                <c:pt idx="309">
                  <c:v>1.4563927768767517E-6</c:v>
                </c:pt>
                <c:pt idx="310">
                  <c:v>1.3631913324783299E-6</c:v>
                </c:pt>
                <c:pt idx="311">
                  <c:v>1.3631913324783299E-6</c:v>
                </c:pt>
                <c:pt idx="312">
                  <c:v>1.2806349074061118E-6</c:v>
                </c:pt>
                <c:pt idx="313">
                  <c:v>1.2806349074061118E-6</c:v>
                </c:pt>
                <c:pt idx="314">
                  <c:v>1.2092600519134664E-6</c:v>
                </c:pt>
                <c:pt idx="315">
                  <c:v>1.2092600519134664E-6</c:v>
                </c:pt>
                <c:pt idx="316">
                  <c:v>1.1490310281614212E-6</c:v>
                </c:pt>
                <c:pt idx="317">
                  <c:v>1.1490310281614212E-6</c:v>
                </c:pt>
                <c:pt idx="318">
                  <c:v>1.0994252290501002E-6</c:v>
                </c:pt>
                <c:pt idx="319">
                  <c:v>1.0994252290501002E-6</c:v>
                </c:pt>
                <c:pt idx="320">
                  <c:v>1.0595480126950971E-6</c:v>
                </c:pt>
                <c:pt idx="321">
                  <c:v>1.0595480126950971E-6</c:v>
                </c:pt>
                <c:pt idx="322">
                  <c:v>1.0282596440547068E-6</c:v>
                </c:pt>
                <c:pt idx="323">
                  <c:v>1.0282596440547068E-6</c:v>
                </c:pt>
                <c:pt idx="324">
                  <c:v>1.0042984114302522E-6</c:v>
                </c:pt>
                <c:pt idx="325">
                  <c:v>1.0042984114302522E-6</c:v>
                </c:pt>
                <c:pt idx="326">
                  <c:v>9.8638713150677473E-7</c:v>
                </c:pt>
                <c:pt idx="327">
                  <c:v>9.8638713150677473E-7</c:v>
                </c:pt>
                <c:pt idx="328">
                  <c:v>9.7331332183768107E-7</c:v>
                </c:pt>
                <c:pt idx="329">
                  <c:v>9.7331332183768107E-7</c:v>
                </c:pt>
                <c:pt idx="330">
                  <c:v>9.6397365084717941E-7</c:v>
                </c:pt>
                <c:pt idx="331">
                  <c:v>9.6397365084717941E-7</c:v>
                </c:pt>
                <c:pt idx="332">
                  <c:v>9.5737014508030862E-7</c:v>
                </c:pt>
                <c:pt idx="333">
                  <c:v>9.5737014508030862E-7</c:v>
                </c:pt>
                <c:pt idx="334">
                  <c:v>9.5254895618807394E-7</c:v>
                </c:pt>
                <c:pt idx="335">
                  <c:v>9.5254895618807394E-7</c:v>
                </c:pt>
                <c:pt idx="336">
                  <c:v>9.4850833890118585E-7</c:v>
                </c:pt>
                <c:pt idx="337">
                  <c:v>9.4850833890118585E-7</c:v>
                </c:pt>
                <c:pt idx="338">
                  <c:v>9.4418091755775491E-7</c:v>
                </c:pt>
                <c:pt idx="339">
                  <c:v>9.4418091755775491E-7</c:v>
                </c:pt>
                <c:pt idx="340">
                  <c:v>9.386364055666747E-7</c:v>
                </c:pt>
                <c:pt idx="341">
                  <c:v>9.386364055666747E-7</c:v>
                </c:pt>
                <c:pt idx="342">
                  <c:v>9.3150431278577433E-7</c:v>
                </c:pt>
                <c:pt idx="343">
                  <c:v>9.3150431278577433E-7</c:v>
                </c:pt>
                <c:pt idx="344">
                  <c:v>9.2539513361313908E-7</c:v>
                </c:pt>
                <c:pt idx="345">
                  <c:v>9.2539513361313908E-7</c:v>
                </c:pt>
                <c:pt idx="346">
                  <c:v>9.3941811966490544E-7</c:v>
                </c:pt>
                <c:pt idx="347">
                  <c:v>9.3941811966490544E-7</c:v>
                </c:pt>
                <c:pt idx="348">
                  <c:v>9.4251032660967923E-7</c:v>
                </c:pt>
                <c:pt idx="349">
                  <c:v>9.4251032660967923E-7</c:v>
                </c:pt>
                <c:pt idx="350">
                  <c:v>9.4827537103797641E-7</c:v>
                </c:pt>
                <c:pt idx="351">
                  <c:v>9.4827537103797641E-7</c:v>
                </c:pt>
                <c:pt idx="352">
                  <c:v>9.5634024560148851E-7</c:v>
                </c:pt>
                <c:pt idx="353">
                  <c:v>9.5634024560148851E-7</c:v>
                </c:pt>
                <c:pt idx="354">
                  <c:v>9.6722324130125823E-7</c:v>
                </c:pt>
                <c:pt idx="355">
                  <c:v>9.6722324130125823E-7</c:v>
                </c:pt>
                <c:pt idx="356">
                  <c:v>9.814984764354459E-7</c:v>
                </c:pt>
                <c:pt idx="357">
                  <c:v>9.814984764354459E-7</c:v>
                </c:pt>
                <c:pt idx="358">
                  <c:v>9.9978682083002282E-7</c:v>
                </c:pt>
                <c:pt idx="359">
                  <c:v>9.9978682083002282E-7</c:v>
                </c:pt>
                <c:pt idx="360">
                  <c:v>1.0227419053847645E-6</c:v>
                </c:pt>
                <c:pt idx="361">
                  <c:v>1.0227419053847645E-6</c:v>
                </c:pt>
                <c:pt idx="362">
                  <c:v>1.0510309316474434E-6</c:v>
                </c:pt>
                <c:pt idx="363">
                  <c:v>1.0510309316474434E-6</c:v>
                </c:pt>
                <c:pt idx="364">
                  <c:v>1.0853103688899961E-6</c:v>
                </c:pt>
                <c:pt idx="365">
                  <c:v>1.0853103688899961E-6</c:v>
                </c:pt>
                <c:pt idx="366">
                  <c:v>1.1261970806336739E-6</c:v>
                </c:pt>
                <c:pt idx="367">
                  <c:v>1.1261970806336739E-6</c:v>
                </c:pt>
                <c:pt idx="368">
                  <c:v>1.1742359258475487E-6</c:v>
                </c:pt>
                <c:pt idx="369">
                  <c:v>1.1742359258475487E-6</c:v>
                </c:pt>
                <c:pt idx="370">
                  <c:v>1.2298653857273019E-6</c:v>
                </c:pt>
                <c:pt idx="371">
                  <c:v>1.2298653857273019E-6</c:v>
                </c:pt>
                <c:pt idx="372">
                  <c:v>1.2933832188811225E-6</c:v>
                </c:pt>
                <c:pt idx="373">
                  <c:v>1.2933832188811225E-6</c:v>
                </c:pt>
                <c:pt idx="374">
                  <c:v>1.3649144859500582E-6</c:v>
                </c:pt>
                <c:pt idx="375">
                  <c:v>1.3649144859500582E-6</c:v>
                </c:pt>
                <c:pt idx="376">
                  <c:v>1.4443844531018287E-6</c:v>
                </c:pt>
                <c:pt idx="377">
                  <c:v>1.4443844531018287E-6</c:v>
                </c:pt>
                <c:pt idx="378">
                  <c:v>1.5314988386783147E-6</c:v>
                </c:pt>
                <c:pt idx="379">
                  <c:v>1.5314988386783147E-6</c:v>
                </c:pt>
                <c:pt idx="380">
                  <c:v>1.6257335849128546E-6</c:v>
                </c:pt>
                <c:pt idx="381">
                  <c:v>1.6257335849128546E-6</c:v>
                </c:pt>
                <c:pt idx="382">
                  <c:v>1.7263358195242468E-6</c:v>
                </c:pt>
                <c:pt idx="383">
                  <c:v>1.7263358195242468E-6</c:v>
                </c:pt>
                <c:pt idx="384">
                  <c:v>1.8323369515067795E-6</c:v>
                </c:pt>
                <c:pt idx="385">
                  <c:v>1.8323369515067795E-6</c:v>
                </c:pt>
                <c:pt idx="386">
                  <c:v>1.9425779806858671E-6</c:v>
                </c:pt>
                <c:pt idx="387">
                  <c:v>1.9425779806858671E-6</c:v>
                </c:pt>
                <c:pt idx="388">
                  <c:v>2.0557461731029464E-6</c:v>
                </c:pt>
                <c:pt idx="389">
                  <c:v>2.0557461731029464E-6</c:v>
                </c:pt>
                <c:pt idx="390">
                  <c:v>2.1416915105999112E-6</c:v>
                </c:pt>
                <c:pt idx="391">
                  <c:v>2.1416915105999112E-6</c:v>
                </c:pt>
                <c:pt idx="392">
                  <c:v>2.1971106880824975E-6</c:v>
                </c:pt>
                <c:pt idx="393">
                  <c:v>2.1971106880824975E-6</c:v>
                </c:pt>
                <c:pt idx="394">
                  <c:v>2.2782486104769867E-6</c:v>
                </c:pt>
                <c:pt idx="395">
                  <c:v>2.2782486104769867E-6</c:v>
                </c:pt>
                <c:pt idx="396">
                  <c:v>2.3852650732642888E-6</c:v>
                </c:pt>
                <c:pt idx="397">
                  <c:v>2.3852650732642888E-6</c:v>
                </c:pt>
                <c:pt idx="398">
                  <c:v>2.4898599774308442E-6</c:v>
                </c:pt>
                <c:pt idx="399">
                  <c:v>2.4898599774308442E-6</c:v>
                </c:pt>
                <c:pt idx="400">
                  <c:v>2.5909248667592137E-6</c:v>
                </c:pt>
                <c:pt idx="401">
                  <c:v>2.5909248667592137E-6</c:v>
                </c:pt>
                <c:pt idx="402">
                  <c:v>2.6874675197525563E-6</c:v>
                </c:pt>
                <c:pt idx="403">
                  <c:v>2.6874675197525563E-6</c:v>
                </c:pt>
                <c:pt idx="404">
                  <c:v>2.7786406114716373E-6</c:v>
                </c:pt>
                <c:pt idx="405">
                  <c:v>2.7786406114716373E-6</c:v>
                </c:pt>
                <c:pt idx="406">
                  <c:v>2.8637622350242462E-6</c:v>
                </c:pt>
                <c:pt idx="407">
                  <c:v>2.8637622350242462E-6</c:v>
                </c:pt>
                <c:pt idx="408">
                  <c:v>2.9423266333494042E-6</c:v>
                </c:pt>
                <c:pt idx="409">
                  <c:v>2.9423266333494042E-6</c:v>
                </c:pt>
                <c:pt idx="410">
                  <c:v>3.0140020360055879E-6</c:v>
                </c:pt>
                <c:pt idx="411">
                  <c:v>3.0140020360055879E-6</c:v>
                </c:pt>
                <c:pt idx="412">
                  <c:v>3.0786078399426882E-6</c:v>
                </c:pt>
                <c:pt idx="413">
                  <c:v>3.0786078399426882E-6</c:v>
                </c:pt>
                <c:pt idx="414">
                  <c:v>3.1360529137616047E-6</c:v>
                </c:pt>
                <c:pt idx="415">
                  <c:v>3.1360529137616047E-6</c:v>
                </c:pt>
                <c:pt idx="416">
                  <c:v>3.1861996687455641E-6</c:v>
                </c:pt>
                <c:pt idx="417">
                  <c:v>3.1861996687455641E-6</c:v>
                </c:pt>
                <c:pt idx="418">
                  <c:v>3.2286022191968382E-6</c:v>
                </c:pt>
                <c:pt idx="419">
                  <c:v>3.2286022191968382E-6</c:v>
                </c:pt>
                <c:pt idx="420">
                  <c:v>3.2620762149381038E-6</c:v>
                </c:pt>
                <c:pt idx="421">
                  <c:v>3.2620762149381038E-6</c:v>
                </c:pt>
                <c:pt idx="422">
                  <c:v>3.2841340973159013E-6</c:v>
                </c:pt>
                <c:pt idx="423">
                  <c:v>3.2841340973159013E-6</c:v>
                </c:pt>
                <c:pt idx="424">
                  <c:v>3.2904899653385599E-6</c:v>
                </c:pt>
                <c:pt idx="425">
                  <c:v>3.2904899653385599E-6</c:v>
                </c:pt>
                <c:pt idx="426">
                  <c:v>3.2750519701903218E-6</c:v>
                </c:pt>
                <c:pt idx="427">
                  <c:v>3.2750519701903218E-6</c:v>
                </c:pt>
                <c:pt idx="428">
                  <c:v>3.2309007952452701E-6</c:v>
                </c:pt>
                <c:pt idx="429">
                  <c:v>3.2309007952452701E-6</c:v>
                </c:pt>
                <c:pt idx="430">
                  <c:v>3.1524694663931227E-6</c:v>
                </c:pt>
                <c:pt idx="431">
                  <c:v>3.1524694663931227E-6</c:v>
                </c:pt>
                <c:pt idx="432">
                  <c:v>3.0384360731760574E-6</c:v>
                </c:pt>
                <c:pt idx="433">
                  <c:v>3.0384360731760574E-6</c:v>
                </c:pt>
                <c:pt idx="434">
                  <c:v>2.8940578400571907E-6</c:v>
                </c:pt>
                <c:pt idx="435">
                  <c:v>2.8940578400571907E-6</c:v>
                </c:pt>
                <c:pt idx="436">
                  <c:v>2.772948496864918E-6</c:v>
                </c:pt>
                <c:pt idx="437">
                  <c:v>2.772948496864918E-6</c:v>
                </c:pt>
                <c:pt idx="438">
                  <c:v>2.7198662854725101E-6</c:v>
                </c:pt>
                <c:pt idx="439">
                  <c:v>2.7198662854725101E-6</c:v>
                </c:pt>
                <c:pt idx="440">
                  <c:v>2.6496003878244733E-6</c:v>
                </c:pt>
                <c:pt idx="441">
                  <c:v>2.6496003878244733E-6</c:v>
                </c:pt>
                <c:pt idx="442">
                  <c:v>2.5793482334753735E-6</c:v>
                </c:pt>
                <c:pt idx="443">
                  <c:v>2.5793482334753735E-6</c:v>
                </c:pt>
                <c:pt idx="444">
                  <c:v>2.5091556373957901E-6</c:v>
                </c:pt>
                <c:pt idx="445">
                  <c:v>2.5091556373957901E-6</c:v>
                </c:pt>
                <c:pt idx="446">
                  <c:v>2.4391349780240453E-6</c:v>
                </c:pt>
                <c:pt idx="447">
                  <c:v>2.4391349780240453E-6</c:v>
                </c:pt>
                <c:pt idx="448">
                  <c:v>2.3695198721662014E-6</c:v>
                </c:pt>
                <c:pt idx="449">
                  <c:v>2.3695198721662014E-6</c:v>
                </c:pt>
                <c:pt idx="450">
                  <c:v>2.3007661947574838E-6</c:v>
                </c:pt>
                <c:pt idx="451">
                  <c:v>2.3007661947574838E-6</c:v>
                </c:pt>
                <c:pt idx="452">
                  <c:v>2.2337565362949153E-6</c:v>
                </c:pt>
                <c:pt idx="453">
                  <c:v>2.2337565362949153E-6</c:v>
                </c:pt>
                <c:pt idx="454">
                  <c:v>2.1702613482464512E-6</c:v>
                </c:pt>
                <c:pt idx="455">
                  <c:v>2.1702613482464512E-6</c:v>
                </c:pt>
                <c:pt idx="456">
                  <c:v>2.1141480010057634E-6</c:v>
                </c:pt>
                <c:pt idx="457">
                  <c:v>2.1141480010057634E-6</c:v>
                </c:pt>
                <c:pt idx="458">
                  <c:v>2.0753595302827892E-6</c:v>
                </c:pt>
                <c:pt idx="459">
                  <c:v>2.0753595302827892E-6</c:v>
                </c:pt>
                <c:pt idx="460">
                  <c:v>2.0700000000000001E-6</c:v>
                </c:pt>
                <c:pt idx="461">
                  <c:v>2.0700000000000001E-6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E-401B-A502-BADEAF7FE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0.0000E+00</c:formatCode>
                <c:ptCount val="1637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7.0543244531500002E-2</c:v>
                </c:pt>
                <c:pt idx="217">
                  <c:v>7.1248676976799999E-2</c:v>
                </c:pt>
                <c:pt idx="218">
                  <c:v>7.1961163746599999E-2</c:v>
                </c:pt>
                <c:pt idx="219">
                  <c:v>7.2680775384100005E-2</c:v>
                </c:pt>
                <c:pt idx="220">
                  <c:v>7.3407583137899995E-2</c:v>
                </c:pt>
                <c:pt idx="221">
                  <c:v>7.4141658969300001E-2</c:v>
                </c:pt>
                <c:pt idx="222">
                  <c:v>7.4883075559000006E-2</c:v>
                </c:pt>
                <c:pt idx="223">
                  <c:v>7.7152107631500003E-2</c:v>
                </c:pt>
                <c:pt idx="224">
                  <c:v>8.1087640507100003E-2</c:v>
                </c:pt>
                <c:pt idx="225">
                  <c:v>8.1898516912200001E-2</c:v>
                </c:pt>
                <c:pt idx="226">
                  <c:v>8.2717502081300007E-2</c:v>
                </c:pt>
                <c:pt idx="227">
                  <c:v>8.3544677102100007E-2</c:v>
                </c:pt>
                <c:pt idx="228">
                  <c:v>8.4380123873099996E-2</c:v>
                </c:pt>
                <c:pt idx="229">
                  <c:v>8.5223925111800006E-2</c:v>
                </c:pt>
                <c:pt idx="230">
                  <c:v>8.6076164363000002E-2</c:v>
                </c:pt>
                <c:pt idx="231">
                  <c:v>8.6936926006599996E-2</c:v>
                </c:pt>
                <c:pt idx="232">
                  <c:v>8.7806295266700002E-2</c:v>
                </c:pt>
                <c:pt idx="233">
                  <c:v>8.86843582193E-2</c:v>
                </c:pt>
                <c:pt idx="234">
                  <c:v>8.9571201801499994E-2</c:v>
                </c:pt>
                <c:pt idx="235">
                  <c:v>9.0466913819500006E-2</c:v>
                </c:pt>
                <c:pt idx="236">
                  <c:v>9.1371582957699995E-2</c:v>
                </c:pt>
                <c:pt idx="237">
                  <c:v>9.2285298787300005E-2</c:v>
                </c:pt>
                <c:pt idx="238">
                  <c:v>9.3208151775200004E-2</c:v>
                </c:pt>
                <c:pt idx="239">
                  <c:v>9.41402332929E-2</c:v>
                </c:pt>
                <c:pt idx="240">
                  <c:v>9.5081635625899996E-2</c:v>
                </c:pt>
                <c:pt idx="241">
                  <c:v>9.6032451982100003E-2</c:v>
                </c:pt>
                <c:pt idx="242">
                  <c:v>9.6992776501899997E-2</c:v>
                </c:pt>
                <c:pt idx="243">
                  <c:v>9.7962704267000003E-2</c:v>
                </c:pt>
                <c:pt idx="244">
                  <c:v>9.8942331309600007E-2</c:v>
                </c:pt>
                <c:pt idx="245">
                  <c:v>9.99317546227E-2</c:v>
                </c:pt>
                <c:pt idx="246">
                  <c:v>0.10093107216900001</c:v>
                </c:pt>
                <c:pt idx="247">
                  <c:v>0.10194038289100001</c:v>
                </c:pt>
                <c:pt idx="248">
                  <c:v>0.10295978672</c:v>
                </c:pt>
                <c:pt idx="249">
                  <c:v>0.10398938458699999</c:v>
                </c:pt>
                <c:pt idx="250">
                  <c:v>0.105029278433</c:v>
                </c:pt>
                <c:pt idx="251">
                  <c:v>0.106079571217</c:v>
                </c:pt>
                <c:pt idx="252">
                  <c:v>0.107140366929</c:v>
                </c:pt>
                <c:pt idx="253">
                  <c:v>0.108211770598</c:v>
                </c:pt>
                <c:pt idx="254">
                  <c:v>0.109293888304</c:v>
                </c:pt>
                <c:pt idx="255">
                  <c:v>0.11038682718700001</c:v>
                </c:pt>
                <c:pt idx="256">
                  <c:v>0.11149069545900001</c:v>
                </c:pt>
                <c:pt idx="257">
                  <c:v>0.112605602414</c:v>
                </c:pt>
                <c:pt idx="258">
                  <c:v>0.113731658438</c:v>
                </c:pt>
                <c:pt idx="259">
                  <c:v>0.114868975022</c:v>
                </c:pt>
                <c:pt idx="260">
                  <c:v>0.116017664773</c:v>
                </c:pt>
                <c:pt idx="261">
                  <c:v>0.11717784142</c:v>
                </c:pt>
                <c:pt idx="262">
                  <c:v>0.118349619835</c:v>
                </c:pt>
                <c:pt idx="263">
                  <c:v>0.119533116033</c:v>
                </c:pt>
                <c:pt idx="264">
                  <c:v>0.12072844719299999</c:v>
                </c:pt>
                <c:pt idx="265">
                  <c:v>0.12193573166500001</c:v>
                </c:pt>
                <c:pt idx="266">
                  <c:v>0.123155088982</c:v>
                </c:pt>
                <c:pt idx="267">
                  <c:v>0.12438663987199999</c:v>
                </c:pt>
                <c:pt idx="268">
                  <c:v>0.12563050627</c:v>
                </c:pt>
                <c:pt idx="269">
                  <c:v>0.126886811333</c:v>
                </c:pt>
                <c:pt idx="270">
                  <c:v>0.12815567944600001</c:v>
                </c:pt>
                <c:pt idx="271">
                  <c:v>0.12943723624100001</c:v>
                </c:pt>
                <c:pt idx="272">
                  <c:v>0.13073160860300001</c:v>
                </c:pt>
                <c:pt idx="273">
                  <c:v>0.132038924689</c:v>
                </c:pt>
                <c:pt idx="274">
                  <c:v>0.13335931393600001</c:v>
                </c:pt>
                <c:pt idx="275">
                  <c:v>0.13469290707600001</c:v>
                </c:pt>
                <c:pt idx="276">
                  <c:v>0.13603983614599999</c:v>
                </c:pt>
                <c:pt idx="277">
                  <c:v>0.13740023450800001</c:v>
                </c:pt>
                <c:pt idx="278">
                  <c:v>0.138774236853</c:v>
                </c:pt>
                <c:pt idx="279">
                  <c:v>0.14016197922099999</c:v>
                </c:pt>
                <c:pt idx="280">
                  <c:v>0.14156359901400001</c:v>
                </c:pt>
                <c:pt idx="281">
                  <c:v>0.142979235004</c:v>
                </c:pt>
                <c:pt idx="282">
                  <c:v>0.14440902735399999</c:v>
                </c:pt>
                <c:pt idx="283">
                  <c:v>0.14585311762700001</c:v>
                </c:pt>
                <c:pt idx="284">
                  <c:v>0.14731164880399999</c:v>
                </c:pt>
                <c:pt idx="285">
                  <c:v>0.14878476529199999</c:v>
                </c:pt>
                <c:pt idx="286">
                  <c:v>0.15027261294499999</c:v>
                </c:pt>
                <c:pt idx="287">
                  <c:v>0.15177533907400001</c:v>
                </c:pt>
                <c:pt idx="288">
                  <c:v>0.153293092465</c:v>
                </c:pt>
                <c:pt idx="289">
                  <c:v>0.15482602338900001</c:v>
                </c:pt>
                <c:pt idx="290">
                  <c:v>0.15637428362299999</c:v>
                </c:pt>
                <c:pt idx="291">
                  <c:v>0.15793802645900001</c:v>
                </c:pt>
                <c:pt idx="292">
                  <c:v>0.159517406724</c:v>
                </c:pt>
                <c:pt idx="293">
                  <c:v>0.16111258079099999</c:v>
                </c:pt>
                <c:pt idx="294">
                  <c:v>0.16272370659900001</c:v>
                </c:pt>
                <c:pt idx="295">
                  <c:v>0.164350943665</c:v>
                </c:pt>
                <c:pt idx="296">
                  <c:v>0.16599445310200001</c:v>
                </c:pt>
                <c:pt idx="297">
                  <c:v>0.167654397633</c:v>
                </c:pt>
                <c:pt idx="298">
                  <c:v>0.169330941609</c:v>
                </c:pt>
                <c:pt idx="299">
                  <c:v>0.17102425102499999</c:v>
                </c:pt>
                <c:pt idx="300">
                  <c:v>0.17273449353600001</c:v>
                </c:pt>
                <c:pt idx="301">
                  <c:v>0.174461838471</c:v>
                </c:pt>
                <c:pt idx="302">
                  <c:v>0.176206456856</c:v>
                </c:pt>
                <c:pt idx="303">
                  <c:v>0.17796852142399999</c:v>
                </c:pt>
                <c:pt idx="304">
                  <c:v>0.17974820663800001</c:v>
                </c:pt>
                <c:pt idx="305">
                  <c:v>0.18154568870500001</c:v>
                </c:pt>
                <c:pt idx="306">
                  <c:v>0.18336114559200001</c:v>
                </c:pt>
                <c:pt idx="307">
                  <c:v>0.18519475704800001</c:v>
                </c:pt>
                <c:pt idx="308">
                  <c:v>0.18704670461799999</c:v>
                </c:pt>
                <c:pt idx="309">
                  <c:v>0.18891717166399999</c:v>
                </c:pt>
                <c:pt idx="310">
                  <c:v>0.190806343381</c:v>
                </c:pt>
                <c:pt idx="311">
                  <c:v>0.19271440681499999</c:v>
                </c:pt>
                <c:pt idx="312">
                  <c:v>0.194641550883</c:v>
                </c:pt>
                <c:pt idx="313">
                  <c:v>0.19658796639199999</c:v>
                </c:pt>
                <c:pt idx="314">
                  <c:v>0.19855384605599999</c:v>
                </c:pt>
                <c:pt idx="315">
                  <c:v>0.20053938451600001</c:v>
                </c:pt>
                <c:pt idx="316">
                  <c:v>0.20254477836199999</c:v>
                </c:pt>
                <c:pt idx="317">
                  <c:v>0.20457022614500001</c:v>
                </c:pt>
                <c:pt idx="318">
                  <c:v>0.20661592840699999</c:v>
                </c:pt>
                <c:pt idx="319">
                  <c:v>0.208682087691</c:v>
                </c:pt>
                <c:pt idx="320">
                  <c:v>0.21076890856800001</c:v>
                </c:pt>
                <c:pt idx="321">
                  <c:v>0.21287659765299999</c:v>
                </c:pt>
                <c:pt idx="322">
                  <c:v>0.21500536363</c:v>
                </c:pt>
                <c:pt idx="323">
                  <c:v>0.21715541726599999</c:v>
                </c:pt>
                <c:pt idx="324">
                  <c:v>0.21932697143900001</c:v>
                </c:pt>
                <c:pt idx="325">
                  <c:v>0.22152024115300001</c:v>
                </c:pt>
                <c:pt idx="326">
                  <c:v>0.223735443565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0.99345679910549234</c:v>
                </c:pt>
                <c:pt idx="1">
                  <c:v>0.9932859221365451</c:v>
                </c:pt>
                <c:pt idx="2">
                  <c:v>0.99310490492192471</c:v>
                </c:pt>
                <c:pt idx="3">
                  <c:v>0.99291246087977358</c:v>
                </c:pt>
                <c:pt idx="4">
                  <c:v>0.99270735110247987</c:v>
                </c:pt>
                <c:pt idx="5">
                  <c:v>0.99248830898735751</c:v>
                </c:pt>
                <c:pt idx="6">
                  <c:v>0.99225387360249051</c:v>
                </c:pt>
                <c:pt idx="7">
                  <c:v>0.9920022630578138</c:v>
                </c:pt>
                <c:pt idx="8">
                  <c:v>0.99173130583956604</c:v>
                </c:pt>
                <c:pt idx="9">
                  <c:v>0.99143897704308759</c:v>
                </c:pt>
                <c:pt idx="10">
                  <c:v>0.99112092705440857</c:v>
                </c:pt>
                <c:pt idx="11">
                  <c:v>0.99077385711838017</c:v>
                </c:pt>
                <c:pt idx="12">
                  <c:v>0.99039296938033528</c:v>
                </c:pt>
                <c:pt idx="13">
                  <c:v>0.98997222319873346</c:v>
                </c:pt>
                <c:pt idx="14">
                  <c:v>0.98950385104360072</c:v>
                </c:pt>
                <c:pt idx="15">
                  <c:v>0.98897758960199234</c:v>
                </c:pt>
                <c:pt idx="16">
                  <c:v>0.98837935774706243</c:v>
                </c:pt>
                <c:pt idx="17">
                  <c:v>0.98768860206458942</c:v>
                </c:pt>
                <c:pt idx="18">
                  <c:v>0.98643178422552891</c:v>
                </c:pt>
                <c:pt idx="19">
                  <c:v>0.98288060819033729</c:v>
                </c:pt>
                <c:pt idx="20">
                  <c:v>0.97113659709841382</c:v>
                </c:pt>
                <c:pt idx="21">
                  <c:v>0.93747322182293469</c:v>
                </c:pt>
                <c:pt idx="22">
                  <c:v>0.86200931878288822</c:v>
                </c:pt>
                <c:pt idx="23">
                  <c:v>0.73253935825003325</c:v>
                </c:pt>
                <c:pt idx="24">
                  <c:v>0.56208232553034221</c:v>
                </c:pt>
                <c:pt idx="25">
                  <c:v>0.38788705342096391</c:v>
                </c:pt>
                <c:pt idx="26">
                  <c:v>0.24625317266897154</c:v>
                </c:pt>
                <c:pt idx="27">
                  <c:v>0.15098586777565795</c:v>
                </c:pt>
                <c:pt idx="28">
                  <c:v>9.4581700624385964E-2</c:v>
                </c:pt>
                <c:pt idx="29">
                  <c:v>6.2661420889724748E-2</c:v>
                </c:pt>
                <c:pt idx="30">
                  <c:v>4.4047770143049336E-2</c:v>
                </c:pt>
                <c:pt idx="31">
                  <c:v>3.2588987145195154E-2</c:v>
                </c:pt>
                <c:pt idx="32">
                  <c:v>2.5140814211052753E-2</c:v>
                </c:pt>
                <c:pt idx="33">
                  <c:v>2.0191298594447096E-2</c:v>
                </c:pt>
                <c:pt idx="34">
                  <c:v>1.6915110862074371E-2</c:v>
                </c:pt>
                <c:pt idx="35">
                  <c:v>1.4800007254562649E-2</c:v>
                </c:pt>
                <c:pt idx="36">
                  <c:v>1.3507741255221705E-2</c:v>
                </c:pt>
                <c:pt idx="37">
                  <c:v>1.2805639678116236E-2</c:v>
                </c:pt>
                <c:pt idx="38">
                  <c:v>1.2528814610996367E-2</c:v>
                </c:pt>
                <c:pt idx="39">
                  <c:v>1.2557729900265938E-2</c:v>
                </c:pt>
                <c:pt idx="40">
                  <c:v>1.280417500012318E-2</c:v>
                </c:pt>
                <c:pt idx="41">
                  <c:v>1.3202139223090091E-2</c:v>
                </c:pt>
                <c:pt idx="42">
                  <c:v>1.3701681709962129E-2</c:v>
                </c:pt>
                <c:pt idx="43">
                  <c:v>1.4264703774558166E-2</c:v>
                </c:pt>
                <c:pt idx="44">
                  <c:v>1.4861967767965278E-2</c:v>
                </c:pt>
                <c:pt idx="45">
                  <c:v>1.5470206323442291E-2</c:v>
                </c:pt>
                <c:pt idx="46">
                  <c:v>1.6073637653506074E-2</c:v>
                </c:pt>
                <c:pt idx="47">
                  <c:v>1.6658052908291969E-2</c:v>
                </c:pt>
                <c:pt idx="48">
                  <c:v>1.721319815732799E-2</c:v>
                </c:pt>
                <c:pt idx="49">
                  <c:v>1.7731280487750016E-2</c:v>
                </c:pt>
                <c:pt idx="50">
                  <c:v>1.8206460427052911E-2</c:v>
                </c:pt>
                <c:pt idx="51">
                  <c:v>1.8634459063369406E-2</c:v>
                </c:pt>
                <c:pt idx="52">
                  <c:v>1.9012251431809339E-2</c:v>
                </c:pt>
                <c:pt idx="53">
                  <c:v>1.9337825438299476E-2</c:v>
                </c:pt>
                <c:pt idx="54">
                  <c:v>1.9609991012546579E-2</c:v>
                </c:pt>
                <c:pt idx="55">
                  <c:v>1.9828228080079169E-2</c:v>
                </c:pt>
                <c:pt idx="56">
                  <c:v>1.9992564751961889E-2</c:v>
                </c:pt>
                <c:pt idx="57">
                  <c:v>2.0103479194248024E-2</c:v>
                </c:pt>
                <c:pt idx="58">
                  <c:v>2.0161820168121906E-2</c:v>
                </c:pt>
                <c:pt idx="59">
                  <c:v>2.016874236606481E-2</c:v>
                </c:pt>
                <c:pt idx="60">
                  <c:v>2.0125762440165711E-2</c:v>
                </c:pt>
                <c:pt idx="61">
                  <c:v>2.003420187081759E-2</c:v>
                </c:pt>
                <c:pt idx="62">
                  <c:v>1.9896047429673148E-2</c:v>
                </c:pt>
                <c:pt idx="63">
                  <c:v>1.9713233576544122E-2</c:v>
                </c:pt>
                <c:pt idx="64">
                  <c:v>1.9487813668953823E-2</c:v>
                </c:pt>
                <c:pt idx="65">
                  <c:v>1.9221939023170154E-2</c:v>
                </c:pt>
                <c:pt idx="66">
                  <c:v>1.8917841163377334E-2</c:v>
                </c:pt>
                <c:pt idx="67">
                  <c:v>1.8577816646964663E-2</c:v>
                </c:pt>
                <c:pt idx="68">
                  <c:v>1.8204213964283379E-2</c:v>
                </c:pt>
                <c:pt idx="69">
                  <c:v>1.7799422104098645E-2</c:v>
                </c:pt>
                <c:pt idx="70">
                  <c:v>1.7365860453839921E-2</c:v>
                </c:pt>
                <c:pt idx="71">
                  <c:v>1.6905969760702081E-2</c:v>
                </c:pt>
                <c:pt idx="72">
                  <c:v>1.6422203927997685E-2</c:v>
                </c:pt>
                <c:pt idx="73">
                  <c:v>1.5917022465453377E-2</c:v>
                </c:pt>
                <c:pt idx="74">
                  <c:v>1.5392883438038915E-2</c:v>
                </c:pt>
                <c:pt idx="75">
                  <c:v>1.485223679679871E-2</c:v>
                </c:pt>
                <c:pt idx="76">
                  <c:v>1.4297517984339411E-2</c:v>
                </c:pt>
                <c:pt idx="77">
                  <c:v>1.3731141741163098E-2</c:v>
                </c:pt>
                <c:pt idx="78">
                  <c:v>1.3155496043926991E-2</c:v>
                </c:pt>
                <c:pt idx="79">
                  <c:v>1.2572936126063803E-2</c:v>
                </c:pt>
                <c:pt idx="80">
                  <c:v>1.1985778549475117E-2</c:v>
                </c:pt>
                <c:pt idx="81">
                  <c:v>1.1396295292844531E-2</c:v>
                </c:pt>
                <c:pt idx="82">
                  <c:v>1.0806707844652255E-2</c:v>
                </c:pt>
                <c:pt idx="83">
                  <c:v>1.0219181291376625E-2</c:v>
                </c:pt>
                <c:pt idx="84">
                  <c:v>9.6358184011497636E-3</c:v>
                </c:pt>
                <c:pt idx="85">
                  <c:v>9.0586537072721122E-3</c:v>
                </c:pt>
                <c:pt idx="86">
                  <c:v>8.4896476055516378E-3</c:v>
                </c:pt>
                <c:pt idx="87">
                  <c:v>7.9306804833977288E-3</c:v>
                </c:pt>
                <c:pt idx="88">
                  <c:v>7.3835469040540776E-3</c:v>
                </c:pt>
                <c:pt idx="89">
                  <c:v>6.8499498721953387E-3</c:v>
                </c:pt>
                <c:pt idx="90">
                  <c:v>6.3314952174741536E-3</c:v>
                </c:pt>
                <c:pt idx="91">
                  <c:v>5.8296861284368858E-3</c:v>
                </c:pt>
                <c:pt idx="92">
                  <c:v>5.3459178744414077E-3</c:v>
                </c:pt>
                <c:pt idx="93">
                  <c:v>4.8814727639198696E-3</c:v>
                </c:pt>
                <c:pt idx="94">
                  <c:v>4.4375153763777896E-3</c:v>
                </c:pt>
                <c:pt idx="95">
                  <c:v>4.0150881195809267E-3</c:v>
                </c:pt>
                <c:pt idx="96">
                  <c:v>3.6151071577885125E-3</c:v>
                </c:pt>
                <c:pt idx="97">
                  <c:v>3.2383587577253388E-3</c:v>
                </c:pt>
                <c:pt idx="98">
                  <c:v>2.8854961046015991E-3</c:v>
                </c:pt>
                <c:pt idx="99">
                  <c:v>2.5574037569381517E-3</c:v>
                </c:pt>
                <c:pt idx="100">
                  <c:v>2.25367941160135E-3</c:v>
                </c:pt>
                <c:pt idx="101">
                  <c:v>1.9749812487422115E-3</c:v>
                </c:pt>
                <c:pt idx="102">
                  <c:v>1.7214093221447787E-3</c:v>
                </c:pt>
                <c:pt idx="103">
                  <c:v>1.4929233440804668E-3</c:v>
                </c:pt>
                <c:pt idx="104">
                  <c:v>1.2893432821035028E-3</c:v>
                </c:pt>
                <c:pt idx="105">
                  <c:v>1.1103507264076486E-3</c:v>
                </c:pt>
                <c:pt idx="106">
                  <c:v>9.5549105827870287E-4</c:v>
                </c:pt>
                <c:pt idx="107">
                  <c:v>8.2417644476269144E-4</c:v>
                </c:pt>
                <c:pt idx="108">
                  <c:v>7.156896804210184E-4</c:v>
                </c:pt>
                <c:pt idx="109">
                  <c:v>6.2918889034527931E-4</c:v>
                </c:pt>
                <c:pt idx="110">
                  <c:v>5.6371310221455949E-4</c:v>
                </c:pt>
                <c:pt idx="111">
                  <c:v>5.1818868920916385E-4</c:v>
                </c:pt>
                <c:pt idx="112">
                  <c:v>4.914366771688177E-4</c:v>
                </c:pt>
                <c:pt idx="113">
                  <c:v>4.8218090284674774E-4</c:v>
                </c:pt>
                <c:pt idx="114">
                  <c:v>4.8905700169311059E-4</c:v>
                </c:pt>
                <c:pt idx="115">
                  <c:v>5.106221956979281E-4</c:v>
                </c:pt>
                <c:pt idx="116">
                  <c:v>5.4536584336046276E-4</c:v>
                </c:pt>
                <c:pt idx="117">
                  <c:v>5.9175599316222934E-4</c:v>
                </c:pt>
                <c:pt idx="118">
                  <c:v>6.4812782785276916E-4</c:v>
                </c:pt>
                <c:pt idx="119">
                  <c:v>7.1285154021995408E-4</c:v>
                </c:pt>
                <c:pt idx="120">
                  <c:v>7.8426417844965838E-4</c:v>
                </c:pt>
                <c:pt idx="121">
                  <c:v>8.6069718460097676E-4</c:v>
                </c:pt>
                <c:pt idx="122">
                  <c:v>9.4049023429632745E-4</c:v>
                </c:pt>
                <c:pt idx="123">
                  <c:v>1.0220053293743829E-3</c:v>
                </c:pt>
                <c:pt idx="124">
                  <c:v>1.1036410366822682E-3</c:v>
                </c:pt>
                <c:pt idx="125">
                  <c:v>1.1838467572270384E-3</c:v>
                </c:pt>
                <c:pt idx="126">
                  <c:v>1.2611369027023317E-3</c:v>
                </c:pt>
                <c:pt idx="127">
                  <c:v>1.3341048485848194E-3</c:v>
                </c:pt>
                <c:pt idx="128">
                  <c:v>1.4014365264553691E-3</c:v>
                </c:pt>
                <c:pt idx="129">
                  <c:v>1.4619235116533299E-3</c:v>
                </c:pt>
                <c:pt idx="130">
                  <c:v>1.5144754573646036E-3</c:v>
                </c:pt>
                <c:pt idx="131">
                  <c:v>1.5581317219914811E-3</c:v>
                </c:pt>
                <c:pt idx="132">
                  <c:v>1.5920720329417669E-3</c:v>
                </c:pt>
                <c:pt idx="133">
                  <c:v>1.6156260286831743E-3</c:v>
                </c:pt>
                <c:pt idx="134">
                  <c:v>1.6282815204341143E-3</c:v>
                </c:pt>
                <c:pt idx="135">
                  <c:v>1.6296913165120463E-3</c:v>
                </c:pt>
                <c:pt idx="136">
                  <c:v>1.6196784564247624E-3</c:v>
                </c:pt>
                <c:pt idx="137">
                  <c:v>1.5982397076402832E-3</c:v>
                </c:pt>
                <c:pt idx="138">
                  <c:v>1.5655471871281828E-3</c:v>
                </c:pt>
                <c:pt idx="139">
                  <c:v>1.5219479816095856E-3</c:v>
                </c:pt>
                <c:pt idx="140">
                  <c:v>1.4679616553502273E-3</c:v>
                </c:pt>
                <c:pt idx="141">
                  <c:v>1.404275553277781E-3</c:v>
                </c:pt>
                <c:pt idx="142">
                  <c:v>1.3317378291350913E-3</c:v>
                </c:pt>
                <c:pt idx="143">
                  <c:v>1.2513481546424345E-3</c:v>
                </c:pt>
                <c:pt idx="144">
                  <c:v>1.1642460953992782E-3</c:v>
                </c:pt>
                <c:pt idx="145">
                  <c:v>1.0716971728359302E-3</c:v>
                </c:pt>
                <c:pt idx="146">
                  <c:v>9.7507666932584623E-4</c:v>
                </c:pt>
                <c:pt idx="147">
                  <c:v>8.758512735059969E-4</c:v>
                </c:pt>
                <c:pt idx="148">
                  <c:v>7.7555870679450755E-4</c:v>
                </c:pt>
                <c:pt idx="149">
                  <c:v>6.7578551810155161E-4</c:v>
                </c:pt>
                <c:pt idx="150">
                  <c:v>5.7814328031251293E-4</c:v>
                </c:pt>
                <c:pt idx="151">
                  <c:v>4.8424347095609626E-4</c:v>
                </c:pt>
                <c:pt idx="152">
                  <c:v>3.956713654336104E-4</c:v>
                </c:pt>
                <c:pt idx="153">
                  <c:v>3.1395931774720327E-4</c:v>
                </c:pt>
                <c:pt idx="154">
                  <c:v>2.4055984546548221E-4</c:v>
                </c:pt>
                <c:pt idx="155">
                  <c:v>1.7681897253079494E-4</c:v>
                </c:pt>
                <c:pt idx="156">
                  <c:v>1.2395031510450648E-4</c:v>
                </c:pt>
                <c:pt idx="157">
                  <c:v>8.3010419087268842E-5</c:v>
                </c:pt>
                <c:pt idx="158">
                  <c:v>5.4875871182471945E-5</c:v>
                </c:pt>
                <c:pt idx="159">
                  <c:v>4.022270879547008E-5</c:v>
                </c:pt>
                <c:pt idx="160">
                  <c:v>3.9508645074909601E-5</c:v>
                </c:pt>
                <c:pt idx="161">
                  <c:v>5.295860348121526E-5</c:v>
                </c:pt>
                <c:pt idx="162">
                  <c:v>8.0554020509809158E-5</c:v>
                </c:pt>
                <c:pt idx="163">
                  <c:v>1.220263256380207E-4</c:v>
                </c:pt>
                <c:pt idx="164">
                  <c:v>1.7685494400501719E-4</c:v>
                </c:pt>
                <c:pt idx="165">
                  <c:v>2.4427009000773476E-4</c:v>
                </c:pt>
                <c:pt idx="166">
                  <c:v>3.2326053093027416E-4</c:v>
                </c:pt>
                <c:pt idx="167">
                  <c:v>4.125863984974205E-4</c:v>
                </c:pt>
                <c:pt idx="168">
                  <c:v>5.1079701668693483E-4</c:v>
                </c:pt>
                <c:pt idx="169">
                  <c:v>6.1625359708839E-4</c:v>
                </c:pt>
                <c:pt idx="170">
                  <c:v>7.2715653205586276E-4</c:v>
                </c:pt>
                <c:pt idx="171">
                  <c:v>8.4157689236945288E-4</c:v>
                </c:pt>
                <c:pt idx="172">
                  <c:v>9.5749161599601416E-4</c:v>
                </c:pt>
                <c:pt idx="173">
                  <c:v>1.0728217578257068E-3</c:v>
                </c:pt>
                <c:pt idx="174">
                  <c:v>1.1854730625045226E-3</c:v>
                </c:pt>
                <c:pt idx="175">
                  <c:v>1.2933780273339524E-3</c:v>
                </c:pt>
                <c:pt idx="176">
                  <c:v>1.3945385406867955E-3</c:v>
                </c:pt>
                <c:pt idx="177">
                  <c:v>1.4870681198352138E-3</c:v>
                </c:pt>
                <c:pt idx="178">
                  <c:v>1.5692327308698846E-3</c:v>
                </c:pt>
                <c:pt idx="179">
                  <c:v>1.6394891569691077E-3</c:v>
                </c:pt>
                <c:pt idx="180">
                  <c:v>1.6965198907058423E-3</c:v>
                </c:pt>
                <c:pt idx="181">
                  <c:v>1.7392635639191837E-3</c:v>
                </c:pt>
                <c:pt idx="182">
                  <c:v>1.766939996540703E-3</c:v>
                </c:pt>
                <c:pt idx="183">
                  <c:v>1.7790690430926003E-3</c:v>
                </c:pt>
                <c:pt idx="184">
                  <c:v>1.7754825432275685E-3</c:v>
                </c:pt>
                <c:pt idx="185">
                  <c:v>1.7563288394055255E-3</c:v>
                </c:pt>
                <c:pt idx="186">
                  <c:v>1.7220695080807343E-3</c:v>
                </c:pt>
                <c:pt idx="187">
                  <c:v>1.6734681577374759E-3</c:v>
                </c:pt>
                <c:pt idx="188">
                  <c:v>1.6115713733133767E-3</c:v>
                </c:pt>
                <c:pt idx="189">
                  <c:v>1.5376821256853582E-3</c:v>
                </c:pt>
                <c:pt idx="190">
                  <c:v>1.453326210777043E-3</c:v>
                </c:pt>
                <c:pt idx="191">
                  <c:v>1.3602125264119622E-3</c:v>
                </c:pt>
                <c:pt idx="192">
                  <c:v>1.2601882274563523E-3</c:v>
                </c:pt>
                <c:pt idx="193">
                  <c:v>1.1551900108228786E-3</c:v>
                </c:pt>
                <c:pt idx="194">
                  <c:v>1.0471929619020126E-3</c:v>
                </c:pt>
                <c:pt idx="195">
                  <c:v>9.381585313555915E-4</c:v>
                </c:pt>
                <c:pt idx="196">
                  <c:v>8.2998329819748196E-4</c:v>
                </c:pt>
                <c:pt idx="197">
                  <c:v>7.2445020229168575E-4</c:v>
                </c:pt>
                <c:pt idx="198">
                  <c:v>6.2318389164247483E-4</c:v>
                </c:pt>
                <c:pt idx="199">
                  <c:v>5.2761172316937658E-4</c:v>
                </c:pt>
                <c:pt idx="200">
                  <c:v>4.3893178097623273E-4</c:v>
                </c:pt>
                <c:pt idx="201">
                  <c:v>3.5808903459611365E-4</c:v>
                </c:pt>
                <c:pt idx="202">
                  <c:v>2.8576046168540028E-4</c:v>
                </c:pt>
                <c:pt idx="203">
                  <c:v>2.2234961345197771E-4</c:v>
                </c:pt>
                <c:pt idx="204">
                  <c:v>1.6799072139269246E-4</c:v>
                </c:pt>
                <c:pt idx="205">
                  <c:v>1.2256204965428589E-4</c:v>
                </c:pt>
                <c:pt idx="206">
                  <c:v>8.5707804872685547E-5</c:v>
                </c:pt>
                <c:pt idx="207">
                  <c:v>5.6867546782194171E-5</c:v>
                </c:pt>
                <c:pt idx="208">
                  <c:v>3.5311717223504838E-5</c:v>
                </c:pt>
                <c:pt idx="209">
                  <c:v>2.01816408410339E-5</c:v>
                </c:pt>
                <c:pt idx="210">
                  <c:v>1.0532163629301278E-5</c:v>
                </c:pt>
                <c:pt idx="211">
                  <c:v>5.374997895904925E-6</c:v>
                </c:pt>
                <c:pt idx="212">
                  <c:v>3.7162797554181542E-6</c:v>
                </c:pt>
                <c:pt idx="213">
                  <c:v>4.5291117916969689E-6</c:v>
                </c:pt>
                <c:pt idx="214">
                  <c:v>6.540118062096787E-6</c:v>
                </c:pt>
                <c:pt idx="215">
                  <c:v>8.5360387621943812E-6</c:v>
                </c:pt>
                <c:pt idx="216">
                  <c:v>2.1949462239630428E-5</c:v>
                </c:pt>
                <c:pt idx="217">
                  <c:v>2.2797739705695116E-5</c:v>
                </c:pt>
                <c:pt idx="218">
                  <c:v>2.3286018946716917E-5</c:v>
                </c:pt>
                <c:pt idx="219">
                  <c:v>2.3065635142250446E-5</c:v>
                </c:pt>
                <c:pt idx="220">
                  <c:v>2.2032377087870005E-5</c:v>
                </c:pt>
                <c:pt idx="221">
                  <c:v>2.0579388242377226E-5</c:v>
                </c:pt>
                <c:pt idx="222">
                  <c:v>1.9245240664645191E-5</c:v>
                </c:pt>
                <c:pt idx="223">
                  <c:v>9.9464171154779787E-6</c:v>
                </c:pt>
                <c:pt idx="224">
                  <c:v>4.9840914041338592E-6</c:v>
                </c:pt>
                <c:pt idx="225">
                  <c:v>5.5207241641086806E-6</c:v>
                </c:pt>
                <c:pt idx="226">
                  <c:v>6.427799484184881E-6</c:v>
                </c:pt>
                <c:pt idx="227">
                  <c:v>7.6132414765050937E-6</c:v>
                </c:pt>
                <c:pt idx="228">
                  <c:v>8.8889920753050328E-6</c:v>
                </c:pt>
                <c:pt idx="229">
                  <c:v>1.0088862610766819E-5</c:v>
                </c:pt>
                <c:pt idx="230">
                  <c:v>1.1074717268331649E-5</c:v>
                </c:pt>
                <c:pt idx="231">
                  <c:v>1.1737068867509363E-5</c:v>
                </c:pt>
                <c:pt idx="232">
                  <c:v>1.2002274161555215E-5</c:v>
                </c:pt>
                <c:pt idx="233">
                  <c:v>1.1838349448608963E-5</c:v>
                </c:pt>
                <c:pt idx="234">
                  <c:v>1.1257289508692895E-5</c:v>
                </c:pt>
                <c:pt idx="235">
                  <c:v>1.0313705765907833E-5</c:v>
                </c:pt>
                <c:pt idx="236">
                  <c:v>9.0998331787338901E-6</c:v>
                </c:pt>
                <c:pt idx="237">
                  <c:v>7.7372011577000779E-6</c:v>
                </c:pt>
                <c:pt idx="238">
                  <c:v>6.3655159611217958E-6</c:v>
                </c:pt>
                <c:pt idx="239">
                  <c:v>5.129550092581853E-6</c:v>
                </c:pt>
                <c:pt idx="240">
                  <c:v>4.1650613754361994E-6</c:v>
                </c:pt>
                <c:pt idx="241">
                  <c:v>3.5849468116303948E-6</c:v>
                </c:pt>
                <c:pt idx="242">
                  <c:v>3.466944565794187E-6</c:v>
                </c:pt>
                <c:pt idx="243">
                  <c:v>3.8441997915958811E-6</c:v>
                </c:pt>
                <c:pt idx="244">
                  <c:v>4.6998781411726252E-6</c:v>
                </c:pt>
                <c:pt idx="245">
                  <c:v>5.9667266239382606E-6</c:v>
                </c:pt>
                <c:pt idx="246">
                  <c:v>7.5320445154133333E-6</c:v>
                </c:pt>
                <c:pt idx="247">
                  <c:v>9.2479605102677458E-6</c:v>
                </c:pt>
                <c:pt idx="248">
                  <c:v>1.0946266365524589E-5</c:v>
                </c:pt>
                <c:pt idx="249">
                  <c:v>1.2456407594262177E-5</c:v>
                </c:pt>
                <c:pt idx="250">
                  <c:v>1.3624672772438662E-5</c:v>
                </c:pt>
                <c:pt idx="251">
                  <c:v>1.4332255593326212E-5</c:v>
                </c:pt>
                <c:pt idx="252">
                  <c:v>1.450977825894719E-5</c:v>
                </c:pt>
                <c:pt idx="253">
                  <c:v>1.4146121886504461E-5</c:v>
                </c:pt>
                <c:pt idx="254">
                  <c:v>1.3290022912768569E-5</c:v>
                </c:pt>
                <c:pt idx="255">
                  <c:v>1.2043817687114075E-5</c:v>
                </c:pt>
                <c:pt idx="256">
                  <c:v>1.0549841366830495E-5</c:v>
                </c:pt>
                <c:pt idx="257">
                  <c:v>8.9711483504338281E-6</c:v>
                </c:pt>
                <c:pt idx="258">
                  <c:v>7.469223562752677E-6</c:v>
                </c:pt>
                <c:pt idx="259">
                  <c:v>6.1820006110957182E-6</c:v>
                </c:pt>
                <c:pt idx="260">
                  <c:v>5.2056366402927038E-6</c:v>
                </c:pt>
                <c:pt idx="261">
                  <c:v>4.5814139061341142E-6</c:v>
                </c:pt>
                <c:pt idx="262">
                  <c:v>4.2999457861694294E-6</c:v>
                </c:pt>
                <c:pt idx="263">
                  <c:v>4.2964097140345322E-6</c:v>
                </c:pt>
                <c:pt idx="264">
                  <c:v>4.4729477106173706E-6</c:v>
                </c:pt>
                <c:pt idx="265">
                  <c:v>4.7165709709927982E-6</c:v>
                </c:pt>
                <c:pt idx="266">
                  <c:v>4.9207728698587628E-6</c:v>
                </c:pt>
                <c:pt idx="267">
                  <c:v>5.0046993113277216E-6</c:v>
                </c:pt>
                <c:pt idx="268">
                  <c:v>4.9262010059937675E-6</c:v>
                </c:pt>
                <c:pt idx="269">
                  <c:v>4.6863187568452544E-6</c:v>
                </c:pt>
                <c:pt idx="270">
                  <c:v>4.3245418611306616E-6</c:v>
                </c:pt>
                <c:pt idx="271">
                  <c:v>3.9061632488611374E-6</c:v>
                </c:pt>
                <c:pt idx="272">
                  <c:v>3.5047905312111974E-6</c:v>
                </c:pt>
                <c:pt idx="273">
                  <c:v>3.1841430616186754E-6</c:v>
                </c:pt>
                <c:pt idx="274">
                  <c:v>2.9833864955916143E-6</c:v>
                </c:pt>
                <c:pt idx="275">
                  <c:v>2.9093590121091224E-6</c:v>
                </c:pt>
                <c:pt idx="276">
                  <c:v>2.9373112009013542E-6</c:v>
                </c:pt>
                <c:pt idx="277">
                  <c:v>3.0196248174229587E-6</c:v>
                </c:pt>
                <c:pt idx="278">
                  <c:v>3.0999398812461409E-6</c:v>
                </c:pt>
                <c:pt idx="279">
                  <c:v>3.1287482998419446E-6</c:v>
                </c:pt>
                <c:pt idx="280">
                  <c:v>3.0761954230187951E-6</c:v>
                </c:pt>
                <c:pt idx="281">
                  <c:v>2.9386839397614689E-6</c:v>
                </c:pt>
                <c:pt idx="282">
                  <c:v>2.737684993258454E-6</c:v>
                </c:pt>
                <c:pt idx="283">
                  <c:v>2.5114292131520452E-6</c:v>
                </c:pt>
                <c:pt idx="284">
                  <c:v>2.3022180862272707E-6</c:v>
                </c:pt>
                <c:pt idx="285">
                  <c:v>2.143339187734144E-6</c:v>
                </c:pt>
                <c:pt idx="286">
                  <c:v>2.0495917717238122E-6</c:v>
                </c:pt>
                <c:pt idx="287">
                  <c:v>2.0142047778839216E-6</c:v>
                </c:pt>
                <c:pt idx="288">
                  <c:v>2.0128287507468632E-6</c:v>
                </c:pt>
                <c:pt idx="289">
                  <c:v>2.0129770450487083E-6</c:v>
                </c:pt>
                <c:pt idx="290">
                  <c:v>1.985541452269422E-6</c:v>
                </c:pt>
                <c:pt idx="291">
                  <c:v>1.9144101182993824E-6</c:v>
                </c:pt>
                <c:pt idx="292">
                  <c:v>1.8009876374717422E-6</c:v>
                </c:pt>
                <c:pt idx="293">
                  <c:v>1.6622982202824728E-6</c:v>
                </c:pt>
                <c:pt idx="294">
                  <c:v>1.5236770000995184E-6</c:v>
                </c:pt>
                <c:pt idx="295">
                  <c:v>1.4089768914004305E-6</c:v>
                </c:pt>
                <c:pt idx="296">
                  <c:v>1.3320240941832243E-6</c:v>
                </c:pt>
                <c:pt idx="297">
                  <c:v>1.2924389486407535E-6</c:v>
                </c:pt>
                <c:pt idx="298">
                  <c:v>1.2771404735770308E-6</c:v>
                </c:pt>
                <c:pt idx="299">
                  <c:v>1.2665841221043596E-6</c:v>
                </c:pt>
                <c:pt idx="300">
                  <c:v>1.2429549654189467E-6</c:v>
                </c:pt>
                <c:pt idx="301">
                  <c:v>1.1968947752441159E-6</c:v>
                </c:pt>
                <c:pt idx="302">
                  <c:v>1.1301350290192045E-6</c:v>
                </c:pt>
                <c:pt idx="303">
                  <c:v>1.0532801130979478E-6</c:v>
                </c:pt>
                <c:pt idx="304">
                  <c:v>9.8010547758092316E-7</c:v>
                </c:pt>
                <c:pt idx="305">
                  <c:v>9.2116196522470424E-7</c:v>
                </c:pt>
                <c:pt idx="306">
                  <c:v>8.79584095441236E-7</c:v>
                </c:pt>
                <c:pt idx="307">
                  <c:v>8.5077526650906694E-7</c:v>
                </c:pt>
                <c:pt idx="308">
                  <c:v>8.257051034483865E-7</c:v>
                </c:pt>
                <c:pt idx="309">
                  <c:v>7.9585954257442097E-7</c:v>
                </c:pt>
                <c:pt idx="310">
                  <c:v>7.5725494219652484E-7</c:v>
                </c:pt>
                <c:pt idx="311">
                  <c:v>7.1163396380210267E-7</c:v>
                </c:pt>
                <c:pt idx="312">
                  <c:v>6.6457954170377497E-7</c:v>
                </c:pt>
                <c:pt idx="313">
                  <c:v>6.2192001795328826E-7</c:v>
                </c:pt>
                <c:pt idx="314">
                  <c:v>5.8657384639469239E-7</c:v>
                </c:pt>
                <c:pt idx="315">
                  <c:v>5.5751686397446771E-7</c:v>
                </c:pt>
                <c:pt idx="316">
                  <c:v>5.3118002723670512E-7</c:v>
                </c:pt>
                <c:pt idx="317">
                  <c:v>5.0414347763932938E-7</c:v>
                </c:pt>
                <c:pt idx="318">
                  <c:v>4.7533535374169339E-7</c:v>
                </c:pt>
                <c:pt idx="319">
                  <c:v>4.4641972319914819E-7</c:v>
                </c:pt>
                <c:pt idx="320">
                  <c:v>4.2030936854211159E-7</c:v>
                </c:pt>
                <c:pt idx="321">
                  <c:v>3.9893961022145265E-7</c:v>
                </c:pt>
                <c:pt idx="322">
                  <c:v>3.8182994593066499E-7</c:v>
                </c:pt>
                <c:pt idx="323">
                  <c:v>3.6633675989936929E-7</c:v>
                </c:pt>
                <c:pt idx="324">
                  <c:v>3.4932074065701783E-7</c:v>
                </c:pt>
                <c:pt idx="325">
                  <c:v>3.2903802782137741E-7</c:v>
                </c:pt>
                <c:pt idx="326">
                  <c:v>3.0611127518699735E-7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ED-4E1A-9F22-DAA3BF5CD957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0.10729195267045732</c:v>
                  </c:pt>
                  <c:pt idx="1">
                    <c:v>9.6638571780310711E-2</c:v>
                  </c:pt>
                  <c:pt idx="2">
                    <c:v>9.5714210804609845E-2</c:v>
                  </c:pt>
                  <c:pt idx="3">
                    <c:v>9.7315917335186644E-2</c:v>
                  </c:pt>
                  <c:pt idx="4">
                    <c:v>9.3861990051440941E-2</c:v>
                  </c:pt>
                  <c:pt idx="5">
                    <c:v>8.8965396313499812E-2</c:v>
                  </c:pt>
                  <c:pt idx="6">
                    <c:v>8.0300547691667862E-2</c:v>
                  </c:pt>
                  <c:pt idx="7">
                    <c:v>8.1896596081629885E-2</c:v>
                  </c:pt>
                  <c:pt idx="8">
                    <c:v>7.7104180155191562E-2</c:v>
                  </c:pt>
                  <c:pt idx="9">
                    <c:v>7.5207313517951194E-2</c:v>
                  </c:pt>
                  <c:pt idx="10">
                    <c:v>7.1113088553806283E-2</c:v>
                  </c:pt>
                  <c:pt idx="11">
                    <c:v>6.8224101930386166E-2</c:v>
                  </c:pt>
                  <c:pt idx="12">
                    <c:v>6.7904275433803993E-2</c:v>
                  </c:pt>
                  <c:pt idx="13">
                    <c:v>6.3688693974364885E-2</c:v>
                  </c:pt>
                  <c:pt idx="14">
                    <c:v>6.3513296975088632E-2</c:v>
                  </c:pt>
                  <c:pt idx="15">
                    <c:v>6.2977088826392955E-2</c:v>
                  </c:pt>
                  <c:pt idx="16">
                    <c:v>6.1519345468563386E-2</c:v>
                  </c:pt>
                  <c:pt idx="17">
                    <c:v>5.4206286071909901E-2</c:v>
                  </c:pt>
                  <c:pt idx="18">
                    <c:v>5.1294036907974752E-2</c:v>
                  </c:pt>
                  <c:pt idx="19">
                    <c:v>4.63916238361336E-2</c:v>
                  </c:pt>
                  <c:pt idx="20">
                    <c:v>4.3196904683758183E-2</c:v>
                  </c:pt>
                  <c:pt idx="21">
                    <c:v>4.3556344486299185E-2</c:v>
                  </c:pt>
                  <c:pt idx="22">
                    <c:v>4.2492013726024923E-2</c:v>
                  </c:pt>
                  <c:pt idx="23">
                    <c:v>3.9176117003806438E-2</c:v>
                  </c:pt>
                  <c:pt idx="24">
                    <c:v>3.2287181936136083E-2</c:v>
                  </c:pt>
                  <c:pt idx="25">
                    <c:v>2.4973212224373327E-2</c:v>
                  </c:pt>
                  <c:pt idx="26">
                    <c:v>2.0079030471502037E-2</c:v>
                  </c:pt>
                  <c:pt idx="27">
                    <c:v>1.7161351543161243E-2</c:v>
                  </c:pt>
                  <c:pt idx="28">
                    <c:v>1.3564167510188425E-2</c:v>
                  </c:pt>
                  <c:pt idx="29">
                    <c:v>1.1218834237923267E-2</c:v>
                  </c:pt>
                  <c:pt idx="30">
                    <c:v>1.0136928841432295E-2</c:v>
                  </c:pt>
                  <c:pt idx="31">
                    <c:v>8.7318371916925951E-3</c:v>
                  </c:pt>
                  <c:pt idx="32">
                    <c:v>8.872978243684531E-3</c:v>
                  </c:pt>
                  <c:pt idx="33">
                    <c:v>7.4740420188941061E-3</c:v>
                  </c:pt>
                  <c:pt idx="34">
                    <c:v>7.3957692764288928E-3</c:v>
                  </c:pt>
                  <c:pt idx="35">
                    <c:v>6.062947360198241E-3</c:v>
                  </c:pt>
                  <c:pt idx="36">
                    <c:v>5.9587695672397474E-3</c:v>
                  </c:pt>
                  <c:pt idx="37">
                    <c:v>5.7464836135669873E-3</c:v>
                  </c:pt>
                  <c:pt idx="38">
                    <c:v>4.8553400937246093E-3</c:v>
                  </c:pt>
                  <c:pt idx="39">
                    <c:v>4.9339974826291171E-3</c:v>
                  </c:pt>
                  <c:pt idx="40">
                    <c:v>4.4322850501855183E-3</c:v>
                  </c:pt>
                  <c:pt idx="41">
                    <c:v>4.6116187879124025E-3</c:v>
                  </c:pt>
                  <c:pt idx="42">
                    <c:v>3.1886963886871159E-3</c:v>
                  </c:pt>
                  <c:pt idx="43">
                    <c:v>3.5485531424816878E-3</c:v>
                  </c:pt>
                  <c:pt idx="44">
                    <c:v>3.4409278361443437E-3</c:v>
                  </c:pt>
                  <c:pt idx="45">
                    <c:v>3.4801205768538444E-3</c:v>
                  </c:pt>
                  <c:pt idx="46">
                    <c:v>3.2850432743053337E-3</c:v>
                  </c:pt>
                  <c:pt idx="47">
                    <c:v>2.7677830905158169E-3</c:v>
                  </c:pt>
                  <c:pt idx="48">
                    <c:v>2.5560106492571186E-3</c:v>
                  </c:pt>
                  <c:pt idx="49">
                    <c:v>2.8787351978687859E-3</c:v>
                  </c:pt>
                  <c:pt idx="50">
                    <c:v>2.8684071469893507E-3</c:v>
                  </c:pt>
                  <c:pt idx="51">
                    <c:v>2.675418670883954E-3</c:v>
                  </c:pt>
                  <c:pt idx="52">
                    <c:v>2.9431759184631481E-3</c:v>
                  </c:pt>
                  <c:pt idx="53">
                    <c:v>2.6966765768491768E-3</c:v>
                  </c:pt>
                  <c:pt idx="54">
                    <c:v>2.5234683379377282E-3</c:v>
                  </c:pt>
                  <c:pt idx="55">
                    <c:v>2.5155978853125568E-3</c:v>
                  </c:pt>
                  <c:pt idx="56">
                    <c:v>2.137227132868339E-3</c:v>
                  </c:pt>
                  <c:pt idx="57">
                    <c:v>2.2141193035741242E-3</c:v>
                  </c:pt>
                  <c:pt idx="58">
                    <c:v>2.0479605018938283E-3</c:v>
                  </c:pt>
                  <c:pt idx="59">
                    <c:v>1.9888724930336413E-3</c:v>
                  </c:pt>
                  <c:pt idx="60">
                    <c:v>1.7963871658511126E-3</c:v>
                  </c:pt>
                  <c:pt idx="61">
                    <c:v>1.7228152557671565E-3</c:v>
                  </c:pt>
                  <c:pt idx="62">
                    <c:v>1.6176017007990594E-3</c:v>
                  </c:pt>
                  <c:pt idx="63">
                    <c:v>1.6093858544948612E-3</c:v>
                  </c:pt>
                  <c:pt idx="64">
                    <c:v>1.5215075536703017E-3</c:v>
                  </c:pt>
                  <c:pt idx="65">
                    <c:v>1.3883785647323132E-3</c:v>
                  </c:pt>
                  <c:pt idx="66">
                    <c:v>1.2800809737585632E-3</c:v>
                  </c:pt>
                  <c:pt idx="67">
                    <c:v>1.2259944600819406E-3</c:v>
                  </c:pt>
                  <c:pt idx="68">
                    <c:v>1.1296820387657316E-3</c:v>
                  </c:pt>
                  <c:pt idx="69">
                    <c:v>1.0758124731416647E-3</c:v>
                  </c:pt>
                  <c:pt idx="70">
                    <c:v>1.07119872346358E-3</c:v>
                  </c:pt>
                  <c:pt idx="71">
                    <c:v>9.3537553597592793E-4</c:v>
                  </c:pt>
                  <c:pt idx="72">
                    <c:v>9.4378563547655174E-4</c:v>
                  </c:pt>
                  <c:pt idx="73">
                    <c:v>8.625460416892656E-4</c:v>
                  </c:pt>
                  <c:pt idx="74">
                    <c:v>1.0498328720642096E-3</c:v>
                  </c:pt>
                  <c:pt idx="75">
                    <c:v>1.0773058141386397E-3</c:v>
                  </c:pt>
                  <c:pt idx="76">
                    <c:v>9.1250287597772768E-4</c:v>
                  </c:pt>
                  <c:pt idx="77">
                    <c:v>8.8195130371030144E-4</c:v>
                  </c:pt>
                  <c:pt idx="78">
                    <c:v>8.8531208822412502E-4</c:v>
                  </c:pt>
                  <c:pt idx="79">
                    <c:v>8.7999642914991544E-4</c:v>
                  </c:pt>
                  <c:pt idx="80">
                    <c:v>8.8606620478994501E-4</c:v>
                  </c:pt>
                  <c:pt idx="81">
                    <c:v>6.9140263584983462E-4</c:v>
                  </c:pt>
                  <c:pt idx="82">
                    <c:v>7.2135344080420541E-4</c:v>
                  </c:pt>
                  <c:pt idx="83">
                    <c:v>7.2586248849368222E-4</c:v>
                  </c:pt>
                  <c:pt idx="84">
                    <c:v>7.0019662257401073E-4</c:v>
                  </c:pt>
                  <c:pt idx="85">
                    <c:v>6.7125417016031133E-4</c:v>
                  </c:pt>
                  <c:pt idx="86">
                    <c:v>6.4166400449957098E-4</c:v>
                  </c:pt>
                  <c:pt idx="87">
                    <c:v>6.3212651579497444E-4</c:v>
                  </c:pt>
                  <c:pt idx="88">
                    <c:v>6.020704415017256E-4</c:v>
                  </c:pt>
                  <c:pt idx="89">
                    <c:v>5.4120106645249894E-4</c:v>
                  </c:pt>
                  <c:pt idx="90">
                    <c:v>4.8693825693983857E-4</c:v>
                  </c:pt>
                  <c:pt idx="91">
                    <c:v>4.979221835474261E-4</c:v>
                  </c:pt>
                  <c:pt idx="92">
                    <c:v>4.3527524601797823E-4</c:v>
                  </c:pt>
                  <c:pt idx="93">
                    <c:v>4.2460121866727616E-4</c:v>
                  </c:pt>
                  <c:pt idx="94">
                    <c:v>3.7973382778510619E-4</c:v>
                  </c:pt>
                  <c:pt idx="95">
                    <c:v>3.8860594857827288E-4</c:v>
                  </c:pt>
                  <c:pt idx="96">
                    <c:v>3.6241381685016657E-4</c:v>
                  </c:pt>
                  <c:pt idx="97">
                    <c:v>3.4579837958792459E-4</c:v>
                  </c:pt>
                  <c:pt idx="98">
                    <c:v>3.3717545972483919E-4</c:v>
                  </c:pt>
                  <c:pt idx="99">
                    <c:v>2.8747643119121668E-4</c:v>
                  </c:pt>
                  <c:pt idx="100">
                    <c:v>3.040003990463498E-4</c:v>
                  </c:pt>
                  <c:pt idx="101">
                    <c:v>2.7237270058558661E-4</c:v>
                  </c:pt>
                  <c:pt idx="102">
                    <c:v>2.2100295682337884E-4</c:v>
                  </c:pt>
                  <c:pt idx="103">
                    <c:v>2.263852601731466E-4</c:v>
                  </c:pt>
                  <c:pt idx="104">
                    <c:v>2.28179034095874E-4</c:v>
                  </c:pt>
                  <c:pt idx="105">
                    <c:v>2.0549577917176323E-4</c:v>
                  </c:pt>
                  <c:pt idx="106">
                    <c:v>1.7680264049567588E-4</c:v>
                  </c:pt>
                  <c:pt idx="107">
                    <c:v>1.7000052924424046E-4</c:v>
                  </c:pt>
                  <c:pt idx="108">
                    <c:v>1.2316357122388967E-4</c:v>
                  </c:pt>
                  <c:pt idx="109">
                    <c:v>1.2233590092838523E-4</c:v>
                  </c:pt>
                  <c:pt idx="110">
                    <c:v>1.4210315530999366E-4</c:v>
                  </c:pt>
                  <c:pt idx="111">
                    <c:v>1.4665592982692952E-4</c:v>
                  </c:pt>
                  <c:pt idx="112">
                    <c:v>1.1603336706895126E-4</c:v>
                  </c:pt>
                  <c:pt idx="113">
                    <c:v>1.1894841981010142E-4</c:v>
                  </c:pt>
                  <c:pt idx="114">
                    <c:v>1.1229667382247219E-4</c:v>
                  </c:pt>
                  <c:pt idx="115">
                    <c:v>1.3359323655597624E-4</c:v>
                  </c:pt>
                  <c:pt idx="116">
                    <c:v>1.1920529646534206E-4</c:v>
                  </c:pt>
                  <c:pt idx="117">
                    <c:v>1.4439771466246784E-4</c:v>
                  </c:pt>
                  <c:pt idx="118">
                    <c:v>1.2636252544003657E-4</c:v>
                  </c:pt>
                  <c:pt idx="119">
                    <c:v>1.3120401649788067E-4</c:v>
                  </c:pt>
                  <c:pt idx="120">
                    <c:v>8.3355355560380269E-5</c:v>
                  </c:pt>
                  <c:pt idx="121">
                    <c:v>9.4924931137773644E-5</c:v>
                  </c:pt>
                  <c:pt idx="122">
                    <c:v>1.0535151270574273E-4</c:v>
                  </c:pt>
                  <c:pt idx="123">
                    <c:v>1.0470631998653341E-4</c:v>
                  </c:pt>
                  <c:pt idx="124">
                    <c:v>9.9355281029466815E-5</c:v>
                  </c:pt>
                  <c:pt idx="125">
                    <c:v>1.1381631604016394E-4</c:v>
                  </c:pt>
                  <c:pt idx="126">
                    <c:v>1.0485703948061031E-4</c:v>
                  </c:pt>
                  <c:pt idx="127">
                    <c:v>1.1787395450871274E-4</c:v>
                  </c:pt>
                  <c:pt idx="128">
                    <c:v>1.0968328207478935E-4</c:v>
                  </c:pt>
                  <c:pt idx="129">
                    <c:v>1.1894797206588632E-4</c:v>
                  </c:pt>
                  <c:pt idx="130">
                    <c:v>1.1940785196804513E-4</c:v>
                  </c:pt>
                  <c:pt idx="131">
                    <c:v>1.1268324816010216E-4</c:v>
                  </c:pt>
                  <c:pt idx="132">
                    <c:v>1.2386003205822819E-4</c:v>
                  </c:pt>
                  <c:pt idx="133">
                    <c:v>1.1292692709397975E-4</c:v>
                  </c:pt>
                  <c:pt idx="134">
                    <c:v>1.2586134229450647E-4</c:v>
                  </c:pt>
                  <c:pt idx="135">
                    <c:v>1.1972111074095451E-4</c:v>
                  </c:pt>
                  <c:pt idx="136">
                    <c:v>1.1954111225044527E-4</c:v>
                  </c:pt>
                  <c:pt idx="137">
                    <c:v>1.2195582172797707E-4</c:v>
                  </c:pt>
                  <c:pt idx="138">
                    <c:v>1.1264707385066402E-4</c:v>
                  </c:pt>
                  <c:pt idx="139">
                    <c:v>1.1553489364993551E-4</c:v>
                  </c:pt>
                  <c:pt idx="140">
                    <c:v>1.1509521413088609E-4</c:v>
                  </c:pt>
                  <c:pt idx="141">
                    <c:v>1.1609909869493021E-4</c:v>
                  </c:pt>
                  <c:pt idx="142">
                    <c:v>1.1469478872250984E-4</c:v>
                  </c:pt>
                  <c:pt idx="143">
                    <c:v>1.0483572447078177E-4</c:v>
                  </c:pt>
                  <c:pt idx="144">
                    <c:v>1.0160471937876351E-4</c:v>
                  </c:pt>
                  <c:pt idx="145">
                    <c:v>9.9572541299124896E-5</c:v>
                  </c:pt>
                  <c:pt idx="146">
                    <c:v>1.0000469286359998E-4</c:v>
                  </c:pt>
                  <c:pt idx="147">
                    <c:v>9.3516492157398132E-5</c:v>
                  </c:pt>
                  <c:pt idx="148">
                    <c:v>9.1463745212098547E-5</c:v>
                  </c:pt>
                  <c:pt idx="149">
                    <c:v>7.749081941989067E-5</c:v>
                  </c:pt>
                  <c:pt idx="150">
                    <c:v>7.9024379952538583E-5</c:v>
                  </c:pt>
                  <c:pt idx="151">
                    <c:v>7.3575662831315482E-5</c:v>
                  </c:pt>
                  <c:pt idx="152">
                    <c:v>6.7378109135413317E-5</c:v>
                  </c:pt>
                  <c:pt idx="153">
                    <c:v>6.4934812339547055E-5</c:v>
                  </c:pt>
                  <c:pt idx="154">
                    <c:v>6.2286951275811926E-5</c:v>
                  </c:pt>
                  <c:pt idx="155">
                    <c:v>5.6241326113864448E-5</c:v>
                  </c:pt>
                  <c:pt idx="156">
                    <c:v>5.2995408319902422E-5</c:v>
                  </c:pt>
                  <c:pt idx="157">
                    <c:v>5.0484355640307832E-5</c:v>
                  </c:pt>
                  <c:pt idx="158">
                    <c:v>5.0309425432103861E-5</c:v>
                  </c:pt>
                  <c:pt idx="159">
                    <c:v>3.8108532823372041E-5</c:v>
                  </c:pt>
                  <c:pt idx="160">
                    <c:v>4.7470302280438132E-5</c:v>
                  </c:pt>
                  <c:pt idx="161">
                    <c:v>4.6410431012794944E-5</c:v>
                  </c:pt>
                  <c:pt idx="162">
                    <c:v>4.8101672793993978E-5</c:v>
                  </c:pt>
                  <c:pt idx="163">
                    <c:v>4.7134840205413903E-5</c:v>
                  </c:pt>
                  <c:pt idx="164">
                    <c:v>4.7780229377143296E-5</c:v>
                  </c:pt>
                  <c:pt idx="165">
                    <c:v>4.9644483938719367E-5</c:v>
                  </c:pt>
                  <c:pt idx="166">
                    <c:v>5.9499545722640546E-5</c:v>
                  </c:pt>
                  <c:pt idx="167">
                    <c:v>6.0877470282746936E-5</c:v>
                  </c:pt>
                  <c:pt idx="168">
                    <c:v>6.1536730430401386E-5</c:v>
                  </c:pt>
                  <c:pt idx="169">
                    <c:v>6.1644735394324979E-5</c:v>
                  </c:pt>
                  <c:pt idx="170">
                    <c:v>7.4787419465348538E-5</c:v>
                  </c:pt>
                  <c:pt idx="171">
                    <c:v>7.7973506073288114E-5</c:v>
                  </c:pt>
                  <c:pt idx="172">
                    <c:v>8.344662551839854E-5</c:v>
                  </c:pt>
                  <c:pt idx="173">
                    <c:v>8.1220203583067395E-5</c:v>
                  </c:pt>
                  <c:pt idx="174">
                    <c:v>8.5713013967221948E-5</c:v>
                  </c:pt>
                  <c:pt idx="175">
                    <c:v>9.567570132528991E-5</c:v>
                  </c:pt>
                  <c:pt idx="176">
                    <c:v>9.3122235948358298E-5</c:v>
                  </c:pt>
                  <c:pt idx="177">
                    <c:v>8.9991736637479313E-5</c:v>
                  </c:pt>
                  <c:pt idx="178">
                    <c:v>1.0511658994282617E-4</c:v>
                  </c:pt>
                  <c:pt idx="179">
                    <c:v>1.0453095472349543E-4</c:v>
                  </c:pt>
                  <c:pt idx="180">
                    <c:v>1.0470470457168262E-4</c:v>
                  </c:pt>
                  <c:pt idx="181">
                    <c:v>1.0464767120156436E-4</c:v>
                  </c:pt>
                  <c:pt idx="182">
                    <c:v>1.025586601631947E-4</c:v>
                  </c:pt>
                  <c:pt idx="183">
                    <c:v>1.0409637798371451E-4</c:v>
                  </c:pt>
                  <c:pt idx="184">
                    <c:v>1.0906897032936965E-4</c:v>
                  </c:pt>
                  <c:pt idx="185">
                    <c:v>1.0212778076132086E-4</c:v>
                  </c:pt>
                  <c:pt idx="186">
                    <c:v>1.040735169992931E-4</c:v>
                  </c:pt>
                  <c:pt idx="187">
                    <c:v>1.062899463102209E-4</c:v>
                  </c:pt>
                  <c:pt idx="188">
                    <c:v>6.3068227026390308E-5</c:v>
                  </c:pt>
                  <c:pt idx="189">
                    <c:v>6.1778610861386679E-5</c:v>
                  </c:pt>
                  <c:pt idx="190">
                    <c:v>5.7099120887249751E-5</c:v>
                  </c:pt>
                  <c:pt idx="191">
                    <c:v>5.7882745797094816E-5</c:v>
                  </c:pt>
                  <c:pt idx="192">
                    <c:v>4.9949553984557554E-5</c:v>
                  </c:pt>
                  <c:pt idx="193">
                    <c:v>4.830199315250753E-5</c:v>
                  </c:pt>
                  <c:pt idx="194">
                    <c:v>4.8349940119212615E-5</c:v>
                  </c:pt>
                  <c:pt idx="195">
                    <c:v>4.2341124101255558E-5</c:v>
                  </c:pt>
                  <c:pt idx="196">
                    <c:v>3.8702969707139663E-5</c:v>
                  </c:pt>
                  <c:pt idx="197">
                    <c:v>3.4897379675195297E-5</c:v>
                  </c:pt>
                  <c:pt idx="198">
                    <c:v>3.1262127445455292E-5</c:v>
                  </c:pt>
                  <c:pt idx="199">
                    <c:v>2.7586633316131105E-5</c:v>
                  </c:pt>
                  <c:pt idx="200">
                    <c:v>2.5947383362691433E-5</c:v>
                  </c:pt>
                  <c:pt idx="201">
                    <c:v>2.3831326809853511E-5</c:v>
                  </c:pt>
                  <c:pt idx="202">
                    <c:v>2.0404488030094374E-5</c:v>
                  </c:pt>
                  <c:pt idx="203">
                    <c:v>1.8300288995723722E-5</c:v>
                  </c:pt>
                  <c:pt idx="204">
                    <c:v>1.5928838573684908E-5</c:v>
                  </c:pt>
                  <c:pt idx="205">
                    <c:v>1.5005644219677403E-5</c:v>
                  </c:pt>
                  <c:pt idx="206">
                    <c:v>1.2609147448088647E-5</c:v>
                  </c:pt>
                  <c:pt idx="207">
                    <c:v>1.1838470652432476E-5</c:v>
                  </c:pt>
                  <c:pt idx="208">
                    <c:v>9.139847002946601E-6</c:v>
                  </c:pt>
                  <c:pt idx="209">
                    <c:v>8.4439029668522419E-6</c:v>
                  </c:pt>
                  <c:pt idx="210">
                    <c:v>8.1992616478686432E-6</c:v>
                  </c:pt>
                  <c:pt idx="211">
                    <c:v>6.6493005926626547E-6</c:v>
                  </c:pt>
                  <c:pt idx="212">
                    <c:v>6.5297121228800952E-6</c:v>
                  </c:pt>
                  <c:pt idx="213">
                    <c:v>4.8794703029796187E-6</c:v>
                  </c:pt>
                  <c:pt idx="214">
                    <c:v>5.4924441011786451E-6</c:v>
                  </c:pt>
                  <c:pt idx="215">
                    <c:v>5.6443101455052816E-6</c:v>
                  </c:pt>
                  <c:pt idx="216">
                    <c:v>4.9492471228277414E-6</c:v>
                  </c:pt>
                  <c:pt idx="217">
                    <c:v>5.9903215916924275E-6</c:v>
                  </c:pt>
                  <c:pt idx="218">
                    <c:v>4.8832170535734244E-6</c:v>
                  </c:pt>
                  <c:pt idx="219">
                    <c:v>6.0724281852064386E-6</c:v>
                  </c:pt>
                  <c:pt idx="220">
                    <c:v>6.5010473931606173E-6</c:v>
                  </c:pt>
                  <c:pt idx="221">
                    <c:v>5.0259486234045373E-6</c:v>
                  </c:pt>
                  <c:pt idx="222">
                    <c:v>5.1069086067564176E-6</c:v>
                  </c:pt>
                  <c:pt idx="223">
                    <c:v>4.2036566443834822E-6</c:v>
                  </c:pt>
                  <c:pt idx="224">
                    <c:v>4.178415845479509E-6</c:v>
                  </c:pt>
                  <c:pt idx="225">
                    <c:v>5.0036094536802218E-6</c:v>
                  </c:pt>
                  <c:pt idx="226">
                    <c:v>4.6884620206870038E-6</c:v>
                  </c:pt>
                  <c:pt idx="227">
                    <c:v>5.0935795576004914E-6</c:v>
                  </c:pt>
                  <c:pt idx="228">
                    <c:v>5.1241312788067412E-6</c:v>
                  </c:pt>
                  <c:pt idx="229">
                    <c:v>4.7804014652745002E-6</c:v>
                  </c:pt>
                  <c:pt idx="230">
                    <c:v>4.820619840865777E-6</c:v>
                  </c:pt>
                  <c:pt idx="231">
                    <c:v>5.3766073018538817E-6</c:v>
                  </c:pt>
                  <c:pt idx="232">
                    <c:v>5.972484257613129E-6</c:v>
                  </c:pt>
                  <c:pt idx="233">
                    <c:v>5.6723736719597705E-6</c:v>
                  </c:pt>
                  <c:pt idx="234">
                    <c:v>5.3386382733977686E-6</c:v>
                  </c:pt>
                  <c:pt idx="235">
                    <c:v>5.9858205808201981E-6</c:v>
                  </c:pt>
                  <c:pt idx="236">
                    <c:v>5.0850169237507254E-6</c:v>
                  </c:pt>
                  <c:pt idx="237">
                    <c:v>5.2042933438051145E-6</c:v>
                  </c:pt>
                  <c:pt idx="238">
                    <c:v>5.2391767082340771E-6</c:v>
                  </c:pt>
                  <c:pt idx="239">
                    <c:v>4.9691971924307491E-6</c:v>
                  </c:pt>
                  <c:pt idx="240">
                    <c:v>4.8480962820034966E-6</c:v>
                  </c:pt>
                  <c:pt idx="241">
                    <c:v>5.3421995784450127E-6</c:v>
                  </c:pt>
                  <c:pt idx="242">
                    <c:v>4.9687497915759878E-6</c:v>
                  </c:pt>
                  <c:pt idx="243">
                    <c:v>5.2071590305373455E-6</c:v>
                  </c:pt>
                  <c:pt idx="244">
                    <c:v>5.6364009100358702E-6</c:v>
                  </c:pt>
                  <c:pt idx="245">
                    <c:v>5.8834631793605388E-6</c:v>
                  </c:pt>
                  <c:pt idx="246">
                    <c:v>5.644481195129145E-6</c:v>
                  </c:pt>
                  <c:pt idx="247">
                    <c:v>5.5369654352393171E-6</c:v>
                  </c:pt>
                  <c:pt idx="248">
                    <c:v>6.279772595193875E-6</c:v>
                  </c:pt>
                  <c:pt idx="249">
                    <c:v>1.6575634947270155E-6</c:v>
                  </c:pt>
                  <c:pt idx="250">
                    <c:v>1.5738015106696421E-6</c:v>
                  </c:pt>
                  <c:pt idx="251">
                    <c:v>1.5486398734272707E-6</c:v>
                  </c:pt>
                  <c:pt idx="252">
                    <c:v>1.4038520723363723E-6</c:v>
                  </c:pt>
                  <c:pt idx="253">
                    <c:v>1.3045318447306287E-6</c:v>
                  </c:pt>
                  <c:pt idx="254">
                    <c:v>1.282612046878996E-6</c:v>
                  </c:pt>
                  <c:pt idx="255">
                    <c:v>1.0843337712770225E-6</c:v>
                  </c:pt>
                  <c:pt idx="256">
                    <c:v>1.0160164884038564E-6</c:v>
                  </c:pt>
                  <c:pt idx="257">
                    <c:v>8.523287214326319E-7</c:v>
                  </c:pt>
                  <c:pt idx="258">
                    <c:v>7.4757830416056422E-7</c:v>
                  </c:pt>
                  <c:pt idx="259">
                    <c:v>6.0673753050667471E-7</c:v>
                  </c:pt>
                  <c:pt idx="260">
                    <c:v>5.916347299378972E-7</c:v>
                  </c:pt>
                  <c:pt idx="261">
                    <c:v>5.3653642888403132E-7</c:v>
                  </c:pt>
                  <c:pt idx="262">
                    <c:v>5.3488682648420005E-7</c:v>
                  </c:pt>
                  <c:pt idx="263">
                    <c:v>5.3559613808058605E-7</c:v>
                  </c:pt>
                  <c:pt idx="264">
                    <c:v>4.7778842831537287E-7</c:v>
                  </c:pt>
                  <c:pt idx="265">
                    <c:v>5.1911443717707488E-7</c:v>
                  </c:pt>
                  <c:pt idx="266">
                    <c:v>5.3548519561411951E-7</c:v>
                  </c:pt>
                  <c:pt idx="267">
                    <c:v>5.0709224691216895E-7</c:v>
                  </c:pt>
                  <c:pt idx="268">
                    <c:v>5.342524058937745E-7</c:v>
                  </c:pt>
                  <c:pt idx="269">
                    <c:v>5.3661408187870861E-7</c:v>
                  </c:pt>
                  <c:pt idx="270">
                    <c:v>5.6022984229743169E-7</c:v>
                  </c:pt>
                  <c:pt idx="271">
                    <c:v>5.0813801233421028E-7</c:v>
                  </c:pt>
                  <c:pt idx="272">
                    <c:v>5.1698868418376731E-7</c:v>
                  </c:pt>
                  <c:pt idx="273">
                    <c:v>5.0687926278177416E-7</c:v>
                  </c:pt>
                  <c:pt idx="274">
                    <c:v>4.603728788388757E-7</c:v>
                  </c:pt>
                  <c:pt idx="275">
                    <c:v>4.7922268846055662E-7</c:v>
                  </c:pt>
                  <c:pt idx="276">
                    <c:v>4.7514074409272936E-7</c:v>
                  </c:pt>
                  <c:pt idx="277">
                    <c:v>4.8023905591928176E-7</c:v>
                  </c:pt>
                  <c:pt idx="278">
                    <c:v>4.4086015284896833E-7</c:v>
                  </c:pt>
                  <c:pt idx="279">
                    <c:v>4.9011039123132467E-7</c:v>
                  </c:pt>
                  <c:pt idx="280">
                    <c:v>4.8196715350026863E-7</c:v>
                  </c:pt>
                  <c:pt idx="281">
                    <c:v>4.5825442026692397E-7</c:v>
                  </c:pt>
                  <c:pt idx="282">
                    <c:v>4.86403664965835E-7</c:v>
                  </c:pt>
                  <c:pt idx="283">
                    <c:v>4.8919631448187809E-7</c:v>
                  </c:pt>
                  <c:pt idx="284">
                    <c:v>4.651270986280124E-7</c:v>
                  </c:pt>
                  <c:pt idx="285">
                    <c:v>4.8735851494215014E-7</c:v>
                  </c:pt>
                  <c:pt idx="286">
                    <c:v>5.0350398382053985E-7</c:v>
                  </c:pt>
                  <c:pt idx="287">
                    <c:v>4.6394149117965888E-7</c:v>
                  </c:pt>
                  <c:pt idx="288">
                    <c:v>4.4024360011277615E-7</c:v>
                  </c:pt>
                  <c:pt idx="289">
                    <c:v>3.9333738764107831E-7</c:v>
                  </c:pt>
                  <c:pt idx="290">
                    <c:v>3.8207875474960168E-7</c:v>
                  </c:pt>
                  <c:pt idx="291">
                    <c:v>4.075862073464565E-7</c:v>
                  </c:pt>
                  <c:pt idx="292">
                    <c:v>3.7253169457871956E-7</c:v>
                  </c:pt>
                  <c:pt idx="293">
                    <c:v>3.8696935944571835E-7</c:v>
                  </c:pt>
                  <c:pt idx="294">
                    <c:v>3.4349767935903664E-7</c:v>
                  </c:pt>
                  <c:pt idx="295">
                    <c:v>3.8678836173169599E-7</c:v>
                  </c:pt>
                  <c:pt idx="296">
                    <c:v>3.6757190071568589E-7</c:v>
                  </c:pt>
                  <c:pt idx="297">
                    <c:v>3.3554894564176811E-7</c:v>
                  </c:pt>
                  <c:pt idx="298">
                    <c:v>3.6235167621548677E-7</c:v>
                  </c:pt>
                  <c:pt idx="299">
                    <c:v>3.5988402599755833E-7</c:v>
                  </c:pt>
                  <c:pt idx="300">
                    <c:v>3.2646635943197125E-7</c:v>
                  </c:pt>
                  <c:pt idx="301">
                    <c:v>3.520742508112166E-7</c:v>
                  </c:pt>
                  <c:pt idx="302">
                    <c:v>3.2187715550455193E-7</c:v>
                  </c:pt>
                  <c:pt idx="303">
                    <c:v>3.4341134348548411E-7</c:v>
                  </c:pt>
                  <c:pt idx="304">
                    <c:v>3.37628749412932E-7</c:v>
                  </c:pt>
                  <c:pt idx="305">
                    <c:v>3.217351965061175E-7</c:v>
                  </c:pt>
                  <c:pt idx="306">
                    <c:v>3.3150658489748348E-7</c:v>
                  </c:pt>
                  <c:pt idx="307">
                    <c:v>2.7732922681728309E-7</c:v>
                  </c:pt>
                  <c:pt idx="308">
                    <c:v>3.0645142968947464E-7</c:v>
                  </c:pt>
                  <c:pt idx="309">
                    <c:v>3.0432352983653165E-7</c:v>
                  </c:pt>
                  <c:pt idx="310">
                    <c:v>2.9617626215182895E-7</c:v>
                  </c:pt>
                  <c:pt idx="311">
                    <c:v>3.0359948983960139E-7</c:v>
                  </c:pt>
                  <c:pt idx="312">
                    <c:v>3.2152821226781855E-7</c:v>
                  </c:pt>
                  <c:pt idx="313">
                    <c:v>2.6740755682284445E-7</c:v>
                  </c:pt>
                  <c:pt idx="314">
                    <c:v>2.8662357555438053E-7</c:v>
                  </c:pt>
                  <c:pt idx="315">
                    <c:v>2.8216312825051994E-7</c:v>
                  </c:pt>
                  <c:pt idx="316">
                    <c:v>2.7162503004045088E-7</c:v>
                  </c:pt>
                  <c:pt idx="317">
                    <c:v>2.9421410351263524E-7</c:v>
                  </c:pt>
                  <c:pt idx="318">
                    <c:v>2.9196122692792711E-7</c:v>
                  </c:pt>
                  <c:pt idx="319">
                    <c:v>2.9096836306653699E-7</c:v>
                  </c:pt>
                  <c:pt idx="320">
                    <c:v>2.7636516181854162E-7</c:v>
                  </c:pt>
                  <c:pt idx="321">
                    <c:v>2.9930986087452612E-7</c:v>
                  </c:pt>
                  <c:pt idx="322">
                    <c:v>2.7412502581414016E-7</c:v>
                  </c:pt>
                  <c:pt idx="323">
                    <c:v>2.8197764985992265E-7</c:v>
                  </c:pt>
                  <c:pt idx="324">
                    <c:v>2.6212967173582991E-7</c:v>
                  </c:pt>
                  <c:pt idx="325">
                    <c:v>2.8598307406121873E-7</c:v>
                  </c:pt>
                  <c:pt idx="326">
                    <c:v>3.0221620648337747E-7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0.10729195267045732</c:v>
                  </c:pt>
                  <c:pt idx="1">
                    <c:v>9.6638571780310711E-2</c:v>
                  </c:pt>
                  <c:pt idx="2">
                    <c:v>9.5714210804609845E-2</c:v>
                  </c:pt>
                  <c:pt idx="3">
                    <c:v>9.7315917335186644E-2</c:v>
                  </c:pt>
                  <c:pt idx="4">
                    <c:v>9.3861990051440941E-2</c:v>
                  </c:pt>
                  <c:pt idx="5">
                    <c:v>8.8965396313499812E-2</c:v>
                  </c:pt>
                  <c:pt idx="6">
                    <c:v>8.0300547691667862E-2</c:v>
                  </c:pt>
                  <c:pt idx="7">
                    <c:v>8.1896596081629885E-2</c:v>
                  </c:pt>
                  <c:pt idx="8">
                    <c:v>7.7104180155191562E-2</c:v>
                  </c:pt>
                  <c:pt idx="9">
                    <c:v>7.5207313517951194E-2</c:v>
                  </c:pt>
                  <c:pt idx="10">
                    <c:v>7.1113088553806283E-2</c:v>
                  </c:pt>
                  <c:pt idx="11">
                    <c:v>6.8224101930386166E-2</c:v>
                  </c:pt>
                  <c:pt idx="12">
                    <c:v>6.7904275433803993E-2</c:v>
                  </c:pt>
                  <c:pt idx="13">
                    <c:v>6.3688693974364885E-2</c:v>
                  </c:pt>
                  <c:pt idx="14">
                    <c:v>6.3513296975088632E-2</c:v>
                  </c:pt>
                  <c:pt idx="15">
                    <c:v>6.2977088826392955E-2</c:v>
                  </c:pt>
                  <c:pt idx="16">
                    <c:v>6.1519345468563386E-2</c:v>
                  </c:pt>
                  <c:pt idx="17">
                    <c:v>5.4206286071909901E-2</c:v>
                  </c:pt>
                  <c:pt idx="18">
                    <c:v>5.1294036907974752E-2</c:v>
                  </c:pt>
                  <c:pt idx="19">
                    <c:v>4.63916238361336E-2</c:v>
                  </c:pt>
                  <c:pt idx="20">
                    <c:v>4.3196904683758183E-2</c:v>
                  </c:pt>
                  <c:pt idx="21">
                    <c:v>4.3556344486299185E-2</c:v>
                  </c:pt>
                  <c:pt idx="22">
                    <c:v>4.2492013726024923E-2</c:v>
                  </c:pt>
                  <c:pt idx="23">
                    <c:v>3.9176117003806438E-2</c:v>
                  </c:pt>
                  <c:pt idx="24">
                    <c:v>3.2287181936136083E-2</c:v>
                  </c:pt>
                  <c:pt idx="25">
                    <c:v>2.4973212224373327E-2</c:v>
                  </c:pt>
                  <c:pt idx="26">
                    <c:v>2.0079030471502037E-2</c:v>
                  </c:pt>
                  <c:pt idx="27">
                    <c:v>1.7161351543161243E-2</c:v>
                  </c:pt>
                  <c:pt idx="28">
                    <c:v>1.3564167510188425E-2</c:v>
                  </c:pt>
                  <c:pt idx="29">
                    <c:v>1.1218834237923267E-2</c:v>
                  </c:pt>
                  <c:pt idx="30">
                    <c:v>1.0136928841432295E-2</c:v>
                  </c:pt>
                  <c:pt idx="31">
                    <c:v>8.7318371916925951E-3</c:v>
                  </c:pt>
                  <c:pt idx="32">
                    <c:v>8.872978243684531E-3</c:v>
                  </c:pt>
                  <c:pt idx="33">
                    <c:v>7.4740420188941061E-3</c:v>
                  </c:pt>
                  <c:pt idx="34">
                    <c:v>7.3957692764288928E-3</c:v>
                  </c:pt>
                  <c:pt idx="35">
                    <c:v>6.062947360198241E-3</c:v>
                  </c:pt>
                  <c:pt idx="36">
                    <c:v>5.9587695672397474E-3</c:v>
                  </c:pt>
                  <c:pt idx="37">
                    <c:v>5.7464836135669873E-3</c:v>
                  </c:pt>
                  <c:pt idx="38">
                    <c:v>4.8553400937246093E-3</c:v>
                  </c:pt>
                  <c:pt idx="39">
                    <c:v>4.9339974826291171E-3</c:v>
                  </c:pt>
                  <c:pt idx="40">
                    <c:v>4.4322850501855183E-3</c:v>
                  </c:pt>
                  <c:pt idx="41">
                    <c:v>4.6116187879124025E-3</c:v>
                  </c:pt>
                  <c:pt idx="42">
                    <c:v>3.1886963886871159E-3</c:v>
                  </c:pt>
                  <c:pt idx="43">
                    <c:v>3.5485531424816878E-3</c:v>
                  </c:pt>
                  <c:pt idx="44">
                    <c:v>3.4409278361443437E-3</c:v>
                  </c:pt>
                  <c:pt idx="45">
                    <c:v>3.4801205768538444E-3</c:v>
                  </c:pt>
                  <c:pt idx="46">
                    <c:v>3.2850432743053337E-3</c:v>
                  </c:pt>
                  <c:pt idx="47">
                    <c:v>2.7677830905158169E-3</c:v>
                  </c:pt>
                  <c:pt idx="48">
                    <c:v>2.5560106492571186E-3</c:v>
                  </c:pt>
                  <c:pt idx="49">
                    <c:v>2.8787351978687859E-3</c:v>
                  </c:pt>
                  <c:pt idx="50">
                    <c:v>2.8684071469893507E-3</c:v>
                  </c:pt>
                  <c:pt idx="51">
                    <c:v>2.675418670883954E-3</c:v>
                  </c:pt>
                  <c:pt idx="52">
                    <c:v>2.9431759184631481E-3</c:v>
                  </c:pt>
                  <c:pt idx="53">
                    <c:v>2.6966765768491768E-3</c:v>
                  </c:pt>
                  <c:pt idx="54">
                    <c:v>2.5234683379377282E-3</c:v>
                  </c:pt>
                  <c:pt idx="55">
                    <c:v>2.5155978853125568E-3</c:v>
                  </c:pt>
                  <c:pt idx="56">
                    <c:v>2.137227132868339E-3</c:v>
                  </c:pt>
                  <c:pt idx="57">
                    <c:v>2.2141193035741242E-3</c:v>
                  </c:pt>
                  <c:pt idx="58">
                    <c:v>2.0479605018938283E-3</c:v>
                  </c:pt>
                  <c:pt idx="59">
                    <c:v>1.9888724930336413E-3</c:v>
                  </c:pt>
                  <c:pt idx="60">
                    <c:v>1.7963871658511126E-3</c:v>
                  </c:pt>
                  <c:pt idx="61">
                    <c:v>1.7228152557671565E-3</c:v>
                  </c:pt>
                  <c:pt idx="62">
                    <c:v>1.6176017007990594E-3</c:v>
                  </c:pt>
                  <c:pt idx="63">
                    <c:v>1.6093858544948612E-3</c:v>
                  </c:pt>
                  <c:pt idx="64">
                    <c:v>1.5215075536703017E-3</c:v>
                  </c:pt>
                  <c:pt idx="65">
                    <c:v>1.3883785647323132E-3</c:v>
                  </c:pt>
                  <c:pt idx="66">
                    <c:v>1.2800809737585632E-3</c:v>
                  </c:pt>
                  <c:pt idx="67">
                    <c:v>1.2259944600819406E-3</c:v>
                  </c:pt>
                  <c:pt idx="68">
                    <c:v>1.1296820387657316E-3</c:v>
                  </c:pt>
                  <c:pt idx="69">
                    <c:v>1.0758124731416647E-3</c:v>
                  </c:pt>
                  <c:pt idx="70">
                    <c:v>1.07119872346358E-3</c:v>
                  </c:pt>
                  <c:pt idx="71">
                    <c:v>9.3537553597592793E-4</c:v>
                  </c:pt>
                  <c:pt idx="72">
                    <c:v>9.4378563547655174E-4</c:v>
                  </c:pt>
                  <c:pt idx="73">
                    <c:v>8.625460416892656E-4</c:v>
                  </c:pt>
                  <c:pt idx="74">
                    <c:v>1.0498328720642096E-3</c:v>
                  </c:pt>
                  <c:pt idx="75">
                    <c:v>1.0773058141386397E-3</c:v>
                  </c:pt>
                  <c:pt idx="76">
                    <c:v>9.1250287597772768E-4</c:v>
                  </c:pt>
                  <c:pt idx="77">
                    <c:v>8.8195130371030144E-4</c:v>
                  </c:pt>
                  <c:pt idx="78">
                    <c:v>8.8531208822412502E-4</c:v>
                  </c:pt>
                  <c:pt idx="79">
                    <c:v>8.7999642914991544E-4</c:v>
                  </c:pt>
                  <c:pt idx="80">
                    <c:v>8.8606620478994501E-4</c:v>
                  </c:pt>
                  <c:pt idx="81">
                    <c:v>6.9140263584983462E-4</c:v>
                  </c:pt>
                  <c:pt idx="82">
                    <c:v>7.2135344080420541E-4</c:v>
                  </c:pt>
                  <c:pt idx="83">
                    <c:v>7.2586248849368222E-4</c:v>
                  </c:pt>
                  <c:pt idx="84">
                    <c:v>7.0019662257401073E-4</c:v>
                  </c:pt>
                  <c:pt idx="85">
                    <c:v>6.7125417016031133E-4</c:v>
                  </c:pt>
                  <c:pt idx="86">
                    <c:v>6.4166400449957098E-4</c:v>
                  </c:pt>
                  <c:pt idx="87">
                    <c:v>6.3212651579497444E-4</c:v>
                  </c:pt>
                  <c:pt idx="88">
                    <c:v>6.020704415017256E-4</c:v>
                  </c:pt>
                  <c:pt idx="89">
                    <c:v>5.4120106645249894E-4</c:v>
                  </c:pt>
                  <c:pt idx="90">
                    <c:v>4.8693825693983857E-4</c:v>
                  </c:pt>
                  <c:pt idx="91">
                    <c:v>4.979221835474261E-4</c:v>
                  </c:pt>
                  <c:pt idx="92">
                    <c:v>4.3527524601797823E-4</c:v>
                  </c:pt>
                  <c:pt idx="93">
                    <c:v>4.2460121866727616E-4</c:v>
                  </c:pt>
                  <c:pt idx="94">
                    <c:v>3.7973382778510619E-4</c:v>
                  </c:pt>
                  <c:pt idx="95">
                    <c:v>3.8860594857827288E-4</c:v>
                  </c:pt>
                  <c:pt idx="96">
                    <c:v>3.6241381685016657E-4</c:v>
                  </c:pt>
                  <c:pt idx="97">
                    <c:v>3.4579837958792459E-4</c:v>
                  </c:pt>
                  <c:pt idx="98">
                    <c:v>3.3717545972483919E-4</c:v>
                  </c:pt>
                  <c:pt idx="99">
                    <c:v>2.8747643119121668E-4</c:v>
                  </c:pt>
                  <c:pt idx="100">
                    <c:v>3.040003990463498E-4</c:v>
                  </c:pt>
                  <c:pt idx="101">
                    <c:v>2.7237270058558661E-4</c:v>
                  </c:pt>
                  <c:pt idx="102">
                    <c:v>2.2100295682337884E-4</c:v>
                  </c:pt>
                  <c:pt idx="103">
                    <c:v>2.263852601731466E-4</c:v>
                  </c:pt>
                  <c:pt idx="104">
                    <c:v>2.28179034095874E-4</c:v>
                  </c:pt>
                  <c:pt idx="105">
                    <c:v>2.0549577917176323E-4</c:v>
                  </c:pt>
                  <c:pt idx="106">
                    <c:v>1.7680264049567588E-4</c:v>
                  </c:pt>
                  <c:pt idx="107">
                    <c:v>1.7000052924424046E-4</c:v>
                  </c:pt>
                  <c:pt idx="108">
                    <c:v>1.2316357122388967E-4</c:v>
                  </c:pt>
                  <c:pt idx="109">
                    <c:v>1.2233590092838523E-4</c:v>
                  </c:pt>
                  <c:pt idx="110">
                    <c:v>1.4210315530999366E-4</c:v>
                  </c:pt>
                  <c:pt idx="111">
                    <c:v>1.4665592982692952E-4</c:v>
                  </c:pt>
                  <c:pt idx="112">
                    <c:v>1.1603336706895126E-4</c:v>
                  </c:pt>
                  <c:pt idx="113">
                    <c:v>1.1894841981010142E-4</c:v>
                  </c:pt>
                  <c:pt idx="114">
                    <c:v>1.1229667382247219E-4</c:v>
                  </c:pt>
                  <c:pt idx="115">
                    <c:v>1.3359323655597624E-4</c:v>
                  </c:pt>
                  <c:pt idx="116">
                    <c:v>1.1920529646534206E-4</c:v>
                  </c:pt>
                  <c:pt idx="117">
                    <c:v>1.4439771466246784E-4</c:v>
                  </c:pt>
                  <c:pt idx="118">
                    <c:v>1.2636252544003657E-4</c:v>
                  </c:pt>
                  <c:pt idx="119">
                    <c:v>1.3120401649788067E-4</c:v>
                  </c:pt>
                  <c:pt idx="120">
                    <c:v>8.3355355560380269E-5</c:v>
                  </c:pt>
                  <c:pt idx="121">
                    <c:v>9.4924931137773644E-5</c:v>
                  </c:pt>
                  <c:pt idx="122">
                    <c:v>1.0535151270574273E-4</c:v>
                  </c:pt>
                  <c:pt idx="123">
                    <c:v>1.0470631998653341E-4</c:v>
                  </c:pt>
                  <c:pt idx="124">
                    <c:v>9.9355281029466815E-5</c:v>
                  </c:pt>
                  <c:pt idx="125">
                    <c:v>1.1381631604016394E-4</c:v>
                  </c:pt>
                  <c:pt idx="126">
                    <c:v>1.0485703948061031E-4</c:v>
                  </c:pt>
                  <c:pt idx="127">
                    <c:v>1.1787395450871274E-4</c:v>
                  </c:pt>
                  <c:pt idx="128">
                    <c:v>1.0968328207478935E-4</c:v>
                  </c:pt>
                  <c:pt idx="129">
                    <c:v>1.1894797206588632E-4</c:v>
                  </c:pt>
                  <c:pt idx="130">
                    <c:v>1.1940785196804513E-4</c:v>
                  </c:pt>
                  <c:pt idx="131">
                    <c:v>1.1268324816010216E-4</c:v>
                  </c:pt>
                  <c:pt idx="132">
                    <c:v>1.2386003205822819E-4</c:v>
                  </c:pt>
                  <c:pt idx="133">
                    <c:v>1.1292692709397975E-4</c:v>
                  </c:pt>
                  <c:pt idx="134">
                    <c:v>1.2586134229450647E-4</c:v>
                  </c:pt>
                  <c:pt idx="135">
                    <c:v>1.1972111074095451E-4</c:v>
                  </c:pt>
                  <c:pt idx="136">
                    <c:v>1.1954111225044527E-4</c:v>
                  </c:pt>
                  <c:pt idx="137">
                    <c:v>1.2195582172797707E-4</c:v>
                  </c:pt>
                  <c:pt idx="138">
                    <c:v>1.1264707385066402E-4</c:v>
                  </c:pt>
                  <c:pt idx="139">
                    <c:v>1.1553489364993551E-4</c:v>
                  </c:pt>
                  <c:pt idx="140">
                    <c:v>1.1509521413088609E-4</c:v>
                  </c:pt>
                  <c:pt idx="141">
                    <c:v>1.1609909869493021E-4</c:v>
                  </c:pt>
                  <c:pt idx="142">
                    <c:v>1.1469478872250984E-4</c:v>
                  </c:pt>
                  <c:pt idx="143">
                    <c:v>1.0483572447078177E-4</c:v>
                  </c:pt>
                  <c:pt idx="144">
                    <c:v>1.0160471937876351E-4</c:v>
                  </c:pt>
                  <c:pt idx="145">
                    <c:v>9.9572541299124896E-5</c:v>
                  </c:pt>
                  <c:pt idx="146">
                    <c:v>1.0000469286359998E-4</c:v>
                  </c:pt>
                  <c:pt idx="147">
                    <c:v>9.3516492157398132E-5</c:v>
                  </c:pt>
                  <c:pt idx="148">
                    <c:v>9.1463745212098547E-5</c:v>
                  </c:pt>
                  <c:pt idx="149">
                    <c:v>7.749081941989067E-5</c:v>
                  </c:pt>
                  <c:pt idx="150">
                    <c:v>7.9024379952538583E-5</c:v>
                  </c:pt>
                  <c:pt idx="151">
                    <c:v>7.3575662831315482E-5</c:v>
                  </c:pt>
                  <c:pt idx="152">
                    <c:v>6.7378109135413317E-5</c:v>
                  </c:pt>
                  <c:pt idx="153">
                    <c:v>6.4934812339547055E-5</c:v>
                  </c:pt>
                  <c:pt idx="154">
                    <c:v>6.2286951275811926E-5</c:v>
                  </c:pt>
                  <c:pt idx="155">
                    <c:v>5.6241326113864448E-5</c:v>
                  </c:pt>
                  <c:pt idx="156">
                    <c:v>5.2995408319902422E-5</c:v>
                  </c:pt>
                  <c:pt idx="157">
                    <c:v>5.0484355640307832E-5</c:v>
                  </c:pt>
                  <c:pt idx="158">
                    <c:v>5.0309425432103861E-5</c:v>
                  </c:pt>
                  <c:pt idx="159">
                    <c:v>3.8108532823372041E-5</c:v>
                  </c:pt>
                  <c:pt idx="160">
                    <c:v>4.7470302280438132E-5</c:v>
                  </c:pt>
                  <c:pt idx="161">
                    <c:v>4.6410431012794944E-5</c:v>
                  </c:pt>
                  <c:pt idx="162">
                    <c:v>4.8101672793993978E-5</c:v>
                  </c:pt>
                  <c:pt idx="163">
                    <c:v>4.7134840205413903E-5</c:v>
                  </c:pt>
                  <c:pt idx="164">
                    <c:v>4.7780229377143296E-5</c:v>
                  </c:pt>
                  <c:pt idx="165">
                    <c:v>4.9644483938719367E-5</c:v>
                  </c:pt>
                  <c:pt idx="166">
                    <c:v>5.9499545722640546E-5</c:v>
                  </c:pt>
                  <c:pt idx="167">
                    <c:v>6.0877470282746936E-5</c:v>
                  </c:pt>
                  <c:pt idx="168">
                    <c:v>6.1536730430401386E-5</c:v>
                  </c:pt>
                  <c:pt idx="169">
                    <c:v>6.1644735394324979E-5</c:v>
                  </c:pt>
                  <c:pt idx="170">
                    <c:v>7.4787419465348538E-5</c:v>
                  </c:pt>
                  <c:pt idx="171">
                    <c:v>7.7973506073288114E-5</c:v>
                  </c:pt>
                  <c:pt idx="172">
                    <c:v>8.344662551839854E-5</c:v>
                  </c:pt>
                  <c:pt idx="173">
                    <c:v>8.1220203583067395E-5</c:v>
                  </c:pt>
                  <c:pt idx="174">
                    <c:v>8.5713013967221948E-5</c:v>
                  </c:pt>
                  <c:pt idx="175">
                    <c:v>9.567570132528991E-5</c:v>
                  </c:pt>
                  <c:pt idx="176">
                    <c:v>9.3122235948358298E-5</c:v>
                  </c:pt>
                  <c:pt idx="177">
                    <c:v>8.9991736637479313E-5</c:v>
                  </c:pt>
                  <c:pt idx="178">
                    <c:v>1.0511658994282617E-4</c:v>
                  </c:pt>
                  <c:pt idx="179">
                    <c:v>1.0453095472349543E-4</c:v>
                  </c:pt>
                  <c:pt idx="180">
                    <c:v>1.0470470457168262E-4</c:v>
                  </c:pt>
                  <c:pt idx="181">
                    <c:v>1.0464767120156436E-4</c:v>
                  </c:pt>
                  <c:pt idx="182">
                    <c:v>1.025586601631947E-4</c:v>
                  </c:pt>
                  <c:pt idx="183">
                    <c:v>1.0409637798371451E-4</c:v>
                  </c:pt>
                  <c:pt idx="184">
                    <c:v>1.0906897032936965E-4</c:v>
                  </c:pt>
                  <c:pt idx="185">
                    <c:v>1.0212778076132086E-4</c:v>
                  </c:pt>
                  <c:pt idx="186">
                    <c:v>1.040735169992931E-4</c:v>
                  </c:pt>
                  <c:pt idx="187">
                    <c:v>1.062899463102209E-4</c:v>
                  </c:pt>
                  <c:pt idx="188">
                    <c:v>6.3068227026390308E-5</c:v>
                  </c:pt>
                  <c:pt idx="189">
                    <c:v>6.1778610861386679E-5</c:v>
                  </c:pt>
                  <c:pt idx="190">
                    <c:v>5.7099120887249751E-5</c:v>
                  </c:pt>
                  <c:pt idx="191">
                    <c:v>5.7882745797094816E-5</c:v>
                  </c:pt>
                  <c:pt idx="192">
                    <c:v>4.9949553984557554E-5</c:v>
                  </c:pt>
                  <c:pt idx="193">
                    <c:v>4.830199315250753E-5</c:v>
                  </c:pt>
                  <c:pt idx="194">
                    <c:v>4.8349940119212615E-5</c:v>
                  </c:pt>
                  <c:pt idx="195">
                    <c:v>4.2341124101255558E-5</c:v>
                  </c:pt>
                  <c:pt idx="196">
                    <c:v>3.8702969707139663E-5</c:v>
                  </c:pt>
                  <c:pt idx="197">
                    <c:v>3.4897379675195297E-5</c:v>
                  </c:pt>
                  <c:pt idx="198">
                    <c:v>3.1262127445455292E-5</c:v>
                  </c:pt>
                  <c:pt idx="199">
                    <c:v>2.7586633316131105E-5</c:v>
                  </c:pt>
                  <c:pt idx="200">
                    <c:v>2.5947383362691433E-5</c:v>
                  </c:pt>
                  <c:pt idx="201">
                    <c:v>2.3831326809853511E-5</c:v>
                  </c:pt>
                  <c:pt idx="202">
                    <c:v>2.0404488030094374E-5</c:v>
                  </c:pt>
                  <c:pt idx="203">
                    <c:v>1.8300288995723722E-5</c:v>
                  </c:pt>
                  <c:pt idx="204">
                    <c:v>1.5928838573684908E-5</c:v>
                  </c:pt>
                  <c:pt idx="205">
                    <c:v>1.5005644219677403E-5</c:v>
                  </c:pt>
                  <c:pt idx="206">
                    <c:v>1.2609147448088647E-5</c:v>
                  </c:pt>
                  <c:pt idx="207">
                    <c:v>1.1838470652432476E-5</c:v>
                  </c:pt>
                  <c:pt idx="208">
                    <c:v>9.139847002946601E-6</c:v>
                  </c:pt>
                  <c:pt idx="209">
                    <c:v>8.4439029668522419E-6</c:v>
                  </c:pt>
                  <c:pt idx="210">
                    <c:v>8.1992616478686432E-6</c:v>
                  </c:pt>
                  <c:pt idx="211">
                    <c:v>6.6493005926626547E-6</c:v>
                  </c:pt>
                  <c:pt idx="212">
                    <c:v>6.5297121228800952E-6</c:v>
                  </c:pt>
                  <c:pt idx="213">
                    <c:v>4.8794703029796187E-6</c:v>
                  </c:pt>
                  <c:pt idx="214">
                    <c:v>5.4924441011786451E-6</c:v>
                  </c:pt>
                  <c:pt idx="215">
                    <c:v>5.6443101455052816E-6</c:v>
                  </c:pt>
                  <c:pt idx="216">
                    <c:v>4.9492471228277414E-6</c:v>
                  </c:pt>
                  <c:pt idx="217">
                    <c:v>5.9903215916924275E-6</c:v>
                  </c:pt>
                  <c:pt idx="218">
                    <c:v>4.8832170535734244E-6</c:v>
                  </c:pt>
                  <c:pt idx="219">
                    <c:v>6.0724281852064386E-6</c:v>
                  </c:pt>
                  <c:pt idx="220">
                    <c:v>6.5010473931606173E-6</c:v>
                  </c:pt>
                  <c:pt idx="221">
                    <c:v>5.0259486234045373E-6</c:v>
                  </c:pt>
                  <c:pt idx="222">
                    <c:v>5.1069086067564176E-6</c:v>
                  </c:pt>
                  <c:pt idx="223">
                    <c:v>4.2036566443834822E-6</c:v>
                  </c:pt>
                  <c:pt idx="224">
                    <c:v>4.178415845479509E-6</c:v>
                  </c:pt>
                  <c:pt idx="225">
                    <c:v>5.0036094536802218E-6</c:v>
                  </c:pt>
                  <c:pt idx="226">
                    <c:v>4.6884620206870038E-6</c:v>
                  </c:pt>
                  <c:pt idx="227">
                    <c:v>5.0935795576004914E-6</c:v>
                  </c:pt>
                  <c:pt idx="228">
                    <c:v>5.1241312788067412E-6</c:v>
                  </c:pt>
                  <c:pt idx="229">
                    <c:v>4.7804014652745002E-6</c:v>
                  </c:pt>
                  <c:pt idx="230">
                    <c:v>4.820619840865777E-6</c:v>
                  </c:pt>
                  <c:pt idx="231">
                    <c:v>5.3766073018538817E-6</c:v>
                  </c:pt>
                  <c:pt idx="232">
                    <c:v>5.972484257613129E-6</c:v>
                  </c:pt>
                  <c:pt idx="233">
                    <c:v>5.6723736719597705E-6</c:v>
                  </c:pt>
                  <c:pt idx="234">
                    <c:v>5.3386382733977686E-6</c:v>
                  </c:pt>
                  <c:pt idx="235">
                    <c:v>5.9858205808201981E-6</c:v>
                  </c:pt>
                  <c:pt idx="236">
                    <c:v>5.0850169237507254E-6</c:v>
                  </c:pt>
                  <c:pt idx="237">
                    <c:v>5.2042933438051145E-6</c:v>
                  </c:pt>
                  <c:pt idx="238">
                    <c:v>5.2391767082340771E-6</c:v>
                  </c:pt>
                  <c:pt idx="239">
                    <c:v>4.9691971924307491E-6</c:v>
                  </c:pt>
                  <c:pt idx="240">
                    <c:v>4.8480962820034966E-6</c:v>
                  </c:pt>
                  <c:pt idx="241">
                    <c:v>5.3421995784450127E-6</c:v>
                  </c:pt>
                  <c:pt idx="242">
                    <c:v>4.9687497915759878E-6</c:v>
                  </c:pt>
                  <c:pt idx="243">
                    <c:v>5.2071590305373455E-6</c:v>
                  </c:pt>
                  <c:pt idx="244">
                    <c:v>5.6364009100358702E-6</c:v>
                  </c:pt>
                  <c:pt idx="245">
                    <c:v>5.8834631793605388E-6</c:v>
                  </c:pt>
                  <c:pt idx="246">
                    <c:v>5.644481195129145E-6</c:v>
                  </c:pt>
                  <c:pt idx="247">
                    <c:v>5.5369654352393171E-6</c:v>
                  </c:pt>
                  <c:pt idx="248">
                    <c:v>6.279772595193875E-6</c:v>
                  </c:pt>
                  <c:pt idx="249">
                    <c:v>1.6575634947270155E-6</c:v>
                  </c:pt>
                  <c:pt idx="250">
                    <c:v>1.5738015106696421E-6</c:v>
                  </c:pt>
                  <c:pt idx="251">
                    <c:v>1.5486398734272707E-6</c:v>
                  </c:pt>
                  <c:pt idx="252">
                    <c:v>1.4038520723363723E-6</c:v>
                  </c:pt>
                  <c:pt idx="253">
                    <c:v>1.3045318447306287E-6</c:v>
                  </c:pt>
                  <c:pt idx="254">
                    <c:v>1.282612046878996E-6</c:v>
                  </c:pt>
                  <c:pt idx="255">
                    <c:v>1.0843337712770225E-6</c:v>
                  </c:pt>
                  <c:pt idx="256">
                    <c:v>1.0160164884038564E-6</c:v>
                  </c:pt>
                  <c:pt idx="257">
                    <c:v>8.523287214326319E-7</c:v>
                  </c:pt>
                  <c:pt idx="258">
                    <c:v>7.4757830416056422E-7</c:v>
                  </c:pt>
                  <c:pt idx="259">
                    <c:v>6.0673753050667471E-7</c:v>
                  </c:pt>
                  <c:pt idx="260">
                    <c:v>5.916347299378972E-7</c:v>
                  </c:pt>
                  <c:pt idx="261">
                    <c:v>5.3653642888403132E-7</c:v>
                  </c:pt>
                  <c:pt idx="262">
                    <c:v>5.3488682648420005E-7</c:v>
                  </c:pt>
                  <c:pt idx="263">
                    <c:v>5.3559613808058605E-7</c:v>
                  </c:pt>
                  <c:pt idx="264">
                    <c:v>4.7778842831537287E-7</c:v>
                  </c:pt>
                  <c:pt idx="265">
                    <c:v>5.1911443717707488E-7</c:v>
                  </c:pt>
                  <c:pt idx="266">
                    <c:v>5.3548519561411951E-7</c:v>
                  </c:pt>
                  <c:pt idx="267">
                    <c:v>5.0709224691216895E-7</c:v>
                  </c:pt>
                  <c:pt idx="268">
                    <c:v>5.342524058937745E-7</c:v>
                  </c:pt>
                  <c:pt idx="269">
                    <c:v>5.3661408187870861E-7</c:v>
                  </c:pt>
                  <c:pt idx="270">
                    <c:v>5.6022984229743169E-7</c:v>
                  </c:pt>
                  <c:pt idx="271">
                    <c:v>5.0813801233421028E-7</c:v>
                  </c:pt>
                  <c:pt idx="272">
                    <c:v>5.1698868418376731E-7</c:v>
                  </c:pt>
                  <c:pt idx="273">
                    <c:v>5.0687926278177416E-7</c:v>
                  </c:pt>
                  <c:pt idx="274">
                    <c:v>4.603728788388757E-7</c:v>
                  </c:pt>
                  <c:pt idx="275">
                    <c:v>4.7922268846055662E-7</c:v>
                  </c:pt>
                  <c:pt idx="276">
                    <c:v>4.7514074409272936E-7</c:v>
                  </c:pt>
                  <c:pt idx="277">
                    <c:v>4.8023905591928176E-7</c:v>
                  </c:pt>
                  <c:pt idx="278">
                    <c:v>4.4086015284896833E-7</c:v>
                  </c:pt>
                  <c:pt idx="279">
                    <c:v>4.9011039123132467E-7</c:v>
                  </c:pt>
                  <c:pt idx="280">
                    <c:v>4.8196715350026863E-7</c:v>
                  </c:pt>
                  <c:pt idx="281">
                    <c:v>4.5825442026692397E-7</c:v>
                  </c:pt>
                  <c:pt idx="282">
                    <c:v>4.86403664965835E-7</c:v>
                  </c:pt>
                  <c:pt idx="283">
                    <c:v>4.8919631448187809E-7</c:v>
                  </c:pt>
                  <c:pt idx="284">
                    <c:v>4.651270986280124E-7</c:v>
                  </c:pt>
                  <c:pt idx="285">
                    <c:v>4.8735851494215014E-7</c:v>
                  </c:pt>
                  <c:pt idx="286">
                    <c:v>5.0350398382053985E-7</c:v>
                  </c:pt>
                  <c:pt idx="287">
                    <c:v>4.6394149117965888E-7</c:v>
                  </c:pt>
                  <c:pt idx="288">
                    <c:v>4.4024360011277615E-7</c:v>
                  </c:pt>
                  <c:pt idx="289">
                    <c:v>3.9333738764107831E-7</c:v>
                  </c:pt>
                  <c:pt idx="290">
                    <c:v>3.8207875474960168E-7</c:v>
                  </c:pt>
                  <c:pt idx="291">
                    <c:v>4.075862073464565E-7</c:v>
                  </c:pt>
                  <c:pt idx="292">
                    <c:v>3.7253169457871956E-7</c:v>
                  </c:pt>
                  <c:pt idx="293">
                    <c:v>3.8696935944571835E-7</c:v>
                  </c:pt>
                  <c:pt idx="294">
                    <c:v>3.4349767935903664E-7</c:v>
                  </c:pt>
                  <c:pt idx="295">
                    <c:v>3.8678836173169599E-7</c:v>
                  </c:pt>
                  <c:pt idx="296">
                    <c:v>3.6757190071568589E-7</c:v>
                  </c:pt>
                  <c:pt idx="297">
                    <c:v>3.3554894564176811E-7</c:v>
                  </c:pt>
                  <c:pt idx="298">
                    <c:v>3.6235167621548677E-7</c:v>
                  </c:pt>
                  <c:pt idx="299">
                    <c:v>3.5988402599755833E-7</c:v>
                  </c:pt>
                  <c:pt idx="300">
                    <c:v>3.2646635943197125E-7</c:v>
                  </c:pt>
                  <c:pt idx="301">
                    <c:v>3.520742508112166E-7</c:v>
                  </c:pt>
                  <c:pt idx="302">
                    <c:v>3.2187715550455193E-7</c:v>
                  </c:pt>
                  <c:pt idx="303">
                    <c:v>3.4341134348548411E-7</c:v>
                  </c:pt>
                  <c:pt idx="304">
                    <c:v>3.37628749412932E-7</c:v>
                  </c:pt>
                  <c:pt idx="305">
                    <c:v>3.217351965061175E-7</c:v>
                  </c:pt>
                  <c:pt idx="306">
                    <c:v>3.3150658489748348E-7</c:v>
                  </c:pt>
                  <c:pt idx="307">
                    <c:v>2.7732922681728309E-7</c:v>
                  </c:pt>
                  <c:pt idx="308">
                    <c:v>3.0645142968947464E-7</c:v>
                  </c:pt>
                  <c:pt idx="309">
                    <c:v>3.0432352983653165E-7</c:v>
                  </c:pt>
                  <c:pt idx="310">
                    <c:v>2.9617626215182895E-7</c:v>
                  </c:pt>
                  <c:pt idx="311">
                    <c:v>3.0359948983960139E-7</c:v>
                  </c:pt>
                  <c:pt idx="312">
                    <c:v>3.2152821226781855E-7</c:v>
                  </c:pt>
                  <c:pt idx="313">
                    <c:v>2.6740755682284445E-7</c:v>
                  </c:pt>
                  <c:pt idx="314">
                    <c:v>2.8662357555438053E-7</c:v>
                  </c:pt>
                  <c:pt idx="315">
                    <c:v>2.8216312825051994E-7</c:v>
                  </c:pt>
                  <c:pt idx="316">
                    <c:v>2.7162503004045088E-7</c:v>
                  </c:pt>
                  <c:pt idx="317">
                    <c:v>2.9421410351263524E-7</c:v>
                  </c:pt>
                  <c:pt idx="318">
                    <c:v>2.9196122692792711E-7</c:v>
                  </c:pt>
                  <c:pt idx="319">
                    <c:v>2.9096836306653699E-7</c:v>
                  </c:pt>
                  <c:pt idx="320">
                    <c:v>2.7636516181854162E-7</c:v>
                  </c:pt>
                  <c:pt idx="321">
                    <c:v>2.9930986087452612E-7</c:v>
                  </c:pt>
                  <c:pt idx="322">
                    <c:v>2.7412502581414016E-7</c:v>
                  </c:pt>
                  <c:pt idx="323">
                    <c:v>2.8197764985992265E-7</c:v>
                  </c:pt>
                  <c:pt idx="324">
                    <c:v>2.6212967173582991E-7</c:v>
                  </c:pt>
                  <c:pt idx="325">
                    <c:v>2.8598307406121873E-7</c:v>
                  </c:pt>
                  <c:pt idx="326">
                    <c:v>3.0221620648337747E-7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0.0000E+00</c:formatCode>
                <c:ptCount val="1636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7.0543244531500002E-2</c:v>
                </c:pt>
                <c:pt idx="217">
                  <c:v>7.1248676976799999E-2</c:v>
                </c:pt>
                <c:pt idx="218">
                  <c:v>7.1961163746599999E-2</c:v>
                </c:pt>
                <c:pt idx="219">
                  <c:v>7.2680775384100005E-2</c:v>
                </c:pt>
                <c:pt idx="220">
                  <c:v>7.3407583137899995E-2</c:v>
                </c:pt>
                <c:pt idx="221">
                  <c:v>7.4141658969300001E-2</c:v>
                </c:pt>
                <c:pt idx="222">
                  <c:v>7.4883075559000006E-2</c:v>
                </c:pt>
                <c:pt idx="223">
                  <c:v>7.7152107631500003E-2</c:v>
                </c:pt>
                <c:pt idx="224">
                  <c:v>8.1087640507100003E-2</c:v>
                </c:pt>
                <c:pt idx="225">
                  <c:v>8.1898516912200001E-2</c:v>
                </c:pt>
                <c:pt idx="226">
                  <c:v>8.2717502081300007E-2</c:v>
                </c:pt>
                <c:pt idx="227">
                  <c:v>8.3544677102100007E-2</c:v>
                </c:pt>
                <c:pt idx="228">
                  <c:v>8.4380123873099996E-2</c:v>
                </c:pt>
                <c:pt idx="229">
                  <c:v>8.5223925111800006E-2</c:v>
                </c:pt>
                <c:pt idx="230">
                  <c:v>8.6076164363000002E-2</c:v>
                </c:pt>
                <c:pt idx="231">
                  <c:v>8.6936926006599996E-2</c:v>
                </c:pt>
                <c:pt idx="232">
                  <c:v>8.7806295266700002E-2</c:v>
                </c:pt>
                <c:pt idx="233">
                  <c:v>8.86843582193E-2</c:v>
                </c:pt>
                <c:pt idx="234">
                  <c:v>8.9571201801499994E-2</c:v>
                </c:pt>
                <c:pt idx="235">
                  <c:v>9.0466913819500006E-2</c:v>
                </c:pt>
                <c:pt idx="236">
                  <c:v>9.1371582957699995E-2</c:v>
                </c:pt>
                <c:pt idx="237">
                  <c:v>9.2285298787300005E-2</c:v>
                </c:pt>
                <c:pt idx="238">
                  <c:v>9.3208151775200004E-2</c:v>
                </c:pt>
                <c:pt idx="239">
                  <c:v>9.41402332929E-2</c:v>
                </c:pt>
                <c:pt idx="240">
                  <c:v>9.5081635625899996E-2</c:v>
                </c:pt>
                <c:pt idx="241">
                  <c:v>9.6032451982100003E-2</c:v>
                </c:pt>
                <c:pt idx="242">
                  <c:v>9.6992776501899997E-2</c:v>
                </c:pt>
                <c:pt idx="243">
                  <c:v>9.7962704267000003E-2</c:v>
                </c:pt>
                <c:pt idx="244">
                  <c:v>9.8942331309600007E-2</c:v>
                </c:pt>
                <c:pt idx="245">
                  <c:v>9.99317546227E-2</c:v>
                </c:pt>
                <c:pt idx="246">
                  <c:v>0.10093107216900001</c:v>
                </c:pt>
                <c:pt idx="247">
                  <c:v>0.10194038289100001</c:v>
                </c:pt>
                <c:pt idx="248">
                  <c:v>0.10295978672</c:v>
                </c:pt>
                <c:pt idx="249">
                  <c:v>0.10398938458699999</c:v>
                </c:pt>
                <c:pt idx="250">
                  <c:v>0.105029278433</c:v>
                </c:pt>
                <c:pt idx="251">
                  <c:v>0.106079571217</c:v>
                </c:pt>
                <c:pt idx="252">
                  <c:v>0.107140366929</c:v>
                </c:pt>
                <c:pt idx="253">
                  <c:v>0.108211770598</c:v>
                </c:pt>
                <c:pt idx="254">
                  <c:v>0.109293888304</c:v>
                </c:pt>
                <c:pt idx="255">
                  <c:v>0.11038682718700001</c:v>
                </c:pt>
                <c:pt idx="256">
                  <c:v>0.11149069545900001</c:v>
                </c:pt>
                <c:pt idx="257">
                  <c:v>0.112605602414</c:v>
                </c:pt>
                <c:pt idx="258">
                  <c:v>0.113731658438</c:v>
                </c:pt>
                <c:pt idx="259">
                  <c:v>0.114868975022</c:v>
                </c:pt>
                <c:pt idx="260">
                  <c:v>0.116017664773</c:v>
                </c:pt>
                <c:pt idx="261">
                  <c:v>0.11717784142</c:v>
                </c:pt>
                <c:pt idx="262">
                  <c:v>0.118349619835</c:v>
                </c:pt>
                <c:pt idx="263">
                  <c:v>0.119533116033</c:v>
                </c:pt>
                <c:pt idx="264">
                  <c:v>0.12072844719299999</c:v>
                </c:pt>
                <c:pt idx="265">
                  <c:v>0.12193573166500001</c:v>
                </c:pt>
                <c:pt idx="266">
                  <c:v>0.123155088982</c:v>
                </c:pt>
                <c:pt idx="267">
                  <c:v>0.12438663987199999</c:v>
                </c:pt>
                <c:pt idx="268">
                  <c:v>0.12563050627</c:v>
                </c:pt>
                <c:pt idx="269">
                  <c:v>0.126886811333</c:v>
                </c:pt>
                <c:pt idx="270">
                  <c:v>0.12815567944600001</c:v>
                </c:pt>
                <c:pt idx="271">
                  <c:v>0.12943723624100001</c:v>
                </c:pt>
                <c:pt idx="272">
                  <c:v>0.13073160860300001</c:v>
                </c:pt>
                <c:pt idx="273">
                  <c:v>0.132038924689</c:v>
                </c:pt>
                <c:pt idx="274">
                  <c:v>0.13335931393600001</c:v>
                </c:pt>
                <c:pt idx="275">
                  <c:v>0.13469290707600001</c:v>
                </c:pt>
                <c:pt idx="276">
                  <c:v>0.13603983614599999</c:v>
                </c:pt>
                <c:pt idx="277">
                  <c:v>0.13740023450800001</c:v>
                </c:pt>
                <c:pt idx="278">
                  <c:v>0.138774236853</c:v>
                </c:pt>
                <c:pt idx="279">
                  <c:v>0.14016197922099999</c:v>
                </c:pt>
                <c:pt idx="280">
                  <c:v>0.14156359901400001</c:v>
                </c:pt>
                <c:pt idx="281">
                  <c:v>0.142979235004</c:v>
                </c:pt>
                <c:pt idx="282">
                  <c:v>0.14440902735399999</c:v>
                </c:pt>
                <c:pt idx="283">
                  <c:v>0.14585311762700001</c:v>
                </c:pt>
                <c:pt idx="284">
                  <c:v>0.14731164880399999</c:v>
                </c:pt>
                <c:pt idx="285">
                  <c:v>0.14878476529199999</c:v>
                </c:pt>
                <c:pt idx="286">
                  <c:v>0.15027261294499999</c:v>
                </c:pt>
                <c:pt idx="287">
                  <c:v>0.15177533907400001</c:v>
                </c:pt>
                <c:pt idx="288">
                  <c:v>0.153293092465</c:v>
                </c:pt>
                <c:pt idx="289">
                  <c:v>0.15482602338900001</c:v>
                </c:pt>
                <c:pt idx="290">
                  <c:v>0.15637428362299999</c:v>
                </c:pt>
                <c:pt idx="291">
                  <c:v>0.15793802645900001</c:v>
                </c:pt>
                <c:pt idx="292">
                  <c:v>0.159517406724</c:v>
                </c:pt>
                <c:pt idx="293">
                  <c:v>0.16111258079099999</c:v>
                </c:pt>
                <c:pt idx="294">
                  <c:v>0.16272370659900001</c:v>
                </c:pt>
                <c:pt idx="295">
                  <c:v>0.164350943665</c:v>
                </c:pt>
                <c:pt idx="296">
                  <c:v>0.16599445310200001</c:v>
                </c:pt>
                <c:pt idx="297">
                  <c:v>0.167654397633</c:v>
                </c:pt>
                <c:pt idx="298">
                  <c:v>0.169330941609</c:v>
                </c:pt>
                <c:pt idx="299">
                  <c:v>0.17102425102499999</c:v>
                </c:pt>
                <c:pt idx="300">
                  <c:v>0.17273449353600001</c:v>
                </c:pt>
                <c:pt idx="301">
                  <c:v>0.174461838471</c:v>
                </c:pt>
                <c:pt idx="302">
                  <c:v>0.176206456856</c:v>
                </c:pt>
                <c:pt idx="303">
                  <c:v>0.17796852142399999</c:v>
                </c:pt>
                <c:pt idx="304">
                  <c:v>0.17974820663800001</c:v>
                </c:pt>
                <c:pt idx="305">
                  <c:v>0.18154568870500001</c:v>
                </c:pt>
                <c:pt idx="306">
                  <c:v>0.18336114559200001</c:v>
                </c:pt>
                <c:pt idx="307">
                  <c:v>0.18519475704800001</c:v>
                </c:pt>
                <c:pt idx="308">
                  <c:v>0.18704670461799999</c:v>
                </c:pt>
                <c:pt idx="309">
                  <c:v>0.18891717166399999</c:v>
                </c:pt>
                <c:pt idx="310">
                  <c:v>0.190806343381</c:v>
                </c:pt>
                <c:pt idx="311">
                  <c:v>0.19271440681499999</c:v>
                </c:pt>
                <c:pt idx="312">
                  <c:v>0.194641550883</c:v>
                </c:pt>
                <c:pt idx="313">
                  <c:v>0.19658796639199999</c:v>
                </c:pt>
                <c:pt idx="314">
                  <c:v>0.19855384605599999</c:v>
                </c:pt>
                <c:pt idx="315">
                  <c:v>0.20053938451600001</c:v>
                </c:pt>
                <c:pt idx="316">
                  <c:v>0.20254477836199999</c:v>
                </c:pt>
                <c:pt idx="317">
                  <c:v>0.20457022614500001</c:v>
                </c:pt>
                <c:pt idx="318">
                  <c:v>0.20661592840699999</c:v>
                </c:pt>
                <c:pt idx="319">
                  <c:v>0.208682087691</c:v>
                </c:pt>
                <c:pt idx="320">
                  <c:v>0.21076890856800001</c:v>
                </c:pt>
                <c:pt idx="321">
                  <c:v>0.21287659765299999</c:v>
                </c:pt>
                <c:pt idx="322">
                  <c:v>0.21500536363</c:v>
                </c:pt>
                <c:pt idx="323">
                  <c:v>0.21715541726599999</c:v>
                </c:pt>
                <c:pt idx="324">
                  <c:v>0.21932697143900001</c:v>
                </c:pt>
                <c:pt idx="325">
                  <c:v>0.22152024115300001</c:v>
                </c:pt>
                <c:pt idx="326">
                  <c:v>0.223735443565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1.0400709111824382</c:v>
                </c:pt>
                <c:pt idx="1">
                  <c:v>0.9087340884007189</c:v>
                </c:pt>
                <c:pt idx="2">
                  <c:v>0.99763912690926504</c:v>
                </c:pt>
                <c:pt idx="3">
                  <c:v>1.0717239534100138</c:v>
                </c:pt>
                <c:pt idx="4">
                  <c:v>1.0720127549113423</c:v>
                </c:pt>
                <c:pt idx="5">
                  <c:v>1.0499158893206628</c:v>
                </c:pt>
                <c:pt idx="6">
                  <c:v>0.96525933539358699</c:v>
                </c:pt>
                <c:pt idx="7">
                  <c:v>1.0733951377050743</c:v>
                </c:pt>
                <c:pt idx="8">
                  <c:v>1.0050608478289234</c:v>
                </c:pt>
                <c:pt idx="9">
                  <c:v>1.0030745638898566</c:v>
                </c:pt>
                <c:pt idx="10">
                  <c:v>0.97766856029341043</c:v>
                </c:pt>
                <c:pt idx="11">
                  <c:v>0.96441499084556115</c:v>
                </c:pt>
                <c:pt idx="12">
                  <c:v>0.99138028957873781</c:v>
                </c:pt>
                <c:pt idx="13">
                  <c:v>0.99914461471353855</c:v>
                </c:pt>
                <c:pt idx="14">
                  <c:v>1.0167744433241293</c:v>
                </c:pt>
                <c:pt idx="15">
                  <c:v>1.1104918366598211</c:v>
                </c:pt>
                <c:pt idx="16">
                  <c:v>1.1041174817095889</c:v>
                </c:pt>
                <c:pt idx="17">
                  <c:v>0.9615496717376657</c:v>
                </c:pt>
                <c:pt idx="18">
                  <c:v>1.0051437167002406</c:v>
                </c:pt>
                <c:pt idx="19">
                  <c:v>0.90322480287921059</c:v>
                </c:pt>
                <c:pt idx="20">
                  <c:v>0.86867190995810784</c:v>
                </c:pt>
                <c:pt idx="21">
                  <c:v>0.91053107264810551</c:v>
                </c:pt>
                <c:pt idx="22">
                  <c:v>0.87216917245550585</c:v>
                </c:pt>
                <c:pt idx="23">
                  <c:v>0.80927784739237152</c:v>
                </c:pt>
                <c:pt idx="24">
                  <c:v>0.59495210630957807</c:v>
                </c:pt>
                <c:pt idx="25">
                  <c:v>0.3770856517789416</c:v>
                </c:pt>
                <c:pt idx="26">
                  <c:v>0.25138395083481402</c:v>
                </c:pt>
                <c:pt idx="27">
                  <c:v>0.19738499562598133</c:v>
                </c:pt>
                <c:pt idx="28">
                  <c:v>0.13471469402110434</c:v>
                </c:pt>
                <c:pt idx="29">
                  <c:v>9.1633824043677897E-2</c:v>
                </c:pt>
                <c:pt idx="30">
                  <c:v>7.6710832725622929E-2</c:v>
                </c:pt>
                <c:pt idx="31">
                  <c:v>6.5024272493209481E-2</c:v>
                </c:pt>
                <c:pt idx="32">
                  <c:v>7.1241303556878161E-2</c:v>
                </c:pt>
                <c:pt idx="33">
                  <c:v>5.2808865495856117E-2</c:v>
                </c:pt>
                <c:pt idx="34">
                  <c:v>5.5620947231927634E-2</c:v>
                </c:pt>
                <c:pt idx="35">
                  <c:v>3.4549034662210765E-2</c:v>
                </c:pt>
                <c:pt idx="36">
                  <c:v>3.4080235729459264E-2</c:v>
                </c:pt>
                <c:pt idx="37">
                  <c:v>3.9704526999171111E-2</c:v>
                </c:pt>
                <c:pt idx="38">
                  <c:v>2.5742861101122529E-2</c:v>
                </c:pt>
                <c:pt idx="39">
                  <c:v>2.9158390135703066E-2</c:v>
                </c:pt>
                <c:pt idx="40">
                  <c:v>2.6654844551026732E-2</c:v>
                </c:pt>
                <c:pt idx="41">
                  <c:v>3.2080319718667996E-2</c:v>
                </c:pt>
                <c:pt idx="42">
                  <c:v>2.2506340012275926E-2</c:v>
                </c:pt>
                <c:pt idx="43">
                  <c:v>2.7802741202957192E-2</c:v>
                </c:pt>
                <c:pt idx="44">
                  <c:v>2.7693367054284577E-2</c:v>
                </c:pt>
                <c:pt idx="45">
                  <c:v>3.0458357198357693E-2</c:v>
                </c:pt>
                <c:pt idx="46">
                  <c:v>2.9247702324355866E-2</c:v>
                </c:pt>
                <c:pt idx="47">
                  <c:v>2.3579123895646276E-2</c:v>
                </c:pt>
                <c:pt idx="48">
                  <c:v>2.0965865989075849E-2</c:v>
                </c:pt>
                <c:pt idx="49">
                  <c:v>2.3482852696866056E-2</c:v>
                </c:pt>
                <c:pt idx="50">
                  <c:v>2.7794158399859738E-2</c:v>
                </c:pt>
                <c:pt idx="51">
                  <c:v>2.6170493681229857E-2</c:v>
                </c:pt>
                <c:pt idx="52">
                  <c:v>3.1618501749761566E-2</c:v>
                </c:pt>
                <c:pt idx="53">
                  <c:v>2.4226738660346563E-2</c:v>
                </c:pt>
                <c:pt idx="54">
                  <c:v>2.4422918684398665E-2</c:v>
                </c:pt>
                <c:pt idx="55">
                  <c:v>2.3215483839489827E-2</c:v>
                </c:pt>
                <c:pt idx="56">
                  <c:v>2.2047125247553916E-2</c:v>
                </c:pt>
                <c:pt idx="57">
                  <c:v>2.3427613631863086E-2</c:v>
                </c:pt>
                <c:pt idx="58">
                  <c:v>2.2676913349216378E-2</c:v>
                </c:pt>
                <c:pt idx="59">
                  <c:v>2.3002346580630502E-2</c:v>
                </c:pt>
                <c:pt idx="60">
                  <c:v>1.86211137242531E-2</c:v>
                </c:pt>
                <c:pt idx="61">
                  <c:v>2.0268991846516395E-2</c:v>
                </c:pt>
                <c:pt idx="62">
                  <c:v>1.9084696619435917E-2</c:v>
                </c:pt>
                <c:pt idx="63">
                  <c:v>1.9557963271730257E-2</c:v>
                </c:pt>
                <c:pt idx="64">
                  <c:v>1.9431188225897188E-2</c:v>
                </c:pt>
                <c:pt idx="65">
                  <c:v>1.7696852882129077E-2</c:v>
                </c:pt>
                <c:pt idx="66">
                  <c:v>1.6586624791027335E-2</c:v>
                </c:pt>
                <c:pt idx="67">
                  <c:v>1.7149723429874662E-2</c:v>
                </c:pt>
                <c:pt idx="68">
                  <c:v>1.5352577682983915E-2</c:v>
                </c:pt>
                <c:pt idx="69">
                  <c:v>1.4913709667132144E-2</c:v>
                </c:pt>
                <c:pt idx="70">
                  <c:v>1.5104430807454409E-2</c:v>
                </c:pt>
                <c:pt idx="71">
                  <c:v>1.3391044734676066E-2</c:v>
                </c:pt>
                <c:pt idx="72">
                  <c:v>1.4218136088394777E-2</c:v>
                </c:pt>
                <c:pt idx="73">
                  <c:v>1.3344131098858309E-2</c:v>
                </c:pt>
                <c:pt idx="74">
                  <c:v>1.2241645574328552E-2</c:v>
                </c:pt>
                <c:pt idx="75">
                  <c:v>1.1796261382812678E-2</c:v>
                </c:pt>
                <c:pt idx="76">
                  <c:v>1.0180402463824819E-2</c:v>
                </c:pt>
                <c:pt idx="77">
                  <c:v>9.8165176702833014E-3</c:v>
                </c:pt>
                <c:pt idx="78">
                  <c:v>1.0761139684726147E-2</c:v>
                </c:pt>
                <c:pt idx="79">
                  <c:v>1.0377695013372384E-2</c:v>
                </c:pt>
                <c:pt idx="80">
                  <c:v>1.1290526341358135E-2</c:v>
                </c:pt>
                <c:pt idx="81">
                  <c:v>7.3290553144859192E-3</c:v>
                </c:pt>
                <c:pt idx="82">
                  <c:v>8.8700621504173016E-3</c:v>
                </c:pt>
                <c:pt idx="83">
                  <c:v>8.8209980170351893E-3</c:v>
                </c:pt>
                <c:pt idx="84">
                  <c:v>8.165005379339783E-3</c:v>
                </c:pt>
                <c:pt idx="85">
                  <c:v>8.4316018548094701E-3</c:v>
                </c:pt>
                <c:pt idx="86">
                  <c:v>7.6969119303714091E-3</c:v>
                </c:pt>
                <c:pt idx="87">
                  <c:v>7.3116328972382578E-3</c:v>
                </c:pt>
                <c:pt idx="88">
                  <c:v>6.8740239084125456E-3</c:v>
                </c:pt>
                <c:pt idx="89">
                  <c:v>6.3646493090155232E-3</c:v>
                </c:pt>
                <c:pt idx="90">
                  <c:v>5.315788717048406E-3</c:v>
                </c:pt>
                <c:pt idx="91">
                  <c:v>5.2163813377081574E-3</c:v>
                </c:pt>
                <c:pt idx="92">
                  <c:v>4.5368108859756943E-3</c:v>
                </c:pt>
                <c:pt idx="93">
                  <c:v>4.2645250439332354E-3</c:v>
                </c:pt>
                <c:pt idx="94">
                  <c:v>3.9033836349479053E-3</c:v>
                </c:pt>
                <c:pt idx="95">
                  <c:v>3.6328423191921907E-3</c:v>
                </c:pt>
                <c:pt idx="96">
                  <c:v>3.1815617793557825E-3</c:v>
                </c:pt>
                <c:pt idx="97">
                  <c:v>3.2954847780470044E-3</c:v>
                </c:pt>
                <c:pt idx="98">
                  <c:v>3.1703859751541683E-3</c:v>
                </c:pt>
                <c:pt idx="99">
                  <c:v>2.1353941448473287E-3</c:v>
                </c:pt>
                <c:pt idx="100">
                  <c:v>2.5179466819772035E-3</c:v>
                </c:pt>
                <c:pt idx="101">
                  <c:v>2.1960023424297693E-3</c:v>
                </c:pt>
                <c:pt idx="102">
                  <c:v>1.2802869389716167E-3</c:v>
                </c:pt>
                <c:pt idx="103">
                  <c:v>1.295908840809507E-3</c:v>
                </c:pt>
                <c:pt idx="104">
                  <c:v>1.6469916394051673E-3</c:v>
                </c:pt>
                <c:pt idx="105">
                  <c:v>1.0675201264589308E-3</c:v>
                </c:pt>
                <c:pt idx="106">
                  <c:v>9.8175906041383758E-4</c:v>
                </c:pt>
                <c:pt idx="107">
                  <c:v>7.1567679028252914E-4</c:v>
                </c:pt>
                <c:pt idx="108">
                  <c:v>5.4557057680028863E-4</c:v>
                </c:pt>
                <c:pt idx="109">
                  <c:v>5.4697393629273407E-4</c:v>
                </c:pt>
                <c:pt idx="110">
                  <c:v>7.251625197064078E-4</c:v>
                </c:pt>
                <c:pt idx="111">
                  <c:v>5.9257495127678142E-4</c:v>
                </c:pt>
                <c:pt idx="112">
                  <c:v>4.0712430547188371E-4</c:v>
                </c:pt>
                <c:pt idx="113">
                  <c:v>4.122491076521114E-4</c:v>
                </c:pt>
                <c:pt idx="114">
                  <c:v>3.9376934582230182E-4</c:v>
                </c:pt>
                <c:pt idx="115">
                  <c:v>5.8963653871535579E-4</c:v>
                </c:pt>
                <c:pt idx="116">
                  <c:v>2.7929794631347102E-4</c:v>
                </c:pt>
                <c:pt idx="117">
                  <c:v>5.8542978763592951E-4</c:v>
                </c:pt>
                <c:pt idx="118">
                  <c:v>6.3740624200668322E-4</c:v>
                </c:pt>
                <c:pt idx="119">
                  <c:v>6.0750152858487724E-4</c:v>
                </c:pt>
                <c:pt idx="120">
                  <c:v>7.9679988791380688E-4</c:v>
                </c:pt>
                <c:pt idx="121">
                  <c:v>9.5613530537242341E-4</c:v>
                </c:pt>
                <c:pt idx="122">
                  <c:v>1.2698574236360664E-3</c:v>
                </c:pt>
                <c:pt idx="123">
                  <c:v>1.2051748441353285E-3</c:v>
                </c:pt>
                <c:pt idx="124">
                  <c:v>1.1448682933448992E-3</c:v>
                </c:pt>
                <c:pt idx="125">
                  <c:v>1.3283165620904421E-3</c:v>
                </c:pt>
                <c:pt idx="126">
                  <c:v>1.2430441235634004E-3</c:v>
                </c:pt>
                <c:pt idx="127">
                  <c:v>1.6253428133385123E-3</c:v>
                </c:pt>
                <c:pt idx="128">
                  <c:v>1.4406308791115297E-3</c:v>
                </c:pt>
                <c:pt idx="129">
                  <c:v>1.7242716266448442E-3</c:v>
                </c:pt>
                <c:pt idx="130">
                  <c:v>1.7729669611971134E-3</c:v>
                </c:pt>
                <c:pt idx="131">
                  <c:v>1.6337500385764999E-3</c:v>
                </c:pt>
                <c:pt idx="132">
                  <c:v>1.8686763788122874E-3</c:v>
                </c:pt>
                <c:pt idx="133">
                  <c:v>1.7756791294531323E-3</c:v>
                </c:pt>
                <c:pt idx="134">
                  <c:v>1.949955887743632E-3</c:v>
                </c:pt>
                <c:pt idx="135">
                  <c:v>1.8026977579557203E-3</c:v>
                </c:pt>
                <c:pt idx="136">
                  <c:v>1.8936621115405797E-3</c:v>
                </c:pt>
                <c:pt idx="137">
                  <c:v>1.8981966355025796E-3</c:v>
                </c:pt>
                <c:pt idx="138">
                  <c:v>1.6686684139472858E-3</c:v>
                </c:pt>
                <c:pt idx="139">
                  <c:v>1.7056410831252384E-3</c:v>
                </c:pt>
                <c:pt idx="140">
                  <c:v>1.6827164215213017E-3</c:v>
                </c:pt>
                <c:pt idx="141">
                  <c:v>1.710704150833477E-3</c:v>
                </c:pt>
                <c:pt idx="142">
                  <c:v>1.5573849232219724E-3</c:v>
                </c:pt>
                <c:pt idx="143">
                  <c:v>1.4879229488762547E-3</c:v>
                </c:pt>
                <c:pt idx="144">
                  <c:v>1.3951042672584921E-3</c:v>
                </c:pt>
                <c:pt idx="145">
                  <c:v>1.3277702979706085E-3</c:v>
                </c:pt>
                <c:pt idx="146">
                  <c:v>1.3561425299746046E-3</c:v>
                </c:pt>
                <c:pt idx="147">
                  <c:v>1.152199439506894E-3</c:v>
                </c:pt>
                <c:pt idx="148">
                  <c:v>1.1393339654275304E-3</c:v>
                </c:pt>
                <c:pt idx="149">
                  <c:v>8.4772776682554398E-4</c:v>
                </c:pt>
                <c:pt idx="150">
                  <c:v>9.1419578846414448E-4</c:v>
                </c:pt>
                <c:pt idx="151">
                  <c:v>6.9087296141306486E-4</c:v>
                </c:pt>
                <c:pt idx="152">
                  <c:v>5.9689856870422553E-4</c:v>
                </c:pt>
                <c:pt idx="153">
                  <c:v>5.3905623154955709E-4</c:v>
                </c:pt>
                <c:pt idx="154">
                  <c:v>4.7444963331976777E-4</c:v>
                </c:pt>
                <c:pt idx="155">
                  <c:v>3.4531040856280787E-4</c:v>
                </c:pt>
                <c:pt idx="156">
                  <c:v>2.9147651101488805E-4</c:v>
                </c:pt>
                <c:pt idx="157">
                  <c:v>2.9231996960763353E-4</c:v>
                </c:pt>
                <c:pt idx="158">
                  <c:v>3.2450655328399741E-4</c:v>
                </c:pt>
                <c:pt idx="159">
                  <c:v>1.9501778777990375E-4</c:v>
                </c:pt>
                <c:pt idx="160">
                  <c:v>2.6671880135497737E-4</c:v>
                </c:pt>
                <c:pt idx="161">
                  <c:v>2.7606244241297907E-4</c:v>
                </c:pt>
                <c:pt idx="162">
                  <c:v>2.3920413569416242E-4</c:v>
                </c:pt>
                <c:pt idx="163">
                  <c:v>2.9788984305336417E-4</c:v>
                </c:pt>
                <c:pt idx="164">
                  <c:v>3.1806986197682014E-4</c:v>
                </c:pt>
                <c:pt idx="165">
                  <c:v>3.4697737016489613E-4</c:v>
                </c:pt>
                <c:pt idx="166">
                  <c:v>4.9549929085930685E-4</c:v>
                </c:pt>
                <c:pt idx="167">
                  <c:v>5.3001645040292602E-4</c:v>
                </c:pt>
                <c:pt idx="168">
                  <c:v>5.5232178707465744E-4</c:v>
                </c:pt>
                <c:pt idx="169">
                  <c:v>5.587355026538776E-4</c:v>
                </c:pt>
                <c:pt idx="170">
                  <c:v>7.7273681948867841E-4</c:v>
                </c:pt>
                <c:pt idx="171">
                  <c:v>9.1803035794810466E-4</c:v>
                </c:pt>
                <c:pt idx="172">
                  <c:v>9.6496819770206974E-4</c:v>
                </c:pt>
                <c:pt idx="173">
                  <c:v>1.0144749783070073E-3</c:v>
                </c:pt>
                <c:pt idx="174">
                  <c:v>1.1028326847367382E-3</c:v>
                </c:pt>
                <c:pt idx="175">
                  <c:v>1.2872354842956718E-3</c:v>
                </c:pt>
                <c:pt idx="176">
                  <c:v>1.2496016365374637E-3</c:v>
                </c:pt>
                <c:pt idx="177">
                  <c:v>1.1831708787780101E-3</c:v>
                </c:pt>
                <c:pt idx="178">
                  <c:v>1.5810832560428879E-3</c:v>
                </c:pt>
                <c:pt idx="179">
                  <c:v>1.4720907213127052E-3</c:v>
                </c:pt>
                <c:pt idx="180">
                  <c:v>1.4451722940551971E-3</c:v>
                </c:pt>
                <c:pt idx="181">
                  <c:v>1.5478954239878547E-3</c:v>
                </c:pt>
                <c:pt idx="182">
                  <c:v>1.5057387359341959E-3</c:v>
                </c:pt>
                <c:pt idx="183">
                  <c:v>1.5204820588694031E-3</c:v>
                </c:pt>
                <c:pt idx="184">
                  <c:v>1.6042976554932417E-3</c:v>
                </c:pt>
                <c:pt idx="185">
                  <c:v>1.471178599004792E-3</c:v>
                </c:pt>
                <c:pt idx="186">
                  <c:v>1.5082213054195999E-3</c:v>
                </c:pt>
                <c:pt idx="187">
                  <c:v>1.5341863721841291E-3</c:v>
                </c:pt>
                <c:pt idx="188">
                  <c:v>1.3567409589788761E-3</c:v>
                </c:pt>
                <c:pt idx="189">
                  <c:v>1.3542166583361476E-3</c:v>
                </c:pt>
                <c:pt idx="190">
                  <c:v>1.235775127272315E-3</c:v>
                </c:pt>
                <c:pt idx="191">
                  <c:v>1.2691917531797397E-3</c:v>
                </c:pt>
                <c:pt idx="192">
                  <c:v>1.0661123747087655E-3</c:v>
                </c:pt>
                <c:pt idx="193">
                  <c:v>1.0088039004735464E-3</c:v>
                </c:pt>
                <c:pt idx="194">
                  <c:v>9.7715252628619671E-4</c:v>
                </c:pt>
                <c:pt idx="195">
                  <c:v>8.6659552328437607E-4</c:v>
                </c:pt>
                <c:pt idx="196">
                  <c:v>7.697822735832433E-4</c:v>
                </c:pt>
                <c:pt idx="197">
                  <c:v>6.5137277466996511E-4</c:v>
                </c:pt>
                <c:pt idx="198">
                  <c:v>5.7104880559714151E-4</c:v>
                </c:pt>
                <c:pt idx="199">
                  <c:v>4.8494632931584422E-4</c:v>
                </c:pt>
                <c:pt idx="200">
                  <c:v>4.3813260354675482E-4</c:v>
                </c:pt>
                <c:pt idx="201">
                  <c:v>3.798787397744406E-4</c:v>
                </c:pt>
                <c:pt idx="202">
                  <c:v>2.9822307098981837E-4</c:v>
                </c:pt>
                <c:pt idx="203">
                  <c:v>2.2993095370274456E-4</c:v>
                </c:pt>
                <c:pt idx="204">
                  <c:v>1.9071552202772074E-4</c:v>
                </c:pt>
                <c:pt idx="205">
                  <c:v>1.6604589364887921E-4</c:v>
                </c:pt>
                <c:pt idx="206">
                  <c:v>1.2397239541098455E-4</c:v>
                </c:pt>
                <c:pt idx="207">
                  <c:v>9.6179013050413399E-5</c:v>
                </c:pt>
                <c:pt idx="208">
                  <c:v>5.1998984605595643E-5</c:v>
                </c:pt>
                <c:pt idx="209">
                  <c:v>4.9139100524252298E-5</c:v>
                </c:pt>
                <c:pt idx="210">
                  <c:v>4.5549402350583454E-5</c:v>
                </c:pt>
                <c:pt idx="211">
                  <c:v>3.0631840871005697E-5</c:v>
                </c:pt>
                <c:pt idx="212">
                  <c:v>1.964810819306642E-5</c:v>
                </c:pt>
                <c:pt idx="213">
                  <c:v>1.2490121970546761E-5</c:v>
                </c:pt>
                <c:pt idx="214">
                  <c:v>8.1009700738838774E-6</c:v>
                </c:pt>
                <c:pt idx="215">
                  <c:v>9.1801180453972844E-6</c:v>
                </c:pt>
                <c:pt idx="216">
                  <c:v>8.2842509244678365E-6</c:v>
                </c:pt>
                <c:pt idx="217">
                  <c:v>2.0687776383338943E-5</c:v>
                </c:pt>
                <c:pt idx="218">
                  <c:v>7.0479905317622235E-6</c:v>
                </c:pt>
                <c:pt idx="219">
                  <c:v>1.3247654293536328E-5</c:v>
                </c:pt>
                <c:pt idx="220">
                  <c:v>1.6795046381379844E-5</c:v>
                </c:pt>
                <c:pt idx="221">
                  <c:v>5.3631057560471912E-6</c:v>
                </c:pt>
                <c:pt idx="222">
                  <c:v>7.0737916917384988E-6</c:v>
                </c:pt>
                <c:pt idx="223">
                  <c:v>7.9699996145957839E-6</c:v>
                </c:pt>
                <c:pt idx="224">
                  <c:v>1.2586805256898959E-5</c:v>
                </c:pt>
                <c:pt idx="225">
                  <c:v>8.9202665608730748E-6</c:v>
                </c:pt>
                <c:pt idx="226">
                  <c:v>5.8842359334107332E-6</c:v>
                </c:pt>
                <c:pt idx="227">
                  <c:v>1.2386515359028655E-5</c:v>
                </c:pt>
                <c:pt idx="228">
                  <c:v>9.0408440993988203E-6</c:v>
                </c:pt>
                <c:pt idx="229">
                  <c:v>1.4681710418852928E-5</c:v>
                </c:pt>
                <c:pt idx="230">
                  <c:v>1.4267579888006572E-5</c:v>
                </c:pt>
                <c:pt idx="231">
                  <c:v>2.5700841458659479E-5</c:v>
                </c:pt>
                <c:pt idx="232">
                  <c:v>2.2422314928382912E-5</c:v>
                </c:pt>
                <c:pt idx="233">
                  <c:v>2.7460751478570402E-5</c:v>
                </c:pt>
                <c:pt idx="234">
                  <c:v>1.5622683315892737E-5</c:v>
                </c:pt>
                <c:pt idx="235">
                  <c:v>2.9893740035042347E-5</c:v>
                </c:pt>
                <c:pt idx="236">
                  <c:v>1.9539838775424514E-5</c:v>
                </c:pt>
                <c:pt idx="237">
                  <c:v>2.2303937661706441E-5</c:v>
                </c:pt>
                <c:pt idx="238">
                  <c:v>1.5067610539095988E-5</c:v>
                </c:pt>
                <c:pt idx="239">
                  <c:v>1.829700608112653E-5</c:v>
                </c:pt>
                <c:pt idx="240">
                  <c:v>2.0696680901185051E-5</c:v>
                </c:pt>
                <c:pt idx="241">
                  <c:v>2.3981769804968444E-5</c:v>
                </c:pt>
                <c:pt idx="242">
                  <c:v>2.0336222390923842E-5</c:v>
                </c:pt>
                <c:pt idx="243">
                  <c:v>2.0699229155034327E-5</c:v>
                </c:pt>
                <c:pt idx="244">
                  <c:v>1.8432757823387524E-5</c:v>
                </c:pt>
                <c:pt idx="245">
                  <c:v>1.8551856813644993E-5</c:v>
                </c:pt>
                <c:pt idx="246">
                  <c:v>1.9614054295905285E-5</c:v>
                </c:pt>
                <c:pt idx="247">
                  <c:v>2.2370385427156765E-5</c:v>
                </c:pt>
                <c:pt idx="248">
                  <c:v>3.2291803980277948E-5</c:v>
                </c:pt>
                <c:pt idx="249">
                  <c:v>3.072811345939413E-5</c:v>
                </c:pt>
                <c:pt idx="250">
                  <c:v>2.8321672035158712E-5</c:v>
                </c:pt>
                <c:pt idx="251">
                  <c:v>2.8426716119294843E-5</c:v>
                </c:pt>
                <c:pt idx="252">
                  <c:v>2.5186640026948285E-5</c:v>
                </c:pt>
                <c:pt idx="253">
                  <c:v>2.2128590699103908E-5</c:v>
                </c:pt>
                <c:pt idx="254">
                  <c:v>2.1535486006666758E-5</c:v>
                </c:pt>
                <c:pt idx="255">
                  <c:v>1.6980186697024624E-5</c:v>
                </c:pt>
                <c:pt idx="256">
                  <c:v>1.4308540616779825E-5</c:v>
                </c:pt>
                <c:pt idx="257">
                  <c:v>1.0946027478728397E-5</c:v>
                </c:pt>
                <c:pt idx="258">
                  <c:v>8.9341082559112318E-6</c:v>
                </c:pt>
                <c:pt idx="259">
                  <c:v>5.1501410531487269E-6</c:v>
                </c:pt>
                <c:pt idx="260">
                  <c:v>4.5020452377726253E-6</c:v>
                </c:pt>
                <c:pt idx="261">
                  <c:v>3.7313455696575951E-6</c:v>
                </c:pt>
                <c:pt idx="262">
                  <c:v>3.7553019710046603E-6</c:v>
                </c:pt>
                <c:pt idx="263">
                  <c:v>2.989619909328868E-6</c:v>
                </c:pt>
                <c:pt idx="264">
                  <c:v>3.3152317683439446E-6</c:v>
                </c:pt>
                <c:pt idx="265">
                  <c:v>4.2066811456254284E-6</c:v>
                </c:pt>
                <c:pt idx="266">
                  <c:v>3.9550431336806968E-6</c:v>
                </c:pt>
                <c:pt idx="267">
                  <c:v>4.0026723496078937E-6</c:v>
                </c:pt>
                <c:pt idx="268">
                  <c:v>4.424081798660014E-6</c:v>
                </c:pt>
                <c:pt idx="269">
                  <c:v>4.5465930576222197E-6</c:v>
                </c:pt>
                <c:pt idx="270">
                  <c:v>4.5115499868236682E-6</c:v>
                </c:pt>
                <c:pt idx="271">
                  <c:v>4.1083019653856079E-6</c:v>
                </c:pt>
                <c:pt idx="272">
                  <c:v>4.5338499604033423E-6</c:v>
                </c:pt>
                <c:pt idx="273">
                  <c:v>4.8147539885230628E-6</c:v>
                </c:pt>
                <c:pt idx="274">
                  <c:v>3.1813766492527178E-6</c:v>
                </c:pt>
                <c:pt idx="275">
                  <c:v>3.8029851059602431E-6</c:v>
                </c:pt>
                <c:pt idx="276">
                  <c:v>3.5709256339036852E-6</c:v>
                </c:pt>
                <c:pt idx="277">
                  <c:v>4.3662925386040199E-6</c:v>
                </c:pt>
                <c:pt idx="278">
                  <c:v>3.4178682968802063E-6</c:v>
                </c:pt>
                <c:pt idx="279">
                  <c:v>4.149260484902636E-6</c:v>
                </c:pt>
                <c:pt idx="280">
                  <c:v>4.1243231824563187E-6</c:v>
                </c:pt>
                <c:pt idx="281">
                  <c:v>3.0842886420695456E-6</c:v>
                </c:pt>
                <c:pt idx="282">
                  <c:v>3.3870120568699859E-6</c:v>
                </c:pt>
                <c:pt idx="283">
                  <c:v>3.2978601455930751E-6</c:v>
                </c:pt>
                <c:pt idx="284">
                  <c:v>3.4472534344855496E-6</c:v>
                </c:pt>
                <c:pt idx="285">
                  <c:v>3.7116062132031436E-6</c:v>
                </c:pt>
                <c:pt idx="286">
                  <c:v>4.1575774554197386E-6</c:v>
                </c:pt>
                <c:pt idx="287">
                  <c:v>3.8499510332920859E-6</c:v>
                </c:pt>
                <c:pt idx="288">
                  <c:v>3.6750300025041639E-6</c:v>
                </c:pt>
                <c:pt idx="289">
                  <c:v>3.1313011701998466E-6</c:v>
                </c:pt>
                <c:pt idx="290">
                  <c:v>2.1513559323655634E-6</c:v>
                </c:pt>
                <c:pt idx="291">
                  <c:v>3.0417019342108003E-6</c:v>
                </c:pt>
                <c:pt idx="292">
                  <c:v>2.5186145179124992E-6</c:v>
                </c:pt>
                <c:pt idx="293">
                  <c:v>2.3293784416427893E-6</c:v>
                </c:pt>
                <c:pt idx="294">
                  <c:v>1.9520386220475307E-6</c:v>
                </c:pt>
                <c:pt idx="295">
                  <c:v>1.7678929288661209E-6</c:v>
                </c:pt>
                <c:pt idx="296">
                  <c:v>1.9850589062364633E-6</c:v>
                </c:pt>
                <c:pt idx="297">
                  <c:v>1.7086857061710186E-6</c:v>
                </c:pt>
                <c:pt idx="298">
                  <c:v>2.3777398088340294E-6</c:v>
                </c:pt>
                <c:pt idx="299">
                  <c:v>1.5076547874245071E-6</c:v>
                </c:pt>
                <c:pt idx="300">
                  <c:v>1.7601118920721219E-6</c:v>
                </c:pt>
                <c:pt idx="301">
                  <c:v>1.1772771313103907E-6</c:v>
                </c:pt>
                <c:pt idx="302">
                  <c:v>7.9113653533519561E-7</c:v>
                </c:pt>
                <c:pt idx="303">
                  <c:v>1.5851763573184323E-6</c:v>
                </c:pt>
                <c:pt idx="304">
                  <c:v>1.5267517785820958E-6</c:v>
                </c:pt>
                <c:pt idx="305">
                  <c:v>1.9743842387466903E-6</c:v>
                </c:pt>
                <c:pt idx="306">
                  <c:v>1.6383334256373108E-6</c:v>
                </c:pt>
                <c:pt idx="307">
                  <c:v>7.1247987676273931E-7</c:v>
                </c:pt>
                <c:pt idx="308">
                  <c:v>1.2200660039500616E-6</c:v>
                </c:pt>
                <c:pt idx="309">
                  <c:v>5.7497351387520701E-7</c:v>
                </c:pt>
                <c:pt idx="310">
                  <c:v>1.1139608380457949E-6</c:v>
                </c:pt>
                <c:pt idx="311">
                  <c:v>1.613938368108654E-6</c:v>
                </c:pt>
                <c:pt idx="312">
                  <c:v>1.4613162890401521E-6</c:v>
                </c:pt>
                <c:pt idx="313">
                  <c:v>8.8289296649166011E-7</c:v>
                </c:pt>
                <c:pt idx="314">
                  <c:v>9.6767298266457199E-7</c:v>
                </c:pt>
                <c:pt idx="315">
                  <c:v>8.9093100704709847E-7</c:v>
                </c:pt>
                <c:pt idx="316">
                  <c:v>5.1018658386766406E-7</c:v>
                </c:pt>
                <c:pt idx="317">
                  <c:v>1.0210004687820114E-6</c:v>
                </c:pt>
                <c:pt idx="318">
                  <c:v>9.2056357554964024E-7</c:v>
                </c:pt>
                <c:pt idx="319">
                  <c:v>1.2768576607057321E-6</c:v>
                </c:pt>
                <c:pt idx="320">
                  <c:v>6.1492729769183709E-7</c:v>
                </c:pt>
                <c:pt idx="321">
                  <c:v>1.2271624877405444E-6</c:v>
                </c:pt>
                <c:pt idx="322">
                  <c:v>8.5044211144937175E-7</c:v>
                </c:pt>
                <c:pt idx="323">
                  <c:v>8.2235329342053453E-7</c:v>
                </c:pt>
                <c:pt idx="324">
                  <c:v>6.0384343322968045E-7</c:v>
                </c:pt>
                <c:pt idx="325">
                  <c:v>1.1390749283071529E-6</c:v>
                </c:pt>
                <c:pt idx="326">
                  <c:v>1.6009937613094943E-6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ED-4E1A-9F22-DAA3BF5CD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2000000000000003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"/>
          <c:min val="1.0000000000000004E-6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dMarker!$A$4:$A$23</c:f>
              <c:numCache>
                <c:formatCode>0.0</c:formatCode>
                <c:ptCount val="20"/>
                <c:pt idx="0">
                  <c:v>41</c:v>
                </c:pt>
                <c:pt idx="1">
                  <c:v>41.9</c:v>
                </c:pt>
                <c:pt idx="2">
                  <c:v>42.8</c:v>
                </c:pt>
                <c:pt idx="3">
                  <c:v>43.7</c:v>
                </c:pt>
                <c:pt idx="4">
                  <c:v>44.6</c:v>
                </c:pt>
                <c:pt idx="5">
                  <c:v>45.5</c:v>
                </c:pt>
                <c:pt idx="6">
                  <c:v>46.4</c:v>
                </c:pt>
                <c:pt idx="7">
                  <c:v>47.3</c:v>
                </c:pt>
                <c:pt idx="8">
                  <c:v>48.2</c:v>
                </c:pt>
                <c:pt idx="9">
                  <c:v>49.1</c:v>
                </c:pt>
                <c:pt idx="10">
                  <c:v>50</c:v>
                </c:pt>
              </c:numCache>
            </c:numRef>
          </c:xVal>
          <c:yVal>
            <c:numRef>
              <c:f>dMarker!$B$4:$B$23</c:f>
              <c:numCache>
                <c:formatCode>0.00</c:formatCode>
                <c:ptCount val="20"/>
                <c:pt idx="0">
                  <c:v>6.6648430161839949</c:v>
                </c:pt>
                <c:pt idx="1">
                  <c:v>6.5560709563665256</c:v>
                </c:pt>
                <c:pt idx="2">
                  <c:v>6.4799179411404033</c:v>
                </c:pt>
                <c:pt idx="3">
                  <c:v>6.4360717623235733</c:v>
                </c:pt>
                <c:pt idx="4">
                  <c:v>6.4241512976091437</c:v>
                </c:pt>
                <c:pt idx="5">
                  <c:v>6.4436838863227548</c:v>
                </c:pt>
                <c:pt idx="6">
                  <c:v>6.4940941981316644</c:v>
                </c:pt>
                <c:pt idx="7">
                  <c:v>6.5747019346245494</c:v>
                </c:pt>
                <c:pt idx="8">
                  <c:v>6.6847260597066134</c:v>
                </c:pt>
                <c:pt idx="9">
                  <c:v>6.8232936083291928</c:v>
                </c:pt>
                <c:pt idx="10">
                  <c:v>6.989451463649397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1E-41C5-9707-892B5389E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f_PMAA!$B$3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f_PMAA!$A$4:$A$23</c:f>
              <c:numCache>
                <c:formatCode>0.000</c:formatCode>
                <c:ptCount val="20"/>
                <c:pt idx="0">
                  <c:v>0.71</c:v>
                </c:pt>
                <c:pt idx="1">
                  <c:v>0.71399999999999997</c:v>
                </c:pt>
                <c:pt idx="2">
                  <c:v>0.71799999999999997</c:v>
                </c:pt>
                <c:pt idx="3">
                  <c:v>0.72199999999999998</c:v>
                </c:pt>
                <c:pt idx="4">
                  <c:v>0.72599999999999998</c:v>
                </c:pt>
                <c:pt idx="5">
                  <c:v>0.73</c:v>
                </c:pt>
                <c:pt idx="6">
                  <c:v>0.73399999999999999</c:v>
                </c:pt>
                <c:pt idx="7">
                  <c:v>0.73799999999999999</c:v>
                </c:pt>
                <c:pt idx="8">
                  <c:v>0.74199999999999999</c:v>
                </c:pt>
                <c:pt idx="9">
                  <c:v>0.746</c:v>
                </c:pt>
                <c:pt idx="10">
                  <c:v>0.75</c:v>
                </c:pt>
              </c:numCache>
            </c:numRef>
          </c:xVal>
          <c:yVal>
            <c:numRef>
              <c:f>f_PMAA!$B$4:$B$23</c:f>
              <c:numCache>
                <c:formatCode>0.00</c:formatCode>
                <c:ptCount val="20"/>
                <c:pt idx="0">
                  <c:v>9.7048685603291744</c:v>
                </c:pt>
                <c:pt idx="1">
                  <c:v>8.5191062395225163</c:v>
                </c:pt>
                <c:pt idx="2">
                  <c:v>7.5908820838779203</c:v>
                </c:pt>
                <c:pt idx="3">
                  <c:v>6.9268817458894478</c:v>
                </c:pt>
                <c:pt idx="4">
                  <c:v>6.5349510278012906</c:v>
                </c:pt>
                <c:pt idx="5">
                  <c:v>6.4240431395226061</c:v>
                </c:pt>
                <c:pt idx="6">
                  <c:v>6.6041942689042532</c:v>
                </c:pt>
                <c:pt idx="7">
                  <c:v>7.0865391009472098</c:v>
                </c:pt>
                <c:pt idx="8">
                  <c:v>7.8833703326693687</c:v>
                </c:pt>
                <c:pt idx="9">
                  <c:v>9.0082387451061852</c:v>
                </c:pt>
                <c:pt idx="10">
                  <c:v>10.476084129130019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CB-48F6-999F-E93FEC326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sigTop!$B$3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sigTop!$A$4:$A$23</c:f>
              <c:numCache>
                <c:formatCode>0.0</c:formatCode>
                <c:ptCount val="20"/>
                <c:pt idx="0">
                  <c:v>10</c:v>
                </c:pt>
                <c:pt idx="1">
                  <c:v>17</c:v>
                </c:pt>
                <c:pt idx="2">
                  <c:v>24</c:v>
                </c:pt>
                <c:pt idx="3">
                  <c:v>31</c:v>
                </c:pt>
                <c:pt idx="4">
                  <c:v>38</c:v>
                </c:pt>
                <c:pt idx="5">
                  <c:v>45</c:v>
                </c:pt>
                <c:pt idx="6">
                  <c:v>52</c:v>
                </c:pt>
                <c:pt idx="7">
                  <c:v>59</c:v>
                </c:pt>
                <c:pt idx="8">
                  <c:v>66</c:v>
                </c:pt>
                <c:pt idx="9">
                  <c:v>73</c:v>
                </c:pt>
                <c:pt idx="10">
                  <c:v>80</c:v>
                </c:pt>
              </c:numCache>
            </c:numRef>
          </c:xVal>
          <c:yVal>
            <c:numRef>
              <c:f>sigTop!$B$4:$B$23</c:f>
              <c:numCache>
                <c:formatCode>0.00</c:formatCode>
                <c:ptCount val="20"/>
                <c:pt idx="0">
                  <c:v>7.3509646530025554</c:v>
                </c:pt>
                <c:pt idx="1">
                  <c:v>6.9234527185537535</c:v>
                </c:pt>
                <c:pt idx="2">
                  <c:v>6.6029203661625857</c:v>
                </c:pt>
                <c:pt idx="3">
                  <c:v>6.4481512554166187</c:v>
                </c:pt>
                <c:pt idx="4">
                  <c:v>6.430909758515063</c:v>
                </c:pt>
                <c:pt idx="5">
                  <c:v>6.5247403441977418</c:v>
                </c:pt>
                <c:pt idx="6">
                  <c:v>6.7312441012240241</c:v>
                </c:pt>
                <c:pt idx="7">
                  <c:v>7.0620700213483216</c:v>
                </c:pt>
                <c:pt idx="8">
                  <c:v>7.5210707487665793</c:v>
                </c:pt>
                <c:pt idx="9">
                  <c:v>8.0990814671147771</c:v>
                </c:pt>
                <c:pt idx="10">
                  <c:v>8.7787917785197411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F7-45AC-9652-F4263594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sigMarker!$A$4:$A$23</c:f>
              <c:numCache>
                <c:formatCode>0.0</c:formatCode>
                <c:ptCount val="20"/>
                <c:pt idx="0">
                  <c:v>40</c:v>
                </c:pt>
                <c:pt idx="1">
                  <c:v>40.799999999999997</c:v>
                </c:pt>
                <c:pt idx="2">
                  <c:v>41.6</c:v>
                </c:pt>
                <c:pt idx="3">
                  <c:v>42.4</c:v>
                </c:pt>
                <c:pt idx="4">
                  <c:v>43.2</c:v>
                </c:pt>
                <c:pt idx="5">
                  <c:v>44</c:v>
                </c:pt>
                <c:pt idx="6">
                  <c:v>44.8</c:v>
                </c:pt>
                <c:pt idx="7">
                  <c:v>45.6</c:v>
                </c:pt>
                <c:pt idx="8">
                  <c:v>46.4</c:v>
                </c:pt>
                <c:pt idx="9">
                  <c:v>47.2</c:v>
                </c:pt>
                <c:pt idx="10">
                  <c:v>48</c:v>
                </c:pt>
              </c:numCache>
            </c:numRef>
          </c:xVal>
          <c:yVal>
            <c:numRef>
              <c:f>sigMarker!$B$4:$B$23</c:f>
              <c:numCache>
                <c:formatCode>0.00</c:formatCode>
                <c:ptCount val="20"/>
                <c:pt idx="0">
                  <c:v>7.4712044222981895</c:v>
                </c:pt>
                <c:pt idx="1">
                  <c:v>7.1239613404396112</c:v>
                </c:pt>
                <c:pt idx="2">
                  <c:v>6.8501062601030362</c:v>
                </c:pt>
                <c:pt idx="3">
                  <c:v>6.6448277844984789</c:v>
                </c:pt>
                <c:pt idx="4">
                  <c:v>6.5036828710431136</c:v>
                </c:pt>
                <c:pt idx="5">
                  <c:v>6.4225535360655348</c:v>
                </c:pt>
                <c:pt idx="6">
                  <c:v>6.3976082404875418</c:v>
                </c:pt>
                <c:pt idx="7">
                  <c:v>6.4252678837373161</c:v>
                </c:pt>
                <c:pt idx="8">
                  <c:v>6.5021762013828113</c:v>
                </c:pt>
                <c:pt idx="9">
                  <c:v>6.6251742711894224</c:v>
                </c:pt>
                <c:pt idx="10">
                  <c:v>6.791278775341512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39-4500-B144-308C64508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29632"/>
        <c:axId val="134640384"/>
      </c:scatterChart>
      <c:valAx>
        <c:axId val="13462963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4640384"/>
        <c:crosses val="autoZero"/>
        <c:crossBetween val="midCat"/>
      </c:valAx>
      <c:valAx>
        <c:axId val="13464038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462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dPGMA!$A$4:$A$23</c:f>
              <c:numCache>
                <c:formatCode>0.0</c:formatCode>
                <c:ptCount val="20"/>
                <c:pt idx="0">
                  <c:v>11</c:v>
                </c:pt>
                <c:pt idx="1">
                  <c:v>11.9</c:v>
                </c:pt>
                <c:pt idx="2">
                  <c:v>12.8</c:v>
                </c:pt>
                <c:pt idx="3">
                  <c:v>13.7</c:v>
                </c:pt>
                <c:pt idx="4">
                  <c:v>14.6</c:v>
                </c:pt>
                <c:pt idx="5">
                  <c:v>15.5</c:v>
                </c:pt>
                <c:pt idx="6">
                  <c:v>16.399999999999999</c:v>
                </c:pt>
                <c:pt idx="7">
                  <c:v>17.3</c:v>
                </c:pt>
                <c:pt idx="8">
                  <c:v>18.2</c:v>
                </c:pt>
                <c:pt idx="9">
                  <c:v>19.100000000000001</c:v>
                </c:pt>
                <c:pt idx="10">
                  <c:v>20</c:v>
                </c:pt>
              </c:numCache>
            </c:numRef>
          </c:xVal>
          <c:yVal>
            <c:numRef>
              <c:f>dPGMA!$B$4:$B$23</c:f>
              <c:numCache>
                <c:formatCode>0.00</c:formatCode>
                <c:ptCount val="20"/>
                <c:pt idx="0">
                  <c:v>7.1499289294935569</c:v>
                </c:pt>
                <c:pt idx="1">
                  <c:v>6.8583502431336187</c:v>
                </c:pt>
                <c:pt idx="2">
                  <c:v>6.6196805664853189</c:v>
                </c:pt>
                <c:pt idx="3">
                  <c:v>6.4391335068168205</c:v>
                </c:pt>
                <c:pt idx="4">
                  <c:v>6.3207397759528341</c:v>
                </c:pt>
                <c:pt idx="5">
                  <c:v>6.2674556956795913</c:v>
                </c:pt>
                <c:pt idx="6">
                  <c:v>6.2813158107556726</c:v>
                </c:pt>
                <c:pt idx="7">
                  <c:v>6.3636032528695763</c:v>
                </c:pt>
                <c:pt idx="8">
                  <c:v>6.5150162505474718</c:v>
                </c:pt>
                <c:pt idx="9">
                  <c:v>6.7358164700500724</c:v>
                </c:pt>
                <c:pt idx="10">
                  <c:v>7.0259520158533313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3C-45CB-87E4-0C8D98337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330995</xdr:colOff>
      <xdr:row>1</xdr:row>
      <xdr:rowOff>128586</xdr:rowOff>
    </xdr:from>
    <xdr:to>
      <xdr:col>15</xdr:col>
      <xdr:colOff>619125</xdr:colOff>
      <xdr:row>21</xdr:row>
      <xdr:rowOff>138113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150019</xdr:colOff>
      <xdr:row>20</xdr:row>
      <xdr:rowOff>45245</xdr:rowOff>
    </xdr:from>
    <xdr:to>
      <xdr:col>23</xdr:col>
      <xdr:colOff>200501</xdr:colOff>
      <xdr:row>44</xdr:row>
      <xdr:rowOff>200974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6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557"/>
  <sheetViews>
    <sheetView tabSelected="1" zoomScale="80" workbookViewId="0">
      <selection activeCell="F5" sqref="F5"/>
    </sheetView>
  </sheetViews>
  <sheetFormatPr defaultRowHeight="15.75" x14ac:dyDescent="0.25"/>
  <cols>
    <col min="1" max="1" width="19.375" style="61" bestFit="1" customWidth="1"/>
    <col min="2" max="2" width="22.25" style="20" bestFit="1" customWidth="1"/>
    <col min="3" max="3" width="18.125" style="20" bestFit="1" customWidth="1"/>
    <col min="4" max="4" width="17.125" style="18" bestFit="1" customWidth="1"/>
    <col min="5" max="5" width="14.5" style="18" bestFit="1" customWidth="1"/>
    <col min="6" max="6" width="14.5" style="36" bestFit="1" customWidth="1"/>
    <col min="7" max="7" width="8.375" style="36" bestFit="1" customWidth="1"/>
    <col min="8" max="8" width="20.625" style="37" bestFit="1" customWidth="1"/>
    <col min="9" max="9" width="10.25" style="48" bestFit="1" customWidth="1"/>
    <col min="10" max="10" width="8.625" style="49" bestFit="1" customWidth="1"/>
    <col min="11" max="11" width="8.25" style="50" bestFit="1" customWidth="1"/>
    <col min="12" max="12" width="8.625" style="63" bestFit="1" customWidth="1"/>
    <col min="13" max="13" width="6.625" style="26" bestFit="1" customWidth="1"/>
    <col min="14" max="14" width="9" style="17" bestFit="1"/>
    <col min="15" max="15" width="12.5" style="17" bestFit="1" customWidth="1"/>
    <col min="16" max="16" width="10" style="17" bestFit="1" customWidth="1"/>
    <col min="17" max="17" width="6.375" style="25" bestFit="1" customWidth="1"/>
    <col min="18" max="18" width="7.375" style="58" bestFit="1" customWidth="1"/>
    <col min="19" max="19" width="8.625" style="55" bestFit="1" customWidth="1"/>
    <col min="20" max="20" width="12.25" style="1" bestFit="1" customWidth="1"/>
    <col min="21" max="21" width="9" style="78"/>
    <col min="22" max="22" width="8.25" style="83" bestFit="1" customWidth="1"/>
    <col min="23" max="23" width="8.625" style="84" bestFit="1" customWidth="1"/>
    <col min="24" max="24" width="9.125" style="85" bestFit="1" customWidth="1"/>
    <col min="25" max="25" width="8.625" style="78" bestFit="1" customWidth="1"/>
    <col min="26" max="26" width="8" style="71" bestFit="1" customWidth="1"/>
    <col min="27" max="27" width="9" style="1"/>
    <col min="28" max="28" width="12.5" style="1" bestFit="1" customWidth="1"/>
    <col min="29" max="29" width="10" style="1" bestFit="1" customWidth="1"/>
    <col min="30" max="30" width="10.25" customWidth="1"/>
    <col min="31" max="31" width="9.75" customWidth="1"/>
    <col min="32" max="32" width="8.625" style="1" bestFit="1" customWidth="1"/>
    <col min="33" max="33" width="12.25" style="1" bestFit="1" customWidth="1"/>
    <col min="34" max="34" width="9" style="78"/>
  </cols>
  <sheetData>
    <row r="1" spans="1:34" x14ac:dyDescent="0.25">
      <c r="A1" s="91" t="s">
        <v>524</v>
      </c>
      <c r="B1" s="175" t="s">
        <v>593</v>
      </c>
      <c r="C1" s="175"/>
      <c r="D1" s="175"/>
      <c r="E1" s="175"/>
      <c r="F1" s="175"/>
      <c r="G1" s="175"/>
      <c r="H1" s="175"/>
      <c r="I1" s="176" t="s">
        <v>506</v>
      </c>
      <c r="J1" s="176"/>
      <c r="K1" s="176"/>
      <c r="L1" s="64" t="s">
        <v>504</v>
      </c>
      <c r="M1" s="177" t="s">
        <v>489</v>
      </c>
      <c r="N1" s="177"/>
      <c r="O1" s="177"/>
      <c r="P1" s="177"/>
      <c r="Q1" s="177"/>
      <c r="R1" s="174" t="s">
        <v>490</v>
      </c>
      <c r="S1" s="174"/>
      <c r="T1" s="70"/>
      <c r="U1" s="72"/>
      <c r="V1" s="126"/>
      <c r="W1" s="126"/>
      <c r="X1" s="126"/>
      <c r="Y1" s="70"/>
      <c r="AA1" s="173"/>
      <c r="AB1" s="173"/>
      <c r="AC1" s="173"/>
      <c r="AD1" s="173"/>
      <c r="AE1" s="173"/>
      <c r="AF1" s="173"/>
      <c r="AG1" s="70"/>
      <c r="AH1" s="72"/>
    </row>
    <row r="2" spans="1:34" s="15" customFormat="1" ht="18.75" x14ac:dyDescent="0.25">
      <c r="A2" s="92" t="s">
        <v>525</v>
      </c>
      <c r="B2" s="130" t="s">
        <v>481</v>
      </c>
      <c r="C2" s="131" t="s">
        <v>556</v>
      </c>
      <c r="D2" s="132" t="s">
        <v>554</v>
      </c>
      <c r="E2" s="132" t="s">
        <v>555</v>
      </c>
      <c r="F2" s="133" t="s">
        <v>494</v>
      </c>
      <c r="G2" s="134" t="s">
        <v>495</v>
      </c>
      <c r="H2" s="135"/>
      <c r="I2" s="43" t="s">
        <v>496</v>
      </c>
      <c r="J2" s="44" t="s">
        <v>0</v>
      </c>
      <c r="K2" s="45" t="s">
        <v>499</v>
      </c>
      <c r="L2" s="65" t="s">
        <v>505</v>
      </c>
      <c r="M2" s="21" t="s">
        <v>497</v>
      </c>
      <c r="N2" s="22" t="s">
        <v>491</v>
      </c>
      <c r="O2" s="23" t="s">
        <v>492</v>
      </c>
      <c r="P2" s="23" t="s">
        <v>493</v>
      </c>
      <c r="Q2" s="21" t="s">
        <v>494</v>
      </c>
      <c r="R2" s="56" t="s">
        <v>498</v>
      </c>
      <c r="S2" s="57" t="s">
        <v>491</v>
      </c>
      <c r="T2" s="75"/>
      <c r="U2" s="76"/>
      <c r="V2" s="73"/>
      <c r="W2" s="74"/>
      <c r="X2" s="159" t="s">
        <v>564</v>
      </c>
      <c r="Y2" s="160" t="s">
        <v>0</v>
      </c>
      <c r="Z2" s="161" t="s">
        <v>499</v>
      </c>
      <c r="AA2" s="162" t="s">
        <v>505</v>
      </c>
      <c r="AB2" s="162" t="s">
        <v>565</v>
      </c>
      <c r="AC2" s="162" t="s">
        <v>566</v>
      </c>
      <c r="AH2" s="76"/>
    </row>
    <row r="3" spans="1:34" ht="19.5" x14ac:dyDescent="0.3">
      <c r="A3" s="92" t="s">
        <v>526</v>
      </c>
      <c r="B3" s="150" t="s">
        <v>560</v>
      </c>
      <c r="C3" s="152">
        <v>0</v>
      </c>
      <c r="D3" s="152">
        <v>0</v>
      </c>
      <c r="E3" s="152">
        <v>0</v>
      </c>
      <c r="F3" s="127">
        <v>100</v>
      </c>
      <c r="G3" s="127">
        <v>0</v>
      </c>
      <c r="H3" s="105" t="s">
        <v>589</v>
      </c>
      <c r="I3" s="123">
        <v>8.06113038841E-3</v>
      </c>
      <c r="J3" s="47">
        <v>1.0400709111824382</v>
      </c>
      <c r="K3" s="47">
        <v>0.10729195267045732</v>
      </c>
      <c r="L3" s="63">
        <v>0.99345679910549234</v>
      </c>
      <c r="M3" s="24">
        <v>21</v>
      </c>
      <c r="N3" s="17">
        <v>0</v>
      </c>
      <c r="O3" s="17">
        <v>0</v>
      </c>
      <c r="P3" s="17">
        <v>0</v>
      </c>
      <c r="Q3" s="25">
        <v>100</v>
      </c>
      <c r="R3" s="58">
        <v>-10</v>
      </c>
      <c r="S3" s="55">
        <v>0</v>
      </c>
      <c r="U3" s="1"/>
      <c r="V3" s="1"/>
      <c r="W3" s="1"/>
      <c r="X3" s="163">
        <f>I3*10</f>
        <v>8.0611303884099997E-2</v>
      </c>
      <c r="Y3" s="164">
        <f t="shared" ref="Y3:Y34" si="0">J3</f>
        <v>1.0400709111824382</v>
      </c>
      <c r="Z3" s="164">
        <f t="shared" ref="Z3:AA66" si="1">K3</f>
        <v>0.10729195267045732</v>
      </c>
      <c r="AA3" s="164">
        <f>L3</f>
        <v>0.99345679910549234</v>
      </c>
      <c r="AB3" s="164">
        <f>(559.86-R3)/10</f>
        <v>56.986000000000004</v>
      </c>
      <c r="AC3" s="164">
        <f>S3*100</f>
        <v>0</v>
      </c>
    </row>
    <row r="4" spans="1:34" ht="18.75" x14ac:dyDescent="0.25">
      <c r="A4" s="92" t="s">
        <v>527</v>
      </c>
      <c r="B4" s="106" t="s">
        <v>557</v>
      </c>
      <c r="C4" s="107">
        <f>H4</f>
        <v>9.4545576236162603E-7</v>
      </c>
      <c r="D4" s="107">
        <v>1.5392483148537927E-10</v>
      </c>
      <c r="E4" s="107">
        <v>5.0509225500401457E-8</v>
      </c>
      <c r="F4" s="108">
        <f>F35*H14-(F5-F36*H14)/2</f>
        <v>36.089658308560537</v>
      </c>
      <c r="G4" s="128">
        <v>36.724059660049043</v>
      </c>
      <c r="H4" s="109">
        <f>0.0000000000000001*H16*H22</f>
        <v>9.4545576236162603E-7</v>
      </c>
      <c r="I4" s="123">
        <v>8.1417416922999995E-3</v>
      </c>
      <c r="J4" s="47">
        <v>0.9087340884007189</v>
      </c>
      <c r="K4" s="47">
        <v>9.6638571780310711E-2</v>
      </c>
      <c r="L4" s="63">
        <v>0.9932859221365451</v>
      </c>
      <c r="M4" s="25"/>
      <c r="N4" s="17">
        <v>3.6986852477478688E-9</v>
      </c>
      <c r="O4" s="17">
        <v>6.0216408439350207E-13</v>
      </c>
      <c r="P4" s="17">
        <v>1.9759541870775514E-10</v>
      </c>
      <c r="Q4" s="25">
        <v>12.641020584049214</v>
      </c>
      <c r="R4" s="58">
        <v>100</v>
      </c>
      <c r="S4" s="55">
        <v>0</v>
      </c>
      <c r="U4" s="1"/>
      <c r="V4" s="1"/>
      <c r="W4" s="77"/>
      <c r="X4" s="163">
        <f t="shared" ref="X4:X67" si="2">I4*10</f>
        <v>8.1417416923000002E-2</v>
      </c>
      <c r="Y4" s="164">
        <f t="shared" si="0"/>
        <v>0.9087340884007189</v>
      </c>
      <c r="Z4" s="164">
        <f t="shared" si="1"/>
        <v>9.6638571780310711E-2</v>
      </c>
      <c r="AA4" s="164">
        <f t="shared" si="1"/>
        <v>0.9932859221365451</v>
      </c>
      <c r="AB4" s="164">
        <f t="shared" ref="AB4:AB67" si="3">(559.86-R4)/10</f>
        <v>45.986000000000004</v>
      </c>
      <c r="AC4" s="164">
        <f t="shared" ref="AC4:AC67" si="4">S4*100</f>
        <v>0</v>
      </c>
    </row>
    <row r="5" spans="1:34" ht="18.75" x14ac:dyDescent="0.25">
      <c r="A5" s="93"/>
      <c r="B5" s="110" t="s">
        <v>558</v>
      </c>
      <c r="C5" s="111">
        <f>H6</f>
        <v>2.8630735093003271E-6</v>
      </c>
      <c r="D5" s="112">
        <v>7.9300000000000003E-12</v>
      </c>
      <c r="E5" s="112">
        <v>3.6399999999999998E-10</v>
      </c>
      <c r="F5" s="113">
        <v>44.525552128511919</v>
      </c>
      <c r="G5" s="114">
        <f>F4</f>
        <v>36.089658308560537</v>
      </c>
      <c r="H5" s="115" t="s">
        <v>588</v>
      </c>
      <c r="I5" s="123">
        <v>8.2231591092200001E-3</v>
      </c>
      <c r="J5" s="47">
        <v>0.99763912690926504</v>
      </c>
      <c r="K5" s="47">
        <v>9.5714210804609845E-2</v>
      </c>
      <c r="L5" s="63">
        <v>0.99310490492192471</v>
      </c>
      <c r="M5" s="25"/>
      <c r="N5" s="17">
        <v>3.0467140107770605E-8</v>
      </c>
      <c r="O5" s="17">
        <v>4.9601997191448639E-12</v>
      </c>
      <c r="P5" s="17">
        <v>1.627650611819012E-9</v>
      </c>
      <c r="Q5" s="25">
        <v>9.4130292637771635</v>
      </c>
      <c r="R5" s="58">
        <v>100</v>
      </c>
      <c r="S5" s="55">
        <v>3.6986852477478688E-9</v>
      </c>
      <c r="U5" s="1"/>
      <c r="V5" s="1"/>
      <c r="W5" s="77"/>
      <c r="X5" s="163">
        <f t="shared" si="2"/>
        <v>8.2231591092200004E-2</v>
      </c>
      <c r="Y5" s="164">
        <f t="shared" si="0"/>
        <v>0.99763912690926504</v>
      </c>
      <c r="Z5" s="164">
        <f t="shared" si="1"/>
        <v>9.5714210804609845E-2</v>
      </c>
      <c r="AA5" s="164">
        <f t="shared" si="1"/>
        <v>0.99310490492192471</v>
      </c>
      <c r="AB5" s="164">
        <f t="shared" si="3"/>
        <v>45.986000000000004</v>
      </c>
      <c r="AC5" s="164">
        <f t="shared" si="4"/>
        <v>3.6986852477478687E-7</v>
      </c>
    </row>
    <row r="6" spans="1:34" x14ac:dyDescent="0.25">
      <c r="B6" s="106" t="s">
        <v>557</v>
      </c>
      <c r="C6" s="107">
        <f>H4</f>
        <v>9.4545576236162603E-7</v>
      </c>
      <c r="D6" s="107">
        <v>1.5392483148537927E-10</v>
      </c>
      <c r="E6" s="107">
        <v>5.0509225500401457E-8</v>
      </c>
      <c r="F6" s="108">
        <f>(2*H10-F7-F5)/2</f>
        <v>74.089624059824445</v>
      </c>
      <c r="G6" s="108">
        <f>G7</f>
        <v>44.5</v>
      </c>
      <c r="H6" s="109">
        <f>0.0000000000000001*(H24*H16*(H20/H18))</f>
        <v>2.8630735093003271E-6</v>
      </c>
      <c r="I6" s="123">
        <v>8.3053907003100003E-3</v>
      </c>
      <c r="J6" s="47">
        <v>1.0717239534100138</v>
      </c>
      <c r="K6" s="47">
        <v>9.7315917335186644E-2</v>
      </c>
      <c r="L6" s="63">
        <v>0.99291246087977358</v>
      </c>
      <c r="M6" s="25"/>
      <c r="N6" s="17">
        <v>6.9191729519527564E-8</v>
      </c>
      <c r="O6" s="17">
        <v>1.1264752652067073E-11</v>
      </c>
      <c r="P6" s="17">
        <v>3.6964401806965486E-9</v>
      </c>
      <c r="Q6" s="25">
        <v>5.2381523202321274</v>
      </c>
      <c r="R6" s="58">
        <v>112.64102058404922</v>
      </c>
      <c r="S6" s="55">
        <v>3.6986852477478688E-9</v>
      </c>
      <c r="U6" s="1"/>
      <c r="V6" s="1"/>
      <c r="W6" s="77"/>
      <c r="X6" s="163">
        <f t="shared" si="2"/>
        <v>8.3053907003100003E-2</v>
      </c>
      <c r="Y6" s="164">
        <f t="shared" si="0"/>
        <v>1.0717239534100138</v>
      </c>
      <c r="Z6" s="164">
        <f t="shared" si="1"/>
        <v>9.7315917335186644E-2</v>
      </c>
      <c r="AA6" s="164">
        <f t="shared" si="1"/>
        <v>0.99291246087977358</v>
      </c>
      <c r="AB6" s="164">
        <f t="shared" si="3"/>
        <v>44.721897941595081</v>
      </c>
      <c r="AC6" s="164">
        <f t="shared" si="4"/>
        <v>3.6986852477478687E-7</v>
      </c>
    </row>
    <row r="7" spans="1:34" ht="19.5" x14ac:dyDescent="0.3">
      <c r="A7" s="68" t="s">
        <v>528</v>
      </c>
      <c r="B7" s="110" t="s">
        <v>558</v>
      </c>
      <c r="C7" s="111">
        <f>H6</f>
        <v>2.8630735093003271E-6</v>
      </c>
      <c r="D7" s="112">
        <v>7.9300000000000003E-12</v>
      </c>
      <c r="E7" s="112">
        <v>3.6399999999999998E-10</v>
      </c>
      <c r="F7" s="129">
        <f>F5</f>
        <v>44.525552128511919</v>
      </c>
      <c r="G7" s="128">
        <f>44.5</f>
        <v>44.5</v>
      </c>
      <c r="H7" s="116" t="s">
        <v>597</v>
      </c>
      <c r="I7" s="123">
        <v>8.3884446073099993E-3</v>
      </c>
      <c r="J7" s="47">
        <v>1.0720127549113423</v>
      </c>
      <c r="K7" s="47">
        <v>9.3861990051440941E-2</v>
      </c>
      <c r="L7" s="63">
        <v>0.99270735110247987</v>
      </c>
      <c r="M7" s="25"/>
      <c r="N7" s="17">
        <v>1.1301062836818117E-7</v>
      </c>
      <c r="O7" s="17">
        <v>1.8398684126878974E-11</v>
      </c>
      <c r="P7" s="17">
        <v>6.0373838094047736E-9</v>
      </c>
      <c r="Q7" s="25">
        <v>3.8378310341745299</v>
      </c>
      <c r="R7" s="58">
        <v>112.64102058404922</v>
      </c>
      <c r="S7" s="55">
        <v>3.0467140107770605E-8</v>
      </c>
      <c r="U7" s="1"/>
      <c r="V7" s="1"/>
      <c r="W7" s="77"/>
      <c r="X7" s="163">
        <f t="shared" si="2"/>
        <v>8.38844460731E-2</v>
      </c>
      <c r="Y7" s="164">
        <f t="shared" si="0"/>
        <v>1.0720127549113423</v>
      </c>
      <c r="Z7" s="164">
        <f t="shared" si="1"/>
        <v>9.3861990051440941E-2</v>
      </c>
      <c r="AA7" s="164">
        <f t="shared" si="1"/>
        <v>0.99270735110247987</v>
      </c>
      <c r="AB7" s="164">
        <f t="shared" si="3"/>
        <v>44.721897941595081</v>
      </c>
      <c r="AC7" s="164">
        <f t="shared" si="4"/>
        <v>3.0467140107770606E-6</v>
      </c>
    </row>
    <row r="8" spans="1:34" x14ac:dyDescent="0.25">
      <c r="A8" s="94" t="b">
        <v>0</v>
      </c>
      <c r="B8" s="106" t="s">
        <v>557</v>
      </c>
      <c r="C8" s="107">
        <f>H4</f>
        <v>9.4545576236162603E-7</v>
      </c>
      <c r="D8" s="107">
        <v>1.5392483148537927E-10</v>
      </c>
      <c r="E8" s="107">
        <v>5.0509225500401457E-8</v>
      </c>
      <c r="F8" s="108">
        <f>(2*H10-F9-F7)/2</f>
        <v>74.089624059824445</v>
      </c>
      <c r="G8" s="108">
        <f>G7</f>
        <v>44.5</v>
      </c>
      <c r="H8" s="117">
        <f>H10/5</f>
        <v>23.723035237667272</v>
      </c>
      <c r="I8" s="123">
        <v>8.4723290533899997E-3</v>
      </c>
      <c r="J8" s="47">
        <v>1.0499158893206628</v>
      </c>
      <c r="K8" s="47">
        <v>8.8965396313499812E-2</v>
      </c>
      <c r="L8" s="63">
        <v>0.99248830898735751</v>
      </c>
      <c r="M8" s="25"/>
      <c r="N8" s="17">
        <v>1.5925491138082353E-7</v>
      </c>
      <c r="O8" s="17">
        <v>2.5927480029611599E-11</v>
      </c>
      <c r="P8" s="17">
        <v>8.5078991013688351E-9</v>
      </c>
      <c r="Q8" s="25">
        <v>3.1231743561821821</v>
      </c>
      <c r="R8" s="58">
        <v>122.05404984782638</v>
      </c>
      <c r="S8" s="55">
        <v>3.0467140107770605E-8</v>
      </c>
      <c r="U8" s="1"/>
      <c r="V8" s="1"/>
      <c r="W8" s="77"/>
      <c r="X8" s="163">
        <f t="shared" si="2"/>
        <v>8.47232905339E-2</v>
      </c>
      <c r="Y8" s="164">
        <f t="shared" si="0"/>
        <v>1.0499158893206628</v>
      </c>
      <c r="Z8" s="164">
        <f t="shared" si="1"/>
        <v>8.8965396313499812E-2</v>
      </c>
      <c r="AA8" s="164">
        <f t="shared" si="1"/>
        <v>0.99248830898735751</v>
      </c>
      <c r="AB8" s="164">
        <f t="shared" si="3"/>
        <v>43.780595015217365</v>
      </c>
      <c r="AC8" s="164">
        <f t="shared" si="4"/>
        <v>3.0467140107770606E-6</v>
      </c>
    </row>
    <row r="9" spans="1:34" ht="19.5" x14ac:dyDescent="0.3">
      <c r="A9" s="68" t="s">
        <v>521</v>
      </c>
      <c r="B9" s="110" t="s">
        <v>558</v>
      </c>
      <c r="C9" s="111">
        <f>H6</f>
        <v>2.8630735093003271E-6</v>
      </c>
      <c r="D9" s="112">
        <v>7.9300000000000003E-12</v>
      </c>
      <c r="E9" s="112">
        <v>3.6399999999999998E-10</v>
      </c>
      <c r="F9" s="129">
        <f>F5</f>
        <v>44.525552128511919</v>
      </c>
      <c r="G9" s="114">
        <f>G8</f>
        <v>44.5</v>
      </c>
      <c r="H9" s="116" t="s">
        <v>582</v>
      </c>
      <c r="I9" s="123">
        <v>8.5570523439199991E-3</v>
      </c>
      <c r="J9" s="47">
        <v>0.96525933539358699</v>
      </c>
      <c r="K9" s="47">
        <v>8.0300547691667862E-2</v>
      </c>
      <c r="L9" s="63">
        <v>0.99225387360249051</v>
      </c>
      <c r="M9" s="25"/>
      <c r="N9" s="17">
        <v>2.0670276575281222E-7</v>
      </c>
      <c r="O9" s="17">
        <v>3.3652223247959776E-11</v>
      </c>
      <c r="P9" s="17">
        <v>1.104271296722196E-8</v>
      </c>
      <c r="Q9" s="25">
        <v>2.6968783959189162</v>
      </c>
      <c r="R9" s="58">
        <v>122.05404984782638</v>
      </c>
      <c r="S9" s="55">
        <v>6.9191729519527564E-8</v>
      </c>
      <c r="U9" s="1"/>
      <c r="V9" s="1"/>
      <c r="W9" s="77"/>
      <c r="X9" s="163">
        <f t="shared" si="2"/>
        <v>8.5570523439199991E-2</v>
      </c>
      <c r="Y9" s="164">
        <f t="shared" si="0"/>
        <v>0.96525933539358699</v>
      </c>
      <c r="Z9" s="164">
        <f t="shared" si="1"/>
        <v>8.0300547691667862E-2</v>
      </c>
      <c r="AA9" s="164">
        <f t="shared" si="1"/>
        <v>0.99225387360249051</v>
      </c>
      <c r="AB9" s="164">
        <f t="shared" si="3"/>
        <v>43.780595015217365</v>
      </c>
      <c r="AC9" s="164">
        <f t="shared" si="4"/>
        <v>6.9191729519527566E-6</v>
      </c>
    </row>
    <row r="10" spans="1:34" x14ac:dyDescent="0.25">
      <c r="A10" s="69">
        <v>6.479990475554998</v>
      </c>
      <c r="B10" s="106" t="s">
        <v>557</v>
      </c>
      <c r="C10" s="107">
        <f>H4</f>
        <v>9.4545576236162603E-7</v>
      </c>
      <c r="D10" s="107">
        <v>1.5392483148537927E-10</v>
      </c>
      <c r="E10" s="107">
        <v>5.0509225500401457E-8</v>
      </c>
      <c r="F10" s="108">
        <f>F41*H14-(F9-F40*H14)/2</f>
        <v>64.819056983118031</v>
      </c>
      <c r="G10" s="108">
        <f>G9</f>
        <v>44.5</v>
      </c>
      <c r="H10" s="117">
        <f>H41*H14</f>
        <v>118.61517618833636</v>
      </c>
      <c r="I10" s="123">
        <v>8.6426228673600006E-3</v>
      </c>
      <c r="J10" s="47">
        <v>1.0733951377050743</v>
      </c>
      <c r="K10" s="47">
        <v>8.1896596081629885E-2</v>
      </c>
      <c r="L10" s="63">
        <v>0.9920022630578138</v>
      </c>
      <c r="M10" s="25"/>
      <c r="N10" s="17">
        <v>2.5474510369493849E-7</v>
      </c>
      <c r="O10" s="17">
        <v>4.1473751304898057E-11</v>
      </c>
      <c r="P10" s="17">
        <v>1.36092860183228E-8</v>
      </c>
      <c r="Q10" s="25">
        <v>2.4227218358165805</v>
      </c>
      <c r="R10" s="58">
        <v>127.29220216805851</v>
      </c>
      <c r="S10" s="55">
        <v>6.9191729519527564E-8</v>
      </c>
      <c r="U10" s="1"/>
      <c r="V10" s="1"/>
      <c r="W10" s="77"/>
      <c r="X10" s="163">
        <f t="shared" si="2"/>
        <v>8.6426228673600003E-2</v>
      </c>
      <c r="Y10" s="164">
        <f t="shared" si="0"/>
        <v>1.0733951377050743</v>
      </c>
      <c r="Z10" s="164">
        <f t="shared" si="1"/>
        <v>8.1896596081629885E-2</v>
      </c>
      <c r="AA10" s="164">
        <f t="shared" si="1"/>
        <v>0.9920022630578138</v>
      </c>
      <c r="AB10" s="164">
        <f t="shared" si="3"/>
        <v>43.256779783194148</v>
      </c>
      <c r="AC10" s="164">
        <f t="shared" si="4"/>
        <v>6.9191729519527566E-6</v>
      </c>
    </row>
    <row r="11" spans="1:34" ht="19.5" x14ac:dyDescent="0.3">
      <c r="B11" s="156" t="s">
        <v>543</v>
      </c>
      <c r="C11" s="157">
        <v>8.9999999999999996E-7</v>
      </c>
      <c r="D11" s="157">
        <v>1.5392483148537927E-10</v>
      </c>
      <c r="E11" s="157">
        <v>5.0509225500401457E-8</v>
      </c>
      <c r="F11" s="128">
        <v>15.701245666991817</v>
      </c>
      <c r="G11" s="158">
        <f>F11</f>
        <v>15.701245666991817</v>
      </c>
      <c r="H11" s="116" t="s">
        <v>581</v>
      </c>
      <c r="I11" s="123">
        <v>8.7290490960300008E-3</v>
      </c>
      <c r="J11" s="47">
        <v>1.0050608478289234</v>
      </c>
      <c r="K11" s="47">
        <v>7.7104180155191562E-2</v>
      </c>
      <c r="L11" s="63">
        <v>0.99173130583956604</v>
      </c>
      <c r="M11" s="25"/>
      <c r="N11" s="17">
        <v>3.030673196711259E-7</v>
      </c>
      <c r="O11" s="17">
        <v>4.9340844877373218E-11</v>
      </c>
      <c r="P11" s="17">
        <v>1.6190811035763864E-8</v>
      </c>
      <c r="Q11" s="25">
        <v>2.2410186067223865</v>
      </c>
      <c r="R11" s="58">
        <v>127.29220216805851</v>
      </c>
      <c r="S11" s="55">
        <v>1.1301062836818117E-7</v>
      </c>
      <c r="U11" s="1"/>
      <c r="V11" s="1"/>
      <c r="W11" s="77"/>
      <c r="X11" s="163">
        <f t="shared" si="2"/>
        <v>8.7290490960300005E-2</v>
      </c>
      <c r="Y11" s="164">
        <f t="shared" si="0"/>
        <v>1.0050608478289234</v>
      </c>
      <c r="Z11" s="164">
        <f t="shared" si="1"/>
        <v>7.7104180155191562E-2</v>
      </c>
      <c r="AA11" s="164">
        <f t="shared" si="1"/>
        <v>0.99173130583956604</v>
      </c>
      <c r="AB11" s="164">
        <f t="shared" si="3"/>
        <v>43.256779783194148</v>
      </c>
      <c r="AC11" s="164">
        <f t="shared" si="4"/>
        <v>1.1301062836818116E-5</v>
      </c>
    </row>
    <row r="12" spans="1:34" ht="19.5" x14ac:dyDescent="0.3">
      <c r="A12" s="86" t="s">
        <v>514</v>
      </c>
      <c r="B12" s="150" t="s">
        <v>503</v>
      </c>
      <c r="C12" s="151">
        <v>3.4400000000000001E-6</v>
      </c>
      <c r="D12" s="151">
        <v>2.5307649463664093E-11</v>
      </c>
      <c r="E12" s="151">
        <v>1.486857631694136E-12</v>
      </c>
      <c r="F12" s="127">
        <v>14.8</v>
      </c>
      <c r="G12" s="127">
        <f>F12</f>
        <v>14.8</v>
      </c>
      <c r="H12" s="117">
        <f>SUM(F4:F10)</f>
        <v>382.66461979686312</v>
      </c>
      <c r="I12" s="123">
        <v>8.8163395869899994E-3</v>
      </c>
      <c r="J12" s="47">
        <v>1.0030745638898566</v>
      </c>
      <c r="K12" s="47">
        <v>7.5207313517951194E-2</v>
      </c>
      <c r="L12" s="63">
        <v>0.99143897704308759</v>
      </c>
      <c r="M12" s="25"/>
      <c r="N12" s="17">
        <v>3.5150819152409238E-7</v>
      </c>
      <c r="O12" s="17">
        <v>5.7227256208082076E-11</v>
      </c>
      <c r="P12" s="17">
        <v>1.8778675023969899E-8</v>
      </c>
      <c r="Q12" s="25">
        <v>2.1218829896854561</v>
      </c>
      <c r="R12" s="58">
        <v>131.13003320223305</v>
      </c>
      <c r="S12" s="55">
        <v>1.1301062836818117E-7</v>
      </c>
      <c r="U12" s="1"/>
      <c r="V12" s="1"/>
      <c r="W12" s="77"/>
      <c r="X12" s="163">
        <f t="shared" si="2"/>
        <v>8.8163395869899991E-2</v>
      </c>
      <c r="Y12" s="164">
        <f t="shared" si="0"/>
        <v>1.0030745638898566</v>
      </c>
      <c r="Z12" s="164">
        <f t="shared" si="1"/>
        <v>7.5207313517951194E-2</v>
      </c>
      <c r="AA12" s="164">
        <f t="shared" si="1"/>
        <v>0.99143897704308759</v>
      </c>
      <c r="AB12" s="164">
        <f t="shared" si="3"/>
        <v>42.872996679776698</v>
      </c>
      <c r="AC12" s="164">
        <f t="shared" si="4"/>
        <v>1.1301062836818116E-5</v>
      </c>
    </row>
    <row r="13" spans="1:34" ht="18.75" x14ac:dyDescent="0.25">
      <c r="A13" s="89">
        <v>2.0000000000000001E-4</v>
      </c>
      <c r="B13" s="150" t="s">
        <v>52</v>
      </c>
      <c r="C13" s="151">
        <v>2.0700000000000001E-6</v>
      </c>
      <c r="D13" s="151">
        <v>4.7498147887006942E-11</v>
      </c>
      <c r="E13" s="151">
        <v>1.9976998807213682E-12</v>
      </c>
      <c r="F13" s="127">
        <v>100</v>
      </c>
      <c r="G13" s="127">
        <v>5</v>
      </c>
      <c r="H13" s="142" t="s">
        <v>596</v>
      </c>
      <c r="I13" s="123">
        <v>8.9045029828599999E-3</v>
      </c>
      <c r="J13" s="47">
        <v>0.97766856029341043</v>
      </c>
      <c r="K13" s="47">
        <v>7.1113088553806283E-2</v>
      </c>
      <c r="L13" s="63">
        <v>0.99112092705440857</v>
      </c>
      <c r="M13" s="25"/>
      <c r="N13" s="17">
        <v>3.9999016535451186E-7</v>
      </c>
      <c r="O13" s="17">
        <v>6.5120359142147793E-11</v>
      </c>
      <c r="P13" s="17">
        <v>2.1368734809303978E-8</v>
      </c>
      <c r="Q13" s="25">
        <v>2.0493334549484459</v>
      </c>
      <c r="R13" s="58">
        <v>131.13003320223305</v>
      </c>
      <c r="S13" s="55">
        <v>1.5925491138082353E-7</v>
      </c>
      <c r="U13" s="1"/>
      <c r="V13" s="1"/>
      <c r="W13" s="77"/>
      <c r="X13" s="163">
        <f t="shared" si="2"/>
        <v>8.9045029828599992E-2</v>
      </c>
      <c r="Y13" s="164">
        <f t="shared" si="0"/>
        <v>0.97766856029341043</v>
      </c>
      <c r="Z13" s="164">
        <f t="shared" si="1"/>
        <v>7.1113088553806283E-2</v>
      </c>
      <c r="AA13" s="164">
        <f t="shared" si="1"/>
        <v>0.99112092705440857</v>
      </c>
      <c r="AB13" s="164">
        <f t="shared" si="3"/>
        <v>42.872996679776698</v>
      </c>
      <c r="AC13" s="164">
        <f t="shared" si="4"/>
        <v>1.5925491138082353E-5</v>
      </c>
    </row>
    <row r="14" spans="1:34" ht="17.25" x14ac:dyDescent="0.3">
      <c r="A14" s="86" t="s">
        <v>516</v>
      </c>
      <c r="B14" s="118"/>
      <c r="C14" s="119"/>
      <c r="D14" s="119"/>
      <c r="E14" s="119"/>
      <c r="F14" s="119"/>
      <c r="G14" s="119"/>
      <c r="H14" s="120">
        <v>0.72912241996624438</v>
      </c>
      <c r="I14" s="123">
        <v>8.9935480126900006E-3</v>
      </c>
      <c r="J14" s="47">
        <v>0.96441499084556115</v>
      </c>
      <c r="K14" s="47">
        <v>6.8224101930386166E-2</v>
      </c>
      <c r="L14" s="63">
        <v>0.99077385711838017</v>
      </c>
      <c r="M14" s="25"/>
      <c r="N14" s="17">
        <v>4.4848162362374449E-7</v>
      </c>
      <c r="O14" s="17">
        <v>7.3015006189332449E-11</v>
      </c>
      <c r="P14" s="17">
        <v>2.3959301283240343E-8</v>
      </c>
      <c r="Q14" s="25">
        <v>2.0149081238250721</v>
      </c>
      <c r="R14" s="58">
        <v>134.25320755841523</v>
      </c>
      <c r="S14" s="55">
        <v>1.5925491138082353E-7</v>
      </c>
      <c r="U14" s="1"/>
      <c r="V14" s="1"/>
      <c r="W14" s="77"/>
      <c r="X14" s="163">
        <f t="shared" si="2"/>
        <v>8.9935480126900003E-2</v>
      </c>
      <c r="Y14" s="164">
        <f t="shared" si="0"/>
        <v>0.96441499084556115</v>
      </c>
      <c r="Z14" s="164">
        <f t="shared" si="1"/>
        <v>6.8224101930386166E-2</v>
      </c>
      <c r="AA14" s="164">
        <f t="shared" si="1"/>
        <v>0.99077385711838017</v>
      </c>
      <c r="AB14" s="164">
        <f t="shared" si="3"/>
        <v>42.560679244158479</v>
      </c>
      <c r="AC14" s="164">
        <f t="shared" si="4"/>
        <v>1.5925491138082353E-5</v>
      </c>
    </row>
    <row r="15" spans="1:34" ht="18.75" x14ac:dyDescent="0.25">
      <c r="A15" s="141">
        <v>2.3E-2</v>
      </c>
      <c r="B15" s="118"/>
      <c r="C15" s="119"/>
      <c r="D15" s="119"/>
      <c r="E15" s="119"/>
      <c r="F15" s="119"/>
      <c r="G15" s="119"/>
      <c r="H15" s="115" t="s">
        <v>633</v>
      </c>
      <c r="I15" s="123">
        <v>9.0834834928199999E-3</v>
      </c>
      <c r="J15" s="47">
        <v>0.99138028957873781</v>
      </c>
      <c r="K15" s="47">
        <v>6.7904275433803993E-2</v>
      </c>
      <c r="L15" s="63">
        <v>0.99039296938033528</v>
      </c>
      <c r="M15" s="25"/>
      <c r="N15" s="17">
        <v>5.017414596015909E-7</v>
      </c>
      <c r="O15" s="17">
        <v>7.7123072489282803E-11</v>
      </c>
      <c r="P15" s="17">
        <v>2.5285042275539419E-8</v>
      </c>
      <c r="Q15" s="25">
        <v>0.82021950701273949</v>
      </c>
      <c r="R15" s="58">
        <v>134.25320755841523</v>
      </c>
      <c r="S15" s="55">
        <v>2.0670276575281222E-7</v>
      </c>
      <c r="U15" s="1"/>
      <c r="V15" s="1"/>
      <c r="W15" s="77"/>
      <c r="X15" s="163">
        <f t="shared" si="2"/>
        <v>9.0834834928199992E-2</v>
      </c>
      <c r="Y15" s="164">
        <f t="shared" si="0"/>
        <v>0.99138028957873781</v>
      </c>
      <c r="Z15" s="164">
        <f t="shared" si="1"/>
        <v>6.7904275433803993E-2</v>
      </c>
      <c r="AA15" s="164">
        <f t="shared" si="1"/>
        <v>0.99039296938033528</v>
      </c>
      <c r="AB15" s="164">
        <f t="shared" si="3"/>
        <v>42.560679244158479</v>
      </c>
      <c r="AC15" s="164">
        <f t="shared" si="4"/>
        <v>2.0670276575281222E-5</v>
      </c>
    </row>
    <row r="16" spans="1:34" x14ac:dyDescent="0.25">
      <c r="A16" s="87" t="s">
        <v>515</v>
      </c>
      <c r="B16" s="118"/>
      <c r="C16" s="119"/>
      <c r="D16" s="119"/>
      <c r="E16" s="119"/>
      <c r="F16" s="119"/>
      <c r="G16" s="119"/>
      <c r="H16" s="138">
        <f>H47*(H18/B18)*(H12/H43)/H14</f>
        <v>0.92714465541713764</v>
      </c>
      <c r="I16" s="123">
        <v>9.1743183277499998E-3</v>
      </c>
      <c r="J16" s="47">
        <v>0.99914461471353855</v>
      </c>
      <c r="K16" s="47">
        <v>6.3688693974364885E-2</v>
      </c>
      <c r="L16" s="63">
        <v>0.98997222319873346</v>
      </c>
      <c r="M16" s="25"/>
      <c r="N16" s="17">
        <v>5.359135335880487E-7</v>
      </c>
      <c r="O16" s="17">
        <v>8.1613726406465537E-11</v>
      </c>
      <c r="P16" s="17">
        <v>2.6753375085146189E-8</v>
      </c>
      <c r="Q16" s="25">
        <v>1.640439014025479</v>
      </c>
      <c r="R16" s="58">
        <v>136.95008595433416</v>
      </c>
      <c r="S16" s="55">
        <v>2.0670276575281222E-7</v>
      </c>
      <c r="U16" s="1"/>
      <c r="V16" s="1"/>
      <c r="W16" s="77"/>
      <c r="X16" s="163">
        <f t="shared" si="2"/>
        <v>9.1743183277500001E-2</v>
      </c>
      <c r="Y16" s="164">
        <f t="shared" si="0"/>
        <v>0.99914461471353855</v>
      </c>
      <c r="Z16" s="164">
        <f t="shared" si="1"/>
        <v>6.3688693974364885E-2</v>
      </c>
      <c r="AA16" s="164">
        <f t="shared" si="1"/>
        <v>0.98997222319873346</v>
      </c>
      <c r="AB16" s="164">
        <f t="shared" si="3"/>
        <v>42.290991404566583</v>
      </c>
      <c r="AC16" s="164">
        <f t="shared" si="4"/>
        <v>2.0670276575281222E-5</v>
      </c>
    </row>
    <row r="17" spans="1:34" ht="19.5" x14ac:dyDescent="0.3">
      <c r="A17" s="88">
        <v>4.25</v>
      </c>
      <c r="B17" s="116" t="s">
        <v>613</v>
      </c>
      <c r="C17" s="116" t="s">
        <v>614</v>
      </c>
      <c r="D17" s="116" t="s">
        <v>571</v>
      </c>
      <c r="E17" s="116" t="s">
        <v>572</v>
      </c>
      <c r="F17" s="116" t="s">
        <v>573</v>
      </c>
      <c r="G17" s="119"/>
      <c r="H17" s="116" t="s">
        <v>611</v>
      </c>
      <c r="I17" s="123">
        <v>9.2660615110300003E-3</v>
      </c>
      <c r="J17" s="47">
        <v>1.0167744433241293</v>
      </c>
      <c r="K17" s="47">
        <v>6.3513296975088632E-2</v>
      </c>
      <c r="L17" s="63">
        <v>0.98950385104360072</v>
      </c>
      <c r="M17" s="25"/>
      <c r="N17" s="17">
        <v>5.8246664946954231E-7</v>
      </c>
      <c r="O17" s="17">
        <v>8.7427292587607487E-11</v>
      </c>
      <c r="P17" s="17">
        <v>2.8652427087290469E-8</v>
      </c>
      <c r="Q17" s="25">
        <v>1.640439014025479</v>
      </c>
      <c r="R17" s="58">
        <v>136.95008595433416</v>
      </c>
      <c r="S17" s="55">
        <v>2.5474510369493849E-7</v>
      </c>
      <c r="U17" s="1"/>
      <c r="V17" s="1"/>
      <c r="W17" s="77"/>
      <c r="X17" s="163">
        <f t="shared" si="2"/>
        <v>9.2660615110300007E-2</v>
      </c>
      <c r="Y17" s="164">
        <f t="shared" si="0"/>
        <v>1.0167744433241293</v>
      </c>
      <c r="Z17" s="164">
        <f t="shared" si="1"/>
        <v>6.3513296975088632E-2</v>
      </c>
      <c r="AA17" s="164">
        <f t="shared" si="1"/>
        <v>0.98950385104360072</v>
      </c>
      <c r="AB17" s="164">
        <f t="shared" si="3"/>
        <v>42.290991404566583</v>
      </c>
      <c r="AC17" s="164">
        <f t="shared" si="4"/>
        <v>2.5474510369493849E-5</v>
      </c>
    </row>
    <row r="18" spans="1:34" x14ac:dyDescent="0.25">
      <c r="B18" s="138">
        <v>86.1</v>
      </c>
      <c r="C18" s="138">
        <v>92.1</v>
      </c>
      <c r="D18" s="138">
        <v>196.28</v>
      </c>
      <c r="E18" s="138">
        <v>208.28</v>
      </c>
      <c r="F18" s="138">
        <v>202.28</v>
      </c>
      <c r="G18" s="119"/>
      <c r="H18" s="138">
        <f>(2*(1-H26)*B18+H26*D18)/2</f>
        <v>87.905999999999992</v>
      </c>
      <c r="I18" s="123">
        <v>9.3587221261399994E-3</v>
      </c>
      <c r="J18" s="47">
        <v>1.1104918366598211</v>
      </c>
      <c r="K18" s="47">
        <v>6.2977088826392955E-2</v>
      </c>
      <c r="L18" s="63">
        <v>0.98897758960199234</v>
      </c>
      <c r="N18" s="17">
        <v>6.3006405895124264E-7</v>
      </c>
      <c r="O18" s="17">
        <v>9.2956771252043237E-11</v>
      </c>
      <c r="P18" s="17">
        <v>3.0456039805690296E-8</v>
      </c>
      <c r="Q18" s="25">
        <v>1.640439014025479</v>
      </c>
      <c r="R18" s="58">
        <v>139.37280779015074</v>
      </c>
      <c r="S18" s="55">
        <v>2.5474510369493849E-7</v>
      </c>
      <c r="U18" s="1"/>
      <c r="V18" s="1"/>
      <c r="W18" s="77"/>
      <c r="X18" s="163">
        <f t="shared" si="2"/>
        <v>9.3587221261399997E-2</v>
      </c>
      <c r="Y18" s="164">
        <f t="shared" si="0"/>
        <v>1.1104918366598211</v>
      </c>
      <c r="Z18" s="164">
        <f t="shared" si="1"/>
        <v>6.2977088826392955E-2</v>
      </c>
      <c r="AA18" s="164">
        <f t="shared" si="1"/>
        <v>0.98897758960199234</v>
      </c>
      <c r="AB18" s="164">
        <f t="shared" si="3"/>
        <v>42.048719220984921</v>
      </c>
      <c r="AC18" s="164">
        <f t="shared" si="4"/>
        <v>2.5474510369493849E-5</v>
      </c>
    </row>
    <row r="19" spans="1:34" ht="19.5" x14ac:dyDescent="0.3">
      <c r="B19" s="116" t="s">
        <v>615</v>
      </c>
      <c r="C19" s="116" t="s">
        <v>616</v>
      </c>
      <c r="D19" s="116" t="s">
        <v>574</v>
      </c>
      <c r="E19" s="116" t="s">
        <v>575</v>
      </c>
      <c r="F19" s="116" t="s">
        <v>576</v>
      </c>
      <c r="H19" s="116" t="s">
        <v>612</v>
      </c>
      <c r="I19" s="123">
        <v>9.4523093474000001E-3</v>
      </c>
      <c r="J19" s="47">
        <v>1.1041174817095889</v>
      </c>
      <c r="K19" s="47">
        <v>6.1519345468563386E-2</v>
      </c>
      <c r="L19" s="63">
        <v>0.98837935774706243</v>
      </c>
      <c r="N19" s="17">
        <v>6.7866854497420413E-7</v>
      </c>
      <c r="O19" s="17">
        <v>9.811105934083059E-11</v>
      </c>
      <c r="P19" s="17">
        <v>3.2133903065899839E-8</v>
      </c>
      <c r="Q19" s="25">
        <v>1.640439014025479</v>
      </c>
      <c r="R19" s="58">
        <v>139.37280779015074</v>
      </c>
      <c r="S19" s="55">
        <v>3.030673196711259E-7</v>
      </c>
      <c r="U19" s="1"/>
      <c r="V19" s="1"/>
      <c r="W19" s="77"/>
      <c r="X19" s="163">
        <f t="shared" si="2"/>
        <v>9.4523093474000008E-2</v>
      </c>
      <c r="Y19" s="164">
        <f t="shared" si="0"/>
        <v>1.1041174817095889</v>
      </c>
      <c r="Z19" s="164">
        <f t="shared" si="1"/>
        <v>6.1519345468563386E-2</v>
      </c>
      <c r="AA19" s="164">
        <f t="shared" si="1"/>
        <v>0.98837935774706243</v>
      </c>
      <c r="AB19" s="164">
        <f t="shared" si="3"/>
        <v>42.048719220984921</v>
      </c>
      <c r="AC19" s="164">
        <f t="shared" si="4"/>
        <v>3.030673196711259E-5</v>
      </c>
    </row>
    <row r="20" spans="1:34" x14ac:dyDescent="0.25">
      <c r="B20" s="109">
        <v>11000000000</v>
      </c>
      <c r="C20" s="109">
        <v>51100000000</v>
      </c>
      <c r="D20" s="109">
        <v>11300000000</v>
      </c>
      <c r="E20" s="109">
        <v>46800000000</v>
      </c>
      <c r="F20" s="109">
        <v>29600000000</v>
      </c>
      <c r="H20" s="138">
        <f>(2*(1-H26)*(H28*C18+(1-H28)*B18)+H26*(B22*E18+2*C22*F18+E22*D18))/2</f>
        <v>91.102775887588763</v>
      </c>
      <c r="I20" s="123">
        <v>9.5468324408700001E-3</v>
      </c>
      <c r="J20" s="47">
        <v>0.9615496717376657</v>
      </c>
      <c r="K20" s="47">
        <v>5.4206286071909901E-2</v>
      </c>
      <c r="L20" s="63">
        <v>0.98768860206458942</v>
      </c>
      <c r="N20" s="17">
        <v>7.2831154029451507E-7</v>
      </c>
      <c r="O20" s="17">
        <v>1.028033345754771E-10</v>
      </c>
      <c r="P20" s="17">
        <v>3.3657077713809199E-8</v>
      </c>
      <c r="Q20" s="25">
        <v>1.640439014025479</v>
      </c>
      <c r="R20" s="58">
        <v>141.61382639687312</v>
      </c>
      <c r="S20" s="55">
        <v>3.030673196711259E-7</v>
      </c>
      <c r="U20" s="1"/>
      <c r="V20" s="1"/>
      <c r="W20" s="77"/>
      <c r="X20" s="163">
        <f t="shared" si="2"/>
        <v>9.5468324408699998E-2</v>
      </c>
      <c r="Y20" s="164">
        <f t="shared" si="0"/>
        <v>0.9615496717376657</v>
      </c>
      <c r="Z20" s="164">
        <f t="shared" si="1"/>
        <v>5.4206286071909901E-2</v>
      </c>
      <c r="AA20" s="164">
        <f t="shared" si="1"/>
        <v>0.98768860206458942</v>
      </c>
      <c r="AB20" s="164">
        <f t="shared" si="3"/>
        <v>41.824617360312686</v>
      </c>
      <c r="AC20" s="164">
        <f t="shared" si="4"/>
        <v>3.030673196711259E-5</v>
      </c>
    </row>
    <row r="21" spans="1:34" s="16" customFormat="1" ht="19.5" x14ac:dyDescent="0.3">
      <c r="A21" s="61"/>
      <c r="B21" s="105" t="s">
        <v>577</v>
      </c>
      <c r="C21" s="105" t="s">
        <v>578</v>
      </c>
      <c r="D21" s="105" t="s">
        <v>579</v>
      </c>
      <c r="E21" s="105" t="s">
        <v>580</v>
      </c>
      <c r="F21" s="137"/>
      <c r="G21" s="137"/>
      <c r="H21" s="116" t="s">
        <v>594</v>
      </c>
      <c r="I21" s="123">
        <v>9.6423007652800003E-3</v>
      </c>
      <c r="J21" s="47">
        <v>1.0051437167002406</v>
      </c>
      <c r="K21" s="47">
        <v>5.1294036907974752E-2</v>
      </c>
      <c r="L21" s="63">
        <v>0.98643178422552891</v>
      </c>
      <c r="M21" s="28"/>
      <c r="N21" s="17">
        <v>7.790952627376928E-7</v>
      </c>
      <c r="O21" s="17">
        <v>1.0695327358524034E-10</v>
      </c>
      <c r="P21" s="27">
        <v>3.4998732613671938E-8</v>
      </c>
      <c r="Q21" s="28">
        <v>1.640439014025479</v>
      </c>
      <c r="R21" s="60">
        <v>141.61382639687312</v>
      </c>
      <c r="S21" s="59">
        <v>3.5150819152409238E-7</v>
      </c>
      <c r="T21" s="1"/>
      <c r="U21" s="1"/>
      <c r="V21" s="1"/>
      <c r="W21" s="77"/>
      <c r="X21" s="163">
        <f t="shared" si="2"/>
        <v>9.64230076528E-2</v>
      </c>
      <c r="Y21" s="164">
        <f t="shared" si="0"/>
        <v>1.0051437167002406</v>
      </c>
      <c r="Z21" s="164">
        <f t="shared" si="1"/>
        <v>5.1294036907974752E-2</v>
      </c>
      <c r="AA21" s="164">
        <f t="shared" si="1"/>
        <v>0.98643178422552891</v>
      </c>
      <c r="AB21" s="164">
        <f t="shared" si="3"/>
        <v>41.824617360312686</v>
      </c>
      <c r="AC21" s="164">
        <f t="shared" si="4"/>
        <v>3.5150819152409234E-5</v>
      </c>
      <c r="AH21" s="78"/>
    </row>
    <row r="22" spans="1:34" x14ac:dyDescent="0.25">
      <c r="B22" s="139">
        <f>H28*H28</f>
        <v>0.28387155765191541</v>
      </c>
      <c r="C22" s="139">
        <f>H28*(1-H28)</f>
        <v>0.24892442361287923</v>
      </c>
      <c r="D22" s="139">
        <f>C22</f>
        <v>0.24892442361287923</v>
      </c>
      <c r="E22" s="139">
        <f>(1-H28)*(1-H28)</f>
        <v>0.21827959512232611</v>
      </c>
      <c r="H22" s="109">
        <f>(2*(1-H26)*B20+H26*D20)/2</f>
        <v>10197500000</v>
      </c>
      <c r="I22" s="123">
        <v>9.7387237729300007E-3</v>
      </c>
      <c r="J22" s="47">
        <v>0.90322480287921059</v>
      </c>
      <c r="K22" s="47">
        <v>4.63916238361336E-2</v>
      </c>
      <c r="L22" s="63">
        <v>0.98288060819033729</v>
      </c>
      <c r="N22" s="17">
        <v>8.3118941230527131E-7</v>
      </c>
      <c r="O22" s="17">
        <v>1.1048906377663296E-10</v>
      </c>
      <c r="P22" s="17">
        <v>3.613481728150384E-8</v>
      </c>
      <c r="Q22" s="25">
        <v>1.640439014025479</v>
      </c>
      <c r="R22" s="58">
        <v>143.73570938655857</v>
      </c>
      <c r="S22" s="55">
        <v>3.5150819152409238E-7</v>
      </c>
      <c r="U22" s="1"/>
      <c r="V22" s="1"/>
      <c r="W22" s="77"/>
      <c r="X22" s="163">
        <f t="shared" si="2"/>
        <v>9.7387237729300011E-2</v>
      </c>
      <c r="Y22" s="164">
        <f t="shared" si="0"/>
        <v>0.90322480287921059</v>
      </c>
      <c r="Z22" s="164">
        <f t="shared" si="1"/>
        <v>4.63916238361336E-2</v>
      </c>
      <c r="AA22" s="164">
        <f t="shared" si="1"/>
        <v>0.98288060819033729</v>
      </c>
      <c r="AB22" s="164">
        <f t="shared" si="3"/>
        <v>41.612429061344145</v>
      </c>
      <c r="AC22" s="164">
        <f t="shared" si="4"/>
        <v>3.5150819152409234E-5</v>
      </c>
    </row>
    <row r="23" spans="1:34" ht="19.5" x14ac:dyDescent="0.3">
      <c r="H23" s="116" t="s">
        <v>595</v>
      </c>
      <c r="I23" s="123">
        <v>9.8361110106600005E-3</v>
      </c>
      <c r="J23" s="47">
        <v>0.86867190995810784</v>
      </c>
      <c r="K23" s="47">
        <v>4.3196904683758183E-2</v>
      </c>
      <c r="L23" s="63">
        <v>0.97113659709841382</v>
      </c>
      <c r="N23" s="17">
        <v>8.8482222027475653E-7</v>
      </c>
      <c r="O23" s="17">
        <v>1.1334916472844946E-10</v>
      </c>
      <c r="P23" s="17">
        <v>3.7044655595400235E-8</v>
      </c>
      <c r="Q23" s="25">
        <v>1.640439014025479</v>
      </c>
      <c r="R23" s="58">
        <v>143.73570938655857</v>
      </c>
      <c r="S23" s="55">
        <v>3.9999016535451186E-7</v>
      </c>
      <c r="U23" s="1"/>
      <c r="V23" s="1"/>
      <c r="W23" s="77"/>
      <c r="X23" s="163">
        <f t="shared" si="2"/>
        <v>9.8361110106600008E-2</v>
      </c>
      <c r="Y23" s="164">
        <f t="shared" si="0"/>
        <v>0.86867190995810784</v>
      </c>
      <c r="Z23" s="164">
        <f t="shared" si="1"/>
        <v>4.3196904683758183E-2</v>
      </c>
      <c r="AA23" s="164">
        <f t="shared" si="1"/>
        <v>0.97113659709841382</v>
      </c>
      <c r="AB23" s="164">
        <f t="shared" si="3"/>
        <v>41.612429061344145</v>
      </c>
      <c r="AC23" s="164">
        <f t="shared" si="4"/>
        <v>3.9999016535451185E-5</v>
      </c>
    </row>
    <row r="24" spans="1:34" x14ac:dyDescent="0.25">
      <c r="H24" s="109">
        <f>(2*(1-H26)*((1-H28)*B20+H28*C20)+H26*(B22*E20+C22*F20+D22*F20+D20*E22))/2</f>
        <v>29796956586.476105</v>
      </c>
      <c r="I24" s="123">
        <v>9.9344721207699997E-3</v>
      </c>
      <c r="J24" s="47">
        <v>0.91053107264810551</v>
      </c>
      <c r="K24" s="47">
        <v>4.3556344486299185E-2</v>
      </c>
      <c r="L24" s="63">
        <v>0.93747322182293469</v>
      </c>
      <c r="N24" s="17">
        <v>9.402660478291831E-7</v>
      </c>
      <c r="O24" s="17">
        <v>1.1548378903837889E-10</v>
      </c>
      <c r="P24" s="17">
        <v>3.7711450410247759E-8</v>
      </c>
      <c r="Q24" s="25">
        <v>1.640439014025479</v>
      </c>
      <c r="R24" s="58">
        <v>145.78504284150702</v>
      </c>
      <c r="S24" s="55">
        <v>3.9999016535451186E-7</v>
      </c>
      <c r="U24" s="1"/>
      <c r="V24" s="1"/>
      <c r="W24" s="77"/>
      <c r="X24" s="163">
        <f t="shared" si="2"/>
        <v>9.9344721207699993E-2</v>
      </c>
      <c r="Y24" s="164">
        <f t="shared" si="0"/>
        <v>0.91053107264810551</v>
      </c>
      <c r="Z24" s="164">
        <f t="shared" si="1"/>
        <v>4.3556344486299185E-2</v>
      </c>
      <c r="AA24" s="164">
        <f t="shared" si="1"/>
        <v>0.93747322182293469</v>
      </c>
      <c r="AB24" s="164">
        <f t="shared" si="3"/>
        <v>41.407495715849301</v>
      </c>
      <c r="AC24" s="164">
        <f t="shared" si="4"/>
        <v>3.9999016535451185E-5</v>
      </c>
    </row>
    <row r="25" spans="1:34" ht="17.25" x14ac:dyDescent="0.25">
      <c r="H25" s="115" t="s">
        <v>570</v>
      </c>
      <c r="I25" s="123">
        <v>1.0033816842E-2</v>
      </c>
      <c r="J25" s="47">
        <v>0.87216917245550585</v>
      </c>
      <c r="K25" s="47">
        <v>4.2492013726024923E-2</v>
      </c>
      <c r="L25" s="63">
        <v>0.86200931878288822</v>
      </c>
      <c r="N25" s="17">
        <v>9.9781815675816437E-7</v>
      </c>
      <c r="O25" s="17">
        <v>1.168560842275368E-10</v>
      </c>
      <c r="P25" s="17">
        <v>3.8122692456158004E-8</v>
      </c>
      <c r="Q25" s="25">
        <v>1.640439014025479</v>
      </c>
      <c r="R25" s="58">
        <v>145.78504284150702</v>
      </c>
      <c r="S25" s="55">
        <v>4.4848162362374449E-7</v>
      </c>
      <c r="U25" s="1"/>
      <c r="V25" s="1"/>
      <c r="W25" s="77"/>
      <c r="X25" s="163">
        <f t="shared" si="2"/>
        <v>0.10033816842</v>
      </c>
      <c r="Y25" s="164">
        <f t="shared" si="0"/>
        <v>0.87216917245550585</v>
      </c>
      <c r="Z25" s="164">
        <f t="shared" si="1"/>
        <v>4.2492013726024923E-2</v>
      </c>
      <c r="AA25" s="164">
        <f t="shared" si="1"/>
        <v>0.86200931878288822</v>
      </c>
      <c r="AB25" s="164">
        <f t="shared" si="3"/>
        <v>41.407495715849301</v>
      </c>
      <c r="AC25" s="164">
        <f t="shared" si="4"/>
        <v>4.4848162362374449E-5</v>
      </c>
    </row>
    <row r="26" spans="1:34" x14ac:dyDescent="0.25">
      <c r="H26" s="138">
        <v>0.15</v>
      </c>
      <c r="I26" s="123">
        <v>1.0134155010399999E-2</v>
      </c>
      <c r="J26" s="47">
        <v>0.80927784739237152</v>
      </c>
      <c r="K26" s="47">
        <v>3.9176117003806438E-2</v>
      </c>
      <c r="L26" s="63">
        <v>0.73253935825003325</v>
      </c>
      <c r="N26" s="17">
        <v>1.0577776825060128E-6</v>
      </c>
      <c r="O26" s="17">
        <v>1.174430054707464E-10</v>
      </c>
      <c r="P26" s="17">
        <v>3.8270469293692473E-8</v>
      </c>
      <c r="Q26" s="25">
        <v>1.640439014025479</v>
      </c>
      <c r="R26" s="58">
        <v>147.7999509653321</v>
      </c>
      <c r="S26" s="55">
        <v>4.4848162362374449E-7</v>
      </c>
      <c r="U26" s="1"/>
      <c r="V26" s="1"/>
      <c r="W26" s="77"/>
      <c r="X26" s="163">
        <f t="shared" si="2"/>
        <v>0.10134155010399999</v>
      </c>
      <c r="Y26" s="164">
        <f t="shared" si="0"/>
        <v>0.80927784739237152</v>
      </c>
      <c r="Z26" s="164">
        <f t="shared" si="1"/>
        <v>3.9176117003806438E-2</v>
      </c>
      <c r="AA26" s="164">
        <f t="shared" si="1"/>
        <v>0.73253935825003325</v>
      </c>
      <c r="AB26" s="164">
        <f t="shared" si="3"/>
        <v>41.206004903466791</v>
      </c>
      <c r="AC26" s="164">
        <f t="shared" si="4"/>
        <v>4.4848162362374449E-5</v>
      </c>
    </row>
    <row r="27" spans="1:34" ht="18.75" x14ac:dyDescent="0.25">
      <c r="H27" s="115" t="s">
        <v>583</v>
      </c>
      <c r="I27" s="123">
        <v>1.0235496560500001E-2</v>
      </c>
      <c r="J27" s="47">
        <v>0.59495210630957807</v>
      </c>
      <c r="K27" s="47">
        <v>3.2287181936136083E-2</v>
      </c>
      <c r="L27" s="63">
        <v>0.56208232553034221</v>
      </c>
      <c r="N27" s="17">
        <v>1.1204201943869662E-6</v>
      </c>
      <c r="O27" s="17">
        <v>1.1723587329644193E-10</v>
      </c>
      <c r="P27" s="17">
        <v>3.8151671274331129E-8</v>
      </c>
      <c r="Q27" s="25">
        <v>1.640439014025479</v>
      </c>
      <c r="R27" s="58">
        <v>147.7999509653321</v>
      </c>
      <c r="S27" s="55">
        <v>5.017414596015909E-7</v>
      </c>
      <c r="U27" s="1"/>
      <c r="V27" s="1"/>
      <c r="W27" s="77"/>
      <c r="X27" s="163">
        <f t="shared" si="2"/>
        <v>0.10235496560500001</v>
      </c>
      <c r="Y27" s="164">
        <f t="shared" si="0"/>
        <v>0.59495210630957807</v>
      </c>
      <c r="Z27" s="164">
        <f t="shared" si="1"/>
        <v>3.2287181936136083E-2</v>
      </c>
      <c r="AA27" s="164">
        <f t="shared" si="1"/>
        <v>0.56208232553034221</v>
      </c>
      <c r="AB27" s="164">
        <f t="shared" si="3"/>
        <v>41.206004903466791</v>
      </c>
      <c r="AC27" s="164">
        <f t="shared" si="4"/>
        <v>5.0174145960159091E-5</v>
      </c>
    </row>
    <row r="28" spans="1:34" x14ac:dyDescent="0.25">
      <c r="H28" s="138">
        <f>H8/F5</f>
        <v>0.53279598126479466</v>
      </c>
      <c r="I28" s="123">
        <v>1.0337851526100001E-2</v>
      </c>
      <c r="J28" s="47">
        <v>0.3770856517789416</v>
      </c>
      <c r="K28" s="47">
        <v>2.4973212224373327E-2</v>
      </c>
      <c r="L28" s="63">
        <v>0.38788705342096391</v>
      </c>
      <c r="N28" s="17">
        <v>1.1859714954393028E-6</v>
      </c>
      <c r="O28" s="17">
        <v>1.1624061153212011E-10</v>
      </c>
      <c r="P28" s="17">
        <v>3.776809161878694E-8</v>
      </c>
      <c r="Q28" s="25">
        <v>1.640439014025479</v>
      </c>
      <c r="R28" s="58">
        <v>148.62017047234485</v>
      </c>
      <c r="S28" s="55">
        <v>5.017414596015909E-7</v>
      </c>
      <c r="U28" s="1"/>
      <c r="V28" s="1"/>
      <c r="W28" s="77"/>
      <c r="X28" s="163">
        <f t="shared" si="2"/>
        <v>0.103378515261</v>
      </c>
      <c r="Y28" s="164">
        <f t="shared" si="0"/>
        <v>0.3770856517789416</v>
      </c>
      <c r="Z28" s="164">
        <f t="shared" si="1"/>
        <v>2.4973212224373327E-2</v>
      </c>
      <c r="AA28" s="164">
        <f t="shared" si="1"/>
        <v>0.38788705342096391</v>
      </c>
      <c r="AB28" s="164">
        <f t="shared" si="3"/>
        <v>41.123982952765516</v>
      </c>
      <c r="AC28" s="164">
        <f t="shared" si="4"/>
        <v>5.0174145960159091E-5</v>
      </c>
    </row>
    <row r="29" spans="1:34" x14ac:dyDescent="0.25">
      <c r="I29" s="123">
        <v>1.0441230041400001E-2</v>
      </c>
      <c r="J29" s="47">
        <v>0.25138395083481402</v>
      </c>
      <c r="K29" s="47">
        <v>2.0079030471502037E-2</v>
      </c>
      <c r="L29" s="63">
        <v>0.24625317266897154</v>
      </c>
      <c r="N29" s="17">
        <v>1.2545824669823085E-6</v>
      </c>
      <c r="O29" s="17">
        <v>1.144776598880282E-10</v>
      </c>
      <c r="P29" s="17">
        <v>3.7126417310275608E-8</v>
      </c>
      <c r="Q29" s="25">
        <v>1.640439014025479</v>
      </c>
      <c r="R29" s="58">
        <v>148.62017047234485</v>
      </c>
      <c r="S29" s="55">
        <v>5.359135335880487E-7</v>
      </c>
      <c r="U29" s="1"/>
      <c r="V29" s="1"/>
      <c r="W29" s="77"/>
      <c r="X29" s="163">
        <f t="shared" si="2"/>
        <v>0.10441230041400001</v>
      </c>
      <c r="Y29" s="164">
        <f t="shared" si="0"/>
        <v>0.25138395083481402</v>
      </c>
      <c r="Z29" s="164">
        <f t="shared" si="1"/>
        <v>2.0079030471502037E-2</v>
      </c>
      <c r="AA29" s="164">
        <f t="shared" si="1"/>
        <v>0.24625317266897154</v>
      </c>
      <c r="AB29" s="164">
        <f t="shared" si="3"/>
        <v>41.123982952765516</v>
      </c>
      <c r="AC29" s="164">
        <f t="shared" si="4"/>
        <v>5.3591353358804872E-5</v>
      </c>
    </row>
    <row r="30" spans="1:34" x14ac:dyDescent="0.25">
      <c r="I30" s="123">
        <v>1.0545642341800001E-2</v>
      </c>
      <c r="J30" s="47">
        <v>0.19738499562598133</v>
      </c>
      <c r="K30" s="47">
        <v>1.7161351543161243E-2</v>
      </c>
      <c r="L30" s="63">
        <v>0.15098586777565795</v>
      </c>
      <c r="N30" s="17">
        <v>1.3263067809193098E-6</v>
      </c>
      <c r="O30" s="17">
        <v>1.1198155434774379E-10</v>
      </c>
      <c r="P30" s="17">
        <v>3.6238107077915372E-8</v>
      </c>
      <c r="Q30" s="25">
        <v>1.640439014025479</v>
      </c>
      <c r="R30" s="58">
        <v>150.26060948637033</v>
      </c>
      <c r="S30" s="55">
        <v>5.359135335880487E-7</v>
      </c>
      <c r="U30" s="1"/>
      <c r="V30" s="1"/>
      <c r="W30" s="77"/>
      <c r="X30" s="163">
        <f t="shared" si="2"/>
        <v>0.105456423418</v>
      </c>
      <c r="Y30" s="164">
        <f t="shared" si="0"/>
        <v>0.19738499562598133</v>
      </c>
      <c r="Z30" s="164">
        <f t="shared" si="1"/>
        <v>1.7161351543161243E-2</v>
      </c>
      <c r="AA30" s="164">
        <f t="shared" si="1"/>
        <v>0.15098586777565795</v>
      </c>
      <c r="AB30" s="164">
        <f t="shared" si="3"/>
        <v>40.959939051362973</v>
      </c>
      <c r="AC30" s="164">
        <f t="shared" si="4"/>
        <v>5.3591353358804872E-5</v>
      </c>
    </row>
    <row r="31" spans="1:34" x14ac:dyDescent="0.25">
      <c r="I31" s="123">
        <v>1.06510987652E-2</v>
      </c>
      <c r="J31" s="47">
        <v>0.13471469402110434</v>
      </c>
      <c r="K31" s="47">
        <v>1.3564167510188425E-2</v>
      </c>
      <c r="L31" s="63">
        <v>9.4581700624385964E-2</v>
      </c>
      <c r="N31" s="17">
        <v>1.4010831777463208E-6</v>
      </c>
      <c r="O31" s="17">
        <v>1.0880016876765983E-10</v>
      </c>
      <c r="P31" s="17">
        <v>3.5119152922621056E-8</v>
      </c>
      <c r="Q31" s="25">
        <v>1.640439014025479</v>
      </c>
      <c r="R31" s="58">
        <v>150.26060948637033</v>
      </c>
      <c r="S31" s="55">
        <v>5.8246664946954231E-7</v>
      </c>
      <c r="U31" s="1"/>
      <c r="V31" s="1"/>
      <c r="W31" s="77"/>
      <c r="X31" s="163">
        <f t="shared" si="2"/>
        <v>0.106510987652</v>
      </c>
      <c r="Y31" s="164">
        <f t="shared" si="0"/>
        <v>0.13471469402110434</v>
      </c>
      <c r="Z31" s="164">
        <f t="shared" si="1"/>
        <v>1.3564167510188425E-2</v>
      </c>
      <c r="AA31" s="164">
        <f t="shared" si="1"/>
        <v>9.4581700624385964E-2</v>
      </c>
      <c r="AB31" s="164">
        <f t="shared" si="3"/>
        <v>40.959939051362973</v>
      </c>
      <c r="AC31" s="164">
        <f t="shared" si="4"/>
        <v>5.8246664946954233E-5</v>
      </c>
    </row>
    <row r="32" spans="1:34" x14ac:dyDescent="0.25">
      <c r="I32" s="123">
        <v>1.0757609752900001E-2</v>
      </c>
      <c r="J32" s="47">
        <v>9.1633824043677897E-2</v>
      </c>
      <c r="K32" s="47">
        <v>1.1218834237923267E-2</v>
      </c>
      <c r="L32" s="63">
        <v>6.2661420889724748E-2</v>
      </c>
      <c r="N32" s="17">
        <v>1.4787237443074788E-6</v>
      </c>
      <c r="O32" s="17">
        <v>1.0499361435174842E-10</v>
      </c>
      <c r="P32" s="17">
        <v>3.3789722934861487E-8</v>
      </c>
      <c r="Q32" s="25">
        <v>1.640439014025479</v>
      </c>
      <c r="R32" s="58">
        <v>151.9010485003958</v>
      </c>
      <c r="S32" s="55">
        <v>5.8246664946954231E-7</v>
      </c>
      <c r="U32" s="1"/>
      <c r="V32" s="1"/>
      <c r="W32" s="77"/>
      <c r="X32" s="163">
        <f t="shared" si="2"/>
        <v>0.10757609752900001</v>
      </c>
      <c r="Y32" s="164">
        <f t="shared" si="0"/>
        <v>9.1633824043677897E-2</v>
      </c>
      <c r="Z32" s="164">
        <f t="shared" si="1"/>
        <v>1.1218834237923267E-2</v>
      </c>
      <c r="AA32" s="164">
        <f t="shared" si="1"/>
        <v>6.2661420889724748E-2</v>
      </c>
      <c r="AB32" s="164">
        <f t="shared" si="3"/>
        <v>40.795895149960423</v>
      </c>
      <c r="AC32" s="164">
        <f t="shared" si="4"/>
        <v>5.8246664946954233E-5</v>
      </c>
    </row>
    <row r="33" spans="2:29" x14ac:dyDescent="0.25">
      <c r="B33" s="172" t="s">
        <v>559</v>
      </c>
      <c r="C33" s="172"/>
      <c r="D33" s="172"/>
      <c r="E33" s="172"/>
      <c r="F33" s="172"/>
      <c r="G33" s="172"/>
      <c r="H33" s="172"/>
      <c r="I33" s="123">
        <v>1.08651858504E-2</v>
      </c>
      <c r="J33" s="47">
        <v>7.6710832725622929E-2</v>
      </c>
      <c r="K33" s="47">
        <v>1.0136928841432295E-2</v>
      </c>
      <c r="L33" s="63">
        <v>4.4047770143049336E-2</v>
      </c>
      <c r="N33" s="17">
        <v>1.5589092398814157E-6</v>
      </c>
      <c r="O33" s="17">
        <v>1.0063280099754773E-10</v>
      </c>
      <c r="P33" s="17">
        <v>3.2273685901134699E-8</v>
      </c>
      <c r="Q33" s="25">
        <v>1.640439014025479</v>
      </c>
      <c r="R33" s="58">
        <v>151.9010485003958</v>
      </c>
      <c r="S33" s="55">
        <v>6.3006405895124264E-7</v>
      </c>
      <c r="U33" s="1"/>
      <c r="V33" s="1"/>
      <c r="W33" s="77"/>
      <c r="X33" s="163">
        <f t="shared" si="2"/>
        <v>0.108651858504</v>
      </c>
      <c r="Y33" s="164">
        <f t="shared" si="0"/>
        <v>7.6710832725622929E-2</v>
      </c>
      <c r="Z33" s="164">
        <f t="shared" si="1"/>
        <v>1.0136928841432295E-2</v>
      </c>
      <c r="AA33" s="164">
        <f t="shared" si="1"/>
        <v>4.4047770143049336E-2</v>
      </c>
      <c r="AB33" s="164">
        <f t="shared" si="3"/>
        <v>40.795895149960423</v>
      </c>
      <c r="AC33" s="164">
        <f t="shared" si="4"/>
        <v>6.300640589512426E-5</v>
      </c>
    </row>
    <row r="34" spans="2:29" ht="19.5" x14ac:dyDescent="0.3">
      <c r="B34" s="150" t="s">
        <v>560</v>
      </c>
      <c r="C34" s="152">
        <v>0</v>
      </c>
      <c r="D34" s="152">
        <v>0</v>
      </c>
      <c r="E34" s="152">
        <v>0</v>
      </c>
      <c r="F34" s="127">
        <v>0</v>
      </c>
      <c r="G34" s="127">
        <v>0</v>
      </c>
      <c r="H34" s="105" t="s">
        <v>587</v>
      </c>
      <c r="I34" s="123">
        <v>1.09738377089E-2</v>
      </c>
      <c r="J34" s="47">
        <v>6.5024272493209481E-2</v>
      </c>
      <c r="K34" s="47">
        <v>8.7318371916925951E-3</v>
      </c>
      <c r="L34" s="63">
        <v>3.2588987145195154E-2</v>
      </c>
      <c r="N34" s="17">
        <v>1.6411920415897764E-6</v>
      </c>
      <c r="O34" s="17">
        <v>9.5797676172183238E-11</v>
      </c>
      <c r="P34" s="17">
        <v>3.0598022459876978E-8</v>
      </c>
      <c r="Q34" s="25">
        <v>1.640439014025479</v>
      </c>
      <c r="R34" s="58">
        <v>153.54148751442128</v>
      </c>
      <c r="S34" s="55">
        <v>6.3006405895124264E-7</v>
      </c>
      <c r="U34" s="1"/>
      <c r="V34" s="1"/>
      <c r="W34" s="77"/>
      <c r="X34" s="163">
        <f t="shared" si="2"/>
        <v>0.109738377089</v>
      </c>
      <c r="Y34" s="164">
        <f t="shared" si="0"/>
        <v>6.5024272493209481E-2</v>
      </c>
      <c r="Z34" s="164">
        <f t="shared" si="1"/>
        <v>8.7318371916925951E-3</v>
      </c>
      <c r="AA34" s="164">
        <f t="shared" si="1"/>
        <v>3.2588987145195154E-2</v>
      </c>
      <c r="AB34" s="164">
        <f t="shared" si="3"/>
        <v>40.631851248557872</v>
      </c>
      <c r="AC34" s="164">
        <f t="shared" si="4"/>
        <v>6.300640589512426E-5</v>
      </c>
    </row>
    <row r="35" spans="2:29" x14ac:dyDescent="0.25">
      <c r="B35" s="106" t="s">
        <v>561</v>
      </c>
      <c r="C35" s="107">
        <f>H35</f>
        <v>1.0136721026109248E-6</v>
      </c>
      <c r="D35" s="107">
        <v>1.5392483148537927E-10</v>
      </c>
      <c r="E35" s="107">
        <v>5.0509225500401457E-8</v>
      </c>
      <c r="F35" s="128">
        <v>61.774063156716643</v>
      </c>
      <c r="G35" s="128">
        <v>44.340579166116143</v>
      </c>
      <c r="H35" s="109">
        <f>0.0000000000000001*H47*(H45*B51+(1-H45)*D51)</f>
        <v>1.0136721026109248E-6</v>
      </c>
      <c r="I35" s="123">
        <v>1.1083576086E-2</v>
      </c>
      <c r="J35" s="47">
        <v>7.1241303556878161E-2</v>
      </c>
      <c r="K35" s="47">
        <v>8.872978243684531E-3</v>
      </c>
      <c r="L35" s="63">
        <v>2.5140814211052753E-2</v>
      </c>
      <c r="N35" s="17">
        <v>1.7250067495692204E-6</v>
      </c>
      <c r="O35" s="17">
        <v>9.0575172376669271E-11</v>
      </c>
      <c r="P35" s="17">
        <v>2.8792133117876516E-8</v>
      </c>
      <c r="Q35" s="25">
        <v>1.640439014025479</v>
      </c>
      <c r="R35" s="58">
        <v>153.54148751442128</v>
      </c>
      <c r="S35" s="55">
        <v>6.7866854497420413E-7</v>
      </c>
      <c r="U35" s="1"/>
      <c r="V35" s="1"/>
      <c r="W35" s="77"/>
      <c r="X35" s="163">
        <f t="shared" si="2"/>
        <v>0.11083576085999999</v>
      </c>
      <c r="Y35" s="164">
        <f t="shared" ref="Y35:Y67" si="5">J35</f>
        <v>7.1241303556878161E-2</v>
      </c>
      <c r="Z35" s="164">
        <f t="shared" si="1"/>
        <v>8.872978243684531E-3</v>
      </c>
      <c r="AA35" s="164">
        <f t="shared" si="1"/>
        <v>2.5140814211052753E-2</v>
      </c>
      <c r="AB35" s="164">
        <f t="shared" si="3"/>
        <v>40.631851248557872</v>
      </c>
      <c r="AC35" s="164">
        <f t="shared" si="4"/>
        <v>6.7866854497420417E-5</v>
      </c>
    </row>
    <row r="36" spans="2:29" ht="18.75" x14ac:dyDescent="0.25">
      <c r="B36" s="110" t="s">
        <v>544</v>
      </c>
      <c r="C36" s="111">
        <f>H37</f>
        <v>3.2243909411123124E-6</v>
      </c>
      <c r="D36" s="112">
        <v>7.9300000000000003E-12</v>
      </c>
      <c r="E36" s="112">
        <v>3.6399999999999998E-10</v>
      </c>
      <c r="F36" s="113">
        <v>36.513977867968762</v>
      </c>
      <c r="G36" s="128">
        <v>21.368981921742197</v>
      </c>
      <c r="H36" s="115" t="s">
        <v>586</v>
      </c>
      <c r="I36" s="123">
        <v>1.11944118468E-2</v>
      </c>
      <c r="J36" s="47">
        <v>5.2808865495856117E-2</v>
      </c>
      <c r="K36" s="47">
        <v>7.4740420188941061E-3</v>
      </c>
      <c r="L36" s="63">
        <v>2.0191298594447096E-2</v>
      </c>
      <c r="N36" s="17">
        <v>1.8096879542510372E-6</v>
      </c>
      <c r="O36" s="17">
        <v>8.5056911978907375E-11</v>
      </c>
      <c r="P36" s="17">
        <v>2.6887059768152438E-8</v>
      </c>
      <c r="Q36" s="25">
        <v>1.640439014025479</v>
      </c>
      <c r="R36" s="58">
        <v>155.18192652844675</v>
      </c>
      <c r="S36" s="55">
        <v>6.7866854497420413E-7</v>
      </c>
      <c r="U36" s="1"/>
      <c r="V36" s="1"/>
      <c r="W36" s="77"/>
      <c r="X36" s="163">
        <f t="shared" si="2"/>
        <v>0.111944118468</v>
      </c>
      <c r="Y36" s="164">
        <f t="shared" si="5"/>
        <v>5.2808865495856117E-2</v>
      </c>
      <c r="Z36" s="164">
        <f t="shared" si="1"/>
        <v>7.4740420188941061E-3</v>
      </c>
      <c r="AA36" s="164">
        <f t="shared" si="1"/>
        <v>2.0191298594447096E-2</v>
      </c>
      <c r="AB36" s="164">
        <f t="shared" si="3"/>
        <v>40.467807347155329</v>
      </c>
      <c r="AC36" s="164">
        <f t="shared" si="4"/>
        <v>6.7866854497420417E-5</v>
      </c>
    </row>
    <row r="37" spans="2:29" x14ac:dyDescent="0.25">
      <c r="B37" s="106" t="s">
        <v>542</v>
      </c>
      <c r="C37" s="107">
        <f>H35</f>
        <v>1.0136721026109248E-6</v>
      </c>
      <c r="D37" s="107">
        <v>1.5392483148537927E-10</v>
      </c>
      <c r="E37" s="107">
        <v>5.0509225500401457E-8</v>
      </c>
      <c r="F37" s="108">
        <f>H41-(F38+F36)/2</f>
        <v>126.16813550584273</v>
      </c>
      <c r="G37" s="108">
        <f>G36</f>
        <v>21.368981921742197</v>
      </c>
      <c r="H37" s="109">
        <f>0.0000000000000001*(H47*(C49/B49)*H49*C51+(1-H49)*H35)</f>
        <v>3.2243909411123124E-6</v>
      </c>
      <c r="I37" s="123">
        <v>1.13063559653E-2</v>
      </c>
      <c r="J37" s="47">
        <v>5.5620947231927634E-2</v>
      </c>
      <c r="K37" s="47">
        <v>7.3957692764288928E-3</v>
      </c>
      <c r="L37" s="63">
        <v>1.6915110862074371E-2</v>
      </c>
      <c r="N37" s="17">
        <v>1.8733235187606166E-6</v>
      </c>
      <c r="O37" s="17">
        <v>8.0780566469394904E-11</v>
      </c>
      <c r="P37" s="17">
        <v>2.5412314390242283E-8</v>
      </c>
      <c r="Q37" s="25">
        <v>0.82021950701273949</v>
      </c>
      <c r="R37" s="58">
        <v>155.18192652844675</v>
      </c>
      <c r="S37" s="55">
        <v>7.2831154029451507E-7</v>
      </c>
      <c r="U37" s="1"/>
      <c r="V37" s="1"/>
      <c r="W37" s="77"/>
      <c r="X37" s="163">
        <f t="shared" si="2"/>
        <v>0.113063559653</v>
      </c>
      <c r="Y37" s="164">
        <f t="shared" si="5"/>
        <v>5.5620947231927634E-2</v>
      </c>
      <c r="Z37" s="164">
        <f t="shared" si="1"/>
        <v>7.3957692764288928E-3</v>
      </c>
      <c r="AA37" s="164">
        <f t="shared" si="1"/>
        <v>1.6915110862074371E-2</v>
      </c>
      <c r="AB37" s="164">
        <f t="shared" si="3"/>
        <v>40.467807347155329</v>
      </c>
      <c r="AC37" s="164">
        <f t="shared" si="4"/>
        <v>7.2831154029451501E-5</v>
      </c>
    </row>
    <row r="38" spans="2:29" ht="19.5" x14ac:dyDescent="0.3">
      <c r="B38" s="110" t="s">
        <v>544</v>
      </c>
      <c r="C38" s="111">
        <f>H37</f>
        <v>3.2243909411123124E-6</v>
      </c>
      <c r="D38" s="112">
        <v>7.9300000000000003E-12</v>
      </c>
      <c r="E38" s="112">
        <v>3.6399999999999998E-10</v>
      </c>
      <c r="F38" s="129">
        <f>F36</f>
        <v>36.513977867968762</v>
      </c>
      <c r="G38" s="114">
        <f>G36</f>
        <v>21.368981921742197</v>
      </c>
      <c r="H38" s="116" t="s">
        <v>637</v>
      </c>
      <c r="I38" s="123">
        <v>1.1419419525E-2</v>
      </c>
      <c r="J38" s="47">
        <v>3.4549034662210765E-2</v>
      </c>
      <c r="K38" s="47">
        <v>6.062947360198241E-3</v>
      </c>
      <c r="L38" s="63">
        <v>1.4800007254562649E-2</v>
      </c>
      <c r="N38" s="17">
        <v>1.8923806396690646E-6</v>
      </c>
      <c r="O38" s="17">
        <v>7.9691261885391738E-11</v>
      </c>
      <c r="P38" s="17">
        <v>2.5034391160031467E-8</v>
      </c>
      <c r="Q38" s="25">
        <v>1.0119443665570891</v>
      </c>
      <c r="R38" s="58">
        <v>156.82236554247223</v>
      </c>
      <c r="S38" s="55">
        <v>7.2831154029451507E-7</v>
      </c>
      <c r="U38" s="1"/>
      <c r="V38" s="1"/>
      <c r="W38" s="77"/>
      <c r="X38" s="163">
        <f t="shared" si="2"/>
        <v>0.11419419525000001</v>
      </c>
      <c r="Y38" s="164">
        <f t="shared" si="5"/>
        <v>3.4549034662210765E-2</v>
      </c>
      <c r="Z38" s="164">
        <f t="shared" si="1"/>
        <v>6.062947360198241E-3</v>
      </c>
      <c r="AA38" s="164">
        <f t="shared" si="1"/>
        <v>1.4800007254562649E-2</v>
      </c>
      <c r="AB38" s="164">
        <f t="shared" si="3"/>
        <v>40.303763445752779</v>
      </c>
      <c r="AC38" s="164">
        <f t="shared" si="4"/>
        <v>7.2831154029451501E-5</v>
      </c>
    </row>
    <row r="39" spans="2:29" x14ac:dyDescent="0.25">
      <c r="B39" s="106" t="s">
        <v>542</v>
      </c>
      <c r="C39" s="107">
        <f>H35</f>
        <v>1.0136721026109248E-6</v>
      </c>
      <c r="D39" s="107">
        <v>1.5392483148537927E-10</v>
      </c>
      <c r="E39" s="107">
        <v>5.0509225500401457E-8</v>
      </c>
      <c r="F39" s="108">
        <f>(2*H41-F40-F38)/2</f>
        <v>126.16813550584271</v>
      </c>
      <c r="G39" s="108">
        <f>G36</f>
        <v>21.368981921742197</v>
      </c>
      <c r="H39" s="117">
        <f>H45*H41/5</f>
        <v>23.719052129901716</v>
      </c>
      <c r="I39" s="123">
        <v>1.15336137202E-2</v>
      </c>
      <c r="J39" s="47">
        <v>3.4080235729459264E-2</v>
      </c>
      <c r="K39" s="47">
        <v>5.9587695672397474E-3</v>
      </c>
      <c r="L39" s="63">
        <v>1.3507741255221705E-2</v>
      </c>
      <c r="N39" s="17">
        <v>1.9670834694238081E-6</v>
      </c>
      <c r="O39" s="17">
        <v>7.4503005584346322E-11</v>
      </c>
      <c r="P39" s="17">
        <v>2.3247153518173086E-8</v>
      </c>
      <c r="Q39" s="25">
        <v>2.0238887331141782</v>
      </c>
      <c r="R39" s="58">
        <v>156.82236554247223</v>
      </c>
      <c r="S39" s="55">
        <v>7.790952627376928E-7</v>
      </c>
      <c r="U39" s="1"/>
      <c r="V39" s="1"/>
      <c r="W39" s="77"/>
      <c r="X39" s="163">
        <f t="shared" si="2"/>
        <v>0.11533613720200001</v>
      </c>
      <c r="Y39" s="164">
        <f t="shared" si="5"/>
        <v>3.4080235729459264E-2</v>
      </c>
      <c r="Z39" s="164">
        <f t="shared" si="1"/>
        <v>5.9587695672397474E-3</v>
      </c>
      <c r="AA39" s="164">
        <f t="shared" si="1"/>
        <v>1.3507741255221705E-2</v>
      </c>
      <c r="AB39" s="164">
        <f t="shared" si="3"/>
        <v>40.303763445752779</v>
      </c>
      <c r="AC39" s="164">
        <f t="shared" si="4"/>
        <v>7.7909526273769276E-5</v>
      </c>
    </row>
    <row r="40" spans="2:29" ht="19.5" x14ac:dyDescent="0.3">
      <c r="B40" s="110" t="s">
        <v>544</v>
      </c>
      <c r="C40" s="111">
        <f>H37</f>
        <v>3.2243909411123124E-6</v>
      </c>
      <c r="D40" s="112">
        <v>7.9300000000000003E-12</v>
      </c>
      <c r="E40" s="112">
        <v>3.6399999999999998E-10</v>
      </c>
      <c r="F40" s="129">
        <f>F36</f>
        <v>36.513977867968762</v>
      </c>
      <c r="G40" s="114">
        <f>G36</f>
        <v>21.368981921742197</v>
      </c>
      <c r="H40" s="116" t="s">
        <v>590</v>
      </c>
      <c r="I40" s="123">
        <v>1.16489498574E-2</v>
      </c>
      <c r="J40" s="47">
        <v>3.9704526999171111E-2</v>
      </c>
      <c r="K40" s="47">
        <v>5.7464836135669873E-3</v>
      </c>
      <c r="L40" s="63">
        <v>1.2805639678116236E-2</v>
      </c>
      <c r="N40" s="17">
        <v>2.0626643228278135E-6</v>
      </c>
      <c r="O40" s="17">
        <v>6.7730814599424431E-11</v>
      </c>
      <c r="P40" s="17">
        <v>2.0915819402143144E-8</v>
      </c>
      <c r="Q40" s="25">
        <v>2.0238887331141782</v>
      </c>
      <c r="R40" s="58">
        <v>158.4628045564977</v>
      </c>
      <c r="S40" s="55">
        <v>7.790952627376928E-7</v>
      </c>
      <c r="U40" s="1"/>
      <c r="V40" s="1"/>
      <c r="W40" s="77"/>
      <c r="X40" s="163">
        <f t="shared" si="2"/>
        <v>0.11648949857400001</v>
      </c>
      <c r="Y40" s="164">
        <f t="shared" si="5"/>
        <v>3.9704526999171111E-2</v>
      </c>
      <c r="Z40" s="164">
        <f t="shared" si="1"/>
        <v>5.7464836135669873E-3</v>
      </c>
      <c r="AA40" s="164">
        <f t="shared" si="1"/>
        <v>1.2805639678116236E-2</v>
      </c>
      <c r="AB40" s="164">
        <f t="shared" si="3"/>
        <v>40.139719544350228</v>
      </c>
      <c r="AC40" s="164">
        <f t="shared" si="4"/>
        <v>7.7909526273769276E-5</v>
      </c>
    </row>
    <row r="41" spans="2:29" x14ac:dyDescent="0.25">
      <c r="B41" s="106" t="s">
        <v>562</v>
      </c>
      <c r="C41" s="107">
        <f>H35</f>
        <v>1.0136721026109248E-6</v>
      </c>
      <c r="D41" s="107">
        <v>1.5392483148537927E-10</v>
      </c>
      <c r="E41" s="107">
        <v>5.0509225500401457E-8</v>
      </c>
      <c r="F41" s="128">
        <v>101.17677234221604</v>
      </c>
      <c r="G41" s="108">
        <f>G36</f>
        <v>21.368981921742197</v>
      </c>
      <c r="H41" s="128">
        <v>162.68211337381149</v>
      </c>
      <c r="I41" s="124">
        <v>1.1765439355999999E-2</v>
      </c>
      <c r="J41" s="125">
        <v>2.5742861101122529E-2</v>
      </c>
      <c r="K41" s="125">
        <v>4.8553400937246093E-3</v>
      </c>
      <c r="L41" s="63">
        <v>1.2528814610996367E-2</v>
      </c>
      <c r="N41" s="17">
        <v>2.1520148768817673E-6</v>
      </c>
      <c r="O41" s="17">
        <v>6.1289831167677073E-11</v>
      </c>
      <c r="P41" s="17">
        <v>1.8699741062245902E-8</v>
      </c>
      <c r="Q41" s="25">
        <v>2.0238887331141782</v>
      </c>
      <c r="R41" s="58">
        <v>158.4628045564977</v>
      </c>
      <c r="S41" s="55">
        <v>8.3118941230527131E-7</v>
      </c>
      <c r="U41" s="1"/>
      <c r="V41" s="1"/>
      <c r="W41" s="77"/>
      <c r="X41" s="163">
        <f t="shared" si="2"/>
        <v>0.11765439355999999</v>
      </c>
      <c r="Y41" s="164">
        <f t="shared" si="5"/>
        <v>2.5742861101122529E-2</v>
      </c>
      <c r="Z41" s="164">
        <f t="shared" si="1"/>
        <v>4.8553400937246093E-3</v>
      </c>
      <c r="AA41" s="164">
        <f t="shared" si="1"/>
        <v>1.2528814610996367E-2</v>
      </c>
      <c r="AB41" s="164">
        <f t="shared" si="3"/>
        <v>40.139719544350228</v>
      </c>
      <c r="AC41" s="164">
        <f t="shared" si="4"/>
        <v>8.3118941230527125E-5</v>
      </c>
    </row>
    <row r="42" spans="2:29" ht="19.5" x14ac:dyDescent="0.3">
      <c r="B42" s="156" t="s">
        <v>543</v>
      </c>
      <c r="C42" s="157">
        <v>8.9999999999999996E-7</v>
      </c>
      <c r="D42" s="157">
        <v>1.5392483148537927E-10</v>
      </c>
      <c r="E42" s="157">
        <v>5.0509225500401457E-8</v>
      </c>
      <c r="F42" s="158">
        <v>15.7</v>
      </c>
      <c r="G42" s="158">
        <f>F42</f>
        <v>15.7</v>
      </c>
      <c r="H42" s="116" t="s">
        <v>585</v>
      </c>
      <c r="I42" s="124">
        <v>1.1883093749499999E-2</v>
      </c>
      <c r="J42" s="125">
        <v>2.9158390135703066E-2</v>
      </c>
      <c r="K42" s="125">
        <v>4.9339974826291171E-3</v>
      </c>
      <c r="L42" s="63">
        <v>1.2557729900265938E-2</v>
      </c>
      <c r="N42" s="17">
        <v>2.2334756107682768E-6</v>
      </c>
      <c r="O42" s="17">
        <v>5.5342669471085475E-11</v>
      </c>
      <c r="P42" s="17">
        <v>1.6654393159649773E-8</v>
      </c>
      <c r="Q42" s="25">
        <v>2.0238887331141782</v>
      </c>
      <c r="R42" s="58">
        <v>160.10324357052318</v>
      </c>
      <c r="S42" s="55">
        <v>8.3118941230527131E-7</v>
      </c>
      <c r="U42" s="1"/>
      <c r="V42" s="1"/>
      <c r="W42" s="77"/>
      <c r="X42" s="163">
        <f t="shared" si="2"/>
        <v>0.118830937495</v>
      </c>
      <c r="Y42" s="164">
        <f t="shared" si="5"/>
        <v>2.9158390135703066E-2</v>
      </c>
      <c r="Z42" s="164">
        <f t="shared" si="1"/>
        <v>4.9339974826291171E-3</v>
      </c>
      <c r="AA42" s="164">
        <f t="shared" si="1"/>
        <v>1.2557729900265938E-2</v>
      </c>
      <c r="AB42" s="164">
        <f t="shared" si="3"/>
        <v>39.975675642947678</v>
      </c>
      <c r="AC42" s="164">
        <f t="shared" si="4"/>
        <v>8.3118941230527125E-5</v>
      </c>
    </row>
    <row r="43" spans="2:29" ht="18.75" x14ac:dyDescent="0.35">
      <c r="B43" s="156" t="s">
        <v>563</v>
      </c>
      <c r="C43" s="151">
        <v>3.4400000000000001E-6</v>
      </c>
      <c r="D43" s="151">
        <v>2.5307649463664093E-11</v>
      </c>
      <c r="E43" s="151">
        <v>1.486857631694136E-12</v>
      </c>
      <c r="F43" s="127">
        <v>14.8</v>
      </c>
      <c r="G43" s="127">
        <f>F43</f>
        <v>14.8</v>
      </c>
      <c r="H43" s="117">
        <f>SUM(F35:F41)</f>
        <v>524.82904011452445</v>
      </c>
      <c r="I43" s="124">
        <v>1.2001924686999999E-2</v>
      </c>
      <c r="J43" s="125">
        <v>2.6654844551026732E-2</v>
      </c>
      <c r="K43" s="125">
        <v>4.4322850501855183E-3</v>
      </c>
      <c r="L43" s="63">
        <v>1.280417500012318E-2</v>
      </c>
      <c r="N43" s="17">
        <v>2.3055807793645637E-6</v>
      </c>
      <c r="O43" s="17">
        <v>5.002950928107695E-11</v>
      </c>
      <c r="P43" s="17">
        <v>1.4827624989564E-8</v>
      </c>
      <c r="Q43" s="25">
        <v>2.0238887331141782</v>
      </c>
      <c r="R43" s="58">
        <v>160.10324357052318</v>
      </c>
      <c r="S43" s="55">
        <v>8.8482222027475653E-7</v>
      </c>
      <c r="U43" s="1"/>
      <c r="V43" s="1"/>
      <c r="W43" s="77"/>
      <c r="X43" s="163">
        <f t="shared" si="2"/>
        <v>0.12001924686999998</v>
      </c>
      <c r="Y43" s="164">
        <f t="shared" si="5"/>
        <v>2.6654844551026732E-2</v>
      </c>
      <c r="Z43" s="164">
        <f t="shared" si="1"/>
        <v>4.4322850501855183E-3</v>
      </c>
      <c r="AA43" s="164">
        <f t="shared" si="1"/>
        <v>1.280417500012318E-2</v>
      </c>
      <c r="AB43" s="164">
        <f t="shared" si="3"/>
        <v>39.975675642947678</v>
      </c>
      <c r="AC43" s="164">
        <f t="shared" si="4"/>
        <v>8.8482222027475653E-5</v>
      </c>
    </row>
    <row r="44" spans="2:29" ht="17.25" x14ac:dyDescent="0.3">
      <c r="B44" s="150" t="s">
        <v>52</v>
      </c>
      <c r="C44" s="151">
        <v>2.108515049501502E-6</v>
      </c>
      <c r="D44" s="151">
        <v>4.7498147887006942E-11</v>
      </c>
      <c r="E44" s="151">
        <v>1.9976998807213682E-12</v>
      </c>
      <c r="F44" s="127">
        <v>100</v>
      </c>
      <c r="G44" s="127">
        <v>5</v>
      </c>
      <c r="H44" s="116" t="s">
        <v>638</v>
      </c>
      <c r="I44" s="124">
        <v>1.21219439339E-2</v>
      </c>
      <c r="J44" s="125">
        <v>3.2080319718667996E-2</v>
      </c>
      <c r="K44" s="125">
        <v>4.6116187879124025E-3</v>
      </c>
      <c r="L44" s="63">
        <v>1.3202139223090091E-2</v>
      </c>
      <c r="N44" s="17">
        <v>2.3671107587399015E-6</v>
      </c>
      <c r="O44" s="17">
        <v>4.5465217154157254E-11</v>
      </c>
      <c r="P44" s="17">
        <v>1.3258660133295203E-8</v>
      </c>
      <c r="Q44" s="25">
        <v>2.0238887331141782</v>
      </c>
      <c r="R44" s="58">
        <v>161.74368258454865</v>
      </c>
      <c r="S44" s="55">
        <v>8.8482222027475653E-7</v>
      </c>
      <c r="U44" s="1"/>
      <c r="V44" s="1"/>
      <c r="W44" s="77"/>
      <c r="X44" s="163">
        <f t="shared" si="2"/>
        <v>0.12121943933900001</v>
      </c>
      <c r="Y44" s="164">
        <f t="shared" si="5"/>
        <v>3.2080319718667996E-2</v>
      </c>
      <c r="Z44" s="164">
        <f t="shared" si="1"/>
        <v>4.6116187879124025E-3</v>
      </c>
      <c r="AA44" s="164">
        <f t="shared" si="1"/>
        <v>1.3202139223090091E-2</v>
      </c>
      <c r="AB44" s="164">
        <f t="shared" si="3"/>
        <v>39.811631741545135</v>
      </c>
      <c r="AC44" s="164">
        <f t="shared" si="4"/>
        <v>8.8482222027475653E-5</v>
      </c>
    </row>
    <row r="45" spans="2:29" x14ac:dyDescent="0.25">
      <c r="B45" s="118"/>
      <c r="C45" s="119"/>
      <c r="D45" s="119"/>
      <c r="E45" s="119"/>
      <c r="F45" s="119"/>
      <c r="G45" s="119"/>
      <c r="H45" s="139">
        <v>0.72899999999999998</v>
      </c>
      <c r="I45" s="124">
        <v>1.22431633732E-2</v>
      </c>
      <c r="J45" s="125">
        <v>2.2506340012275926E-2</v>
      </c>
      <c r="K45" s="125">
        <v>3.1886963886871159E-3</v>
      </c>
      <c r="L45" s="63">
        <v>1.3701681709962129E-2</v>
      </c>
      <c r="N45" s="17">
        <v>2.4171266163784574E-6</v>
      </c>
      <c r="O45" s="17">
        <v>4.1737848453349681E-11</v>
      </c>
      <c r="P45" s="17">
        <v>1.1977570098543409E-8</v>
      </c>
      <c r="Q45" s="25">
        <v>2.0238887331141782</v>
      </c>
      <c r="R45" s="58">
        <v>161.74368258454865</v>
      </c>
      <c r="S45" s="55">
        <v>9.402660478291831E-7</v>
      </c>
      <c r="U45" s="1"/>
      <c r="V45" s="1"/>
      <c r="W45" s="77"/>
      <c r="X45" s="163">
        <f t="shared" si="2"/>
        <v>0.122431633732</v>
      </c>
      <c r="Y45" s="164">
        <f t="shared" si="5"/>
        <v>2.2506340012275926E-2</v>
      </c>
      <c r="Z45" s="164">
        <f t="shared" si="1"/>
        <v>3.1886963886871159E-3</v>
      </c>
      <c r="AA45" s="164">
        <f t="shared" si="1"/>
        <v>1.3701681709962129E-2</v>
      </c>
      <c r="AB45" s="164">
        <f t="shared" si="3"/>
        <v>39.811631741545135</v>
      </c>
      <c r="AC45" s="164">
        <f t="shared" si="4"/>
        <v>9.4026604782918309E-5</v>
      </c>
    </row>
    <row r="46" spans="2:29" ht="18.75" x14ac:dyDescent="0.25">
      <c r="B46" s="118"/>
      <c r="C46" s="119"/>
      <c r="D46" s="119"/>
      <c r="E46" s="119"/>
      <c r="F46" s="119"/>
      <c r="G46" s="119"/>
      <c r="H46" s="115" t="s">
        <v>634</v>
      </c>
      <c r="I46" s="124">
        <v>1.2365595007E-2</v>
      </c>
      <c r="J46" s="125">
        <v>2.7802741202957192E-2</v>
      </c>
      <c r="K46" s="125">
        <v>3.5485531424816878E-3</v>
      </c>
      <c r="L46" s="63">
        <v>1.4264703774558166E-2</v>
      </c>
      <c r="N46" s="17">
        <v>2.4549865109675697E-6</v>
      </c>
      <c r="O46" s="17">
        <v>3.8908473316996912E-11</v>
      </c>
      <c r="P46" s="17">
        <v>1.1005203320141112E-8</v>
      </c>
      <c r="Q46" s="25">
        <v>2.0238887331141782</v>
      </c>
      <c r="R46" s="58">
        <v>163.38412159857413</v>
      </c>
      <c r="S46" s="55">
        <v>9.402660478291831E-7</v>
      </c>
      <c r="U46" s="1"/>
      <c r="V46" s="1"/>
      <c r="W46" s="77"/>
      <c r="X46" s="163">
        <f t="shared" si="2"/>
        <v>0.12365595006999999</v>
      </c>
      <c r="Y46" s="164">
        <f t="shared" si="5"/>
        <v>2.7802741202957192E-2</v>
      </c>
      <c r="Z46" s="164">
        <f t="shared" si="1"/>
        <v>3.5485531424816878E-3</v>
      </c>
      <c r="AA46" s="164">
        <f t="shared" si="1"/>
        <v>1.4264703774558166E-2</v>
      </c>
      <c r="AB46" s="164">
        <f t="shared" si="3"/>
        <v>39.647587840142592</v>
      </c>
      <c r="AC46" s="164">
        <f t="shared" si="4"/>
        <v>9.4026604782918309E-5</v>
      </c>
    </row>
    <row r="47" spans="2:29" x14ac:dyDescent="0.25">
      <c r="B47" s="118"/>
      <c r="C47" s="119"/>
      <c r="D47" s="119"/>
      <c r="E47" s="119"/>
      <c r="F47" s="119"/>
      <c r="G47" s="119"/>
      <c r="H47" s="155">
        <v>0.90809677190880689</v>
      </c>
      <c r="I47" s="124">
        <v>1.2489250957E-2</v>
      </c>
      <c r="J47" s="125">
        <v>2.7693367054284577E-2</v>
      </c>
      <c r="K47" s="125">
        <v>3.4409278361443437E-3</v>
      </c>
      <c r="L47" s="63">
        <v>1.4861967767965278E-2</v>
      </c>
      <c r="N47" s="17">
        <v>2.4803452173214624E-6</v>
      </c>
      <c r="O47" s="17">
        <v>3.7012173413413074E-11</v>
      </c>
      <c r="P47" s="17">
        <v>1.0353517484005165E-8</v>
      </c>
      <c r="Q47" s="25">
        <v>2.0238887331141782</v>
      </c>
      <c r="R47" s="58">
        <v>163.38412159857413</v>
      </c>
      <c r="S47" s="55">
        <v>9.9781815675816437E-7</v>
      </c>
      <c r="U47" s="1"/>
      <c r="V47" s="1"/>
      <c r="W47" s="77"/>
      <c r="X47" s="163">
        <f t="shared" si="2"/>
        <v>0.12489250957</v>
      </c>
      <c r="Y47" s="164">
        <f t="shared" si="5"/>
        <v>2.7693367054284577E-2</v>
      </c>
      <c r="Z47" s="164">
        <f t="shared" si="1"/>
        <v>3.4409278361443437E-3</v>
      </c>
      <c r="AA47" s="164">
        <f t="shared" si="1"/>
        <v>1.4861967767965278E-2</v>
      </c>
      <c r="AB47" s="164">
        <f t="shared" si="3"/>
        <v>39.647587840142592</v>
      </c>
      <c r="AC47" s="164">
        <f t="shared" si="4"/>
        <v>9.978181567581644E-5</v>
      </c>
    </row>
    <row r="48" spans="2:29" ht="19.5" x14ac:dyDescent="0.3">
      <c r="B48" s="116" t="s">
        <v>613</v>
      </c>
      <c r="C48" s="116" t="s">
        <v>614</v>
      </c>
      <c r="D48" s="116" t="s">
        <v>591</v>
      </c>
      <c r="E48" s="165"/>
      <c r="F48" s="165"/>
      <c r="H48" s="115" t="s">
        <v>584</v>
      </c>
      <c r="I48" s="124">
        <v>1.2614143466599999E-2</v>
      </c>
      <c r="J48" s="125">
        <v>3.0458357198357693E-2</v>
      </c>
      <c r="K48" s="125">
        <v>3.4801205768538444E-3</v>
      </c>
      <c r="L48" s="63">
        <v>1.5470206323442291E-2</v>
      </c>
      <c r="N48" s="17">
        <v>2.4931394925407768E-6</v>
      </c>
      <c r="O48" s="17">
        <v>3.605997537405879E-11</v>
      </c>
      <c r="P48" s="17">
        <v>1.0026235050236631E-8</v>
      </c>
      <c r="Q48" s="25">
        <v>2.0238887331141782</v>
      </c>
      <c r="R48" s="58">
        <v>165.0245606125996</v>
      </c>
      <c r="S48" s="55">
        <v>9.9781815675816437E-7</v>
      </c>
      <c r="U48" s="1"/>
      <c r="V48" s="1"/>
      <c r="W48" s="77"/>
      <c r="X48" s="163">
        <f t="shared" si="2"/>
        <v>0.126141434666</v>
      </c>
      <c r="Y48" s="164">
        <f t="shared" si="5"/>
        <v>3.0458357198357693E-2</v>
      </c>
      <c r="Z48" s="164">
        <f t="shared" si="1"/>
        <v>3.4801205768538444E-3</v>
      </c>
      <c r="AA48" s="164">
        <f t="shared" si="1"/>
        <v>1.5470206323442291E-2</v>
      </c>
      <c r="AB48" s="164">
        <f t="shared" si="3"/>
        <v>39.483543938740041</v>
      </c>
      <c r="AC48" s="164">
        <f t="shared" si="4"/>
        <v>9.978181567581644E-5</v>
      </c>
    </row>
    <row r="49" spans="2:29" x14ac:dyDescent="0.25">
      <c r="B49" s="166">
        <v>86.1</v>
      </c>
      <c r="C49" s="166">
        <v>92.1</v>
      </c>
      <c r="D49" s="166">
        <v>111.16</v>
      </c>
      <c r="E49" s="167"/>
      <c r="F49" s="167"/>
      <c r="H49" s="166">
        <f>H39/F36</f>
        <v>0.64958828138823055</v>
      </c>
      <c r="I49" s="124">
        <v>1.2740284901299999E-2</v>
      </c>
      <c r="J49" s="125">
        <v>2.9247702324355866E-2</v>
      </c>
      <c r="K49" s="125">
        <v>3.2850432743053337E-3</v>
      </c>
      <c r="L49" s="63">
        <v>1.6073637653506074E-2</v>
      </c>
      <c r="N49" s="17">
        <v>2.4935629573024491E-6</v>
      </c>
      <c r="O49" s="17">
        <v>3.6041434607956469E-11</v>
      </c>
      <c r="P49" s="17">
        <v>1.0019723708942235E-8</v>
      </c>
      <c r="Q49" s="25">
        <v>2.0238887331141782</v>
      </c>
      <c r="R49" s="58">
        <v>165.0245606125996</v>
      </c>
      <c r="S49" s="55">
        <v>1.0577776825060128E-6</v>
      </c>
      <c r="U49" s="1"/>
      <c r="V49" s="1"/>
      <c r="W49" s="77"/>
      <c r="X49" s="163">
        <f t="shared" si="2"/>
        <v>0.127402849013</v>
      </c>
      <c r="Y49" s="164">
        <f t="shared" si="5"/>
        <v>2.9247702324355866E-2</v>
      </c>
      <c r="Z49" s="164">
        <f t="shared" si="1"/>
        <v>3.2850432743053337E-3</v>
      </c>
      <c r="AA49" s="164">
        <f t="shared" si="1"/>
        <v>1.6073637653506074E-2</v>
      </c>
      <c r="AB49" s="164">
        <f t="shared" si="3"/>
        <v>39.483543938740041</v>
      </c>
      <c r="AC49" s="164">
        <f t="shared" si="4"/>
        <v>1.0577776825060128E-4</v>
      </c>
    </row>
    <row r="50" spans="2:29" ht="19.5" x14ac:dyDescent="0.3">
      <c r="B50" s="116" t="s">
        <v>615</v>
      </c>
      <c r="C50" s="116" t="s">
        <v>616</v>
      </c>
      <c r="D50" s="116" t="s">
        <v>592</v>
      </c>
      <c r="H50" s="168"/>
      <c r="I50" s="124">
        <v>1.28676877503E-2</v>
      </c>
      <c r="J50" s="125">
        <v>2.3579123895646276E-2</v>
      </c>
      <c r="K50" s="125">
        <v>2.7677830905158169E-3</v>
      </c>
      <c r="L50" s="63">
        <v>1.6658052908291969E-2</v>
      </c>
      <c r="N50" s="17">
        <v>2.4820345510165029E-6</v>
      </c>
      <c r="O50" s="17">
        <v>3.6927568115129525E-11</v>
      </c>
      <c r="P50" s="17">
        <v>1.032399817261068E-8</v>
      </c>
      <c r="Q50" s="25">
        <v>2.0238887331141782</v>
      </c>
      <c r="R50" s="58">
        <v>166.66499962662508</v>
      </c>
      <c r="S50" s="55">
        <v>1.0577776825060128E-6</v>
      </c>
      <c r="U50" s="1"/>
      <c r="V50" s="1"/>
      <c r="W50" s="77"/>
      <c r="X50" s="163">
        <f t="shared" si="2"/>
        <v>0.128676877503</v>
      </c>
      <c r="Y50" s="164">
        <f t="shared" si="5"/>
        <v>2.3579123895646276E-2</v>
      </c>
      <c r="Z50" s="164">
        <f t="shared" si="1"/>
        <v>2.7677830905158169E-3</v>
      </c>
      <c r="AA50" s="164">
        <f t="shared" si="1"/>
        <v>1.6658052908291969E-2</v>
      </c>
      <c r="AB50" s="164">
        <f t="shared" si="3"/>
        <v>39.319500037337491</v>
      </c>
      <c r="AC50" s="164">
        <f t="shared" si="4"/>
        <v>1.0577776825060128E-4</v>
      </c>
    </row>
    <row r="51" spans="2:29" x14ac:dyDescent="0.25">
      <c r="B51" s="109">
        <v>11000000000</v>
      </c>
      <c r="C51" s="109">
        <v>51100000000</v>
      </c>
      <c r="D51" s="109">
        <v>11600000000</v>
      </c>
      <c r="H51" s="107"/>
      <c r="I51" s="124">
        <v>1.2996364627799999E-2</v>
      </c>
      <c r="J51" s="125">
        <v>2.0965865989075849E-2</v>
      </c>
      <c r="K51" s="125">
        <v>2.5560106492571186E-3</v>
      </c>
      <c r="L51" s="63">
        <v>1.721319815732799E-2</v>
      </c>
      <c r="N51" s="17">
        <v>2.4591644257125509E-6</v>
      </c>
      <c r="O51" s="17">
        <v>3.8673858132772794E-11</v>
      </c>
      <c r="P51" s="17">
        <v>1.0923747594585669E-8</v>
      </c>
      <c r="Q51" s="25">
        <v>2.0238887331141782</v>
      </c>
      <c r="R51" s="58">
        <v>166.66499962662508</v>
      </c>
      <c r="S51" s="55">
        <v>1.1204201943869662E-6</v>
      </c>
      <c r="U51" s="1"/>
      <c r="V51" s="1"/>
      <c r="W51" s="77"/>
      <c r="X51" s="163">
        <f t="shared" si="2"/>
        <v>0.129963646278</v>
      </c>
      <c r="Y51" s="164">
        <f t="shared" si="5"/>
        <v>2.0965865989075849E-2</v>
      </c>
      <c r="Z51" s="164">
        <f t="shared" si="1"/>
        <v>2.5560106492571186E-3</v>
      </c>
      <c r="AA51" s="164">
        <f t="shared" si="1"/>
        <v>1.721319815732799E-2</v>
      </c>
      <c r="AB51" s="164">
        <f t="shared" si="3"/>
        <v>39.319500037337491</v>
      </c>
      <c r="AC51" s="164">
        <f t="shared" si="4"/>
        <v>1.1204201943869662E-4</v>
      </c>
    </row>
    <row r="52" spans="2:29" x14ac:dyDescent="0.25">
      <c r="I52" s="124">
        <v>1.3126328274099999E-2</v>
      </c>
      <c r="J52" s="125">
        <v>2.3482852696866056E-2</v>
      </c>
      <c r="K52" s="125">
        <v>2.8787351978687859E-3</v>
      </c>
      <c r="L52" s="63">
        <v>1.7731280487750016E-2</v>
      </c>
      <c r="N52" s="17">
        <v>2.4257204653223286E-6</v>
      </c>
      <c r="O52" s="17">
        <v>4.1223103954988782E-11</v>
      </c>
      <c r="P52" s="17">
        <v>1.1799311927892074E-8</v>
      </c>
      <c r="Q52" s="25">
        <v>2.0238887331141782</v>
      </c>
      <c r="R52" s="58">
        <v>168.30543864065055</v>
      </c>
      <c r="S52" s="55">
        <v>1.1204201943869662E-6</v>
      </c>
      <c r="U52" s="1"/>
      <c r="V52" s="1"/>
      <c r="W52" s="77"/>
      <c r="X52" s="163">
        <f t="shared" si="2"/>
        <v>0.13126328274099999</v>
      </c>
      <c r="Y52" s="164">
        <f t="shared" si="5"/>
        <v>2.3482852696866056E-2</v>
      </c>
      <c r="Z52" s="164">
        <f t="shared" si="1"/>
        <v>2.8787351978687859E-3</v>
      </c>
      <c r="AA52" s="164">
        <f t="shared" si="1"/>
        <v>1.7731280487750016E-2</v>
      </c>
      <c r="AB52" s="164">
        <f t="shared" si="3"/>
        <v>39.155456135934948</v>
      </c>
      <c r="AC52" s="164">
        <f t="shared" si="4"/>
        <v>1.1204201943869662E-4</v>
      </c>
    </row>
    <row r="53" spans="2:29" x14ac:dyDescent="0.25">
      <c r="I53" s="124">
        <v>1.3257591556799999E-2</v>
      </c>
      <c r="J53" s="125">
        <v>2.7794158399859738E-2</v>
      </c>
      <c r="K53" s="125">
        <v>2.8684071469893507E-3</v>
      </c>
      <c r="L53" s="63">
        <v>1.8206460427052911E-2</v>
      </c>
      <c r="N53" s="17">
        <v>2.3825976223518388E-6</v>
      </c>
      <c r="O53" s="17">
        <v>4.4507975577016248E-11</v>
      </c>
      <c r="P53" s="17">
        <v>1.2927556743015904E-8</v>
      </c>
      <c r="Q53" s="25">
        <v>2.0238887331141782</v>
      </c>
      <c r="R53" s="58">
        <v>168.30543864065055</v>
      </c>
      <c r="S53" s="55">
        <v>1.1859714954393028E-6</v>
      </c>
      <c r="U53" s="1"/>
      <c r="V53" s="1"/>
      <c r="W53" s="77"/>
      <c r="X53" s="163">
        <f t="shared" si="2"/>
        <v>0.132575915568</v>
      </c>
      <c r="Y53" s="164">
        <f t="shared" si="5"/>
        <v>2.7794158399859738E-2</v>
      </c>
      <c r="Z53" s="164">
        <f t="shared" si="1"/>
        <v>2.8684071469893507E-3</v>
      </c>
      <c r="AA53" s="164">
        <f t="shared" si="1"/>
        <v>1.8206460427052911E-2</v>
      </c>
      <c r="AB53" s="164">
        <f t="shared" si="3"/>
        <v>39.155456135934948</v>
      </c>
      <c r="AC53" s="164">
        <f t="shared" si="4"/>
        <v>1.1859714954393029E-4</v>
      </c>
    </row>
    <row r="54" spans="2:29" x14ac:dyDescent="0.25">
      <c r="I54" s="124">
        <v>1.3390167472400001E-2</v>
      </c>
      <c r="J54" s="125">
        <v>2.6170493681229857E-2</v>
      </c>
      <c r="K54" s="125">
        <v>2.675418670883954E-3</v>
      </c>
      <c r="L54" s="63">
        <v>1.8634459063369406E-2</v>
      </c>
      <c r="N54" s="17">
        <v>2.3307911544372097E-6</v>
      </c>
      <c r="O54" s="17">
        <v>4.8453205768861904E-11</v>
      </c>
      <c r="P54" s="17">
        <v>1.4282624531496123E-8</v>
      </c>
      <c r="Q54" s="25">
        <v>2.0238887331141782</v>
      </c>
      <c r="R54" s="58">
        <v>169.94587765467602</v>
      </c>
      <c r="S54" s="55">
        <v>1.1859714954393028E-6</v>
      </c>
      <c r="U54" s="1"/>
      <c r="V54" s="1"/>
      <c r="W54" s="77"/>
      <c r="X54" s="163">
        <f t="shared" si="2"/>
        <v>0.133901674724</v>
      </c>
      <c r="Y54" s="164">
        <f t="shared" si="5"/>
        <v>2.6170493681229857E-2</v>
      </c>
      <c r="Z54" s="164">
        <f t="shared" si="1"/>
        <v>2.675418670883954E-3</v>
      </c>
      <c r="AA54" s="164">
        <f t="shared" si="1"/>
        <v>1.8634459063369406E-2</v>
      </c>
      <c r="AB54" s="164">
        <f t="shared" si="3"/>
        <v>38.991412234532405</v>
      </c>
      <c r="AC54" s="164">
        <f t="shared" si="4"/>
        <v>1.1859714954393029E-4</v>
      </c>
    </row>
    <row r="55" spans="2:29" x14ac:dyDescent="0.25">
      <c r="I55" s="124">
        <v>1.35240691471E-2</v>
      </c>
      <c r="J55" s="125">
        <v>3.1618501749761566E-2</v>
      </c>
      <c r="K55" s="125">
        <v>2.9431759184631481E-3</v>
      </c>
      <c r="L55" s="63">
        <v>1.9012251431809339E-2</v>
      </c>
      <c r="N55" s="17">
        <v>2.2713738128989623E-6</v>
      </c>
      <c r="O55" s="17">
        <v>5.2977432993164204E-11</v>
      </c>
      <c r="P55" s="17">
        <v>1.5836566588355566E-8</v>
      </c>
      <c r="Q55" s="25">
        <v>2.0238887331141782</v>
      </c>
      <c r="R55" s="58">
        <v>169.94587765467602</v>
      </c>
      <c r="S55" s="55">
        <v>1.2545824669823085E-6</v>
      </c>
      <c r="U55" s="1"/>
      <c r="V55" s="1"/>
      <c r="W55" s="77"/>
      <c r="X55" s="163">
        <f t="shared" si="2"/>
        <v>0.13524069147100001</v>
      </c>
      <c r="Y55" s="164">
        <f t="shared" si="5"/>
        <v>3.1618501749761566E-2</v>
      </c>
      <c r="Z55" s="164">
        <f t="shared" si="1"/>
        <v>2.9431759184631481E-3</v>
      </c>
      <c r="AA55" s="164">
        <f t="shared" si="1"/>
        <v>1.9012251431809339E-2</v>
      </c>
      <c r="AB55" s="164">
        <f t="shared" si="3"/>
        <v>38.991412234532405</v>
      </c>
      <c r="AC55" s="164">
        <f t="shared" si="4"/>
        <v>1.2545824669823086E-4</v>
      </c>
    </row>
    <row r="56" spans="2:29" x14ac:dyDescent="0.25">
      <c r="I56" s="124">
        <v>1.36593098386E-2</v>
      </c>
      <c r="J56" s="125">
        <v>2.4226738660346563E-2</v>
      </c>
      <c r="K56" s="125">
        <v>2.6966765768491768E-3</v>
      </c>
      <c r="L56" s="63">
        <v>1.9337825438299476E-2</v>
      </c>
      <c r="N56" s="17">
        <v>2.2054762364611922E-6</v>
      </c>
      <c r="O56" s="17">
        <v>5.7994765372594307E-11</v>
      </c>
      <c r="P56" s="17">
        <v>1.7559879447559035E-8</v>
      </c>
      <c r="Q56" s="25">
        <v>2.0238887331141782</v>
      </c>
      <c r="R56" s="58">
        <v>171.5863166687015</v>
      </c>
      <c r="S56" s="55">
        <v>1.2545824669823085E-6</v>
      </c>
      <c r="U56" s="1"/>
      <c r="V56" s="1"/>
      <c r="W56" s="77"/>
      <c r="X56" s="163">
        <f t="shared" si="2"/>
        <v>0.13659309838600001</v>
      </c>
      <c r="Y56" s="164">
        <f t="shared" si="5"/>
        <v>2.4226738660346563E-2</v>
      </c>
      <c r="Z56" s="164">
        <f t="shared" si="1"/>
        <v>2.6966765768491768E-3</v>
      </c>
      <c r="AA56" s="164">
        <f t="shared" si="1"/>
        <v>1.9337825438299476E-2</v>
      </c>
      <c r="AB56" s="164">
        <f t="shared" si="3"/>
        <v>38.827368333129854</v>
      </c>
      <c r="AC56" s="164">
        <f t="shared" si="4"/>
        <v>1.2545824669823086E-4</v>
      </c>
    </row>
    <row r="57" spans="2:29" x14ac:dyDescent="0.25">
      <c r="I57" s="124">
        <v>1.3795902937000001E-2</v>
      </c>
      <c r="J57" s="125">
        <v>2.4422918684398665E-2</v>
      </c>
      <c r="K57" s="125">
        <v>2.5234683379377282E-3</v>
      </c>
      <c r="L57" s="63">
        <v>1.9609991012546579E-2</v>
      </c>
      <c r="N57" s="17">
        <v>2.1342693258836977E-6</v>
      </c>
      <c r="O57" s="17">
        <v>6.3416169297772333E-11</v>
      </c>
      <c r="P57" s="17">
        <v>1.9421981342689159E-8</v>
      </c>
      <c r="Q57" s="25">
        <v>2.0238887331141782</v>
      </c>
      <c r="R57" s="58">
        <v>171.5863166687015</v>
      </c>
      <c r="S57" s="55">
        <v>1.3263067809193098E-6</v>
      </c>
      <c r="U57" s="1"/>
      <c r="V57" s="1"/>
      <c r="W57" s="77"/>
      <c r="X57" s="163">
        <f t="shared" si="2"/>
        <v>0.13795902937000001</v>
      </c>
      <c r="Y57" s="164">
        <f t="shared" si="5"/>
        <v>2.4422918684398665E-2</v>
      </c>
      <c r="Z57" s="164">
        <f t="shared" si="1"/>
        <v>2.5234683379377282E-3</v>
      </c>
      <c r="AA57" s="164">
        <f t="shared" si="1"/>
        <v>1.9609991012546579E-2</v>
      </c>
      <c r="AB57" s="164">
        <f t="shared" si="3"/>
        <v>38.827368333129854</v>
      </c>
      <c r="AC57" s="164">
        <f t="shared" si="4"/>
        <v>1.3263067809193098E-4</v>
      </c>
    </row>
    <row r="58" spans="2:29" x14ac:dyDescent="0.25">
      <c r="I58" s="124">
        <v>1.3933861966300001E-2</v>
      </c>
      <c r="J58" s="125">
        <v>2.3215483839489827E-2</v>
      </c>
      <c r="K58" s="125">
        <v>2.5155978853125568E-3</v>
      </c>
      <c r="L58" s="63">
        <v>1.9828228080079169E-2</v>
      </c>
      <c r="N58" s="17">
        <v>2.0589472416761894E-6</v>
      </c>
      <c r="O58" s="17">
        <v>6.9150793817646271E-11</v>
      </c>
      <c r="P58" s="17">
        <v>2.1391666785937338E-8</v>
      </c>
      <c r="Q58" s="25">
        <v>2.0238887331141782</v>
      </c>
      <c r="R58" s="58">
        <v>173.22675568272697</v>
      </c>
      <c r="S58" s="55">
        <v>1.3263067809193098E-6</v>
      </c>
      <c r="U58" s="1"/>
      <c r="V58" s="1"/>
      <c r="W58" s="77"/>
      <c r="X58" s="163">
        <f t="shared" si="2"/>
        <v>0.13933861966300001</v>
      </c>
      <c r="Y58" s="164">
        <f t="shared" si="5"/>
        <v>2.3215483839489827E-2</v>
      </c>
      <c r="Z58" s="164">
        <f t="shared" si="1"/>
        <v>2.5155978853125568E-3</v>
      </c>
      <c r="AA58" s="164">
        <f t="shared" si="1"/>
        <v>1.9828228080079169E-2</v>
      </c>
      <c r="AB58" s="164">
        <f t="shared" si="3"/>
        <v>38.663324431727304</v>
      </c>
      <c r="AC58" s="164">
        <f t="shared" si="4"/>
        <v>1.3263067809193098E-4</v>
      </c>
    </row>
    <row r="59" spans="2:29" x14ac:dyDescent="0.25">
      <c r="I59" s="124">
        <v>1.4073200586E-2</v>
      </c>
      <c r="J59" s="125">
        <v>2.2047125247553916E-2</v>
      </c>
      <c r="K59" s="125">
        <v>2.137227132868339E-3</v>
      </c>
      <c r="L59" s="63">
        <v>1.9992564751961889E-2</v>
      </c>
      <c r="N59" s="17">
        <v>1.9807098394195424E-6</v>
      </c>
      <c r="O59" s="17">
        <v>7.5107326671957593E-11</v>
      </c>
      <c r="P59" s="17">
        <v>2.3437572132013331E-8</v>
      </c>
      <c r="Q59" s="25">
        <v>2.0238887331141782</v>
      </c>
      <c r="R59" s="58">
        <v>173.22675568272697</v>
      </c>
      <c r="S59" s="55">
        <v>1.4010831777463208E-6</v>
      </c>
      <c r="U59" s="1"/>
      <c r="V59" s="1"/>
      <c r="W59" s="77"/>
      <c r="X59" s="163">
        <f t="shared" si="2"/>
        <v>0.14073200586000001</v>
      </c>
      <c r="Y59" s="164">
        <f t="shared" si="5"/>
        <v>2.2047125247553916E-2</v>
      </c>
      <c r="Z59" s="164">
        <f t="shared" si="1"/>
        <v>2.137227132868339E-3</v>
      </c>
      <c r="AA59" s="164">
        <f t="shared" si="1"/>
        <v>1.9992564751961889E-2</v>
      </c>
      <c r="AB59" s="164">
        <f t="shared" si="3"/>
        <v>38.663324431727304</v>
      </c>
      <c r="AC59" s="164">
        <f t="shared" si="4"/>
        <v>1.4010831777463208E-4</v>
      </c>
    </row>
    <row r="60" spans="2:29" x14ac:dyDescent="0.25">
      <c r="I60" s="124">
        <v>1.42139325919E-2</v>
      </c>
      <c r="J60" s="125">
        <v>2.3427613631863086E-2</v>
      </c>
      <c r="K60" s="125">
        <v>2.2141193035741242E-3</v>
      </c>
      <c r="L60" s="63">
        <v>2.0103479194248024E-2</v>
      </c>
      <c r="N60" s="17">
        <v>1.9208335124870904E-6</v>
      </c>
      <c r="O60" s="17">
        <v>7.9665938517246043E-11</v>
      </c>
      <c r="P60" s="17">
        <v>2.5003330208826346E-8</v>
      </c>
      <c r="Q60" s="25">
        <v>1.0119443665570891</v>
      </c>
      <c r="R60" s="58">
        <v>174.86719469675245</v>
      </c>
      <c r="S60" s="55">
        <v>1.4010831777463208E-6</v>
      </c>
      <c r="U60" s="1"/>
      <c r="V60" s="1"/>
      <c r="W60" s="77"/>
      <c r="X60" s="163">
        <f t="shared" si="2"/>
        <v>0.142139325919</v>
      </c>
      <c r="Y60" s="164">
        <f t="shared" si="5"/>
        <v>2.3427613631863086E-2</v>
      </c>
      <c r="Z60" s="164">
        <f t="shared" si="1"/>
        <v>2.2141193035741242E-3</v>
      </c>
      <c r="AA60" s="164">
        <f t="shared" si="1"/>
        <v>2.0103479194248024E-2</v>
      </c>
      <c r="AB60" s="164">
        <f t="shared" si="3"/>
        <v>38.499280530324754</v>
      </c>
      <c r="AC60" s="164">
        <f t="shared" si="4"/>
        <v>1.4010831777463208E-4</v>
      </c>
    </row>
    <row r="61" spans="2:29" x14ac:dyDescent="0.25">
      <c r="I61" s="124">
        <v>1.4356071917800001E-2</v>
      </c>
      <c r="J61" s="125">
        <v>2.2676913349216378E-2</v>
      </c>
      <c r="K61" s="125">
        <v>2.0479605018938283E-3</v>
      </c>
      <c r="L61" s="63">
        <v>2.0161820168121906E-2</v>
      </c>
      <c r="N61" s="17">
        <v>1.8702962541498241E-6</v>
      </c>
      <c r="O61" s="17">
        <v>8.3513525477270551E-11</v>
      </c>
      <c r="P61" s="17">
        <v>2.6324870813163343E-8</v>
      </c>
      <c r="Q61" s="25">
        <v>1.6838550922687374</v>
      </c>
      <c r="R61" s="58">
        <v>174.86719469675245</v>
      </c>
      <c r="S61" s="55">
        <v>1.4787237443074788E-6</v>
      </c>
      <c r="U61" s="1"/>
      <c r="V61" s="1"/>
      <c r="W61" s="77"/>
      <c r="X61" s="163">
        <f t="shared" si="2"/>
        <v>0.14356071917800001</v>
      </c>
      <c r="Y61" s="164">
        <f t="shared" si="5"/>
        <v>2.2676913349216378E-2</v>
      </c>
      <c r="Z61" s="164">
        <f t="shared" si="1"/>
        <v>2.0479605018938283E-3</v>
      </c>
      <c r="AA61" s="164">
        <f t="shared" si="1"/>
        <v>2.0161820168121906E-2</v>
      </c>
      <c r="AB61" s="164">
        <f t="shared" si="3"/>
        <v>38.499280530324754</v>
      </c>
      <c r="AC61" s="164">
        <f t="shared" si="4"/>
        <v>1.4787237443074786E-4</v>
      </c>
    </row>
    <row r="62" spans="2:29" x14ac:dyDescent="0.25">
      <c r="I62" s="124">
        <v>1.4499632637E-2</v>
      </c>
      <c r="J62" s="125">
        <v>2.3002346580630502E-2</v>
      </c>
      <c r="K62" s="125">
        <v>1.9888724930336413E-3</v>
      </c>
      <c r="L62" s="63">
        <v>2.016874236606481E-2</v>
      </c>
      <c r="N62" s="17">
        <v>1.7688324662025232E-6</v>
      </c>
      <c r="O62" s="17">
        <v>9.1238324196628381E-11</v>
      </c>
      <c r="P62" s="17">
        <v>2.8978127451763369E-8</v>
      </c>
      <c r="Q62" s="25">
        <v>3.3677101845374748</v>
      </c>
      <c r="R62" s="58">
        <v>176.50763371077792</v>
      </c>
      <c r="S62" s="55">
        <v>1.4787237443074788E-6</v>
      </c>
      <c r="U62" s="1"/>
      <c r="V62" s="1"/>
      <c r="W62" s="77"/>
      <c r="X62" s="163">
        <f t="shared" si="2"/>
        <v>0.14499632636999998</v>
      </c>
      <c r="Y62" s="164">
        <f t="shared" si="5"/>
        <v>2.3002346580630502E-2</v>
      </c>
      <c r="Z62" s="164">
        <f t="shared" si="1"/>
        <v>1.9888724930336413E-3</v>
      </c>
      <c r="AA62" s="164">
        <f t="shared" si="1"/>
        <v>2.016874236606481E-2</v>
      </c>
      <c r="AB62" s="164">
        <f t="shared" si="3"/>
        <v>38.33523662892221</v>
      </c>
      <c r="AC62" s="164">
        <f t="shared" si="4"/>
        <v>1.4787237443074786E-4</v>
      </c>
    </row>
    <row r="63" spans="2:29" x14ac:dyDescent="0.25">
      <c r="I63" s="124">
        <v>1.46446289633E-2</v>
      </c>
      <c r="J63" s="125">
        <v>1.86211137242531E-2</v>
      </c>
      <c r="K63" s="125">
        <v>1.7963871658511126E-3</v>
      </c>
      <c r="L63" s="63">
        <v>2.0125762440165711E-2</v>
      </c>
      <c r="N63" s="17">
        <v>1.6376283450753004E-6</v>
      </c>
      <c r="O63" s="17">
        <v>1.0122735078614677E-10</v>
      </c>
      <c r="P63" s="17">
        <v>3.2409084403666319E-8</v>
      </c>
      <c r="Q63" s="25">
        <v>3.3677101845374748</v>
      </c>
      <c r="R63" s="58">
        <v>176.50763371077792</v>
      </c>
      <c r="S63" s="55">
        <v>1.5589092398814157E-6</v>
      </c>
      <c r="U63" s="1"/>
      <c r="V63" s="1"/>
      <c r="W63" s="77"/>
      <c r="X63" s="163">
        <f t="shared" si="2"/>
        <v>0.14644628963299999</v>
      </c>
      <c r="Y63" s="164">
        <f t="shared" si="5"/>
        <v>1.86211137242531E-2</v>
      </c>
      <c r="Z63" s="164">
        <f t="shared" si="1"/>
        <v>1.7963871658511126E-3</v>
      </c>
      <c r="AA63" s="164">
        <f t="shared" si="1"/>
        <v>2.0125762440165711E-2</v>
      </c>
      <c r="AB63" s="164">
        <f t="shared" si="3"/>
        <v>38.33523662892221</v>
      </c>
      <c r="AC63" s="164">
        <f t="shared" si="4"/>
        <v>1.5589092398814156E-4</v>
      </c>
    </row>
    <row r="64" spans="2:29" x14ac:dyDescent="0.25">
      <c r="I64" s="124">
        <v>1.4791075253E-2</v>
      </c>
      <c r="J64" s="125">
        <v>2.0268991846516395E-2</v>
      </c>
      <c r="K64" s="125">
        <v>1.7228152557671565E-3</v>
      </c>
      <c r="L64" s="63">
        <v>2.003420187081759E-2</v>
      </c>
      <c r="N64" s="17">
        <v>1.5146426181151297E-6</v>
      </c>
      <c r="O64" s="17">
        <v>1.1059067871872894E-10</v>
      </c>
      <c r="P64" s="17">
        <v>3.5625131048518386E-8</v>
      </c>
      <c r="Q64" s="25">
        <v>3.3677101845374748</v>
      </c>
      <c r="R64" s="58">
        <v>178.1480727248034</v>
      </c>
      <c r="S64" s="55">
        <v>1.5589092398814157E-6</v>
      </c>
      <c r="U64" s="1"/>
      <c r="V64" s="1"/>
      <c r="W64" s="77"/>
      <c r="X64" s="163">
        <f t="shared" si="2"/>
        <v>0.14791075252999999</v>
      </c>
      <c r="Y64" s="164">
        <f t="shared" si="5"/>
        <v>2.0268991846516395E-2</v>
      </c>
      <c r="Z64" s="164">
        <f t="shared" si="1"/>
        <v>1.7228152557671565E-3</v>
      </c>
      <c r="AA64" s="164">
        <f t="shared" si="1"/>
        <v>2.003420187081759E-2</v>
      </c>
      <c r="AB64" s="164">
        <f t="shared" si="3"/>
        <v>38.17119272751966</v>
      </c>
      <c r="AC64" s="164">
        <f t="shared" si="4"/>
        <v>1.5589092398814156E-4</v>
      </c>
    </row>
    <row r="65" spans="9:29" x14ac:dyDescent="0.25">
      <c r="I65" s="124">
        <v>1.4938986005499999E-2</v>
      </c>
      <c r="J65" s="125">
        <v>1.9084696619435917E-2</v>
      </c>
      <c r="K65" s="125">
        <v>1.6176017007990594E-3</v>
      </c>
      <c r="L65" s="63">
        <v>1.9896047429673148E-2</v>
      </c>
      <c r="N65" s="17">
        <v>1.4031066876685453E-6</v>
      </c>
      <c r="O65" s="17">
        <v>1.1908229304061073E-10</v>
      </c>
      <c r="P65" s="17">
        <v>3.8541767959171008E-8</v>
      </c>
      <c r="Q65" s="25">
        <v>3.3677101845374748</v>
      </c>
      <c r="R65" s="58">
        <v>178.1480727248034</v>
      </c>
      <c r="S65" s="55">
        <v>1.6411920415897764E-6</v>
      </c>
      <c r="U65" s="1"/>
      <c r="V65" s="1"/>
      <c r="W65" s="77"/>
      <c r="X65" s="163">
        <f t="shared" si="2"/>
        <v>0.14938986005499999</v>
      </c>
      <c r="Y65" s="164">
        <f t="shared" si="5"/>
        <v>1.9084696619435917E-2</v>
      </c>
      <c r="Z65" s="164">
        <f t="shared" si="1"/>
        <v>1.6176017007990594E-3</v>
      </c>
      <c r="AA65" s="164">
        <f t="shared" si="1"/>
        <v>1.9896047429673148E-2</v>
      </c>
      <c r="AB65" s="164">
        <f t="shared" si="3"/>
        <v>38.17119272751966</v>
      </c>
      <c r="AC65" s="164">
        <f t="shared" si="4"/>
        <v>1.6411920415897765E-4</v>
      </c>
    </row>
    <row r="66" spans="9:29" x14ac:dyDescent="0.25">
      <c r="I66" s="124">
        <v>1.5088375865499999E-2</v>
      </c>
      <c r="J66" s="125">
        <v>1.9557963271730257E-2</v>
      </c>
      <c r="K66" s="125">
        <v>1.6093858544948612E-3</v>
      </c>
      <c r="L66" s="63">
        <v>1.9713233576544122E-2</v>
      </c>
      <c r="N66" s="17">
        <v>1.305377272555333E-6</v>
      </c>
      <c r="O66" s="17">
        <v>1.2652276952453801E-10</v>
      </c>
      <c r="P66" s="17">
        <v>4.109736781920478E-8</v>
      </c>
      <c r="Q66" s="25">
        <v>3.3677101845374748</v>
      </c>
      <c r="R66" s="58">
        <v>179.78851173882887</v>
      </c>
      <c r="S66" s="55">
        <v>1.6411920415897764E-6</v>
      </c>
      <c r="U66" s="1"/>
      <c r="V66" s="1"/>
      <c r="W66" s="77"/>
      <c r="X66" s="163">
        <f t="shared" si="2"/>
        <v>0.15088375865499998</v>
      </c>
      <c r="Y66" s="164">
        <f t="shared" si="5"/>
        <v>1.9557963271730257E-2</v>
      </c>
      <c r="Z66" s="164">
        <f t="shared" si="1"/>
        <v>1.6093858544948612E-3</v>
      </c>
      <c r="AA66" s="164">
        <f t="shared" si="1"/>
        <v>1.9713233576544122E-2</v>
      </c>
      <c r="AB66" s="164">
        <f t="shared" si="3"/>
        <v>38.00714882611711</v>
      </c>
      <c r="AC66" s="164">
        <f t="shared" si="4"/>
        <v>1.6411920415897765E-4</v>
      </c>
    </row>
    <row r="67" spans="9:29" x14ac:dyDescent="0.25">
      <c r="I67" s="124">
        <v>1.5239259624200001E-2</v>
      </c>
      <c r="J67" s="125">
        <v>1.9431188225897188E-2</v>
      </c>
      <c r="K67" s="125">
        <v>1.5215075536703017E-3</v>
      </c>
      <c r="L67" s="63">
        <v>1.9487813668953823E-2</v>
      </c>
      <c r="N67" s="17">
        <v>1.2228772604720725E-6</v>
      </c>
      <c r="O67" s="17">
        <v>1.3280377909950025E-10</v>
      </c>
      <c r="P67" s="17">
        <v>4.3254722557369765E-8</v>
      </c>
      <c r="Q67" s="25">
        <v>3.3677101845374748</v>
      </c>
      <c r="R67" s="58">
        <v>179.78851173882887</v>
      </c>
      <c r="S67" s="55">
        <v>1.7250067495692204E-6</v>
      </c>
      <c r="U67" s="1"/>
      <c r="V67" s="1"/>
      <c r="W67" s="77"/>
      <c r="X67" s="163">
        <f t="shared" si="2"/>
        <v>0.15239259624199999</v>
      </c>
      <c r="Y67" s="164">
        <f t="shared" si="5"/>
        <v>1.9431188225897188E-2</v>
      </c>
      <c r="Z67" s="164">
        <f>K67</f>
        <v>1.5215075536703017E-3</v>
      </c>
      <c r="AA67" s="164">
        <f>L67</f>
        <v>1.9487813668953823E-2</v>
      </c>
      <c r="AB67" s="164">
        <f t="shared" si="3"/>
        <v>38.00714882611711</v>
      </c>
      <c r="AC67" s="164">
        <f t="shared" si="4"/>
        <v>1.7250067495692202E-4</v>
      </c>
    </row>
    <row r="68" spans="9:29" x14ac:dyDescent="0.25">
      <c r="I68" s="124">
        <v>1.5391652220400001E-2</v>
      </c>
      <c r="J68" s="125">
        <v>1.7696852882129077E-2</v>
      </c>
      <c r="K68" s="125">
        <v>1.3883785647323132E-3</v>
      </c>
      <c r="L68" s="63">
        <v>1.9221939023170154E-2</v>
      </c>
      <c r="N68" s="17">
        <v>1.1561762585327351E-6</v>
      </c>
      <c r="O68" s="17">
        <v>1.3788195569153611E-10</v>
      </c>
      <c r="P68" s="17">
        <v>4.4998937114379843E-8</v>
      </c>
      <c r="Q68" s="25">
        <v>3.3677101845374748</v>
      </c>
      <c r="R68" s="58">
        <v>181.42895075285435</v>
      </c>
      <c r="S68" s="55">
        <v>1.7250067495692204E-6</v>
      </c>
      <c r="U68" s="1"/>
      <c r="V68" s="1"/>
      <c r="W68" s="77"/>
      <c r="X68" s="163">
        <f t="shared" ref="X68:X131" si="6">I68*10</f>
        <v>0.15391652220400001</v>
      </c>
      <c r="Y68" s="164">
        <f t="shared" ref="Y68:AA131" si="7">J68</f>
        <v>1.7696852882129077E-2</v>
      </c>
      <c r="Z68" s="164">
        <f t="shared" si="7"/>
        <v>1.3883785647323132E-3</v>
      </c>
      <c r="AA68" s="164">
        <f t="shared" si="7"/>
        <v>1.9221939023170154E-2</v>
      </c>
      <c r="AB68" s="164">
        <f t="shared" ref="AB68:AB131" si="8">(559.86-R68)/10</f>
        <v>37.843104924714567</v>
      </c>
      <c r="AC68" s="164">
        <f t="shared" ref="AC68:AC131" si="9">S68*100</f>
        <v>1.7250067495692202E-4</v>
      </c>
    </row>
    <row r="69" spans="9:29" x14ac:dyDescent="0.25">
      <c r="I69" s="124">
        <v>1.55455687426E-2</v>
      </c>
      <c r="J69" s="125">
        <v>1.6586624791027335E-2</v>
      </c>
      <c r="K69" s="125">
        <v>1.2800809737585632E-3</v>
      </c>
      <c r="L69" s="63">
        <v>1.8917841163377334E-2</v>
      </c>
      <c r="N69" s="17">
        <v>1.1051848000284319E-6</v>
      </c>
      <c r="O69" s="17">
        <v>1.4176411072866024E-10</v>
      </c>
      <c r="P69" s="17">
        <v>4.6332351028970377E-8</v>
      </c>
      <c r="Q69" s="25">
        <v>3.3677101845374748</v>
      </c>
      <c r="R69" s="58">
        <v>181.42895075285435</v>
      </c>
      <c r="S69" s="55">
        <v>1.8096879542510372E-6</v>
      </c>
      <c r="U69" s="1"/>
      <c r="V69" s="1"/>
      <c r="W69" s="77"/>
      <c r="X69" s="163">
        <f t="shared" si="6"/>
        <v>0.15545568742599999</v>
      </c>
      <c r="Y69" s="164">
        <f t="shared" si="7"/>
        <v>1.6586624791027335E-2</v>
      </c>
      <c r="Z69" s="164">
        <f t="shared" si="7"/>
        <v>1.2800809737585632E-3</v>
      </c>
      <c r="AA69" s="164">
        <f t="shared" si="7"/>
        <v>1.8917841163377334E-2</v>
      </c>
      <c r="AB69" s="164">
        <f t="shared" si="8"/>
        <v>37.843104924714567</v>
      </c>
      <c r="AC69" s="164">
        <f t="shared" si="9"/>
        <v>1.8096879542510373E-4</v>
      </c>
    </row>
    <row r="70" spans="9:29" x14ac:dyDescent="0.25">
      <c r="I70" s="124">
        <v>1.5701024430100002E-2</v>
      </c>
      <c r="J70" s="125">
        <v>1.7149723429874662E-2</v>
      </c>
      <c r="K70" s="125">
        <v>1.2259944600819406E-3</v>
      </c>
      <c r="L70" s="63">
        <v>1.8577816646964663E-2</v>
      </c>
      <c r="N70" s="17">
        <v>1.0694180362321652E-6</v>
      </c>
      <c r="O70" s="17">
        <v>1.4448715741651681E-10</v>
      </c>
      <c r="P70" s="17">
        <v>4.7267642976092759E-8</v>
      </c>
      <c r="Q70" s="25">
        <v>3.3677101845374748</v>
      </c>
      <c r="R70" s="58">
        <v>183.06938976687982</v>
      </c>
      <c r="S70" s="55">
        <v>1.8096879542510372E-6</v>
      </c>
      <c r="U70" s="1"/>
      <c r="V70" s="1"/>
      <c r="W70" s="77"/>
      <c r="X70" s="163">
        <f t="shared" si="6"/>
        <v>0.15701024430100002</v>
      </c>
      <c r="Y70" s="164">
        <f t="shared" si="7"/>
        <v>1.7149723429874662E-2</v>
      </c>
      <c r="Z70" s="164">
        <f t="shared" si="7"/>
        <v>1.2259944600819406E-3</v>
      </c>
      <c r="AA70" s="164">
        <f t="shared" si="7"/>
        <v>1.8577816646964663E-2</v>
      </c>
      <c r="AB70" s="164">
        <f t="shared" si="8"/>
        <v>37.679061023312023</v>
      </c>
      <c r="AC70" s="164">
        <f t="shared" si="9"/>
        <v>1.8096879542510373E-4</v>
      </c>
    </row>
    <row r="71" spans="9:29" x14ac:dyDescent="0.25">
      <c r="I71" s="124">
        <v>1.5858034674400001E-2</v>
      </c>
      <c r="J71" s="125">
        <v>1.5352577682983915E-2</v>
      </c>
      <c r="K71" s="125">
        <v>1.1296820387657316E-3</v>
      </c>
      <c r="L71" s="63">
        <v>1.8204213964283379E-2</v>
      </c>
      <c r="N71" s="17">
        <v>1.0482758692323742E-6</v>
      </c>
      <c r="O71" s="17">
        <v>1.4609678327302435E-10</v>
      </c>
      <c r="P71" s="17">
        <v>4.7820505366662596E-8</v>
      </c>
      <c r="Q71" s="25">
        <v>3.3677101845374748</v>
      </c>
      <c r="R71" s="58">
        <v>183.06938976687982</v>
      </c>
      <c r="S71" s="55">
        <v>1.8733235187606166E-6</v>
      </c>
      <c r="U71" s="1"/>
      <c r="V71" s="1"/>
      <c r="W71" s="77"/>
      <c r="X71" s="163">
        <f t="shared" si="6"/>
        <v>0.15858034674400001</v>
      </c>
      <c r="Y71" s="164">
        <f t="shared" si="7"/>
        <v>1.5352577682983915E-2</v>
      </c>
      <c r="Z71" s="164">
        <f t="shared" si="7"/>
        <v>1.1296820387657316E-3</v>
      </c>
      <c r="AA71" s="164">
        <f t="shared" si="7"/>
        <v>1.8204213964283379E-2</v>
      </c>
      <c r="AB71" s="164">
        <f t="shared" si="8"/>
        <v>37.679061023312023</v>
      </c>
      <c r="AC71" s="164">
        <f t="shared" si="9"/>
        <v>1.8733235187606167E-4</v>
      </c>
    </row>
    <row r="72" spans="9:29" x14ac:dyDescent="0.25">
      <c r="I72" s="124">
        <v>1.6016615021100002E-2</v>
      </c>
      <c r="J72" s="125">
        <v>1.4913709667132144E-2</v>
      </c>
      <c r="K72" s="125">
        <v>1.0758124731416647E-3</v>
      </c>
      <c r="L72" s="63">
        <v>1.7799422104098645E-2</v>
      </c>
      <c r="N72" s="17">
        <v>1.04128730121217E-6</v>
      </c>
      <c r="O72" s="17">
        <v>1.4662884698179146E-10</v>
      </c>
      <c r="P72" s="17">
        <v>4.8003254676246049E-8</v>
      </c>
      <c r="Q72" s="25">
        <v>3.3677101845374748</v>
      </c>
      <c r="R72" s="58">
        <v>183.88960927389257</v>
      </c>
      <c r="S72" s="55">
        <v>1.8733235187606166E-6</v>
      </c>
      <c r="U72" s="1"/>
      <c r="V72" s="1"/>
      <c r="W72" s="77"/>
      <c r="X72" s="163">
        <f t="shared" si="6"/>
        <v>0.160166150211</v>
      </c>
      <c r="Y72" s="164">
        <f t="shared" si="7"/>
        <v>1.4913709667132144E-2</v>
      </c>
      <c r="Z72" s="164">
        <f t="shared" si="7"/>
        <v>1.0758124731416647E-3</v>
      </c>
      <c r="AA72" s="164">
        <f t="shared" si="7"/>
        <v>1.7799422104098645E-2</v>
      </c>
      <c r="AB72" s="164">
        <f t="shared" si="8"/>
        <v>37.597039072610741</v>
      </c>
      <c r="AC72" s="164">
        <f t="shared" si="9"/>
        <v>1.8733235187606167E-4</v>
      </c>
    </row>
    <row r="73" spans="9:29" x14ac:dyDescent="0.25">
      <c r="I73" s="124">
        <v>1.61767811713E-2</v>
      </c>
      <c r="J73" s="125">
        <v>1.5104430807454409E-2</v>
      </c>
      <c r="K73" s="125">
        <v>1.07119872346358E-3</v>
      </c>
      <c r="L73" s="63">
        <v>1.7365860453839921E-2</v>
      </c>
      <c r="N73" s="17">
        <v>1.0482758692323742E-6</v>
      </c>
      <c r="O73" s="17">
        <v>1.4609678327302435E-10</v>
      </c>
      <c r="P73" s="17">
        <v>4.7820505366662596E-8</v>
      </c>
      <c r="Q73" s="25">
        <v>3.3677101845374748</v>
      </c>
      <c r="R73" s="58">
        <v>183.88960927389257</v>
      </c>
      <c r="S73" s="55">
        <v>1.8923806396690646E-6</v>
      </c>
      <c r="U73" s="1"/>
      <c r="V73" s="1"/>
      <c r="W73" s="77"/>
      <c r="X73" s="163">
        <f t="shared" si="6"/>
        <v>0.161767811713</v>
      </c>
      <c r="Y73" s="164">
        <f t="shared" si="7"/>
        <v>1.5104430807454409E-2</v>
      </c>
      <c r="Z73" s="164">
        <f t="shared" si="7"/>
        <v>1.07119872346358E-3</v>
      </c>
      <c r="AA73" s="164">
        <f t="shared" si="7"/>
        <v>1.7365860453839921E-2</v>
      </c>
      <c r="AB73" s="164">
        <f t="shared" si="8"/>
        <v>37.597039072610741</v>
      </c>
      <c r="AC73" s="164">
        <f t="shared" si="9"/>
        <v>1.8923806396690647E-4</v>
      </c>
    </row>
    <row r="74" spans="9:29" x14ac:dyDescent="0.25">
      <c r="I74" s="124">
        <v>1.6338548982999999E-2</v>
      </c>
      <c r="J74" s="125">
        <v>1.3391044734676066E-2</v>
      </c>
      <c r="K74" s="125">
        <v>9.3537553597592793E-4</v>
      </c>
      <c r="L74" s="63">
        <v>1.6905969760702081E-2</v>
      </c>
      <c r="N74" s="17">
        <v>1.0694180362321652E-6</v>
      </c>
      <c r="O74" s="17">
        <v>1.4448715741651681E-10</v>
      </c>
      <c r="P74" s="17">
        <v>4.7267642976092759E-8</v>
      </c>
      <c r="Q74" s="25">
        <v>3.3677101845374748</v>
      </c>
      <c r="R74" s="58">
        <v>184.90155364044966</v>
      </c>
      <c r="S74" s="55">
        <v>1.8923806396690646E-6</v>
      </c>
      <c r="U74" s="1"/>
      <c r="V74" s="1"/>
      <c r="W74" s="77"/>
      <c r="X74" s="163">
        <f t="shared" si="6"/>
        <v>0.16338548982999998</v>
      </c>
      <c r="Y74" s="164">
        <f t="shared" si="7"/>
        <v>1.3391044734676066E-2</v>
      </c>
      <c r="Z74" s="164">
        <f t="shared" si="7"/>
        <v>9.3537553597592793E-4</v>
      </c>
      <c r="AA74" s="164">
        <f t="shared" si="7"/>
        <v>1.6905969760702081E-2</v>
      </c>
      <c r="AB74" s="164">
        <f t="shared" si="8"/>
        <v>37.495844635955038</v>
      </c>
      <c r="AC74" s="164">
        <f t="shared" si="9"/>
        <v>1.8923806396690647E-4</v>
      </c>
    </row>
    <row r="75" spans="9:29" x14ac:dyDescent="0.25">
      <c r="I75" s="124">
        <v>1.65019344729E-2</v>
      </c>
      <c r="J75" s="125">
        <v>1.4218136088394777E-2</v>
      </c>
      <c r="K75" s="125">
        <v>9.4378563547655174E-4</v>
      </c>
      <c r="L75" s="63">
        <v>1.6422203927997685E-2</v>
      </c>
      <c r="N75" s="17">
        <v>1.105184800031399E-6</v>
      </c>
      <c r="O75" s="17">
        <v>1.4176411072904087E-10</v>
      </c>
      <c r="P75" s="17">
        <v>4.6332351029094778E-8</v>
      </c>
      <c r="Q75" s="25">
        <v>3.3677101845374748</v>
      </c>
      <c r="R75" s="58">
        <v>184.90155364044966</v>
      </c>
      <c r="S75" s="55">
        <v>1.9670834694238081E-6</v>
      </c>
      <c r="U75" s="1"/>
      <c r="V75" s="1"/>
      <c r="W75" s="77"/>
      <c r="X75" s="163">
        <f t="shared" si="6"/>
        <v>0.16501934472899998</v>
      </c>
      <c r="Y75" s="164">
        <f t="shared" si="7"/>
        <v>1.4218136088394777E-2</v>
      </c>
      <c r="Z75" s="164">
        <f t="shared" si="7"/>
        <v>9.4378563547655174E-4</v>
      </c>
      <c r="AA75" s="164">
        <f t="shared" si="7"/>
        <v>1.6422203927997685E-2</v>
      </c>
      <c r="AB75" s="164">
        <f t="shared" si="8"/>
        <v>37.495844635955038</v>
      </c>
      <c r="AC75" s="164">
        <f t="shared" si="9"/>
        <v>1.967083469423808E-4</v>
      </c>
    </row>
    <row r="76" spans="9:29" x14ac:dyDescent="0.25">
      <c r="I76" s="124">
        <v>1.66669538176E-2</v>
      </c>
      <c r="J76" s="125">
        <v>1.3344131098858309E-2</v>
      </c>
      <c r="K76" s="125">
        <v>8.625460416892656E-4</v>
      </c>
      <c r="L76" s="63">
        <v>1.5917022465453377E-2</v>
      </c>
      <c r="N76" s="17">
        <v>1.1561762585465877E-6</v>
      </c>
      <c r="O76" s="17">
        <v>1.3788195569318812E-10</v>
      </c>
      <c r="P76" s="17">
        <v>4.4998937114918986E-8</v>
      </c>
      <c r="Q76" s="25">
        <v>3.3677101845374748</v>
      </c>
      <c r="R76" s="58">
        <v>186.92544237356384</v>
      </c>
      <c r="S76" s="55">
        <v>1.9670834694238081E-6</v>
      </c>
      <c r="U76" s="1"/>
      <c r="V76" s="1"/>
      <c r="W76" s="77"/>
      <c r="X76" s="163">
        <f t="shared" si="6"/>
        <v>0.166669538176</v>
      </c>
      <c r="Y76" s="164">
        <f t="shared" si="7"/>
        <v>1.3344131098858309E-2</v>
      </c>
      <c r="Z76" s="164">
        <f t="shared" si="7"/>
        <v>8.625460416892656E-4</v>
      </c>
      <c r="AA76" s="164">
        <f t="shared" si="7"/>
        <v>1.5917022465453377E-2</v>
      </c>
      <c r="AB76" s="164">
        <f t="shared" si="8"/>
        <v>37.293455762643617</v>
      </c>
      <c r="AC76" s="164">
        <f t="shared" si="9"/>
        <v>1.967083469423808E-4</v>
      </c>
    </row>
    <row r="77" spans="9:29" x14ac:dyDescent="0.25">
      <c r="I77" s="124">
        <v>1.68336233558E-2</v>
      </c>
      <c r="J77" s="125">
        <v>1.2241645574328552E-2</v>
      </c>
      <c r="K77" s="125">
        <v>1.0498328720642096E-3</v>
      </c>
      <c r="L77" s="63">
        <v>1.5392883438038915E-2</v>
      </c>
      <c r="N77" s="17">
        <v>1.2228772605345359E-6</v>
      </c>
      <c r="O77" s="17">
        <v>1.3280377910628375E-10</v>
      </c>
      <c r="P77" s="17">
        <v>4.3254722559579191E-8</v>
      </c>
      <c r="Q77" s="25">
        <v>3.3677101845374748</v>
      </c>
      <c r="R77" s="58">
        <v>186.92544237356384</v>
      </c>
      <c r="S77" s="55">
        <v>2.0626643228278135E-6</v>
      </c>
      <c r="U77" s="1"/>
      <c r="V77" s="1"/>
      <c r="W77" s="77"/>
      <c r="X77" s="163">
        <f t="shared" si="6"/>
        <v>0.16833623355799998</v>
      </c>
      <c r="Y77" s="164">
        <f t="shared" si="7"/>
        <v>1.2241645574328552E-2</v>
      </c>
      <c r="Z77" s="164">
        <f t="shared" si="7"/>
        <v>1.0498328720642096E-3</v>
      </c>
      <c r="AA77" s="164">
        <f t="shared" si="7"/>
        <v>1.5392883438038915E-2</v>
      </c>
      <c r="AB77" s="164">
        <f t="shared" si="8"/>
        <v>37.293455762643617</v>
      </c>
      <c r="AC77" s="164">
        <f t="shared" si="9"/>
        <v>2.0626643228278135E-4</v>
      </c>
    </row>
    <row r="78" spans="9:29" x14ac:dyDescent="0.25">
      <c r="I78" s="124">
        <v>1.7001959589300002E-2</v>
      </c>
      <c r="J78" s="125">
        <v>1.1796261382812678E-2</v>
      </c>
      <c r="K78" s="125">
        <v>1.0773058141386397E-3</v>
      </c>
      <c r="L78" s="63">
        <v>1.485223679679871E-2</v>
      </c>
      <c r="N78" s="17">
        <v>1.3053772728269231E-6</v>
      </c>
      <c r="O78" s="17">
        <v>1.2652276955086176E-10</v>
      </c>
      <c r="P78" s="17">
        <v>4.1097367827755313E-8</v>
      </c>
      <c r="Q78" s="25">
        <v>3.3677101845374748</v>
      </c>
      <c r="R78" s="58">
        <v>188.94933110667802</v>
      </c>
      <c r="S78" s="55">
        <v>2.0626643228278135E-6</v>
      </c>
      <c r="U78" s="1"/>
      <c r="V78" s="1"/>
      <c r="W78" s="77"/>
      <c r="X78" s="163">
        <f t="shared" si="6"/>
        <v>0.17001959589300003</v>
      </c>
      <c r="Y78" s="164">
        <f t="shared" si="7"/>
        <v>1.1796261382812678E-2</v>
      </c>
      <c r="Z78" s="164">
        <f t="shared" si="7"/>
        <v>1.0773058141386397E-3</v>
      </c>
      <c r="AA78" s="164">
        <f t="shared" si="7"/>
        <v>1.485223679679871E-2</v>
      </c>
      <c r="AB78" s="164">
        <f t="shared" si="8"/>
        <v>37.091066889332197</v>
      </c>
      <c r="AC78" s="164">
        <f t="shared" si="9"/>
        <v>2.0626643228278135E-4</v>
      </c>
    </row>
    <row r="79" spans="9:29" x14ac:dyDescent="0.25">
      <c r="I79" s="124">
        <v>1.7171979185200002E-2</v>
      </c>
      <c r="J79" s="125">
        <v>1.0180402463824819E-2</v>
      </c>
      <c r="K79" s="125">
        <v>9.1250287597772768E-4</v>
      </c>
      <c r="L79" s="63">
        <v>1.4297517984339411E-2</v>
      </c>
      <c r="N79" s="17">
        <v>1.4031066888046663E-6</v>
      </c>
      <c r="O79" s="17">
        <v>1.1908229313703388E-10</v>
      </c>
      <c r="P79" s="17">
        <v>3.8541767990379004E-8</v>
      </c>
      <c r="Q79" s="25">
        <v>3.3677101845374748</v>
      </c>
      <c r="R79" s="58">
        <v>188.94933110667802</v>
      </c>
      <c r="S79" s="55">
        <v>2.1520148768817673E-6</v>
      </c>
      <c r="U79" s="1"/>
      <c r="V79" s="1"/>
      <c r="W79" s="77"/>
      <c r="X79" s="163">
        <f t="shared" si="6"/>
        <v>0.17171979185200001</v>
      </c>
      <c r="Y79" s="164">
        <f t="shared" si="7"/>
        <v>1.0180402463824819E-2</v>
      </c>
      <c r="Z79" s="164">
        <f t="shared" si="7"/>
        <v>9.1250287597772768E-4</v>
      </c>
      <c r="AA79" s="164">
        <f t="shared" si="7"/>
        <v>1.4297517984339411E-2</v>
      </c>
      <c r="AB79" s="164">
        <f t="shared" si="8"/>
        <v>37.091066889332197</v>
      </c>
      <c r="AC79" s="164">
        <f t="shared" si="9"/>
        <v>2.1520148768817672E-4</v>
      </c>
    </row>
    <row r="80" spans="9:29" x14ac:dyDescent="0.25">
      <c r="I80" s="124">
        <v>1.7343698977099999E-2</v>
      </c>
      <c r="J80" s="125">
        <v>9.8165176702833014E-3</v>
      </c>
      <c r="K80" s="125">
        <v>8.8195130371030144E-4</v>
      </c>
      <c r="L80" s="63">
        <v>1.3731141741163098E-2</v>
      </c>
      <c r="N80" s="17">
        <v>1.5146426226760279E-6</v>
      </c>
      <c r="O80" s="17">
        <v>1.1059067905174019E-10</v>
      </c>
      <c r="P80" s="17">
        <v>3.5625131155792972E-8</v>
      </c>
      <c r="Q80" s="25">
        <v>3.3677101845374748</v>
      </c>
      <c r="R80" s="58">
        <v>190.97321983979219</v>
      </c>
      <c r="S80" s="55">
        <v>2.1520148768817673E-6</v>
      </c>
      <c r="U80" s="1"/>
      <c r="V80" s="1"/>
      <c r="W80" s="77"/>
      <c r="X80" s="163">
        <f t="shared" si="6"/>
        <v>0.173436989771</v>
      </c>
      <c r="Y80" s="164">
        <f t="shared" si="7"/>
        <v>9.8165176702833014E-3</v>
      </c>
      <c r="Z80" s="164">
        <f t="shared" si="7"/>
        <v>8.8195130371030144E-4</v>
      </c>
      <c r="AA80" s="164">
        <f t="shared" si="7"/>
        <v>1.3731141741163098E-2</v>
      </c>
      <c r="AB80" s="164">
        <f t="shared" si="8"/>
        <v>36.888678016020783</v>
      </c>
      <c r="AC80" s="164">
        <f t="shared" si="9"/>
        <v>2.1520148768817672E-4</v>
      </c>
    </row>
    <row r="81" spans="2:29" x14ac:dyDescent="0.25">
      <c r="I81" s="124">
        <v>1.7517135966800001E-2</v>
      </c>
      <c r="J81" s="125">
        <v>1.0761139684726147E-2</v>
      </c>
      <c r="K81" s="125">
        <v>8.8531208822412502E-4</v>
      </c>
      <c r="L81" s="63">
        <v>1.3155496043926991E-2</v>
      </c>
      <c r="N81" s="17">
        <v>1.6376283625997315E-6</v>
      </c>
      <c r="O81" s="17">
        <v>1.0122735186939129E-10</v>
      </c>
      <c r="P81" s="17">
        <v>3.2409084750479334E-8</v>
      </c>
      <c r="Q81" s="25">
        <v>3.3677101845374748</v>
      </c>
      <c r="R81" s="58">
        <v>190.97321983979219</v>
      </c>
      <c r="S81" s="55">
        <v>2.2334756107682768E-6</v>
      </c>
      <c r="U81" s="1"/>
      <c r="V81" s="1"/>
      <c r="W81" s="77"/>
      <c r="X81" s="163">
        <f t="shared" si="6"/>
        <v>0.17517135966800002</v>
      </c>
      <c r="Y81" s="164">
        <f t="shared" si="7"/>
        <v>1.0761139684726147E-2</v>
      </c>
      <c r="Z81" s="164">
        <f t="shared" si="7"/>
        <v>8.8531208822412502E-4</v>
      </c>
      <c r="AA81" s="164">
        <f t="shared" si="7"/>
        <v>1.3155496043926991E-2</v>
      </c>
      <c r="AB81" s="164">
        <f t="shared" si="8"/>
        <v>36.888678016020783</v>
      </c>
      <c r="AC81" s="164">
        <f t="shared" si="9"/>
        <v>2.2334756107682767E-4</v>
      </c>
    </row>
    <row r="82" spans="2:29" x14ac:dyDescent="0.25">
      <c r="I82" s="124">
        <v>1.7692307326500002E-2</v>
      </c>
      <c r="J82" s="125">
        <v>1.0377695013372384E-2</v>
      </c>
      <c r="K82" s="125">
        <v>8.7999642914991544E-4</v>
      </c>
      <c r="L82" s="63">
        <v>1.2572936126063803E-2</v>
      </c>
      <c r="N82" s="17">
        <v>1.7688325304890855E-6</v>
      </c>
      <c r="O82" s="17">
        <v>9.1238327512600139E-11</v>
      </c>
      <c r="P82" s="17">
        <v>2.8978128504946371E-8</v>
      </c>
      <c r="Q82" s="25">
        <v>3.3677101845374748</v>
      </c>
      <c r="R82" s="58">
        <v>192.99710857290637</v>
      </c>
      <c r="S82" s="55">
        <v>2.2334756107682768E-6</v>
      </c>
      <c r="U82" s="1"/>
      <c r="V82" s="1"/>
      <c r="W82" s="77"/>
      <c r="X82" s="163">
        <f t="shared" si="6"/>
        <v>0.17692307326500001</v>
      </c>
      <c r="Y82" s="164">
        <f t="shared" si="7"/>
        <v>1.0377695013372384E-2</v>
      </c>
      <c r="Z82" s="164">
        <f t="shared" si="7"/>
        <v>8.7999642914991544E-4</v>
      </c>
      <c r="AA82" s="164">
        <f t="shared" si="7"/>
        <v>1.2572936126063803E-2</v>
      </c>
      <c r="AB82" s="164">
        <f t="shared" si="8"/>
        <v>36.686289142709363</v>
      </c>
      <c r="AC82" s="164">
        <f t="shared" si="9"/>
        <v>2.2334756107682767E-4</v>
      </c>
    </row>
    <row r="83" spans="2:29" x14ac:dyDescent="0.25">
      <c r="I83" s="124">
        <v>1.7869230399799998E-2</v>
      </c>
      <c r="J83" s="125">
        <v>1.1290526341358135E-2</v>
      </c>
      <c r="K83" s="125">
        <v>8.8606620478994501E-4</v>
      </c>
      <c r="L83" s="63">
        <v>1.1985778549475117E-2</v>
      </c>
      <c r="N83" s="17">
        <v>1.8702964192330608E-6</v>
      </c>
      <c r="O83" s="17">
        <v>8.3513532848660542E-11</v>
      </c>
      <c r="P83" s="17">
        <v>2.6324873136749712E-8</v>
      </c>
      <c r="Q83" s="25">
        <v>1.6838550922687374</v>
      </c>
      <c r="R83" s="58">
        <v>192.99710857290637</v>
      </c>
      <c r="S83" s="55">
        <v>2.3055807793645637E-6</v>
      </c>
      <c r="U83" s="1"/>
      <c r="V83" s="1"/>
      <c r="W83" s="77"/>
      <c r="X83" s="163">
        <f t="shared" si="6"/>
        <v>0.17869230399799998</v>
      </c>
      <c r="Y83" s="164">
        <f t="shared" si="7"/>
        <v>1.1290526341358135E-2</v>
      </c>
      <c r="Z83" s="164">
        <f t="shared" si="7"/>
        <v>8.8606620478994501E-4</v>
      </c>
      <c r="AA83" s="164">
        <f t="shared" si="7"/>
        <v>1.1985778549475117E-2</v>
      </c>
      <c r="AB83" s="164">
        <f t="shared" si="8"/>
        <v>36.686289142709363</v>
      </c>
      <c r="AC83" s="164">
        <f t="shared" si="9"/>
        <v>2.3055807793645637E-4</v>
      </c>
    </row>
    <row r="84" spans="2:29" x14ac:dyDescent="0.25">
      <c r="I84" s="124">
        <v>1.8047922703799998E-2</v>
      </c>
      <c r="J84" s="125">
        <v>7.3290553144859192E-3</v>
      </c>
      <c r="K84" s="125">
        <v>6.9140263584983462E-4</v>
      </c>
      <c r="L84" s="63">
        <v>1.1396295292844531E-2</v>
      </c>
      <c r="N84" s="17">
        <v>1.905715498047669E-6</v>
      </c>
      <c r="O84" s="17">
        <v>8.0816956614340074E-11</v>
      </c>
      <c r="P84" s="17">
        <v>2.5398673065327558E-8</v>
      </c>
      <c r="Q84" s="25">
        <v>1.0119443665570891</v>
      </c>
      <c r="R84" s="58">
        <v>195.02099730602055</v>
      </c>
      <c r="S84" s="55">
        <v>2.3055807793645637E-6</v>
      </c>
      <c r="U84" s="1"/>
      <c r="V84" s="1"/>
      <c r="W84" s="77"/>
      <c r="X84" s="163">
        <f t="shared" si="6"/>
        <v>0.18047922703799998</v>
      </c>
      <c r="Y84" s="164">
        <f t="shared" si="7"/>
        <v>7.3290553144859192E-3</v>
      </c>
      <c r="Z84" s="164">
        <f t="shared" si="7"/>
        <v>6.9140263584983462E-4</v>
      </c>
      <c r="AA84" s="164">
        <f t="shared" si="7"/>
        <v>1.1396295292844531E-2</v>
      </c>
      <c r="AB84" s="164">
        <f t="shared" si="8"/>
        <v>36.48390026939795</v>
      </c>
      <c r="AC84" s="164">
        <f t="shared" si="9"/>
        <v>2.3055807793645637E-4</v>
      </c>
    </row>
    <row r="85" spans="2:29" x14ac:dyDescent="0.25">
      <c r="I85" s="124">
        <v>1.8228401930800001E-2</v>
      </c>
      <c r="J85" s="125">
        <v>8.8700621504173016E-3</v>
      </c>
      <c r="K85" s="125">
        <v>7.2135344080420541E-4</v>
      </c>
      <c r="L85" s="63">
        <v>1.0806707844652255E-2</v>
      </c>
      <c r="N85" s="17">
        <v>1.9625283358909057E-6</v>
      </c>
      <c r="O85" s="17">
        <v>7.6491599957430357E-11</v>
      </c>
      <c r="P85" s="17">
        <v>2.3913031534571582E-8</v>
      </c>
      <c r="Q85" s="25">
        <v>2.0238887331141782</v>
      </c>
      <c r="R85" s="58">
        <v>195.02099730602055</v>
      </c>
      <c r="S85" s="55">
        <v>2.3671107587399015E-6</v>
      </c>
      <c r="U85" s="1"/>
      <c r="V85" s="1"/>
      <c r="W85" s="77"/>
      <c r="X85" s="163">
        <f t="shared" si="6"/>
        <v>0.18228401930800001</v>
      </c>
      <c r="Y85" s="164">
        <f t="shared" si="7"/>
        <v>8.8700621504173016E-3</v>
      </c>
      <c r="Z85" s="164">
        <f t="shared" si="7"/>
        <v>7.2135344080420541E-4</v>
      </c>
      <c r="AA85" s="164">
        <f t="shared" si="7"/>
        <v>1.0806707844652255E-2</v>
      </c>
      <c r="AB85" s="164">
        <f t="shared" si="8"/>
        <v>36.48390026939795</v>
      </c>
      <c r="AC85" s="164">
        <f t="shared" si="9"/>
        <v>2.3671107587399016E-4</v>
      </c>
    </row>
    <row r="86" spans="2:29" x14ac:dyDescent="0.25">
      <c r="I86" s="124">
        <v>1.8410685950100002E-2</v>
      </c>
      <c r="J86" s="125">
        <v>8.8209980170351893E-3</v>
      </c>
      <c r="K86" s="125">
        <v>7.2586248849368222E-4</v>
      </c>
      <c r="L86" s="63">
        <v>1.0219181291376625E-2</v>
      </c>
      <c r="N86" s="17">
        <v>2.0359946166018008E-6</v>
      </c>
      <c r="O86" s="17">
        <v>7.0898359443585851E-11</v>
      </c>
      <c r="P86" s="17">
        <v>2.199190662904503E-8</v>
      </c>
      <c r="Q86" s="25">
        <v>2.0238887331141782</v>
      </c>
      <c r="R86" s="58">
        <v>197.04488603913472</v>
      </c>
      <c r="S86" s="55">
        <v>2.3671107587399015E-6</v>
      </c>
      <c r="U86" s="1"/>
      <c r="V86" s="1"/>
      <c r="W86" s="77"/>
      <c r="X86" s="163">
        <f t="shared" si="6"/>
        <v>0.18410685950100003</v>
      </c>
      <c r="Y86" s="164">
        <f t="shared" si="7"/>
        <v>8.8209980170351893E-3</v>
      </c>
      <c r="Z86" s="164">
        <f t="shared" si="7"/>
        <v>7.2586248849368222E-4</v>
      </c>
      <c r="AA86" s="164">
        <f t="shared" si="7"/>
        <v>1.0219181291376625E-2</v>
      </c>
      <c r="AB86" s="164">
        <f t="shared" si="8"/>
        <v>36.281511396086529</v>
      </c>
      <c r="AC86" s="164">
        <f t="shared" si="9"/>
        <v>2.3671107587399016E-4</v>
      </c>
    </row>
    <row r="87" spans="2:29" x14ac:dyDescent="0.25">
      <c r="I87" s="124">
        <v>1.85947928096E-2</v>
      </c>
      <c r="J87" s="125">
        <v>8.165005379339783E-3</v>
      </c>
      <c r="K87" s="125">
        <v>7.0019662257401073E-4</v>
      </c>
      <c r="L87" s="63">
        <v>9.6358184011497636E-3</v>
      </c>
      <c r="N87" s="17">
        <v>2.1057308125796915E-6</v>
      </c>
      <c r="O87" s="17">
        <v>6.5589103103798277E-11</v>
      </c>
      <c r="P87" s="17">
        <v>2.016832250836507E-8</v>
      </c>
      <c r="Q87" s="25">
        <v>2.0238887331141782</v>
      </c>
      <c r="R87" s="58">
        <v>197.04488603913472</v>
      </c>
      <c r="S87" s="55">
        <v>2.4171266163784574E-6</v>
      </c>
      <c r="U87" s="1"/>
      <c r="V87" s="1"/>
      <c r="W87" s="77"/>
      <c r="X87" s="163">
        <f t="shared" si="6"/>
        <v>0.185947928096</v>
      </c>
      <c r="Y87" s="164">
        <f t="shared" si="7"/>
        <v>8.165005379339783E-3</v>
      </c>
      <c r="Z87" s="164">
        <f t="shared" si="7"/>
        <v>7.0019662257401073E-4</v>
      </c>
      <c r="AA87" s="164">
        <f t="shared" si="7"/>
        <v>9.6358184011497636E-3</v>
      </c>
      <c r="AB87" s="164">
        <f t="shared" si="8"/>
        <v>36.281511396086529</v>
      </c>
      <c r="AC87" s="164">
        <f t="shared" si="9"/>
        <v>2.4171266163784574E-4</v>
      </c>
    </row>
    <row r="88" spans="2:29" x14ac:dyDescent="0.25">
      <c r="B88" s="39"/>
      <c r="C88" s="39"/>
      <c r="D88" s="19"/>
      <c r="E88" s="19"/>
      <c r="F88" s="40"/>
      <c r="G88" s="40"/>
      <c r="I88" s="124">
        <v>1.8780740737699999E-2</v>
      </c>
      <c r="J88" s="125">
        <v>8.4316018548094701E-3</v>
      </c>
      <c r="K88" s="125">
        <v>6.7125417016031133E-4</v>
      </c>
      <c r="L88" s="63">
        <v>9.0586537072721122E-3</v>
      </c>
      <c r="N88" s="17">
        <v>2.1705425692575141E-6</v>
      </c>
      <c r="O88" s="17">
        <v>6.0654761257225557E-11</v>
      </c>
      <c r="P88" s="17">
        <v>1.8473511246383951E-8</v>
      </c>
      <c r="Q88" s="25">
        <v>2.0238887331141782</v>
      </c>
      <c r="R88" s="58">
        <v>199.0687747722489</v>
      </c>
      <c r="S88" s="55">
        <v>2.4171266163784574E-6</v>
      </c>
      <c r="U88" s="1"/>
      <c r="V88" s="1"/>
      <c r="W88" s="77"/>
      <c r="X88" s="163">
        <f t="shared" si="6"/>
        <v>0.187807407377</v>
      </c>
      <c r="Y88" s="164">
        <f t="shared" si="7"/>
        <v>8.4316018548094701E-3</v>
      </c>
      <c r="Z88" s="164">
        <f t="shared" si="7"/>
        <v>6.7125417016031133E-4</v>
      </c>
      <c r="AA88" s="164">
        <f t="shared" si="7"/>
        <v>9.0586537072721122E-3</v>
      </c>
      <c r="AB88" s="164">
        <f t="shared" si="8"/>
        <v>36.079122522775108</v>
      </c>
      <c r="AC88" s="164">
        <f t="shared" si="9"/>
        <v>2.4171266163784574E-4</v>
      </c>
    </row>
    <row r="89" spans="2:29" x14ac:dyDescent="0.25">
      <c r="I89" s="124">
        <v>1.89685481451E-2</v>
      </c>
      <c r="J89" s="125">
        <v>7.6969119303714091E-3</v>
      </c>
      <c r="K89" s="125">
        <v>6.4166400449957098E-4</v>
      </c>
      <c r="L89" s="63">
        <v>8.4896476055516378E-3</v>
      </c>
      <c r="N89" s="17">
        <v>2.2292945502592072E-6</v>
      </c>
      <c r="O89" s="17">
        <v>5.6181770965251281E-11</v>
      </c>
      <c r="P89" s="17">
        <v>1.6937161605988503E-8</v>
      </c>
      <c r="Q89" s="25">
        <v>2.0238887331141782</v>
      </c>
      <c r="R89" s="58">
        <v>199.0687747722489</v>
      </c>
      <c r="S89" s="55">
        <v>2.4549865109675697E-6</v>
      </c>
      <c r="U89" s="1"/>
      <c r="V89" s="1"/>
      <c r="W89" s="77"/>
      <c r="X89" s="163">
        <f t="shared" si="6"/>
        <v>0.189685481451</v>
      </c>
      <c r="Y89" s="164">
        <f t="shared" si="7"/>
        <v>7.6969119303714091E-3</v>
      </c>
      <c r="Z89" s="164">
        <f t="shared" si="7"/>
        <v>6.4166400449957098E-4</v>
      </c>
      <c r="AA89" s="164">
        <f t="shared" si="7"/>
        <v>8.4896476055516378E-3</v>
      </c>
      <c r="AB89" s="164">
        <f t="shared" si="8"/>
        <v>36.079122522775108</v>
      </c>
      <c r="AC89" s="164">
        <f t="shared" si="9"/>
        <v>2.4549865109675699E-4</v>
      </c>
    </row>
    <row r="90" spans="2:29" x14ac:dyDescent="0.25">
      <c r="I90" s="124">
        <v>1.9158233626600001E-2</v>
      </c>
      <c r="J90" s="125">
        <v>7.3116328972382578E-3</v>
      </c>
      <c r="K90" s="125">
        <v>6.3212651579497444E-4</v>
      </c>
      <c r="L90" s="63">
        <v>7.9306804833977288E-3</v>
      </c>
      <c r="N90" s="17">
        <v>2.2809400213609134E-6</v>
      </c>
      <c r="O90" s="17">
        <v>5.2249823702814067E-11</v>
      </c>
      <c r="P90" s="17">
        <v>1.5586645425897935E-8</v>
      </c>
      <c r="Q90" s="25">
        <v>2.0238887331141782</v>
      </c>
      <c r="R90" s="58">
        <v>201.09266350536308</v>
      </c>
      <c r="S90" s="55">
        <v>2.4549865109675697E-6</v>
      </c>
      <c r="U90" s="1"/>
      <c r="V90" s="1"/>
      <c r="W90" s="77"/>
      <c r="X90" s="163">
        <f t="shared" si="6"/>
        <v>0.19158233626600002</v>
      </c>
      <c r="Y90" s="164">
        <f t="shared" si="7"/>
        <v>7.3116328972382578E-3</v>
      </c>
      <c r="Z90" s="164">
        <f t="shared" si="7"/>
        <v>6.3212651579497444E-4</v>
      </c>
      <c r="AA90" s="164">
        <f t="shared" si="7"/>
        <v>7.9306804833977288E-3</v>
      </c>
      <c r="AB90" s="164">
        <f t="shared" si="8"/>
        <v>35.876733649463695</v>
      </c>
      <c r="AC90" s="164">
        <f t="shared" si="9"/>
        <v>2.4549865109675699E-4</v>
      </c>
    </row>
    <row r="91" spans="2:29" x14ac:dyDescent="0.25">
      <c r="I91" s="124">
        <v>1.9349815962799999E-2</v>
      </c>
      <c r="J91" s="125">
        <v>6.8740239084125456E-3</v>
      </c>
      <c r="K91" s="125">
        <v>6.020704415017256E-4</v>
      </c>
      <c r="L91" s="63">
        <v>7.3835469040540776E-3</v>
      </c>
      <c r="N91" s="17">
        <v>2.3245473683167164E-6</v>
      </c>
      <c r="O91" s="17">
        <v>4.892984646517097E-11</v>
      </c>
      <c r="P91" s="17">
        <v>1.4446324186138944E-8</v>
      </c>
      <c r="Q91" s="25">
        <v>2.0238887331141782</v>
      </c>
      <c r="R91" s="58">
        <v>201.09266350536308</v>
      </c>
      <c r="S91" s="55">
        <v>2.4803452173214624E-6</v>
      </c>
      <c r="U91" s="1"/>
      <c r="V91" s="1"/>
      <c r="W91" s="77"/>
      <c r="X91" s="163">
        <f t="shared" si="6"/>
        <v>0.19349815962799999</v>
      </c>
      <c r="Y91" s="164">
        <f t="shared" si="7"/>
        <v>6.8740239084125456E-3</v>
      </c>
      <c r="Z91" s="164">
        <f t="shared" si="7"/>
        <v>6.020704415017256E-4</v>
      </c>
      <c r="AA91" s="164">
        <f t="shared" si="7"/>
        <v>7.3835469040540776E-3</v>
      </c>
      <c r="AB91" s="164">
        <f t="shared" si="8"/>
        <v>35.876733649463695</v>
      </c>
      <c r="AC91" s="164">
        <f t="shared" si="9"/>
        <v>2.4803452173214626E-4</v>
      </c>
    </row>
    <row r="92" spans="2:29" x14ac:dyDescent="0.25">
      <c r="I92" s="124">
        <v>1.9543314122399999E-2</v>
      </c>
      <c r="J92" s="125">
        <v>6.3646493090155232E-3</v>
      </c>
      <c r="K92" s="125">
        <v>5.4120106645249894E-4</v>
      </c>
      <c r="L92" s="63">
        <v>6.8499498721953387E-3</v>
      </c>
      <c r="N92" s="17">
        <v>2.3593229640482888E-6</v>
      </c>
      <c r="O92" s="17">
        <v>4.6282260810136433E-11</v>
      </c>
      <c r="P92" s="17">
        <v>1.3536951036743373E-8</v>
      </c>
      <c r="Q92" s="25">
        <v>2.0238887331141782</v>
      </c>
      <c r="R92" s="58">
        <v>203.11655223847725</v>
      </c>
      <c r="S92" s="55">
        <v>2.4803452173214624E-6</v>
      </c>
      <c r="U92" s="1"/>
      <c r="V92" s="1"/>
      <c r="W92" s="77"/>
      <c r="X92" s="163">
        <f t="shared" si="6"/>
        <v>0.19543314122399999</v>
      </c>
      <c r="Y92" s="164">
        <f t="shared" si="7"/>
        <v>6.3646493090155232E-3</v>
      </c>
      <c r="Z92" s="164">
        <f t="shared" si="7"/>
        <v>5.4120106645249894E-4</v>
      </c>
      <c r="AA92" s="164">
        <f t="shared" si="7"/>
        <v>6.8499498721953387E-3</v>
      </c>
      <c r="AB92" s="164">
        <f t="shared" si="8"/>
        <v>35.674344776152275</v>
      </c>
      <c r="AC92" s="164">
        <f t="shared" si="9"/>
        <v>2.4803452173214626E-4</v>
      </c>
    </row>
    <row r="93" spans="2:29" x14ac:dyDescent="0.25">
      <c r="I93" s="124">
        <v>1.97387472637E-2</v>
      </c>
      <c r="J93" s="125">
        <v>5.315788717048406E-3</v>
      </c>
      <c r="K93" s="125">
        <v>4.8693825693983857E-4</v>
      </c>
      <c r="L93" s="63">
        <v>6.3314952174741536E-3</v>
      </c>
      <c r="N93" s="17">
        <v>2.3846300244401552E-6</v>
      </c>
      <c r="O93" s="17">
        <v>4.435554730156617E-11</v>
      </c>
      <c r="P93" s="17">
        <v>1.2875177723407956E-8</v>
      </c>
      <c r="Q93" s="25">
        <v>2.0238887331141782</v>
      </c>
      <c r="R93" s="58">
        <v>203.11655223847725</v>
      </c>
      <c r="S93" s="55">
        <v>2.4931394925407768E-6</v>
      </c>
      <c r="U93" s="1"/>
      <c r="V93" s="1"/>
      <c r="W93" s="77"/>
      <c r="X93" s="163">
        <f t="shared" si="6"/>
        <v>0.19738747263700002</v>
      </c>
      <c r="Y93" s="164">
        <f t="shared" si="7"/>
        <v>5.315788717048406E-3</v>
      </c>
      <c r="Z93" s="164">
        <f t="shared" si="7"/>
        <v>4.8693825693983857E-4</v>
      </c>
      <c r="AA93" s="164">
        <f t="shared" si="7"/>
        <v>6.3314952174741536E-3</v>
      </c>
      <c r="AB93" s="164">
        <f t="shared" si="8"/>
        <v>35.674344776152275</v>
      </c>
      <c r="AC93" s="164">
        <f t="shared" si="9"/>
        <v>2.4931394925407766E-4</v>
      </c>
    </row>
    <row r="94" spans="2:29" x14ac:dyDescent="0.25">
      <c r="I94" s="124">
        <v>1.9936134736300001E-2</v>
      </c>
      <c r="J94" s="125">
        <v>5.2163813377081574E-3</v>
      </c>
      <c r="K94" s="125">
        <v>4.979221835474261E-4</v>
      </c>
      <c r="L94" s="63">
        <v>5.8296861284368858E-3</v>
      </c>
      <c r="N94" s="17">
        <v>2.4000032780819523E-6</v>
      </c>
      <c r="O94" s="17">
        <v>4.3185128651447223E-11</v>
      </c>
      <c r="P94" s="17">
        <v>1.2473170977395391E-8</v>
      </c>
      <c r="Q94" s="25">
        <v>2.0238887331141782</v>
      </c>
      <c r="R94" s="58">
        <v>205.14044097159143</v>
      </c>
      <c r="S94" s="55">
        <v>2.4931394925407768E-6</v>
      </c>
      <c r="U94" s="1"/>
      <c r="V94" s="1"/>
      <c r="W94" s="77"/>
      <c r="X94" s="163">
        <f t="shared" si="6"/>
        <v>0.19936134736300001</v>
      </c>
      <c r="Y94" s="164">
        <f t="shared" si="7"/>
        <v>5.2163813377081574E-3</v>
      </c>
      <c r="Z94" s="164">
        <f t="shared" si="7"/>
        <v>4.979221835474261E-4</v>
      </c>
      <c r="AA94" s="164">
        <f t="shared" si="7"/>
        <v>5.8296861284368858E-3</v>
      </c>
      <c r="AB94" s="164">
        <f t="shared" si="8"/>
        <v>35.471955902840861</v>
      </c>
      <c r="AC94" s="164">
        <f t="shared" si="9"/>
        <v>2.4931394925407766E-4</v>
      </c>
    </row>
    <row r="95" spans="2:29" x14ac:dyDescent="0.25">
      <c r="I95" s="124">
        <v>2.0135496083700001E-2</v>
      </c>
      <c r="J95" s="125">
        <v>4.5368108859756943E-3</v>
      </c>
      <c r="K95" s="125">
        <v>4.3527524601797823E-4</v>
      </c>
      <c r="L95" s="63">
        <v>5.3459178744414077E-3</v>
      </c>
      <c r="N95" s="17">
        <v>2.4051594061217929E-6</v>
      </c>
      <c r="O95" s="17">
        <v>4.2792574897970886E-11</v>
      </c>
      <c r="P95" s="17">
        <v>1.2338339515974295E-8</v>
      </c>
      <c r="Q95" s="25">
        <v>2.0238887331141782</v>
      </c>
      <c r="R95" s="58">
        <v>205.14044097159143</v>
      </c>
      <c r="S95" s="55">
        <v>2.4935629573024491E-6</v>
      </c>
      <c r="U95" s="1"/>
      <c r="V95" s="1"/>
      <c r="W95" s="77"/>
      <c r="X95" s="163">
        <f t="shared" si="6"/>
        <v>0.201354960837</v>
      </c>
      <c r="Y95" s="164">
        <f t="shared" si="7"/>
        <v>4.5368108859756943E-3</v>
      </c>
      <c r="Z95" s="164">
        <f t="shared" si="7"/>
        <v>4.3527524601797823E-4</v>
      </c>
      <c r="AA95" s="164">
        <f t="shared" si="7"/>
        <v>5.3459178744414077E-3</v>
      </c>
      <c r="AB95" s="164">
        <f t="shared" si="8"/>
        <v>35.471955902840861</v>
      </c>
      <c r="AC95" s="164">
        <f t="shared" si="9"/>
        <v>2.4935629573024493E-4</v>
      </c>
    </row>
    <row r="96" spans="2:29" x14ac:dyDescent="0.25">
      <c r="I96" s="124">
        <v>2.03368510445E-2</v>
      </c>
      <c r="J96" s="125">
        <v>4.2645250439332354E-3</v>
      </c>
      <c r="K96" s="125">
        <v>4.2460121866727616E-4</v>
      </c>
      <c r="L96" s="63">
        <v>4.8814727639198696E-3</v>
      </c>
      <c r="N96" s="17">
        <v>2.4000032780819523E-6</v>
      </c>
      <c r="O96" s="17">
        <v>4.3185128651447223E-11</v>
      </c>
      <c r="P96" s="17">
        <v>1.2473170977395391E-8</v>
      </c>
      <c r="Q96" s="25">
        <v>2.0238887331141782</v>
      </c>
      <c r="R96" s="58">
        <v>207.16432970470561</v>
      </c>
      <c r="S96" s="55">
        <v>2.4935629573024491E-6</v>
      </c>
      <c r="U96" s="1"/>
      <c r="V96" s="1"/>
      <c r="W96" s="77"/>
      <c r="X96" s="163">
        <f t="shared" si="6"/>
        <v>0.20336851044500001</v>
      </c>
      <c r="Y96" s="164">
        <f t="shared" si="7"/>
        <v>4.2645250439332354E-3</v>
      </c>
      <c r="Z96" s="164">
        <f t="shared" si="7"/>
        <v>4.2460121866727616E-4</v>
      </c>
      <c r="AA96" s="164">
        <f t="shared" si="7"/>
        <v>4.8814727639198696E-3</v>
      </c>
      <c r="AB96" s="164">
        <f t="shared" si="8"/>
        <v>35.269567029529441</v>
      </c>
      <c r="AC96" s="164">
        <f t="shared" si="9"/>
        <v>2.4935629573024493E-4</v>
      </c>
    </row>
    <row r="97" spans="9:29" x14ac:dyDescent="0.25">
      <c r="I97" s="124">
        <v>2.0540219554899999E-2</v>
      </c>
      <c r="J97" s="125">
        <v>3.9033836349479053E-3</v>
      </c>
      <c r="K97" s="125">
        <v>3.7973382778510619E-4</v>
      </c>
      <c r="L97" s="63">
        <v>4.4375153763777896E-3</v>
      </c>
      <c r="N97" s="17">
        <v>2.3846300244401552E-6</v>
      </c>
      <c r="O97" s="17">
        <v>4.4355547301566164E-11</v>
      </c>
      <c r="P97" s="17">
        <v>1.2875177723407952E-8</v>
      </c>
      <c r="Q97" s="25">
        <v>2.0238887331141782</v>
      </c>
      <c r="R97" s="58">
        <v>207.16432970470561</v>
      </c>
      <c r="S97" s="55">
        <v>2.4820345510165029E-6</v>
      </c>
      <c r="U97" s="1"/>
      <c r="V97" s="1"/>
      <c r="W97" s="77"/>
      <c r="X97" s="163">
        <f t="shared" si="6"/>
        <v>0.20540219554899999</v>
      </c>
      <c r="Y97" s="164">
        <f t="shared" si="7"/>
        <v>3.9033836349479053E-3</v>
      </c>
      <c r="Z97" s="164">
        <f t="shared" si="7"/>
        <v>3.7973382778510619E-4</v>
      </c>
      <c r="AA97" s="164">
        <f t="shared" si="7"/>
        <v>4.4375153763777896E-3</v>
      </c>
      <c r="AB97" s="164">
        <f t="shared" si="8"/>
        <v>35.269567029529441</v>
      </c>
      <c r="AC97" s="164">
        <f t="shared" si="9"/>
        <v>2.4820345510165028E-4</v>
      </c>
    </row>
    <row r="98" spans="9:29" x14ac:dyDescent="0.25">
      <c r="I98" s="124">
        <v>2.0745621750500001E-2</v>
      </c>
      <c r="J98" s="125">
        <v>3.6328423191921907E-3</v>
      </c>
      <c r="K98" s="125">
        <v>3.8860594857827288E-4</v>
      </c>
      <c r="L98" s="63">
        <v>4.0150881195809267E-3</v>
      </c>
      <c r="N98" s="17">
        <v>2.3593229640482888E-6</v>
      </c>
      <c r="O98" s="17">
        <v>4.628226081013642E-11</v>
      </c>
      <c r="P98" s="17">
        <v>1.3536951036743369E-8</v>
      </c>
      <c r="Q98" s="25">
        <v>2.0238887331141782</v>
      </c>
      <c r="R98" s="58">
        <v>209.18821843781978</v>
      </c>
      <c r="S98" s="55">
        <v>2.4820345510165029E-6</v>
      </c>
      <c r="U98" s="1"/>
      <c r="V98" s="1"/>
      <c r="W98" s="77"/>
      <c r="X98" s="163">
        <f t="shared" si="6"/>
        <v>0.20745621750500001</v>
      </c>
      <c r="Y98" s="164">
        <f t="shared" si="7"/>
        <v>3.6328423191921907E-3</v>
      </c>
      <c r="Z98" s="164">
        <f t="shared" si="7"/>
        <v>3.8860594857827288E-4</v>
      </c>
      <c r="AA98" s="164">
        <f t="shared" si="7"/>
        <v>4.0150881195809267E-3</v>
      </c>
      <c r="AB98" s="164">
        <f t="shared" si="8"/>
        <v>35.06717815621802</v>
      </c>
      <c r="AC98" s="164">
        <f t="shared" si="9"/>
        <v>2.4820345510165028E-4</v>
      </c>
    </row>
    <row r="99" spans="9:29" x14ac:dyDescent="0.25">
      <c r="I99" s="124">
        <v>2.0953077968E-2</v>
      </c>
      <c r="J99" s="125">
        <v>3.1815617793557825E-3</v>
      </c>
      <c r="K99" s="125">
        <v>3.6241381685016657E-4</v>
      </c>
      <c r="L99" s="63">
        <v>3.6151071577885125E-3</v>
      </c>
      <c r="N99" s="17">
        <v>2.3245473683167169E-6</v>
      </c>
      <c r="O99" s="17">
        <v>4.8929846465170957E-11</v>
      </c>
      <c r="P99" s="17">
        <v>1.4446324186138939E-8</v>
      </c>
      <c r="Q99" s="25">
        <v>2.0238887331141782</v>
      </c>
      <c r="R99" s="58">
        <v>209.18821843781978</v>
      </c>
      <c r="S99" s="55">
        <v>2.4591644257125509E-6</v>
      </c>
      <c r="U99" s="1"/>
      <c r="V99" s="1"/>
      <c r="W99" s="77"/>
      <c r="X99" s="163">
        <f t="shared" si="6"/>
        <v>0.20953077968</v>
      </c>
      <c r="Y99" s="164">
        <f t="shared" si="7"/>
        <v>3.1815617793557825E-3</v>
      </c>
      <c r="Z99" s="164">
        <f t="shared" si="7"/>
        <v>3.6241381685016657E-4</v>
      </c>
      <c r="AA99" s="164">
        <f t="shared" si="7"/>
        <v>3.6151071577885125E-3</v>
      </c>
      <c r="AB99" s="164">
        <f t="shared" si="8"/>
        <v>35.06717815621802</v>
      </c>
      <c r="AC99" s="164">
        <f t="shared" si="9"/>
        <v>2.4591644257125508E-4</v>
      </c>
    </row>
    <row r="100" spans="9:29" x14ac:dyDescent="0.25">
      <c r="I100" s="124">
        <v>2.1162608747699999E-2</v>
      </c>
      <c r="J100" s="125">
        <v>3.2954847780470044E-3</v>
      </c>
      <c r="K100" s="125">
        <v>3.4579837958792459E-4</v>
      </c>
      <c r="L100" s="63">
        <v>3.2383587577253388E-3</v>
      </c>
      <c r="N100" s="17">
        <v>2.2809400213609138E-6</v>
      </c>
      <c r="O100" s="17">
        <v>5.2249823702814054E-11</v>
      </c>
      <c r="P100" s="17">
        <v>1.5586645425897932E-8</v>
      </c>
      <c r="Q100" s="25">
        <v>2.0238887331141782</v>
      </c>
      <c r="R100" s="58">
        <v>211.21210717093396</v>
      </c>
      <c r="S100" s="55">
        <v>2.4591644257125509E-6</v>
      </c>
      <c r="U100" s="1"/>
      <c r="V100" s="1"/>
      <c r="W100" s="77"/>
      <c r="X100" s="163">
        <f t="shared" si="6"/>
        <v>0.21162608747699999</v>
      </c>
      <c r="Y100" s="164">
        <f t="shared" si="7"/>
        <v>3.2954847780470044E-3</v>
      </c>
      <c r="Z100" s="164">
        <f t="shared" si="7"/>
        <v>3.4579837958792459E-4</v>
      </c>
      <c r="AA100" s="164">
        <f t="shared" si="7"/>
        <v>3.2383587577253388E-3</v>
      </c>
      <c r="AB100" s="164">
        <f t="shared" si="8"/>
        <v>34.864789282906607</v>
      </c>
      <c r="AC100" s="164">
        <f t="shared" si="9"/>
        <v>2.4591644257125508E-4</v>
      </c>
    </row>
    <row r="101" spans="9:29" x14ac:dyDescent="0.25">
      <c r="I101" s="124">
        <v>2.1374234835199998E-2</v>
      </c>
      <c r="J101" s="125">
        <v>3.1703859751541683E-3</v>
      </c>
      <c r="K101" s="125">
        <v>3.3717545972483919E-4</v>
      </c>
      <c r="L101" s="63">
        <v>2.8854961046015991E-3</v>
      </c>
      <c r="N101" s="17">
        <v>2.2292945502592072E-6</v>
      </c>
      <c r="O101" s="17">
        <v>5.6181770965251275E-11</v>
      </c>
      <c r="P101" s="17">
        <v>1.69371616059885E-8</v>
      </c>
      <c r="Q101" s="25">
        <v>2.0238887331141782</v>
      </c>
      <c r="R101" s="58">
        <v>211.21210717093396</v>
      </c>
      <c r="S101" s="55">
        <v>2.4257204653223286E-6</v>
      </c>
      <c r="U101" s="1"/>
      <c r="V101" s="1"/>
      <c r="W101" s="77"/>
      <c r="X101" s="163">
        <f t="shared" si="6"/>
        <v>0.21374234835199998</v>
      </c>
      <c r="Y101" s="164">
        <f t="shared" si="7"/>
        <v>3.1703859751541683E-3</v>
      </c>
      <c r="Z101" s="164">
        <f t="shared" si="7"/>
        <v>3.3717545972483919E-4</v>
      </c>
      <c r="AA101" s="164">
        <f t="shared" si="7"/>
        <v>2.8854961046015991E-3</v>
      </c>
      <c r="AB101" s="164">
        <f t="shared" si="8"/>
        <v>34.864789282906607</v>
      </c>
      <c r="AC101" s="164">
        <f t="shared" si="9"/>
        <v>2.4257204653223285E-4</v>
      </c>
    </row>
    <row r="102" spans="9:29" x14ac:dyDescent="0.25">
      <c r="I102" s="124">
        <v>2.1587977183500001E-2</v>
      </c>
      <c r="J102" s="125">
        <v>2.1353941448473287E-3</v>
      </c>
      <c r="K102" s="125">
        <v>2.8747643119121668E-4</v>
      </c>
      <c r="L102" s="63">
        <v>2.5574037569381517E-3</v>
      </c>
      <c r="N102" s="17">
        <v>2.1705425692575145E-6</v>
      </c>
      <c r="O102" s="17">
        <v>6.0654761257225532E-11</v>
      </c>
      <c r="P102" s="17">
        <v>1.8473511246383945E-8</v>
      </c>
      <c r="Q102" s="25">
        <v>2.0238887331141782</v>
      </c>
      <c r="R102" s="58">
        <v>213.23599590404814</v>
      </c>
      <c r="S102" s="55">
        <v>2.4257204653223286E-6</v>
      </c>
      <c r="U102" s="1"/>
      <c r="V102" s="1"/>
      <c r="W102" s="77"/>
      <c r="X102" s="163">
        <f t="shared" si="6"/>
        <v>0.21587977183500001</v>
      </c>
      <c r="Y102" s="164">
        <f t="shared" si="7"/>
        <v>2.1353941448473287E-3</v>
      </c>
      <c r="Z102" s="164">
        <f t="shared" si="7"/>
        <v>2.8747643119121668E-4</v>
      </c>
      <c r="AA102" s="164">
        <f t="shared" si="7"/>
        <v>2.5574037569381517E-3</v>
      </c>
      <c r="AB102" s="164">
        <f t="shared" si="8"/>
        <v>34.662400409595186</v>
      </c>
      <c r="AC102" s="164">
        <f t="shared" si="9"/>
        <v>2.4257204653223285E-4</v>
      </c>
    </row>
    <row r="103" spans="9:29" x14ac:dyDescent="0.25">
      <c r="I103" s="124">
        <v>2.1803856955299999E-2</v>
      </c>
      <c r="J103" s="125">
        <v>2.5179466819772035E-3</v>
      </c>
      <c r="K103" s="125">
        <v>3.040003990463498E-4</v>
      </c>
      <c r="L103" s="63">
        <v>2.25367941160135E-3</v>
      </c>
      <c r="N103" s="17">
        <v>2.1057308125796915E-6</v>
      </c>
      <c r="O103" s="17">
        <v>6.5589103103798264E-11</v>
      </c>
      <c r="P103" s="17">
        <v>2.0168322508365067E-8</v>
      </c>
      <c r="Q103" s="25">
        <v>2.0238887331141782</v>
      </c>
      <c r="R103" s="58">
        <v>213.23599590404814</v>
      </c>
      <c r="S103" s="55">
        <v>2.3825976223518388E-6</v>
      </c>
      <c r="U103" s="1"/>
      <c r="V103" s="1"/>
      <c r="W103" s="77"/>
      <c r="X103" s="163">
        <f t="shared" si="6"/>
        <v>0.21803856955299999</v>
      </c>
      <c r="Y103" s="164">
        <f t="shared" si="7"/>
        <v>2.5179466819772035E-3</v>
      </c>
      <c r="Z103" s="164">
        <f t="shared" si="7"/>
        <v>3.040003990463498E-4</v>
      </c>
      <c r="AA103" s="164">
        <f t="shared" si="7"/>
        <v>2.25367941160135E-3</v>
      </c>
      <c r="AB103" s="164">
        <f t="shared" si="8"/>
        <v>34.662400409595186</v>
      </c>
      <c r="AC103" s="164">
        <f t="shared" si="9"/>
        <v>2.3825976223518388E-4</v>
      </c>
    </row>
    <row r="104" spans="9:29" x14ac:dyDescent="0.25">
      <c r="I104" s="124">
        <v>2.2021895524900002E-2</v>
      </c>
      <c r="J104" s="125">
        <v>2.1960023424297693E-3</v>
      </c>
      <c r="K104" s="125">
        <v>2.7237270058558661E-4</v>
      </c>
      <c r="L104" s="63">
        <v>1.9749812487422115E-3</v>
      </c>
      <c r="N104" s="17">
        <v>2.0359946166018013E-6</v>
      </c>
      <c r="O104" s="17">
        <v>7.0898359443585825E-11</v>
      </c>
      <c r="P104" s="17">
        <v>2.199190662904502E-8</v>
      </c>
      <c r="Q104" s="25">
        <v>2.0238887331141782</v>
      </c>
      <c r="R104" s="58">
        <v>215.25988463716232</v>
      </c>
      <c r="S104" s="55">
        <v>2.3825976223518388E-6</v>
      </c>
      <c r="U104" s="1"/>
      <c r="V104" s="1"/>
      <c r="W104" s="77"/>
      <c r="X104" s="163">
        <f t="shared" si="6"/>
        <v>0.22021895524900001</v>
      </c>
      <c r="Y104" s="164">
        <f t="shared" si="7"/>
        <v>2.1960023424297693E-3</v>
      </c>
      <c r="Z104" s="164">
        <f t="shared" si="7"/>
        <v>2.7237270058558661E-4</v>
      </c>
      <c r="AA104" s="164">
        <f t="shared" si="7"/>
        <v>1.9749812487422115E-3</v>
      </c>
      <c r="AB104" s="164">
        <f t="shared" si="8"/>
        <v>34.460011536283773</v>
      </c>
      <c r="AC104" s="164">
        <f t="shared" si="9"/>
        <v>2.3825976223518388E-4</v>
      </c>
    </row>
    <row r="105" spans="9:29" x14ac:dyDescent="0.25">
      <c r="I105" s="124">
        <v>2.2242114480200002E-2</v>
      </c>
      <c r="J105" s="125">
        <v>1.2802869389716167E-3</v>
      </c>
      <c r="K105" s="125">
        <v>2.2100295682337884E-4</v>
      </c>
      <c r="L105" s="63">
        <v>1.7214093221447787E-3</v>
      </c>
      <c r="N105" s="17">
        <v>1.9625283358909061E-6</v>
      </c>
      <c r="O105" s="17">
        <v>7.6491599957430305E-11</v>
      </c>
      <c r="P105" s="17">
        <v>2.3913031534571563E-8</v>
      </c>
      <c r="Q105" s="25">
        <v>2.0238887331141782</v>
      </c>
      <c r="R105" s="58">
        <v>215.25988463716232</v>
      </c>
      <c r="S105" s="55">
        <v>2.3307911544372097E-6</v>
      </c>
      <c r="U105" s="1"/>
      <c r="V105" s="1"/>
      <c r="W105" s="77"/>
      <c r="X105" s="163">
        <f t="shared" si="6"/>
        <v>0.22242114480200001</v>
      </c>
      <c r="Y105" s="164">
        <f t="shared" si="7"/>
        <v>1.2802869389716167E-3</v>
      </c>
      <c r="Z105" s="164">
        <f t="shared" si="7"/>
        <v>2.2100295682337884E-4</v>
      </c>
      <c r="AA105" s="164">
        <f t="shared" si="7"/>
        <v>1.7214093221447787E-3</v>
      </c>
      <c r="AB105" s="164">
        <f t="shared" si="8"/>
        <v>34.460011536283773</v>
      </c>
      <c r="AC105" s="164">
        <f t="shared" si="9"/>
        <v>2.3307911544372096E-4</v>
      </c>
    </row>
    <row r="106" spans="9:29" x14ac:dyDescent="0.25">
      <c r="I106" s="124">
        <v>2.2464535625E-2</v>
      </c>
      <c r="J106" s="125">
        <v>1.295908840809507E-3</v>
      </c>
      <c r="K106" s="125">
        <v>2.263852601731466E-4</v>
      </c>
      <c r="L106" s="63">
        <v>1.4929233440804668E-3</v>
      </c>
      <c r="N106" s="17">
        <v>1.905715498047669E-6</v>
      </c>
      <c r="O106" s="17">
        <v>8.0816956614340074E-11</v>
      </c>
      <c r="P106" s="17">
        <v>2.5398673065327558E-8</v>
      </c>
      <c r="Q106" s="25">
        <v>1.0119443665570891</v>
      </c>
      <c r="R106" s="58">
        <v>217.28377337027649</v>
      </c>
      <c r="S106" s="55">
        <v>2.3307911544372097E-6</v>
      </c>
      <c r="U106" s="1"/>
      <c r="V106" s="1"/>
      <c r="W106" s="77"/>
      <c r="X106" s="163">
        <f t="shared" si="6"/>
        <v>0.22464535625000001</v>
      </c>
      <c r="Y106" s="164">
        <f t="shared" si="7"/>
        <v>1.295908840809507E-3</v>
      </c>
      <c r="Z106" s="164">
        <f t="shared" si="7"/>
        <v>2.263852601731466E-4</v>
      </c>
      <c r="AA106" s="164">
        <f t="shared" si="7"/>
        <v>1.4929233440804668E-3</v>
      </c>
      <c r="AB106" s="164">
        <f t="shared" si="8"/>
        <v>34.257622662972352</v>
      </c>
      <c r="AC106" s="164">
        <f t="shared" si="9"/>
        <v>2.3307911544372096E-4</v>
      </c>
    </row>
    <row r="107" spans="9:29" x14ac:dyDescent="0.25">
      <c r="I107" s="124">
        <v>2.2689180981199999E-2</v>
      </c>
      <c r="J107" s="125">
        <v>1.6469916394051673E-3</v>
      </c>
      <c r="K107" s="125">
        <v>2.28179034095874E-4</v>
      </c>
      <c r="L107" s="63">
        <v>1.2893432821035028E-3</v>
      </c>
      <c r="N107" s="17">
        <v>1.8702964192330608E-6</v>
      </c>
      <c r="O107" s="17">
        <v>8.3513532848660542E-11</v>
      </c>
      <c r="P107" s="17">
        <v>2.6324873136749712E-8</v>
      </c>
      <c r="Q107" s="25">
        <v>1.6838550922687374</v>
      </c>
      <c r="R107" s="58">
        <v>217.28377337027649</v>
      </c>
      <c r="S107" s="55">
        <v>2.2713738128989623E-6</v>
      </c>
      <c r="U107" s="1"/>
      <c r="V107" s="1"/>
      <c r="W107" s="77"/>
      <c r="X107" s="163">
        <f t="shared" si="6"/>
        <v>0.22689180981199999</v>
      </c>
      <c r="Y107" s="164">
        <f t="shared" si="7"/>
        <v>1.6469916394051673E-3</v>
      </c>
      <c r="Z107" s="164">
        <f t="shared" si="7"/>
        <v>2.28179034095874E-4</v>
      </c>
      <c r="AA107" s="164">
        <f t="shared" si="7"/>
        <v>1.2893432821035028E-3</v>
      </c>
      <c r="AB107" s="164">
        <f t="shared" si="8"/>
        <v>34.257622662972352</v>
      </c>
      <c r="AC107" s="164">
        <f t="shared" si="9"/>
        <v>2.2713738128989623E-4</v>
      </c>
    </row>
    <row r="108" spans="9:29" x14ac:dyDescent="0.25">
      <c r="I108" s="124">
        <v>2.2916072791000001E-2</v>
      </c>
      <c r="J108" s="125">
        <v>1.0675201264589308E-3</v>
      </c>
      <c r="K108" s="125">
        <v>2.0549577917176323E-4</v>
      </c>
      <c r="L108" s="63">
        <v>1.1103507264076486E-3</v>
      </c>
      <c r="N108" s="17">
        <v>1.7688325304890867E-6</v>
      </c>
      <c r="O108" s="17">
        <v>9.1238327512600048E-11</v>
      </c>
      <c r="P108" s="17">
        <v>2.8978128504946341E-8</v>
      </c>
      <c r="Q108" s="25">
        <v>3.3677101845374748</v>
      </c>
      <c r="R108" s="58">
        <v>219.30766210339067</v>
      </c>
      <c r="S108" s="55">
        <v>2.2713738128989623E-6</v>
      </c>
      <c r="U108" s="1"/>
      <c r="V108" s="1"/>
      <c r="W108" s="77"/>
      <c r="X108" s="163">
        <f t="shared" si="6"/>
        <v>0.22916072791</v>
      </c>
      <c r="Y108" s="164">
        <f t="shared" si="7"/>
        <v>1.0675201264589308E-3</v>
      </c>
      <c r="Z108" s="164">
        <f t="shared" si="7"/>
        <v>2.0549577917176323E-4</v>
      </c>
      <c r="AA108" s="164">
        <f t="shared" si="7"/>
        <v>1.1103507264076486E-3</v>
      </c>
      <c r="AB108" s="164">
        <f t="shared" si="8"/>
        <v>34.055233789660932</v>
      </c>
      <c r="AC108" s="164">
        <f t="shared" si="9"/>
        <v>2.2713738128989623E-4</v>
      </c>
    </row>
    <row r="109" spans="9:29" x14ac:dyDescent="0.25">
      <c r="I109" s="124">
        <v>2.3145233518900001E-2</v>
      </c>
      <c r="J109" s="125">
        <v>9.8175906041383758E-4</v>
      </c>
      <c r="K109" s="125">
        <v>1.7680264049567588E-4</v>
      </c>
      <c r="L109" s="63">
        <v>9.5549105827870287E-4</v>
      </c>
      <c r="N109" s="17">
        <v>1.6376283625997323E-6</v>
      </c>
      <c r="O109" s="17">
        <v>1.0122735186939122E-10</v>
      </c>
      <c r="P109" s="17">
        <v>3.2409084750479314E-8</v>
      </c>
      <c r="Q109" s="25">
        <v>3.3677101845374748</v>
      </c>
      <c r="R109" s="58">
        <v>219.30766210339067</v>
      </c>
      <c r="S109" s="55">
        <v>2.2054762364611922E-6</v>
      </c>
      <c r="U109" s="1"/>
      <c r="V109" s="1"/>
      <c r="W109" s="77"/>
      <c r="X109" s="163">
        <f t="shared" si="6"/>
        <v>0.23145233518899999</v>
      </c>
      <c r="Y109" s="164">
        <f t="shared" si="7"/>
        <v>9.8175906041383758E-4</v>
      </c>
      <c r="Z109" s="164">
        <f t="shared" si="7"/>
        <v>1.7680264049567588E-4</v>
      </c>
      <c r="AA109" s="164">
        <f t="shared" si="7"/>
        <v>9.5549105827870287E-4</v>
      </c>
      <c r="AB109" s="164">
        <f t="shared" si="8"/>
        <v>34.055233789660932</v>
      </c>
      <c r="AC109" s="164">
        <f t="shared" si="9"/>
        <v>2.205476236461192E-4</v>
      </c>
    </row>
    <row r="110" spans="9:29" x14ac:dyDescent="0.25">
      <c r="I110" s="124">
        <v>2.33766858541E-2</v>
      </c>
      <c r="J110" s="125">
        <v>7.1567679028252914E-4</v>
      </c>
      <c r="K110" s="125">
        <v>1.7000052924424046E-4</v>
      </c>
      <c r="L110" s="63">
        <v>8.2417644476269144E-4</v>
      </c>
      <c r="N110" s="17">
        <v>1.5146426226760287E-6</v>
      </c>
      <c r="O110" s="17">
        <v>1.1059067905174012E-10</v>
      </c>
      <c r="P110" s="17">
        <v>3.5625131155792952E-8</v>
      </c>
      <c r="Q110" s="25">
        <v>3.3677101845374748</v>
      </c>
      <c r="R110" s="58">
        <v>221.33155083650485</v>
      </c>
      <c r="S110" s="55">
        <v>2.2054762364611922E-6</v>
      </c>
      <c r="U110" s="1"/>
      <c r="V110" s="1"/>
      <c r="W110" s="77"/>
      <c r="X110" s="163">
        <f t="shared" si="6"/>
        <v>0.23376685854099999</v>
      </c>
      <c r="Y110" s="164">
        <f t="shared" si="7"/>
        <v>7.1567679028252914E-4</v>
      </c>
      <c r="Z110" s="164">
        <f t="shared" si="7"/>
        <v>1.7000052924424046E-4</v>
      </c>
      <c r="AA110" s="164">
        <f t="shared" si="7"/>
        <v>8.2417644476269144E-4</v>
      </c>
      <c r="AB110" s="164">
        <f t="shared" si="8"/>
        <v>33.852844916349518</v>
      </c>
      <c r="AC110" s="164">
        <f t="shared" si="9"/>
        <v>2.205476236461192E-4</v>
      </c>
    </row>
    <row r="111" spans="9:29" x14ac:dyDescent="0.25">
      <c r="I111" s="124">
        <v>2.36104527127E-2</v>
      </c>
      <c r="J111" s="125">
        <v>5.4557057680028863E-4</v>
      </c>
      <c r="K111" s="125">
        <v>1.2316357122388967E-4</v>
      </c>
      <c r="L111" s="63">
        <v>7.156896804210184E-4</v>
      </c>
      <c r="N111" s="17">
        <v>1.4031066888046668E-6</v>
      </c>
      <c r="O111" s="17">
        <v>1.1908229313703386E-10</v>
      </c>
      <c r="P111" s="17">
        <v>3.854176799037899E-8</v>
      </c>
      <c r="Q111" s="25">
        <v>3.3677101845374748</v>
      </c>
      <c r="R111" s="58">
        <v>221.33155083650485</v>
      </c>
      <c r="S111" s="55">
        <v>2.1342693258836977E-6</v>
      </c>
      <c r="U111" s="1"/>
      <c r="V111" s="1"/>
      <c r="W111" s="77"/>
      <c r="X111" s="163">
        <f t="shared" si="6"/>
        <v>0.236104527127</v>
      </c>
      <c r="Y111" s="164">
        <f t="shared" si="7"/>
        <v>5.4557057680028863E-4</v>
      </c>
      <c r="Z111" s="164">
        <f t="shared" si="7"/>
        <v>1.2316357122388967E-4</v>
      </c>
      <c r="AA111" s="164">
        <f t="shared" si="7"/>
        <v>7.156896804210184E-4</v>
      </c>
      <c r="AB111" s="164">
        <f t="shared" si="8"/>
        <v>33.852844916349518</v>
      </c>
      <c r="AC111" s="164">
        <f t="shared" si="9"/>
        <v>2.1342693258836977E-4</v>
      </c>
    </row>
    <row r="112" spans="9:29" x14ac:dyDescent="0.25">
      <c r="I112" s="124">
        <v>2.38465572398E-2</v>
      </c>
      <c r="J112" s="125">
        <v>5.4697393629273407E-4</v>
      </c>
      <c r="K112" s="125">
        <v>1.2233590092838523E-4</v>
      </c>
      <c r="L112" s="63">
        <v>6.2918889034527931E-4</v>
      </c>
      <c r="N112" s="17">
        <v>1.3053772728269235E-6</v>
      </c>
      <c r="O112" s="17">
        <v>1.2652276955086171E-10</v>
      </c>
      <c r="P112" s="17">
        <v>4.10973678277553E-8</v>
      </c>
      <c r="Q112" s="25">
        <v>3.3677101845374748</v>
      </c>
      <c r="R112" s="58">
        <v>223.35543956961902</v>
      </c>
      <c r="S112" s="55">
        <v>2.1342693258836977E-6</v>
      </c>
      <c r="U112" s="1"/>
      <c r="V112" s="1"/>
      <c r="W112" s="77"/>
      <c r="X112" s="163">
        <f t="shared" si="6"/>
        <v>0.23846557239800001</v>
      </c>
      <c r="Y112" s="164">
        <f t="shared" si="7"/>
        <v>5.4697393629273407E-4</v>
      </c>
      <c r="Z112" s="164">
        <f t="shared" si="7"/>
        <v>1.2233590092838523E-4</v>
      </c>
      <c r="AA112" s="164">
        <f t="shared" si="7"/>
        <v>6.2918889034527931E-4</v>
      </c>
      <c r="AB112" s="164">
        <f t="shared" si="8"/>
        <v>33.650456043038098</v>
      </c>
      <c r="AC112" s="164">
        <f t="shared" si="9"/>
        <v>2.1342693258836977E-4</v>
      </c>
    </row>
    <row r="113" spans="9:29" x14ac:dyDescent="0.25">
      <c r="I113" s="124">
        <v>2.4085022812199999E-2</v>
      </c>
      <c r="J113" s="125">
        <v>7.251625197064078E-4</v>
      </c>
      <c r="K113" s="125">
        <v>1.4210315530999366E-4</v>
      </c>
      <c r="L113" s="63">
        <v>5.6371310221455949E-4</v>
      </c>
      <c r="N113" s="17">
        <v>1.2228772605345361E-6</v>
      </c>
      <c r="O113" s="17">
        <v>1.3280377910628375E-10</v>
      </c>
      <c r="P113" s="17">
        <v>4.3254722559579184E-8</v>
      </c>
      <c r="Q113" s="25">
        <v>3.3677101845374748</v>
      </c>
      <c r="R113" s="58">
        <v>223.35543956961902</v>
      </c>
      <c r="S113" s="55">
        <v>2.0589472416761894E-6</v>
      </c>
      <c r="U113" s="1"/>
      <c r="V113" s="1"/>
      <c r="W113" s="77"/>
      <c r="X113" s="163">
        <f t="shared" si="6"/>
        <v>0.24085022812199999</v>
      </c>
      <c r="Y113" s="164">
        <f t="shared" si="7"/>
        <v>7.251625197064078E-4</v>
      </c>
      <c r="Z113" s="164">
        <f t="shared" si="7"/>
        <v>1.4210315530999366E-4</v>
      </c>
      <c r="AA113" s="164">
        <f t="shared" si="7"/>
        <v>5.6371310221455949E-4</v>
      </c>
      <c r="AB113" s="164">
        <f t="shared" si="8"/>
        <v>33.650456043038098</v>
      </c>
      <c r="AC113" s="164">
        <f t="shared" si="9"/>
        <v>2.0589472416761894E-4</v>
      </c>
    </row>
    <row r="114" spans="9:29" x14ac:dyDescent="0.25">
      <c r="I114" s="124">
        <v>2.4325873040300001E-2</v>
      </c>
      <c r="J114" s="125">
        <v>5.9257495127678142E-4</v>
      </c>
      <c r="K114" s="125">
        <v>1.4665592982692952E-4</v>
      </c>
      <c r="L114" s="63">
        <v>5.1818868920916385E-4</v>
      </c>
      <c r="N114" s="17">
        <v>1.1561762585465877E-6</v>
      </c>
      <c r="O114" s="17">
        <v>1.3788195569318812E-10</v>
      </c>
      <c r="P114" s="17">
        <v>4.4998937114918986E-8</v>
      </c>
      <c r="Q114" s="25">
        <v>3.3677101845374748</v>
      </c>
      <c r="R114" s="58">
        <v>225.3793283027332</v>
      </c>
      <c r="S114" s="55">
        <v>2.0589472416761894E-6</v>
      </c>
      <c r="U114" s="1"/>
      <c r="V114" s="1"/>
      <c r="W114" s="77"/>
      <c r="X114" s="163">
        <f t="shared" si="6"/>
        <v>0.243258730403</v>
      </c>
      <c r="Y114" s="164">
        <f t="shared" si="7"/>
        <v>5.9257495127678142E-4</v>
      </c>
      <c r="Z114" s="164">
        <f t="shared" si="7"/>
        <v>1.4665592982692952E-4</v>
      </c>
      <c r="AA114" s="164">
        <f t="shared" si="7"/>
        <v>5.1818868920916385E-4</v>
      </c>
      <c r="AB114" s="164">
        <f t="shared" si="8"/>
        <v>33.448067169726684</v>
      </c>
      <c r="AC114" s="164">
        <f t="shared" si="9"/>
        <v>2.0589472416761894E-4</v>
      </c>
    </row>
    <row r="115" spans="9:29" x14ac:dyDescent="0.25">
      <c r="I115" s="124">
        <v>2.4569131770700001E-2</v>
      </c>
      <c r="J115" s="47">
        <v>4.0712430547188371E-4</v>
      </c>
      <c r="K115" s="47">
        <v>1.1603336706895126E-4</v>
      </c>
      <c r="L115" s="63">
        <v>4.914366771688177E-4</v>
      </c>
      <c r="N115" s="17">
        <v>1.1051848000313992E-6</v>
      </c>
      <c r="O115" s="17">
        <v>1.4176411072904087E-10</v>
      </c>
      <c r="P115" s="17">
        <v>4.6332351029094778E-8</v>
      </c>
      <c r="Q115" s="25">
        <v>3.3677101845374748</v>
      </c>
      <c r="R115" s="58">
        <v>225.3793283027332</v>
      </c>
      <c r="S115" s="55">
        <v>1.9807098394195424E-6</v>
      </c>
      <c r="U115" s="1"/>
      <c r="V115" s="1"/>
      <c r="W115" s="77"/>
      <c r="X115" s="163">
        <f t="shared" si="6"/>
        <v>0.24569131770700001</v>
      </c>
      <c r="Y115" s="164">
        <f t="shared" si="7"/>
        <v>4.0712430547188371E-4</v>
      </c>
      <c r="Z115" s="164">
        <f t="shared" si="7"/>
        <v>1.1603336706895126E-4</v>
      </c>
      <c r="AA115" s="164">
        <f t="shared" si="7"/>
        <v>4.914366771688177E-4</v>
      </c>
      <c r="AB115" s="164">
        <f t="shared" si="8"/>
        <v>33.448067169726684</v>
      </c>
      <c r="AC115" s="164">
        <f t="shared" si="9"/>
        <v>1.9807098394195423E-4</v>
      </c>
    </row>
    <row r="116" spans="9:29" x14ac:dyDescent="0.25">
      <c r="I116" s="124">
        <v>2.4814823088399999E-2</v>
      </c>
      <c r="J116" s="47">
        <v>4.122491076521114E-4</v>
      </c>
      <c r="K116" s="47">
        <v>1.1894841981010142E-4</v>
      </c>
      <c r="L116" s="63">
        <v>4.8218090284674774E-4</v>
      </c>
      <c r="N116" s="17">
        <v>1.0694180362321652E-6</v>
      </c>
      <c r="O116" s="17">
        <v>1.4448715741651681E-10</v>
      </c>
      <c r="P116" s="17">
        <v>4.7267642976092759E-8</v>
      </c>
      <c r="Q116" s="25">
        <v>3.3677101845374748</v>
      </c>
      <c r="R116" s="58">
        <v>227.40321703584738</v>
      </c>
      <c r="S116" s="55">
        <v>1.9807098394195424E-6</v>
      </c>
      <c r="U116" s="1"/>
      <c r="V116" s="1"/>
      <c r="W116" s="77"/>
      <c r="X116" s="163">
        <f t="shared" si="6"/>
        <v>0.24814823088399998</v>
      </c>
      <c r="Y116" s="164">
        <f t="shared" si="7"/>
        <v>4.122491076521114E-4</v>
      </c>
      <c r="Z116" s="164">
        <f t="shared" si="7"/>
        <v>1.1894841981010142E-4</v>
      </c>
      <c r="AA116" s="164">
        <f t="shared" si="7"/>
        <v>4.8218090284674774E-4</v>
      </c>
      <c r="AB116" s="164">
        <f t="shared" si="8"/>
        <v>33.245678296415264</v>
      </c>
      <c r="AC116" s="164">
        <f t="shared" si="9"/>
        <v>1.9807098394195423E-4</v>
      </c>
    </row>
    <row r="117" spans="9:29" x14ac:dyDescent="0.25">
      <c r="I117" s="124">
        <v>2.5062971319299999E-2</v>
      </c>
      <c r="J117" s="47">
        <v>3.9376934582230182E-4</v>
      </c>
      <c r="K117" s="47">
        <v>1.1229667382247219E-4</v>
      </c>
      <c r="L117" s="63">
        <v>4.8905700169311059E-4</v>
      </c>
      <c r="N117" s="17">
        <v>1.0482758692323742E-6</v>
      </c>
      <c r="O117" s="17">
        <v>1.4609678327302435E-10</v>
      </c>
      <c r="P117" s="17">
        <v>4.7820505366662596E-8</v>
      </c>
      <c r="Q117" s="25">
        <v>3.3677101845374748</v>
      </c>
      <c r="R117" s="58">
        <v>227.40321703584738</v>
      </c>
      <c r="S117" s="55">
        <v>1.9208335124870904E-6</v>
      </c>
      <c r="U117" s="1"/>
      <c r="V117" s="1"/>
      <c r="W117" s="77"/>
      <c r="X117" s="163">
        <f t="shared" si="6"/>
        <v>0.25062971319299998</v>
      </c>
      <c r="Y117" s="164">
        <f t="shared" si="7"/>
        <v>3.9376934582230182E-4</v>
      </c>
      <c r="Z117" s="164">
        <f t="shared" si="7"/>
        <v>1.1229667382247219E-4</v>
      </c>
      <c r="AA117" s="164">
        <f t="shared" si="7"/>
        <v>4.8905700169311059E-4</v>
      </c>
      <c r="AB117" s="164">
        <f t="shared" si="8"/>
        <v>33.245678296415264</v>
      </c>
      <c r="AC117" s="164">
        <f t="shared" si="9"/>
        <v>1.9208335124870906E-4</v>
      </c>
    </row>
    <row r="118" spans="9:29" x14ac:dyDescent="0.25">
      <c r="I118" s="124">
        <v>2.5313601032500001E-2</v>
      </c>
      <c r="J118" s="47">
        <v>5.8963653871535579E-4</v>
      </c>
      <c r="K118" s="47">
        <v>1.3359323655597624E-4</v>
      </c>
      <c r="L118" s="63">
        <v>5.106221956979281E-4</v>
      </c>
      <c r="N118" s="17">
        <v>1.04128730121217E-6</v>
      </c>
      <c r="O118" s="17">
        <v>1.4662884698179146E-10</v>
      </c>
      <c r="P118" s="17">
        <v>4.8003254676246049E-8</v>
      </c>
      <c r="Q118" s="25">
        <v>3.3677101845374748</v>
      </c>
      <c r="R118" s="58">
        <v>228.41516140240446</v>
      </c>
      <c r="S118" s="55">
        <v>1.9208335124870904E-6</v>
      </c>
      <c r="U118" s="1"/>
      <c r="V118" s="1"/>
      <c r="W118" s="77"/>
      <c r="X118" s="163">
        <f t="shared" si="6"/>
        <v>0.25313601032499999</v>
      </c>
      <c r="Y118" s="164">
        <f t="shared" si="7"/>
        <v>5.8963653871535579E-4</v>
      </c>
      <c r="Z118" s="164">
        <f t="shared" si="7"/>
        <v>1.3359323655597624E-4</v>
      </c>
      <c r="AA118" s="164">
        <f t="shared" si="7"/>
        <v>5.106221956979281E-4</v>
      </c>
      <c r="AB118" s="164">
        <f t="shared" si="8"/>
        <v>33.144483859759553</v>
      </c>
      <c r="AC118" s="164">
        <f t="shared" si="9"/>
        <v>1.9208335124870906E-4</v>
      </c>
    </row>
    <row r="119" spans="9:29" x14ac:dyDescent="0.25">
      <c r="I119" s="124">
        <v>2.5566737042799999E-2</v>
      </c>
      <c r="J119" s="47">
        <v>2.7929794631347102E-4</v>
      </c>
      <c r="K119" s="47">
        <v>1.1920529646534206E-4</v>
      </c>
      <c r="L119" s="63">
        <v>5.4536584336046276E-4</v>
      </c>
      <c r="N119" s="17">
        <v>1.0482758692323742E-6</v>
      </c>
      <c r="O119" s="17">
        <v>1.4609678327302435E-10</v>
      </c>
      <c r="P119" s="17">
        <v>4.7820505366662596E-8</v>
      </c>
      <c r="Q119" s="25">
        <v>3.3677101845374748</v>
      </c>
      <c r="R119" s="58">
        <v>228.41516140240446</v>
      </c>
      <c r="S119" s="55">
        <v>1.8702962541498241E-6</v>
      </c>
      <c r="U119" s="1"/>
      <c r="V119" s="1"/>
      <c r="W119" s="77"/>
      <c r="X119" s="163">
        <f t="shared" si="6"/>
        <v>0.25566737042799997</v>
      </c>
      <c r="Y119" s="164">
        <f t="shared" si="7"/>
        <v>2.7929794631347102E-4</v>
      </c>
      <c r="Z119" s="164">
        <f t="shared" si="7"/>
        <v>1.1920529646534206E-4</v>
      </c>
      <c r="AA119" s="164">
        <f t="shared" si="7"/>
        <v>5.4536584336046276E-4</v>
      </c>
      <c r="AB119" s="164">
        <f t="shared" si="8"/>
        <v>33.144483859759553</v>
      </c>
      <c r="AC119" s="164">
        <f t="shared" si="9"/>
        <v>1.870296254149824E-4</v>
      </c>
    </row>
    <row r="120" spans="9:29" x14ac:dyDescent="0.25">
      <c r="I120" s="124">
        <v>2.5822404413199999E-2</v>
      </c>
      <c r="J120" s="47">
        <v>5.8542978763592951E-4</v>
      </c>
      <c r="K120" s="47">
        <v>1.4439771466246784E-4</v>
      </c>
      <c r="L120" s="63">
        <v>5.9175599316222934E-4</v>
      </c>
      <c r="N120" s="17">
        <v>1.0694180362321652E-6</v>
      </c>
      <c r="O120" s="17">
        <v>1.4448715741651681E-10</v>
      </c>
      <c r="P120" s="17">
        <v>4.7267642976092759E-8</v>
      </c>
      <c r="Q120" s="25">
        <v>3.3677101845374748</v>
      </c>
      <c r="R120" s="58">
        <v>230.09901649467321</v>
      </c>
      <c r="S120" s="55">
        <v>1.8702962541498241E-6</v>
      </c>
      <c r="U120" s="1"/>
      <c r="V120" s="1"/>
      <c r="W120" s="77"/>
      <c r="X120" s="163">
        <f t="shared" si="6"/>
        <v>0.25822404413200001</v>
      </c>
      <c r="Y120" s="164">
        <f t="shared" si="7"/>
        <v>5.8542978763592951E-4</v>
      </c>
      <c r="Z120" s="164">
        <f t="shared" si="7"/>
        <v>1.4439771466246784E-4</v>
      </c>
      <c r="AA120" s="164">
        <f t="shared" si="7"/>
        <v>5.9175599316222934E-4</v>
      </c>
      <c r="AB120" s="164">
        <f t="shared" si="8"/>
        <v>32.976098350532681</v>
      </c>
      <c r="AC120" s="164">
        <f t="shared" si="9"/>
        <v>1.870296254149824E-4</v>
      </c>
    </row>
    <row r="121" spans="9:29" x14ac:dyDescent="0.25">
      <c r="I121" s="124">
        <v>2.6080628457400001E-2</v>
      </c>
      <c r="J121" s="47">
        <v>6.3740624200668322E-4</v>
      </c>
      <c r="K121" s="47">
        <v>1.2636252544003657E-4</v>
      </c>
      <c r="L121" s="63">
        <v>6.4812782785276916E-4</v>
      </c>
      <c r="N121" s="17">
        <v>1.105184800031399E-6</v>
      </c>
      <c r="O121" s="17">
        <v>1.4176411072904087E-10</v>
      </c>
      <c r="P121" s="17">
        <v>4.6332351029094778E-8</v>
      </c>
      <c r="Q121" s="25">
        <v>3.3677101845374748</v>
      </c>
      <c r="R121" s="58">
        <v>230.09901649467321</v>
      </c>
      <c r="S121" s="55">
        <v>1.7688324662025232E-6</v>
      </c>
      <c r="U121" s="1"/>
      <c r="V121" s="1"/>
      <c r="W121" s="77"/>
      <c r="X121" s="163">
        <f t="shared" si="6"/>
        <v>0.26080628457400001</v>
      </c>
      <c r="Y121" s="164">
        <f t="shared" si="7"/>
        <v>6.3740624200668322E-4</v>
      </c>
      <c r="Z121" s="164">
        <f t="shared" si="7"/>
        <v>1.2636252544003657E-4</v>
      </c>
      <c r="AA121" s="164">
        <f t="shared" si="7"/>
        <v>6.4812782785276916E-4</v>
      </c>
      <c r="AB121" s="164">
        <f t="shared" si="8"/>
        <v>32.976098350532681</v>
      </c>
      <c r="AC121" s="164">
        <f t="shared" si="9"/>
        <v>1.7688324662025232E-4</v>
      </c>
    </row>
    <row r="122" spans="9:29" x14ac:dyDescent="0.25">
      <c r="I122" s="124">
        <v>2.63414347419E-2</v>
      </c>
      <c r="J122" s="47">
        <v>6.0750152858487724E-4</v>
      </c>
      <c r="K122" s="47">
        <v>1.3120401649788067E-4</v>
      </c>
      <c r="L122" s="63">
        <v>7.1285154021995408E-4</v>
      </c>
      <c r="N122" s="17">
        <v>1.1561762585465877E-6</v>
      </c>
      <c r="O122" s="17">
        <v>1.3788195569318812E-10</v>
      </c>
      <c r="P122" s="17">
        <v>4.4998937114918986E-8</v>
      </c>
      <c r="Q122" s="25">
        <v>3.3677101845374748</v>
      </c>
      <c r="R122" s="58">
        <v>233.46672667921069</v>
      </c>
      <c r="S122" s="55">
        <v>1.7688324662025232E-6</v>
      </c>
      <c r="U122" s="1"/>
      <c r="V122" s="1"/>
      <c r="W122" s="77"/>
      <c r="X122" s="163">
        <f t="shared" si="6"/>
        <v>0.26341434741899999</v>
      </c>
      <c r="Y122" s="164">
        <f t="shared" si="7"/>
        <v>6.0750152858487724E-4</v>
      </c>
      <c r="Z122" s="164">
        <f t="shared" si="7"/>
        <v>1.3120401649788067E-4</v>
      </c>
      <c r="AA122" s="164">
        <f t="shared" si="7"/>
        <v>7.1285154021995408E-4</v>
      </c>
      <c r="AB122" s="164">
        <f t="shared" si="8"/>
        <v>32.639327332078935</v>
      </c>
      <c r="AC122" s="164">
        <f t="shared" si="9"/>
        <v>1.7688324662025232E-4</v>
      </c>
    </row>
    <row r="123" spans="9:29" x14ac:dyDescent="0.25">
      <c r="I123" s="124">
        <v>2.6604849089400001E-2</v>
      </c>
      <c r="J123" s="47">
        <v>7.9679988791380688E-4</v>
      </c>
      <c r="K123" s="47">
        <v>8.3355355560380269E-5</v>
      </c>
      <c r="L123" s="63">
        <v>7.8426417844965838E-4</v>
      </c>
      <c r="N123" s="17">
        <v>1.2228772605345359E-6</v>
      </c>
      <c r="O123" s="17">
        <v>1.3280377910628375E-10</v>
      </c>
      <c r="P123" s="17">
        <v>4.3254722559579191E-8</v>
      </c>
      <c r="Q123" s="25">
        <v>3.3677101845374748</v>
      </c>
      <c r="R123" s="58">
        <v>233.46672667921069</v>
      </c>
      <c r="S123" s="55">
        <v>1.6376283450753004E-6</v>
      </c>
      <c r="U123" s="1"/>
      <c r="V123" s="1"/>
      <c r="W123" s="77"/>
      <c r="X123" s="163">
        <f t="shared" si="6"/>
        <v>0.26604849089400001</v>
      </c>
      <c r="Y123" s="164">
        <f t="shared" si="7"/>
        <v>7.9679988791380688E-4</v>
      </c>
      <c r="Z123" s="164">
        <f t="shared" si="7"/>
        <v>8.3355355560380269E-5</v>
      </c>
      <c r="AA123" s="164">
        <f t="shared" si="7"/>
        <v>7.8426417844965838E-4</v>
      </c>
      <c r="AB123" s="164">
        <f t="shared" si="8"/>
        <v>32.639327332078935</v>
      </c>
      <c r="AC123" s="164">
        <f t="shared" si="9"/>
        <v>1.6376283450753005E-4</v>
      </c>
    </row>
    <row r="124" spans="9:29" x14ac:dyDescent="0.25">
      <c r="I124" s="124">
        <v>2.68708975803E-2</v>
      </c>
      <c r="J124" s="47">
        <v>9.5613530537242341E-4</v>
      </c>
      <c r="K124" s="47">
        <v>9.4924931137773644E-5</v>
      </c>
      <c r="L124" s="63">
        <v>8.6069718460097676E-4</v>
      </c>
      <c r="N124" s="17">
        <v>1.3053772728269231E-6</v>
      </c>
      <c r="O124" s="17">
        <v>1.2652276955086176E-10</v>
      </c>
      <c r="P124" s="17">
        <v>4.1097367827755313E-8</v>
      </c>
      <c r="Q124" s="25">
        <v>3.3677101845374748</v>
      </c>
      <c r="R124" s="58">
        <v>236.83443686374818</v>
      </c>
      <c r="S124" s="55">
        <v>1.6376283450753004E-6</v>
      </c>
      <c r="U124" s="1"/>
      <c r="V124" s="1"/>
      <c r="W124" s="77"/>
      <c r="X124" s="163">
        <f t="shared" si="6"/>
        <v>0.26870897580300002</v>
      </c>
      <c r="Y124" s="164">
        <f t="shared" si="7"/>
        <v>9.5613530537242341E-4</v>
      </c>
      <c r="Z124" s="164">
        <f t="shared" si="7"/>
        <v>9.4924931137773644E-5</v>
      </c>
      <c r="AA124" s="164">
        <f t="shared" si="7"/>
        <v>8.6069718460097676E-4</v>
      </c>
      <c r="AB124" s="164">
        <f t="shared" si="8"/>
        <v>32.302556313625182</v>
      </c>
      <c r="AC124" s="164">
        <f t="shared" si="9"/>
        <v>1.6376283450753005E-4</v>
      </c>
    </row>
    <row r="125" spans="9:29" x14ac:dyDescent="0.25">
      <c r="I125" s="124">
        <v>2.71396065561E-2</v>
      </c>
      <c r="J125" s="47">
        <v>1.2698574236360664E-3</v>
      </c>
      <c r="K125" s="47">
        <v>1.0535151270574273E-4</v>
      </c>
      <c r="L125" s="63">
        <v>9.4049023429632745E-4</v>
      </c>
      <c r="N125" s="17">
        <v>1.4031066888046663E-6</v>
      </c>
      <c r="O125" s="17">
        <v>1.1908229313703388E-10</v>
      </c>
      <c r="P125" s="17">
        <v>3.8541767990379004E-8</v>
      </c>
      <c r="Q125" s="25">
        <v>3.3677101845374748</v>
      </c>
      <c r="R125" s="58">
        <v>236.83443686374818</v>
      </c>
      <c r="S125" s="55">
        <v>1.5146426181151297E-6</v>
      </c>
      <c r="U125" s="1"/>
      <c r="V125" s="1"/>
      <c r="W125" s="77"/>
      <c r="X125" s="163">
        <f t="shared" si="6"/>
        <v>0.27139606556099999</v>
      </c>
      <c r="Y125" s="164">
        <f t="shared" si="7"/>
        <v>1.2698574236360664E-3</v>
      </c>
      <c r="Z125" s="164">
        <f t="shared" si="7"/>
        <v>1.0535151270574273E-4</v>
      </c>
      <c r="AA125" s="164">
        <f t="shared" si="7"/>
        <v>9.4049023429632745E-4</v>
      </c>
      <c r="AB125" s="164">
        <f t="shared" si="8"/>
        <v>32.302556313625182</v>
      </c>
      <c r="AC125" s="164">
        <f t="shared" si="9"/>
        <v>1.5146426181151298E-4</v>
      </c>
    </row>
    <row r="126" spans="9:29" x14ac:dyDescent="0.25">
      <c r="I126" s="124">
        <v>2.7411002621600001E-2</v>
      </c>
      <c r="J126" s="47">
        <v>1.2051748441353285E-3</v>
      </c>
      <c r="K126" s="47">
        <v>1.0470631998653341E-4</v>
      </c>
      <c r="L126" s="63">
        <v>1.0220053293743829E-3</v>
      </c>
      <c r="N126" s="17">
        <v>1.5146426226760279E-6</v>
      </c>
      <c r="O126" s="17">
        <v>1.1059067905174019E-10</v>
      </c>
      <c r="P126" s="17">
        <v>3.5625131155792972E-8</v>
      </c>
      <c r="Q126" s="25">
        <v>3.3677101845374748</v>
      </c>
      <c r="R126" s="58">
        <v>240.20214704828567</v>
      </c>
      <c r="S126" s="55">
        <v>1.5146426181151297E-6</v>
      </c>
      <c r="U126" s="1"/>
      <c r="V126" s="1"/>
      <c r="W126" s="77"/>
      <c r="X126" s="163">
        <f t="shared" si="6"/>
        <v>0.274110026216</v>
      </c>
      <c r="Y126" s="164">
        <f t="shared" si="7"/>
        <v>1.2051748441353285E-3</v>
      </c>
      <c r="Z126" s="164">
        <f t="shared" si="7"/>
        <v>1.0470631998653341E-4</v>
      </c>
      <c r="AA126" s="164">
        <f t="shared" si="7"/>
        <v>1.0220053293743829E-3</v>
      </c>
      <c r="AB126" s="164">
        <f t="shared" si="8"/>
        <v>31.965785295171436</v>
      </c>
      <c r="AC126" s="164">
        <f t="shared" si="9"/>
        <v>1.5146426181151298E-4</v>
      </c>
    </row>
    <row r="127" spans="9:29" x14ac:dyDescent="0.25">
      <c r="I127" s="124">
        <v>2.7685112647799999E-2</v>
      </c>
      <c r="J127" s="47">
        <v>1.1448682933448992E-3</v>
      </c>
      <c r="K127" s="47">
        <v>9.9355281029466815E-5</v>
      </c>
      <c r="L127" s="63">
        <v>1.1036410366822682E-3</v>
      </c>
      <c r="N127" s="17">
        <v>1.6376283625997315E-6</v>
      </c>
      <c r="O127" s="17">
        <v>1.0122735186939129E-10</v>
      </c>
      <c r="P127" s="17">
        <v>3.2409084750479334E-8</v>
      </c>
      <c r="Q127" s="25">
        <v>3.3677101845374748</v>
      </c>
      <c r="R127" s="58">
        <v>240.20214704828567</v>
      </c>
      <c r="S127" s="55">
        <v>1.4031066876685453E-6</v>
      </c>
      <c r="U127" s="1"/>
      <c r="V127" s="1"/>
      <c r="W127" s="77"/>
      <c r="X127" s="163">
        <f t="shared" si="6"/>
        <v>0.27685112647799998</v>
      </c>
      <c r="Y127" s="164">
        <f t="shared" si="7"/>
        <v>1.1448682933448992E-3</v>
      </c>
      <c r="Z127" s="164">
        <f t="shared" si="7"/>
        <v>9.9355281029466815E-5</v>
      </c>
      <c r="AA127" s="164">
        <f t="shared" si="7"/>
        <v>1.1036410366822682E-3</v>
      </c>
      <c r="AB127" s="164">
        <f t="shared" si="8"/>
        <v>31.965785295171436</v>
      </c>
      <c r="AC127" s="164">
        <f t="shared" si="9"/>
        <v>1.4031066876685452E-4</v>
      </c>
    </row>
    <row r="128" spans="9:29" x14ac:dyDescent="0.25">
      <c r="I128" s="124">
        <v>2.7961963774299999E-2</v>
      </c>
      <c r="J128" s="47">
        <v>1.3283165620904421E-3</v>
      </c>
      <c r="K128" s="47">
        <v>1.1381631604016394E-4</v>
      </c>
      <c r="L128" s="63">
        <v>1.1838467572270384E-3</v>
      </c>
      <c r="N128" s="17">
        <v>1.7688325304890855E-6</v>
      </c>
      <c r="O128" s="17">
        <v>9.1238327512600139E-11</v>
      </c>
      <c r="P128" s="17">
        <v>2.8978128504946371E-8</v>
      </c>
      <c r="Q128" s="25">
        <v>3.3677101845374748</v>
      </c>
      <c r="R128" s="58">
        <v>243.56985723282315</v>
      </c>
      <c r="S128" s="55">
        <v>1.4031066876685453E-6</v>
      </c>
      <c r="U128" s="1"/>
      <c r="V128" s="1"/>
      <c r="W128" s="77"/>
      <c r="X128" s="163">
        <f t="shared" si="6"/>
        <v>0.27961963774299997</v>
      </c>
      <c r="Y128" s="164">
        <f t="shared" si="7"/>
        <v>1.3283165620904421E-3</v>
      </c>
      <c r="Z128" s="164">
        <f t="shared" si="7"/>
        <v>1.1381631604016394E-4</v>
      </c>
      <c r="AA128" s="164">
        <f t="shared" si="7"/>
        <v>1.1838467572270384E-3</v>
      </c>
      <c r="AB128" s="164">
        <f t="shared" si="8"/>
        <v>31.629014276717687</v>
      </c>
      <c r="AC128" s="164">
        <f t="shared" si="9"/>
        <v>1.4031066876685452E-4</v>
      </c>
    </row>
    <row r="129" spans="9:29" x14ac:dyDescent="0.25">
      <c r="I129" s="124">
        <v>2.8241583412100001E-2</v>
      </c>
      <c r="J129" s="47">
        <v>1.2430441235634004E-3</v>
      </c>
      <c r="K129" s="47">
        <v>1.0485703948061031E-4</v>
      </c>
      <c r="L129" s="63">
        <v>1.2611369027023317E-3</v>
      </c>
      <c r="N129" s="17">
        <v>1.8702964192330608E-6</v>
      </c>
      <c r="O129" s="17">
        <v>8.3513532848660542E-11</v>
      </c>
      <c r="P129" s="17">
        <v>2.6324873136749712E-8</v>
      </c>
      <c r="Q129" s="25">
        <v>1.6838550922687374</v>
      </c>
      <c r="R129" s="58">
        <v>243.56985723282315</v>
      </c>
      <c r="S129" s="55">
        <v>1.305377272555333E-6</v>
      </c>
      <c r="U129" s="1"/>
      <c r="V129" s="1"/>
      <c r="W129" s="77"/>
      <c r="X129" s="163">
        <f t="shared" si="6"/>
        <v>0.28241583412100002</v>
      </c>
      <c r="Y129" s="164">
        <f t="shared" si="7"/>
        <v>1.2430441235634004E-3</v>
      </c>
      <c r="Z129" s="164">
        <f t="shared" si="7"/>
        <v>1.0485703948061031E-4</v>
      </c>
      <c r="AA129" s="164">
        <f t="shared" si="7"/>
        <v>1.2611369027023317E-3</v>
      </c>
      <c r="AB129" s="164">
        <f t="shared" si="8"/>
        <v>31.629014276717687</v>
      </c>
      <c r="AC129" s="164">
        <f t="shared" si="9"/>
        <v>1.3053772725553329E-4</v>
      </c>
    </row>
    <row r="130" spans="9:29" x14ac:dyDescent="0.25">
      <c r="I130" s="124">
        <v>2.8523999246199999E-2</v>
      </c>
      <c r="J130" s="47">
        <v>1.6253428133385123E-3</v>
      </c>
      <c r="K130" s="47">
        <v>1.1787395450871274E-4</v>
      </c>
      <c r="L130" s="63">
        <v>1.3341048485848194E-3</v>
      </c>
      <c r="N130" s="17">
        <v>1.905715498047669E-6</v>
      </c>
      <c r="O130" s="17">
        <v>8.0816956614340074E-11</v>
      </c>
      <c r="P130" s="17">
        <v>2.5398673065327558E-8</v>
      </c>
      <c r="Q130" s="25">
        <v>1.0119443665570891</v>
      </c>
      <c r="R130" s="58">
        <v>246.93756741736064</v>
      </c>
      <c r="S130" s="55">
        <v>1.305377272555333E-6</v>
      </c>
      <c r="U130" s="1"/>
      <c r="V130" s="1"/>
      <c r="W130" s="77"/>
      <c r="X130" s="163">
        <f t="shared" si="6"/>
        <v>0.28523999246199999</v>
      </c>
      <c r="Y130" s="164">
        <f t="shared" si="7"/>
        <v>1.6253428133385123E-3</v>
      </c>
      <c r="Z130" s="164">
        <f t="shared" si="7"/>
        <v>1.1787395450871274E-4</v>
      </c>
      <c r="AA130" s="164">
        <f t="shared" si="7"/>
        <v>1.3341048485848194E-3</v>
      </c>
      <c r="AB130" s="164">
        <f t="shared" si="8"/>
        <v>31.292243258263937</v>
      </c>
      <c r="AC130" s="164">
        <f t="shared" si="9"/>
        <v>1.3053772725553329E-4</v>
      </c>
    </row>
    <row r="131" spans="9:29" x14ac:dyDescent="0.25">
      <c r="I131" s="124">
        <v>2.8809239238600001E-2</v>
      </c>
      <c r="J131" s="47">
        <v>1.4406308791115297E-3</v>
      </c>
      <c r="K131" s="47">
        <v>1.0968328207478935E-4</v>
      </c>
      <c r="L131" s="63">
        <v>1.4014365264553691E-3</v>
      </c>
      <c r="N131" s="17">
        <v>1.9625283358909057E-6</v>
      </c>
      <c r="O131" s="17">
        <v>7.6491599957430357E-11</v>
      </c>
      <c r="P131" s="17">
        <v>2.3913031534571582E-8</v>
      </c>
      <c r="Q131" s="25">
        <v>2.0238887331141782</v>
      </c>
      <c r="R131" s="58">
        <v>246.93756741736064</v>
      </c>
      <c r="S131" s="55">
        <v>1.2228772604720725E-6</v>
      </c>
      <c r="U131" s="1"/>
      <c r="V131" s="1"/>
      <c r="W131" s="1"/>
      <c r="X131" s="163">
        <f t="shared" si="6"/>
        <v>0.28809239238600004</v>
      </c>
      <c r="Y131" s="164">
        <f t="shared" si="7"/>
        <v>1.4406308791115297E-3</v>
      </c>
      <c r="Z131" s="164">
        <f t="shared" si="7"/>
        <v>1.0968328207478935E-4</v>
      </c>
      <c r="AA131" s="164">
        <f t="shared" si="7"/>
        <v>1.4014365264553691E-3</v>
      </c>
      <c r="AB131" s="164">
        <f t="shared" si="8"/>
        <v>31.292243258263937</v>
      </c>
      <c r="AC131" s="164">
        <f t="shared" si="9"/>
        <v>1.2228772604720725E-4</v>
      </c>
    </row>
    <row r="132" spans="9:29" x14ac:dyDescent="0.25">
      <c r="I132" s="124">
        <v>2.9097331630999999E-2</v>
      </c>
      <c r="J132" s="47">
        <v>1.7242716266448442E-3</v>
      </c>
      <c r="K132" s="47">
        <v>1.1894797206588632E-4</v>
      </c>
      <c r="L132" s="63">
        <v>1.4619235116533299E-3</v>
      </c>
      <c r="N132" s="17">
        <v>2.0359946166018008E-6</v>
      </c>
      <c r="O132" s="17">
        <v>7.0898359443585851E-11</v>
      </c>
      <c r="P132" s="17">
        <v>2.199190662904503E-8</v>
      </c>
      <c r="Q132" s="25">
        <v>2.0238887331141782</v>
      </c>
      <c r="R132" s="58">
        <v>250.30527760189813</v>
      </c>
      <c r="S132" s="55">
        <v>1.2228772604720725E-6</v>
      </c>
      <c r="U132" s="1"/>
      <c r="V132" s="1"/>
      <c r="W132" s="1"/>
      <c r="X132" s="163">
        <f t="shared" ref="X132:X195" si="10">I132*10</f>
        <v>0.29097331631000001</v>
      </c>
      <c r="Y132" s="164">
        <f t="shared" ref="Y132:AA195" si="11">J132</f>
        <v>1.7242716266448442E-3</v>
      </c>
      <c r="Z132" s="164">
        <f t="shared" si="11"/>
        <v>1.1894797206588632E-4</v>
      </c>
      <c r="AA132" s="164">
        <f t="shared" si="11"/>
        <v>1.4619235116533299E-3</v>
      </c>
      <c r="AB132" s="164">
        <f t="shared" ref="AB132:AB195" si="12">(559.86-R132)/10</f>
        <v>30.955472239810188</v>
      </c>
      <c r="AC132" s="164">
        <f t="shared" ref="AC132:AC195" si="13">S132*100</f>
        <v>1.2228772604720725E-4</v>
      </c>
    </row>
    <row r="133" spans="9:29" x14ac:dyDescent="0.25">
      <c r="I133" s="124">
        <v>2.9388304947299999E-2</v>
      </c>
      <c r="J133" s="47">
        <v>1.7729669611971134E-3</v>
      </c>
      <c r="K133" s="47">
        <v>1.1940785196804513E-4</v>
      </c>
      <c r="L133" s="63">
        <v>1.5144754573646036E-3</v>
      </c>
      <c r="N133" s="17">
        <v>2.1057308125796915E-6</v>
      </c>
      <c r="O133" s="17">
        <v>6.5589103103798277E-11</v>
      </c>
      <c r="P133" s="17">
        <v>2.016832250836507E-8</v>
      </c>
      <c r="Q133" s="25">
        <v>2.0238887331141782</v>
      </c>
      <c r="R133" s="58">
        <v>250.30527760189813</v>
      </c>
      <c r="S133" s="55">
        <v>1.1561762585327351E-6</v>
      </c>
      <c r="U133" s="1"/>
      <c r="V133" s="1"/>
      <c r="W133" s="1"/>
      <c r="X133" s="163">
        <f t="shared" si="10"/>
        <v>0.29388304947299998</v>
      </c>
      <c r="Y133" s="164">
        <f t="shared" si="11"/>
        <v>1.7729669611971134E-3</v>
      </c>
      <c r="Z133" s="164">
        <f t="shared" si="11"/>
        <v>1.1940785196804513E-4</v>
      </c>
      <c r="AA133" s="164">
        <f t="shared" si="11"/>
        <v>1.5144754573646036E-3</v>
      </c>
      <c r="AB133" s="164">
        <f t="shared" si="12"/>
        <v>30.955472239810188</v>
      </c>
      <c r="AC133" s="164">
        <f t="shared" si="13"/>
        <v>1.1561762585327352E-4</v>
      </c>
    </row>
    <row r="134" spans="9:29" x14ac:dyDescent="0.25">
      <c r="I134" s="124">
        <v>2.9682187996799999E-2</v>
      </c>
      <c r="J134" s="47">
        <v>1.6337500385764999E-3</v>
      </c>
      <c r="K134" s="47">
        <v>1.1268324816010216E-4</v>
      </c>
      <c r="L134" s="63">
        <v>1.5581317219914811E-3</v>
      </c>
      <c r="N134" s="17">
        <v>2.1705425692575141E-6</v>
      </c>
      <c r="O134" s="17">
        <v>6.0654761257225557E-11</v>
      </c>
      <c r="P134" s="17">
        <v>1.8473511246383951E-8</v>
      </c>
      <c r="Q134" s="25">
        <v>2.0238887331141782</v>
      </c>
      <c r="R134" s="58">
        <v>253.67298778643561</v>
      </c>
      <c r="S134" s="55">
        <v>1.1561762585327351E-6</v>
      </c>
      <c r="U134" s="1"/>
      <c r="V134" s="1"/>
      <c r="W134" s="1"/>
      <c r="X134" s="163">
        <f t="shared" si="10"/>
        <v>0.29682187996799997</v>
      </c>
      <c r="Y134" s="164">
        <f t="shared" si="11"/>
        <v>1.6337500385764999E-3</v>
      </c>
      <c r="Z134" s="164">
        <f t="shared" si="11"/>
        <v>1.1268324816010216E-4</v>
      </c>
      <c r="AA134" s="164">
        <f t="shared" si="11"/>
        <v>1.5581317219914811E-3</v>
      </c>
      <c r="AB134" s="164">
        <f t="shared" si="12"/>
        <v>30.618701221356439</v>
      </c>
      <c r="AC134" s="164">
        <f t="shared" si="13"/>
        <v>1.1561762585327352E-4</v>
      </c>
    </row>
    <row r="135" spans="9:29" x14ac:dyDescent="0.25">
      <c r="I135" s="124">
        <v>2.9979009876800002E-2</v>
      </c>
      <c r="J135" s="47">
        <v>1.8686763788122874E-3</v>
      </c>
      <c r="K135" s="47">
        <v>1.2386003205822819E-4</v>
      </c>
      <c r="L135" s="63">
        <v>1.5920720329417669E-3</v>
      </c>
      <c r="N135" s="17">
        <v>2.2292945502592072E-6</v>
      </c>
      <c r="O135" s="17">
        <v>5.6181770965251281E-11</v>
      </c>
      <c r="P135" s="17">
        <v>1.6937161605988503E-8</v>
      </c>
      <c r="Q135" s="25">
        <v>2.0238887331141782</v>
      </c>
      <c r="R135" s="58">
        <v>253.67298778643561</v>
      </c>
      <c r="S135" s="55">
        <v>1.1051848000284319E-6</v>
      </c>
      <c r="U135" s="1"/>
      <c r="V135" s="1"/>
      <c r="W135" s="1"/>
      <c r="X135" s="163">
        <f t="shared" si="10"/>
        <v>0.299790098768</v>
      </c>
      <c r="Y135" s="164">
        <f t="shared" si="11"/>
        <v>1.8686763788122874E-3</v>
      </c>
      <c r="Z135" s="164">
        <f t="shared" si="11"/>
        <v>1.2386003205822819E-4</v>
      </c>
      <c r="AA135" s="164">
        <f t="shared" si="11"/>
        <v>1.5920720329417669E-3</v>
      </c>
      <c r="AB135" s="164">
        <f t="shared" si="12"/>
        <v>30.618701221356439</v>
      </c>
      <c r="AC135" s="164">
        <f t="shared" si="13"/>
        <v>1.1051848000284319E-4</v>
      </c>
    </row>
    <row r="136" spans="9:29" x14ac:dyDescent="0.25">
      <c r="I136" s="124">
        <v>3.0278799975499999E-2</v>
      </c>
      <c r="J136" s="47">
        <v>1.7756791294531323E-3</v>
      </c>
      <c r="K136" s="47">
        <v>1.1292692709397975E-4</v>
      </c>
      <c r="L136" s="63">
        <v>1.6156260286831743E-3</v>
      </c>
      <c r="N136" s="17">
        <v>2.2809400213609134E-6</v>
      </c>
      <c r="O136" s="17">
        <v>5.2249823702814067E-11</v>
      </c>
      <c r="P136" s="17">
        <v>1.5586645425897935E-8</v>
      </c>
      <c r="Q136" s="25">
        <v>2.0238887331141782</v>
      </c>
      <c r="R136" s="58">
        <v>257.0406979709731</v>
      </c>
      <c r="S136" s="55">
        <v>1.1051848000284319E-6</v>
      </c>
      <c r="U136" s="1"/>
      <c r="V136" s="1"/>
      <c r="W136" s="1"/>
      <c r="X136" s="163">
        <f t="shared" si="10"/>
        <v>0.30278799975499998</v>
      </c>
      <c r="Y136" s="164">
        <f t="shared" si="11"/>
        <v>1.7756791294531323E-3</v>
      </c>
      <c r="Z136" s="164">
        <f t="shared" si="11"/>
        <v>1.1292692709397975E-4</v>
      </c>
      <c r="AA136" s="164">
        <f t="shared" si="11"/>
        <v>1.6156260286831743E-3</v>
      </c>
      <c r="AB136" s="164">
        <f t="shared" si="12"/>
        <v>30.281930202902693</v>
      </c>
      <c r="AC136" s="164">
        <f t="shared" si="13"/>
        <v>1.1051848000284319E-4</v>
      </c>
    </row>
    <row r="137" spans="9:29" x14ac:dyDescent="0.25">
      <c r="I137" s="124">
        <v>3.0581587975300001E-2</v>
      </c>
      <c r="J137" s="47">
        <v>1.949955887743632E-3</v>
      </c>
      <c r="K137" s="47">
        <v>1.2586134229450647E-4</v>
      </c>
      <c r="L137" s="63">
        <v>1.6282815204341143E-3</v>
      </c>
      <c r="N137" s="17">
        <v>2.3245473683167164E-6</v>
      </c>
      <c r="O137" s="17">
        <v>4.892984646517097E-11</v>
      </c>
      <c r="P137" s="17">
        <v>1.4446324186138944E-8</v>
      </c>
      <c r="Q137" s="25">
        <v>2.0238887331141782</v>
      </c>
      <c r="R137" s="58">
        <v>257.0406979709731</v>
      </c>
      <c r="S137" s="55">
        <v>1.0694180362321652E-6</v>
      </c>
      <c r="U137" s="1"/>
      <c r="V137" s="1"/>
      <c r="W137" s="1"/>
      <c r="X137" s="163">
        <f t="shared" si="10"/>
        <v>0.30581587975300001</v>
      </c>
      <c r="Y137" s="164">
        <f t="shared" si="11"/>
        <v>1.949955887743632E-3</v>
      </c>
      <c r="Z137" s="164">
        <f t="shared" si="11"/>
        <v>1.2586134229450647E-4</v>
      </c>
      <c r="AA137" s="164">
        <f t="shared" si="11"/>
        <v>1.6282815204341143E-3</v>
      </c>
      <c r="AB137" s="164">
        <f t="shared" si="12"/>
        <v>30.281930202902693</v>
      </c>
      <c r="AC137" s="164">
        <f t="shared" si="13"/>
        <v>1.0694180362321652E-4</v>
      </c>
    </row>
    <row r="138" spans="9:29" x14ac:dyDescent="0.25">
      <c r="I138" s="124">
        <v>3.0887403855099999E-2</v>
      </c>
      <c r="J138" s="47">
        <v>1.8026977579557203E-3</v>
      </c>
      <c r="K138" s="47">
        <v>1.1972111074095451E-4</v>
      </c>
      <c r="L138" s="63">
        <v>1.6296913165120463E-3</v>
      </c>
      <c r="N138" s="17">
        <v>2.3593229640482888E-6</v>
      </c>
      <c r="O138" s="17">
        <v>4.6282260810136433E-11</v>
      </c>
      <c r="P138" s="17">
        <v>1.3536951036743373E-8</v>
      </c>
      <c r="Q138" s="25">
        <v>2.0238887331141782</v>
      </c>
      <c r="R138" s="58">
        <v>260.40840815551059</v>
      </c>
      <c r="S138" s="55">
        <v>1.0694180362321652E-6</v>
      </c>
      <c r="U138" s="1"/>
      <c r="V138" s="1"/>
      <c r="W138" s="1"/>
      <c r="X138" s="163">
        <f t="shared" si="10"/>
        <v>0.30887403855099999</v>
      </c>
      <c r="Y138" s="164">
        <f t="shared" si="11"/>
        <v>1.8026977579557203E-3</v>
      </c>
      <c r="Z138" s="164">
        <f t="shared" si="11"/>
        <v>1.1972111074095451E-4</v>
      </c>
      <c r="AA138" s="164">
        <f t="shared" si="11"/>
        <v>1.6296913165120463E-3</v>
      </c>
      <c r="AB138" s="164">
        <f t="shared" si="12"/>
        <v>29.945159184448944</v>
      </c>
      <c r="AC138" s="164">
        <f t="shared" si="13"/>
        <v>1.0694180362321652E-4</v>
      </c>
    </row>
    <row r="139" spans="9:29" x14ac:dyDescent="0.25">
      <c r="I139" s="124">
        <v>3.1196277893600001E-2</v>
      </c>
      <c r="J139" s="47">
        <v>1.8936621115405797E-3</v>
      </c>
      <c r="K139" s="47">
        <v>1.1954111225044527E-4</v>
      </c>
      <c r="L139" s="63">
        <v>1.6196784564247624E-3</v>
      </c>
      <c r="N139" s="17">
        <v>2.3846300244401552E-6</v>
      </c>
      <c r="O139" s="17">
        <v>4.435554730156617E-11</v>
      </c>
      <c r="P139" s="17">
        <v>1.2875177723407956E-8</v>
      </c>
      <c r="Q139" s="25">
        <v>2.0238887331141782</v>
      </c>
      <c r="R139" s="58">
        <v>260.40840815551059</v>
      </c>
      <c r="S139" s="55">
        <v>1.0482758692323742E-6</v>
      </c>
      <c r="U139" s="1"/>
      <c r="V139" s="1"/>
      <c r="W139" s="1"/>
      <c r="X139" s="163">
        <f t="shared" si="10"/>
        <v>0.311962778936</v>
      </c>
      <c r="Y139" s="164">
        <f t="shared" si="11"/>
        <v>1.8936621115405797E-3</v>
      </c>
      <c r="Z139" s="164">
        <f t="shared" si="11"/>
        <v>1.1954111225044527E-4</v>
      </c>
      <c r="AA139" s="164">
        <f t="shared" si="11"/>
        <v>1.6196784564247624E-3</v>
      </c>
      <c r="AB139" s="164">
        <f t="shared" si="12"/>
        <v>29.945159184448944</v>
      </c>
      <c r="AC139" s="164">
        <f t="shared" si="13"/>
        <v>1.0482758692323742E-4</v>
      </c>
    </row>
    <row r="140" spans="9:29" x14ac:dyDescent="0.25">
      <c r="I140" s="124">
        <v>3.15082406725E-2</v>
      </c>
      <c r="J140" s="47">
        <v>1.8981966355025796E-3</v>
      </c>
      <c r="K140" s="47">
        <v>1.2195582172797707E-4</v>
      </c>
      <c r="L140" s="63">
        <v>1.5982397076402832E-3</v>
      </c>
      <c r="N140" s="17">
        <v>2.4000032780819523E-6</v>
      </c>
      <c r="O140" s="17">
        <v>4.3185128651447223E-11</v>
      </c>
      <c r="P140" s="17">
        <v>1.2473170977395391E-8</v>
      </c>
      <c r="Q140" s="25">
        <v>2.0238887331141782</v>
      </c>
      <c r="R140" s="58">
        <v>263.77611834004807</v>
      </c>
      <c r="S140" s="55">
        <v>1.0482758692323742E-6</v>
      </c>
      <c r="U140" s="1"/>
      <c r="V140" s="1"/>
      <c r="W140" s="1"/>
      <c r="X140" s="163">
        <f t="shared" si="10"/>
        <v>0.31508240672499999</v>
      </c>
      <c r="Y140" s="164">
        <f t="shared" si="11"/>
        <v>1.8981966355025796E-3</v>
      </c>
      <c r="Z140" s="164">
        <f t="shared" si="11"/>
        <v>1.2195582172797707E-4</v>
      </c>
      <c r="AA140" s="164">
        <f t="shared" si="11"/>
        <v>1.5982397076402832E-3</v>
      </c>
      <c r="AB140" s="164">
        <f t="shared" si="12"/>
        <v>29.608388165995194</v>
      </c>
      <c r="AC140" s="164">
        <f t="shared" si="13"/>
        <v>1.0482758692323742E-4</v>
      </c>
    </row>
    <row r="141" spans="9:29" x14ac:dyDescent="0.25">
      <c r="I141" s="124">
        <v>3.1823323079299998E-2</v>
      </c>
      <c r="J141" s="47">
        <v>1.6686684139472858E-3</v>
      </c>
      <c r="K141" s="47">
        <v>1.1264707385066402E-4</v>
      </c>
      <c r="L141" s="63">
        <v>1.5655471871281828E-3</v>
      </c>
      <c r="N141" s="17">
        <v>2.4051594061217929E-6</v>
      </c>
      <c r="O141" s="17">
        <v>4.2792574897970886E-11</v>
      </c>
      <c r="P141" s="17">
        <v>1.2338339515974295E-8</v>
      </c>
      <c r="Q141" s="25">
        <v>2.0238887331141782</v>
      </c>
      <c r="R141" s="58">
        <v>263.77611834004807</v>
      </c>
      <c r="S141" s="55">
        <v>1.04128730121217E-6</v>
      </c>
      <c r="U141" s="1"/>
      <c r="V141" s="1"/>
      <c r="W141" s="1"/>
      <c r="X141" s="163">
        <f t="shared" si="10"/>
        <v>0.31823323079299998</v>
      </c>
      <c r="Y141" s="164">
        <f t="shared" si="11"/>
        <v>1.6686684139472858E-3</v>
      </c>
      <c r="Z141" s="164">
        <f t="shared" si="11"/>
        <v>1.1264707385066402E-4</v>
      </c>
      <c r="AA141" s="164">
        <f t="shared" si="11"/>
        <v>1.5655471871281828E-3</v>
      </c>
      <c r="AB141" s="164">
        <f t="shared" si="12"/>
        <v>29.608388165995194</v>
      </c>
      <c r="AC141" s="164">
        <f t="shared" si="13"/>
        <v>1.04128730121217E-4</v>
      </c>
    </row>
    <row r="142" spans="9:29" x14ac:dyDescent="0.25">
      <c r="I142" s="124">
        <v>3.2141556310100003E-2</v>
      </c>
      <c r="J142" s="47">
        <v>1.7056410831252384E-3</v>
      </c>
      <c r="K142" s="47">
        <v>1.1553489364993551E-4</v>
      </c>
      <c r="L142" s="63">
        <v>1.5219479816095856E-3</v>
      </c>
      <c r="N142" s="17">
        <v>2.4000032780819523E-6</v>
      </c>
      <c r="O142" s="17">
        <v>4.3185128651447223E-11</v>
      </c>
      <c r="P142" s="17">
        <v>1.2473170977395391E-8</v>
      </c>
      <c r="Q142" s="25">
        <v>2.0238887331141782</v>
      </c>
      <c r="R142" s="58">
        <v>267.14382852458556</v>
      </c>
      <c r="S142" s="55">
        <v>1.04128730121217E-6</v>
      </c>
      <c r="U142" s="1"/>
      <c r="V142" s="1"/>
      <c r="W142" s="1"/>
      <c r="X142" s="163">
        <f t="shared" si="10"/>
        <v>0.32141556310100006</v>
      </c>
      <c r="Y142" s="164">
        <f t="shared" si="11"/>
        <v>1.7056410831252384E-3</v>
      </c>
      <c r="Z142" s="164">
        <f t="shared" si="11"/>
        <v>1.1553489364993551E-4</v>
      </c>
      <c r="AA142" s="164">
        <f t="shared" si="11"/>
        <v>1.5219479816095856E-3</v>
      </c>
      <c r="AB142" s="164">
        <f t="shared" si="12"/>
        <v>29.271617147541445</v>
      </c>
      <c r="AC142" s="164">
        <f t="shared" si="13"/>
        <v>1.04128730121217E-4</v>
      </c>
    </row>
    <row r="143" spans="9:29" x14ac:dyDescent="0.25">
      <c r="I143" s="124">
        <v>3.2462971873199999E-2</v>
      </c>
      <c r="J143" s="47">
        <v>1.6827164215213017E-3</v>
      </c>
      <c r="K143" s="47">
        <v>1.1509521413088609E-4</v>
      </c>
      <c r="L143" s="63">
        <v>1.4679616553502273E-3</v>
      </c>
      <c r="N143" s="17">
        <v>2.3846300244401552E-6</v>
      </c>
      <c r="O143" s="17">
        <v>4.4355547301566164E-11</v>
      </c>
      <c r="P143" s="17">
        <v>1.2875177723407952E-8</v>
      </c>
      <c r="Q143" s="25">
        <v>2.0238887331141782</v>
      </c>
      <c r="R143" s="58">
        <v>267.14382852458556</v>
      </c>
      <c r="S143" s="55">
        <v>1.0482758692323742E-6</v>
      </c>
      <c r="U143" s="1"/>
      <c r="V143" s="1"/>
      <c r="W143" s="1"/>
      <c r="X143" s="163">
        <f t="shared" si="10"/>
        <v>0.32462971873199997</v>
      </c>
      <c r="Y143" s="164">
        <f t="shared" si="11"/>
        <v>1.6827164215213017E-3</v>
      </c>
      <c r="Z143" s="164">
        <f t="shared" si="11"/>
        <v>1.1509521413088609E-4</v>
      </c>
      <c r="AA143" s="164">
        <f t="shared" si="11"/>
        <v>1.4679616553502273E-3</v>
      </c>
      <c r="AB143" s="164">
        <f t="shared" si="12"/>
        <v>29.271617147541445</v>
      </c>
      <c r="AC143" s="164">
        <f t="shared" si="13"/>
        <v>1.0482758692323742E-4</v>
      </c>
    </row>
    <row r="144" spans="9:29" x14ac:dyDescent="0.25">
      <c r="I144" s="124">
        <v>3.2787601591900001E-2</v>
      </c>
      <c r="J144" s="47">
        <v>1.710704150833477E-3</v>
      </c>
      <c r="K144" s="47">
        <v>1.1609909869493021E-4</v>
      </c>
      <c r="L144" s="63">
        <v>1.404275553277781E-3</v>
      </c>
      <c r="N144" s="17">
        <v>2.3593229640482888E-6</v>
      </c>
      <c r="O144" s="27">
        <v>4.628226081013642E-11</v>
      </c>
      <c r="P144" s="17">
        <v>1.3536951036743369E-8</v>
      </c>
      <c r="Q144" s="25">
        <v>2.0238887331141782</v>
      </c>
      <c r="R144" s="58">
        <v>270.51153870912304</v>
      </c>
      <c r="S144" s="55">
        <v>1.0482758692323742E-6</v>
      </c>
      <c r="U144" s="1"/>
      <c r="V144" s="1"/>
      <c r="W144" s="1"/>
      <c r="X144" s="163">
        <f t="shared" si="10"/>
        <v>0.32787601591900001</v>
      </c>
      <c r="Y144" s="164">
        <f t="shared" si="11"/>
        <v>1.710704150833477E-3</v>
      </c>
      <c r="Z144" s="164">
        <f t="shared" si="11"/>
        <v>1.1609909869493021E-4</v>
      </c>
      <c r="AA144" s="164">
        <f t="shared" si="11"/>
        <v>1.404275553277781E-3</v>
      </c>
      <c r="AB144" s="164">
        <f t="shared" si="12"/>
        <v>28.934846129087695</v>
      </c>
      <c r="AC144" s="164">
        <f t="shared" si="13"/>
        <v>1.0482758692323742E-4</v>
      </c>
    </row>
    <row r="145" spans="9:29" x14ac:dyDescent="0.25">
      <c r="I145" s="124">
        <v>3.3115477607800002E-2</v>
      </c>
      <c r="J145" s="47">
        <v>1.5573849232219724E-3</v>
      </c>
      <c r="K145" s="47">
        <v>1.1469478872250984E-4</v>
      </c>
      <c r="L145" s="63">
        <v>1.3317378291350913E-3</v>
      </c>
      <c r="N145" s="17">
        <v>2.3245473683167169E-6</v>
      </c>
      <c r="O145" s="17">
        <v>4.8929846465170957E-11</v>
      </c>
      <c r="P145" s="17">
        <v>1.4446324186138939E-8</v>
      </c>
      <c r="Q145" s="25">
        <v>2.0238887331141782</v>
      </c>
      <c r="R145" s="58">
        <v>270.51153870912304</v>
      </c>
      <c r="S145" s="55">
        <v>1.0694180362321652E-6</v>
      </c>
      <c r="U145" s="1"/>
      <c r="V145" s="1"/>
      <c r="W145" s="1"/>
      <c r="X145" s="163">
        <f t="shared" si="10"/>
        <v>0.33115477607800003</v>
      </c>
      <c r="Y145" s="164">
        <f t="shared" si="11"/>
        <v>1.5573849232219724E-3</v>
      </c>
      <c r="Z145" s="164">
        <f t="shared" si="11"/>
        <v>1.1469478872250984E-4</v>
      </c>
      <c r="AA145" s="164">
        <f t="shared" si="11"/>
        <v>1.3317378291350913E-3</v>
      </c>
      <c r="AB145" s="164">
        <f t="shared" si="12"/>
        <v>28.934846129087695</v>
      </c>
      <c r="AC145" s="164">
        <f t="shared" si="13"/>
        <v>1.0694180362321652E-4</v>
      </c>
    </row>
    <row r="146" spans="9:29" x14ac:dyDescent="0.25">
      <c r="I146" s="124">
        <v>3.3446632383899999E-2</v>
      </c>
      <c r="J146" s="47">
        <v>1.4879229488762547E-3</v>
      </c>
      <c r="K146" s="47">
        <v>1.0483572447078177E-4</v>
      </c>
      <c r="L146" s="63">
        <v>1.2513481546424345E-3</v>
      </c>
      <c r="N146" s="17">
        <v>2.2809400213609138E-6</v>
      </c>
      <c r="O146" s="17">
        <v>5.2249823702814054E-11</v>
      </c>
      <c r="P146" s="17">
        <v>1.5586645425897932E-8</v>
      </c>
      <c r="Q146" s="25">
        <v>2.0238887331141782</v>
      </c>
      <c r="R146" s="58">
        <v>273.87924889366053</v>
      </c>
      <c r="S146" s="55">
        <v>1.0694180362321652E-6</v>
      </c>
      <c r="U146" s="1"/>
      <c r="V146" s="1"/>
      <c r="W146" s="1"/>
      <c r="X146" s="163">
        <f t="shared" si="10"/>
        <v>0.33446632383899999</v>
      </c>
      <c r="Y146" s="164">
        <f t="shared" si="11"/>
        <v>1.4879229488762547E-3</v>
      </c>
      <c r="Z146" s="164">
        <f t="shared" si="11"/>
        <v>1.0483572447078177E-4</v>
      </c>
      <c r="AA146" s="164">
        <f t="shared" si="11"/>
        <v>1.2513481546424345E-3</v>
      </c>
      <c r="AB146" s="164">
        <f t="shared" si="12"/>
        <v>28.59807511063395</v>
      </c>
      <c r="AC146" s="164">
        <f t="shared" si="13"/>
        <v>1.0694180362321652E-4</v>
      </c>
    </row>
    <row r="147" spans="9:29" x14ac:dyDescent="0.25">
      <c r="I147" s="124">
        <v>3.3781098707699998E-2</v>
      </c>
      <c r="J147" s="47">
        <v>1.3951042672584921E-3</v>
      </c>
      <c r="K147" s="47">
        <v>1.0160471937876351E-4</v>
      </c>
      <c r="L147" s="63">
        <v>1.1642460953992782E-3</v>
      </c>
      <c r="N147" s="17">
        <v>2.2292945502592072E-6</v>
      </c>
      <c r="O147" s="17">
        <v>5.6181770965251275E-11</v>
      </c>
      <c r="P147" s="17">
        <v>1.69371616059885E-8</v>
      </c>
      <c r="Q147" s="25">
        <v>2.0238887331141782</v>
      </c>
      <c r="R147" s="58">
        <v>273.87924889366053</v>
      </c>
      <c r="S147" s="55">
        <v>1.105184800031399E-6</v>
      </c>
      <c r="U147" s="1"/>
      <c r="V147" s="1"/>
      <c r="W147" s="1"/>
      <c r="X147" s="163">
        <f t="shared" si="10"/>
        <v>0.33781098707699997</v>
      </c>
      <c r="Y147" s="164">
        <f t="shared" si="11"/>
        <v>1.3951042672584921E-3</v>
      </c>
      <c r="Z147" s="164">
        <f t="shared" si="11"/>
        <v>1.0160471937876351E-4</v>
      </c>
      <c r="AA147" s="164">
        <f t="shared" si="11"/>
        <v>1.1642460953992782E-3</v>
      </c>
      <c r="AB147" s="164">
        <f t="shared" si="12"/>
        <v>28.59807511063395</v>
      </c>
      <c r="AC147" s="164">
        <f t="shared" si="13"/>
        <v>1.105184800031399E-4</v>
      </c>
    </row>
    <row r="148" spans="9:29" x14ac:dyDescent="0.25">
      <c r="I148" s="124">
        <v>3.4118909694799998E-2</v>
      </c>
      <c r="J148" s="47">
        <v>1.3277702979706085E-3</v>
      </c>
      <c r="K148" s="47">
        <v>9.9572541299124896E-5</v>
      </c>
      <c r="L148" s="63">
        <v>1.0716971728359302E-3</v>
      </c>
      <c r="N148" s="17">
        <v>2.1705425692575145E-6</v>
      </c>
      <c r="O148" s="17">
        <v>6.0654761257225532E-11</v>
      </c>
      <c r="P148" s="17">
        <v>1.8473511246383945E-8</v>
      </c>
      <c r="Q148" s="25">
        <v>2.0238887331141782</v>
      </c>
      <c r="R148" s="58">
        <v>277.24695907819802</v>
      </c>
      <c r="S148" s="55">
        <v>1.105184800031399E-6</v>
      </c>
      <c r="U148" s="1"/>
      <c r="V148" s="1"/>
      <c r="W148" s="1"/>
      <c r="X148" s="163">
        <f t="shared" si="10"/>
        <v>0.34118909694799998</v>
      </c>
      <c r="Y148" s="164">
        <f t="shared" si="11"/>
        <v>1.3277702979706085E-3</v>
      </c>
      <c r="Z148" s="164">
        <f t="shared" si="11"/>
        <v>9.9572541299124896E-5</v>
      </c>
      <c r="AA148" s="164">
        <f t="shared" si="11"/>
        <v>1.0716971728359302E-3</v>
      </c>
      <c r="AB148" s="164">
        <f t="shared" si="12"/>
        <v>28.2613040921802</v>
      </c>
      <c r="AC148" s="164">
        <f t="shared" si="13"/>
        <v>1.105184800031399E-4</v>
      </c>
    </row>
    <row r="149" spans="9:29" x14ac:dyDescent="0.25">
      <c r="I149" s="124">
        <v>3.4460098791800002E-2</v>
      </c>
      <c r="J149" s="47">
        <v>1.3561425299746046E-3</v>
      </c>
      <c r="K149" s="47">
        <v>1.0000469286359998E-4</v>
      </c>
      <c r="L149" s="63">
        <v>9.7507666932584623E-4</v>
      </c>
      <c r="N149" s="17">
        <v>2.1057308125796915E-6</v>
      </c>
      <c r="O149" s="17">
        <v>6.5589103103798264E-11</v>
      </c>
      <c r="P149" s="17">
        <v>2.0168322508365067E-8</v>
      </c>
      <c r="Q149" s="25">
        <v>2.0238887331141782</v>
      </c>
      <c r="R149" s="58">
        <v>277.24695907819802</v>
      </c>
      <c r="S149" s="55">
        <v>1.1561762585465877E-6</v>
      </c>
      <c r="U149" s="1"/>
      <c r="V149" s="1"/>
      <c r="W149" s="1"/>
      <c r="X149" s="163">
        <f t="shared" si="10"/>
        <v>0.34460098791800003</v>
      </c>
      <c r="Y149" s="164">
        <f t="shared" si="11"/>
        <v>1.3561425299746046E-3</v>
      </c>
      <c r="Z149" s="164">
        <f t="shared" si="11"/>
        <v>1.0000469286359998E-4</v>
      </c>
      <c r="AA149" s="164">
        <f t="shared" si="11"/>
        <v>9.7507666932584623E-4</v>
      </c>
      <c r="AB149" s="164">
        <f t="shared" si="12"/>
        <v>28.2613040921802</v>
      </c>
      <c r="AC149" s="164">
        <f t="shared" si="13"/>
        <v>1.1561762585465878E-4</v>
      </c>
    </row>
    <row r="150" spans="9:29" x14ac:dyDescent="0.25">
      <c r="I150" s="124">
        <v>3.48046997797E-2</v>
      </c>
      <c r="J150" s="47">
        <v>1.152199439506894E-3</v>
      </c>
      <c r="K150" s="47">
        <v>9.3516492157398132E-5</v>
      </c>
      <c r="L150" s="63">
        <v>8.758512735059969E-4</v>
      </c>
      <c r="N150" s="17">
        <v>2.0359946166018013E-6</v>
      </c>
      <c r="O150" s="17">
        <v>7.0898359443585825E-11</v>
      </c>
      <c r="P150" s="17">
        <v>2.199190662904502E-8</v>
      </c>
      <c r="Q150" s="25">
        <v>2.0238887331141782</v>
      </c>
      <c r="R150" s="58">
        <v>280.6146692627355</v>
      </c>
      <c r="S150" s="55">
        <v>1.1561762585465877E-6</v>
      </c>
      <c r="U150" s="1"/>
      <c r="V150" s="1"/>
      <c r="W150" s="1"/>
      <c r="X150" s="163">
        <f t="shared" si="10"/>
        <v>0.34804699779699999</v>
      </c>
      <c r="Y150" s="164">
        <f t="shared" si="11"/>
        <v>1.152199439506894E-3</v>
      </c>
      <c r="Z150" s="164">
        <f t="shared" si="11"/>
        <v>9.3516492157398132E-5</v>
      </c>
      <c r="AA150" s="164">
        <f t="shared" si="11"/>
        <v>8.758512735059969E-4</v>
      </c>
      <c r="AB150" s="164">
        <f t="shared" si="12"/>
        <v>27.924533073726451</v>
      </c>
      <c r="AC150" s="164">
        <f t="shared" si="13"/>
        <v>1.1561762585465878E-4</v>
      </c>
    </row>
    <row r="151" spans="9:29" x14ac:dyDescent="0.25">
      <c r="I151" s="124">
        <v>3.51527467775E-2</v>
      </c>
      <c r="J151" s="47">
        <v>1.1393339654275304E-3</v>
      </c>
      <c r="K151" s="47">
        <v>9.1463745212098547E-5</v>
      </c>
      <c r="L151" s="63">
        <v>7.7555870679450755E-4</v>
      </c>
      <c r="N151" s="17">
        <v>1.9625283358909061E-6</v>
      </c>
      <c r="O151" s="17">
        <v>7.6491599957430305E-11</v>
      </c>
      <c r="P151" s="17">
        <v>2.3913031534571563E-8</v>
      </c>
      <c r="Q151" s="25">
        <v>2.0238887331141782</v>
      </c>
      <c r="R151" s="58">
        <v>280.6146692627355</v>
      </c>
      <c r="S151" s="55">
        <v>1.2228772605345359E-6</v>
      </c>
      <c r="U151" s="1"/>
      <c r="V151" s="1"/>
      <c r="W151" s="1"/>
      <c r="X151" s="163">
        <f t="shared" si="10"/>
        <v>0.35152746777499999</v>
      </c>
      <c r="Y151" s="164">
        <f t="shared" si="11"/>
        <v>1.1393339654275304E-3</v>
      </c>
      <c r="Z151" s="164">
        <f t="shared" si="11"/>
        <v>9.1463745212098547E-5</v>
      </c>
      <c r="AA151" s="164">
        <f t="shared" si="11"/>
        <v>7.7555870679450755E-4</v>
      </c>
      <c r="AB151" s="164">
        <f t="shared" si="12"/>
        <v>27.924533073726451</v>
      </c>
      <c r="AC151" s="164">
        <f t="shared" si="13"/>
        <v>1.2228772605345358E-4</v>
      </c>
    </row>
    <row r="152" spans="9:29" x14ac:dyDescent="0.25">
      <c r="I152" s="124">
        <v>3.5504274245200002E-2</v>
      </c>
      <c r="J152" s="47">
        <v>8.4772776682554398E-4</v>
      </c>
      <c r="K152" s="47">
        <v>7.749081941989067E-5</v>
      </c>
      <c r="L152" s="63">
        <v>6.7578551810155161E-4</v>
      </c>
      <c r="N152" s="17">
        <v>1.905715498047669E-6</v>
      </c>
      <c r="O152" s="17">
        <v>8.0816956614340074E-11</v>
      </c>
      <c r="P152" s="17">
        <v>2.5398673065327558E-8</v>
      </c>
      <c r="Q152" s="25">
        <v>1.0119443665570891</v>
      </c>
      <c r="R152" s="58">
        <v>283.98237944727299</v>
      </c>
      <c r="S152" s="55">
        <v>1.2228772605345359E-6</v>
      </c>
      <c r="U152" s="1"/>
      <c r="V152" s="1"/>
      <c r="W152" s="1"/>
      <c r="X152" s="163">
        <f t="shared" si="10"/>
        <v>0.35504274245200002</v>
      </c>
      <c r="Y152" s="164">
        <f t="shared" si="11"/>
        <v>8.4772776682554398E-4</v>
      </c>
      <c r="Z152" s="164">
        <f t="shared" si="11"/>
        <v>7.749081941989067E-5</v>
      </c>
      <c r="AA152" s="164">
        <f t="shared" si="11"/>
        <v>6.7578551810155161E-4</v>
      </c>
      <c r="AB152" s="164">
        <f t="shared" si="12"/>
        <v>27.587762055272702</v>
      </c>
      <c r="AC152" s="164">
        <f t="shared" si="13"/>
        <v>1.2228772605345358E-4</v>
      </c>
    </row>
    <row r="153" spans="9:29" x14ac:dyDescent="0.25">
      <c r="I153" s="124">
        <v>3.58593169877E-2</v>
      </c>
      <c r="J153" s="47">
        <v>9.1419578846414448E-4</v>
      </c>
      <c r="K153" s="47">
        <v>7.9024379952538583E-5</v>
      </c>
      <c r="L153" s="63">
        <v>5.7814328031251293E-4</v>
      </c>
      <c r="N153" s="17">
        <v>1.874455242704308E-6</v>
      </c>
      <c r="O153" s="17">
        <v>8.3196907320537721E-11</v>
      </c>
      <c r="P153" s="17">
        <v>2.6216120940898912E-8</v>
      </c>
      <c r="Q153" s="25">
        <v>1.4731603859799554</v>
      </c>
      <c r="R153" s="58">
        <v>283.98237944727299</v>
      </c>
      <c r="S153" s="55">
        <v>1.3053772728269231E-6</v>
      </c>
      <c r="U153" s="1"/>
      <c r="V153" s="1"/>
      <c r="W153" s="1"/>
      <c r="X153" s="163">
        <f t="shared" si="10"/>
        <v>0.35859316987700002</v>
      </c>
      <c r="Y153" s="164">
        <f t="shared" si="11"/>
        <v>9.1419578846414448E-4</v>
      </c>
      <c r="Z153" s="164">
        <f t="shared" si="11"/>
        <v>7.9024379952538583E-5</v>
      </c>
      <c r="AA153" s="164">
        <f t="shared" si="11"/>
        <v>5.7814328031251293E-4</v>
      </c>
      <c r="AB153" s="164">
        <f t="shared" si="12"/>
        <v>27.587762055272702</v>
      </c>
      <c r="AC153" s="164">
        <f t="shared" si="13"/>
        <v>1.3053772728269231E-4</v>
      </c>
    </row>
    <row r="154" spans="9:29" x14ac:dyDescent="0.25">
      <c r="I154" s="124">
        <v>3.6217910157600001E-2</v>
      </c>
      <c r="J154" s="47">
        <v>6.9087296141306486E-4</v>
      </c>
      <c r="K154" s="47">
        <v>7.3575662831315482E-5</v>
      </c>
      <c r="L154" s="63">
        <v>4.8424347095609626E-4</v>
      </c>
      <c r="N154" s="17">
        <v>1.7854786996445372E-6</v>
      </c>
      <c r="O154" s="17">
        <v>8.9970997428381343E-11</v>
      </c>
      <c r="P154" s="17">
        <v>2.8542835335934706E-8</v>
      </c>
      <c r="Q154" s="25">
        <v>2.9463207719599107</v>
      </c>
      <c r="R154" s="58">
        <v>287.35008963181048</v>
      </c>
      <c r="S154" s="55">
        <v>1.3053772728269231E-6</v>
      </c>
      <c r="U154" s="1"/>
      <c r="V154" s="1"/>
      <c r="W154" s="1"/>
      <c r="X154" s="163">
        <f t="shared" si="10"/>
        <v>0.36217910157600003</v>
      </c>
      <c r="Y154" s="164">
        <f t="shared" si="11"/>
        <v>6.9087296141306486E-4</v>
      </c>
      <c r="Z154" s="164">
        <f t="shared" si="11"/>
        <v>7.3575662831315482E-5</v>
      </c>
      <c r="AA154" s="164">
        <f t="shared" si="11"/>
        <v>4.8424347095609626E-4</v>
      </c>
      <c r="AB154" s="164">
        <f t="shared" si="12"/>
        <v>27.250991036818952</v>
      </c>
      <c r="AC154" s="164">
        <f t="shared" si="13"/>
        <v>1.3053772728269231E-4</v>
      </c>
    </row>
    <row r="155" spans="9:29" x14ac:dyDescent="0.25">
      <c r="I155" s="124">
        <v>3.6580089259100002E-2</v>
      </c>
      <c r="J155" s="47">
        <v>5.9689856870422553E-4</v>
      </c>
      <c r="K155" s="47">
        <v>6.7378109135413317E-5</v>
      </c>
      <c r="L155" s="63">
        <v>3.956713654336104E-4</v>
      </c>
      <c r="N155" s="17">
        <v>1.6695395464689015E-6</v>
      </c>
      <c r="O155" s="17">
        <v>9.8797843736753331E-11</v>
      </c>
      <c r="P155" s="17">
        <v>3.1574615256411051E-8</v>
      </c>
      <c r="Q155" s="25">
        <v>2.9463207719599107</v>
      </c>
      <c r="R155" s="58">
        <v>287.35008963181048</v>
      </c>
      <c r="S155" s="55">
        <v>1.4031066888046663E-6</v>
      </c>
      <c r="U155" s="1"/>
      <c r="V155" s="1"/>
      <c r="W155" s="1"/>
      <c r="X155" s="163">
        <f t="shared" si="10"/>
        <v>0.36580089259100002</v>
      </c>
      <c r="Y155" s="164">
        <f t="shared" si="11"/>
        <v>5.9689856870422553E-4</v>
      </c>
      <c r="Z155" s="164">
        <f t="shared" si="11"/>
        <v>6.7378109135413317E-5</v>
      </c>
      <c r="AA155" s="164">
        <f t="shared" si="11"/>
        <v>3.956713654336104E-4</v>
      </c>
      <c r="AB155" s="164">
        <f t="shared" si="12"/>
        <v>27.250991036818952</v>
      </c>
      <c r="AC155" s="164">
        <f t="shared" si="13"/>
        <v>1.4031066888046663E-4</v>
      </c>
    </row>
    <row r="156" spans="9:29" x14ac:dyDescent="0.25">
      <c r="I156" s="124">
        <v>3.6945890151700002E-2</v>
      </c>
      <c r="J156" s="47">
        <v>5.3905623154955709E-4</v>
      </c>
      <c r="K156" s="47">
        <v>6.4934812339547055E-5</v>
      </c>
      <c r="L156" s="63">
        <v>3.1395931774720327E-4</v>
      </c>
      <c r="N156" s="17">
        <v>1.5590903317549217E-6</v>
      </c>
      <c r="O156" s="17">
        <v>1.0720672215665847E-10</v>
      </c>
      <c r="P156" s="17">
        <v>3.4462834656245283E-8</v>
      </c>
      <c r="Q156" s="25">
        <v>2.9463207719599107</v>
      </c>
      <c r="R156" s="58">
        <v>290.71779981634796</v>
      </c>
      <c r="S156" s="55">
        <v>1.4031066888046663E-6</v>
      </c>
      <c r="U156" s="1"/>
      <c r="V156" s="1"/>
      <c r="W156" s="1"/>
      <c r="X156" s="163">
        <f t="shared" si="10"/>
        <v>0.369458901517</v>
      </c>
      <c r="Y156" s="164">
        <f t="shared" si="11"/>
        <v>5.3905623154955709E-4</v>
      </c>
      <c r="Z156" s="164">
        <f t="shared" si="11"/>
        <v>6.4934812339547055E-5</v>
      </c>
      <c r="AA156" s="164">
        <f t="shared" si="11"/>
        <v>3.1395931774720327E-4</v>
      </c>
      <c r="AB156" s="164">
        <f t="shared" si="12"/>
        <v>26.914220018365206</v>
      </c>
      <c r="AC156" s="164">
        <f t="shared" si="13"/>
        <v>1.4031066888046663E-4</v>
      </c>
    </row>
    <row r="157" spans="9:29" x14ac:dyDescent="0.25">
      <c r="I157" s="124">
        <v>3.7315349053300001E-2</v>
      </c>
      <c r="J157" s="47">
        <v>4.7444963331976777E-4</v>
      </c>
      <c r="K157" s="47">
        <v>6.2286951275811926E-5</v>
      </c>
      <c r="L157" s="63">
        <v>2.4055984546548221E-4</v>
      </c>
      <c r="N157" s="17">
        <v>1.4563927768767517E-6</v>
      </c>
      <c r="O157" s="17">
        <v>1.1502544006450761E-10</v>
      </c>
      <c r="P157" s="17">
        <v>3.7148350085963675E-8</v>
      </c>
      <c r="Q157" s="25">
        <v>2.9463207719599107</v>
      </c>
      <c r="R157" s="58">
        <v>290.71779981634796</v>
      </c>
      <c r="S157" s="55">
        <v>1.5146426226760279E-6</v>
      </c>
      <c r="U157" s="1"/>
      <c r="V157" s="1"/>
      <c r="W157" s="1"/>
      <c r="X157" s="163">
        <f t="shared" si="10"/>
        <v>0.37315349053300001</v>
      </c>
      <c r="Y157" s="164">
        <f t="shared" si="11"/>
        <v>4.7444963331976777E-4</v>
      </c>
      <c r="Z157" s="164">
        <f t="shared" si="11"/>
        <v>6.2286951275811926E-5</v>
      </c>
      <c r="AA157" s="164">
        <f t="shared" si="11"/>
        <v>2.4055984546548221E-4</v>
      </c>
      <c r="AB157" s="164">
        <f t="shared" si="12"/>
        <v>26.914220018365206</v>
      </c>
      <c r="AC157" s="164">
        <f t="shared" si="13"/>
        <v>1.5146426226760279E-4</v>
      </c>
    </row>
    <row r="158" spans="9:29" x14ac:dyDescent="0.25">
      <c r="I158" s="124">
        <v>3.7688502543799997E-2</v>
      </c>
      <c r="J158" s="47">
        <v>3.4531040856280787E-4</v>
      </c>
      <c r="K158" s="47">
        <v>5.6241326113864448E-5</v>
      </c>
      <c r="L158" s="63">
        <v>1.7681897253079494E-4</v>
      </c>
      <c r="N158" s="17">
        <v>1.3631913324783299E-6</v>
      </c>
      <c r="O158" s="17">
        <v>1.2212118643568284E-10</v>
      </c>
      <c r="P158" s="17">
        <v>3.958554459659175E-8</v>
      </c>
      <c r="Q158" s="25">
        <v>2.9463207719599107</v>
      </c>
      <c r="R158" s="58">
        <v>294.08551000088545</v>
      </c>
      <c r="S158" s="55">
        <v>1.5146426226760279E-6</v>
      </c>
      <c r="U158" s="1"/>
      <c r="V158" s="1"/>
      <c r="W158" s="1"/>
      <c r="X158" s="163">
        <f t="shared" si="10"/>
        <v>0.37688502543799995</v>
      </c>
      <c r="Y158" s="164">
        <f t="shared" si="11"/>
        <v>3.4531040856280787E-4</v>
      </c>
      <c r="Z158" s="164">
        <f t="shared" si="11"/>
        <v>5.6241326113864448E-5</v>
      </c>
      <c r="AA158" s="164">
        <f t="shared" si="11"/>
        <v>1.7681897253079494E-4</v>
      </c>
      <c r="AB158" s="164">
        <f t="shared" si="12"/>
        <v>26.577448999911457</v>
      </c>
      <c r="AC158" s="164">
        <f t="shared" si="13"/>
        <v>1.5146426226760279E-4</v>
      </c>
    </row>
    <row r="159" spans="9:29" x14ac:dyDescent="0.25">
      <c r="I159" s="124">
        <v>3.8065387569199999E-2</v>
      </c>
      <c r="J159" s="47">
        <v>2.9147651101488805E-4</v>
      </c>
      <c r="K159" s="47">
        <v>5.2995408319902422E-5</v>
      </c>
      <c r="L159" s="63">
        <v>1.2395031510450648E-4</v>
      </c>
      <c r="N159" s="17">
        <v>1.2806349074061118E-6</v>
      </c>
      <c r="O159" s="17">
        <v>1.2840649088996727E-10</v>
      </c>
      <c r="P159" s="17">
        <v>4.174437450852828E-8</v>
      </c>
      <c r="Q159" s="25">
        <v>2.9463207719599107</v>
      </c>
      <c r="R159" s="58">
        <v>294.08551000088545</v>
      </c>
      <c r="S159" s="55">
        <v>1.6376283625997315E-6</v>
      </c>
      <c r="U159" s="1"/>
      <c r="V159" s="1"/>
      <c r="W159" s="1"/>
      <c r="X159" s="163">
        <f t="shared" si="10"/>
        <v>0.38065387569199999</v>
      </c>
      <c r="Y159" s="164">
        <f t="shared" si="11"/>
        <v>2.9147651101488805E-4</v>
      </c>
      <c r="Z159" s="164">
        <f t="shared" si="11"/>
        <v>5.2995408319902422E-5</v>
      </c>
      <c r="AA159" s="164">
        <f t="shared" si="11"/>
        <v>1.2395031510450648E-4</v>
      </c>
      <c r="AB159" s="164">
        <f t="shared" si="12"/>
        <v>26.577448999911457</v>
      </c>
      <c r="AC159" s="164">
        <f t="shared" si="13"/>
        <v>1.6376283625997316E-4</v>
      </c>
    </row>
    <row r="160" spans="9:29" x14ac:dyDescent="0.25">
      <c r="I160" s="124">
        <v>3.8446041444899999E-2</v>
      </c>
      <c r="J160" s="47">
        <v>2.9231996960763353E-4</v>
      </c>
      <c r="K160" s="47">
        <v>5.0484355640307832E-5</v>
      </c>
      <c r="L160" s="66">
        <v>8.3010419087268842E-5</v>
      </c>
      <c r="M160" s="29"/>
      <c r="N160" s="17">
        <v>1.2092600519134664E-6</v>
      </c>
      <c r="O160" s="17">
        <v>1.338405040119613E-10</v>
      </c>
      <c r="P160" s="17">
        <v>4.3610809166537525E-8</v>
      </c>
      <c r="Q160" s="25">
        <v>2.9463207719599107</v>
      </c>
      <c r="R160" s="58">
        <v>297.45322018542294</v>
      </c>
      <c r="S160" s="55">
        <v>1.6376283625997315E-6</v>
      </c>
      <c r="U160" s="1"/>
      <c r="V160" s="1"/>
      <c r="W160" s="1"/>
      <c r="X160" s="163">
        <f t="shared" si="10"/>
        <v>0.38446041444899998</v>
      </c>
      <c r="Y160" s="164">
        <f t="shared" si="11"/>
        <v>2.9231996960763353E-4</v>
      </c>
      <c r="Z160" s="164">
        <f t="shared" si="11"/>
        <v>5.0484355640307832E-5</v>
      </c>
      <c r="AA160" s="164">
        <f t="shared" si="11"/>
        <v>8.3010419087268842E-5</v>
      </c>
      <c r="AB160" s="164">
        <f t="shared" si="12"/>
        <v>26.240677981457708</v>
      </c>
      <c r="AC160" s="164">
        <f t="shared" si="13"/>
        <v>1.6376283625997316E-4</v>
      </c>
    </row>
    <row r="161" spans="1:34" x14ac:dyDescent="0.25">
      <c r="I161" s="124">
        <v>3.8830501859399999E-2</v>
      </c>
      <c r="J161" s="47">
        <v>3.2450655328399741E-4</v>
      </c>
      <c r="K161" s="47">
        <v>5.0309425432103861E-5</v>
      </c>
      <c r="L161" s="66">
        <v>5.4875871182471945E-5</v>
      </c>
      <c r="M161" s="29"/>
      <c r="N161" s="17">
        <v>1.1490310281614212E-6</v>
      </c>
      <c r="O161" s="17">
        <v>1.3842594664530294E-10</v>
      </c>
      <c r="P161" s="17">
        <v>4.5185783105879329E-8</v>
      </c>
      <c r="Q161" s="25">
        <v>2.9463207719599107</v>
      </c>
      <c r="R161" s="58">
        <v>297.45322018542294</v>
      </c>
      <c r="S161" s="55">
        <v>1.7688325304890855E-6</v>
      </c>
      <c r="U161" s="1"/>
      <c r="V161" s="1"/>
      <c r="W161" s="1"/>
      <c r="X161" s="163">
        <f t="shared" si="10"/>
        <v>0.38830501859400002</v>
      </c>
      <c r="Y161" s="164">
        <f t="shared" si="11"/>
        <v>3.2450655328399741E-4</v>
      </c>
      <c r="Z161" s="164">
        <f t="shared" si="11"/>
        <v>5.0309425432103861E-5</v>
      </c>
      <c r="AA161" s="164">
        <f t="shared" si="11"/>
        <v>5.4875871182471945E-5</v>
      </c>
      <c r="AB161" s="164">
        <f t="shared" si="12"/>
        <v>26.240677981457708</v>
      </c>
      <c r="AC161" s="164">
        <f t="shared" si="13"/>
        <v>1.7688325304890854E-4</v>
      </c>
    </row>
    <row r="162" spans="1:34" x14ac:dyDescent="0.25">
      <c r="I162" s="124">
        <v>3.9218806878000001E-2</v>
      </c>
      <c r="J162" s="47">
        <v>1.9501778777990375E-4</v>
      </c>
      <c r="K162" s="47">
        <v>3.8108532823372041E-5</v>
      </c>
      <c r="L162" s="66">
        <v>4.022270879547008E-5</v>
      </c>
      <c r="M162" s="29"/>
      <c r="N162" s="17">
        <v>1.0994252290501002E-6</v>
      </c>
      <c r="O162" s="17">
        <v>1.4220260665213185E-10</v>
      </c>
      <c r="P162" s="17">
        <v>4.6482962367322913E-8</v>
      </c>
      <c r="Q162" s="25">
        <v>2.9463207719599107</v>
      </c>
      <c r="R162" s="58">
        <v>300.82093036996042</v>
      </c>
      <c r="S162" s="55">
        <v>1.7688325304890855E-6</v>
      </c>
      <c r="U162" s="1"/>
      <c r="V162" s="1"/>
      <c r="W162" s="1"/>
      <c r="X162" s="163">
        <f t="shared" si="10"/>
        <v>0.39218806878000001</v>
      </c>
      <c r="Y162" s="164">
        <f t="shared" si="11"/>
        <v>1.9501778777990375E-4</v>
      </c>
      <c r="Z162" s="164">
        <f t="shared" si="11"/>
        <v>3.8108532823372041E-5</v>
      </c>
      <c r="AA162" s="164">
        <f t="shared" si="11"/>
        <v>4.022270879547008E-5</v>
      </c>
      <c r="AB162" s="164">
        <f t="shared" si="12"/>
        <v>25.903906963003958</v>
      </c>
      <c r="AC162" s="164">
        <f t="shared" si="13"/>
        <v>1.7688325304890854E-4</v>
      </c>
    </row>
    <row r="163" spans="1:34" x14ac:dyDescent="0.25">
      <c r="I163" s="124">
        <v>3.96109949467E-2</v>
      </c>
      <c r="J163" s="47">
        <v>2.6671880135497737E-4</v>
      </c>
      <c r="K163" s="47">
        <v>4.7470302280438132E-5</v>
      </c>
      <c r="L163" s="66">
        <v>3.9508645074909601E-5</v>
      </c>
      <c r="M163" s="29"/>
      <c r="N163" s="17">
        <v>1.0595480126950971E-6</v>
      </c>
      <c r="O163" s="17">
        <v>1.4523859604129903E-10</v>
      </c>
      <c r="P163" s="17">
        <v>4.7525741560173042E-8</v>
      </c>
      <c r="Q163" s="25">
        <v>2.9463207719599107</v>
      </c>
      <c r="R163" s="58">
        <v>300.82093036996042</v>
      </c>
      <c r="S163" s="55">
        <v>1.8702964192330608E-6</v>
      </c>
      <c r="U163" s="1"/>
      <c r="V163" s="1"/>
      <c r="W163" s="1"/>
      <c r="X163" s="163">
        <f t="shared" si="10"/>
        <v>0.39610994946700001</v>
      </c>
      <c r="Y163" s="164">
        <f t="shared" si="11"/>
        <v>2.6671880135497737E-4</v>
      </c>
      <c r="Z163" s="164">
        <f t="shared" si="11"/>
        <v>4.7470302280438132E-5</v>
      </c>
      <c r="AA163" s="164">
        <f t="shared" si="11"/>
        <v>3.9508645074909601E-5</v>
      </c>
      <c r="AB163" s="164">
        <f t="shared" si="12"/>
        <v>25.903906963003958</v>
      </c>
      <c r="AC163" s="164">
        <f t="shared" si="13"/>
        <v>1.8702964192330608E-4</v>
      </c>
    </row>
    <row r="164" spans="1:34" x14ac:dyDescent="0.25">
      <c r="I164" s="124">
        <v>4.0007104896199998E-2</v>
      </c>
      <c r="J164" s="47">
        <v>2.7606244241297907E-4</v>
      </c>
      <c r="K164" s="47">
        <v>4.6410431012794944E-5</v>
      </c>
      <c r="L164" s="66">
        <v>5.295860348121526E-5</v>
      </c>
      <c r="M164" s="29"/>
      <c r="N164" s="17">
        <v>1.0282596440547068E-6</v>
      </c>
      <c r="O164" s="17">
        <v>1.4762068527748307E-10</v>
      </c>
      <c r="P164" s="17">
        <v>4.8343923962215741E-8</v>
      </c>
      <c r="Q164" s="25">
        <v>2.9463207719599107</v>
      </c>
      <c r="R164" s="58">
        <v>302.50478546222917</v>
      </c>
      <c r="S164" s="55">
        <v>1.8702964192330608E-6</v>
      </c>
      <c r="U164" s="1"/>
      <c r="V164" s="1"/>
      <c r="W164" s="1"/>
      <c r="X164" s="163">
        <f t="shared" si="10"/>
        <v>0.40007104896199996</v>
      </c>
      <c r="Y164" s="164">
        <f t="shared" si="11"/>
        <v>2.7606244241297907E-4</v>
      </c>
      <c r="Z164" s="164">
        <f t="shared" si="11"/>
        <v>4.6410431012794944E-5</v>
      </c>
      <c r="AA164" s="164">
        <f t="shared" si="11"/>
        <v>5.295860348121526E-5</v>
      </c>
      <c r="AB164" s="164">
        <f t="shared" si="12"/>
        <v>25.735521453777086</v>
      </c>
      <c r="AC164" s="164">
        <f t="shared" si="13"/>
        <v>1.8702964192330608E-4</v>
      </c>
    </row>
    <row r="165" spans="1:34" x14ac:dyDescent="0.25">
      <c r="I165" s="124">
        <v>4.0407175945199998E-2</v>
      </c>
      <c r="J165" s="47">
        <v>2.3920413569416242E-4</v>
      </c>
      <c r="K165" s="47">
        <v>4.8101672793993978E-5</v>
      </c>
      <c r="L165" s="66">
        <v>8.0554020509809158E-5</v>
      </c>
      <c r="M165" s="29"/>
      <c r="N165" s="17">
        <v>1.0042984114302522E-6</v>
      </c>
      <c r="O165" s="17">
        <v>1.4944492111000155E-10</v>
      </c>
      <c r="P165" s="17">
        <v>4.8970499000913007E-8</v>
      </c>
      <c r="Q165" s="25">
        <v>2.9463207719599107</v>
      </c>
      <c r="R165" s="58">
        <v>302.50478546222917</v>
      </c>
      <c r="S165" s="55">
        <v>1.905715498047669E-6</v>
      </c>
      <c r="U165" s="1"/>
      <c r="V165" s="1"/>
      <c r="W165" s="1"/>
      <c r="X165" s="163">
        <f t="shared" si="10"/>
        <v>0.40407175945199997</v>
      </c>
      <c r="Y165" s="164">
        <f t="shared" si="11"/>
        <v>2.3920413569416242E-4</v>
      </c>
      <c r="Z165" s="164">
        <f t="shared" si="11"/>
        <v>4.8101672793993978E-5</v>
      </c>
      <c r="AA165" s="164">
        <f t="shared" si="11"/>
        <v>8.0554020509809158E-5</v>
      </c>
      <c r="AB165" s="164">
        <f t="shared" si="12"/>
        <v>25.735521453777086</v>
      </c>
      <c r="AC165" s="164">
        <f t="shared" si="13"/>
        <v>1.905715498047669E-4</v>
      </c>
    </row>
    <row r="166" spans="1:34" x14ac:dyDescent="0.25">
      <c r="I166" s="124">
        <v>4.0811247704599998E-2</v>
      </c>
      <c r="J166" s="47">
        <v>2.9788984305336417E-4</v>
      </c>
      <c r="K166" s="47">
        <v>4.7134840205413903E-5</v>
      </c>
      <c r="L166" s="66">
        <v>1.220263256380207E-4</v>
      </c>
      <c r="M166" s="29"/>
      <c r="N166" s="17">
        <v>9.8638713150677473E-7</v>
      </c>
      <c r="O166" s="17">
        <v>1.5080846464552941E-10</v>
      </c>
      <c r="P166" s="17">
        <v>4.9438838854954391E-8</v>
      </c>
      <c r="Q166" s="25">
        <v>2.9463207719599107</v>
      </c>
      <c r="R166" s="58">
        <v>303.51672982878625</v>
      </c>
      <c r="S166" s="55">
        <v>1.905715498047669E-6</v>
      </c>
      <c r="U166" s="1"/>
      <c r="V166" s="1"/>
      <c r="W166" s="1"/>
      <c r="X166" s="163">
        <f t="shared" si="10"/>
        <v>0.40811247704599996</v>
      </c>
      <c r="Y166" s="164">
        <f t="shared" si="11"/>
        <v>2.9788984305336417E-4</v>
      </c>
      <c r="Z166" s="164">
        <f t="shared" si="11"/>
        <v>4.7134840205413903E-5</v>
      </c>
      <c r="AA166" s="164">
        <f t="shared" si="11"/>
        <v>1.220263256380207E-4</v>
      </c>
      <c r="AB166" s="164">
        <f t="shared" si="12"/>
        <v>25.634327017121375</v>
      </c>
      <c r="AC166" s="164">
        <f t="shared" si="13"/>
        <v>1.905715498047669E-4</v>
      </c>
    </row>
    <row r="167" spans="1:34" x14ac:dyDescent="0.25">
      <c r="I167" s="124">
        <v>4.1219360181699999E-2</v>
      </c>
      <c r="J167" s="47">
        <v>3.1806986197682014E-4</v>
      </c>
      <c r="K167" s="47">
        <v>4.7780229377143296E-5</v>
      </c>
      <c r="L167" s="66">
        <v>1.7685494400501719E-4</v>
      </c>
      <c r="M167" s="29"/>
      <c r="N167" s="17">
        <v>9.7331332183768107E-7</v>
      </c>
      <c r="O167" s="17">
        <v>1.5180323344654604E-10</v>
      </c>
      <c r="P167" s="17">
        <v>4.9780514689230337E-8</v>
      </c>
      <c r="Q167" s="25">
        <v>2.9463207719599107</v>
      </c>
      <c r="R167" s="58">
        <v>303.51672982878625</v>
      </c>
      <c r="S167" s="55">
        <v>1.9625283358909057E-6</v>
      </c>
      <c r="U167" s="1"/>
      <c r="V167" s="1"/>
      <c r="W167" s="1"/>
      <c r="X167" s="163">
        <f t="shared" si="10"/>
        <v>0.41219360181699999</v>
      </c>
      <c r="Y167" s="164">
        <f t="shared" si="11"/>
        <v>3.1806986197682014E-4</v>
      </c>
      <c r="Z167" s="164">
        <f t="shared" si="11"/>
        <v>4.7780229377143296E-5</v>
      </c>
      <c r="AA167" s="164">
        <f t="shared" si="11"/>
        <v>1.7685494400501719E-4</v>
      </c>
      <c r="AB167" s="164">
        <f t="shared" si="12"/>
        <v>25.634327017121375</v>
      </c>
      <c r="AC167" s="164">
        <f t="shared" si="13"/>
        <v>1.9625283358909058E-4</v>
      </c>
    </row>
    <row r="168" spans="1:34" x14ac:dyDescent="0.25">
      <c r="I168" s="124">
        <v>4.1631553783500003E-2</v>
      </c>
      <c r="J168" s="47">
        <v>3.4697737016489613E-4</v>
      </c>
      <c r="K168" s="47">
        <v>4.9644483938719367E-5</v>
      </c>
      <c r="L168" s="66">
        <v>2.4427009000773476E-4</v>
      </c>
      <c r="M168" s="29"/>
      <c r="N168" s="17">
        <v>9.6397365084717941E-7</v>
      </c>
      <c r="O168" s="17">
        <v>1.5251157159387503E-10</v>
      </c>
      <c r="P168" s="17">
        <v>5.0023809439920921E-8</v>
      </c>
      <c r="Q168" s="25">
        <v>2.9463207719599107</v>
      </c>
      <c r="R168" s="58">
        <v>305.54061856190043</v>
      </c>
      <c r="S168" s="55">
        <v>1.9625283358909057E-6</v>
      </c>
      <c r="U168" s="1"/>
      <c r="V168" s="1"/>
      <c r="W168" s="1"/>
      <c r="X168" s="163">
        <f t="shared" si="10"/>
        <v>0.41631553783500003</v>
      </c>
      <c r="Y168" s="164">
        <f t="shared" si="11"/>
        <v>3.4697737016489613E-4</v>
      </c>
      <c r="Z168" s="164">
        <f t="shared" si="11"/>
        <v>4.9644483938719367E-5</v>
      </c>
      <c r="AA168" s="164">
        <f t="shared" si="11"/>
        <v>2.4427009000773476E-4</v>
      </c>
      <c r="AB168" s="164">
        <f t="shared" si="12"/>
        <v>25.431938143809958</v>
      </c>
      <c r="AC168" s="164">
        <f t="shared" si="13"/>
        <v>1.9625283358909058E-4</v>
      </c>
    </row>
    <row r="169" spans="1:34" x14ac:dyDescent="0.25">
      <c r="I169" s="124">
        <v>4.2047869321300002E-2</v>
      </c>
      <c r="J169" s="47">
        <v>4.9549929085930685E-4</v>
      </c>
      <c r="K169" s="47">
        <v>5.9499545722640546E-5</v>
      </c>
      <c r="L169" s="66">
        <v>3.2326053093027416E-4</v>
      </c>
      <c r="M169" s="29"/>
      <c r="N169" s="17">
        <v>9.5737014508030862E-7</v>
      </c>
      <c r="O169" s="17">
        <v>1.5300386587073032E-10</v>
      </c>
      <c r="P169" s="17">
        <v>5.0192899039013592E-8</v>
      </c>
      <c r="Q169" s="25">
        <v>2.9463207719599107</v>
      </c>
      <c r="R169" s="58">
        <v>305.54061856190043</v>
      </c>
      <c r="S169" s="55">
        <v>2.0359946166018008E-6</v>
      </c>
      <c r="U169" s="1"/>
      <c r="V169" s="1"/>
      <c r="W169" s="1"/>
      <c r="X169" s="163">
        <f t="shared" si="10"/>
        <v>0.42047869321300002</v>
      </c>
      <c r="Y169" s="164">
        <f t="shared" si="11"/>
        <v>4.9549929085930685E-4</v>
      </c>
      <c r="Z169" s="164">
        <f t="shared" si="11"/>
        <v>5.9499545722640546E-5</v>
      </c>
      <c r="AA169" s="164">
        <f t="shared" si="11"/>
        <v>3.2326053093027416E-4</v>
      </c>
      <c r="AB169" s="164">
        <f t="shared" si="12"/>
        <v>25.431938143809958</v>
      </c>
      <c r="AC169" s="164">
        <f t="shared" si="13"/>
        <v>2.0359946166018008E-4</v>
      </c>
    </row>
    <row r="170" spans="1:34" x14ac:dyDescent="0.25">
      <c r="H170" s="38"/>
      <c r="I170" s="124">
        <v>4.2468348014500001E-2</v>
      </c>
      <c r="J170" s="47">
        <v>5.3001645040292602E-4</v>
      </c>
      <c r="K170" s="47">
        <v>6.0877470282746936E-5</v>
      </c>
      <c r="L170" s="66">
        <v>4.125863984974205E-4</v>
      </c>
      <c r="M170" s="29"/>
      <c r="N170" s="17">
        <v>9.5254895618807394E-7</v>
      </c>
      <c r="O170" s="17">
        <v>1.5333781098925903E-10</v>
      </c>
      <c r="P170" s="17">
        <v>5.0307600039747697E-8</v>
      </c>
      <c r="Q170" s="25">
        <v>2.9463207719599107</v>
      </c>
      <c r="R170" s="58">
        <v>307.56450729501461</v>
      </c>
      <c r="S170" s="55">
        <v>2.0359946166018008E-6</v>
      </c>
      <c r="U170" s="1"/>
      <c r="V170" s="1"/>
      <c r="W170" s="1"/>
      <c r="X170" s="163">
        <f t="shared" si="10"/>
        <v>0.42468348014500001</v>
      </c>
      <c r="Y170" s="164">
        <f t="shared" si="11"/>
        <v>5.3001645040292602E-4</v>
      </c>
      <c r="Z170" s="164">
        <f t="shared" si="11"/>
        <v>6.0877470282746936E-5</v>
      </c>
      <c r="AA170" s="164">
        <f t="shared" si="11"/>
        <v>4.125863984974205E-4</v>
      </c>
      <c r="AB170" s="164">
        <f t="shared" si="12"/>
        <v>25.229549270498541</v>
      </c>
      <c r="AC170" s="164">
        <f t="shared" si="13"/>
        <v>2.0359946166018008E-4</v>
      </c>
    </row>
    <row r="171" spans="1:34" x14ac:dyDescent="0.25">
      <c r="I171" s="124">
        <v>4.2893031494700001E-2</v>
      </c>
      <c r="J171" s="47">
        <v>5.5232178707465744E-4</v>
      </c>
      <c r="K171" s="47">
        <v>6.1536730430401386E-5</v>
      </c>
      <c r="L171" s="66">
        <v>5.1079701668693483E-4</v>
      </c>
      <c r="M171" s="29"/>
      <c r="N171" s="17">
        <v>9.4850833890118585E-7</v>
      </c>
      <c r="O171" s="17">
        <v>1.5355891272075579E-10</v>
      </c>
      <c r="P171" s="17">
        <v>5.0383542428061258E-8</v>
      </c>
      <c r="Q171" s="25">
        <v>2.9463207719599107</v>
      </c>
      <c r="R171" s="58">
        <v>307.56450729501461</v>
      </c>
      <c r="S171" s="55">
        <v>2.1057308125796915E-6</v>
      </c>
      <c r="U171" s="1"/>
      <c r="V171" s="1"/>
      <c r="W171" s="1"/>
      <c r="X171" s="163">
        <f t="shared" si="10"/>
        <v>0.42893031494700001</v>
      </c>
      <c r="Y171" s="164">
        <f t="shared" si="11"/>
        <v>5.5232178707465744E-4</v>
      </c>
      <c r="Z171" s="164">
        <f t="shared" si="11"/>
        <v>6.1536730430401386E-5</v>
      </c>
      <c r="AA171" s="164">
        <f t="shared" si="11"/>
        <v>5.1079701668693483E-4</v>
      </c>
      <c r="AB171" s="164">
        <f t="shared" si="12"/>
        <v>25.229549270498541</v>
      </c>
      <c r="AC171" s="164">
        <f t="shared" si="13"/>
        <v>2.1057308125796916E-4</v>
      </c>
    </row>
    <row r="172" spans="1:34" s="16" customFormat="1" x14ac:dyDescent="0.25">
      <c r="A172" s="62"/>
      <c r="B172" s="20"/>
      <c r="C172" s="20"/>
      <c r="D172" s="18"/>
      <c r="E172" s="18"/>
      <c r="F172" s="36"/>
      <c r="G172" s="36"/>
      <c r="H172" s="37"/>
      <c r="I172" s="124">
        <v>4.3321961809599997E-2</v>
      </c>
      <c r="J172" s="47">
        <v>5.587355026538776E-4</v>
      </c>
      <c r="K172" s="47">
        <v>6.1644735394324979E-5</v>
      </c>
      <c r="L172" s="66">
        <v>6.1625359708839E-4</v>
      </c>
      <c r="M172" s="29"/>
      <c r="N172" s="17">
        <v>9.4418091755775491E-7</v>
      </c>
      <c r="O172" s="17">
        <v>1.537017944066428E-10</v>
      </c>
      <c r="P172" s="27">
        <v>5.0432618373324421E-8</v>
      </c>
      <c r="Q172" s="28">
        <v>2.9463207719599107</v>
      </c>
      <c r="R172" s="60">
        <v>309.58839602812878</v>
      </c>
      <c r="S172" s="59">
        <v>2.1057308125796915E-6</v>
      </c>
      <c r="T172" s="1"/>
      <c r="U172" s="1"/>
      <c r="V172" s="1"/>
      <c r="W172" s="1"/>
      <c r="X172" s="163">
        <f t="shared" si="10"/>
        <v>0.43321961809599996</v>
      </c>
      <c r="Y172" s="164">
        <f t="shared" si="11"/>
        <v>5.587355026538776E-4</v>
      </c>
      <c r="Z172" s="164">
        <f t="shared" si="11"/>
        <v>6.1644735394324979E-5</v>
      </c>
      <c r="AA172" s="164">
        <f t="shared" si="11"/>
        <v>6.1625359708839E-4</v>
      </c>
      <c r="AB172" s="164">
        <f t="shared" si="12"/>
        <v>25.027160397187124</v>
      </c>
      <c r="AC172" s="164">
        <f t="shared" si="13"/>
        <v>2.1057308125796916E-4</v>
      </c>
      <c r="AH172" s="78"/>
    </row>
    <row r="173" spans="1:34" x14ac:dyDescent="0.25">
      <c r="I173" s="124">
        <v>4.3755181427699998E-2</v>
      </c>
      <c r="J173" s="47">
        <v>7.7273681948867841E-4</v>
      </c>
      <c r="K173" s="47">
        <v>7.4787419465348538E-5</v>
      </c>
      <c r="L173" s="66">
        <v>7.2715653205586276E-4</v>
      </c>
      <c r="M173" s="29"/>
      <c r="N173" s="17">
        <v>9.386364055666747E-7</v>
      </c>
      <c r="O173" s="17">
        <v>1.5379191604104565E-10</v>
      </c>
      <c r="P173" s="17">
        <v>5.0463572686114929E-8</v>
      </c>
      <c r="Q173" s="25">
        <v>2.9463207719599107</v>
      </c>
      <c r="R173" s="58">
        <v>309.58839602812878</v>
      </c>
      <c r="S173" s="55">
        <v>2.1705425692575141E-6</v>
      </c>
      <c r="U173" s="1"/>
      <c r="V173" s="1"/>
      <c r="W173" s="1"/>
      <c r="X173" s="163">
        <f t="shared" si="10"/>
        <v>0.43755181427699996</v>
      </c>
      <c r="Y173" s="164">
        <f t="shared" si="11"/>
        <v>7.7273681948867841E-4</v>
      </c>
      <c r="Z173" s="164">
        <f t="shared" si="11"/>
        <v>7.4787419465348538E-5</v>
      </c>
      <c r="AA173" s="164">
        <f t="shared" si="11"/>
        <v>7.2715653205586276E-4</v>
      </c>
      <c r="AB173" s="164">
        <f t="shared" si="12"/>
        <v>25.027160397187124</v>
      </c>
      <c r="AC173" s="164">
        <f t="shared" si="13"/>
        <v>2.170542569257514E-4</v>
      </c>
    </row>
    <row r="174" spans="1:34" x14ac:dyDescent="0.25">
      <c r="I174" s="124">
        <v>4.4192733242000001E-2</v>
      </c>
      <c r="J174" s="47">
        <v>9.1803035794810466E-4</v>
      </c>
      <c r="K174" s="47">
        <v>7.7973506073288114E-5</v>
      </c>
      <c r="L174" s="66">
        <v>8.4157689236945288E-4</v>
      </c>
      <c r="M174" s="29"/>
      <c r="N174" s="17">
        <v>9.3150431278577433E-7</v>
      </c>
      <c r="O174" s="17">
        <v>1.53847397815213E-10</v>
      </c>
      <c r="P174" s="17">
        <v>5.0482629155775381E-8</v>
      </c>
      <c r="Q174" s="25">
        <v>2.9463207719599107</v>
      </c>
      <c r="R174" s="58">
        <v>311.61228476124296</v>
      </c>
      <c r="S174" s="55">
        <v>2.1705425692575141E-6</v>
      </c>
      <c r="U174" s="1"/>
      <c r="V174" s="1"/>
      <c r="W174" s="1"/>
      <c r="X174" s="163">
        <f t="shared" si="10"/>
        <v>0.44192733242000004</v>
      </c>
      <c r="Y174" s="164">
        <f t="shared" si="11"/>
        <v>9.1803035794810466E-4</v>
      </c>
      <c r="Z174" s="164">
        <f t="shared" si="11"/>
        <v>7.7973506073288114E-5</v>
      </c>
      <c r="AA174" s="164">
        <f t="shared" si="11"/>
        <v>8.4157689236945288E-4</v>
      </c>
      <c r="AB174" s="164">
        <f t="shared" si="12"/>
        <v>24.824771523875704</v>
      </c>
      <c r="AC174" s="164">
        <f t="shared" si="13"/>
        <v>2.170542569257514E-4</v>
      </c>
    </row>
    <row r="175" spans="1:34" x14ac:dyDescent="0.25">
      <c r="I175" s="124">
        <v>4.4634660574399999E-2</v>
      </c>
      <c r="J175" s="47">
        <v>9.6496819770206974E-4</v>
      </c>
      <c r="K175" s="47">
        <v>8.344662551839854E-5</v>
      </c>
      <c r="L175" s="66">
        <v>9.5749161599601416E-4</v>
      </c>
      <c r="M175" s="29"/>
      <c r="N175" s="17">
        <v>9.2539513361313908E-7</v>
      </c>
      <c r="O175" s="17">
        <v>1.5387396192353954E-10</v>
      </c>
      <c r="P175" s="17">
        <v>5.0491753199337052E-8</v>
      </c>
      <c r="Q175" s="25">
        <v>1.4731603859799554</v>
      </c>
      <c r="R175" s="58">
        <v>311.61228476124296</v>
      </c>
      <c r="S175" s="55">
        <v>2.2292945502592072E-6</v>
      </c>
      <c r="U175" s="1"/>
      <c r="V175" s="1"/>
      <c r="W175" s="1"/>
      <c r="X175" s="163">
        <f t="shared" si="10"/>
        <v>0.44634660574399998</v>
      </c>
      <c r="Y175" s="164">
        <f t="shared" si="11"/>
        <v>9.6496819770206974E-4</v>
      </c>
      <c r="Z175" s="164">
        <f t="shared" si="11"/>
        <v>8.344662551839854E-5</v>
      </c>
      <c r="AA175" s="164">
        <f t="shared" si="11"/>
        <v>9.5749161599601416E-4</v>
      </c>
      <c r="AB175" s="164">
        <f t="shared" si="12"/>
        <v>24.824771523875704</v>
      </c>
      <c r="AC175" s="164">
        <f t="shared" si="13"/>
        <v>2.2292945502592072E-4</v>
      </c>
    </row>
    <row r="176" spans="1:34" x14ac:dyDescent="0.25">
      <c r="I176" s="124">
        <v>4.50810071802E-2</v>
      </c>
      <c r="J176" s="47">
        <v>1.0144749783070073E-3</v>
      </c>
      <c r="K176" s="47">
        <v>8.1220203583067395E-5</v>
      </c>
      <c r="L176" s="66">
        <v>1.0728217578257068E-3</v>
      </c>
      <c r="M176" s="29"/>
      <c r="N176" s="17">
        <v>9.3941811966490544E-7</v>
      </c>
      <c r="O176" s="17">
        <v>1.5305512561830875E-10</v>
      </c>
      <c r="P176" s="17">
        <v>5.0167693553117274E-8</v>
      </c>
      <c r="Q176" s="25">
        <v>0.35684649243163219</v>
      </c>
      <c r="R176" s="58">
        <v>313.63617349435714</v>
      </c>
      <c r="S176" s="55">
        <v>2.2292945502592072E-6</v>
      </c>
      <c r="U176" s="1"/>
      <c r="V176" s="1"/>
      <c r="W176" s="1"/>
      <c r="X176" s="163">
        <f t="shared" si="10"/>
        <v>0.450810071802</v>
      </c>
      <c r="Y176" s="164">
        <f t="shared" si="11"/>
        <v>1.0144749783070073E-3</v>
      </c>
      <c r="Z176" s="164">
        <f t="shared" si="11"/>
        <v>8.1220203583067395E-5</v>
      </c>
      <c r="AA176" s="164">
        <f t="shared" si="11"/>
        <v>1.0728217578257068E-3</v>
      </c>
      <c r="AB176" s="164">
        <f t="shared" si="12"/>
        <v>24.622382650564287</v>
      </c>
      <c r="AC176" s="164">
        <f t="shared" si="13"/>
        <v>2.2292945502592072E-4</v>
      </c>
    </row>
    <row r="177" spans="9:34" x14ac:dyDescent="0.25">
      <c r="I177" s="124">
        <v>4.5531817251999999E-2</v>
      </c>
      <c r="J177" s="47">
        <v>1.1028326847367382E-3</v>
      </c>
      <c r="K177" s="47">
        <v>8.5713013967221948E-5</v>
      </c>
      <c r="L177" s="63">
        <v>1.1854730625045226E-3</v>
      </c>
      <c r="M177" s="30"/>
      <c r="N177" s="17">
        <v>9.4251032660967923E-7</v>
      </c>
      <c r="O177" s="17">
        <v>1.5282501992330663E-10</v>
      </c>
      <c r="P177" s="17">
        <v>5.0077331455917709E-8</v>
      </c>
      <c r="Q177" s="25">
        <v>0.71369298486326438</v>
      </c>
      <c r="R177" s="58">
        <v>313.63617349435714</v>
      </c>
      <c r="S177" s="55">
        <v>2.2809400213609134E-6</v>
      </c>
      <c r="U177" s="1"/>
      <c r="V177" s="1"/>
      <c r="W177" s="1"/>
      <c r="X177" s="163">
        <f t="shared" si="10"/>
        <v>0.45531817252000001</v>
      </c>
      <c r="Y177" s="164">
        <f t="shared" si="11"/>
        <v>1.1028326847367382E-3</v>
      </c>
      <c r="Z177" s="164">
        <f t="shared" si="11"/>
        <v>8.5713013967221948E-5</v>
      </c>
      <c r="AA177" s="164">
        <f t="shared" si="11"/>
        <v>1.1854730625045226E-3</v>
      </c>
      <c r="AB177" s="164">
        <f t="shared" si="12"/>
        <v>24.622382650564287</v>
      </c>
      <c r="AC177" s="164">
        <f t="shared" si="13"/>
        <v>2.2809400213609133E-4</v>
      </c>
    </row>
    <row r="178" spans="9:34" x14ac:dyDescent="0.25">
      <c r="I178" s="124">
        <v>4.5987135424500003E-2</v>
      </c>
      <c r="J178" s="47">
        <v>1.2872354842956718E-3</v>
      </c>
      <c r="K178" s="47">
        <v>9.567570132528991E-5</v>
      </c>
      <c r="L178" s="63">
        <v>1.2933780273339524E-3</v>
      </c>
      <c r="M178" s="30"/>
      <c r="N178" s="17">
        <v>9.4827537103797641E-7</v>
      </c>
      <c r="O178" s="17">
        <v>1.5243611965491276E-10</v>
      </c>
      <c r="P178" s="17">
        <v>4.9924611012152855E-8</v>
      </c>
      <c r="Q178" s="25">
        <v>0.71369298486326438</v>
      </c>
      <c r="R178" s="58">
        <v>315.66006222747131</v>
      </c>
      <c r="S178" s="55">
        <v>2.2809400213609134E-6</v>
      </c>
      <c r="U178" s="1"/>
      <c r="V178" s="1"/>
      <c r="W178" s="1"/>
      <c r="X178" s="163">
        <f t="shared" si="10"/>
        <v>0.45987135424500003</v>
      </c>
      <c r="Y178" s="164">
        <f t="shared" si="11"/>
        <v>1.2872354842956718E-3</v>
      </c>
      <c r="Z178" s="164">
        <f t="shared" si="11"/>
        <v>9.567570132528991E-5</v>
      </c>
      <c r="AA178" s="164">
        <f t="shared" si="11"/>
        <v>1.2933780273339524E-3</v>
      </c>
      <c r="AB178" s="164">
        <f t="shared" si="12"/>
        <v>24.41999377725287</v>
      </c>
      <c r="AC178" s="164">
        <f t="shared" si="13"/>
        <v>2.2809400213609133E-4</v>
      </c>
    </row>
    <row r="179" spans="9:34" x14ac:dyDescent="0.25">
      <c r="I179" s="124">
        <v>4.6447006778699999E-2</v>
      </c>
      <c r="J179" s="47">
        <v>1.2496016365374637E-3</v>
      </c>
      <c r="K179" s="47">
        <v>9.3122235948358298E-5</v>
      </c>
      <c r="L179" s="63">
        <v>1.3945385406867955E-3</v>
      </c>
      <c r="M179" s="30"/>
      <c r="N179" s="17">
        <v>9.5634024560148851E-7</v>
      </c>
      <c r="O179" s="17">
        <v>1.5193295800813124E-10</v>
      </c>
      <c r="P179" s="17">
        <v>4.9727020328301492E-8</v>
      </c>
      <c r="Q179" s="25">
        <v>0.71369298486326438</v>
      </c>
      <c r="R179" s="58">
        <v>315.66006222747131</v>
      </c>
      <c r="S179" s="55">
        <v>2.3245473683167164E-6</v>
      </c>
      <c r="U179" s="1"/>
      <c r="V179" s="1"/>
      <c r="W179" s="1"/>
      <c r="X179" s="163">
        <f t="shared" si="10"/>
        <v>0.46447006778700001</v>
      </c>
      <c r="Y179" s="164">
        <f t="shared" si="11"/>
        <v>1.2496016365374637E-3</v>
      </c>
      <c r="Z179" s="164">
        <f t="shared" si="11"/>
        <v>9.3122235948358298E-5</v>
      </c>
      <c r="AA179" s="164">
        <f t="shared" si="11"/>
        <v>1.3945385406867955E-3</v>
      </c>
      <c r="AB179" s="164">
        <f t="shared" si="12"/>
        <v>24.41999377725287</v>
      </c>
      <c r="AC179" s="164">
        <f t="shared" si="13"/>
        <v>2.3245473683167165E-4</v>
      </c>
    </row>
    <row r="180" spans="9:34" x14ac:dyDescent="0.25">
      <c r="I180" s="124">
        <v>4.6911476846500003E-2</v>
      </c>
      <c r="J180" s="47">
        <v>1.1831708787780101E-3</v>
      </c>
      <c r="K180" s="47">
        <v>8.9991736637479313E-5</v>
      </c>
      <c r="L180" s="63">
        <v>1.4870681198352138E-3</v>
      </c>
      <c r="M180" s="30"/>
      <c r="N180" s="17">
        <v>9.6722324130125823E-7</v>
      </c>
      <c r="O180" s="17">
        <v>1.5129029491467559E-10</v>
      </c>
      <c r="P180" s="17">
        <v>4.9474647674435295E-8</v>
      </c>
      <c r="Q180" s="25">
        <v>0.71369298486326438</v>
      </c>
      <c r="R180" s="58">
        <v>317.68395096058549</v>
      </c>
      <c r="S180" s="55">
        <v>2.3245473683167164E-6</v>
      </c>
      <c r="U180" s="1"/>
      <c r="V180" s="1"/>
      <c r="W180" s="1"/>
      <c r="X180" s="163">
        <f t="shared" si="10"/>
        <v>0.469114768465</v>
      </c>
      <c r="Y180" s="164">
        <f t="shared" si="11"/>
        <v>1.1831708787780101E-3</v>
      </c>
      <c r="Z180" s="164">
        <f t="shared" si="11"/>
        <v>8.9991736637479313E-5</v>
      </c>
      <c r="AA180" s="164">
        <f t="shared" si="11"/>
        <v>1.4870681198352138E-3</v>
      </c>
      <c r="AB180" s="164">
        <f t="shared" si="12"/>
        <v>24.217604903941453</v>
      </c>
      <c r="AC180" s="164">
        <f t="shared" si="13"/>
        <v>2.3245473683167165E-4</v>
      </c>
    </row>
    <row r="181" spans="9:34" x14ac:dyDescent="0.25">
      <c r="I181" s="124">
        <v>4.7380591615000002E-2</v>
      </c>
      <c r="J181" s="47">
        <v>1.5810832560428879E-3</v>
      </c>
      <c r="K181" s="47">
        <v>1.0511658994282617E-4</v>
      </c>
      <c r="L181" s="63">
        <v>1.5692327308698846E-3</v>
      </c>
      <c r="M181" s="30"/>
      <c r="N181" s="17">
        <v>9.814984764354459E-7</v>
      </c>
      <c r="O181" s="17">
        <v>1.5047995804444469E-10</v>
      </c>
      <c r="P181" s="17">
        <v>4.9156429826626191E-8</v>
      </c>
      <c r="Q181" s="25">
        <v>0.71369298486326438</v>
      </c>
      <c r="R181" s="58">
        <v>317.68395096058549</v>
      </c>
      <c r="S181" s="55">
        <v>2.3593229640482888E-6</v>
      </c>
      <c r="U181" s="1"/>
      <c r="V181" s="1"/>
      <c r="W181" s="1"/>
      <c r="X181" s="163">
        <f t="shared" si="10"/>
        <v>0.47380591615000001</v>
      </c>
      <c r="Y181" s="164">
        <f t="shared" si="11"/>
        <v>1.5810832560428879E-3</v>
      </c>
      <c r="Z181" s="164">
        <f t="shared" si="11"/>
        <v>1.0511658994282617E-4</v>
      </c>
      <c r="AA181" s="164">
        <f t="shared" si="11"/>
        <v>1.5692327308698846E-3</v>
      </c>
      <c r="AB181" s="164">
        <f t="shared" si="12"/>
        <v>24.217604903941453</v>
      </c>
      <c r="AC181" s="164">
        <f t="shared" si="13"/>
        <v>2.3593229640482888E-4</v>
      </c>
    </row>
    <row r="182" spans="9:34" x14ac:dyDescent="0.25">
      <c r="I182" s="124">
        <v>4.7854397531099997E-2</v>
      </c>
      <c r="J182" s="47">
        <v>1.4720907213127052E-3</v>
      </c>
      <c r="K182" s="47">
        <v>1.0453095472349543E-4</v>
      </c>
      <c r="L182" s="63">
        <v>1.6394891569691077E-3</v>
      </c>
      <c r="M182" s="30"/>
      <c r="N182" s="17">
        <v>9.9978682083002282E-7</v>
      </c>
      <c r="O182" s="17">
        <v>1.494712763116574E-10</v>
      </c>
      <c r="P182" s="17">
        <v>4.8760322304034421E-8</v>
      </c>
      <c r="Q182" s="25">
        <v>0.71369298486326438</v>
      </c>
      <c r="R182" s="58">
        <v>319.70783969369967</v>
      </c>
      <c r="S182" s="55">
        <v>2.3593229640482888E-6</v>
      </c>
      <c r="U182" s="1"/>
      <c r="V182" s="1"/>
      <c r="W182" s="1"/>
      <c r="X182" s="163">
        <f t="shared" si="10"/>
        <v>0.47854397531099996</v>
      </c>
      <c r="Y182" s="164">
        <f t="shared" si="11"/>
        <v>1.4720907213127052E-3</v>
      </c>
      <c r="Z182" s="164">
        <f t="shared" si="11"/>
        <v>1.0453095472349543E-4</v>
      </c>
      <c r="AA182" s="164">
        <f t="shared" si="11"/>
        <v>1.6394891569691077E-3</v>
      </c>
      <c r="AB182" s="164">
        <f t="shared" si="12"/>
        <v>24.015216030630036</v>
      </c>
      <c r="AC182" s="164">
        <f t="shared" si="13"/>
        <v>2.3593229640482888E-4</v>
      </c>
      <c r="AH182" s="77"/>
    </row>
    <row r="183" spans="9:34" x14ac:dyDescent="0.25">
      <c r="I183" s="124">
        <v>4.8332941506400003E-2</v>
      </c>
      <c r="J183" s="47">
        <v>1.4451722940551971E-3</v>
      </c>
      <c r="K183" s="47">
        <v>1.0470470457168262E-4</v>
      </c>
      <c r="L183" s="63">
        <v>1.6965198907058423E-3</v>
      </c>
      <c r="M183" s="30"/>
      <c r="N183" s="17">
        <v>1.0227419053847645E-6</v>
      </c>
      <c r="O183" s="17">
        <v>1.4823176932072222E-10</v>
      </c>
      <c r="P183" s="17">
        <v>4.8273570113075432E-8</v>
      </c>
      <c r="Q183" s="25">
        <v>0.71369298486326438</v>
      </c>
      <c r="R183" s="58">
        <v>319.70783969369967</v>
      </c>
      <c r="S183" s="55">
        <v>2.3846300244401552E-6</v>
      </c>
      <c r="U183" s="1"/>
      <c r="V183" s="1"/>
      <c r="W183" s="1"/>
      <c r="X183" s="163">
        <f t="shared" si="10"/>
        <v>0.48332941506400001</v>
      </c>
      <c r="Y183" s="164">
        <f t="shared" si="11"/>
        <v>1.4451722940551971E-3</v>
      </c>
      <c r="Z183" s="164">
        <f t="shared" si="11"/>
        <v>1.0470470457168262E-4</v>
      </c>
      <c r="AA183" s="164">
        <f t="shared" si="11"/>
        <v>1.6965198907058423E-3</v>
      </c>
      <c r="AB183" s="164">
        <f t="shared" si="12"/>
        <v>24.015216030630036</v>
      </c>
      <c r="AC183" s="164">
        <f t="shared" si="13"/>
        <v>2.3846300244401551E-4</v>
      </c>
      <c r="AH183" s="77"/>
    </row>
    <row r="184" spans="9:34" x14ac:dyDescent="0.25">
      <c r="I184" s="124">
        <v>4.8816270921500003E-2</v>
      </c>
      <c r="J184" s="47">
        <v>1.5478954239878547E-3</v>
      </c>
      <c r="K184" s="47">
        <v>1.0464767120156436E-4</v>
      </c>
      <c r="L184" s="63">
        <v>1.7392635639191837E-3</v>
      </c>
      <c r="M184" s="30"/>
      <c r="N184" s="17">
        <v>1.0510309316474434E-6</v>
      </c>
      <c r="O184" s="17">
        <v>1.4672810784989186E-10</v>
      </c>
      <c r="P184" s="17">
        <v>4.7683084927642894E-8</v>
      </c>
      <c r="Q184" s="25">
        <v>0.71369298486326438</v>
      </c>
      <c r="R184" s="58">
        <v>321.73172842681385</v>
      </c>
      <c r="S184" s="55">
        <v>2.3846300244401552E-6</v>
      </c>
      <c r="U184" s="1"/>
      <c r="V184" s="1"/>
      <c r="W184" s="1"/>
      <c r="X184" s="163">
        <f t="shared" si="10"/>
        <v>0.48816270921500005</v>
      </c>
      <c r="Y184" s="164">
        <f t="shared" si="11"/>
        <v>1.5478954239878547E-3</v>
      </c>
      <c r="Z184" s="164">
        <f t="shared" si="11"/>
        <v>1.0464767120156436E-4</v>
      </c>
      <c r="AA184" s="164">
        <f t="shared" si="11"/>
        <v>1.7392635639191837E-3</v>
      </c>
      <c r="AB184" s="164">
        <f t="shared" si="12"/>
        <v>23.812827157318615</v>
      </c>
      <c r="AC184" s="164">
        <f t="shared" si="13"/>
        <v>2.3846300244401551E-4</v>
      </c>
      <c r="AH184" s="77"/>
    </row>
    <row r="185" spans="9:34" x14ac:dyDescent="0.25">
      <c r="I185" s="124">
        <v>4.9304433630700001E-2</v>
      </c>
      <c r="J185" s="47">
        <v>1.5057387359341959E-3</v>
      </c>
      <c r="K185" s="47">
        <v>1.025586601631947E-4</v>
      </c>
      <c r="L185" s="63">
        <v>1.766939996540703E-3</v>
      </c>
      <c r="M185" s="30"/>
      <c r="N185" s="17">
        <v>1.0853103688899961E-6</v>
      </c>
      <c r="O185" s="17">
        <v>1.4492734106626647E-10</v>
      </c>
      <c r="P185" s="17">
        <v>4.6975927014257917E-8</v>
      </c>
      <c r="Q185" s="25">
        <v>0.71369298486326438</v>
      </c>
      <c r="R185" s="58">
        <v>321.73172842681385</v>
      </c>
      <c r="S185" s="55">
        <v>2.4000032780819523E-6</v>
      </c>
      <c r="U185" s="1"/>
      <c r="V185" s="1"/>
      <c r="W185" s="1"/>
      <c r="X185" s="163">
        <f t="shared" si="10"/>
        <v>0.49304433630700001</v>
      </c>
      <c r="Y185" s="164">
        <f t="shared" si="11"/>
        <v>1.5057387359341959E-3</v>
      </c>
      <c r="Z185" s="164">
        <f t="shared" si="11"/>
        <v>1.025586601631947E-4</v>
      </c>
      <c r="AA185" s="164">
        <f t="shared" si="11"/>
        <v>1.766939996540703E-3</v>
      </c>
      <c r="AB185" s="164">
        <f t="shared" si="12"/>
        <v>23.812827157318615</v>
      </c>
      <c r="AC185" s="164">
        <f t="shared" si="13"/>
        <v>2.4000032780819523E-4</v>
      </c>
    </row>
    <row r="186" spans="9:34" x14ac:dyDescent="0.25">
      <c r="I186" s="124">
        <v>4.9797477967000001E-2</v>
      </c>
      <c r="J186" s="47">
        <v>1.5204820588694031E-3</v>
      </c>
      <c r="K186" s="47">
        <v>1.0409637798371451E-4</v>
      </c>
      <c r="L186" s="63">
        <v>1.7790690430926003E-3</v>
      </c>
      <c r="M186" s="30"/>
      <c r="N186" s="17">
        <v>1.1261970806336739E-6</v>
      </c>
      <c r="O186" s="17">
        <v>1.4279836264142212E-10</v>
      </c>
      <c r="P186" s="17">
        <v>4.6139880973068958E-8</v>
      </c>
      <c r="Q186" s="25">
        <v>0.71369298486326438</v>
      </c>
      <c r="R186" s="58">
        <v>323.75561715992802</v>
      </c>
      <c r="S186" s="55">
        <v>2.4000032780819523E-6</v>
      </c>
      <c r="U186" s="1"/>
      <c r="V186" s="1"/>
      <c r="W186" s="1"/>
      <c r="X186" s="163">
        <f t="shared" si="10"/>
        <v>0.49797477967000003</v>
      </c>
      <c r="Y186" s="164">
        <f t="shared" si="11"/>
        <v>1.5204820588694031E-3</v>
      </c>
      <c r="Z186" s="164">
        <f t="shared" si="11"/>
        <v>1.0409637798371451E-4</v>
      </c>
      <c r="AA186" s="164">
        <f t="shared" si="11"/>
        <v>1.7790690430926003E-3</v>
      </c>
      <c r="AB186" s="164">
        <f t="shared" si="12"/>
        <v>23.610438284007198</v>
      </c>
      <c r="AC186" s="164">
        <f t="shared" si="13"/>
        <v>2.4000032780819523E-4</v>
      </c>
    </row>
    <row r="187" spans="9:34" x14ac:dyDescent="0.25">
      <c r="I187" s="124">
        <v>5.0295452746699998E-2</v>
      </c>
      <c r="J187" s="47">
        <v>1.6042976554932417E-3</v>
      </c>
      <c r="K187" s="47">
        <v>1.0906897032936965E-4</v>
      </c>
      <c r="L187" s="63">
        <v>1.7754825432275685E-3</v>
      </c>
      <c r="M187" s="30"/>
      <c r="N187" s="17">
        <v>1.1742359258475487E-6</v>
      </c>
      <c r="O187" s="17">
        <v>1.4031356200345485E-10</v>
      </c>
      <c r="P187" s="17">
        <v>4.5164104181592932E-8</v>
      </c>
      <c r="Q187" s="25">
        <v>0.71369298486326438</v>
      </c>
      <c r="R187" s="58">
        <v>323.75561715992802</v>
      </c>
      <c r="S187" s="55">
        <v>2.4051594061217929E-6</v>
      </c>
      <c r="U187" s="1"/>
      <c r="V187" s="1"/>
      <c r="W187" s="1"/>
      <c r="X187" s="163">
        <f t="shared" si="10"/>
        <v>0.50295452746699998</v>
      </c>
      <c r="Y187" s="164">
        <f t="shared" si="11"/>
        <v>1.6042976554932417E-3</v>
      </c>
      <c r="Z187" s="164">
        <f t="shared" si="11"/>
        <v>1.0906897032936965E-4</v>
      </c>
      <c r="AA187" s="164">
        <f t="shared" si="11"/>
        <v>1.7754825432275685E-3</v>
      </c>
      <c r="AB187" s="164">
        <f t="shared" si="12"/>
        <v>23.610438284007198</v>
      </c>
      <c r="AC187" s="164">
        <f t="shared" si="13"/>
        <v>2.405159406121793E-4</v>
      </c>
    </row>
    <row r="188" spans="9:34" x14ac:dyDescent="0.25">
      <c r="I188" s="124">
        <v>5.07984072742E-2</v>
      </c>
      <c r="J188" s="47">
        <v>1.471178599004792E-3</v>
      </c>
      <c r="K188" s="47">
        <v>1.0212778076132086E-4</v>
      </c>
      <c r="L188" s="63">
        <v>1.7563288394055255E-3</v>
      </c>
      <c r="M188" s="30"/>
      <c r="N188" s="17">
        <v>1.2298653857273019E-6</v>
      </c>
      <c r="O188" s="17">
        <v>1.374505810030762E-10</v>
      </c>
      <c r="P188" s="17">
        <v>4.4039816634366721E-8</v>
      </c>
      <c r="Q188" s="25">
        <v>0.71369298486326438</v>
      </c>
      <c r="R188" s="58">
        <v>325.7795058930422</v>
      </c>
      <c r="S188" s="55">
        <v>2.4051594061217929E-6</v>
      </c>
      <c r="U188" s="1"/>
      <c r="V188" s="1"/>
      <c r="W188" s="1"/>
      <c r="X188" s="163">
        <f t="shared" si="10"/>
        <v>0.50798407274199997</v>
      </c>
      <c r="Y188" s="164">
        <f t="shared" si="11"/>
        <v>1.471178599004792E-3</v>
      </c>
      <c r="Z188" s="164">
        <f t="shared" si="11"/>
        <v>1.0212778076132086E-4</v>
      </c>
      <c r="AA188" s="164">
        <f t="shared" si="11"/>
        <v>1.7563288394055255E-3</v>
      </c>
      <c r="AB188" s="164">
        <f t="shared" si="12"/>
        <v>23.408049410695781</v>
      </c>
      <c r="AC188" s="164">
        <f t="shared" si="13"/>
        <v>2.405159406121793E-4</v>
      </c>
    </row>
    <row r="189" spans="9:34" x14ac:dyDescent="0.25">
      <c r="I189" s="124">
        <v>5.1306391346900002E-2</v>
      </c>
      <c r="J189" s="47">
        <v>1.5082213054195999E-3</v>
      </c>
      <c r="K189" s="47">
        <v>1.040735169992931E-4</v>
      </c>
      <c r="L189" s="63">
        <v>1.7220695080807343E-3</v>
      </c>
      <c r="M189" s="30"/>
      <c r="N189" s="17">
        <v>1.2933832188811225E-6</v>
      </c>
      <c r="O189" s="17">
        <v>1.3419407315542558E-10</v>
      </c>
      <c r="P189" s="17">
        <v>4.2760991794078309E-8</v>
      </c>
      <c r="Q189" s="25">
        <v>0.71369298486326438</v>
      </c>
      <c r="R189" s="58">
        <v>325.7795058930422</v>
      </c>
      <c r="S189" s="55">
        <v>2.4000032780819523E-6</v>
      </c>
      <c r="U189" s="1"/>
      <c r="V189" s="1"/>
      <c r="W189" s="1"/>
      <c r="X189" s="163">
        <f t="shared" si="10"/>
        <v>0.51306391346900004</v>
      </c>
      <c r="Y189" s="164">
        <f t="shared" si="11"/>
        <v>1.5082213054195999E-3</v>
      </c>
      <c r="Z189" s="164">
        <f t="shared" si="11"/>
        <v>1.040735169992931E-4</v>
      </c>
      <c r="AA189" s="164">
        <f t="shared" si="11"/>
        <v>1.7220695080807343E-3</v>
      </c>
      <c r="AB189" s="164">
        <f t="shared" si="12"/>
        <v>23.408049410695781</v>
      </c>
      <c r="AC189" s="164">
        <f t="shared" si="13"/>
        <v>2.4000032780819523E-4</v>
      </c>
    </row>
    <row r="190" spans="9:34" x14ac:dyDescent="0.25">
      <c r="I190" s="124">
        <v>5.1819455260400001E-2</v>
      </c>
      <c r="J190" s="47">
        <v>1.5341863721841291E-3</v>
      </c>
      <c r="K190" s="47">
        <v>1.062899463102209E-4</v>
      </c>
      <c r="L190" s="63">
        <v>1.6734681577374759E-3</v>
      </c>
      <c r="M190" s="30"/>
      <c r="N190" s="17">
        <v>1.3649144859500582E-6</v>
      </c>
      <c r="O190" s="17">
        <v>1.3053734539043986E-10</v>
      </c>
      <c r="P190" s="17">
        <v>4.132500130401707E-8</v>
      </c>
      <c r="Q190" s="25">
        <v>0.71369298486326438</v>
      </c>
      <c r="R190" s="58">
        <v>327.80339462615638</v>
      </c>
      <c r="S190" s="55">
        <v>2.4000032780819523E-6</v>
      </c>
      <c r="U190" s="1"/>
      <c r="V190" s="1"/>
      <c r="W190" s="1"/>
      <c r="X190" s="163">
        <f t="shared" si="10"/>
        <v>0.51819455260400005</v>
      </c>
      <c r="Y190" s="164">
        <f t="shared" si="11"/>
        <v>1.5341863721841291E-3</v>
      </c>
      <c r="Z190" s="164">
        <f t="shared" si="11"/>
        <v>1.062899463102209E-4</v>
      </c>
      <c r="AA190" s="164">
        <f t="shared" si="11"/>
        <v>1.6734681577374759E-3</v>
      </c>
      <c r="AB190" s="164">
        <f t="shared" si="12"/>
        <v>23.205660537384365</v>
      </c>
      <c r="AC190" s="164">
        <f t="shared" si="13"/>
        <v>2.4000032780819523E-4</v>
      </c>
    </row>
    <row r="191" spans="9:34" x14ac:dyDescent="0.25">
      <c r="I191" s="124">
        <v>5.2337649813000001E-2</v>
      </c>
      <c r="J191" s="47">
        <v>1.3567409589788761E-3</v>
      </c>
      <c r="K191" s="47">
        <v>6.3068227026390308E-5</v>
      </c>
      <c r="L191" s="63">
        <v>1.6115713733133767E-3</v>
      </c>
      <c r="M191" s="30"/>
      <c r="N191" s="17">
        <v>1.4443844531018287E-6</v>
      </c>
      <c r="O191" s="17">
        <v>1.2648375373766478E-10</v>
      </c>
      <c r="P191" s="17">
        <v>3.9733163071017146E-8</v>
      </c>
      <c r="Q191" s="25">
        <v>0.71369298486326438</v>
      </c>
      <c r="R191" s="58">
        <v>327.80339462615638</v>
      </c>
      <c r="S191" s="55">
        <v>2.3846300244401552E-6</v>
      </c>
      <c r="U191" s="1"/>
      <c r="V191" s="1"/>
      <c r="W191" s="1"/>
      <c r="X191" s="163">
        <f t="shared" si="10"/>
        <v>0.52337649812999998</v>
      </c>
      <c r="Y191" s="164">
        <f t="shared" si="11"/>
        <v>1.3567409589788761E-3</v>
      </c>
      <c r="Z191" s="164">
        <f t="shared" si="11"/>
        <v>6.3068227026390308E-5</v>
      </c>
      <c r="AA191" s="164">
        <f t="shared" si="11"/>
        <v>1.6115713733133767E-3</v>
      </c>
      <c r="AB191" s="164">
        <f t="shared" si="12"/>
        <v>23.205660537384365</v>
      </c>
      <c r="AC191" s="164">
        <f t="shared" si="13"/>
        <v>2.3846300244401551E-4</v>
      </c>
    </row>
    <row r="192" spans="9:34" x14ac:dyDescent="0.25">
      <c r="I192" s="124">
        <v>5.2861026311099998E-2</v>
      </c>
      <c r="J192" s="47">
        <v>1.3542166583361476E-3</v>
      </c>
      <c r="K192" s="47">
        <v>6.1778610861386679E-5</v>
      </c>
      <c r="L192" s="63">
        <v>1.5376821256853582E-3</v>
      </c>
      <c r="M192" s="30"/>
      <c r="N192" s="17">
        <v>1.5314988386783147E-6</v>
      </c>
      <c r="O192" s="17">
        <v>1.2204772678731945E-10</v>
      </c>
      <c r="P192" s="17">
        <v>3.7991143176797278E-8</v>
      </c>
      <c r="Q192" s="25">
        <v>0.71369298486326438</v>
      </c>
      <c r="R192" s="58">
        <v>329.82728335927055</v>
      </c>
      <c r="S192" s="55">
        <v>2.3846300244401552E-6</v>
      </c>
      <c r="U192" s="1"/>
      <c r="V192" s="1"/>
      <c r="W192" s="1"/>
      <c r="X192" s="163">
        <f t="shared" si="10"/>
        <v>0.52861026311100001</v>
      </c>
      <c r="Y192" s="164">
        <f t="shared" si="11"/>
        <v>1.3542166583361476E-3</v>
      </c>
      <c r="Z192" s="164">
        <f t="shared" si="11"/>
        <v>6.1778610861386679E-5</v>
      </c>
      <c r="AA192" s="164">
        <f t="shared" si="11"/>
        <v>1.5376821256853582E-3</v>
      </c>
      <c r="AB192" s="164">
        <f t="shared" si="12"/>
        <v>23.003271664072948</v>
      </c>
      <c r="AC192" s="164">
        <f t="shared" si="13"/>
        <v>2.3846300244401551E-4</v>
      </c>
    </row>
    <row r="193" spans="9:29" x14ac:dyDescent="0.25">
      <c r="I193" s="124">
        <v>5.3389636574199997E-2</v>
      </c>
      <c r="J193" s="47">
        <v>1.235775127272315E-3</v>
      </c>
      <c r="K193" s="47">
        <v>5.7099120887249751E-5</v>
      </c>
      <c r="L193" s="63">
        <v>1.453326210777043E-3</v>
      </c>
      <c r="M193" s="30"/>
      <c r="N193" s="17">
        <v>1.6257335849128546E-6</v>
      </c>
      <c r="O193" s="17">
        <v>1.1725530528061853E-10</v>
      </c>
      <c r="P193" s="17">
        <v>3.6109167774120741E-8</v>
      </c>
      <c r="Q193" s="25">
        <v>0.71369298486326438</v>
      </c>
      <c r="R193" s="58">
        <v>329.82728335927055</v>
      </c>
      <c r="S193" s="55">
        <v>2.3593229640482888E-6</v>
      </c>
      <c r="U193" s="1"/>
      <c r="V193" s="1"/>
      <c r="W193" s="1"/>
      <c r="X193" s="163">
        <f t="shared" si="10"/>
        <v>0.53389636574199995</v>
      </c>
      <c r="Y193" s="164">
        <f t="shared" si="11"/>
        <v>1.235775127272315E-3</v>
      </c>
      <c r="Z193" s="164">
        <f t="shared" si="11"/>
        <v>5.7099120887249751E-5</v>
      </c>
      <c r="AA193" s="164">
        <f t="shared" si="11"/>
        <v>1.453326210777043E-3</v>
      </c>
      <c r="AB193" s="164">
        <f t="shared" si="12"/>
        <v>23.003271664072948</v>
      </c>
      <c r="AC193" s="164">
        <f t="shared" si="13"/>
        <v>2.3593229640482888E-4</v>
      </c>
    </row>
    <row r="194" spans="9:29" x14ac:dyDescent="0.25">
      <c r="I194" s="124">
        <v>5.3923532939999998E-2</v>
      </c>
      <c r="J194" s="47">
        <v>1.2691917531797397E-3</v>
      </c>
      <c r="K194" s="47">
        <v>5.7882745797094816E-5</v>
      </c>
      <c r="L194" s="63">
        <v>1.3602125264119622E-3</v>
      </c>
      <c r="M194" s="30"/>
      <c r="N194" s="17">
        <v>1.7263358195242468E-6</v>
      </c>
      <c r="O194" s="17">
        <v>1.1214411263503569E-10</v>
      </c>
      <c r="P194" s="17">
        <v>3.4102011512118678E-8</v>
      </c>
      <c r="Q194" s="25">
        <v>0.71369298486326438</v>
      </c>
      <c r="R194" s="58">
        <v>331.85117209238473</v>
      </c>
      <c r="S194" s="55">
        <v>2.3593229640482888E-6</v>
      </c>
      <c r="U194" s="1"/>
      <c r="V194" s="1"/>
      <c r="W194" s="1"/>
      <c r="X194" s="163">
        <f t="shared" si="10"/>
        <v>0.53923532939999996</v>
      </c>
      <c r="Y194" s="164">
        <f t="shared" si="11"/>
        <v>1.2691917531797397E-3</v>
      </c>
      <c r="Z194" s="164">
        <f t="shared" si="11"/>
        <v>5.7882745797094816E-5</v>
      </c>
      <c r="AA194" s="164">
        <f t="shared" si="11"/>
        <v>1.3602125264119622E-3</v>
      </c>
      <c r="AB194" s="164">
        <f t="shared" si="12"/>
        <v>22.800882790761527</v>
      </c>
      <c r="AC194" s="164">
        <f t="shared" si="13"/>
        <v>2.3593229640482888E-4</v>
      </c>
    </row>
    <row r="195" spans="9:29" x14ac:dyDescent="0.25">
      <c r="I195" s="123">
        <v>5.4462768269399997E-2</v>
      </c>
      <c r="J195" s="47">
        <v>1.0661123747087655E-3</v>
      </c>
      <c r="K195" s="47">
        <v>4.9949553984557554E-5</v>
      </c>
      <c r="L195" s="63">
        <v>1.2601882274563523E-3</v>
      </c>
      <c r="M195" s="30"/>
      <c r="N195" s="17">
        <v>1.8323369515067795E-6</v>
      </c>
      <c r="O195" s="17">
        <v>1.0676270798576086E-10</v>
      </c>
      <c r="P195" s="17">
        <v>3.1988743476820962E-8</v>
      </c>
      <c r="Q195" s="25">
        <v>0.71369298486326438</v>
      </c>
      <c r="R195" s="58">
        <v>331.85117209238473</v>
      </c>
      <c r="S195" s="55">
        <v>2.3245473683167169E-6</v>
      </c>
      <c r="U195" s="1"/>
      <c r="V195" s="1"/>
      <c r="W195" s="1"/>
      <c r="X195" s="163">
        <f t="shared" si="10"/>
        <v>0.54462768269399997</v>
      </c>
      <c r="Y195" s="164">
        <f t="shared" si="11"/>
        <v>1.0661123747087655E-3</v>
      </c>
      <c r="Z195" s="164">
        <f t="shared" si="11"/>
        <v>4.9949553984557554E-5</v>
      </c>
      <c r="AA195" s="164">
        <f t="shared" si="11"/>
        <v>1.2601882274563523E-3</v>
      </c>
      <c r="AB195" s="164">
        <f t="shared" si="12"/>
        <v>22.800882790761527</v>
      </c>
      <c r="AC195" s="164">
        <f t="shared" si="13"/>
        <v>2.3245473683167168E-4</v>
      </c>
    </row>
    <row r="196" spans="9:29" x14ac:dyDescent="0.25">
      <c r="I196" s="123">
        <v>5.5007395952099997E-2</v>
      </c>
      <c r="J196" s="47">
        <v>1.0088039004735464E-3</v>
      </c>
      <c r="K196" s="47">
        <v>4.830199315250753E-5</v>
      </c>
      <c r="L196" s="63">
        <v>1.1551900108228786E-3</v>
      </c>
      <c r="M196" s="30"/>
      <c r="N196" s="17">
        <v>1.9425779806858671E-6</v>
      </c>
      <c r="O196" s="17">
        <v>1.0116931740158008E-10</v>
      </c>
      <c r="P196" s="17">
        <v>2.9792228941888649E-8</v>
      </c>
      <c r="Q196" s="25">
        <v>0.71369298486326438</v>
      </c>
      <c r="R196" s="58">
        <v>333.87506082549891</v>
      </c>
      <c r="S196" s="55">
        <v>2.3245473683167169E-6</v>
      </c>
      <c r="U196" s="1"/>
      <c r="V196" s="1"/>
      <c r="W196" s="1"/>
      <c r="X196" s="163">
        <f t="shared" ref="X196:X233" si="14">I196*10</f>
        <v>0.55007395952100002</v>
      </c>
      <c r="Y196" s="164">
        <f t="shared" ref="Y196:AA233" si="15">J196</f>
        <v>1.0088039004735464E-3</v>
      </c>
      <c r="Z196" s="164">
        <f t="shared" si="15"/>
        <v>4.830199315250753E-5</v>
      </c>
      <c r="AA196" s="164">
        <f t="shared" si="15"/>
        <v>1.1551900108228786E-3</v>
      </c>
      <c r="AB196" s="164">
        <f t="shared" ref="AB196:AB259" si="16">(559.86-R196)/10</f>
        <v>22.59849391745011</v>
      </c>
      <c r="AC196" s="164">
        <f t="shared" ref="AC196:AC259" si="17">S196*100</f>
        <v>2.3245473683167168E-4</v>
      </c>
    </row>
    <row r="197" spans="9:29" x14ac:dyDescent="0.25">
      <c r="I197" s="123">
        <v>5.5557469911600002E-2</v>
      </c>
      <c r="J197" s="47">
        <v>9.7715252628619671E-4</v>
      </c>
      <c r="K197" s="47">
        <v>4.8349940119212615E-5</v>
      </c>
      <c r="L197" s="63">
        <v>1.0471929619020126E-3</v>
      </c>
      <c r="M197" s="30"/>
      <c r="N197" s="17">
        <v>2.0557461731029464E-6</v>
      </c>
      <c r="O197" s="17">
        <v>9.5429986161374968E-11</v>
      </c>
      <c r="P197" s="17">
        <v>2.7538403770881394E-8</v>
      </c>
      <c r="Q197" s="25">
        <v>0.71369298486326438</v>
      </c>
      <c r="R197" s="58">
        <v>333.87506082549891</v>
      </c>
      <c r="S197" s="55">
        <v>2.2809400213609138E-6</v>
      </c>
      <c r="U197" s="1"/>
      <c r="V197" s="1"/>
      <c r="W197" s="1"/>
      <c r="X197" s="163">
        <f t="shared" si="14"/>
        <v>0.55557469911599999</v>
      </c>
      <c r="Y197" s="164">
        <f t="shared" si="15"/>
        <v>9.7715252628619671E-4</v>
      </c>
      <c r="Z197" s="164">
        <f t="shared" si="15"/>
        <v>4.8349940119212615E-5</v>
      </c>
      <c r="AA197" s="164">
        <f t="shared" si="15"/>
        <v>1.0471929619020126E-3</v>
      </c>
      <c r="AB197" s="164">
        <f t="shared" si="16"/>
        <v>22.59849391745011</v>
      </c>
      <c r="AC197" s="164">
        <f t="shared" si="17"/>
        <v>2.2809400213609138E-4</v>
      </c>
    </row>
    <row r="198" spans="9:29" x14ac:dyDescent="0.25">
      <c r="I198" s="123">
        <v>5.6113044610699998E-2</v>
      </c>
      <c r="J198" s="47">
        <v>8.6659552328437607E-4</v>
      </c>
      <c r="K198" s="47">
        <v>4.2341124101255558E-5</v>
      </c>
      <c r="L198" s="63">
        <v>9.381585313555915E-4</v>
      </c>
      <c r="M198" s="30"/>
      <c r="N198" s="17">
        <v>2.1416915105999112E-6</v>
      </c>
      <c r="O198" s="17">
        <v>9.1072610263260333E-11</v>
      </c>
      <c r="P198" s="17">
        <v>2.5827270004989196E-8</v>
      </c>
      <c r="Q198" s="25">
        <v>0.35684649243163219</v>
      </c>
      <c r="R198" s="58">
        <v>335.89894955861308</v>
      </c>
      <c r="S198" s="55">
        <v>2.2809400213609138E-6</v>
      </c>
      <c r="U198" s="1"/>
      <c r="V198" s="1"/>
      <c r="W198" s="1"/>
      <c r="X198" s="163">
        <f t="shared" si="14"/>
        <v>0.56113044610700002</v>
      </c>
      <c r="Y198" s="164">
        <f t="shared" si="15"/>
        <v>8.6659552328437607E-4</v>
      </c>
      <c r="Z198" s="164">
        <f t="shared" si="15"/>
        <v>4.2341124101255558E-5</v>
      </c>
      <c r="AA198" s="164">
        <f t="shared" si="15"/>
        <v>9.381585313555915E-4</v>
      </c>
      <c r="AB198" s="164">
        <f t="shared" si="16"/>
        <v>22.396105044138693</v>
      </c>
      <c r="AC198" s="164">
        <f t="shared" si="17"/>
        <v>2.2809400213609138E-4</v>
      </c>
    </row>
    <row r="199" spans="9:29" x14ac:dyDescent="0.25">
      <c r="I199" s="123">
        <v>5.6674175056800002E-2</v>
      </c>
      <c r="J199" s="47">
        <v>7.697822735832433E-4</v>
      </c>
      <c r="K199" s="47">
        <v>3.8702969707139663E-5</v>
      </c>
      <c r="L199" s="63">
        <v>8.2998329819748196E-4</v>
      </c>
      <c r="M199" s="30"/>
      <c r="N199" s="17">
        <v>2.1971106880824975E-6</v>
      </c>
      <c r="O199" s="17">
        <v>8.8243445079177019E-11</v>
      </c>
      <c r="P199" s="17">
        <v>2.4716261868666253E-8</v>
      </c>
      <c r="Q199" s="25">
        <v>0.33636363636363636</v>
      </c>
      <c r="R199" s="58">
        <v>335.89894955861308</v>
      </c>
      <c r="S199" s="55">
        <v>2.2292945502592072E-6</v>
      </c>
      <c r="U199" s="1"/>
      <c r="V199" s="1"/>
      <c r="W199" s="1"/>
      <c r="X199" s="163">
        <f t="shared" si="14"/>
        <v>0.56674175056800002</v>
      </c>
      <c r="Y199" s="164">
        <f t="shared" si="15"/>
        <v>7.697822735832433E-4</v>
      </c>
      <c r="Z199" s="164">
        <f t="shared" si="15"/>
        <v>3.8702969707139663E-5</v>
      </c>
      <c r="AA199" s="164">
        <f t="shared" si="15"/>
        <v>8.2998329819748196E-4</v>
      </c>
      <c r="AB199" s="164">
        <f t="shared" si="16"/>
        <v>22.396105044138693</v>
      </c>
      <c r="AC199" s="164">
        <f t="shared" si="17"/>
        <v>2.2292945502592072E-4</v>
      </c>
    </row>
    <row r="200" spans="9:29" x14ac:dyDescent="0.25">
      <c r="I200" s="123">
        <v>5.7240916807399997E-2</v>
      </c>
      <c r="J200" s="47">
        <v>6.5137277466996511E-4</v>
      </c>
      <c r="K200" s="47">
        <v>3.4897379675195297E-5</v>
      </c>
      <c r="L200" s="63">
        <v>7.2445020229168575E-4</v>
      </c>
      <c r="M200" s="30"/>
      <c r="N200" s="17">
        <v>2.2782486104769867E-6</v>
      </c>
      <c r="O200" s="17">
        <v>8.4134889593007354E-11</v>
      </c>
      <c r="P200" s="17">
        <v>2.3102839435940382E-8</v>
      </c>
      <c r="Q200" s="25">
        <v>0.67272727272727273</v>
      </c>
      <c r="R200" s="58">
        <v>337.92283829172726</v>
      </c>
      <c r="S200" s="55">
        <v>2.2292945502592072E-6</v>
      </c>
      <c r="U200" s="1"/>
      <c r="V200" s="1"/>
      <c r="W200" s="1"/>
      <c r="X200" s="163">
        <f t="shared" si="14"/>
        <v>0.572409168074</v>
      </c>
      <c r="Y200" s="164">
        <f t="shared" si="15"/>
        <v>6.5137277466996511E-4</v>
      </c>
      <c r="Z200" s="164">
        <f t="shared" si="15"/>
        <v>3.4897379675195297E-5</v>
      </c>
      <c r="AA200" s="164">
        <f t="shared" si="15"/>
        <v>7.2445020229168575E-4</v>
      </c>
      <c r="AB200" s="164">
        <f t="shared" si="16"/>
        <v>22.193716170827276</v>
      </c>
      <c r="AC200" s="164">
        <f t="shared" si="17"/>
        <v>2.2292945502592072E-4</v>
      </c>
    </row>
    <row r="201" spans="9:29" x14ac:dyDescent="0.25">
      <c r="I201" s="123">
        <v>5.7813325975400003E-2</v>
      </c>
      <c r="J201" s="47">
        <v>5.7104880559714151E-4</v>
      </c>
      <c r="K201" s="47">
        <v>3.1262127445455292E-5</v>
      </c>
      <c r="L201" s="63">
        <v>6.2318389164247483E-4</v>
      </c>
      <c r="M201" s="30"/>
      <c r="N201" s="17">
        <v>2.3852650732642888E-6</v>
      </c>
      <c r="O201" s="17">
        <v>7.8715930582739762E-11</v>
      </c>
      <c r="P201" s="17">
        <v>2.0974823868963868E-8</v>
      </c>
      <c r="Q201" s="25">
        <v>0.67272727272727273</v>
      </c>
      <c r="R201" s="58">
        <v>337.92283829172726</v>
      </c>
      <c r="S201" s="55">
        <v>2.1705425692575145E-6</v>
      </c>
      <c r="U201" s="1"/>
      <c r="V201" s="1"/>
      <c r="W201" s="1"/>
      <c r="X201" s="163">
        <f t="shared" si="14"/>
        <v>0.57813325975399998</v>
      </c>
      <c r="Y201" s="164">
        <f t="shared" si="15"/>
        <v>5.7104880559714151E-4</v>
      </c>
      <c r="Z201" s="164">
        <f t="shared" si="15"/>
        <v>3.1262127445455292E-5</v>
      </c>
      <c r="AA201" s="164">
        <f t="shared" si="15"/>
        <v>6.2318389164247483E-4</v>
      </c>
      <c r="AB201" s="164">
        <f t="shared" si="16"/>
        <v>22.193716170827276</v>
      </c>
      <c r="AC201" s="164">
        <f t="shared" si="17"/>
        <v>2.1705425692575145E-4</v>
      </c>
    </row>
    <row r="202" spans="9:29" x14ac:dyDescent="0.25">
      <c r="I202" s="123">
        <v>5.8391459235199998E-2</v>
      </c>
      <c r="J202" s="47">
        <v>4.8494632931584422E-4</v>
      </c>
      <c r="K202" s="47">
        <v>2.7586633316131105E-5</v>
      </c>
      <c r="L202" s="63">
        <v>5.2761172316937658E-4</v>
      </c>
      <c r="M202" s="30"/>
      <c r="N202" s="17">
        <v>2.4898599774308442E-6</v>
      </c>
      <c r="O202" s="17">
        <v>7.3419591244609191E-11</v>
      </c>
      <c r="P202" s="17">
        <v>1.8894960823444309E-8</v>
      </c>
      <c r="Q202" s="25">
        <v>0.67272727272727273</v>
      </c>
      <c r="R202" s="58">
        <v>339.94672702484144</v>
      </c>
      <c r="S202" s="55">
        <v>2.1705425692575145E-6</v>
      </c>
      <c r="U202" s="1"/>
      <c r="V202" s="1"/>
      <c r="W202" s="1"/>
      <c r="X202" s="163">
        <f t="shared" si="14"/>
        <v>0.58391459235199994</v>
      </c>
      <c r="Y202" s="164">
        <f t="shared" si="15"/>
        <v>4.8494632931584422E-4</v>
      </c>
      <c r="Z202" s="164">
        <f t="shared" si="15"/>
        <v>2.7586633316131105E-5</v>
      </c>
      <c r="AA202" s="164">
        <f t="shared" si="15"/>
        <v>5.2761172316937658E-4</v>
      </c>
      <c r="AB202" s="164">
        <f t="shared" si="16"/>
        <v>21.991327297515859</v>
      </c>
      <c r="AC202" s="164">
        <f t="shared" si="17"/>
        <v>2.1705425692575145E-4</v>
      </c>
    </row>
    <row r="203" spans="9:29" x14ac:dyDescent="0.25">
      <c r="I203" s="123">
        <v>5.89753738276E-2</v>
      </c>
      <c r="J203" s="47">
        <v>4.3813260354675482E-4</v>
      </c>
      <c r="K203" s="47">
        <v>2.5947383362691433E-5</v>
      </c>
      <c r="L203" s="63">
        <v>4.3893178097623273E-4</v>
      </c>
      <c r="M203" s="30"/>
      <c r="N203" s="17">
        <v>2.5909248667592137E-6</v>
      </c>
      <c r="O203" s="17">
        <v>6.8301999956953033E-11</v>
      </c>
      <c r="P203" s="17">
        <v>1.6885291782170535E-8</v>
      </c>
      <c r="Q203" s="25">
        <v>0.67272727272727273</v>
      </c>
      <c r="R203" s="58">
        <v>339.94672702484144</v>
      </c>
      <c r="S203" s="55">
        <v>2.1057308125796915E-6</v>
      </c>
      <c r="U203" s="1"/>
      <c r="V203" s="1"/>
      <c r="W203" s="1"/>
      <c r="X203" s="163">
        <f t="shared" si="14"/>
        <v>0.58975373827599997</v>
      </c>
      <c r="Y203" s="164">
        <f t="shared" si="15"/>
        <v>4.3813260354675482E-4</v>
      </c>
      <c r="Z203" s="164">
        <f t="shared" si="15"/>
        <v>2.5947383362691433E-5</v>
      </c>
      <c r="AA203" s="164">
        <f t="shared" si="15"/>
        <v>4.3893178097623273E-4</v>
      </c>
      <c r="AB203" s="164">
        <f t="shared" si="16"/>
        <v>21.991327297515859</v>
      </c>
      <c r="AC203" s="164">
        <f t="shared" si="17"/>
        <v>2.1057308125796916E-4</v>
      </c>
    </row>
    <row r="204" spans="9:29" x14ac:dyDescent="0.25">
      <c r="I204" s="123">
        <v>5.95651275658E-2</v>
      </c>
      <c r="J204" s="47">
        <v>3.798787397744406E-4</v>
      </c>
      <c r="K204" s="47">
        <v>2.3831326809853511E-5</v>
      </c>
      <c r="L204" s="63">
        <v>3.5808903459611365E-4</v>
      </c>
      <c r="M204" s="30"/>
      <c r="N204" s="17">
        <v>2.6874675197525563E-6</v>
      </c>
      <c r="O204" s="17">
        <v>6.3413398541205612E-11</v>
      </c>
      <c r="P204" s="17">
        <v>1.4965546436826747E-8</v>
      </c>
      <c r="Q204" s="25">
        <v>0.67272727272727273</v>
      </c>
      <c r="R204" s="58">
        <v>341.97061575795561</v>
      </c>
      <c r="S204" s="55">
        <v>2.1057308125796915E-6</v>
      </c>
      <c r="U204" s="1"/>
      <c r="V204" s="1"/>
      <c r="W204" s="1"/>
      <c r="X204" s="163">
        <f t="shared" si="14"/>
        <v>0.59565127565800002</v>
      </c>
      <c r="Y204" s="164">
        <f t="shared" si="15"/>
        <v>3.798787397744406E-4</v>
      </c>
      <c r="Z204" s="164">
        <f t="shared" si="15"/>
        <v>2.3831326809853511E-5</v>
      </c>
      <c r="AA204" s="164">
        <f t="shared" si="15"/>
        <v>3.5808903459611365E-4</v>
      </c>
      <c r="AB204" s="164">
        <f t="shared" si="16"/>
        <v>21.788938424204439</v>
      </c>
      <c r="AC204" s="164">
        <f t="shared" si="17"/>
        <v>2.1057308125796916E-4</v>
      </c>
    </row>
    <row r="205" spans="9:29" x14ac:dyDescent="0.25">
      <c r="I205" s="124">
        <v>6.01607788415E-2</v>
      </c>
      <c r="J205" s="47">
        <v>2.9822307098981837E-4</v>
      </c>
      <c r="K205" s="47">
        <v>2.0404488030094374E-5</v>
      </c>
      <c r="L205" s="63">
        <v>2.8576046168540028E-4</v>
      </c>
      <c r="M205" s="30"/>
      <c r="N205" s="17">
        <v>2.7786406114716373E-6</v>
      </c>
      <c r="O205" s="17">
        <v>5.8796687592267497E-11</v>
      </c>
      <c r="P205" s="17">
        <v>1.3152570826970638E-8</v>
      </c>
      <c r="Q205" s="25">
        <v>0.67272727272727273</v>
      </c>
      <c r="R205" s="58">
        <v>341.97061575795561</v>
      </c>
      <c r="S205" s="55">
        <v>2.0359946166018013E-6</v>
      </c>
      <c r="U205" s="1"/>
      <c r="V205" s="1"/>
      <c r="W205" s="1"/>
      <c r="X205" s="163">
        <f t="shared" si="14"/>
        <v>0.60160778841499996</v>
      </c>
      <c r="Y205" s="164">
        <f t="shared" si="15"/>
        <v>2.9822307098981837E-4</v>
      </c>
      <c r="Z205" s="164">
        <f t="shared" si="15"/>
        <v>2.0404488030094374E-5</v>
      </c>
      <c r="AA205" s="164">
        <f t="shared" si="15"/>
        <v>2.8576046168540028E-4</v>
      </c>
      <c r="AB205" s="164">
        <f t="shared" si="16"/>
        <v>21.788938424204439</v>
      </c>
      <c r="AC205" s="164">
        <f t="shared" si="17"/>
        <v>2.0359946166018014E-4</v>
      </c>
    </row>
    <row r="206" spans="9:29" x14ac:dyDescent="0.25">
      <c r="I206" s="124">
        <v>6.0762386629900002E-2</v>
      </c>
      <c r="J206" s="47">
        <v>2.2993095370274456E-4</v>
      </c>
      <c r="K206" s="47">
        <v>1.8300288995723722E-5</v>
      </c>
      <c r="L206" s="63">
        <v>2.2234961345197771E-4</v>
      </c>
      <c r="M206" s="30"/>
      <c r="N206" s="17">
        <v>2.8637622350242462E-6</v>
      </c>
      <c r="O206" s="17">
        <v>5.4486372595158108E-11</v>
      </c>
      <c r="P206" s="17">
        <v>1.1459910759114116E-8</v>
      </c>
      <c r="Q206" s="25">
        <v>0.67272727272727273</v>
      </c>
      <c r="R206" s="58">
        <v>343.99450449106979</v>
      </c>
      <c r="S206" s="55">
        <v>2.0359946166018013E-6</v>
      </c>
      <c r="U206" s="1"/>
      <c r="V206" s="1"/>
      <c r="W206" s="1"/>
      <c r="X206" s="163">
        <f t="shared" si="14"/>
        <v>0.607623866299</v>
      </c>
      <c r="Y206" s="164">
        <f t="shared" si="15"/>
        <v>2.2993095370274456E-4</v>
      </c>
      <c r="Z206" s="164">
        <f t="shared" si="15"/>
        <v>1.8300288995723722E-5</v>
      </c>
      <c r="AA206" s="164">
        <f t="shared" si="15"/>
        <v>2.2234961345197771E-4</v>
      </c>
      <c r="AB206" s="164">
        <f t="shared" si="16"/>
        <v>21.586549550893022</v>
      </c>
      <c r="AC206" s="164">
        <f t="shared" si="17"/>
        <v>2.0359946166018014E-4</v>
      </c>
    </row>
    <row r="207" spans="9:29" x14ac:dyDescent="0.25">
      <c r="I207" s="124">
        <v>6.13700104962E-2</v>
      </c>
      <c r="J207" s="47">
        <v>1.9071552202772074E-4</v>
      </c>
      <c r="K207" s="47">
        <v>1.5928838573684908E-5</v>
      </c>
      <c r="L207" s="63">
        <v>1.6799072139269246E-4</v>
      </c>
      <c r="M207" s="30"/>
      <c r="N207" s="17">
        <v>2.9423266333494042E-6</v>
      </c>
      <c r="O207" s="17">
        <v>5.0507962324294926E-11</v>
      </c>
      <c r="P207" s="17">
        <v>9.8975648145800862E-9</v>
      </c>
      <c r="Q207" s="25">
        <v>0.67272727272727273</v>
      </c>
      <c r="R207" s="58">
        <v>343.99450449106979</v>
      </c>
      <c r="S207" s="55">
        <v>1.9625283358909061E-6</v>
      </c>
      <c r="U207" s="1"/>
      <c r="V207" s="1"/>
      <c r="W207" s="1"/>
      <c r="X207" s="163">
        <f t="shared" si="14"/>
        <v>0.613700104962</v>
      </c>
      <c r="Y207" s="164">
        <f t="shared" si="15"/>
        <v>1.9071552202772074E-4</v>
      </c>
      <c r="Z207" s="164">
        <f t="shared" si="15"/>
        <v>1.5928838573684908E-5</v>
      </c>
      <c r="AA207" s="164">
        <f t="shared" si="15"/>
        <v>1.6799072139269246E-4</v>
      </c>
      <c r="AB207" s="164">
        <f t="shared" si="16"/>
        <v>21.586549550893022</v>
      </c>
      <c r="AC207" s="164">
        <f t="shared" si="17"/>
        <v>1.9625283358909061E-4</v>
      </c>
    </row>
    <row r="208" spans="9:29" x14ac:dyDescent="0.25">
      <c r="I208" s="124">
        <v>6.1983710601199997E-2</v>
      </c>
      <c r="J208" s="47">
        <v>1.6604589364887921E-4</v>
      </c>
      <c r="K208" s="47">
        <v>1.5005644219677403E-5</v>
      </c>
      <c r="L208" s="63">
        <v>1.2256204965428589E-4</v>
      </c>
      <c r="M208" s="30"/>
      <c r="N208" s="17">
        <v>3.0140020360055879E-6</v>
      </c>
      <c r="O208" s="17">
        <v>4.6877874495658324E-11</v>
      </c>
      <c r="P208" s="17">
        <v>8.4719096450972739E-9</v>
      </c>
      <c r="Q208" s="25">
        <v>0.67272727272727273</v>
      </c>
      <c r="R208" s="58">
        <v>346.01839322418397</v>
      </c>
      <c r="S208" s="55">
        <v>1.9625283358909061E-6</v>
      </c>
      <c r="U208" s="1"/>
      <c r="V208" s="1"/>
      <c r="W208" s="1"/>
      <c r="X208" s="163">
        <f t="shared" si="14"/>
        <v>0.61983710601199993</v>
      </c>
      <c r="Y208" s="164">
        <f t="shared" si="15"/>
        <v>1.6604589364887921E-4</v>
      </c>
      <c r="Z208" s="164">
        <f t="shared" si="15"/>
        <v>1.5005644219677403E-5</v>
      </c>
      <c r="AA208" s="164">
        <f t="shared" si="15"/>
        <v>1.2256204965428589E-4</v>
      </c>
      <c r="AB208" s="164">
        <f t="shared" si="16"/>
        <v>21.384160677581605</v>
      </c>
      <c r="AC208" s="164">
        <f t="shared" si="17"/>
        <v>1.9625283358909061E-4</v>
      </c>
    </row>
    <row r="209" spans="9:34" x14ac:dyDescent="0.25">
      <c r="I209" s="123">
        <v>6.2603547707200002E-2</v>
      </c>
      <c r="J209" s="47">
        <v>1.2397239541098455E-4</v>
      </c>
      <c r="K209" s="47">
        <v>1.2609147448088647E-5</v>
      </c>
      <c r="L209" s="63">
        <v>8.5707804872685547E-5</v>
      </c>
      <c r="M209" s="30"/>
      <c r="N209" s="17">
        <v>3.0786078399426882E-6</v>
      </c>
      <c r="O209" s="17">
        <v>4.3603959622566891E-11</v>
      </c>
      <c r="P209" s="17">
        <v>7.1857890380572478E-9</v>
      </c>
      <c r="Q209" s="25">
        <v>0.67272727272727273</v>
      </c>
      <c r="R209" s="58">
        <v>346.01839322418397</v>
      </c>
      <c r="S209" s="55">
        <v>1.905715498047669E-6</v>
      </c>
      <c r="U209" s="1"/>
      <c r="V209" s="1"/>
      <c r="W209" s="1"/>
      <c r="X209" s="163">
        <f t="shared" si="14"/>
        <v>0.62603547707200002</v>
      </c>
      <c r="Y209" s="164">
        <f t="shared" si="15"/>
        <v>1.2397239541098455E-4</v>
      </c>
      <c r="Z209" s="164">
        <f t="shared" si="15"/>
        <v>1.2609147448088647E-5</v>
      </c>
      <c r="AA209" s="164">
        <f t="shared" si="15"/>
        <v>8.5707804872685547E-5</v>
      </c>
      <c r="AB209" s="164">
        <f t="shared" si="16"/>
        <v>21.384160677581605</v>
      </c>
      <c r="AC209" s="164">
        <f t="shared" si="17"/>
        <v>1.905715498047669E-4</v>
      </c>
    </row>
    <row r="210" spans="9:34" x14ac:dyDescent="0.25">
      <c r="I210" s="123">
        <v>6.3229583184199994E-2</v>
      </c>
      <c r="J210" s="47">
        <v>9.6179013050413399E-5</v>
      </c>
      <c r="K210" s="47">
        <v>1.1838470652432476E-5</v>
      </c>
      <c r="L210" s="66">
        <v>5.6867546782194171E-5</v>
      </c>
      <c r="M210" s="17"/>
      <c r="N210" s="17">
        <v>3.1360529137616047E-6</v>
      </c>
      <c r="O210" s="17">
        <v>4.0686906371477618E-11</v>
      </c>
      <c r="P210" s="17">
        <v>6.0387483807375662E-9</v>
      </c>
      <c r="Q210" s="25">
        <v>0.67272727272727273</v>
      </c>
      <c r="R210" s="58">
        <v>347.03033759074106</v>
      </c>
      <c r="S210" s="55">
        <v>1.905715498047669E-6</v>
      </c>
      <c r="U210" s="1"/>
      <c r="V210" s="1"/>
      <c r="W210" s="1"/>
      <c r="X210" s="163">
        <f t="shared" si="14"/>
        <v>0.632295831842</v>
      </c>
      <c r="Y210" s="164">
        <f t="shared" si="15"/>
        <v>9.6179013050413399E-5</v>
      </c>
      <c r="Z210" s="164">
        <f t="shared" si="15"/>
        <v>1.1838470652432476E-5</v>
      </c>
      <c r="AA210" s="164">
        <f t="shared" si="15"/>
        <v>5.6867546782194171E-5</v>
      </c>
      <c r="AB210" s="164">
        <f t="shared" si="16"/>
        <v>21.282966240925894</v>
      </c>
      <c r="AC210" s="164">
        <f t="shared" si="17"/>
        <v>1.905715498047669E-4</v>
      </c>
    </row>
    <row r="211" spans="9:34" x14ac:dyDescent="0.25">
      <c r="I211" s="123">
        <v>6.3861879016100007E-2</v>
      </c>
      <c r="J211" s="47">
        <v>5.1998984605595643E-5</v>
      </c>
      <c r="K211" s="47">
        <v>9.139847002946601E-6</v>
      </c>
      <c r="L211" s="66">
        <v>3.5311717223504838E-5</v>
      </c>
      <c r="M211" s="17"/>
      <c r="N211" s="17">
        <v>3.1861996687455641E-6</v>
      </c>
      <c r="O211" s="17">
        <v>3.8123055897146559E-11</v>
      </c>
      <c r="P211" s="17">
        <v>5.0273884338030565E-9</v>
      </c>
      <c r="Q211" s="25">
        <v>0.67272727272727273</v>
      </c>
      <c r="R211" s="58">
        <v>347.03033759074106</v>
      </c>
      <c r="S211" s="55">
        <v>1.8702964192330608E-6</v>
      </c>
      <c r="U211" s="1"/>
      <c r="V211" s="1"/>
      <c r="W211" s="1"/>
      <c r="X211" s="163">
        <f t="shared" si="14"/>
        <v>0.63861879016100009</v>
      </c>
      <c r="Y211" s="164">
        <f t="shared" si="15"/>
        <v>5.1998984605595643E-5</v>
      </c>
      <c r="Z211" s="164">
        <f t="shared" si="15"/>
        <v>9.139847002946601E-6</v>
      </c>
      <c r="AA211" s="164">
        <f t="shared" si="15"/>
        <v>3.5311717223504838E-5</v>
      </c>
      <c r="AB211" s="164">
        <f t="shared" si="16"/>
        <v>21.282966240925894</v>
      </c>
      <c r="AC211" s="164">
        <f t="shared" si="17"/>
        <v>1.8702964192330608E-4</v>
      </c>
    </row>
    <row r="212" spans="9:34" x14ac:dyDescent="0.25">
      <c r="I212" s="123">
        <v>6.45004978062E-2</v>
      </c>
      <c r="J212" s="47">
        <v>4.9139100524252298E-5</v>
      </c>
      <c r="K212" s="47">
        <v>8.4439029668522419E-6</v>
      </c>
      <c r="L212" s="66">
        <v>2.01816408410339E-5</v>
      </c>
      <c r="M212" s="17"/>
      <c r="N212" s="17">
        <v>3.2286022191968382E-6</v>
      </c>
      <c r="O212" s="17">
        <v>3.590940816464145E-11</v>
      </c>
      <c r="P212" s="17">
        <v>4.1458072343528432E-9</v>
      </c>
      <c r="Q212" s="25">
        <v>0.67272727272727273</v>
      </c>
      <c r="R212" s="58">
        <v>348.7141926830098</v>
      </c>
      <c r="S212" s="55">
        <v>1.8702964192330608E-6</v>
      </c>
      <c r="U212" s="1"/>
      <c r="V212" s="1"/>
      <c r="W212" s="1"/>
      <c r="X212" s="163">
        <f t="shared" si="14"/>
        <v>0.64500497806199997</v>
      </c>
      <c r="Y212" s="164">
        <f t="shared" si="15"/>
        <v>4.9139100524252298E-5</v>
      </c>
      <c r="Z212" s="164">
        <f t="shared" si="15"/>
        <v>8.4439029668522419E-6</v>
      </c>
      <c r="AA212" s="164">
        <f t="shared" si="15"/>
        <v>2.01816408410339E-5</v>
      </c>
      <c r="AB212" s="164">
        <f t="shared" si="16"/>
        <v>21.114580731699021</v>
      </c>
      <c r="AC212" s="164">
        <f t="shared" si="17"/>
        <v>1.8702964192330608E-4</v>
      </c>
    </row>
    <row r="213" spans="9:34" x14ac:dyDescent="0.25">
      <c r="I213" s="123">
        <v>6.5145502784299994E-2</v>
      </c>
      <c r="J213" s="47">
        <v>4.5549402350583454E-5</v>
      </c>
      <c r="K213" s="47">
        <v>8.1992616478686432E-6</v>
      </c>
      <c r="L213" s="66">
        <v>1.0532163629301278E-5</v>
      </c>
      <c r="M213" s="17"/>
      <c r="N213" s="17">
        <v>3.2620762149381038E-6</v>
      </c>
      <c r="O213" s="17">
        <v>3.4051449339708768E-11</v>
      </c>
      <c r="P213" s="17">
        <v>3.3860966748443518E-9</v>
      </c>
      <c r="Q213" s="25">
        <v>0.67272727272727273</v>
      </c>
      <c r="R213" s="58">
        <v>348.7141926830098</v>
      </c>
      <c r="S213" s="55">
        <v>1.7688325304890867E-6</v>
      </c>
      <c r="U213" s="1"/>
      <c r="V213" s="1"/>
      <c r="W213" s="1"/>
      <c r="X213" s="163">
        <f t="shared" si="14"/>
        <v>0.65145502784299991</v>
      </c>
      <c r="Y213" s="164">
        <f t="shared" si="15"/>
        <v>4.5549402350583454E-5</v>
      </c>
      <c r="Z213" s="164">
        <f t="shared" si="15"/>
        <v>8.1992616478686432E-6</v>
      </c>
      <c r="AA213" s="164">
        <f t="shared" si="15"/>
        <v>1.0532163629301278E-5</v>
      </c>
      <c r="AB213" s="164">
        <f t="shared" si="16"/>
        <v>21.114580731699021</v>
      </c>
      <c r="AC213" s="164">
        <f t="shared" si="17"/>
        <v>1.7688325304890867E-4</v>
      </c>
    </row>
    <row r="214" spans="9:34" x14ac:dyDescent="0.25">
      <c r="I214" s="123">
        <v>6.5796957812200005E-2</v>
      </c>
      <c r="J214" s="47">
        <v>3.0631840871005697E-5</v>
      </c>
      <c r="K214" s="47">
        <v>6.6493005926626547E-6</v>
      </c>
      <c r="L214" s="66">
        <v>5.374997895904925E-6</v>
      </c>
      <c r="M214" s="17"/>
      <c r="N214" s="17">
        <v>3.2841340973159013E-6</v>
      </c>
      <c r="O214" s="17">
        <v>3.2573196386843945E-11</v>
      </c>
      <c r="P214" s="17">
        <v>2.7388607334068376E-9</v>
      </c>
      <c r="Q214" s="25">
        <v>0.67272727272727273</v>
      </c>
      <c r="R214" s="58">
        <v>352.08190286754729</v>
      </c>
      <c r="S214" s="55">
        <v>1.7688325304890867E-6</v>
      </c>
      <c r="U214" s="1"/>
      <c r="V214" s="1"/>
      <c r="W214" s="1"/>
      <c r="X214" s="163">
        <f t="shared" si="14"/>
        <v>0.65796957812200008</v>
      </c>
      <c r="Y214" s="164">
        <f t="shared" si="15"/>
        <v>3.0631840871005697E-5</v>
      </c>
      <c r="Z214" s="164">
        <f t="shared" si="15"/>
        <v>6.6493005926626547E-6</v>
      </c>
      <c r="AA214" s="164">
        <f t="shared" si="15"/>
        <v>5.374997895904925E-6</v>
      </c>
      <c r="AB214" s="164">
        <f t="shared" si="16"/>
        <v>20.777809713245272</v>
      </c>
      <c r="AC214" s="164">
        <f t="shared" si="17"/>
        <v>1.7688325304890867E-4</v>
      </c>
    </row>
    <row r="215" spans="9:34" x14ac:dyDescent="0.25">
      <c r="I215" s="123">
        <v>6.6454927390299998E-2</v>
      </c>
      <c r="J215" s="47">
        <v>1.964810819306642E-5</v>
      </c>
      <c r="K215" s="47">
        <v>6.5297121228800952E-6</v>
      </c>
      <c r="L215" s="66">
        <v>3.7162797554181542E-6</v>
      </c>
      <c r="M215" s="17"/>
      <c r="N215" s="17">
        <v>3.2904899653385599E-6</v>
      </c>
      <c r="O215" s="17">
        <v>3.1526099309720426E-11</v>
      </c>
      <c r="P215" s="17">
        <v>2.193725103294938E-9</v>
      </c>
      <c r="Q215" s="25">
        <v>0.67272727272727273</v>
      </c>
      <c r="R215" s="58">
        <v>352.08190286754729</v>
      </c>
      <c r="S215" s="55">
        <v>1.6376283625997323E-6</v>
      </c>
      <c r="U215" s="1"/>
      <c r="V215" s="1"/>
      <c r="W215" s="1"/>
      <c r="X215" s="163">
        <f t="shared" si="14"/>
        <v>0.664549273903</v>
      </c>
      <c r="Y215" s="164">
        <f t="shared" si="15"/>
        <v>1.964810819306642E-5</v>
      </c>
      <c r="Z215" s="164">
        <f t="shared" si="15"/>
        <v>6.5297121228800952E-6</v>
      </c>
      <c r="AA215" s="164">
        <f t="shared" si="15"/>
        <v>3.7162797554181542E-6</v>
      </c>
      <c r="AB215" s="164">
        <f t="shared" si="16"/>
        <v>20.777809713245272</v>
      </c>
      <c r="AC215" s="164">
        <f t="shared" si="17"/>
        <v>1.6376283625997324E-4</v>
      </c>
    </row>
    <row r="216" spans="9:34" x14ac:dyDescent="0.25">
      <c r="I216" s="123">
        <v>6.7119476664199998E-2</v>
      </c>
      <c r="J216" s="47">
        <v>1.2490121970546761E-5</v>
      </c>
      <c r="K216" s="47">
        <v>4.8794703029796187E-6</v>
      </c>
      <c r="L216" s="66">
        <v>4.5291117916969689E-6</v>
      </c>
      <c r="M216" s="17"/>
      <c r="N216" s="17">
        <v>3.2750519701903218E-6</v>
      </c>
      <c r="O216" s="17">
        <v>3.0989987665824772E-11</v>
      </c>
      <c r="P216" s="17">
        <v>1.73981256804787E-9</v>
      </c>
      <c r="Q216" s="25">
        <v>0.67272727272727273</v>
      </c>
      <c r="R216" s="58">
        <v>355.44961305208477</v>
      </c>
      <c r="S216" s="55">
        <v>1.6376283625997323E-6</v>
      </c>
      <c r="U216" s="1"/>
      <c r="V216" s="1"/>
      <c r="W216" s="1"/>
      <c r="X216" s="163">
        <f t="shared" si="14"/>
        <v>0.67119476664199995</v>
      </c>
      <c r="Y216" s="164">
        <f t="shared" si="15"/>
        <v>1.2490121970546761E-5</v>
      </c>
      <c r="Z216" s="164">
        <f t="shared" si="15"/>
        <v>4.8794703029796187E-6</v>
      </c>
      <c r="AA216" s="164">
        <f t="shared" si="15"/>
        <v>4.5291117916969689E-6</v>
      </c>
      <c r="AB216" s="164">
        <f t="shared" si="16"/>
        <v>20.441038694791523</v>
      </c>
      <c r="AC216" s="164">
        <f t="shared" si="17"/>
        <v>1.6376283625997324E-4</v>
      </c>
    </row>
    <row r="217" spans="9:34" x14ac:dyDescent="0.25">
      <c r="I217" s="123">
        <v>6.7790671430800004E-2</v>
      </c>
      <c r="J217" s="47">
        <v>8.1009700738838774E-6</v>
      </c>
      <c r="K217" s="47">
        <v>5.4924441011786451E-6</v>
      </c>
      <c r="L217" s="66">
        <v>6.540118062096787E-6</v>
      </c>
      <c r="M217" s="17"/>
      <c r="N217" s="17">
        <v>3.2309007952452701E-6</v>
      </c>
      <c r="O217" s="17">
        <v>3.1057952027809787E-11</v>
      </c>
      <c r="P217" s="17">
        <v>1.3661643191574892E-9</v>
      </c>
      <c r="Q217" s="25">
        <v>0.67272727272727273</v>
      </c>
      <c r="R217" s="58">
        <v>355.44961305208477</v>
      </c>
      <c r="S217" s="55">
        <v>1.5146426226760287E-6</v>
      </c>
      <c r="U217" s="1"/>
      <c r="V217" s="1"/>
      <c r="W217" s="1"/>
      <c r="X217" s="163">
        <f t="shared" si="14"/>
        <v>0.67790671430799998</v>
      </c>
      <c r="Y217" s="164">
        <f t="shared" si="15"/>
        <v>8.1009700738838774E-6</v>
      </c>
      <c r="Z217" s="164">
        <f t="shared" si="15"/>
        <v>5.4924441011786451E-6</v>
      </c>
      <c r="AA217" s="164">
        <f t="shared" si="15"/>
        <v>6.540118062096787E-6</v>
      </c>
      <c r="AB217" s="164">
        <f t="shared" si="16"/>
        <v>20.441038694791523</v>
      </c>
      <c r="AC217" s="164">
        <f t="shared" si="17"/>
        <v>1.5146426226760287E-4</v>
      </c>
    </row>
    <row r="218" spans="9:34" x14ac:dyDescent="0.25">
      <c r="I218" s="123">
        <v>6.8468578145100004E-2</v>
      </c>
      <c r="J218" s="47">
        <v>9.1801180453972844E-6</v>
      </c>
      <c r="K218" s="47">
        <v>5.6443101455052816E-6</v>
      </c>
      <c r="L218" s="66">
        <v>8.5360387621943812E-6</v>
      </c>
      <c r="M218" s="17"/>
      <c r="N218" s="17">
        <v>3.1524694663931227E-6</v>
      </c>
      <c r="O218" s="17">
        <v>3.1801651114376854E-11</v>
      </c>
      <c r="P218" s="17">
        <v>1.0620939362608138E-9</v>
      </c>
      <c r="Q218" s="25">
        <v>0.67272727272727273</v>
      </c>
      <c r="R218" s="58">
        <v>358.81732323662226</v>
      </c>
      <c r="S218" s="55">
        <v>1.5146426226760287E-6</v>
      </c>
      <c r="U218" s="1"/>
      <c r="V218" s="1"/>
      <c r="W218" s="1"/>
      <c r="X218" s="163">
        <f t="shared" si="14"/>
        <v>0.68468578145100001</v>
      </c>
      <c r="Y218" s="164">
        <f t="shared" si="15"/>
        <v>9.1801180453972844E-6</v>
      </c>
      <c r="Z218" s="164">
        <f t="shared" si="15"/>
        <v>5.6443101455052816E-6</v>
      </c>
      <c r="AA218" s="164">
        <f t="shared" si="15"/>
        <v>8.5360387621943812E-6</v>
      </c>
      <c r="AB218" s="164">
        <f t="shared" si="16"/>
        <v>20.104267676337777</v>
      </c>
      <c r="AC218" s="164">
        <f t="shared" si="17"/>
        <v>1.5146426226760287E-4</v>
      </c>
      <c r="AH218" s="77"/>
    </row>
    <row r="219" spans="9:34" x14ac:dyDescent="0.25">
      <c r="I219" s="123">
        <v>7.0543244531500002E-2</v>
      </c>
      <c r="J219" s="47">
        <v>8.2842509244678365E-6</v>
      </c>
      <c r="K219" s="47">
        <v>4.9492471228277414E-6</v>
      </c>
      <c r="L219" s="66">
        <v>2.1949462239630428E-5</v>
      </c>
      <c r="M219" s="17"/>
      <c r="N219" s="17">
        <v>3.0384360731760574E-6</v>
      </c>
      <c r="O219" s="17">
        <v>3.3224943856902556E-11</v>
      </c>
      <c r="P219" s="17">
        <v>8.1746735191254886E-10</v>
      </c>
      <c r="Q219" s="25">
        <v>0.67272727272727273</v>
      </c>
      <c r="R219" s="58">
        <v>358.81732323662226</v>
      </c>
      <c r="S219" s="55">
        <v>1.4031066888046668E-6</v>
      </c>
      <c r="U219" s="1"/>
      <c r="V219" s="1"/>
      <c r="W219" s="1"/>
      <c r="X219" s="163">
        <f t="shared" si="14"/>
        <v>0.70543244531500005</v>
      </c>
      <c r="Y219" s="164">
        <f t="shared" si="15"/>
        <v>8.2842509244678365E-6</v>
      </c>
      <c r="Z219" s="164">
        <f t="shared" si="15"/>
        <v>4.9492471228277414E-6</v>
      </c>
      <c r="AA219" s="164">
        <f t="shared" si="15"/>
        <v>2.1949462239630428E-5</v>
      </c>
      <c r="AB219" s="164">
        <f t="shared" si="16"/>
        <v>20.104267676337777</v>
      </c>
      <c r="AC219" s="164">
        <f t="shared" si="17"/>
        <v>1.4031066888046668E-4</v>
      </c>
      <c r="AH219" s="77"/>
    </row>
    <row r="220" spans="9:34" x14ac:dyDescent="0.25">
      <c r="I220" s="123">
        <v>7.1248676976799999E-2</v>
      </c>
      <c r="J220" s="47">
        <v>2.0687776383338943E-5</v>
      </c>
      <c r="K220" s="47">
        <v>5.9903215916924275E-6</v>
      </c>
      <c r="L220" s="66">
        <v>2.2797739705695116E-5</v>
      </c>
      <c r="M220" s="17"/>
      <c r="N220" s="17">
        <v>2.8940578400571907E-6</v>
      </c>
      <c r="O220" s="17">
        <v>3.5226440516024913E-11</v>
      </c>
      <c r="P220" s="17">
        <v>6.22908167186895E-10</v>
      </c>
      <c r="Q220" s="25">
        <v>0.67272727272727273</v>
      </c>
      <c r="R220" s="58">
        <v>362.18503342115974</v>
      </c>
      <c r="S220" s="55">
        <v>1.4031066888046668E-6</v>
      </c>
      <c r="U220" s="1"/>
      <c r="V220" s="1"/>
      <c r="W220" s="1"/>
      <c r="X220" s="163">
        <f t="shared" si="14"/>
        <v>0.71248676976799996</v>
      </c>
      <c r="Y220" s="164">
        <f t="shared" si="15"/>
        <v>2.0687776383338943E-5</v>
      </c>
      <c r="Z220" s="164">
        <f t="shared" si="15"/>
        <v>5.9903215916924275E-6</v>
      </c>
      <c r="AA220" s="164">
        <f t="shared" si="15"/>
        <v>2.2797739705695116E-5</v>
      </c>
      <c r="AB220" s="164">
        <f t="shared" si="16"/>
        <v>19.767496657884028</v>
      </c>
      <c r="AC220" s="164">
        <f t="shared" si="17"/>
        <v>1.4031066888046668E-4</v>
      </c>
      <c r="AH220" s="77"/>
    </row>
    <row r="221" spans="9:34" x14ac:dyDescent="0.25">
      <c r="I221" s="123">
        <v>7.1961163746599999E-2</v>
      </c>
      <c r="J221" s="47">
        <v>7.0479905317622235E-6</v>
      </c>
      <c r="K221" s="47">
        <v>4.8832170535734244E-6</v>
      </c>
      <c r="L221" s="66">
        <v>2.3286018946716917E-5</v>
      </c>
      <c r="M221" s="17"/>
      <c r="N221" s="17">
        <v>2.772948496864918E-6</v>
      </c>
      <c r="O221" s="17">
        <v>3.6983302919707508E-11</v>
      </c>
      <c r="P221" s="17">
        <v>5.0470603752656034E-10</v>
      </c>
      <c r="Q221" s="25">
        <v>0.33636363636363636</v>
      </c>
      <c r="R221" s="58">
        <v>362.18503342115974</v>
      </c>
      <c r="S221" s="55">
        <v>1.3053772728269235E-6</v>
      </c>
      <c r="U221" s="1"/>
      <c r="V221" s="1"/>
      <c r="W221" s="1"/>
      <c r="X221" s="163">
        <f t="shared" si="14"/>
        <v>0.71961163746599999</v>
      </c>
      <c r="Y221" s="164">
        <f t="shared" si="15"/>
        <v>7.0479905317622235E-6</v>
      </c>
      <c r="Z221" s="164">
        <f t="shared" si="15"/>
        <v>4.8832170535734244E-6</v>
      </c>
      <c r="AA221" s="164">
        <f t="shared" si="15"/>
        <v>2.3286018946716917E-5</v>
      </c>
      <c r="AB221" s="164">
        <f t="shared" si="16"/>
        <v>19.767496657884028</v>
      </c>
      <c r="AC221" s="164">
        <f t="shared" si="17"/>
        <v>1.3053772728269236E-4</v>
      </c>
      <c r="AH221" s="77"/>
    </row>
    <row r="222" spans="9:34" x14ac:dyDescent="0.25">
      <c r="I222" s="123">
        <v>7.2680775384100005E-2</v>
      </c>
      <c r="J222" s="47">
        <v>1.3247654293536328E-5</v>
      </c>
      <c r="K222" s="47">
        <v>6.0724281852064386E-6</v>
      </c>
      <c r="L222" s="66">
        <v>2.3065635142250446E-5</v>
      </c>
      <c r="M222" s="17"/>
      <c r="N222" s="17">
        <v>2.7198662854725101E-6</v>
      </c>
      <c r="O222" s="17">
        <v>3.6971975052582559E-11</v>
      </c>
      <c r="P222" s="17">
        <v>1.7553793297449081E-12</v>
      </c>
      <c r="Q222" s="25">
        <v>0.27433079872934468</v>
      </c>
      <c r="R222" s="58">
        <v>365.55274360569723</v>
      </c>
      <c r="S222" s="55">
        <v>1.3053772728269235E-6</v>
      </c>
      <c r="U222" s="1"/>
      <c r="V222" s="1"/>
      <c r="W222" s="1"/>
      <c r="X222" s="163">
        <f t="shared" si="14"/>
        <v>0.72680775384100005</v>
      </c>
      <c r="Y222" s="164">
        <f t="shared" si="15"/>
        <v>1.3247654293536328E-5</v>
      </c>
      <c r="Z222" s="164">
        <f t="shared" si="15"/>
        <v>6.0724281852064386E-6</v>
      </c>
      <c r="AA222" s="164">
        <f t="shared" si="15"/>
        <v>2.3065635142250446E-5</v>
      </c>
      <c r="AB222" s="164">
        <f t="shared" si="16"/>
        <v>19.430725639430278</v>
      </c>
      <c r="AC222" s="164">
        <f t="shared" si="17"/>
        <v>1.3053772728269236E-4</v>
      </c>
      <c r="AH222" s="77"/>
    </row>
    <row r="223" spans="9:34" x14ac:dyDescent="0.25">
      <c r="I223" s="123">
        <v>7.3407583137899995E-2</v>
      </c>
      <c r="J223" s="47">
        <v>1.6795046381379844E-5</v>
      </c>
      <c r="K223" s="47">
        <v>6.5010473931606173E-6</v>
      </c>
      <c r="L223" s="66">
        <v>2.2032377087870005E-5</v>
      </c>
      <c r="M223" s="17"/>
      <c r="N223" s="17">
        <v>2.6496003878244733E-6</v>
      </c>
      <c r="O223" s="17">
        <v>3.8110103002198277E-11</v>
      </c>
      <c r="P223" s="17">
        <v>1.781579905791945E-12</v>
      </c>
      <c r="Q223" s="25">
        <v>0.27901782563242211</v>
      </c>
      <c r="R223" s="58">
        <v>365.55274360569723</v>
      </c>
      <c r="S223" s="55">
        <v>1.2228772605345361E-6</v>
      </c>
      <c r="U223" s="1"/>
      <c r="V223" s="1"/>
      <c r="W223" s="1"/>
      <c r="X223" s="163">
        <f t="shared" si="14"/>
        <v>0.7340758313789999</v>
      </c>
      <c r="Y223" s="164">
        <f t="shared" si="15"/>
        <v>1.6795046381379844E-5</v>
      </c>
      <c r="Z223" s="164">
        <f t="shared" si="15"/>
        <v>6.5010473931606173E-6</v>
      </c>
      <c r="AA223" s="164">
        <f t="shared" si="15"/>
        <v>2.2032377087870005E-5</v>
      </c>
      <c r="AB223" s="164">
        <f t="shared" si="16"/>
        <v>19.430725639430278</v>
      </c>
      <c r="AC223" s="164">
        <f t="shared" si="17"/>
        <v>1.2228772605345361E-4</v>
      </c>
      <c r="AH223" s="77"/>
    </row>
    <row r="224" spans="9:34" x14ac:dyDescent="0.25">
      <c r="I224" s="123">
        <v>7.4141658969300001E-2</v>
      </c>
      <c r="J224" s="47">
        <v>5.3631057560471912E-6</v>
      </c>
      <c r="K224" s="47">
        <v>5.0259486234045373E-6</v>
      </c>
      <c r="L224" s="66">
        <v>2.0579388242377226E-5</v>
      </c>
      <c r="M224" s="17"/>
      <c r="N224" s="17">
        <v>2.5793482334753735E-6</v>
      </c>
      <c r="O224" s="17">
        <v>3.9248008345497645E-11</v>
      </c>
      <c r="P224" s="17">
        <v>1.8077753572712897E-12</v>
      </c>
      <c r="Q224" s="25">
        <v>0.28889548286974742</v>
      </c>
      <c r="R224" s="58">
        <v>368.92045379023472</v>
      </c>
      <c r="S224" s="55">
        <v>1.2228772605345361E-6</v>
      </c>
      <c r="U224" s="1"/>
      <c r="V224" s="1"/>
      <c r="W224" s="1"/>
      <c r="X224" s="163">
        <f t="shared" si="14"/>
        <v>0.74141658969300006</v>
      </c>
      <c r="Y224" s="164">
        <f t="shared" si="15"/>
        <v>5.3631057560471912E-6</v>
      </c>
      <c r="Z224" s="164">
        <f t="shared" si="15"/>
        <v>5.0259486234045373E-6</v>
      </c>
      <c r="AA224" s="164">
        <f t="shared" si="15"/>
        <v>2.0579388242377226E-5</v>
      </c>
      <c r="AB224" s="164">
        <f t="shared" si="16"/>
        <v>19.093954620976529</v>
      </c>
      <c r="AC224" s="164">
        <f t="shared" si="17"/>
        <v>1.2228772605345361E-4</v>
      </c>
      <c r="AH224" s="77"/>
    </row>
    <row r="225" spans="9:34" x14ac:dyDescent="0.25">
      <c r="I225" s="123">
        <v>7.4883075559000006E-2</v>
      </c>
      <c r="J225" s="47">
        <v>7.0737916917384988E-6</v>
      </c>
      <c r="K225" s="47">
        <v>5.1069086067564176E-6</v>
      </c>
      <c r="L225" s="66">
        <v>1.9245240664645191E-5</v>
      </c>
      <c r="M225" s="17"/>
      <c r="N225" s="17">
        <v>2.5091556373957901E-6</v>
      </c>
      <c r="O225" s="17">
        <v>4.0384948997055555E-11</v>
      </c>
      <c r="P225" s="17">
        <v>1.8339486008087749E-12</v>
      </c>
      <c r="Q225" s="25">
        <v>0.30511585966628851</v>
      </c>
      <c r="R225" s="58">
        <v>368.92045379023472</v>
      </c>
      <c r="S225" s="55">
        <v>1.1561762585465877E-6</v>
      </c>
      <c r="U225" s="1"/>
      <c r="V225" s="1"/>
      <c r="W225" s="1"/>
      <c r="X225" s="163">
        <f t="shared" si="14"/>
        <v>0.74883075559000001</v>
      </c>
      <c r="Y225" s="164">
        <f t="shared" si="15"/>
        <v>7.0737916917384988E-6</v>
      </c>
      <c r="Z225" s="164">
        <f t="shared" si="15"/>
        <v>5.1069086067564176E-6</v>
      </c>
      <c r="AA225" s="164">
        <f t="shared" si="15"/>
        <v>1.9245240664645191E-5</v>
      </c>
      <c r="AB225" s="164">
        <f t="shared" si="16"/>
        <v>19.093954620976529</v>
      </c>
      <c r="AC225" s="164">
        <f t="shared" si="17"/>
        <v>1.1561762585465878E-4</v>
      </c>
      <c r="AH225" s="77"/>
    </row>
    <row r="226" spans="9:34" x14ac:dyDescent="0.25">
      <c r="I226" s="123">
        <v>7.7152107631500003E-2</v>
      </c>
      <c r="J226" s="47">
        <v>7.9699996145957839E-6</v>
      </c>
      <c r="K226" s="47">
        <v>4.2036566443834822E-6</v>
      </c>
      <c r="L226" s="66">
        <v>9.9464171154779787E-6</v>
      </c>
      <c r="M226" s="17"/>
      <c r="N226" s="17">
        <v>2.4391349780240453E-6</v>
      </c>
      <c r="O226" s="17">
        <v>4.1519104713398716E-11</v>
      </c>
      <c r="P226" s="17">
        <v>1.8600577330071923E-12</v>
      </c>
      <c r="Q226" s="25">
        <v>0.32985484968757195</v>
      </c>
      <c r="R226" s="58">
        <v>372.2881639747722</v>
      </c>
      <c r="S226" s="55">
        <v>1.1561762585465877E-6</v>
      </c>
      <c r="U226" s="1"/>
      <c r="V226" s="1"/>
      <c r="W226" s="1"/>
      <c r="X226" s="163">
        <f t="shared" si="14"/>
        <v>0.771521076315</v>
      </c>
      <c r="Y226" s="164">
        <f t="shared" si="15"/>
        <v>7.9699996145957839E-6</v>
      </c>
      <c r="Z226" s="164">
        <f t="shared" si="15"/>
        <v>4.2036566443834822E-6</v>
      </c>
      <c r="AA226" s="164">
        <f t="shared" si="15"/>
        <v>9.9464171154779787E-6</v>
      </c>
      <c r="AB226" s="164">
        <f t="shared" si="16"/>
        <v>18.75718360252278</v>
      </c>
      <c r="AC226" s="164">
        <f t="shared" si="17"/>
        <v>1.1561762585465878E-4</v>
      </c>
      <c r="AH226" s="77"/>
    </row>
    <row r="227" spans="9:34" x14ac:dyDescent="0.25">
      <c r="I227" s="123">
        <v>8.1087640507100003E-2</v>
      </c>
      <c r="J227" s="47">
        <v>1.2586805256898959E-5</v>
      </c>
      <c r="K227" s="47">
        <v>4.178415845479509E-6</v>
      </c>
      <c r="L227" s="66">
        <v>4.9840914041338592E-6</v>
      </c>
      <c r="M227" s="17"/>
      <c r="N227" s="17">
        <v>2.3695198721662014E-6</v>
      </c>
      <c r="O227" s="17">
        <v>4.2646691499369025E-11</v>
      </c>
      <c r="P227" s="17">
        <v>1.8860156434033162E-12</v>
      </c>
      <c r="Q227" s="25">
        <v>0.36718140925644527</v>
      </c>
      <c r="R227" s="58">
        <v>372.2881639747722</v>
      </c>
      <c r="S227" s="55">
        <v>1.1051848000313992E-6</v>
      </c>
      <c r="U227" s="1"/>
      <c r="V227" s="1"/>
      <c r="W227" s="1"/>
      <c r="X227" s="163">
        <f t="shared" si="14"/>
        <v>0.81087640507100001</v>
      </c>
      <c r="Y227" s="164">
        <f t="shared" si="15"/>
        <v>1.2586805256898959E-5</v>
      </c>
      <c r="Z227" s="164">
        <f t="shared" si="15"/>
        <v>4.178415845479509E-6</v>
      </c>
      <c r="AA227" s="164">
        <f t="shared" si="15"/>
        <v>4.9840914041338592E-6</v>
      </c>
      <c r="AB227" s="164">
        <f t="shared" si="16"/>
        <v>18.75718360252278</v>
      </c>
      <c r="AC227" s="164">
        <f t="shared" si="17"/>
        <v>1.1051848000313993E-4</v>
      </c>
      <c r="AH227" s="77"/>
    </row>
    <row r="228" spans="9:34" x14ac:dyDescent="0.25">
      <c r="I228" s="123">
        <v>8.1898516912200001E-2</v>
      </c>
      <c r="J228" s="47">
        <v>8.9202665608730748E-6</v>
      </c>
      <c r="K228" s="47">
        <v>5.0036094536802218E-6</v>
      </c>
      <c r="L228" s="66">
        <v>5.5207241641086806E-6</v>
      </c>
      <c r="M228" s="17"/>
      <c r="N228" s="17">
        <v>2.3007661947574838E-6</v>
      </c>
      <c r="O228" s="17">
        <v>4.3760325346184482E-11</v>
      </c>
      <c r="P228" s="17">
        <v>1.9116523464663543E-12</v>
      </c>
      <c r="Q228" s="25">
        <v>0.42522182801861985</v>
      </c>
      <c r="R228" s="58">
        <v>375.65587415930969</v>
      </c>
      <c r="S228" s="55">
        <v>1.1051848000313992E-6</v>
      </c>
      <c r="U228" s="1"/>
      <c r="V228" s="1"/>
      <c r="W228" s="1"/>
      <c r="X228" s="163">
        <f t="shared" si="14"/>
        <v>0.81898516912200003</v>
      </c>
      <c r="Y228" s="164">
        <f t="shared" si="15"/>
        <v>8.9202665608730748E-6</v>
      </c>
      <c r="Z228" s="164">
        <f t="shared" si="15"/>
        <v>5.0036094536802218E-6</v>
      </c>
      <c r="AA228" s="164">
        <f t="shared" si="15"/>
        <v>5.5207241641086806E-6</v>
      </c>
      <c r="AB228" s="164">
        <f t="shared" si="16"/>
        <v>18.420412584069034</v>
      </c>
      <c r="AC228" s="164">
        <f t="shared" si="17"/>
        <v>1.1051848000313993E-4</v>
      </c>
      <c r="AH228" s="77"/>
    </row>
    <row r="229" spans="9:34" x14ac:dyDescent="0.25">
      <c r="I229" s="123">
        <v>8.2717502081300007E-2</v>
      </c>
      <c r="J229" s="47">
        <v>5.8842359334107332E-6</v>
      </c>
      <c r="K229" s="47">
        <v>4.6884620206870038E-6</v>
      </c>
      <c r="L229" s="66">
        <v>6.427799484184881E-6</v>
      </c>
      <c r="M229" s="17"/>
      <c r="N229" s="17">
        <v>2.2337565362949153E-6</v>
      </c>
      <c r="O229" s="17">
        <v>4.4845710543602274E-11</v>
      </c>
      <c r="P229" s="17">
        <v>1.9366387440105623E-12</v>
      </c>
      <c r="Q229" s="25">
        <v>0.52252270986663085</v>
      </c>
      <c r="R229" s="58">
        <v>375.65587415930969</v>
      </c>
      <c r="S229" s="55">
        <v>1.0694180362321652E-6</v>
      </c>
      <c r="U229" s="1"/>
      <c r="V229" s="1"/>
      <c r="W229" s="1"/>
      <c r="X229" s="163">
        <f t="shared" si="14"/>
        <v>0.82717502081300009</v>
      </c>
      <c r="Y229" s="164">
        <f t="shared" si="15"/>
        <v>5.8842359334107332E-6</v>
      </c>
      <c r="Z229" s="164">
        <f t="shared" si="15"/>
        <v>4.6884620206870038E-6</v>
      </c>
      <c r="AA229" s="164">
        <f t="shared" si="15"/>
        <v>6.427799484184881E-6</v>
      </c>
      <c r="AB229" s="164">
        <f t="shared" si="16"/>
        <v>18.420412584069034</v>
      </c>
      <c r="AC229" s="164">
        <f t="shared" si="17"/>
        <v>1.0694180362321652E-4</v>
      </c>
      <c r="AH229" s="77"/>
    </row>
    <row r="230" spans="9:34" x14ac:dyDescent="0.25">
      <c r="I230" s="123">
        <v>8.3544677102100007E-2</v>
      </c>
      <c r="J230" s="47">
        <v>1.2386515359028655E-5</v>
      </c>
      <c r="K230" s="47">
        <v>5.0935795576004914E-6</v>
      </c>
      <c r="L230" s="66">
        <v>7.6132414765050937E-6</v>
      </c>
      <c r="M230" s="25"/>
      <c r="N230" s="17">
        <v>2.1702613482464512E-6</v>
      </c>
      <c r="O230" s="17">
        <v>4.5874170302930228E-11</v>
      </c>
      <c r="P230" s="17">
        <v>1.9603146744230327E-12</v>
      </c>
      <c r="Q230" s="25">
        <v>0.71317718802348939</v>
      </c>
      <c r="R230" s="58">
        <v>379.02358434384718</v>
      </c>
      <c r="S230" s="55">
        <v>1.0694180362321652E-6</v>
      </c>
      <c r="U230" s="1"/>
      <c r="V230" s="1"/>
      <c r="W230" s="1"/>
      <c r="X230" s="163">
        <f t="shared" si="14"/>
        <v>0.83544677102100007</v>
      </c>
      <c r="Y230" s="164">
        <f t="shared" si="15"/>
        <v>1.2386515359028655E-5</v>
      </c>
      <c r="Z230" s="164">
        <f t="shared" si="15"/>
        <v>5.0935795576004914E-6</v>
      </c>
      <c r="AA230" s="164">
        <f t="shared" si="15"/>
        <v>7.6132414765050937E-6</v>
      </c>
      <c r="AB230" s="164">
        <f t="shared" si="16"/>
        <v>18.083641565615284</v>
      </c>
      <c r="AC230" s="164">
        <f t="shared" si="17"/>
        <v>1.0694180362321652E-4</v>
      </c>
      <c r="AH230" s="77"/>
    </row>
    <row r="231" spans="9:34" x14ac:dyDescent="0.25">
      <c r="I231" s="123">
        <v>8.4380123873099996E-2</v>
      </c>
      <c r="J231" s="47">
        <v>9.0408440993988203E-6</v>
      </c>
      <c r="K231" s="47">
        <v>5.1241312788067412E-6</v>
      </c>
      <c r="L231" s="66">
        <v>8.8889920753050328E-6</v>
      </c>
      <c r="M231" s="25"/>
      <c r="N231" s="17">
        <v>2.1141480010057634E-6</v>
      </c>
      <c r="O231" s="17">
        <v>4.6783063108384949E-11</v>
      </c>
      <c r="P231" s="17">
        <v>1.9812380820908275E-12</v>
      </c>
      <c r="Q231" s="25">
        <v>1.281588875373888</v>
      </c>
      <c r="R231" s="58">
        <v>379.02358434384718</v>
      </c>
      <c r="S231" s="55">
        <v>1.0482758692323742E-6</v>
      </c>
      <c r="U231" s="1"/>
      <c r="V231" s="1"/>
      <c r="W231" s="1"/>
      <c r="X231" s="163">
        <f t="shared" si="14"/>
        <v>0.84380123873099999</v>
      </c>
      <c r="Y231" s="164">
        <f t="shared" si="15"/>
        <v>9.0408440993988203E-6</v>
      </c>
      <c r="Z231" s="164">
        <f t="shared" si="15"/>
        <v>5.1241312788067412E-6</v>
      </c>
      <c r="AA231" s="164">
        <f t="shared" si="15"/>
        <v>8.8889920753050328E-6</v>
      </c>
      <c r="AB231" s="164">
        <f t="shared" si="16"/>
        <v>18.083641565615284</v>
      </c>
      <c r="AC231" s="164">
        <f t="shared" si="17"/>
        <v>1.0482758692323742E-4</v>
      </c>
      <c r="AH231" s="77"/>
    </row>
    <row r="232" spans="9:34" x14ac:dyDescent="0.25">
      <c r="I232" s="123">
        <v>8.5223925111800006E-2</v>
      </c>
      <c r="J232" s="47">
        <v>1.4681710418852928E-5</v>
      </c>
      <c r="K232" s="47">
        <v>4.7804014652745002E-6</v>
      </c>
      <c r="L232" s="66">
        <v>1.0088862610766819E-5</v>
      </c>
      <c r="M232" s="25"/>
      <c r="N232" s="17">
        <v>2.0753595302827892E-6</v>
      </c>
      <c r="O232" s="17">
        <v>4.7411337194824393E-11</v>
      </c>
      <c r="P232" s="17">
        <v>1.995701432178748E-12</v>
      </c>
      <c r="Q232" s="25">
        <v>1.7210815880741237</v>
      </c>
      <c r="R232" s="58">
        <v>382.39129452838466</v>
      </c>
      <c r="S232" s="55">
        <v>1.0482758692323742E-6</v>
      </c>
      <c r="U232" s="1"/>
      <c r="V232" s="1"/>
      <c r="W232" s="1"/>
      <c r="X232" s="163">
        <f t="shared" si="14"/>
        <v>0.85223925111800003</v>
      </c>
      <c r="Y232" s="164">
        <f t="shared" si="15"/>
        <v>1.4681710418852928E-5</v>
      </c>
      <c r="Z232" s="164">
        <f t="shared" si="15"/>
        <v>4.7804014652745002E-6</v>
      </c>
      <c r="AA232" s="164">
        <f t="shared" si="15"/>
        <v>1.0088862610766819E-5</v>
      </c>
      <c r="AB232" s="164">
        <f t="shared" si="16"/>
        <v>17.746870547161535</v>
      </c>
      <c r="AC232" s="164">
        <f t="shared" si="17"/>
        <v>1.0482758692323742E-4</v>
      </c>
      <c r="AH232" s="77"/>
    </row>
    <row r="233" spans="9:34" x14ac:dyDescent="0.25">
      <c r="I233" s="123">
        <v>8.6076164363000002E-2</v>
      </c>
      <c r="J233" s="47">
        <v>1.4267579888006572E-5</v>
      </c>
      <c r="K233" s="47">
        <v>4.820619840865777E-6</v>
      </c>
      <c r="L233" s="66">
        <v>1.1074717268331649E-5</v>
      </c>
      <c r="M233" s="25"/>
      <c r="N233" s="17">
        <v>2.0700000000000001E-6</v>
      </c>
      <c r="O233" s="17">
        <v>4.7498147887006942E-11</v>
      </c>
      <c r="P233" s="17">
        <v>1.9976998807213682E-12</v>
      </c>
      <c r="Q233" s="25">
        <v>100</v>
      </c>
      <c r="R233" s="58">
        <v>382.39129452838466</v>
      </c>
      <c r="S233" s="55">
        <v>1.04128730121217E-6</v>
      </c>
      <c r="U233" s="1"/>
      <c r="V233" s="1"/>
      <c r="W233" s="1"/>
      <c r="X233" s="163">
        <f t="shared" si="14"/>
        <v>0.86076164363000007</v>
      </c>
      <c r="Y233" s="164">
        <f t="shared" si="15"/>
        <v>1.4267579888006572E-5</v>
      </c>
      <c r="Z233" s="164">
        <f t="shared" si="15"/>
        <v>4.820619840865777E-6</v>
      </c>
      <c r="AA233" s="164">
        <f t="shared" si="15"/>
        <v>1.1074717268331649E-5</v>
      </c>
      <c r="AB233" s="164">
        <f t="shared" si="16"/>
        <v>17.746870547161535</v>
      </c>
      <c r="AC233" s="164">
        <f t="shared" si="17"/>
        <v>1.04128730121217E-4</v>
      </c>
      <c r="AH233" s="77"/>
    </row>
    <row r="234" spans="9:34" x14ac:dyDescent="0.25">
      <c r="I234" s="123">
        <v>8.6936926006599996E-2</v>
      </c>
      <c r="J234" s="47">
        <v>2.5700841458659479E-5</v>
      </c>
      <c r="K234" s="47">
        <v>5.3766073018538817E-6</v>
      </c>
      <c r="L234" s="66">
        <v>1.1737068867509363E-5</v>
      </c>
      <c r="M234" s="25"/>
      <c r="R234" s="58">
        <v>385.75900471292215</v>
      </c>
      <c r="S234" s="55">
        <v>1.04128730121217E-6</v>
      </c>
      <c r="U234" s="1"/>
      <c r="V234" s="1"/>
      <c r="W234" s="1"/>
      <c r="X234" s="163"/>
      <c r="Y234" s="164"/>
      <c r="Z234" s="164"/>
      <c r="AA234" s="164"/>
      <c r="AB234" s="164">
        <f t="shared" si="16"/>
        <v>17.410099528707786</v>
      </c>
      <c r="AC234" s="164">
        <f t="shared" si="17"/>
        <v>1.04128730121217E-4</v>
      </c>
      <c r="AH234" s="77"/>
    </row>
    <row r="235" spans="9:34" x14ac:dyDescent="0.25">
      <c r="I235" s="123">
        <v>8.7806295266700002E-2</v>
      </c>
      <c r="J235" s="47">
        <v>2.2422314928382912E-5</v>
      </c>
      <c r="K235" s="47">
        <v>5.972484257613129E-6</v>
      </c>
      <c r="L235" s="66">
        <v>1.2002274161555215E-5</v>
      </c>
      <c r="M235" s="25"/>
      <c r="R235" s="58">
        <v>385.75900471292215</v>
      </c>
      <c r="S235" s="55">
        <v>1.0482758692323742E-6</v>
      </c>
      <c r="U235" s="1"/>
      <c r="V235" s="1"/>
      <c r="W235" s="1"/>
      <c r="X235" s="163"/>
      <c r="Y235" s="164"/>
      <c r="Z235" s="164"/>
      <c r="AA235" s="164"/>
      <c r="AB235" s="164">
        <f t="shared" si="16"/>
        <v>17.410099528707786</v>
      </c>
      <c r="AC235" s="164">
        <f t="shared" si="17"/>
        <v>1.0482758692323742E-4</v>
      </c>
      <c r="AH235" s="77"/>
    </row>
    <row r="236" spans="9:34" x14ac:dyDescent="0.25">
      <c r="I236" s="123">
        <v>8.86843582193E-2</v>
      </c>
      <c r="J236" s="47">
        <v>2.7460751478570402E-5</v>
      </c>
      <c r="K236" s="47">
        <v>5.6723736719597705E-6</v>
      </c>
      <c r="L236" s="66">
        <v>1.1838349448608963E-5</v>
      </c>
      <c r="M236" s="25"/>
      <c r="R236" s="58">
        <v>389.12671489745964</v>
      </c>
      <c r="S236" s="55">
        <v>1.0482758692323742E-6</v>
      </c>
      <c r="U236" s="1"/>
      <c r="V236" s="1"/>
      <c r="W236" s="1"/>
      <c r="X236" s="163"/>
      <c r="Y236" s="164"/>
      <c r="Z236" s="164"/>
      <c r="AA236" s="164"/>
      <c r="AB236" s="164">
        <f t="shared" si="16"/>
        <v>17.073328510254036</v>
      </c>
      <c r="AC236" s="164">
        <f t="shared" si="17"/>
        <v>1.0482758692323742E-4</v>
      </c>
      <c r="AH236" s="77"/>
    </row>
    <row r="237" spans="9:34" x14ac:dyDescent="0.25">
      <c r="I237" s="123">
        <v>8.9571201801499994E-2</v>
      </c>
      <c r="J237" s="47">
        <v>1.5622683315892737E-5</v>
      </c>
      <c r="K237" s="47">
        <v>5.3386382733977686E-6</v>
      </c>
      <c r="L237" s="66">
        <v>1.1257289508692895E-5</v>
      </c>
      <c r="M237" s="25"/>
      <c r="R237" s="58">
        <v>389.12671489745964</v>
      </c>
      <c r="S237" s="55">
        <v>1.0694180362321652E-6</v>
      </c>
      <c r="U237" s="1"/>
      <c r="V237" s="1"/>
      <c r="W237" s="1"/>
      <c r="X237" s="163"/>
      <c r="Y237" s="164"/>
      <c r="Z237" s="164"/>
      <c r="AA237" s="164"/>
      <c r="AB237" s="164">
        <f t="shared" si="16"/>
        <v>17.073328510254036</v>
      </c>
      <c r="AC237" s="164">
        <f t="shared" si="17"/>
        <v>1.0694180362321652E-4</v>
      </c>
      <c r="AH237" s="77"/>
    </row>
    <row r="238" spans="9:34" x14ac:dyDescent="0.25">
      <c r="I238" s="123">
        <v>9.0466913819500006E-2</v>
      </c>
      <c r="J238" s="47">
        <v>2.9893740035042347E-5</v>
      </c>
      <c r="K238" s="47">
        <v>5.9858205808201981E-6</v>
      </c>
      <c r="L238" s="66">
        <v>1.0313705765907833E-5</v>
      </c>
      <c r="M238" s="25"/>
      <c r="R238" s="58">
        <v>392.49442508199712</v>
      </c>
      <c r="S238" s="55">
        <v>1.0694180362321652E-6</v>
      </c>
      <c r="U238" s="1"/>
      <c r="V238" s="1"/>
      <c r="W238" s="1"/>
      <c r="X238" s="163"/>
      <c r="Y238" s="164"/>
      <c r="Z238" s="164"/>
      <c r="AA238" s="164"/>
      <c r="AB238" s="164">
        <f t="shared" si="16"/>
        <v>16.736557491800291</v>
      </c>
      <c r="AC238" s="164">
        <f t="shared" si="17"/>
        <v>1.0694180362321652E-4</v>
      </c>
      <c r="AH238" s="77"/>
    </row>
    <row r="239" spans="9:34" x14ac:dyDescent="0.25">
      <c r="I239" s="123">
        <v>9.1371582957699995E-2</v>
      </c>
      <c r="J239" s="47">
        <v>1.9539838775424514E-5</v>
      </c>
      <c r="K239" s="47">
        <v>5.0850169237507254E-6</v>
      </c>
      <c r="L239" s="66">
        <v>9.0998331787338901E-6</v>
      </c>
      <c r="M239" s="25"/>
      <c r="R239" s="58">
        <v>392.49442508199712</v>
      </c>
      <c r="S239" s="55">
        <v>1.105184800031399E-6</v>
      </c>
      <c r="U239" s="1"/>
      <c r="V239" s="1"/>
      <c r="W239" s="1"/>
      <c r="X239" s="163"/>
      <c r="Y239" s="164"/>
      <c r="Z239" s="164"/>
      <c r="AA239" s="164"/>
      <c r="AB239" s="164">
        <f t="shared" si="16"/>
        <v>16.736557491800291</v>
      </c>
      <c r="AC239" s="164">
        <f t="shared" si="17"/>
        <v>1.105184800031399E-4</v>
      </c>
      <c r="AH239" s="77"/>
    </row>
    <row r="240" spans="9:34" x14ac:dyDescent="0.25">
      <c r="I240" s="123">
        <v>9.2285298787300005E-2</v>
      </c>
      <c r="J240" s="47">
        <v>2.2303937661706441E-5</v>
      </c>
      <c r="K240" s="47">
        <v>5.2042933438051145E-6</v>
      </c>
      <c r="L240" s="66">
        <v>7.7372011577000779E-6</v>
      </c>
      <c r="M240" s="25"/>
      <c r="R240" s="58">
        <v>395.86213526653461</v>
      </c>
      <c r="S240" s="55">
        <v>1.105184800031399E-6</v>
      </c>
      <c r="U240" s="1"/>
      <c r="V240" s="1"/>
      <c r="W240" s="1"/>
      <c r="X240" s="163"/>
      <c r="Y240" s="164"/>
      <c r="Z240" s="164"/>
      <c r="AA240" s="164"/>
      <c r="AB240" s="164">
        <f t="shared" si="16"/>
        <v>16.399786473346541</v>
      </c>
      <c r="AC240" s="164">
        <f t="shared" si="17"/>
        <v>1.105184800031399E-4</v>
      </c>
      <c r="AH240" s="77"/>
    </row>
    <row r="241" spans="9:34" x14ac:dyDescent="0.25">
      <c r="I241" s="123">
        <v>9.3208151775200004E-2</v>
      </c>
      <c r="J241" s="47">
        <v>1.5067610539095988E-5</v>
      </c>
      <c r="K241" s="47">
        <v>5.2391767082340771E-6</v>
      </c>
      <c r="L241" s="66">
        <v>6.3655159611217958E-6</v>
      </c>
      <c r="M241" s="25"/>
      <c r="R241" s="58">
        <v>395.86213526653461</v>
      </c>
      <c r="S241" s="55">
        <v>1.1561762585465877E-6</v>
      </c>
      <c r="U241" s="1"/>
      <c r="V241" s="1"/>
      <c r="W241" s="1"/>
      <c r="X241" s="163"/>
      <c r="Y241" s="164"/>
      <c r="Z241" s="164"/>
      <c r="AA241" s="164"/>
      <c r="AB241" s="164">
        <f t="shared" si="16"/>
        <v>16.399786473346541</v>
      </c>
      <c r="AC241" s="164">
        <f t="shared" si="17"/>
        <v>1.1561762585465878E-4</v>
      </c>
      <c r="AH241" s="77"/>
    </row>
    <row r="242" spans="9:34" x14ac:dyDescent="0.25">
      <c r="I242" s="123">
        <v>9.41402332929E-2</v>
      </c>
      <c r="J242" s="47">
        <v>1.829700608112653E-5</v>
      </c>
      <c r="K242" s="47">
        <v>4.9691971924307491E-6</v>
      </c>
      <c r="L242" s="66">
        <v>5.129550092581853E-6</v>
      </c>
      <c r="M242" s="25"/>
      <c r="R242" s="58">
        <v>399.22984545107209</v>
      </c>
      <c r="S242" s="55">
        <v>1.1561762585465877E-6</v>
      </c>
      <c r="U242" s="1"/>
      <c r="V242" s="1"/>
      <c r="W242" s="1"/>
      <c r="X242" s="163"/>
      <c r="Y242" s="164"/>
      <c r="Z242" s="164"/>
      <c r="AA242" s="164"/>
      <c r="AB242" s="164">
        <f t="shared" si="16"/>
        <v>16.063015454892792</v>
      </c>
      <c r="AC242" s="164">
        <f t="shared" si="17"/>
        <v>1.1561762585465878E-4</v>
      </c>
      <c r="AH242" s="77"/>
    </row>
    <row r="243" spans="9:34" x14ac:dyDescent="0.25">
      <c r="I243" s="123">
        <v>9.5081635625899996E-2</v>
      </c>
      <c r="J243" s="47">
        <v>2.0696680901185051E-5</v>
      </c>
      <c r="K243" s="47">
        <v>4.8480962820034966E-6</v>
      </c>
      <c r="L243" s="66">
        <v>4.1650613754361994E-6</v>
      </c>
      <c r="M243" s="25"/>
      <c r="R243" s="58">
        <v>399.22984545107209</v>
      </c>
      <c r="S243" s="55">
        <v>1.2228772605345359E-6</v>
      </c>
      <c r="U243" s="1"/>
      <c r="V243" s="1"/>
      <c r="W243" s="1"/>
      <c r="X243" s="163"/>
      <c r="Y243" s="164"/>
      <c r="Z243" s="164"/>
      <c r="AA243" s="164"/>
      <c r="AB243" s="164">
        <f t="shared" si="16"/>
        <v>16.063015454892792</v>
      </c>
      <c r="AC243" s="164">
        <f t="shared" si="17"/>
        <v>1.2228772605345358E-4</v>
      </c>
      <c r="AH243" s="77"/>
    </row>
    <row r="244" spans="9:34" x14ac:dyDescent="0.25">
      <c r="I244" s="123">
        <v>9.6032451982100003E-2</v>
      </c>
      <c r="J244" s="47">
        <v>2.3981769804968444E-5</v>
      </c>
      <c r="K244" s="47">
        <v>5.3421995784450127E-6</v>
      </c>
      <c r="L244" s="66">
        <v>3.5849468116303948E-6</v>
      </c>
      <c r="M244" s="25"/>
      <c r="R244" s="58">
        <v>402.59755563560958</v>
      </c>
      <c r="S244" s="55">
        <v>1.2228772605345359E-6</v>
      </c>
      <c r="U244" s="1"/>
      <c r="V244" s="1"/>
      <c r="W244" s="1"/>
      <c r="X244" s="163"/>
      <c r="Y244" s="164"/>
      <c r="Z244" s="164"/>
      <c r="AA244" s="164"/>
      <c r="AB244" s="164">
        <f t="shared" si="16"/>
        <v>15.726244436439043</v>
      </c>
      <c r="AC244" s="164">
        <f t="shared" si="17"/>
        <v>1.2228772605345358E-4</v>
      </c>
      <c r="AH244" s="77"/>
    </row>
    <row r="245" spans="9:34" x14ac:dyDescent="0.25">
      <c r="I245" s="123">
        <v>9.6992776501899997E-2</v>
      </c>
      <c r="J245" s="47">
        <v>2.0336222390923842E-5</v>
      </c>
      <c r="K245" s="47">
        <v>4.9687497915759878E-6</v>
      </c>
      <c r="L245" s="66">
        <v>3.466944565794187E-6</v>
      </c>
      <c r="M245" s="25"/>
      <c r="R245" s="58">
        <v>402.59755563560958</v>
      </c>
      <c r="S245" s="55">
        <v>1.3053772728269231E-6</v>
      </c>
      <c r="U245" s="1"/>
      <c r="V245" s="1"/>
      <c r="W245" s="1"/>
      <c r="X245" s="163"/>
      <c r="Y245" s="164"/>
      <c r="Z245" s="164"/>
      <c r="AA245" s="164"/>
      <c r="AB245" s="164">
        <f t="shared" si="16"/>
        <v>15.726244436439043</v>
      </c>
      <c r="AC245" s="164">
        <f t="shared" si="17"/>
        <v>1.3053772728269231E-4</v>
      </c>
      <c r="AH245" s="77"/>
    </row>
    <row r="246" spans="9:34" x14ac:dyDescent="0.25">
      <c r="I246" s="123">
        <v>9.7962704267000003E-2</v>
      </c>
      <c r="J246" s="47">
        <v>2.0699229155034327E-5</v>
      </c>
      <c r="K246" s="47">
        <v>5.2071590305373455E-6</v>
      </c>
      <c r="L246" s="66">
        <v>3.8441997915958811E-6</v>
      </c>
      <c r="M246" s="25"/>
      <c r="R246" s="58">
        <v>405.96526582014707</v>
      </c>
      <c r="S246" s="55">
        <v>1.3053772728269231E-6</v>
      </c>
      <c r="U246" s="1"/>
      <c r="V246" s="1"/>
      <c r="W246" s="1"/>
      <c r="X246" s="163"/>
      <c r="Y246" s="164"/>
      <c r="Z246" s="164"/>
      <c r="AA246" s="164"/>
      <c r="AB246" s="164">
        <f t="shared" si="16"/>
        <v>15.389473417985295</v>
      </c>
      <c r="AC246" s="164">
        <f t="shared" si="17"/>
        <v>1.3053772728269231E-4</v>
      </c>
      <c r="AH246" s="77"/>
    </row>
    <row r="247" spans="9:34" x14ac:dyDescent="0.25">
      <c r="I247" s="123">
        <v>9.8942331309600007E-2</v>
      </c>
      <c r="J247" s="47">
        <v>1.8432757823387524E-5</v>
      </c>
      <c r="K247" s="47">
        <v>5.6364009100358702E-6</v>
      </c>
      <c r="L247" s="66">
        <v>4.6998781411726252E-6</v>
      </c>
      <c r="M247" s="25"/>
      <c r="R247" s="58">
        <v>405.96526582014707</v>
      </c>
      <c r="S247" s="55">
        <v>1.4031066888046663E-6</v>
      </c>
      <c r="U247" s="1"/>
      <c r="V247" s="1"/>
      <c r="W247" s="1"/>
      <c r="X247" s="163"/>
      <c r="Y247" s="164"/>
      <c r="Z247" s="164"/>
      <c r="AA247" s="164"/>
      <c r="AB247" s="164">
        <f t="shared" si="16"/>
        <v>15.389473417985295</v>
      </c>
      <c r="AC247" s="164">
        <f t="shared" si="17"/>
        <v>1.4031066888046663E-4</v>
      </c>
      <c r="AH247" s="77"/>
    </row>
    <row r="248" spans="9:34" x14ac:dyDescent="0.25">
      <c r="I248" s="123">
        <v>9.99317546227E-2</v>
      </c>
      <c r="J248" s="47">
        <v>1.8551856813644993E-5</v>
      </c>
      <c r="K248" s="47">
        <v>5.8834631793605388E-6</v>
      </c>
      <c r="L248" s="66">
        <v>5.9667266239382606E-6</v>
      </c>
      <c r="M248" s="25"/>
      <c r="R248" s="58">
        <v>409.33297600468455</v>
      </c>
      <c r="S248" s="55">
        <v>1.4031066888046663E-6</v>
      </c>
      <c r="U248" s="1"/>
      <c r="V248" s="1"/>
      <c r="W248" s="1"/>
      <c r="X248" s="163"/>
      <c r="Y248" s="164"/>
      <c r="Z248" s="164"/>
      <c r="AA248" s="164"/>
      <c r="AB248" s="164">
        <f t="shared" si="16"/>
        <v>15.052702399531546</v>
      </c>
      <c r="AC248" s="164">
        <f t="shared" si="17"/>
        <v>1.4031066888046663E-4</v>
      </c>
      <c r="AH248" s="77"/>
    </row>
    <row r="249" spans="9:34" x14ac:dyDescent="0.25">
      <c r="I249" s="123">
        <v>0.10093107216900001</v>
      </c>
      <c r="J249" s="47">
        <v>1.9614054295905285E-5</v>
      </c>
      <c r="K249" s="47">
        <v>5.644481195129145E-6</v>
      </c>
      <c r="L249" s="66">
        <v>7.5320445154133333E-6</v>
      </c>
      <c r="M249" s="25"/>
      <c r="R249" s="58">
        <v>409.33297600468455</v>
      </c>
      <c r="S249" s="55">
        <v>1.5146426226760279E-6</v>
      </c>
      <c r="U249" s="1"/>
      <c r="V249" s="1"/>
      <c r="W249" s="1"/>
      <c r="X249" s="163"/>
      <c r="Y249" s="164"/>
      <c r="Z249" s="164"/>
      <c r="AA249" s="164"/>
      <c r="AB249" s="164">
        <f t="shared" si="16"/>
        <v>15.052702399531546</v>
      </c>
      <c r="AC249" s="164">
        <f t="shared" si="17"/>
        <v>1.5146426226760279E-4</v>
      </c>
      <c r="AH249" s="77"/>
    </row>
    <row r="250" spans="9:34" x14ac:dyDescent="0.25">
      <c r="I250" s="123">
        <v>0.10194038289100001</v>
      </c>
      <c r="J250" s="47">
        <v>2.2370385427156765E-5</v>
      </c>
      <c r="K250" s="47">
        <v>5.5369654352393171E-6</v>
      </c>
      <c r="L250" s="66">
        <v>9.2479605102677458E-6</v>
      </c>
      <c r="M250" s="25"/>
      <c r="R250" s="58">
        <v>412.70068618922204</v>
      </c>
      <c r="S250" s="55">
        <v>1.5146426226760279E-6</v>
      </c>
      <c r="U250" s="1"/>
      <c r="V250" s="1"/>
      <c r="W250" s="1"/>
      <c r="X250" s="163"/>
      <c r="Y250" s="164"/>
      <c r="Z250" s="164"/>
      <c r="AA250" s="164"/>
      <c r="AB250" s="164">
        <f t="shared" si="16"/>
        <v>14.715931381077798</v>
      </c>
      <c r="AC250" s="164">
        <f t="shared" si="17"/>
        <v>1.5146426226760279E-4</v>
      </c>
      <c r="AH250" s="77"/>
    </row>
    <row r="251" spans="9:34" x14ac:dyDescent="0.25">
      <c r="I251" s="123">
        <v>0.10295978672</v>
      </c>
      <c r="J251" s="47">
        <v>3.2291803980277948E-5</v>
      </c>
      <c r="K251" s="47">
        <v>6.279772595193875E-6</v>
      </c>
      <c r="L251" s="66">
        <v>1.0946266365524589E-5</v>
      </c>
      <c r="M251" s="25"/>
      <c r="R251" s="58">
        <v>412.70068618922204</v>
      </c>
      <c r="S251" s="55">
        <v>1.6376283625997315E-6</v>
      </c>
      <c r="U251" s="1"/>
      <c r="V251" s="1"/>
      <c r="W251" s="1"/>
      <c r="X251" s="163"/>
      <c r="Y251" s="164"/>
      <c r="Z251" s="164"/>
      <c r="AA251" s="164"/>
      <c r="AB251" s="164">
        <f t="shared" si="16"/>
        <v>14.715931381077798</v>
      </c>
      <c r="AC251" s="164">
        <f t="shared" si="17"/>
        <v>1.6376283625997316E-4</v>
      </c>
      <c r="AH251" s="77"/>
    </row>
    <row r="252" spans="9:34" x14ac:dyDescent="0.25">
      <c r="I252" s="123">
        <v>0.10398938458699999</v>
      </c>
      <c r="J252" s="47">
        <v>3.072811345939413E-5</v>
      </c>
      <c r="K252" s="47">
        <v>1.6575634947270155E-6</v>
      </c>
      <c r="L252" s="66">
        <v>1.2456407594262177E-5</v>
      </c>
      <c r="M252" s="25"/>
      <c r="R252" s="58">
        <v>416.06839637375953</v>
      </c>
      <c r="S252" s="55">
        <v>1.6376283625997315E-6</v>
      </c>
      <c r="U252" s="1"/>
      <c r="V252" s="1"/>
      <c r="W252" s="1"/>
      <c r="X252" s="163"/>
      <c r="Y252" s="164"/>
      <c r="Z252" s="164"/>
      <c r="AA252" s="164"/>
      <c r="AB252" s="164">
        <f t="shared" si="16"/>
        <v>14.379160362624049</v>
      </c>
      <c r="AC252" s="164">
        <f t="shared" si="17"/>
        <v>1.6376283625997316E-4</v>
      </c>
      <c r="AH252" s="77"/>
    </row>
    <row r="253" spans="9:34" x14ac:dyDescent="0.25">
      <c r="I253" s="123">
        <v>0.105029278433</v>
      </c>
      <c r="J253" s="47">
        <v>2.8321672035158712E-5</v>
      </c>
      <c r="K253" s="47">
        <v>1.5738015106696421E-6</v>
      </c>
      <c r="L253" s="66">
        <v>1.3624672772438662E-5</v>
      </c>
      <c r="M253" s="25"/>
      <c r="R253" s="58">
        <v>416.06839637375953</v>
      </c>
      <c r="S253" s="55">
        <v>1.7688325304890855E-6</v>
      </c>
      <c r="U253" s="1"/>
      <c r="V253" s="1"/>
      <c r="W253" s="1"/>
      <c r="X253" s="163"/>
      <c r="Y253" s="164"/>
      <c r="Z253" s="164"/>
      <c r="AA253" s="164"/>
      <c r="AB253" s="164">
        <f t="shared" si="16"/>
        <v>14.379160362624049</v>
      </c>
      <c r="AC253" s="164">
        <f t="shared" si="17"/>
        <v>1.7688325304890854E-4</v>
      </c>
      <c r="AH253" s="77"/>
    </row>
    <row r="254" spans="9:34" x14ac:dyDescent="0.25">
      <c r="I254" s="123">
        <v>0.106079571217</v>
      </c>
      <c r="J254" s="47">
        <v>2.8426716119294843E-5</v>
      </c>
      <c r="K254" s="47">
        <v>1.5486398734272707E-6</v>
      </c>
      <c r="L254" s="66">
        <v>1.4332255593326212E-5</v>
      </c>
      <c r="M254" s="25"/>
      <c r="R254" s="58">
        <v>419.43610655829701</v>
      </c>
      <c r="S254" s="55">
        <v>1.7688325304890855E-6</v>
      </c>
      <c r="U254" s="1"/>
      <c r="V254" s="1"/>
      <c r="W254" s="1"/>
      <c r="X254" s="163"/>
      <c r="Y254" s="164"/>
      <c r="Z254" s="164"/>
      <c r="AA254" s="164"/>
      <c r="AB254" s="164">
        <f t="shared" si="16"/>
        <v>14.042389344170299</v>
      </c>
      <c r="AC254" s="164">
        <f t="shared" si="17"/>
        <v>1.7688325304890854E-4</v>
      </c>
      <c r="AH254" s="77"/>
    </row>
    <row r="255" spans="9:34" x14ac:dyDescent="0.25">
      <c r="I255" s="123">
        <v>0.107140366929</v>
      </c>
      <c r="J255" s="47">
        <v>2.5186640026948285E-5</v>
      </c>
      <c r="K255" s="47">
        <v>1.4038520723363723E-6</v>
      </c>
      <c r="L255" s="66">
        <v>1.450977825894719E-5</v>
      </c>
      <c r="M255" s="25"/>
      <c r="R255" s="58">
        <v>419.43610655829701</v>
      </c>
      <c r="S255" s="55">
        <v>1.8702964192330608E-6</v>
      </c>
      <c r="U255" s="1"/>
      <c r="V255" s="1"/>
      <c r="W255" s="1"/>
      <c r="X255" s="163"/>
      <c r="Y255" s="164"/>
      <c r="Z255" s="164"/>
      <c r="AA255" s="164"/>
      <c r="AB255" s="164">
        <f t="shared" si="16"/>
        <v>14.042389344170299</v>
      </c>
      <c r="AC255" s="164">
        <f t="shared" si="17"/>
        <v>1.8702964192330608E-4</v>
      </c>
      <c r="AH255" s="77"/>
    </row>
    <row r="256" spans="9:34" x14ac:dyDescent="0.25">
      <c r="I256" s="123">
        <v>0.108211770598</v>
      </c>
      <c r="J256" s="47">
        <v>2.2128590699103908E-5</v>
      </c>
      <c r="K256" s="47">
        <v>1.3045318447306287E-6</v>
      </c>
      <c r="L256" s="66">
        <v>1.4146121886504461E-5</v>
      </c>
      <c r="M256" s="25"/>
      <c r="R256" s="58">
        <v>421.11996165056576</v>
      </c>
      <c r="S256" s="55">
        <v>1.8702964192330608E-6</v>
      </c>
      <c r="U256" s="1"/>
      <c r="V256" s="1"/>
      <c r="W256" s="1"/>
      <c r="X256" s="163"/>
      <c r="Y256" s="164"/>
      <c r="Z256" s="164"/>
      <c r="AA256" s="164"/>
      <c r="AB256" s="164">
        <f t="shared" si="16"/>
        <v>13.874003834943426</v>
      </c>
      <c r="AC256" s="164">
        <f t="shared" si="17"/>
        <v>1.8702964192330608E-4</v>
      </c>
      <c r="AH256" s="77"/>
    </row>
    <row r="257" spans="9:34" x14ac:dyDescent="0.25">
      <c r="I257" s="123">
        <v>0.109293888304</v>
      </c>
      <c r="J257" s="47">
        <v>2.1535486006666758E-5</v>
      </c>
      <c r="K257" s="47">
        <v>1.282612046878996E-6</v>
      </c>
      <c r="L257" s="66">
        <v>1.3290022912768569E-5</v>
      </c>
      <c r="M257" s="25"/>
      <c r="R257" s="58">
        <v>421.11996165056576</v>
      </c>
      <c r="S257" s="55">
        <v>1.905715498047669E-6</v>
      </c>
      <c r="U257" s="1"/>
      <c r="V257" s="1"/>
      <c r="W257" s="1"/>
      <c r="X257" s="163"/>
      <c r="Y257" s="164"/>
      <c r="Z257" s="164"/>
      <c r="AA257" s="164"/>
      <c r="AB257" s="164">
        <f t="shared" si="16"/>
        <v>13.874003834943426</v>
      </c>
      <c r="AC257" s="164">
        <f t="shared" si="17"/>
        <v>1.905715498047669E-4</v>
      </c>
      <c r="AH257" s="77"/>
    </row>
    <row r="258" spans="9:34" x14ac:dyDescent="0.25">
      <c r="I258" s="123">
        <v>0.11038682718700001</v>
      </c>
      <c r="J258" s="47">
        <v>1.6980186697024624E-5</v>
      </c>
      <c r="K258" s="47">
        <v>1.0843337712770225E-6</v>
      </c>
      <c r="L258" s="66">
        <v>1.2043817687114075E-5</v>
      </c>
      <c r="M258" s="25"/>
      <c r="R258" s="58">
        <v>422.13190601712284</v>
      </c>
      <c r="S258" s="55">
        <v>1.905715498047669E-6</v>
      </c>
      <c r="U258" s="1"/>
      <c r="V258" s="1"/>
      <c r="W258" s="1"/>
      <c r="X258" s="163"/>
      <c r="Y258" s="164"/>
      <c r="Z258" s="164"/>
      <c r="AA258" s="164"/>
      <c r="AB258" s="164">
        <f t="shared" si="16"/>
        <v>13.772809398287716</v>
      </c>
      <c r="AC258" s="164">
        <f t="shared" si="17"/>
        <v>1.905715498047669E-4</v>
      </c>
      <c r="AH258" s="77"/>
    </row>
    <row r="259" spans="9:34" x14ac:dyDescent="0.25">
      <c r="I259" s="123">
        <v>0.11149069545900001</v>
      </c>
      <c r="J259" s="47">
        <v>1.4308540616779825E-5</v>
      </c>
      <c r="K259" s="47">
        <v>1.0160164884038564E-6</v>
      </c>
      <c r="L259" s="66">
        <v>1.0549841366830495E-5</v>
      </c>
      <c r="M259" s="25"/>
      <c r="R259" s="58">
        <v>422.13190601712284</v>
      </c>
      <c r="S259" s="55">
        <v>1.9625283358909057E-6</v>
      </c>
      <c r="U259" s="1"/>
      <c r="V259" s="1"/>
      <c r="W259" s="1"/>
      <c r="X259" s="163"/>
      <c r="Y259" s="164"/>
      <c r="Z259" s="164"/>
      <c r="AA259" s="164"/>
      <c r="AB259" s="164">
        <f t="shared" si="16"/>
        <v>13.772809398287716</v>
      </c>
      <c r="AC259" s="164">
        <f t="shared" si="17"/>
        <v>1.9625283358909058E-4</v>
      </c>
      <c r="AH259" s="77"/>
    </row>
    <row r="260" spans="9:34" x14ac:dyDescent="0.25">
      <c r="I260" s="123">
        <v>0.112605602414</v>
      </c>
      <c r="J260" s="47">
        <v>1.0946027478728397E-5</v>
      </c>
      <c r="K260" s="47">
        <v>8.523287214326319E-7</v>
      </c>
      <c r="L260" s="66">
        <v>8.9711483504338281E-6</v>
      </c>
      <c r="M260" s="25"/>
      <c r="R260" s="58">
        <v>424.15579475023702</v>
      </c>
      <c r="S260" s="55">
        <v>1.9625283358909057E-6</v>
      </c>
      <c r="U260" s="1"/>
      <c r="V260" s="1"/>
      <c r="W260" s="1"/>
      <c r="X260" s="163"/>
      <c r="Y260" s="164"/>
      <c r="Z260" s="164"/>
      <c r="AA260" s="164"/>
      <c r="AB260" s="164">
        <f t="shared" ref="AB260:AB323" si="18">(559.86-R260)/10</f>
        <v>13.570420524976299</v>
      </c>
      <c r="AC260" s="164">
        <f t="shared" ref="AC260:AC323" si="19">S260*100</f>
        <v>1.9625283358909058E-4</v>
      </c>
      <c r="AH260" s="77"/>
    </row>
    <row r="261" spans="9:34" x14ac:dyDescent="0.25">
      <c r="I261" s="123">
        <v>0.113731658438</v>
      </c>
      <c r="J261" s="47">
        <v>8.9341082559112318E-6</v>
      </c>
      <c r="K261" s="47">
        <v>7.4757830416056422E-7</v>
      </c>
      <c r="L261" s="66">
        <v>7.469223562752677E-6</v>
      </c>
      <c r="M261" s="25"/>
      <c r="R261" s="58">
        <v>424.15579475023702</v>
      </c>
      <c r="S261" s="55">
        <v>2.0359946166018008E-6</v>
      </c>
      <c r="U261" s="1"/>
      <c r="V261" s="1"/>
      <c r="W261" s="1"/>
      <c r="X261" s="163"/>
      <c r="Y261" s="164"/>
      <c r="Z261" s="164"/>
      <c r="AA261" s="164"/>
      <c r="AB261" s="164">
        <f t="shared" si="18"/>
        <v>13.570420524976299</v>
      </c>
      <c r="AC261" s="164">
        <f t="shared" si="19"/>
        <v>2.0359946166018008E-4</v>
      </c>
      <c r="AH261" s="77"/>
    </row>
    <row r="262" spans="9:34" x14ac:dyDescent="0.25">
      <c r="I262" s="123">
        <v>0.114868975022</v>
      </c>
      <c r="J262" s="47">
        <v>5.1501410531487269E-6</v>
      </c>
      <c r="K262" s="47">
        <v>6.0673753050667471E-7</v>
      </c>
      <c r="L262" s="66">
        <v>6.1820006110957182E-6</v>
      </c>
      <c r="M262" s="25"/>
      <c r="R262" s="58">
        <v>426.1796834833512</v>
      </c>
      <c r="S262" s="55">
        <v>2.0359946166018008E-6</v>
      </c>
      <c r="U262" s="1"/>
      <c r="V262" s="1"/>
      <c r="W262" s="1"/>
      <c r="X262" s="163"/>
      <c r="Y262" s="164"/>
      <c r="Z262" s="164"/>
      <c r="AA262" s="164"/>
      <c r="AB262" s="164">
        <f t="shared" si="18"/>
        <v>13.368031651664882</v>
      </c>
      <c r="AC262" s="164">
        <f t="shared" si="19"/>
        <v>2.0359946166018008E-4</v>
      </c>
      <c r="AH262" s="77"/>
    </row>
    <row r="263" spans="9:34" x14ac:dyDescent="0.25">
      <c r="I263" s="123">
        <v>0.116017664773</v>
      </c>
      <c r="J263" s="47">
        <v>4.5020452377726253E-6</v>
      </c>
      <c r="K263" s="47">
        <v>5.916347299378972E-7</v>
      </c>
      <c r="L263" s="66">
        <v>5.2056366402927038E-6</v>
      </c>
      <c r="M263" s="25"/>
      <c r="R263" s="58">
        <v>426.1796834833512</v>
      </c>
      <c r="S263" s="55">
        <v>2.1057308125796915E-6</v>
      </c>
      <c r="U263" s="1"/>
      <c r="V263" s="1"/>
      <c r="W263" s="1"/>
      <c r="X263" s="163"/>
      <c r="Y263" s="164"/>
      <c r="Z263" s="164"/>
      <c r="AA263" s="164"/>
      <c r="AB263" s="164">
        <f t="shared" si="18"/>
        <v>13.368031651664882</v>
      </c>
      <c r="AC263" s="164">
        <f t="shared" si="19"/>
        <v>2.1057308125796916E-4</v>
      </c>
      <c r="AH263" s="77"/>
    </row>
    <row r="264" spans="9:34" x14ac:dyDescent="0.25">
      <c r="I264" s="123">
        <v>0.11717784142</v>
      </c>
      <c r="J264" s="47">
        <v>3.7313455696575951E-6</v>
      </c>
      <c r="K264" s="47">
        <v>5.3653642888403132E-7</v>
      </c>
      <c r="L264" s="66">
        <v>4.5814139061341142E-6</v>
      </c>
      <c r="M264" s="25"/>
      <c r="R264" s="58">
        <v>428.20357221646537</v>
      </c>
      <c r="S264" s="55">
        <v>2.1057308125796915E-6</v>
      </c>
      <c r="U264" s="1"/>
      <c r="V264" s="1"/>
      <c r="W264" s="1"/>
      <c r="X264" s="163"/>
      <c r="Y264" s="164"/>
      <c r="Z264" s="164"/>
      <c r="AA264" s="164"/>
      <c r="AB264" s="164">
        <f t="shared" si="18"/>
        <v>13.165642778353464</v>
      </c>
      <c r="AC264" s="164">
        <f t="shared" si="19"/>
        <v>2.1057308125796916E-4</v>
      </c>
      <c r="AH264" s="77"/>
    </row>
    <row r="265" spans="9:34" x14ac:dyDescent="0.25">
      <c r="I265" s="123">
        <v>0.118349619835</v>
      </c>
      <c r="J265" s="47">
        <v>3.7553019710046603E-6</v>
      </c>
      <c r="K265" s="47">
        <v>5.3488682648420005E-7</v>
      </c>
      <c r="L265" s="66">
        <v>4.2999457861694294E-6</v>
      </c>
      <c r="M265" s="25"/>
      <c r="R265" s="58">
        <v>428.20357221646537</v>
      </c>
      <c r="S265" s="55">
        <v>2.1705425692575141E-6</v>
      </c>
      <c r="U265" s="1"/>
      <c r="V265" s="1"/>
      <c r="W265" s="1"/>
      <c r="X265" s="163"/>
      <c r="Y265" s="164"/>
      <c r="Z265" s="164"/>
      <c r="AA265" s="164"/>
      <c r="AB265" s="164">
        <f t="shared" si="18"/>
        <v>13.165642778353464</v>
      </c>
      <c r="AC265" s="164">
        <f t="shared" si="19"/>
        <v>2.170542569257514E-4</v>
      </c>
      <c r="AH265" s="77"/>
    </row>
    <row r="266" spans="9:34" x14ac:dyDescent="0.25">
      <c r="I266" s="123">
        <v>0.119533116033</v>
      </c>
      <c r="J266" s="47">
        <v>2.989619909328868E-6</v>
      </c>
      <c r="K266" s="47">
        <v>5.3559613808058605E-7</v>
      </c>
      <c r="L266" s="66">
        <v>4.2964097140345322E-6</v>
      </c>
      <c r="M266" s="25"/>
      <c r="R266" s="58">
        <v>430.22746094957955</v>
      </c>
      <c r="S266" s="55">
        <v>2.1705425692575141E-6</v>
      </c>
      <c r="U266" s="1"/>
      <c r="V266" s="1"/>
      <c r="W266" s="1"/>
      <c r="X266" s="163"/>
      <c r="Y266" s="164"/>
      <c r="Z266" s="164"/>
      <c r="AA266" s="164"/>
      <c r="AB266" s="164">
        <f t="shared" si="18"/>
        <v>12.963253905042047</v>
      </c>
      <c r="AC266" s="164">
        <f t="shared" si="19"/>
        <v>2.170542569257514E-4</v>
      </c>
      <c r="AH266" s="77"/>
    </row>
    <row r="267" spans="9:34" x14ac:dyDescent="0.25">
      <c r="I267" s="123">
        <v>0.12072844719299999</v>
      </c>
      <c r="J267" s="47">
        <v>3.3152317683439446E-6</v>
      </c>
      <c r="K267" s="47">
        <v>4.7778842831537287E-7</v>
      </c>
      <c r="L267" s="63">
        <v>4.4729477106173706E-6</v>
      </c>
      <c r="M267" s="31"/>
      <c r="R267" s="58">
        <v>430.22746094957955</v>
      </c>
      <c r="S267" s="55">
        <v>2.2292945502592072E-6</v>
      </c>
      <c r="U267" s="1"/>
      <c r="V267" s="1"/>
      <c r="W267" s="1"/>
      <c r="X267" s="163"/>
      <c r="Y267" s="164"/>
      <c r="Z267" s="164"/>
      <c r="AA267" s="164"/>
      <c r="AB267" s="164">
        <f t="shared" si="18"/>
        <v>12.963253905042047</v>
      </c>
      <c r="AC267" s="164">
        <f t="shared" si="19"/>
        <v>2.2292945502592072E-4</v>
      </c>
      <c r="AH267" s="77"/>
    </row>
    <row r="268" spans="9:34" x14ac:dyDescent="0.25">
      <c r="I268" s="123">
        <v>0.12193573166500001</v>
      </c>
      <c r="J268" s="47">
        <v>4.2066811456254284E-6</v>
      </c>
      <c r="K268" s="47">
        <v>5.1911443717707488E-7</v>
      </c>
      <c r="L268" s="63">
        <v>4.7165709709927982E-6</v>
      </c>
      <c r="M268" s="31"/>
      <c r="R268" s="58">
        <v>432.25134968269373</v>
      </c>
      <c r="S268" s="55">
        <v>2.2292945502592072E-6</v>
      </c>
      <c r="U268" s="1"/>
      <c r="V268" s="1"/>
      <c r="W268" s="1"/>
      <c r="X268" s="163"/>
      <c r="Y268" s="164"/>
      <c r="Z268" s="164"/>
      <c r="AA268" s="164"/>
      <c r="AB268" s="164">
        <f t="shared" si="18"/>
        <v>12.760865031730628</v>
      </c>
      <c r="AC268" s="164">
        <f t="shared" si="19"/>
        <v>2.2292945502592072E-4</v>
      </c>
      <c r="AH268" s="77"/>
    </row>
    <row r="269" spans="9:34" x14ac:dyDescent="0.25">
      <c r="I269" s="123">
        <v>0.123155088982</v>
      </c>
      <c r="J269" s="47">
        <v>3.9550431336806968E-6</v>
      </c>
      <c r="K269" s="47">
        <v>5.3548519561411951E-7</v>
      </c>
      <c r="L269" s="63">
        <v>4.9207728698587628E-6</v>
      </c>
      <c r="M269" s="30"/>
      <c r="R269" s="58">
        <v>432.25134968269373</v>
      </c>
      <c r="S269" s="55">
        <v>2.2809400213609134E-6</v>
      </c>
      <c r="U269" s="1"/>
      <c r="V269" s="1"/>
      <c r="W269" s="1"/>
      <c r="X269" s="163"/>
      <c r="Y269" s="164"/>
      <c r="Z269" s="164"/>
      <c r="AA269" s="164"/>
      <c r="AB269" s="164">
        <f t="shared" si="18"/>
        <v>12.760865031730628</v>
      </c>
      <c r="AC269" s="164">
        <f t="shared" si="19"/>
        <v>2.2809400213609133E-4</v>
      </c>
      <c r="AH269" s="77"/>
    </row>
    <row r="270" spans="9:34" x14ac:dyDescent="0.25">
      <c r="I270" s="123">
        <v>0.12438663987199999</v>
      </c>
      <c r="J270" s="47">
        <v>4.0026723496078937E-6</v>
      </c>
      <c r="K270" s="47">
        <v>5.0709224691216895E-7</v>
      </c>
      <c r="L270" s="63">
        <v>5.0046993113277216E-6</v>
      </c>
      <c r="M270" s="31"/>
      <c r="R270" s="58">
        <v>434.27523841580791</v>
      </c>
      <c r="S270" s="55">
        <v>2.2809400213609134E-6</v>
      </c>
      <c r="U270" s="1"/>
      <c r="V270" s="1"/>
      <c r="W270" s="1"/>
      <c r="X270" s="163"/>
      <c r="Y270" s="164"/>
      <c r="Z270" s="164"/>
      <c r="AA270" s="164"/>
      <c r="AB270" s="164">
        <f t="shared" si="18"/>
        <v>12.558476158419211</v>
      </c>
      <c r="AC270" s="164">
        <f t="shared" si="19"/>
        <v>2.2809400213609133E-4</v>
      </c>
      <c r="AH270" s="77"/>
    </row>
    <row r="271" spans="9:34" x14ac:dyDescent="0.25">
      <c r="I271" s="123">
        <v>0.12563050627</v>
      </c>
      <c r="J271" s="47">
        <v>4.424081798660014E-6</v>
      </c>
      <c r="K271" s="47">
        <v>5.342524058937745E-7</v>
      </c>
      <c r="L271" s="63">
        <v>4.9262010059937675E-6</v>
      </c>
      <c r="M271" s="32"/>
      <c r="R271" s="58">
        <v>434.27523841580791</v>
      </c>
      <c r="S271" s="55">
        <v>2.3245473683167164E-6</v>
      </c>
      <c r="U271" s="1"/>
      <c r="V271" s="1"/>
      <c r="W271" s="1"/>
      <c r="X271" s="163"/>
      <c r="Y271" s="164"/>
      <c r="Z271" s="164"/>
      <c r="AA271" s="164"/>
      <c r="AB271" s="164">
        <f t="shared" si="18"/>
        <v>12.558476158419211</v>
      </c>
      <c r="AC271" s="164">
        <f t="shared" si="19"/>
        <v>2.3245473683167165E-4</v>
      </c>
      <c r="AH271" s="77"/>
    </row>
    <row r="272" spans="9:34" x14ac:dyDescent="0.25">
      <c r="I272" s="123">
        <v>0.126886811333</v>
      </c>
      <c r="J272" s="47">
        <v>4.5465930576222197E-6</v>
      </c>
      <c r="K272" s="47">
        <v>5.3661408187870861E-7</v>
      </c>
      <c r="L272" s="63">
        <v>4.6863187568452544E-6</v>
      </c>
      <c r="M272" s="31"/>
      <c r="R272" s="58">
        <v>436.29912714892208</v>
      </c>
      <c r="S272" s="55">
        <v>2.3245473683167164E-6</v>
      </c>
      <c r="U272" s="1"/>
      <c r="V272" s="1"/>
      <c r="W272" s="1"/>
      <c r="X272" s="163"/>
      <c r="Y272" s="164"/>
      <c r="Z272" s="164"/>
      <c r="AA272" s="164"/>
      <c r="AB272" s="164">
        <f t="shared" si="18"/>
        <v>12.356087285107794</v>
      </c>
      <c r="AC272" s="164">
        <f t="shared" si="19"/>
        <v>2.3245473683167165E-4</v>
      </c>
      <c r="AH272" s="77"/>
    </row>
    <row r="273" spans="9:34" x14ac:dyDescent="0.25">
      <c r="I273" s="123">
        <v>0.12815567944600001</v>
      </c>
      <c r="J273" s="47">
        <v>4.5115499868236682E-6</v>
      </c>
      <c r="K273" s="47">
        <v>5.6022984229743169E-7</v>
      </c>
      <c r="L273" s="63">
        <v>4.3245418611306616E-6</v>
      </c>
      <c r="M273" s="30"/>
      <c r="R273" s="58">
        <v>436.29912714892208</v>
      </c>
      <c r="S273" s="55">
        <v>2.3593229640482888E-6</v>
      </c>
      <c r="U273" s="1"/>
      <c r="V273" s="1"/>
      <c r="W273" s="1"/>
      <c r="X273" s="163"/>
      <c r="Y273" s="164"/>
      <c r="Z273" s="164"/>
      <c r="AA273" s="164"/>
      <c r="AB273" s="164">
        <f t="shared" si="18"/>
        <v>12.356087285107794</v>
      </c>
      <c r="AC273" s="164">
        <f t="shared" si="19"/>
        <v>2.3593229640482888E-4</v>
      </c>
      <c r="AH273" s="77"/>
    </row>
    <row r="274" spans="9:34" x14ac:dyDescent="0.25">
      <c r="I274" s="123">
        <v>0.12943723624100001</v>
      </c>
      <c r="J274" s="47">
        <v>4.1083019653856079E-6</v>
      </c>
      <c r="K274" s="47">
        <v>5.0813801233421028E-7</v>
      </c>
      <c r="L274" s="63">
        <v>3.9061632488611374E-6</v>
      </c>
      <c r="M274" s="31"/>
      <c r="R274" s="58">
        <v>438.32301588203626</v>
      </c>
      <c r="S274" s="55">
        <v>2.3593229640482888E-6</v>
      </c>
      <c r="U274" s="1"/>
      <c r="V274" s="1"/>
      <c r="W274" s="1"/>
      <c r="X274" s="163"/>
      <c r="Y274" s="164"/>
      <c r="Z274" s="164"/>
      <c r="AA274" s="164"/>
      <c r="AB274" s="164">
        <f t="shared" si="18"/>
        <v>12.153698411796375</v>
      </c>
      <c r="AC274" s="164">
        <f t="shared" si="19"/>
        <v>2.3593229640482888E-4</v>
      </c>
      <c r="AH274" s="77"/>
    </row>
    <row r="275" spans="9:34" x14ac:dyDescent="0.25">
      <c r="I275" s="123">
        <v>0.13073160860300001</v>
      </c>
      <c r="J275" s="47">
        <v>4.5338499604033423E-6</v>
      </c>
      <c r="K275" s="47">
        <v>5.1698868418376731E-7</v>
      </c>
      <c r="L275" s="63">
        <v>3.5047905312111974E-6</v>
      </c>
      <c r="M275" s="31"/>
      <c r="R275" s="58">
        <v>438.32301588203626</v>
      </c>
      <c r="S275" s="55">
        <v>2.3846300244401552E-6</v>
      </c>
      <c r="U275" s="1"/>
      <c r="V275" s="1"/>
      <c r="W275" s="1"/>
      <c r="X275" s="163"/>
      <c r="Y275" s="164"/>
      <c r="Z275" s="164"/>
      <c r="AA275" s="164"/>
      <c r="AB275" s="164">
        <f t="shared" si="18"/>
        <v>12.153698411796375</v>
      </c>
      <c r="AC275" s="164">
        <f t="shared" si="19"/>
        <v>2.3846300244401551E-4</v>
      </c>
    </row>
    <row r="276" spans="9:34" x14ac:dyDescent="0.25">
      <c r="I276" s="123">
        <v>0.132038924689</v>
      </c>
      <c r="J276" s="47">
        <v>4.8147539885230628E-6</v>
      </c>
      <c r="K276" s="47">
        <v>5.0687926278177416E-7</v>
      </c>
      <c r="L276" s="63">
        <v>3.1841430616186754E-6</v>
      </c>
      <c r="M276" s="30"/>
      <c r="R276" s="58">
        <v>440.34690461515044</v>
      </c>
      <c r="S276" s="55">
        <v>2.3846300244401552E-6</v>
      </c>
      <c r="U276" s="1"/>
      <c r="V276" s="1"/>
      <c r="W276" s="1"/>
      <c r="X276" s="163"/>
      <c r="Y276" s="164"/>
      <c r="Z276" s="164"/>
      <c r="AA276" s="164"/>
      <c r="AB276" s="164">
        <f t="shared" si="18"/>
        <v>11.951309538484958</v>
      </c>
      <c r="AC276" s="164">
        <f t="shared" si="19"/>
        <v>2.3846300244401551E-4</v>
      </c>
    </row>
    <row r="277" spans="9:34" x14ac:dyDescent="0.25">
      <c r="I277" s="123">
        <v>0.13335931393600001</v>
      </c>
      <c r="J277" s="47">
        <v>3.1813766492527178E-6</v>
      </c>
      <c r="K277" s="47">
        <v>4.603728788388757E-7</v>
      </c>
      <c r="L277" s="63">
        <v>2.9833864955916143E-6</v>
      </c>
      <c r="M277" s="31"/>
      <c r="R277" s="58">
        <v>440.34690461515044</v>
      </c>
      <c r="S277" s="55">
        <v>2.4000032780819523E-6</v>
      </c>
      <c r="U277" s="1"/>
      <c r="V277" s="1"/>
      <c r="W277" s="1"/>
      <c r="X277" s="163"/>
      <c r="Y277" s="164"/>
      <c r="Z277" s="164"/>
      <c r="AA277" s="164"/>
      <c r="AB277" s="164">
        <f t="shared" si="18"/>
        <v>11.951309538484958</v>
      </c>
      <c r="AC277" s="164">
        <f t="shared" si="19"/>
        <v>2.4000032780819523E-4</v>
      </c>
    </row>
    <row r="278" spans="9:34" x14ac:dyDescent="0.25">
      <c r="I278" s="123">
        <v>0.13469290707600001</v>
      </c>
      <c r="J278" s="47">
        <v>3.8029851059602431E-6</v>
      </c>
      <c r="K278" s="47">
        <v>4.7922268846055662E-7</v>
      </c>
      <c r="L278" s="63">
        <v>2.9093590121091224E-6</v>
      </c>
      <c r="M278" s="31"/>
      <c r="R278" s="58">
        <v>442.37079334826461</v>
      </c>
      <c r="S278" s="55">
        <v>2.4000032780819523E-6</v>
      </c>
      <c r="U278" s="1"/>
      <c r="V278" s="1"/>
      <c r="W278" s="1"/>
      <c r="X278" s="163"/>
      <c r="Y278" s="164"/>
      <c r="Z278" s="164"/>
      <c r="AA278" s="164"/>
      <c r="AB278" s="164">
        <f t="shared" si="18"/>
        <v>11.748920665173539</v>
      </c>
      <c r="AC278" s="164">
        <f t="shared" si="19"/>
        <v>2.4000032780819523E-4</v>
      </c>
    </row>
    <row r="279" spans="9:34" x14ac:dyDescent="0.25">
      <c r="I279" s="123">
        <v>0.13603983614599999</v>
      </c>
      <c r="J279" s="47">
        <v>3.5709256339036852E-6</v>
      </c>
      <c r="K279" s="47">
        <v>4.7514074409272936E-7</v>
      </c>
      <c r="L279" s="63">
        <v>2.9373112009013542E-6</v>
      </c>
      <c r="M279" s="32"/>
      <c r="R279" s="58">
        <v>442.37079334826461</v>
      </c>
      <c r="S279" s="55">
        <v>2.4051594061217929E-6</v>
      </c>
      <c r="U279" s="1"/>
      <c r="V279" s="1"/>
      <c r="W279" s="1"/>
      <c r="X279" s="163"/>
      <c r="Y279" s="164"/>
      <c r="Z279" s="164"/>
      <c r="AA279" s="164"/>
      <c r="AB279" s="164">
        <f t="shared" si="18"/>
        <v>11.748920665173539</v>
      </c>
      <c r="AC279" s="164">
        <f t="shared" si="19"/>
        <v>2.405159406121793E-4</v>
      </c>
    </row>
    <row r="280" spans="9:34" x14ac:dyDescent="0.25">
      <c r="I280" s="123">
        <v>0.13740023450800001</v>
      </c>
      <c r="J280" s="47">
        <v>4.3662925386040199E-6</v>
      </c>
      <c r="K280" s="47">
        <v>4.8023905591928176E-7</v>
      </c>
      <c r="L280" s="63">
        <v>3.0196248174229587E-6</v>
      </c>
      <c r="M280" s="30"/>
      <c r="R280" s="58">
        <v>444.39468208137879</v>
      </c>
      <c r="S280" s="55">
        <v>2.4051594061217929E-6</v>
      </c>
      <c r="U280" s="1"/>
      <c r="V280" s="1"/>
      <c r="W280" s="1"/>
      <c r="X280" s="163"/>
      <c r="Y280" s="164"/>
      <c r="Z280" s="164"/>
      <c r="AA280" s="164"/>
      <c r="AB280" s="164">
        <f t="shared" si="18"/>
        <v>11.546531791862122</v>
      </c>
      <c r="AC280" s="164">
        <f t="shared" si="19"/>
        <v>2.405159406121793E-4</v>
      </c>
    </row>
    <row r="281" spans="9:34" x14ac:dyDescent="0.25">
      <c r="I281" s="123">
        <v>0.138774236853</v>
      </c>
      <c r="J281" s="47">
        <v>3.4178682968802063E-6</v>
      </c>
      <c r="K281" s="47">
        <v>4.4086015284896833E-7</v>
      </c>
      <c r="L281" s="63">
        <v>3.0999398812461409E-6</v>
      </c>
      <c r="M281" s="31"/>
      <c r="R281" s="58">
        <v>444.39468208137879</v>
      </c>
      <c r="S281" s="55">
        <v>2.4000032780819523E-6</v>
      </c>
      <c r="U281" s="1"/>
      <c r="V281" s="1"/>
      <c r="W281" s="1"/>
      <c r="X281" s="163"/>
      <c r="Y281" s="164"/>
      <c r="Z281" s="164"/>
      <c r="AA281" s="164"/>
      <c r="AB281" s="164">
        <f t="shared" si="18"/>
        <v>11.546531791862122</v>
      </c>
      <c r="AC281" s="164">
        <f t="shared" si="19"/>
        <v>2.4000032780819523E-4</v>
      </c>
    </row>
    <row r="282" spans="9:34" x14ac:dyDescent="0.25">
      <c r="I282" s="123">
        <v>0.14016197922099999</v>
      </c>
      <c r="J282" s="47">
        <v>4.149260484902636E-6</v>
      </c>
      <c r="K282" s="47">
        <v>4.9011039123132467E-7</v>
      </c>
      <c r="L282" s="63">
        <v>3.1287482998419446E-6</v>
      </c>
      <c r="M282" s="31"/>
      <c r="R282" s="58">
        <v>446.41857081449297</v>
      </c>
      <c r="S282" s="55">
        <v>2.4000032780819523E-6</v>
      </c>
      <c r="U282" s="1"/>
      <c r="V282" s="1"/>
      <c r="W282" s="1"/>
      <c r="X282" s="163"/>
      <c r="Y282" s="164"/>
      <c r="Z282" s="164"/>
      <c r="AA282" s="164"/>
      <c r="AB282" s="164">
        <f t="shared" si="18"/>
        <v>11.344142918550705</v>
      </c>
      <c r="AC282" s="164">
        <f t="shared" si="19"/>
        <v>2.4000032780819523E-4</v>
      </c>
    </row>
    <row r="283" spans="9:34" x14ac:dyDescent="0.25">
      <c r="I283" s="123">
        <v>0.14156359901400001</v>
      </c>
      <c r="J283" s="47">
        <v>4.1243231824563187E-6</v>
      </c>
      <c r="K283" s="47">
        <v>4.8196715350026863E-7</v>
      </c>
      <c r="L283" s="63">
        <v>3.0761954230187951E-6</v>
      </c>
      <c r="M283" s="30"/>
      <c r="R283" s="58">
        <v>446.41857081449297</v>
      </c>
      <c r="S283" s="55">
        <v>2.3846300244401552E-6</v>
      </c>
      <c r="U283" s="1"/>
      <c r="V283" s="1"/>
      <c r="W283" s="1"/>
      <c r="X283" s="163"/>
      <c r="Y283" s="164"/>
      <c r="Z283" s="164"/>
      <c r="AA283" s="164"/>
      <c r="AB283" s="164">
        <f t="shared" si="18"/>
        <v>11.344142918550705</v>
      </c>
      <c r="AC283" s="164">
        <f t="shared" si="19"/>
        <v>2.3846300244401551E-4</v>
      </c>
    </row>
    <row r="284" spans="9:34" x14ac:dyDescent="0.25">
      <c r="I284" s="123">
        <v>0.142979235004</v>
      </c>
      <c r="J284" s="47">
        <v>3.0842886420695456E-6</v>
      </c>
      <c r="K284" s="47">
        <v>4.5825442026692397E-7</v>
      </c>
      <c r="L284" s="63">
        <v>2.9386839397614689E-6</v>
      </c>
      <c r="M284" s="31"/>
      <c r="R284" s="58">
        <v>448.44245954760714</v>
      </c>
      <c r="S284" s="55">
        <v>2.3846300244401552E-6</v>
      </c>
      <c r="U284" s="1"/>
      <c r="V284" s="1"/>
      <c r="W284" s="1"/>
      <c r="X284" s="163"/>
      <c r="Y284" s="164"/>
      <c r="Z284" s="164"/>
      <c r="AA284" s="164"/>
      <c r="AB284" s="164">
        <f t="shared" si="18"/>
        <v>11.141754045239287</v>
      </c>
      <c r="AC284" s="164">
        <f t="shared" si="19"/>
        <v>2.3846300244401551E-4</v>
      </c>
    </row>
    <row r="285" spans="9:34" x14ac:dyDescent="0.25">
      <c r="I285" s="123">
        <v>0.14440902735399999</v>
      </c>
      <c r="J285" s="47">
        <v>3.3870120568699859E-6</v>
      </c>
      <c r="K285" s="47">
        <v>4.86403664965835E-7</v>
      </c>
      <c r="L285" s="63">
        <v>2.737684993258454E-6</v>
      </c>
      <c r="M285" s="31"/>
      <c r="R285" s="58">
        <v>448.44245954760714</v>
      </c>
      <c r="S285" s="55">
        <v>2.3593229640482888E-6</v>
      </c>
      <c r="U285" s="1"/>
      <c r="V285" s="1"/>
      <c r="W285" s="1"/>
      <c r="X285" s="163"/>
      <c r="Y285" s="164"/>
      <c r="Z285" s="164"/>
      <c r="AA285" s="164"/>
      <c r="AB285" s="164">
        <f t="shared" si="18"/>
        <v>11.141754045239287</v>
      </c>
      <c r="AC285" s="164">
        <f t="shared" si="19"/>
        <v>2.3593229640482888E-4</v>
      </c>
    </row>
    <row r="286" spans="9:34" x14ac:dyDescent="0.25">
      <c r="I286" s="123">
        <v>0.14585311762700001</v>
      </c>
      <c r="J286" s="47">
        <v>3.2978601455930751E-6</v>
      </c>
      <c r="K286" s="47">
        <v>4.8919631448187809E-7</v>
      </c>
      <c r="L286" s="63">
        <v>2.5114292131520452E-6</v>
      </c>
      <c r="M286" s="31"/>
      <c r="R286" s="58">
        <v>450.46634828072132</v>
      </c>
      <c r="S286" s="55">
        <v>2.3593229640482888E-6</v>
      </c>
      <c r="U286" s="1"/>
      <c r="V286" s="1"/>
      <c r="W286" s="1"/>
      <c r="X286" s="163"/>
      <c r="Y286" s="164"/>
      <c r="Z286" s="164"/>
      <c r="AA286" s="164"/>
      <c r="AB286" s="164">
        <f t="shared" si="18"/>
        <v>10.93936517192787</v>
      </c>
      <c r="AC286" s="164">
        <f t="shared" si="19"/>
        <v>2.3593229640482888E-4</v>
      </c>
    </row>
    <row r="287" spans="9:34" x14ac:dyDescent="0.25">
      <c r="I287" s="123">
        <v>0.14731164880399999</v>
      </c>
      <c r="J287" s="47">
        <v>3.4472534344855496E-6</v>
      </c>
      <c r="K287" s="47">
        <v>4.651270986280124E-7</v>
      </c>
      <c r="L287" s="63">
        <v>2.3022180862272707E-6</v>
      </c>
      <c r="M287" s="30"/>
      <c r="R287" s="58">
        <v>450.46634828072132</v>
      </c>
      <c r="S287" s="55">
        <v>2.3245473683167169E-6</v>
      </c>
      <c r="U287" s="1"/>
      <c r="V287" s="1"/>
      <c r="W287" s="1"/>
      <c r="X287" s="163"/>
      <c r="Y287" s="164"/>
      <c r="Z287" s="164"/>
      <c r="AA287" s="164"/>
      <c r="AB287" s="164">
        <f t="shared" si="18"/>
        <v>10.93936517192787</v>
      </c>
      <c r="AC287" s="164">
        <f t="shared" si="19"/>
        <v>2.3245473683167168E-4</v>
      </c>
    </row>
    <row r="288" spans="9:34" x14ac:dyDescent="0.25">
      <c r="I288" s="123">
        <v>0.14878476529199999</v>
      </c>
      <c r="J288" s="47">
        <v>3.7116062132031436E-6</v>
      </c>
      <c r="K288" s="47">
        <v>4.8735851494215014E-7</v>
      </c>
      <c r="L288" s="63">
        <v>2.143339187734144E-6</v>
      </c>
      <c r="M288" s="32"/>
      <c r="R288" s="58">
        <v>452.4902370138355</v>
      </c>
      <c r="S288" s="55">
        <v>2.3245473683167169E-6</v>
      </c>
      <c r="U288" s="1"/>
      <c r="V288" s="1"/>
      <c r="W288" s="1"/>
      <c r="X288" s="163"/>
      <c r="Y288" s="164"/>
      <c r="Z288" s="164"/>
      <c r="AA288" s="164"/>
      <c r="AB288" s="164">
        <f t="shared" si="18"/>
        <v>10.736976298616451</v>
      </c>
      <c r="AC288" s="164">
        <f t="shared" si="19"/>
        <v>2.3245473683167168E-4</v>
      </c>
    </row>
    <row r="289" spans="9:29" x14ac:dyDescent="0.25">
      <c r="I289" s="123">
        <v>0.15027261294499999</v>
      </c>
      <c r="J289" s="47">
        <v>4.1575774554197386E-6</v>
      </c>
      <c r="K289" s="47">
        <v>5.0350398382053985E-7</v>
      </c>
      <c r="L289" s="63">
        <v>2.0495917717238122E-6</v>
      </c>
      <c r="M289" s="31"/>
      <c r="R289" s="58">
        <v>452.4902370138355</v>
      </c>
      <c r="S289" s="55">
        <v>2.2809400213609138E-6</v>
      </c>
      <c r="U289" s="1"/>
      <c r="V289" s="1"/>
      <c r="W289" s="1"/>
      <c r="X289" s="163"/>
      <c r="Y289" s="164"/>
      <c r="Z289" s="164"/>
      <c r="AA289" s="164"/>
      <c r="AB289" s="164">
        <f t="shared" si="18"/>
        <v>10.736976298616451</v>
      </c>
      <c r="AC289" s="164">
        <f t="shared" si="19"/>
        <v>2.2809400213609138E-4</v>
      </c>
    </row>
    <row r="290" spans="9:29" x14ac:dyDescent="0.25">
      <c r="I290" s="123">
        <v>0.15177533907400001</v>
      </c>
      <c r="J290" s="47">
        <v>3.8499510332920859E-6</v>
      </c>
      <c r="K290" s="47">
        <v>4.6394149117965888E-7</v>
      </c>
      <c r="L290" s="63">
        <v>2.0142047778839216E-6</v>
      </c>
      <c r="M290" s="31"/>
      <c r="R290" s="58">
        <v>454.51412574694967</v>
      </c>
      <c r="S290" s="55">
        <v>2.2809400213609138E-6</v>
      </c>
      <c r="U290" s="1"/>
      <c r="V290" s="1"/>
      <c r="W290" s="1"/>
      <c r="X290" s="163"/>
      <c r="Y290" s="164"/>
      <c r="Z290" s="164"/>
      <c r="AA290" s="164"/>
      <c r="AB290" s="164">
        <f t="shared" si="18"/>
        <v>10.534587425305034</v>
      </c>
      <c r="AC290" s="164">
        <f t="shared" si="19"/>
        <v>2.2809400213609138E-4</v>
      </c>
    </row>
    <row r="291" spans="9:29" x14ac:dyDescent="0.25">
      <c r="I291" s="123">
        <v>0.153293092465</v>
      </c>
      <c r="J291" s="47">
        <v>3.6750300025041639E-6</v>
      </c>
      <c r="K291" s="47">
        <v>4.4024360011277615E-7</v>
      </c>
      <c r="L291" s="63">
        <v>2.0128287507468632E-6</v>
      </c>
      <c r="M291" s="30"/>
      <c r="R291" s="58">
        <v>454.51412574694967</v>
      </c>
      <c r="S291" s="55">
        <v>2.2292945502592072E-6</v>
      </c>
      <c r="U291" s="1"/>
      <c r="V291" s="1"/>
      <c r="W291" s="1"/>
      <c r="X291" s="163"/>
      <c r="Y291" s="164"/>
      <c r="Z291" s="164"/>
      <c r="AA291" s="164"/>
      <c r="AB291" s="164">
        <f t="shared" si="18"/>
        <v>10.534587425305034</v>
      </c>
      <c r="AC291" s="164">
        <f t="shared" si="19"/>
        <v>2.2292945502592072E-4</v>
      </c>
    </row>
    <row r="292" spans="9:29" x14ac:dyDescent="0.25">
      <c r="I292" s="123">
        <v>0.15482602338900001</v>
      </c>
      <c r="J292" s="47">
        <v>3.1313011701998466E-6</v>
      </c>
      <c r="K292" s="47">
        <v>3.9333738764107831E-7</v>
      </c>
      <c r="L292" s="63">
        <v>2.0129770450487083E-6</v>
      </c>
      <c r="M292" s="31"/>
      <c r="R292" s="58">
        <v>456.53801448006385</v>
      </c>
      <c r="S292" s="55">
        <v>2.2292945502592072E-6</v>
      </c>
      <c r="U292" s="1"/>
      <c r="V292" s="1"/>
      <c r="W292" s="1"/>
      <c r="X292" s="163"/>
      <c r="Y292" s="164"/>
      <c r="Z292" s="164"/>
      <c r="AA292" s="164"/>
      <c r="AB292" s="164">
        <f t="shared" si="18"/>
        <v>10.332198551993617</v>
      </c>
      <c r="AC292" s="164">
        <f t="shared" si="19"/>
        <v>2.2292945502592072E-4</v>
      </c>
    </row>
    <row r="293" spans="9:29" x14ac:dyDescent="0.25">
      <c r="I293" s="123">
        <v>0.15637428362299999</v>
      </c>
      <c r="J293" s="47">
        <v>2.1513559323655634E-6</v>
      </c>
      <c r="K293" s="47">
        <v>3.8207875474960168E-7</v>
      </c>
      <c r="L293" s="63">
        <v>1.985541452269422E-6</v>
      </c>
      <c r="M293" s="31"/>
      <c r="R293" s="58">
        <v>456.53801448006385</v>
      </c>
      <c r="S293" s="55">
        <v>2.1705425692575145E-6</v>
      </c>
      <c r="U293" s="1"/>
      <c r="V293" s="1"/>
      <c r="W293" s="1"/>
      <c r="X293" s="163"/>
      <c r="Y293" s="164"/>
      <c r="Z293" s="164"/>
      <c r="AA293" s="164"/>
      <c r="AB293" s="164">
        <f t="shared" si="18"/>
        <v>10.332198551993617</v>
      </c>
      <c r="AC293" s="164">
        <f t="shared" si="19"/>
        <v>2.1705425692575145E-4</v>
      </c>
    </row>
    <row r="294" spans="9:29" x14ac:dyDescent="0.25">
      <c r="I294" s="123">
        <v>0.15793802645900001</v>
      </c>
      <c r="J294" s="47">
        <v>3.0417019342108003E-6</v>
      </c>
      <c r="K294" s="47">
        <v>4.075862073464565E-7</v>
      </c>
      <c r="L294" s="63">
        <v>1.9144101182993824E-6</v>
      </c>
      <c r="M294" s="30"/>
      <c r="R294" s="58">
        <v>458.56190321317803</v>
      </c>
      <c r="S294" s="55">
        <v>2.1705425692575145E-6</v>
      </c>
      <c r="U294" s="1"/>
      <c r="V294" s="1"/>
      <c r="W294" s="1"/>
      <c r="X294" s="163"/>
      <c r="Y294" s="164"/>
      <c r="Z294" s="164"/>
      <c r="AA294" s="164"/>
      <c r="AB294" s="164">
        <f t="shared" si="18"/>
        <v>10.129809678682198</v>
      </c>
      <c r="AC294" s="164">
        <f t="shared" si="19"/>
        <v>2.1705425692575145E-4</v>
      </c>
    </row>
    <row r="295" spans="9:29" x14ac:dyDescent="0.25">
      <c r="I295" s="123">
        <v>0.159517406724</v>
      </c>
      <c r="J295" s="47">
        <v>2.5186145179124992E-6</v>
      </c>
      <c r="K295" s="47">
        <v>3.7253169457871956E-7</v>
      </c>
      <c r="L295" s="63">
        <v>1.8009876374717422E-6</v>
      </c>
      <c r="M295" s="31"/>
      <c r="R295" s="58">
        <v>458.56190321317803</v>
      </c>
      <c r="S295" s="55">
        <v>2.1057308125796915E-6</v>
      </c>
      <c r="U295" s="1"/>
      <c r="V295" s="1"/>
      <c r="W295" s="1"/>
      <c r="X295" s="163"/>
      <c r="Y295" s="164"/>
      <c r="Z295" s="164"/>
      <c r="AA295" s="164"/>
      <c r="AB295" s="164">
        <f t="shared" si="18"/>
        <v>10.129809678682198</v>
      </c>
      <c r="AC295" s="164">
        <f t="shared" si="19"/>
        <v>2.1057308125796916E-4</v>
      </c>
    </row>
    <row r="296" spans="9:29" x14ac:dyDescent="0.25">
      <c r="I296" s="124">
        <v>0.16111258079099999</v>
      </c>
      <c r="J296" s="125">
        <v>2.3293784416427893E-6</v>
      </c>
      <c r="K296" s="125">
        <v>3.8696935944571835E-7</v>
      </c>
      <c r="L296" s="63">
        <v>1.6622982202824728E-6</v>
      </c>
      <c r="M296" s="32"/>
      <c r="R296" s="58">
        <v>460.5857919462922</v>
      </c>
      <c r="S296" s="55">
        <v>2.1057308125796915E-6</v>
      </c>
      <c r="U296" s="1"/>
      <c r="V296" s="1"/>
      <c r="W296" s="1"/>
      <c r="X296" s="163"/>
      <c r="Y296" s="164"/>
      <c r="Z296" s="164"/>
      <c r="AA296" s="164"/>
      <c r="AB296" s="164">
        <f t="shared" si="18"/>
        <v>9.9274208053707813</v>
      </c>
      <c r="AC296" s="164">
        <f t="shared" si="19"/>
        <v>2.1057308125796916E-4</v>
      </c>
    </row>
    <row r="297" spans="9:29" x14ac:dyDescent="0.25">
      <c r="I297" s="124">
        <v>0.16272370659900001</v>
      </c>
      <c r="J297" s="125">
        <v>1.9520386220475307E-6</v>
      </c>
      <c r="K297" s="125">
        <v>3.4349767935903664E-7</v>
      </c>
      <c r="L297" s="63">
        <v>1.5236770000995184E-6</v>
      </c>
      <c r="M297" s="31"/>
      <c r="R297" s="58">
        <v>460.5857919462922</v>
      </c>
      <c r="S297" s="55">
        <v>2.0359946166018013E-6</v>
      </c>
      <c r="U297" s="1"/>
      <c r="V297" s="1"/>
      <c r="W297" s="1"/>
      <c r="X297" s="163"/>
      <c r="Y297" s="164"/>
      <c r="Z297" s="164"/>
      <c r="AA297" s="164"/>
      <c r="AB297" s="164">
        <f t="shared" si="18"/>
        <v>9.9274208053707813</v>
      </c>
      <c r="AC297" s="164">
        <f t="shared" si="19"/>
        <v>2.0359946166018014E-4</v>
      </c>
    </row>
    <row r="298" spans="9:29" x14ac:dyDescent="0.25">
      <c r="I298" s="124">
        <v>0.164350943665</v>
      </c>
      <c r="J298" s="125">
        <v>1.7678929288661209E-6</v>
      </c>
      <c r="K298" s="125">
        <v>3.8678836173169599E-7</v>
      </c>
      <c r="L298" s="63">
        <v>1.4089768914004305E-6</v>
      </c>
      <c r="M298" s="30"/>
      <c r="R298" s="58">
        <v>462.60968067940638</v>
      </c>
      <c r="S298" s="55">
        <v>2.0359946166018013E-6</v>
      </c>
      <c r="U298" s="1"/>
      <c r="V298" s="1"/>
      <c r="W298" s="77"/>
      <c r="X298" s="163"/>
      <c r="Y298" s="164"/>
      <c r="Z298" s="164"/>
      <c r="AA298" s="164"/>
      <c r="AB298" s="164">
        <f t="shared" si="18"/>
        <v>9.7250319320593626</v>
      </c>
      <c r="AC298" s="164">
        <f t="shared" si="19"/>
        <v>2.0359946166018014E-4</v>
      </c>
    </row>
    <row r="299" spans="9:29" x14ac:dyDescent="0.25">
      <c r="I299" s="124">
        <v>0.16599445310200001</v>
      </c>
      <c r="J299" s="125">
        <v>1.9850589062364633E-6</v>
      </c>
      <c r="K299" s="125">
        <v>3.6757190071568589E-7</v>
      </c>
      <c r="L299" s="63">
        <v>1.3320240941832243E-6</v>
      </c>
      <c r="M299" s="31"/>
      <c r="R299" s="58">
        <v>462.60968067940638</v>
      </c>
      <c r="S299" s="55">
        <v>1.9625283358909061E-6</v>
      </c>
      <c r="U299" s="1"/>
      <c r="V299" s="1"/>
      <c r="W299" s="77"/>
      <c r="X299" s="163"/>
      <c r="Y299" s="164"/>
      <c r="Z299" s="164"/>
      <c r="AA299" s="164"/>
      <c r="AB299" s="164">
        <f t="shared" si="18"/>
        <v>9.7250319320593626</v>
      </c>
      <c r="AC299" s="164">
        <f t="shared" si="19"/>
        <v>1.9625283358909061E-4</v>
      </c>
    </row>
    <row r="300" spans="9:29" x14ac:dyDescent="0.25">
      <c r="I300" s="124">
        <v>0.167654397633</v>
      </c>
      <c r="J300" s="125">
        <v>1.7086857061710186E-6</v>
      </c>
      <c r="K300" s="125">
        <v>3.3554894564176811E-7</v>
      </c>
      <c r="L300" s="63">
        <v>1.2924389486407535E-6</v>
      </c>
      <c r="M300" s="31"/>
      <c r="R300" s="58">
        <v>464.63356941252056</v>
      </c>
      <c r="S300" s="55">
        <v>1.9625283358909061E-6</v>
      </c>
      <c r="U300" s="1"/>
      <c r="V300" s="1"/>
      <c r="W300" s="77"/>
      <c r="X300" s="163"/>
      <c r="Y300" s="164"/>
      <c r="Z300" s="164"/>
      <c r="AA300" s="164"/>
      <c r="AB300" s="164">
        <f t="shared" si="18"/>
        <v>9.5226430587479456</v>
      </c>
      <c r="AC300" s="164">
        <f t="shared" si="19"/>
        <v>1.9625283358909061E-4</v>
      </c>
    </row>
    <row r="301" spans="9:29" x14ac:dyDescent="0.25">
      <c r="I301" s="124">
        <v>0.169330941609</v>
      </c>
      <c r="J301" s="125">
        <v>2.3777398088340294E-6</v>
      </c>
      <c r="K301" s="125">
        <v>3.6235167621548677E-7</v>
      </c>
      <c r="L301" s="63">
        <v>1.2771404735770308E-6</v>
      </c>
      <c r="M301" s="30"/>
      <c r="R301" s="58">
        <v>464.63356941252056</v>
      </c>
      <c r="S301" s="55">
        <v>1.905715498047669E-6</v>
      </c>
      <c r="U301" s="1"/>
      <c r="V301" s="1"/>
      <c r="W301" s="77"/>
      <c r="X301" s="163"/>
      <c r="Y301" s="164"/>
      <c r="Z301" s="164"/>
      <c r="AA301" s="164"/>
      <c r="AB301" s="164">
        <f t="shared" si="18"/>
        <v>9.5226430587479456</v>
      </c>
      <c r="AC301" s="164">
        <f t="shared" si="19"/>
        <v>1.905715498047669E-4</v>
      </c>
    </row>
    <row r="302" spans="9:29" x14ac:dyDescent="0.25">
      <c r="I302" s="124">
        <v>0.17102425102499999</v>
      </c>
      <c r="J302" s="125">
        <v>1.5076547874245071E-6</v>
      </c>
      <c r="K302" s="125">
        <v>3.5988402599755833E-7</v>
      </c>
      <c r="L302" s="63">
        <v>1.2665841221043596E-6</v>
      </c>
      <c r="M302" s="31"/>
      <c r="R302" s="58">
        <v>465.64551377907765</v>
      </c>
      <c r="S302" s="55">
        <v>1.905715498047669E-6</v>
      </c>
      <c r="U302" s="1"/>
      <c r="V302" s="1"/>
      <c r="W302" s="77"/>
      <c r="X302" s="163"/>
      <c r="Y302" s="164"/>
      <c r="Z302" s="164"/>
      <c r="AA302" s="164"/>
      <c r="AB302" s="164">
        <f t="shared" si="18"/>
        <v>9.4214486220922371</v>
      </c>
      <c r="AC302" s="164">
        <f t="shared" si="19"/>
        <v>1.905715498047669E-4</v>
      </c>
    </row>
    <row r="303" spans="9:29" x14ac:dyDescent="0.25">
      <c r="I303" s="124">
        <v>0.17273449353600001</v>
      </c>
      <c r="J303" s="125">
        <v>1.7601118920721219E-6</v>
      </c>
      <c r="K303" s="125">
        <v>3.2646635943197125E-7</v>
      </c>
      <c r="L303" s="63">
        <v>1.2429549654189467E-6</v>
      </c>
      <c r="M303" s="31"/>
      <c r="R303" s="58">
        <v>465.64551377907765</v>
      </c>
      <c r="S303" s="55">
        <v>1.874455242704308E-6</v>
      </c>
      <c r="U303" s="1"/>
      <c r="V303" s="1"/>
      <c r="W303" s="77"/>
      <c r="X303" s="163"/>
      <c r="Y303" s="164"/>
      <c r="Z303" s="164"/>
      <c r="AA303" s="164"/>
      <c r="AB303" s="164">
        <f t="shared" si="18"/>
        <v>9.4214486220922371</v>
      </c>
      <c r="AC303" s="164">
        <f t="shared" si="19"/>
        <v>1.8744552427043078E-4</v>
      </c>
    </row>
    <row r="304" spans="9:29" x14ac:dyDescent="0.25">
      <c r="I304" s="124">
        <v>0.174461838471</v>
      </c>
      <c r="J304" s="125">
        <v>1.1772771313103907E-6</v>
      </c>
      <c r="K304" s="125">
        <v>3.520742508112166E-7</v>
      </c>
      <c r="L304" s="63">
        <v>1.1968947752441159E-6</v>
      </c>
      <c r="M304" s="32"/>
      <c r="R304" s="58">
        <v>467.1186741650576</v>
      </c>
      <c r="S304" s="55">
        <v>1.874455242704308E-6</v>
      </c>
      <c r="U304" s="1"/>
      <c r="V304" s="1"/>
      <c r="W304" s="77"/>
      <c r="X304" s="163"/>
      <c r="Y304" s="164"/>
      <c r="Z304" s="164"/>
      <c r="AA304" s="164"/>
      <c r="AB304" s="164">
        <f t="shared" si="18"/>
        <v>9.2741325834942412</v>
      </c>
      <c r="AC304" s="164">
        <f t="shared" si="19"/>
        <v>1.8744552427043078E-4</v>
      </c>
    </row>
    <row r="305" spans="9:29" x14ac:dyDescent="0.25">
      <c r="I305" s="124">
        <v>0.176206456856</v>
      </c>
      <c r="J305" s="125">
        <v>7.9113653533519561E-7</v>
      </c>
      <c r="K305" s="125">
        <v>3.2187715550455193E-7</v>
      </c>
      <c r="L305" s="63">
        <v>1.1301350290192045E-6</v>
      </c>
      <c r="M305" s="30"/>
      <c r="R305" s="58">
        <v>467.1186741650576</v>
      </c>
      <c r="S305" s="55">
        <v>1.7854786996445372E-6</v>
      </c>
      <c r="U305" s="1"/>
      <c r="V305" s="1"/>
      <c r="W305" s="77"/>
      <c r="X305" s="163"/>
      <c r="Y305" s="164"/>
      <c r="Z305" s="164"/>
      <c r="AA305" s="164"/>
      <c r="AB305" s="164">
        <f t="shared" si="18"/>
        <v>9.2741325834942412</v>
      </c>
      <c r="AC305" s="164">
        <f t="shared" si="19"/>
        <v>1.7854786996445373E-4</v>
      </c>
    </row>
    <row r="306" spans="9:29" x14ac:dyDescent="0.25">
      <c r="I306" s="124">
        <v>0.17796852142399999</v>
      </c>
      <c r="J306" s="125">
        <v>1.5851763573184323E-6</v>
      </c>
      <c r="K306" s="125">
        <v>3.4341134348548411E-7</v>
      </c>
      <c r="L306" s="63">
        <v>1.0532801130979478E-6</v>
      </c>
      <c r="M306" s="31"/>
      <c r="R306" s="58">
        <v>470.0649949370175</v>
      </c>
      <c r="S306" s="55">
        <v>1.7854786996445372E-6</v>
      </c>
      <c r="U306" s="1"/>
      <c r="V306" s="1"/>
      <c r="W306" s="77"/>
      <c r="X306" s="163"/>
      <c r="Y306" s="164"/>
      <c r="Z306" s="164"/>
      <c r="AA306" s="164"/>
      <c r="AB306" s="164">
        <f t="shared" si="18"/>
        <v>8.9795005062982511</v>
      </c>
      <c r="AC306" s="164">
        <f t="shared" si="19"/>
        <v>1.7854786996445373E-4</v>
      </c>
    </row>
    <row r="307" spans="9:29" x14ac:dyDescent="0.25">
      <c r="I307" s="124">
        <v>0.17974820663800001</v>
      </c>
      <c r="J307" s="125">
        <v>1.5267517785820958E-6</v>
      </c>
      <c r="K307" s="125">
        <v>3.37628749412932E-7</v>
      </c>
      <c r="L307" s="63">
        <v>9.8010547758092316E-7</v>
      </c>
      <c r="M307" s="31"/>
      <c r="R307" s="58">
        <v>470.0649949370175</v>
      </c>
      <c r="S307" s="55">
        <v>1.6695395464689015E-6</v>
      </c>
      <c r="U307" s="1"/>
      <c r="V307" s="1"/>
      <c r="W307" s="77"/>
      <c r="X307" s="163"/>
      <c r="Y307" s="164"/>
      <c r="Z307" s="164"/>
      <c r="AA307" s="164"/>
      <c r="AB307" s="164">
        <f t="shared" si="18"/>
        <v>8.9795005062982511</v>
      </c>
      <c r="AC307" s="164">
        <f t="shared" si="19"/>
        <v>1.6695395464689014E-4</v>
      </c>
    </row>
    <row r="308" spans="9:29" x14ac:dyDescent="0.25">
      <c r="I308" s="124">
        <v>0.18154568870500001</v>
      </c>
      <c r="J308" s="125">
        <v>1.9743842387466903E-6</v>
      </c>
      <c r="K308" s="125">
        <v>3.217351965061175E-7</v>
      </c>
      <c r="L308" s="63">
        <v>9.2116196522470424E-7</v>
      </c>
      <c r="M308" s="30"/>
      <c r="R308" s="58">
        <v>473.01131570897741</v>
      </c>
      <c r="S308" s="55">
        <v>1.6695395464689015E-6</v>
      </c>
      <c r="U308" s="1"/>
      <c r="V308" s="1"/>
      <c r="W308" s="77"/>
      <c r="X308" s="163"/>
      <c r="Y308" s="164"/>
      <c r="Z308" s="164"/>
      <c r="AA308" s="164"/>
      <c r="AB308" s="164">
        <f t="shared" si="18"/>
        <v>8.6848684291022611</v>
      </c>
      <c r="AC308" s="164">
        <f t="shared" si="19"/>
        <v>1.6695395464689014E-4</v>
      </c>
    </row>
    <row r="309" spans="9:29" x14ac:dyDescent="0.25">
      <c r="I309" s="124">
        <v>0.18336114559200001</v>
      </c>
      <c r="J309" s="125">
        <v>1.6383334256373108E-6</v>
      </c>
      <c r="K309" s="125">
        <v>3.3150658489748348E-7</v>
      </c>
      <c r="L309" s="63">
        <v>8.79584095441236E-7</v>
      </c>
      <c r="M309" s="31"/>
      <c r="R309" s="58">
        <v>473.01131570897741</v>
      </c>
      <c r="S309" s="55">
        <v>1.5590903317549217E-6</v>
      </c>
      <c r="U309" s="1"/>
      <c r="V309" s="1"/>
      <c r="W309" s="77"/>
      <c r="X309" s="163"/>
      <c r="Y309" s="164"/>
      <c r="Z309" s="164"/>
      <c r="AA309" s="164"/>
      <c r="AB309" s="164">
        <f t="shared" si="18"/>
        <v>8.6848684291022611</v>
      </c>
      <c r="AC309" s="164">
        <f t="shared" si="19"/>
        <v>1.5590903317549217E-4</v>
      </c>
    </row>
    <row r="310" spans="9:29" x14ac:dyDescent="0.25">
      <c r="I310" s="124">
        <v>0.18519475704800001</v>
      </c>
      <c r="J310" s="125">
        <v>7.1247987676273931E-7</v>
      </c>
      <c r="K310" s="125">
        <v>2.7732922681728309E-7</v>
      </c>
      <c r="L310" s="63">
        <v>8.5077526650906694E-7</v>
      </c>
      <c r="M310" s="31"/>
      <c r="R310" s="58">
        <v>475.95763648093731</v>
      </c>
      <c r="S310" s="55">
        <v>1.5590903317549217E-6</v>
      </c>
      <c r="U310" s="1"/>
      <c r="V310" s="1"/>
      <c r="W310" s="77"/>
      <c r="X310" s="163"/>
      <c r="Y310" s="164"/>
      <c r="Z310" s="164"/>
      <c r="AA310" s="164"/>
      <c r="AB310" s="164">
        <f t="shared" si="18"/>
        <v>8.390236351906271</v>
      </c>
      <c r="AC310" s="164">
        <f t="shared" si="19"/>
        <v>1.5590903317549217E-4</v>
      </c>
    </row>
    <row r="311" spans="9:29" x14ac:dyDescent="0.25">
      <c r="I311" s="124">
        <v>0.18704670461799999</v>
      </c>
      <c r="J311" s="125">
        <v>1.2200660039500616E-6</v>
      </c>
      <c r="K311" s="125">
        <v>3.0645142968947464E-7</v>
      </c>
      <c r="L311" s="63">
        <v>8.257051034483865E-7</v>
      </c>
      <c r="M311" s="31"/>
      <c r="R311" s="58">
        <v>475.95763648093731</v>
      </c>
      <c r="S311" s="55">
        <v>1.4563927768767517E-6</v>
      </c>
      <c r="U311" s="1"/>
      <c r="V311" s="1"/>
      <c r="W311" s="77"/>
      <c r="X311" s="163"/>
      <c r="Y311" s="164"/>
      <c r="Z311" s="164"/>
      <c r="AA311" s="164"/>
      <c r="AB311" s="164">
        <f t="shared" si="18"/>
        <v>8.390236351906271</v>
      </c>
      <c r="AC311" s="164">
        <f t="shared" si="19"/>
        <v>1.4563927768767516E-4</v>
      </c>
    </row>
    <row r="312" spans="9:29" x14ac:dyDescent="0.25">
      <c r="I312" s="124">
        <v>0.18891717166399999</v>
      </c>
      <c r="J312" s="125">
        <v>5.7497351387520701E-7</v>
      </c>
      <c r="K312" s="125">
        <v>3.0432352983653165E-7</v>
      </c>
      <c r="L312" s="63">
        <v>7.9585954257442097E-7</v>
      </c>
      <c r="M312" s="30"/>
      <c r="R312" s="58">
        <v>478.90395725289721</v>
      </c>
      <c r="S312" s="55">
        <v>1.4563927768767517E-6</v>
      </c>
      <c r="U312" s="1"/>
      <c r="V312" s="1"/>
      <c r="W312" s="77"/>
      <c r="X312" s="163"/>
      <c r="Y312" s="164"/>
      <c r="Z312" s="164"/>
      <c r="AA312" s="164"/>
      <c r="AB312" s="164">
        <f t="shared" si="18"/>
        <v>8.0956042747102792</v>
      </c>
      <c r="AC312" s="164">
        <f t="shared" si="19"/>
        <v>1.4563927768767516E-4</v>
      </c>
    </row>
    <row r="313" spans="9:29" x14ac:dyDescent="0.25">
      <c r="I313" s="124">
        <v>0.190806343381</v>
      </c>
      <c r="J313" s="125">
        <v>1.1139608380457949E-6</v>
      </c>
      <c r="K313" s="125">
        <v>2.9617626215182895E-7</v>
      </c>
      <c r="L313" s="63">
        <v>7.5725494219652484E-7</v>
      </c>
      <c r="M313" s="31"/>
      <c r="R313" s="58">
        <v>478.90395725289721</v>
      </c>
      <c r="S313" s="55">
        <v>1.3631913324783299E-6</v>
      </c>
      <c r="U313" s="1"/>
      <c r="V313" s="1"/>
      <c r="W313" s="77"/>
      <c r="X313" s="163"/>
      <c r="Y313" s="164"/>
      <c r="Z313" s="164"/>
      <c r="AA313" s="164"/>
      <c r="AB313" s="164">
        <f t="shared" si="18"/>
        <v>8.0956042747102792</v>
      </c>
      <c r="AC313" s="164">
        <f t="shared" si="19"/>
        <v>1.3631913324783299E-4</v>
      </c>
    </row>
    <row r="314" spans="9:29" x14ac:dyDescent="0.25">
      <c r="I314" s="124">
        <v>0.19271440681499999</v>
      </c>
      <c r="J314" s="125">
        <v>1.613938368108654E-6</v>
      </c>
      <c r="K314" s="125">
        <v>3.0359948983960139E-7</v>
      </c>
      <c r="L314" s="63">
        <v>7.1163396380210267E-7</v>
      </c>
      <c r="M314" s="31"/>
      <c r="R314" s="58">
        <v>481.85027802485712</v>
      </c>
      <c r="S314" s="55">
        <v>1.3631913324783299E-6</v>
      </c>
      <c r="U314" s="1"/>
      <c r="V314" s="1"/>
      <c r="W314" s="77"/>
      <c r="X314" s="163"/>
      <c r="Y314" s="164"/>
      <c r="Z314" s="164"/>
      <c r="AA314" s="164"/>
      <c r="AB314" s="164">
        <f t="shared" si="18"/>
        <v>7.8009721975142892</v>
      </c>
      <c r="AC314" s="164">
        <f t="shared" si="19"/>
        <v>1.3631913324783299E-4</v>
      </c>
    </row>
    <row r="315" spans="9:29" x14ac:dyDescent="0.25">
      <c r="I315" s="124">
        <v>0.194641550883</v>
      </c>
      <c r="J315" s="125">
        <v>1.4613162890401521E-6</v>
      </c>
      <c r="K315" s="125">
        <v>3.2152821226781855E-7</v>
      </c>
      <c r="L315" s="63">
        <v>6.6457954170377497E-7</v>
      </c>
      <c r="M315" s="30"/>
      <c r="R315" s="58">
        <v>481.85027802485712</v>
      </c>
      <c r="S315" s="55">
        <v>1.2806349074061118E-6</v>
      </c>
      <c r="U315" s="1"/>
      <c r="V315" s="1"/>
      <c r="W315" s="77"/>
      <c r="X315" s="163"/>
      <c r="Y315" s="164"/>
      <c r="Z315" s="164"/>
      <c r="AA315" s="164"/>
      <c r="AB315" s="164">
        <f t="shared" si="18"/>
        <v>7.8009721975142892</v>
      </c>
      <c r="AC315" s="164">
        <f t="shared" si="19"/>
        <v>1.2806349074061119E-4</v>
      </c>
    </row>
    <row r="316" spans="9:29" x14ac:dyDescent="0.25">
      <c r="I316" s="124">
        <v>0.19658796639199999</v>
      </c>
      <c r="J316" s="125">
        <v>8.8289296649166011E-7</v>
      </c>
      <c r="K316" s="125">
        <v>2.6740755682284445E-7</v>
      </c>
      <c r="L316" s="63">
        <v>6.2192001795328826E-7</v>
      </c>
      <c r="M316" s="31"/>
      <c r="R316" s="58">
        <v>484.79659879681702</v>
      </c>
      <c r="S316" s="55">
        <v>1.2806349074061118E-6</v>
      </c>
      <c r="U316" s="1"/>
      <c r="V316" s="1"/>
      <c r="W316" s="77"/>
      <c r="X316" s="163"/>
      <c r="Y316" s="164"/>
      <c r="Z316" s="164"/>
      <c r="AA316" s="164"/>
      <c r="AB316" s="164">
        <f t="shared" si="18"/>
        <v>7.5063401203182991</v>
      </c>
      <c r="AC316" s="164">
        <f t="shared" si="19"/>
        <v>1.2806349074061119E-4</v>
      </c>
    </row>
    <row r="317" spans="9:29" x14ac:dyDescent="0.25">
      <c r="I317" s="124">
        <v>0.19855384605599999</v>
      </c>
      <c r="J317" s="125">
        <v>9.6767298266457199E-7</v>
      </c>
      <c r="K317" s="125">
        <v>2.8662357555438053E-7</v>
      </c>
      <c r="L317" s="63">
        <v>5.8657384639469239E-7</v>
      </c>
      <c r="M317" s="31"/>
      <c r="R317" s="58">
        <v>484.79659879681702</v>
      </c>
      <c r="S317" s="55">
        <v>1.2092600519134664E-6</v>
      </c>
      <c r="U317" s="1"/>
      <c r="V317" s="1"/>
      <c r="W317" s="77"/>
      <c r="X317" s="163"/>
      <c r="Y317" s="164"/>
      <c r="Z317" s="164"/>
      <c r="AA317" s="164"/>
      <c r="AB317" s="164">
        <f t="shared" si="18"/>
        <v>7.5063401203182991</v>
      </c>
      <c r="AC317" s="164">
        <f t="shared" si="19"/>
        <v>1.2092600519134665E-4</v>
      </c>
    </row>
    <row r="318" spans="9:29" x14ac:dyDescent="0.25">
      <c r="I318" s="124">
        <v>0.20053938451600001</v>
      </c>
      <c r="J318" s="125">
        <v>8.9093100704709847E-7</v>
      </c>
      <c r="K318" s="125">
        <v>2.8216312825051994E-7</v>
      </c>
      <c r="L318" s="63">
        <v>5.5751686397446771E-7</v>
      </c>
      <c r="M318" s="30"/>
      <c r="R318" s="58">
        <v>487.74291956877693</v>
      </c>
      <c r="S318" s="55">
        <v>1.2092600519134664E-6</v>
      </c>
      <c r="U318" s="1"/>
      <c r="V318" s="1"/>
      <c r="W318" s="77"/>
      <c r="X318" s="163"/>
      <c r="Y318" s="164"/>
      <c r="Z318" s="164"/>
      <c r="AA318" s="164"/>
      <c r="AB318" s="164">
        <f t="shared" si="18"/>
        <v>7.2117080431223091</v>
      </c>
      <c r="AC318" s="164">
        <f t="shared" si="19"/>
        <v>1.2092600519134665E-4</v>
      </c>
    </row>
    <row r="319" spans="9:29" x14ac:dyDescent="0.25">
      <c r="I319" s="124">
        <v>0.20254477836199999</v>
      </c>
      <c r="J319" s="125">
        <v>5.1018658386766406E-7</v>
      </c>
      <c r="K319" s="125">
        <v>2.7162503004045088E-7</v>
      </c>
      <c r="L319" s="63">
        <v>5.3118002723670512E-7</v>
      </c>
      <c r="M319" s="31"/>
      <c r="R319" s="58">
        <v>487.74291956877693</v>
      </c>
      <c r="S319" s="55">
        <v>1.1490310281614212E-6</v>
      </c>
      <c r="U319" s="1"/>
      <c r="V319" s="1"/>
      <c r="W319" s="77"/>
      <c r="X319" s="163"/>
      <c r="Y319" s="164"/>
      <c r="Z319" s="164"/>
      <c r="AA319" s="164"/>
      <c r="AB319" s="164">
        <f t="shared" si="18"/>
        <v>7.2117080431223091</v>
      </c>
      <c r="AC319" s="164">
        <f t="shared" si="19"/>
        <v>1.1490310281614212E-4</v>
      </c>
    </row>
    <row r="320" spans="9:29" x14ac:dyDescent="0.25">
      <c r="I320" s="124">
        <v>0.20457022614500001</v>
      </c>
      <c r="J320" s="125">
        <v>1.0210004687820114E-6</v>
      </c>
      <c r="K320" s="125">
        <v>2.9421410351263524E-7</v>
      </c>
      <c r="L320" s="63">
        <v>5.0414347763932938E-7</v>
      </c>
      <c r="M320" s="31"/>
      <c r="R320" s="58">
        <v>490.68924034073683</v>
      </c>
      <c r="S320" s="55">
        <v>1.1490310281614212E-6</v>
      </c>
      <c r="U320" s="1"/>
      <c r="V320" s="1"/>
      <c r="W320" s="77"/>
      <c r="X320" s="163"/>
      <c r="Y320" s="164"/>
      <c r="Z320" s="164"/>
      <c r="AA320" s="164"/>
      <c r="AB320" s="164">
        <f t="shared" si="18"/>
        <v>6.9170759659263181</v>
      </c>
      <c r="AC320" s="164">
        <f t="shared" si="19"/>
        <v>1.1490310281614212E-4</v>
      </c>
    </row>
    <row r="321" spans="9:29" x14ac:dyDescent="0.25">
      <c r="I321" s="124">
        <v>0.20661592840699999</v>
      </c>
      <c r="J321" s="125">
        <v>9.2056357554964024E-7</v>
      </c>
      <c r="K321" s="125">
        <v>2.9196122692792711E-7</v>
      </c>
      <c r="L321" s="63">
        <v>4.7533535374169339E-7</v>
      </c>
      <c r="M321" s="30"/>
      <c r="R321" s="58">
        <v>490.68924034073683</v>
      </c>
      <c r="S321" s="55">
        <v>1.0994252290501002E-6</v>
      </c>
      <c r="U321" s="1"/>
      <c r="V321" s="1"/>
      <c r="W321" s="77"/>
      <c r="X321" s="163"/>
      <c r="Y321" s="164"/>
      <c r="Z321" s="164"/>
      <c r="AA321" s="164"/>
      <c r="AB321" s="164">
        <f t="shared" si="18"/>
        <v>6.9170759659263181</v>
      </c>
      <c r="AC321" s="164">
        <f t="shared" si="19"/>
        <v>1.0994252290501002E-4</v>
      </c>
    </row>
    <row r="322" spans="9:29" x14ac:dyDescent="0.25">
      <c r="I322" s="124">
        <v>0.208682087691</v>
      </c>
      <c r="J322" s="125">
        <v>1.2768576607057321E-6</v>
      </c>
      <c r="K322" s="125">
        <v>2.9096836306653699E-7</v>
      </c>
      <c r="L322" s="63">
        <v>4.4641972319914819E-7</v>
      </c>
      <c r="M322" s="31"/>
      <c r="R322" s="58">
        <v>493.63556111269673</v>
      </c>
      <c r="S322" s="55">
        <v>1.0994252290501002E-6</v>
      </c>
      <c r="U322" s="1"/>
      <c r="V322" s="1"/>
      <c r="W322" s="77"/>
      <c r="X322" s="163"/>
      <c r="Y322" s="164"/>
      <c r="Z322" s="164"/>
      <c r="AA322" s="164"/>
      <c r="AB322" s="164">
        <f t="shared" si="18"/>
        <v>6.6224438887303281</v>
      </c>
      <c r="AC322" s="164">
        <f t="shared" si="19"/>
        <v>1.0994252290501002E-4</v>
      </c>
    </row>
    <row r="323" spans="9:29" x14ac:dyDescent="0.25">
      <c r="I323" s="124">
        <v>0.21076890856800001</v>
      </c>
      <c r="J323" s="125">
        <v>6.1492729769183709E-7</v>
      </c>
      <c r="K323" s="125">
        <v>2.7636516181854162E-7</v>
      </c>
      <c r="L323" s="63">
        <v>4.2030936854211159E-7</v>
      </c>
      <c r="M323" s="31"/>
      <c r="R323" s="58">
        <v>493.63556111269673</v>
      </c>
      <c r="S323" s="55">
        <v>1.0595480126950971E-6</v>
      </c>
      <c r="U323" s="1"/>
      <c r="V323" s="1"/>
      <c r="W323" s="77"/>
      <c r="X323" s="163"/>
      <c r="Y323" s="164"/>
      <c r="Z323" s="164"/>
      <c r="AA323" s="164"/>
      <c r="AB323" s="164">
        <f t="shared" si="18"/>
        <v>6.6224438887303281</v>
      </c>
      <c r="AC323" s="164">
        <f t="shared" si="19"/>
        <v>1.0595480126950971E-4</v>
      </c>
    </row>
    <row r="324" spans="9:29" x14ac:dyDescent="0.25">
      <c r="I324" s="124">
        <v>0.21287659765299999</v>
      </c>
      <c r="J324" s="125">
        <v>1.2271624877405444E-6</v>
      </c>
      <c r="K324" s="125">
        <v>2.9930986087452612E-7</v>
      </c>
      <c r="L324" s="63">
        <v>3.9893961022145265E-7</v>
      </c>
      <c r="M324" s="30"/>
      <c r="R324" s="58">
        <v>496.58188188465664</v>
      </c>
      <c r="S324" s="55">
        <v>1.0595480126950971E-6</v>
      </c>
      <c r="U324" s="1"/>
      <c r="V324" s="1"/>
      <c r="W324" s="77"/>
      <c r="X324" s="163"/>
      <c r="Y324" s="164"/>
      <c r="Z324" s="164"/>
      <c r="AA324" s="164"/>
      <c r="AB324" s="164">
        <f t="shared" ref="AB324:AB387" si="20">(559.86-R324)/10</f>
        <v>6.3278118115343371</v>
      </c>
      <c r="AC324" s="164">
        <f t="shared" ref="AC324:AC387" si="21">S324*100</f>
        <v>1.0595480126950971E-4</v>
      </c>
    </row>
    <row r="325" spans="9:29" x14ac:dyDescent="0.25">
      <c r="I325" s="124">
        <v>0.21500536363</v>
      </c>
      <c r="J325" s="125">
        <v>8.5044211144937175E-7</v>
      </c>
      <c r="K325" s="125">
        <v>2.7412502581414016E-7</v>
      </c>
      <c r="L325" s="63">
        <v>3.8182994593066499E-7</v>
      </c>
      <c r="M325" s="31"/>
      <c r="R325" s="58">
        <v>496.58188188465664</v>
      </c>
      <c r="S325" s="55">
        <v>1.0282596440547068E-6</v>
      </c>
      <c r="U325" s="1"/>
      <c r="V325" s="1"/>
      <c r="W325" s="77"/>
      <c r="X325" s="163"/>
      <c r="Y325" s="164"/>
      <c r="Z325" s="164"/>
      <c r="AA325" s="164"/>
      <c r="AB325" s="164">
        <f t="shared" si="20"/>
        <v>6.3278118115343371</v>
      </c>
      <c r="AC325" s="164">
        <f t="shared" si="21"/>
        <v>1.0282596440547068E-4</v>
      </c>
    </row>
    <row r="326" spans="9:29" x14ac:dyDescent="0.25">
      <c r="I326" s="124">
        <v>0.21715541726599999</v>
      </c>
      <c r="J326" s="125">
        <v>8.2235329342053453E-7</v>
      </c>
      <c r="K326" s="125">
        <v>2.8197764985992265E-7</v>
      </c>
      <c r="L326" s="63">
        <v>3.6633675989936929E-7</v>
      </c>
      <c r="M326" s="31"/>
      <c r="R326" s="58">
        <v>499.52820265661654</v>
      </c>
      <c r="S326" s="55">
        <v>1.0282596440547068E-6</v>
      </c>
      <c r="U326" s="1"/>
      <c r="V326" s="1"/>
      <c r="W326" s="77"/>
      <c r="X326" s="163"/>
      <c r="Y326" s="164"/>
      <c r="Z326" s="164"/>
      <c r="AA326" s="164"/>
      <c r="AB326" s="164">
        <f t="shared" si="20"/>
        <v>6.0331797343383471</v>
      </c>
      <c r="AC326" s="164">
        <f t="shared" si="21"/>
        <v>1.0282596440547068E-4</v>
      </c>
    </row>
    <row r="327" spans="9:29" x14ac:dyDescent="0.25">
      <c r="I327" s="124">
        <v>0.21932697143900001</v>
      </c>
      <c r="J327" s="125">
        <v>6.0384343322968045E-7</v>
      </c>
      <c r="K327" s="125">
        <v>2.6212967173582991E-7</v>
      </c>
      <c r="L327" s="63">
        <v>3.4932074065701783E-7</v>
      </c>
      <c r="M327" s="30"/>
      <c r="R327" s="58">
        <v>499.52820265661654</v>
      </c>
      <c r="S327" s="55">
        <v>1.0042984114302522E-6</v>
      </c>
      <c r="U327" s="1"/>
      <c r="V327" s="1"/>
      <c r="W327" s="77"/>
      <c r="X327" s="163"/>
      <c r="Y327" s="164"/>
      <c r="Z327" s="164"/>
      <c r="AA327" s="164"/>
      <c r="AB327" s="164">
        <f t="shared" si="20"/>
        <v>6.0331797343383471</v>
      </c>
      <c r="AC327" s="164">
        <f t="shared" si="21"/>
        <v>1.0042984114302522E-4</v>
      </c>
    </row>
    <row r="328" spans="9:29" x14ac:dyDescent="0.25">
      <c r="I328" s="124">
        <v>0.22152024115300001</v>
      </c>
      <c r="J328" s="125">
        <v>1.1390749283071529E-6</v>
      </c>
      <c r="K328" s="125">
        <v>2.8598307406121873E-7</v>
      </c>
      <c r="L328" s="63">
        <v>3.2903802782137741E-7</v>
      </c>
      <c r="M328" s="31"/>
      <c r="R328" s="58">
        <v>502.47452342857645</v>
      </c>
      <c r="S328" s="55">
        <v>1.0042984114302522E-6</v>
      </c>
      <c r="U328" s="1"/>
      <c r="V328" s="1"/>
      <c r="W328" s="77"/>
      <c r="X328" s="163"/>
      <c r="Y328" s="164"/>
      <c r="Z328" s="164"/>
      <c r="AA328" s="164"/>
      <c r="AB328" s="164">
        <f t="shared" si="20"/>
        <v>5.738547657142357</v>
      </c>
      <c r="AC328" s="164">
        <f t="shared" si="21"/>
        <v>1.0042984114302522E-4</v>
      </c>
    </row>
    <row r="329" spans="9:29" x14ac:dyDescent="0.25">
      <c r="I329" s="124">
        <v>0.223735443565</v>
      </c>
      <c r="J329" s="125">
        <v>1.6009937613094943E-6</v>
      </c>
      <c r="K329" s="125">
        <v>3.0221620648337747E-7</v>
      </c>
      <c r="L329" s="63">
        <v>3.0611127518699735E-7</v>
      </c>
      <c r="M329" s="31"/>
      <c r="R329" s="58">
        <v>502.47452342857645</v>
      </c>
      <c r="S329" s="55">
        <v>9.8638713150677473E-7</v>
      </c>
      <c r="U329" s="1"/>
      <c r="V329" s="1"/>
      <c r="W329" s="77"/>
      <c r="X329" s="163"/>
      <c r="Y329" s="164"/>
      <c r="Z329" s="164"/>
      <c r="AA329" s="164"/>
      <c r="AB329" s="164">
        <f t="shared" si="20"/>
        <v>5.738547657142357</v>
      </c>
      <c r="AC329" s="164">
        <f t="shared" si="21"/>
        <v>9.8638713150677468E-5</v>
      </c>
    </row>
    <row r="330" spans="9:29" x14ac:dyDescent="0.25">
      <c r="I330" s="46"/>
      <c r="J330" s="46"/>
      <c r="K330" s="46"/>
      <c r="M330" s="33"/>
      <c r="R330" s="58">
        <v>505.42084420053635</v>
      </c>
      <c r="S330" s="55">
        <v>9.8638713150677473E-7</v>
      </c>
      <c r="V330" s="77"/>
      <c r="W330" s="77"/>
      <c r="X330" s="163"/>
      <c r="Y330" s="164"/>
      <c r="Z330" s="164"/>
      <c r="AA330" s="164"/>
      <c r="AB330" s="164">
        <f t="shared" si="20"/>
        <v>5.4439155799463661</v>
      </c>
      <c r="AC330" s="164">
        <f t="shared" si="21"/>
        <v>9.8638713150677468E-5</v>
      </c>
    </row>
    <row r="331" spans="9:29" x14ac:dyDescent="0.25">
      <c r="I331" s="46"/>
      <c r="J331" s="46"/>
      <c r="K331" s="46"/>
      <c r="M331" s="31"/>
      <c r="R331" s="58">
        <v>505.42084420053635</v>
      </c>
      <c r="S331" s="55">
        <v>9.7331332183768107E-7</v>
      </c>
      <c r="V331" s="77"/>
      <c r="W331" s="77"/>
      <c r="X331" s="163"/>
      <c r="Y331" s="164"/>
      <c r="Z331" s="164"/>
      <c r="AA331" s="164"/>
      <c r="AB331" s="164">
        <f t="shared" si="20"/>
        <v>5.4439155799463661</v>
      </c>
      <c r="AC331" s="164">
        <f t="shared" si="21"/>
        <v>9.7331332183768103E-5</v>
      </c>
    </row>
    <row r="332" spans="9:29" x14ac:dyDescent="0.25">
      <c r="I332" s="46"/>
      <c r="J332" s="46"/>
      <c r="K332" s="46"/>
      <c r="M332" s="31"/>
      <c r="R332" s="58">
        <v>508.36716497249625</v>
      </c>
      <c r="S332" s="55">
        <v>9.7331332183768107E-7</v>
      </c>
      <c r="V332" s="77"/>
      <c r="W332" s="77"/>
      <c r="X332" s="163"/>
      <c r="Y332" s="164"/>
      <c r="Z332" s="164"/>
      <c r="AA332" s="164"/>
      <c r="AB332" s="164">
        <f t="shared" si="20"/>
        <v>5.1492835027503761</v>
      </c>
      <c r="AC332" s="164">
        <f t="shared" si="21"/>
        <v>9.7331332183768103E-5</v>
      </c>
    </row>
    <row r="333" spans="9:29" x14ac:dyDescent="0.25">
      <c r="I333" s="46"/>
      <c r="J333" s="46"/>
      <c r="K333" s="46"/>
      <c r="M333" s="30"/>
      <c r="R333" s="58">
        <v>508.36716497249625</v>
      </c>
      <c r="S333" s="55">
        <v>9.6397365084717941E-7</v>
      </c>
      <c r="V333" s="77"/>
      <c r="W333" s="77"/>
      <c r="X333" s="163"/>
      <c r="Y333" s="164"/>
      <c r="Z333" s="164"/>
      <c r="AA333" s="164"/>
      <c r="AB333" s="164">
        <f t="shared" si="20"/>
        <v>5.1492835027503761</v>
      </c>
      <c r="AC333" s="164">
        <f t="shared" si="21"/>
        <v>9.6397365084717942E-5</v>
      </c>
    </row>
    <row r="334" spans="9:29" x14ac:dyDescent="0.25">
      <c r="I334" s="46"/>
      <c r="J334" s="46"/>
      <c r="K334" s="46"/>
      <c r="M334" s="31"/>
      <c r="R334" s="58">
        <v>511.31348574445616</v>
      </c>
      <c r="S334" s="55">
        <v>9.6397365084717941E-7</v>
      </c>
      <c r="V334" s="77"/>
      <c r="W334" s="77"/>
      <c r="X334" s="163"/>
      <c r="Y334" s="164"/>
      <c r="Z334" s="164"/>
      <c r="AA334" s="164"/>
      <c r="AB334" s="164">
        <f t="shared" si="20"/>
        <v>4.8546514255543851</v>
      </c>
      <c r="AC334" s="164">
        <f t="shared" si="21"/>
        <v>9.6397365084717942E-5</v>
      </c>
    </row>
    <row r="335" spans="9:29" x14ac:dyDescent="0.25">
      <c r="I335" s="46"/>
      <c r="J335" s="46"/>
      <c r="K335" s="46"/>
      <c r="M335" s="31"/>
      <c r="R335" s="58">
        <v>511.31348574445616</v>
      </c>
      <c r="S335" s="55">
        <v>9.5737014508030862E-7</v>
      </c>
      <c r="V335" s="77"/>
      <c r="W335" s="77"/>
      <c r="X335" s="163"/>
      <c r="Y335" s="164"/>
      <c r="Z335" s="164"/>
      <c r="AA335" s="164"/>
      <c r="AB335" s="164">
        <f t="shared" si="20"/>
        <v>4.8546514255543851</v>
      </c>
      <c r="AC335" s="164">
        <f t="shared" si="21"/>
        <v>9.5737014508030866E-5</v>
      </c>
    </row>
    <row r="336" spans="9:29" x14ac:dyDescent="0.25">
      <c r="I336" s="46"/>
      <c r="J336" s="46"/>
      <c r="K336" s="46"/>
      <c r="M336" s="30"/>
      <c r="R336" s="58">
        <v>514.25980651641612</v>
      </c>
      <c r="S336" s="55">
        <v>9.5737014508030862E-7</v>
      </c>
      <c r="V336" s="77"/>
      <c r="W336" s="77"/>
      <c r="X336" s="163"/>
      <c r="Y336" s="164"/>
      <c r="Z336" s="164"/>
      <c r="AA336" s="164"/>
      <c r="AB336" s="164">
        <f t="shared" si="20"/>
        <v>4.5600193483583897</v>
      </c>
      <c r="AC336" s="164">
        <f t="shared" si="21"/>
        <v>9.5737014508030866E-5</v>
      </c>
    </row>
    <row r="337" spans="9:29" x14ac:dyDescent="0.25">
      <c r="I337" s="46"/>
      <c r="J337" s="46"/>
      <c r="K337" s="46"/>
      <c r="M337" s="31"/>
      <c r="R337" s="58">
        <v>514.25980651641612</v>
      </c>
      <c r="S337" s="55">
        <v>9.5254895618807394E-7</v>
      </c>
      <c r="V337" s="77"/>
      <c r="W337" s="77"/>
      <c r="X337" s="163"/>
      <c r="Y337" s="164"/>
      <c r="Z337" s="164"/>
      <c r="AA337" s="164"/>
      <c r="AB337" s="164">
        <f t="shared" si="20"/>
        <v>4.5600193483583897</v>
      </c>
      <c r="AC337" s="164">
        <f t="shared" si="21"/>
        <v>9.5254895618807395E-5</v>
      </c>
    </row>
    <row r="338" spans="9:29" x14ac:dyDescent="0.25">
      <c r="I338" s="46"/>
      <c r="J338" s="46"/>
      <c r="K338" s="46"/>
      <c r="M338" s="31"/>
      <c r="R338" s="58">
        <v>517.20612728837602</v>
      </c>
      <c r="S338" s="55">
        <v>9.5254895618807394E-7</v>
      </c>
      <c r="V338" s="77"/>
      <c r="W338" s="77"/>
      <c r="X338" s="163"/>
      <c r="Y338" s="164"/>
      <c r="Z338" s="164"/>
      <c r="AA338" s="164"/>
      <c r="AB338" s="164">
        <f t="shared" si="20"/>
        <v>4.2653872711623988</v>
      </c>
      <c r="AC338" s="164">
        <f t="shared" si="21"/>
        <v>9.5254895618807395E-5</v>
      </c>
    </row>
    <row r="339" spans="9:29" x14ac:dyDescent="0.25">
      <c r="I339" s="46"/>
      <c r="J339" s="46"/>
      <c r="K339" s="46"/>
      <c r="M339" s="30"/>
      <c r="R339" s="58">
        <v>517.20612728837602</v>
      </c>
      <c r="S339" s="55">
        <v>9.4850833890118585E-7</v>
      </c>
      <c r="V339" s="77"/>
      <c r="W339" s="77"/>
      <c r="X339" s="163"/>
      <c r="Y339" s="164"/>
      <c r="Z339" s="164"/>
      <c r="AA339" s="164"/>
      <c r="AB339" s="164">
        <f t="shared" si="20"/>
        <v>4.2653872711623988</v>
      </c>
      <c r="AC339" s="164">
        <f t="shared" si="21"/>
        <v>9.4850833890118579E-5</v>
      </c>
    </row>
    <row r="340" spans="9:29" x14ac:dyDescent="0.25">
      <c r="I340" s="46"/>
      <c r="J340" s="46"/>
      <c r="K340" s="46"/>
      <c r="M340" s="31"/>
      <c r="R340" s="58">
        <v>520.15244806033593</v>
      </c>
      <c r="S340" s="55">
        <v>9.4850833890118585E-7</v>
      </c>
      <c r="V340" s="77"/>
      <c r="W340" s="77"/>
      <c r="X340" s="163"/>
      <c r="Y340" s="164"/>
      <c r="Z340" s="164"/>
      <c r="AA340" s="164"/>
      <c r="AB340" s="164">
        <f t="shared" si="20"/>
        <v>3.9707551939664087</v>
      </c>
      <c r="AC340" s="164">
        <f t="shared" si="21"/>
        <v>9.4850833890118579E-5</v>
      </c>
    </row>
    <row r="341" spans="9:29" x14ac:dyDescent="0.25">
      <c r="I341" s="46"/>
      <c r="J341" s="46"/>
      <c r="K341" s="46"/>
      <c r="M341" s="31"/>
      <c r="R341" s="58">
        <v>520.15244806033593</v>
      </c>
      <c r="S341" s="55">
        <v>9.4418091755775491E-7</v>
      </c>
      <c r="V341" s="77"/>
      <c r="W341" s="77"/>
      <c r="X341" s="163"/>
      <c r="Y341" s="164"/>
      <c r="Z341" s="164"/>
      <c r="AA341" s="164"/>
      <c r="AB341" s="164">
        <f t="shared" si="20"/>
        <v>3.9707551939664087</v>
      </c>
      <c r="AC341" s="164">
        <f t="shared" si="21"/>
        <v>9.4418091755775493E-5</v>
      </c>
    </row>
    <row r="342" spans="9:29" x14ac:dyDescent="0.25">
      <c r="I342" s="46"/>
      <c r="J342" s="46"/>
      <c r="K342" s="46"/>
      <c r="M342" s="30"/>
      <c r="R342" s="58">
        <v>523.09876883229583</v>
      </c>
      <c r="S342" s="55">
        <v>9.4418091755775491E-7</v>
      </c>
      <c r="V342" s="77"/>
      <c r="W342" s="77"/>
      <c r="X342" s="163"/>
      <c r="Y342" s="164"/>
      <c r="Z342" s="164"/>
      <c r="AA342" s="164"/>
      <c r="AB342" s="164">
        <f t="shared" si="20"/>
        <v>3.6761231167704183</v>
      </c>
      <c r="AC342" s="164">
        <f t="shared" si="21"/>
        <v>9.4418091755775493E-5</v>
      </c>
    </row>
    <row r="343" spans="9:29" x14ac:dyDescent="0.25">
      <c r="I343" s="46"/>
      <c r="J343" s="46"/>
      <c r="K343" s="46"/>
      <c r="M343" s="31"/>
      <c r="R343" s="58">
        <v>523.09876883229583</v>
      </c>
      <c r="S343" s="55">
        <v>9.386364055666747E-7</v>
      </c>
      <c r="V343" s="77"/>
      <c r="W343" s="77"/>
      <c r="X343" s="163"/>
      <c r="Y343" s="164"/>
      <c r="Z343" s="164"/>
      <c r="AA343" s="164"/>
      <c r="AB343" s="164">
        <f t="shared" si="20"/>
        <v>3.6761231167704183</v>
      </c>
      <c r="AC343" s="164">
        <f t="shared" si="21"/>
        <v>9.3863640556667474E-5</v>
      </c>
    </row>
    <row r="344" spans="9:29" x14ac:dyDescent="0.25">
      <c r="I344" s="46"/>
      <c r="J344" s="46"/>
      <c r="K344" s="46"/>
      <c r="M344" s="31"/>
      <c r="R344" s="58">
        <v>526.04508960425574</v>
      </c>
      <c r="S344" s="55">
        <v>9.386364055666747E-7</v>
      </c>
      <c r="V344" s="77"/>
      <c r="W344" s="77"/>
      <c r="X344" s="163"/>
      <c r="Y344" s="164"/>
      <c r="Z344" s="164"/>
      <c r="AA344" s="164"/>
      <c r="AB344" s="164">
        <f t="shared" si="20"/>
        <v>3.3814910395744278</v>
      </c>
      <c r="AC344" s="164">
        <f t="shared" si="21"/>
        <v>9.3863640556667474E-5</v>
      </c>
    </row>
    <row r="345" spans="9:29" x14ac:dyDescent="0.25">
      <c r="I345" s="46"/>
      <c r="J345" s="46"/>
      <c r="K345" s="46"/>
      <c r="M345" s="30"/>
      <c r="R345" s="58">
        <v>526.04508960425574</v>
      </c>
      <c r="S345" s="55">
        <v>9.3150431278577433E-7</v>
      </c>
      <c r="V345" s="77"/>
      <c r="W345" s="77"/>
      <c r="X345" s="163"/>
      <c r="Y345" s="164"/>
      <c r="Z345" s="164"/>
      <c r="AA345" s="164"/>
      <c r="AB345" s="164">
        <f t="shared" si="20"/>
        <v>3.3814910395744278</v>
      </c>
      <c r="AC345" s="164">
        <f t="shared" si="21"/>
        <v>9.3150431278577427E-5</v>
      </c>
    </row>
    <row r="346" spans="9:29" x14ac:dyDescent="0.25">
      <c r="I346" s="46"/>
      <c r="J346" s="46"/>
      <c r="K346" s="46"/>
      <c r="M346" s="31"/>
      <c r="R346" s="58">
        <v>528.99141037621564</v>
      </c>
      <c r="S346" s="55">
        <v>9.3150431278577433E-7</v>
      </c>
      <c r="V346" s="77"/>
      <c r="W346" s="77"/>
      <c r="X346" s="163"/>
      <c r="Y346" s="164"/>
      <c r="Z346" s="164"/>
      <c r="AA346" s="164"/>
      <c r="AB346" s="164">
        <f t="shared" si="20"/>
        <v>3.0868589623784373</v>
      </c>
      <c r="AC346" s="164">
        <f t="shared" si="21"/>
        <v>9.3150431278577427E-5</v>
      </c>
    </row>
    <row r="347" spans="9:29" x14ac:dyDescent="0.25">
      <c r="I347" s="46"/>
      <c r="J347" s="46"/>
      <c r="K347" s="46"/>
      <c r="M347" s="31"/>
      <c r="R347" s="58">
        <v>528.99141037621564</v>
      </c>
      <c r="S347" s="55">
        <v>9.2539513361313908E-7</v>
      </c>
      <c r="V347" s="77"/>
      <c r="W347" s="77"/>
      <c r="X347" s="163"/>
      <c r="Y347" s="164"/>
      <c r="Z347" s="164"/>
      <c r="AA347" s="164"/>
      <c r="AB347" s="164">
        <f t="shared" si="20"/>
        <v>3.0868589623784373</v>
      </c>
      <c r="AC347" s="164">
        <f t="shared" si="21"/>
        <v>9.2539513361313911E-5</v>
      </c>
    </row>
    <row r="348" spans="9:29" x14ac:dyDescent="0.25">
      <c r="I348" s="46"/>
      <c r="J348" s="46"/>
      <c r="K348" s="46"/>
      <c r="M348" s="30"/>
      <c r="R348" s="58">
        <v>530.46457076219565</v>
      </c>
      <c r="S348" s="55">
        <v>9.2539513361313908E-7</v>
      </c>
      <c r="V348" s="77"/>
      <c r="W348" s="77"/>
      <c r="X348" s="163"/>
      <c r="Y348" s="164"/>
      <c r="Z348" s="164"/>
      <c r="AA348" s="164"/>
      <c r="AB348" s="164">
        <f t="shared" si="20"/>
        <v>2.9395429237804365</v>
      </c>
      <c r="AC348" s="164">
        <f t="shared" si="21"/>
        <v>9.2539513361313911E-5</v>
      </c>
    </row>
    <row r="349" spans="9:29" x14ac:dyDescent="0.25">
      <c r="I349" s="46"/>
      <c r="J349" s="46"/>
      <c r="K349" s="46"/>
      <c r="M349" s="31"/>
      <c r="R349" s="58">
        <v>530.46457076219565</v>
      </c>
      <c r="S349" s="55">
        <v>9.3941811966490544E-7</v>
      </c>
      <c r="V349" s="77"/>
      <c r="W349" s="77"/>
      <c r="X349" s="163"/>
      <c r="Y349" s="164"/>
      <c r="Z349" s="164"/>
      <c r="AA349" s="164"/>
      <c r="AB349" s="164">
        <f t="shared" si="20"/>
        <v>2.9395429237804365</v>
      </c>
      <c r="AC349" s="164">
        <f t="shared" si="21"/>
        <v>9.3941811966490545E-5</v>
      </c>
    </row>
    <row r="350" spans="9:29" x14ac:dyDescent="0.25">
      <c r="I350" s="46"/>
      <c r="J350" s="46"/>
      <c r="K350" s="46"/>
      <c r="M350" s="31"/>
      <c r="R350" s="58">
        <v>530.82141725462725</v>
      </c>
      <c r="S350" s="55">
        <v>9.3941811966490544E-7</v>
      </c>
      <c r="V350" s="77"/>
      <c r="W350" s="77"/>
      <c r="X350" s="163"/>
      <c r="Y350" s="164"/>
      <c r="Z350" s="164"/>
      <c r="AA350" s="164"/>
      <c r="AB350" s="164">
        <f t="shared" si="20"/>
        <v>2.9038582745372765</v>
      </c>
      <c r="AC350" s="164">
        <f t="shared" si="21"/>
        <v>9.3941811966490545E-5</v>
      </c>
    </row>
    <row r="351" spans="9:29" x14ac:dyDescent="0.25">
      <c r="I351" s="46"/>
      <c r="J351" s="46"/>
      <c r="K351" s="46"/>
      <c r="M351" s="30"/>
      <c r="R351" s="58">
        <v>530.82141725462725</v>
      </c>
      <c r="S351" s="55">
        <v>9.4251032660967923E-7</v>
      </c>
      <c r="V351" s="77"/>
      <c r="W351" s="77"/>
      <c r="X351" s="163"/>
      <c r="Y351" s="164"/>
      <c r="Z351" s="164"/>
      <c r="AA351" s="164"/>
      <c r="AB351" s="164">
        <f t="shared" si="20"/>
        <v>2.9038582745372765</v>
      </c>
      <c r="AC351" s="164">
        <f t="shared" si="21"/>
        <v>9.4251032660967927E-5</v>
      </c>
    </row>
    <row r="352" spans="9:29" x14ac:dyDescent="0.25">
      <c r="I352" s="46"/>
      <c r="J352" s="46"/>
      <c r="K352" s="46"/>
      <c r="M352" s="31"/>
      <c r="R352" s="58">
        <v>531.53511023949056</v>
      </c>
      <c r="S352" s="55">
        <v>9.4251032660967923E-7</v>
      </c>
      <c r="V352" s="77"/>
      <c r="W352" s="77"/>
      <c r="X352" s="163"/>
      <c r="Y352" s="164"/>
      <c r="Z352" s="164"/>
      <c r="AA352" s="164"/>
      <c r="AB352" s="164">
        <f t="shared" si="20"/>
        <v>2.8324889760509451</v>
      </c>
      <c r="AC352" s="164">
        <f t="shared" si="21"/>
        <v>9.4251032660967927E-5</v>
      </c>
    </row>
    <row r="353" spans="9:29" x14ac:dyDescent="0.25">
      <c r="I353" s="46"/>
      <c r="J353" s="46"/>
      <c r="K353" s="46"/>
      <c r="M353" s="31"/>
      <c r="R353" s="58">
        <v>531.53511023949056</v>
      </c>
      <c r="S353" s="55">
        <v>9.4827537103797641E-7</v>
      </c>
      <c r="V353" s="77"/>
      <c r="W353" s="77"/>
      <c r="X353" s="163"/>
      <c r="Y353" s="164"/>
      <c r="Z353" s="164"/>
      <c r="AA353" s="164"/>
      <c r="AB353" s="164">
        <f t="shared" si="20"/>
        <v>2.8324889760509451</v>
      </c>
      <c r="AC353" s="164">
        <f t="shared" si="21"/>
        <v>9.4827537103797641E-5</v>
      </c>
    </row>
    <row r="354" spans="9:29" x14ac:dyDescent="0.25">
      <c r="I354" s="46"/>
      <c r="J354" s="46"/>
      <c r="K354" s="46"/>
      <c r="M354" s="31"/>
      <c r="R354" s="58">
        <v>532.24880322435388</v>
      </c>
      <c r="S354" s="55">
        <v>9.4827537103797641E-7</v>
      </c>
      <c r="V354" s="77"/>
      <c r="W354" s="77"/>
      <c r="X354" s="163"/>
      <c r="Y354" s="164"/>
      <c r="Z354" s="164"/>
      <c r="AA354" s="164"/>
      <c r="AB354" s="164">
        <f t="shared" si="20"/>
        <v>2.7611196775646136</v>
      </c>
      <c r="AC354" s="164">
        <f t="shared" si="21"/>
        <v>9.4827537103797641E-5</v>
      </c>
    </row>
    <row r="355" spans="9:29" x14ac:dyDescent="0.25">
      <c r="I355" s="46"/>
      <c r="J355" s="46"/>
      <c r="K355" s="46"/>
      <c r="M355" s="30"/>
      <c r="R355" s="58">
        <v>532.24880322435388</v>
      </c>
      <c r="S355" s="55">
        <v>9.5634024560148851E-7</v>
      </c>
      <c r="V355" s="77"/>
      <c r="W355" s="77"/>
      <c r="X355" s="163"/>
      <c r="Y355" s="164"/>
      <c r="Z355" s="164"/>
      <c r="AA355" s="164"/>
      <c r="AB355" s="164">
        <f t="shared" si="20"/>
        <v>2.7611196775646136</v>
      </c>
      <c r="AC355" s="164">
        <f t="shared" si="21"/>
        <v>9.563402456014885E-5</v>
      </c>
    </row>
    <row r="356" spans="9:29" x14ac:dyDescent="0.25">
      <c r="I356" s="46"/>
      <c r="J356" s="46"/>
      <c r="K356" s="46"/>
      <c r="M356" s="31"/>
      <c r="R356" s="58">
        <v>532.96249620921719</v>
      </c>
      <c r="S356" s="55">
        <v>9.5634024560148851E-7</v>
      </c>
      <c r="V356" s="77"/>
      <c r="W356" s="77"/>
      <c r="X356" s="163"/>
      <c r="Y356" s="164"/>
      <c r="Z356" s="164"/>
      <c r="AA356" s="164"/>
      <c r="AB356" s="164">
        <f t="shared" si="20"/>
        <v>2.6897503790782822</v>
      </c>
      <c r="AC356" s="164">
        <f t="shared" si="21"/>
        <v>9.563402456014885E-5</v>
      </c>
    </row>
    <row r="357" spans="9:29" x14ac:dyDescent="0.25">
      <c r="I357" s="46"/>
      <c r="J357" s="46"/>
      <c r="K357" s="46"/>
      <c r="M357" s="31"/>
      <c r="R357" s="58">
        <v>532.96249620921719</v>
      </c>
      <c r="S357" s="55">
        <v>9.6722324130125823E-7</v>
      </c>
      <c r="V357" s="77"/>
      <c r="W357" s="77"/>
      <c r="X357" s="163"/>
      <c r="Y357" s="164"/>
      <c r="Z357" s="164"/>
      <c r="AA357" s="164"/>
      <c r="AB357" s="164">
        <f t="shared" si="20"/>
        <v>2.6897503790782822</v>
      </c>
      <c r="AC357" s="164">
        <f t="shared" si="21"/>
        <v>9.6722324130125829E-5</v>
      </c>
    </row>
    <row r="358" spans="9:29" x14ac:dyDescent="0.25">
      <c r="I358" s="46"/>
      <c r="J358" s="46"/>
      <c r="K358" s="46"/>
      <c r="M358" s="30"/>
      <c r="R358" s="58">
        <v>533.67618919408051</v>
      </c>
      <c r="S358" s="55">
        <v>9.6722324130125823E-7</v>
      </c>
      <c r="V358" s="77"/>
      <c r="W358" s="77"/>
      <c r="X358" s="163"/>
      <c r="Y358" s="164"/>
      <c r="Z358" s="164"/>
      <c r="AA358" s="164"/>
      <c r="AB358" s="164">
        <f t="shared" si="20"/>
        <v>2.6183810805919507</v>
      </c>
      <c r="AC358" s="164">
        <f t="shared" si="21"/>
        <v>9.6722324130125829E-5</v>
      </c>
    </row>
    <row r="359" spans="9:29" x14ac:dyDescent="0.25">
      <c r="I359" s="46"/>
      <c r="J359" s="46"/>
      <c r="K359" s="46"/>
      <c r="M359" s="34"/>
      <c r="R359" s="58">
        <v>533.67618919408051</v>
      </c>
      <c r="S359" s="55">
        <v>9.814984764354459E-7</v>
      </c>
      <c r="V359" s="77"/>
      <c r="W359" s="77"/>
      <c r="X359" s="163"/>
      <c r="Y359" s="164"/>
      <c r="Z359" s="164"/>
      <c r="AA359" s="164"/>
      <c r="AB359" s="164">
        <f t="shared" si="20"/>
        <v>2.6183810805919507</v>
      </c>
      <c r="AC359" s="164">
        <f t="shared" si="21"/>
        <v>9.8149847643544586E-5</v>
      </c>
    </row>
    <row r="360" spans="9:29" x14ac:dyDescent="0.25">
      <c r="I360" s="46"/>
      <c r="J360" s="46"/>
      <c r="K360" s="46"/>
      <c r="M360" s="31"/>
      <c r="R360" s="58">
        <v>534.38988217894382</v>
      </c>
      <c r="S360" s="55">
        <v>9.814984764354459E-7</v>
      </c>
      <c r="V360" s="77"/>
      <c r="W360" s="77"/>
      <c r="X360" s="163"/>
      <c r="Y360" s="164"/>
      <c r="Z360" s="164"/>
      <c r="AA360" s="164"/>
      <c r="AB360" s="164">
        <f t="shared" si="20"/>
        <v>2.5470117821056193</v>
      </c>
      <c r="AC360" s="164">
        <f t="shared" si="21"/>
        <v>9.8149847643544586E-5</v>
      </c>
    </row>
    <row r="361" spans="9:29" x14ac:dyDescent="0.25">
      <c r="I361" s="46"/>
      <c r="J361" s="46"/>
      <c r="K361" s="46"/>
      <c r="M361" s="34"/>
      <c r="R361" s="58">
        <v>534.38988217894382</v>
      </c>
      <c r="S361" s="55">
        <v>9.9978682083002282E-7</v>
      </c>
      <c r="V361" s="77"/>
      <c r="W361" s="77"/>
      <c r="X361" s="163"/>
      <c r="Y361" s="164"/>
      <c r="Z361" s="164"/>
      <c r="AA361" s="164"/>
      <c r="AB361" s="164">
        <f t="shared" si="20"/>
        <v>2.5470117821056193</v>
      </c>
      <c r="AC361" s="164">
        <f t="shared" si="21"/>
        <v>9.9978682083002286E-5</v>
      </c>
    </row>
    <row r="362" spans="9:29" x14ac:dyDescent="0.25">
      <c r="I362" s="46"/>
      <c r="J362" s="46"/>
      <c r="K362" s="46"/>
      <c r="M362" s="31"/>
      <c r="R362" s="58">
        <v>535.10357516380714</v>
      </c>
      <c r="S362" s="55">
        <v>9.9978682083002282E-7</v>
      </c>
      <c r="V362" s="77"/>
      <c r="W362" s="77"/>
      <c r="X362" s="163"/>
      <c r="Y362" s="164"/>
      <c r="Z362" s="164"/>
      <c r="AA362" s="164"/>
      <c r="AB362" s="164">
        <f t="shared" si="20"/>
        <v>2.4756424836192878</v>
      </c>
      <c r="AC362" s="164">
        <f t="shared" si="21"/>
        <v>9.9978682083002286E-5</v>
      </c>
    </row>
    <row r="363" spans="9:29" x14ac:dyDescent="0.25">
      <c r="I363" s="46"/>
      <c r="J363" s="46"/>
      <c r="K363" s="46"/>
      <c r="M363" s="34"/>
      <c r="R363" s="58">
        <v>535.10357516380714</v>
      </c>
      <c r="S363" s="55">
        <v>1.0227419053847645E-6</v>
      </c>
      <c r="V363" s="77"/>
      <c r="W363" s="77"/>
      <c r="X363" s="163"/>
      <c r="Y363" s="164"/>
      <c r="Z363" s="164"/>
      <c r="AA363" s="164"/>
      <c r="AB363" s="164">
        <f t="shared" si="20"/>
        <v>2.4756424836192878</v>
      </c>
      <c r="AC363" s="164">
        <f t="shared" si="21"/>
        <v>1.0227419053847645E-4</v>
      </c>
    </row>
    <row r="364" spans="9:29" x14ac:dyDescent="0.25">
      <c r="I364" s="46"/>
      <c r="J364" s="46"/>
      <c r="K364" s="46"/>
      <c r="M364" s="30"/>
      <c r="R364" s="58">
        <v>535.81726814867045</v>
      </c>
      <c r="S364" s="55">
        <v>1.0227419053847645E-6</v>
      </c>
      <c r="V364" s="77"/>
      <c r="W364" s="77"/>
      <c r="X364" s="163"/>
      <c r="Y364" s="164"/>
      <c r="Z364" s="164"/>
      <c r="AA364" s="164"/>
      <c r="AB364" s="164">
        <f t="shared" si="20"/>
        <v>2.4042731851329564</v>
      </c>
      <c r="AC364" s="164">
        <f t="shared" si="21"/>
        <v>1.0227419053847645E-4</v>
      </c>
    </row>
    <row r="365" spans="9:29" x14ac:dyDescent="0.25">
      <c r="I365" s="46"/>
      <c r="J365" s="46"/>
      <c r="K365" s="46"/>
      <c r="M365" s="34"/>
      <c r="R365" s="58">
        <v>535.81726814867045</v>
      </c>
      <c r="S365" s="55">
        <v>1.0510309316474434E-6</v>
      </c>
      <c r="V365" s="77"/>
      <c r="W365" s="77"/>
      <c r="X365" s="163"/>
      <c r="Y365" s="164"/>
      <c r="Z365" s="164"/>
      <c r="AA365" s="164"/>
      <c r="AB365" s="164">
        <f t="shared" si="20"/>
        <v>2.4042731851329564</v>
      </c>
      <c r="AC365" s="164">
        <f t="shared" si="21"/>
        <v>1.0510309316474434E-4</v>
      </c>
    </row>
    <row r="366" spans="9:29" x14ac:dyDescent="0.25">
      <c r="I366" s="46"/>
      <c r="J366" s="46"/>
      <c r="K366" s="46"/>
      <c r="M366" s="31"/>
      <c r="R366" s="58">
        <v>536.53096113353376</v>
      </c>
      <c r="S366" s="55">
        <v>1.0510309316474434E-6</v>
      </c>
      <c r="V366" s="77"/>
      <c r="W366" s="77"/>
      <c r="X366" s="163"/>
      <c r="Y366" s="164"/>
      <c r="Z366" s="164"/>
      <c r="AA366" s="164"/>
      <c r="AB366" s="164">
        <f t="shared" si="20"/>
        <v>2.332903886646625</v>
      </c>
      <c r="AC366" s="164">
        <f t="shared" si="21"/>
        <v>1.0510309316474434E-4</v>
      </c>
    </row>
    <row r="367" spans="9:29" x14ac:dyDescent="0.25">
      <c r="I367" s="46"/>
      <c r="J367" s="46"/>
      <c r="K367" s="46"/>
      <c r="M367" s="31"/>
      <c r="R367" s="58">
        <v>536.53096113353376</v>
      </c>
      <c r="S367" s="55">
        <v>1.0853103688899961E-6</v>
      </c>
      <c r="V367" s="77"/>
      <c r="W367" s="77"/>
      <c r="X367" s="163"/>
      <c r="Y367" s="164"/>
      <c r="Z367" s="164"/>
      <c r="AA367" s="164"/>
      <c r="AB367" s="164">
        <f t="shared" si="20"/>
        <v>2.332903886646625</v>
      </c>
      <c r="AC367" s="164">
        <f t="shared" si="21"/>
        <v>1.0853103688899961E-4</v>
      </c>
    </row>
    <row r="368" spans="9:29" x14ac:dyDescent="0.25">
      <c r="I368" s="46"/>
      <c r="J368" s="46"/>
      <c r="K368" s="46"/>
      <c r="M368" s="34"/>
      <c r="R368" s="58">
        <v>537.24465411839708</v>
      </c>
      <c r="S368" s="55">
        <v>1.0853103688899961E-6</v>
      </c>
      <c r="V368" s="77"/>
      <c r="W368" s="77"/>
      <c r="X368" s="163"/>
      <c r="Y368" s="164"/>
      <c r="Z368" s="164"/>
      <c r="AA368" s="164"/>
      <c r="AB368" s="164">
        <f t="shared" si="20"/>
        <v>2.2615345881602935</v>
      </c>
      <c r="AC368" s="164">
        <f t="shared" si="21"/>
        <v>1.0853103688899961E-4</v>
      </c>
    </row>
    <row r="369" spans="9:29" x14ac:dyDescent="0.25">
      <c r="I369" s="46"/>
      <c r="J369" s="46"/>
      <c r="K369" s="46"/>
      <c r="M369" s="30"/>
      <c r="R369" s="58">
        <v>537.24465411839708</v>
      </c>
      <c r="S369" s="55">
        <v>1.1261970806336739E-6</v>
      </c>
      <c r="V369" s="77"/>
      <c r="W369" s="77"/>
      <c r="X369" s="163"/>
      <c r="Y369" s="164"/>
      <c r="Z369" s="164"/>
      <c r="AA369" s="164"/>
      <c r="AB369" s="164">
        <f t="shared" si="20"/>
        <v>2.2615345881602935</v>
      </c>
      <c r="AC369" s="164">
        <f t="shared" si="21"/>
        <v>1.1261970806336739E-4</v>
      </c>
    </row>
    <row r="370" spans="9:29" x14ac:dyDescent="0.25">
      <c r="I370" s="46"/>
      <c r="J370" s="46"/>
      <c r="K370" s="46"/>
      <c r="M370" s="34"/>
      <c r="R370" s="58">
        <v>537.95834710326039</v>
      </c>
      <c r="S370" s="55">
        <v>1.1261970806336739E-6</v>
      </c>
      <c r="V370" s="77"/>
      <c r="W370" s="77"/>
      <c r="X370" s="163"/>
      <c r="Y370" s="164"/>
      <c r="Z370" s="164"/>
      <c r="AA370" s="164"/>
      <c r="AB370" s="164">
        <f t="shared" si="20"/>
        <v>2.1901652896739621</v>
      </c>
      <c r="AC370" s="164">
        <f t="shared" si="21"/>
        <v>1.1261970806336739E-4</v>
      </c>
    </row>
    <row r="371" spans="9:29" x14ac:dyDescent="0.25">
      <c r="I371" s="46"/>
      <c r="J371" s="46"/>
      <c r="K371" s="46"/>
      <c r="M371" s="31"/>
      <c r="R371" s="58">
        <v>537.95834710326039</v>
      </c>
      <c r="S371" s="55">
        <v>1.1742359258475487E-6</v>
      </c>
      <c r="V371" s="77"/>
      <c r="W371" s="77"/>
      <c r="X371" s="163"/>
      <c r="Y371" s="164"/>
      <c r="Z371" s="164"/>
      <c r="AA371" s="164"/>
      <c r="AB371" s="164">
        <f t="shared" si="20"/>
        <v>2.1901652896739621</v>
      </c>
      <c r="AC371" s="164">
        <f t="shared" si="21"/>
        <v>1.1742359258475487E-4</v>
      </c>
    </row>
    <row r="372" spans="9:29" x14ac:dyDescent="0.25">
      <c r="I372" s="46"/>
      <c r="J372" s="46"/>
      <c r="K372" s="46"/>
      <c r="M372" s="34"/>
      <c r="R372" s="58">
        <v>538.67204008812371</v>
      </c>
      <c r="S372" s="55">
        <v>1.1742359258475487E-6</v>
      </c>
      <c r="V372" s="77"/>
      <c r="W372" s="77"/>
      <c r="X372" s="163"/>
      <c r="Y372" s="164"/>
      <c r="Z372" s="164"/>
      <c r="AA372" s="164"/>
      <c r="AB372" s="164">
        <f t="shared" si="20"/>
        <v>2.1187959911876306</v>
      </c>
      <c r="AC372" s="164">
        <f t="shared" si="21"/>
        <v>1.1742359258475487E-4</v>
      </c>
    </row>
    <row r="373" spans="9:29" x14ac:dyDescent="0.25">
      <c r="I373" s="46"/>
      <c r="J373" s="46"/>
      <c r="K373" s="46"/>
      <c r="M373" s="34"/>
      <c r="R373" s="58">
        <v>538.67204008812371</v>
      </c>
      <c r="S373" s="55">
        <v>1.2298653857273019E-6</v>
      </c>
      <c r="V373" s="77"/>
      <c r="W373" s="77"/>
      <c r="X373" s="163"/>
      <c r="Y373" s="164"/>
      <c r="Z373" s="164"/>
      <c r="AA373" s="164"/>
      <c r="AB373" s="164">
        <f t="shared" si="20"/>
        <v>2.1187959911876306</v>
      </c>
      <c r="AC373" s="164">
        <f t="shared" si="21"/>
        <v>1.2298653857273017E-4</v>
      </c>
    </row>
    <row r="374" spans="9:29" x14ac:dyDescent="0.25">
      <c r="I374" s="46"/>
      <c r="J374" s="46"/>
      <c r="K374" s="46"/>
      <c r="M374" s="31"/>
      <c r="R374" s="58">
        <v>539.38573307298702</v>
      </c>
      <c r="S374" s="55">
        <v>1.2298653857273019E-6</v>
      </c>
      <c r="V374" s="77"/>
      <c r="W374" s="77"/>
      <c r="X374" s="163"/>
      <c r="Y374" s="164"/>
      <c r="Z374" s="164"/>
      <c r="AA374" s="164"/>
      <c r="AB374" s="164">
        <f t="shared" si="20"/>
        <v>2.0474266927012992</v>
      </c>
      <c r="AC374" s="164">
        <f t="shared" si="21"/>
        <v>1.2298653857273017E-4</v>
      </c>
    </row>
    <row r="375" spans="9:29" x14ac:dyDescent="0.25">
      <c r="I375" s="46"/>
      <c r="J375" s="46"/>
      <c r="K375" s="46"/>
      <c r="M375" s="34"/>
      <c r="R375" s="58">
        <v>539.38573307298702</v>
      </c>
      <c r="S375" s="55">
        <v>1.2933832188811225E-6</v>
      </c>
      <c r="V375" s="77"/>
      <c r="W375" s="77"/>
      <c r="X375" s="163"/>
      <c r="Y375" s="164"/>
      <c r="Z375" s="164"/>
      <c r="AA375" s="164"/>
      <c r="AB375" s="164">
        <f t="shared" si="20"/>
        <v>2.0474266927012992</v>
      </c>
      <c r="AC375" s="164">
        <f t="shared" si="21"/>
        <v>1.2933832188811225E-4</v>
      </c>
    </row>
    <row r="376" spans="9:29" x14ac:dyDescent="0.25">
      <c r="I376" s="46"/>
      <c r="J376" s="46"/>
      <c r="K376" s="46"/>
      <c r="M376" s="30"/>
      <c r="R376" s="58">
        <v>540.09942605785034</v>
      </c>
      <c r="S376" s="55">
        <v>1.2933832188811225E-6</v>
      </c>
      <c r="V376" s="77"/>
      <c r="W376" s="77"/>
      <c r="X376" s="163"/>
      <c r="Y376" s="164"/>
      <c r="Z376" s="164"/>
      <c r="AA376" s="164"/>
      <c r="AB376" s="164">
        <f t="shared" si="20"/>
        <v>1.9760573942149677</v>
      </c>
      <c r="AC376" s="164">
        <f t="shared" si="21"/>
        <v>1.2933832188811225E-4</v>
      </c>
    </row>
    <row r="377" spans="9:29" x14ac:dyDescent="0.25">
      <c r="I377" s="46"/>
      <c r="J377" s="46"/>
      <c r="K377" s="46"/>
      <c r="M377" s="34"/>
      <c r="R377" s="58">
        <v>540.09942605785034</v>
      </c>
      <c r="S377" s="55">
        <v>1.3649144859500582E-6</v>
      </c>
      <c r="V377" s="77"/>
      <c r="W377" s="77"/>
      <c r="X377" s="163"/>
      <c r="Y377" s="164"/>
      <c r="Z377" s="164"/>
      <c r="AA377" s="164"/>
      <c r="AB377" s="164">
        <f t="shared" si="20"/>
        <v>1.9760573942149677</v>
      </c>
      <c r="AC377" s="164">
        <f t="shared" si="21"/>
        <v>1.3649144859500582E-4</v>
      </c>
    </row>
    <row r="378" spans="9:29" x14ac:dyDescent="0.25">
      <c r="I378" s="46"/>
      <c r="J378" s="46"/>
      <c r="K378" s="46"/>
      <c r="M378" s="31"/>
      <c r="R378" s="58">
        <v>540.81311904271365</v>
      </c>
      <c r="S378" s="55">
        <v>1.3649144859500582E-6</v>
      </c>
      <c r="V378" s="77"/>
      <c r="W378" s="77"/>
      <c r="X378" s="163"/>
      <c r="Y378" s="164"/>
      <c r="Z378" s="164"/>
      <c r="AA378" s="164"/>
      <c r="AB378" s="164">
        <f t="shared" si="20"/>
        <v>1.9046880957286363</v>
      </c>
      <c r="AC378" s="164">
        <f t="shared" si="21"/>
        <v>1.3649144859500582E-4</v>
      </c>
    </row>
    <row r="379" spans="9:29" x14ac:dyDescent="0.25">
      <c r="I379" s="46"/>
      <c r="J379" s="46"/>
      <c r="K379" s="46"/>
      <c r="M379" s="31"/>
      <c r="R379" s="58">
        <v>540.81311904271365</v>
      </c>
      <c r="S379" s="55">
        <v>1.4443844531018287E-6</v>
      </c>
      <c r="V379" s="77"/>
      <c r="W379" s="77"/>
      <c r="X379" s="163"/>
      <c r="Y379" s="164"/>
      <c r="Z379" s="164"/>
      <c r="AA379" s="164"/>
      <c r="AB379" s="164">
        <f t="shared" si="20"/>
        <v>1.9046880957286363</v>
      </c>
      <c r="AC379" s="164">
        <f t="shared" si="21"/>
        <v>1.4443844531018287E-4</v>
      </c>
    </row>
    <row r="380" spans="9:29" x14ac:dyDescent="0.25">
      <c r="I380" s="46"/>
      <c r="J380" s="46"/>
      <c r="K380" s="46"/>
      <c r="M380" s="34"/>
      <c r="R380" s="58">
        <v>541.52681202757697</v>
      </c>
      <c r="S380" s="55">
        <v>1.4443844531018287E-6</v>
      </c>
      <c r="V380" s="77"/>
      <c r="W380" s="77"/>
      <c r="X380" s="163"/>
      <c r="Y380" s="164"/>
      <c r="Z380" s="164"/>
      <c r="AA380" s="164"/>
      <c r="AB380" s="164">
        <f t="shared" si="20"/>
        <v>1.8333187972423048</v>
      </c>
      <c r="AC380" s="164">
        <f t="shared" si="21"/>
        <v>1.4443844531018287E-4</v>
      </c>
    </row>
    <row r="381" spans="9:29" x14ac:dyDescent="0.25">
      <c r="I381" s="46"/>
      <c r="J381" s="46"/>
      <c r="K381" s="46"/>
      <c r="M381" s="30"/>
      <c r="R381" s="58">
        <v>541.52681202757697</v>
      </c>
      <c r="S381" s="55">
        <v>1.5314988386783147E-6</v>
      </c>
      <c r="V381" s="77"/>
      <c r="W381" s="77"/>
      <c r="X381" s="163"/>
      <c r="Y381" s="164"/>
      <c r="Z381" s="164"/>
      <c r="AA381" s="164"/>
      <c r="AB381" s="164">
        <f t="shared" si="20"/>
        <v>1.8333187972423048</v>
      </c>
      <c r="AC381" s="164">
        <f t="shared" si="21"/>
        <v>1.5314988386783146E-4</v>
      </c>
    </row>
    <row r="382" spans="9:29" x14ac:dyDescent="0.25">
      <c r="I382" s="46"/>
      <c r="J382" s="46"/>
      <c r="K382" s="46"/>
      <c r="M382" s="31"/>
      <c r="R382" s="58">
        <v>542.24050501244028</v>
      </c>
      <c r="S382" s="55">
        <v>1.5314988386783147E-6</v>
      </c>
      <c r="V382" s="77"/>
      <c r="W382" s="77"/>
      <c r="X382" s="163"/>
      <c r="Y382" s="164"/>
      <c r="Z382" s="164"/>
      <c r="AA382" s="164"/>
      <c r="AB382" s="164">
        <f t="shared" si="20"/>
        <v>1.7619494987559734</v>
      </c>
      <c r="AC382" s="164">
        <f t="shared" si="21"/>
        <v>1.5314988386783146E-4</v>
      </c>
    </row>
    <row r="383" spans="9:29" x14ac:dyDescent="0.25">
      <c r="I383" s="46"/>
      <c r="J383" s="46"/>
      <c r="K383" s="46"/>
      <c r="M383" s="34"/>
      <c r="R383" s="58">
        <v>542.24050501244028</v>
      </c>
      <c r="S383" s="55">
        <v>1.6257335849128546E-6</v>
      </c>
      <c r="V383" s="77"/>
      <c r="W383" s="77"/>
      <c r="X383" s="163"/>
      <c r="Y383" s="164"/>
      <c r="Z383" s="164"/>
      <c r="AA383" s="164"/>
      <c r="AB383" s="164">
        <f t="shared" si="20"/>
        <v>1.7619494987559734</v>
      </c>
      <c r="AC383" s="164">
        <f t="shared" si="21"/>
        <v>1.6257335849128546E-4</v>
      </c>
    </row>
    <row r="384" spans="9:29" x14ac:dyDescent="0.25">
      <c r="I384" s="46"/>
      <c r="J384" s="46"/>
      <c r="K384" s="46"/>
      <c r="M384" s="31"/>
      <c r="R384" s="58">
        <v>542.9541979973036</v>
      </c>
      <c r="S384" s="55">
        <v>1.6257335849128546E-6</v>
      </c>
      <c r="V384" s="77"/>
      <c r="W384" s="77"/>
      <c r="X384" s="163"/>
      <c r="Y384" s="164"/>
      <c r="Z384" s="164"/>
      <c r="AA384" s="164"/>
      <c r="AB384" s="164">
        <f t="shared" si="20"/>
        <v>1.690580200269642</v>
      </c>
      <c r="AC384" s="164">
        <f t="shared" si="21"/>
        <v>1.6257335849128546E-4</v>
      </c>
    </row>
    <row r="385" spans="9:29" x14ac:dyDescent="0.25">
      <c r="I385" s="46"/>
      <c r="J385" s="46"/>
      <c r="K385" s="46"/>
      <c r="M385" s="34"/>
      <c r="R385" s="58">
        <v>542.9541979973036</v>
      </c>
      <c r="S385" s="55">
        <v>1.7263358195242468E-6</v>
      </c>
      <c r="V385" s="77"/>
      <c r="W385" s="77"/>
      <c r="X385" s="163"/>
      <c r="Y385" s="164"/>
      <c r="Z385" s="164"/>
      <c r="AA385" s="164"/>
      <c r="AB385" s="164">
        <f t="shared" si="20"/>
        <v>1.690580200269642</v>
      </c>
      <c r="AC385" s="164">
        <f t="shared" si="21"/>
        <v>1.7263358195242467E-4</v>
      </c>
    </row>
    <row r="386" spans="9:29" x14ac:dyDescent="0.25">
      <c r="I386" s="46"/>
      <c r="J386" s="46"/>
      <c r="K386" s="46"/>
      <c r="M386" s="34"/>
      <c r="R386" s="58">
        <v>543.66789098216691</v>
      </c>
      <c r="S386" s="55">
        <v>1.7263358195242468E-6</v>
      </c>
      <c r="V386" s="77"/>
      <c r="W386" s="77"/>
      <c r="X386" s="163"/>
      <c r="Y386" s="164"/>
      <c r="Z386" s="164"/>
      <c r="AA386" s="164"/>
      <c r="AB386" s="164">
        <f t="shared" si="20"/>
        <v>1.6192109017833105</v>
      </c>
      <c r="AC386" s="164">
        <f t="shared" si="21"/>
        <v>1.7263358195242467E-4</v>
      </c>
    </row>
    <row r="387" spans="9:29" x14ac:dyDescent="0.25">
      <c r="I387" s="46"/>
      <c r="J387" s="46"/>
      <c r="K387" s="46"/>
      <c r="M387" s="30"/>
      <c r="R387" s="58">
        <v>543.66789098216691</v>
      </c>
      <c r="S387" s="55">
        <v>1.8323369515067795E-6</v>
      </c>
      <c r="V387" s="77"/>
      <c r="W387" s="77"/>
      <c r="X387" s="163"/>
      <c r="Y387" s="164"/>
      <c r="Z387" s="164"/>
      <c r="AA387" s="164"/>
      <c r="AB387" s="164">
        <f t="shared" si="20"/>
        <v>1.6192109017833105</v>
      </c>
      <c r="AC387" s="164">
        <f t="shared" si="21"/>
        <v>1.8323369515067795E-4</v>
      </c>
    </row>
    <row r="388" spans="9:29" x14ac:dyDescent="0.25">
      <c r="I388" s="46"/>
      <c r="J388" s="46"/>
      <c r="K388" s="46"/>
      <c r="M388" s="31"/>
      <c r="R388" s="58">
        <v>544.38158396703022</v>
      </c>
      <c r="S388" s="55">
        <v>1.8323369515067795E-6</v>
      </c>
      <c r="V388" s="77"/>
      <c r="W388" s="77"/>
      <c r="X388" s="163"/>
      <c r="Y388" s="164"/>
      <c r="Z388" s="164"/>
      <c r="AA388" s="164"/>
      <c r="AB388" s="164">
        <f t="shared" ref="AB388:AB451" si="22">(559.86-R388)/10</f>
        <v>1.5478416032969791</v>
      </c>
      <c r="AC388" s="164">
        <f t="shared" ref="AC388:AC451" si="23">S388*100</f>
        <v>1.8323369515067795E-4</v>
      </c>
    </row>
    <row r="389" spans="9:29" x14ac:dyDescent="0.25">
      <c r="I389" s="46"/>
      <c r="J389" s="46"/>
      <c r="K389" s="46"/>
      <c r="M389" s="34"/>
      <c r="R389" s="58">
        <v>544.38158396703022</v>
      </c>
      <c r="S389" s="55">
        <v>1.9425779806858671E-6</v>
      </c>
      <c r="V389" s="77"/>
      <c r="W389" s="77"/>
      <c r="X389" s="163"/>
      <c r="Y389" s="164"/>
      <c r="Z389" s="164"/>
      <c r="AA389" s="164"/>
      <c r="AB389" s="164">
        <f t="shared" si="22"/>
        <v>1.5478416032969791</v>
      </c>
      <c r="AC389" s="164">
        <f t="shared" si="23"/>
        <v>1.9425779806858673E-4</v>
      </c>
    </row>
    <row r="390" spans="9:29" x14ac:dyDescent="0.25">
      <c r="I390" s="46"/>
      <c r="J390" s="46"/>
      <c r="K390" s="46"/>
      <c r="M390" s="34"/>
      <c r="R390" s="58">
        <v>545.09527695189354</v>
      </c>
      <c r="S390" s="55">
        <v>1.9425779806858671E-6</v>
      </c>
      <c r="V390" s="77"/>
      <c r="W390" s="77"/>
      <c r="X390" s="77"/>
      <c r="Z390" s="81"/>
      <c r="AB390" s="164">
        <f t="shared" si="22"/>
        <v>1.4764723048106476</v>
      </c>
      <c r="AC390" s="164">
        <f t="shared" si="23"/>
        <v>1.9425779806858673E-4</v>
      </c>
    </row>
    <row r="391" spans="9:29" x14ac:dyDescent="0.25">
      <c r="I391" s="46"/>
      <c r="J391" s="46"/>
      <c r="K391" s="46"/>
      <c r="M391" s="31"/>
      <c r="R391" s="58">
        <v>545.09527695189354</v>
      </c>
      <c r="S391" s="55">
        <v>2.0557461731029464E-6</v>
      </c>
      <c r="V391" s="77"/>
      <c r="W391" s="77"/>
      <c r="X391" s="77"/>
      <c r="Z391" s="79"/>
      <c r="AB391" s="164">
        <f t="shared" si="22"/>
        <v>1.4764723048106476</v>
      </c>
      <c r="AC391" s="164">
        <f t="shared" si="23"/>
        <v>2.0557461731029463E-4</v>
      </c>
    </row>
    <row r="392" spans="9:29" x14ac:dyDescent="0.25">
      <c r="I392" s="46"/>
      <c r="J392" s="46"/>
      <c r="K392" s="46"/>
      <c r="M392" s="34"/>
      <c r="R392" s="58">
        <v>545.80896993675685</v>
      </c>
      <c r="S392" s="55">
        <v>2.0557461731029464E-6</v>
      </c>
      <c r="V392" s="77"/>
      <c r="W392" s="77"/>
      <c r="X392" s="77"/>
      <c r="Z392" s="81"/>
      <c r="AB392" s="164">
        <f t="shared" si="22"/>
        <v>1.4051030063243162</v>
      </c>
      <c r="AC392" s="164">
        <f t="shared" si="23"/>
        <v>2.0557461731029463E-4</v>
      </c>
    </row>
    <row r="393" spans="9:29" x14ac:dyDescent="0.25">
      <c r="I393" s="46"/>
      <c r="J393" s="46"/>
      <c r="K393" s="46"/>
      <c r="M393" s="34"/>
      <c r="R393" s="58">
        <v>545.80896993675685</v>
      </c>
      <c r="S393" s="55">
        <v>2.1416915105999112E-6</v>
      </c>
      <c r="V393" s="77"/>
      <c r="W393" s="77"/>
      <c r="X393" s="77"/>
      <c r="Z393" s="81"/>
      <c r="AB393" s="164">
        <f t="shared" si="22"/>
        <v>1.4051030063243162</v>
      </c>
      <c r="AC393" s="164">
        <f t="shared" si="23"/>
        <v>2.1416915105999112E-4</v>
      </c>
    </row>
    <row r="394" spans="9:29" x14ac:dyDescent="0.25">
      <c r="I394" s="46"/>
      <c r="J394" s="46"/>
      <c r="K394" s="46"/>
      <c r="M394" s="31"/>
      <c r="R394" s="58">
        <v>546.16581642918845</v>
      </c>
      <c r="S394" s="55">
        <v>2.1416915105999112E-6</v>
      </c>
      <c r="V394" s="77"/>
      <c r="W394" s="77"/>
      <c r="X394" s="77"/>
      <c r="Z394" s="79"/>
      <c r="AB394" s="164">
        <f t="shared" si="22"/>
        <v>1.369418357081156</v>
      </c>
      <c r="AC394" s="164">
        <f t="shared" si="23"/>
        <v>2.1416915105999112E-4</v>
      </c>
    </row>
    <row r="395" spans="9:29" x14ac:dyDescent="0.25">
      <c r="I395" s="46"/>
      <c r="J395" s="46"/>
      <c r="K395" s="46"/>
      <c r="M395" s="30"/>
      <c r="R395" s="58">
        <v>546.16581642918845</v>
      </c>
      <c r="S395" s="55">
        <v>2.1971106880824975E-6</v>
      </c>
      <c r="V395" s="77"/>
      <c r="W395" s="77"/>
      <c r="X395" s="77"/>
      <c r="Z395" s="78"/>
      <c r="AB395" s="164">
        <f t="shared" si="22"/>
        <v>1.369418357081156</v>
      </c>
      <c r="AC395" s="164">
        <f t="shared" si="23"/>
        <v>2.1971106880824974E-4</v>
      </c>
    </row>
    <row r="396" spans="9:29" x14ac:dyDescent="0.25">
      <c r="I396" s="46"/>
      <c r="J396" s="46"/>
      <c r="K396" s="46"/>
      <c r="M396" s="34"/>
      <c r="R396" s="58">
        <v>546.50218006555212</v>
      </c>
      <c r="S396" s="55">
        <v>2.1971106880824975E-6</v>
      </c>
      <c r="V396" s="77"/>
      <c r="W396" s="77"/>
      <c r="X396" s="77"/>
      <c r="Z396" s="81"/>
      <c r="AB396" s="164">
        <f t="shared" si="22"/>
        <v>1.335781993444789</v>
      </c>
      <c r="AC396" s="164">
        <f t="shared" si="23"/>
        <v>2.1971106880824974E-4</v>
      </c>
    </row>
    <row r="397" spans="9:29" x14ac:dyDescent="0.25">
      <c r="I397" s="46"/>
      <c r="J397" s="46"/>
      <c r="K397" s="46"/>
      <c r="M397" s="34"/>
      <c r="R397" s="58">
        <v>546.50218006555212</v>
      </c>
      <c r="S397" s="55">
        <v>2.2782486104769867E-6</v>
      </c>
      <c r="V397" s="77"/>
      <c r="W397" s="77"/>
      <c r="X397" s="77"/>
      <c r="Z397" s="81"/>
      <c r="AB397" s="164">
        <f t="shared" si="22"/>
        <v>1.335781993444789</v>
      </c>
      <c r="AC397" s="164">
        <f t="shared" si="23"/>
        <v>2.2782486104769867E-4</v>
      </c>
    </row>
    <row r="398" spans="9:29" x14ac:dyDescent="0.25">
      <c r="I398" s="46"/>
      <c r="J398" s="46"/>
      <c r="K398" s="46"/>
      <c r="M398" s="31"/>
      <c r="R398" s="58">
        <v>547.17490733827935</v>
      </c>
      <c r="S398" s="55">
        <v>2.2782486104769867E-6</v>
      </c>
      <c r="V398" s="77"/>
      <c r="W398" s="77"/>
      <c r="X398" s="77"/>
      <c r="Z398" s="79"/>
      <c r="AB398" s="164">
        <f t="shared" si="22"/>
        <v>1.2685092661720661</v>
      </c>
      <c r="AC398" s="164">
        <f t="shared" si="23"/>
        <v>2.2782486104769867E-4</v>
      </c>
    </row>
    <row r="399" spans="9:29" x14ac:dyDescent="0.25">
      <c r="I399" s="46"/>
      <c r="J399" s="46"/>
      <c r="K399" s="46"/>
      <c r="M399" s="34"/>
      <c r="R399" s="58">
        <v>547.17490733827935</v>
      </c>
      <c r="S399" s="55">
        <v>2.3852650732642888E-6</v>
      </c>
      <c r="V399" s="77"/>
      <c r="W399" s="77"/>
      <c r="X399" s="77"/>
      <c r="Z399" s="81"/>
      <c r="AB399" s="164">
        <f t="shared" si="22"/>
        <v>1.2685092661720661</v>
      </c>
      <c r="AC399" s="164">
        <f t="shared" si="23"/>
        <v>2.3852650732642889E-4</v>
      </c>
    </row>
    <row r="400" spans="9:29" x14ac:dyDescent="0.25">
      <c r="I400" s="46"/>
      <c r="J400" s="46"/>
      <c r="K400" s="46"/>
      <c r="M400" s="34"/>
      <c r="R400" s="58">
        <v>547.84763461100658</v>
      </c>
      <c r="S400" s="55">
        <v>2.3852650732642888E-6</v>
      </c>
      <c r="V400" s="77"/>
      <c r="W400" s="77"/>
      <c r="X400" s="77"/>
      <c r="Z400" s="81"/>
      <c r="AB400" s="164">
        <f t="shared" si="22"/>
        <v>1.2012365388993431</v>
      </c>
      <c r="AC400" s="164">
        <f t="shared" si="23"/>
        <v>2.3852650732642889E-4</v>
      </c>
    </row>
    <row r="401" spans="9:29" x14ac:dyDescent="0.25">
      <c r="I401" s="46"/>
      <c r="J401" s="46"/>
      <c r="K401" s="46"/>
      <c r="M401" s="31"/>
      <c r="R401" s="58">
        <v>547.84763461100658</v>
      </c>
      <c r="S401" s="55">
        <v>2.4898599774308442E-6</v>
      </c>
      <c r="V401" s="77"/>
      <c r="W401" s="77"/>
      <c r="X401" s="77"/>
      <c r="Z401" s="79"/>
      <c r="AB401" s="164">
        <f t="shared" si="22"/>
        <v>1.2012365388993431</v>
      </c>
      <c r="AC401" s="164">
        <f t="shared" si="23"/>
        <v>2.489859977430844E-4</v>
      </c>
    </row>
    <row r="402" spans="9:29" x14ac:dyDescent="0.25">
      <c r="I402" s="46"/>
      <c r="J402" s="46"/>
      <c r="K402" s="46"/>
      <c r="M402" s="30"/>
      <c r="R402" s="58">
        <v>548.52036188373381</v>
      </c>
      <c r="S402" s="55">
        <v>2.4898599774308442E-6</v>
      </c>
      <c r="V402" s="77"/>
      <c r="W402" s="77"/>
      <c r="X402" s="77"/>
      <c r="Z402" s="78"/>
      <c r="AB402" s="164">
        <f t="shared" si="22"/>
        <v>1.1339638116266202</v>
      </c>
      <c r="AC402" s="164">
        <f t="shared" si="23"/>
        <v>2.489859977430844E-4</v>
      </c>
    </row>
    <row r="403" spans="9:29" x14ac:dyDescent="0.25">
      <c r="I403" s="46"/>
      <c r="J403" s="46"/>
      <c r="K403" s="46"/>
      <c r="M403" s="34"/>
      <c r="R403" s="58">
        <v>548.52036188373381</v>
      </c>
      <c r="S403" s="55">
        <v>2.5909248667592137E-6</v>
      </c>
      <c r="V403" s="77"/>
      <c r="W403" s="77"/>
      <c r="X403" s="77"/>
      <c r="Z403" s="81"/>
      <c r="AB403" s="164">
        <f t="shared" si="22"/>
        <v>1.1339638116266202</v>
      </c>
      <c r="AC403" s="164">
        <f t="shared" si="23"/>
        <v>2.5909248667592134E-4</v>
      </c>
    </row>
    <row r="404" spans="9:29" x14ac:dyDescent="0.25">
      <c r="I404" s="46"/>
      <c r="J404" s="46"/>
      <c r="K404" s="46"/>
      <c r="M404" s="34"/>
      <c r="R404" s="58">
        <v>549.19308915646104</v>
      </c>
      <c r="S404" s="55">
        <v>2.5909248667592137E-6</v>
      </c>
      <c r="V404" s="77"/>
      <c r="W404" s="77"/>
      <c r="X404" s="77"/>
      <c r="Z404" s="81"/>
      <c r="AB404" s="164">
        <f t="shared" si="22"/>
        <v>1.0666910843538973</v>
      </c>
      <c r="AC404" s="164">
        <f t="shared" si="23"/>
        <v>2.5909248667592134E-4</v>
      </c>
    </row>
    <row r="405" spans="9:29" x14ac:dyDescent="0.25">
      <c r="I405" s="46"/>
      <c r="J405" s="46"/>
      <c r="K405" s="46"/>
      <c r="M405" s="31"/>
      <c r="R405" s="58">
        <v>549.19308915646104</v>
      </c>
      <c r="S405" s="55">
        <v>2.6874675197525563E-6</v>
      </c>
      <c r="V405" s="77"/>
      <c r="W405" s="77"/>
      <c r="X405" s="77"/>
      <c r="Z405" s="79"/>
      <c r="AB405" s="164">
        <f t="shared" si="22"/>
        <v>1.0666910843538973</v>
      </c>
      <c r="AC405" s="164">
        <f t="shared" si="23"/>
        <v>2.6874675197525566E-4</v>
      </c>
    </row>
    <row r="406" spans="9:29" x14ac:dyDescent="0.25">
      <c r="I406" s="46"/>
      <c r="J406" s="46"/>
      <c r="K406" s="46"/>
      <c r="M406" s="34"/>
      <c r="R406" s="58">
        <v>549.86581642918827</v>
      </c>
      <c r="S406" s="55">
        <v>2.6874675197525563E-6</v>
      </c>
      <c r="V406" s="77"/>
      <c r="W406" s="77"/>
      <c r="X406" s="77"/>
      <c r="Z406" s="81"/>
      <c r="AB406" s="164">
        <f t="shared" si="22"/>
        <v>0.99941835708117421</v>
      </c>
      <c r="AC406" s="164">
        <f t="shared" si="23"/>
        <v>2.6874675197525566E-4</v>
      </c>
    </row>
    <row r="407" spans="9:29" x14ac:dyDescent="0.25">
      <c r="I407" s="46"/>
      <c r="J407" s="46"/>
      <c r="K407" s="46"/>
      <c r="M407" s="31"/>
      <c r="R407" s="58">
        <v>549.86581642918827</v>
      </c>
      <c r="S407" s="55">
        <v>2.7786406114716373E-6</v>
      </c>
      <c r="V407" s="77"/>
      <c r="W407" s="77"/>
      <c r="X407" s="77"/>
      <c r="Z407" s="79"/>
      <c r="AB407" s="164">
        <f t="shared" si="22"/>
        <v>0.99941835708117421</v>
      </c>
      <c r="AC407" s="164">
        <f t="shared" si="23"/>
        <v>2.7786406114716373E-4</v>
      </c>
    </row>
    <row r="408" spans="9:29" x14ac:dyDescent="0.25">
      <c r="I408" s="46"/>
      <c r="J408" s="46"/>
      <c r="K408" s="46"/>
      <c r="M408" s="34"/>
      <c r="R408" s="58">
        <v>550.5385437019155</v>
      </c>
      <c r="S408" s="55">
        <v>2.7786406114716373E-6</v>
      </c>
      <c r="V408" s="77"/>
      <c r="W408" s="77"/>
      <c r="X408" s="77"/>
      <c r="Z408" s="81"/>
      <c r="AB408" s="164">
        <f t="shared" si="22"/>
        <v>0.93214562980845128</v>
      </c>
      <c r="AC408" s="164">
        <f t="shared" si="23"/>
        <v>2.7786406114716373E-4</v>
      </c>
    </row>
    <row r="409" spans="9:29" x14ac:dyDescent="0.25">
      <c r="I409" s="46"/>
      <c r="J409" s="46"/>
      <c r="K409" s="46"/>
      <c r="M409" s="30"/>
      <c r="R409" s="58">
        <v>550.5385437019155</v>
      </c>
      <c r="S409" s="55">
        <v>2.8637622350242462E-6</v>
      </c>
      <c r="V409" s="77"/>
      <c r="W409" s="77"/>
      <c r="X409" s="77"/>
      <c r="Z409" s="78"/>
      <c r="AB409" s="164">
        <f t="shared" si="22"/>
        <v>0.93214562980845128</v>
      </c>
      <c r="AC409" s="164">
        <f t="shared" si="23"/>
        <v>2.863762235024246E-4</v>
      </c>
    </row>
    <row r="410" spans="9:29" x14ac:dyDescent="0.25">
      <c r="I410" s="46"/>
      <c r="J410" s="46"/>
      <c r="K410" s="46"/>
      <c r="M410" s="34"/>
      <c r="R410" s="58">
        <v>551.21127097464273</v>
      </c>
      <c r="S410" s="55">
        <v>2.8637622350242462E-6</v>
      </c>
      <c r="V410" s="77"/>
      <c r="W410" s="77"/>
      <c r="X410" s="77"/>
      <c r="Z410" s="81"/>
      <c r="AB410" s="164">
        <f t="shared" si="22"/>
        <v>0.86487290253572835</v>
      </c>
      <c r="AC410" s="164">
        <f t="shared" si="23"/>
        <v>2.863762235024246E-4</v>
      </c>
    </row>
    <row r="411" spans="9:29" x14ac:dyDescent="0.25">
      <c r="I411" s="46"/>
      <c r="J411" s="46"/>
      <c r="K411" s="46"/>
      <c r="M411" s="31"/>
      <c r="R411" s="58">
        <v>551.21127097464273</v>
      </c>
      <c r="S411" s="55">
        <v>2.9423266333494042E-6</v>
      </c>
      <c r="V411" s="77"/>
      <c r="W411" s="77"/>
      <c r="X411" s="77"/>
      <c r="Z411" s="79"/>
      <c r="AB411" s="164">
        <f t="shared" si="22"/>
        <v>0.86487290253572835</v>
      </c>
      <c r="AC411" s="164">
        <f t="shared" si="23"/>
        <v>2.9423266333494043E-4</v>
      </c>
    </row>
    <row r="412" spans="9:29" x14ac:dyDescent="0.25">
      <c r="I412" s="46"/>
      <c r="J412" s="46"/>
      <c r="K412" s="46"/>
      <c r="M412" s="34"/>
      <c r="R412" s="58">
        <v>551.88399824736996</v>
      </c>
      <c r="S412" s="55">
        <v>2.9423266333494042E-6</v>
      </c>
      <c r="V412" s="77"/>
      <c r="W412" s="77"/>
      <c r="X412" s="77"/>
      <c r="Z412" s="81"/>
      <c r="AB412" s="164">
        <f t="shared" si="22"/>
        <v>0.79760017526300542</v>
      </c>
      <c r="AC412" s="164">
        <f t="shared" si="23"/>
        <v>2.9423266333494043E-4</v>
      </c>
    </row>
    <row r="413" spans="9:29" x14ac:dyDescent="0.25">
      <c r="I413" s="46"/>
      <c r="J413" s="46"/>
      <c r="K413" s="46"/>
      <c r="M413" s="34"/>
      <c r="R413" s="58">
        <v>551.88399824736996</v>
      </c>
      <c r="S413" s="55">
        <v>3.0140020360055879E-6</v>
      </c>
      <c r="V413" s="77"/>
      <c r="W413" s="77"/>
      <c r="X413" s="77"/>
      <c r="Z413" s="81"/>
      <c r="AB413" s="164">
        <f t="shared" si="22"/>
        <v>0.79760017526300542</v>
      </c>
      <c r="AC413" s="164">
        <f t="shared" si="23"/>
        <v>3.0140020360055878E-4</v>
      </c>
    </row>
    <row r="414" spans="9:29" x14ac:dyDescent="0.25">
      <c r="I414" s="46"/>
      <c r="J414" s="46"/>
      <c r="K414" s="46"/>
      <c r="M414" s="31"/>
      <c r="R414" s="58">
        <v>552.55672552009719</v>
      </c>
      <c r="S414" s="55">
        <v>3.0140020360055879E-6</v>
      </c>
      <c r="V414" s="77"/>
      <c r="W414" s="77"/>
      <c r="X414" s="77"/>
      <c r="Z414" s="79"/>
      <c r="AB414" s="164">
        <f t="shared" si="22"/>
        <v>0.73032744799028249</v>
      </c>
      <c r="AC414" s="164">
        <f t="shared" si="23"/>
        <v>3.0140020360055878E-4</v>
      </c>
    </row>
    <row r="415" spans="9:29" x14ac:dyDescent="0.25">
      <c r="I415" s="46"/>
      <c r="J415" s="46"/>
      <c r="K415" s="46"/>
      <c r="M415" s="34"/>
      <c r="R415" s="58">
        <v>552.55672552009719</v>
      </c>
      <c r="S415" s="55">
        <v>3.0786078399426882E-6</v>
      </c>
      <c r="V415" s="77"/>
      <c r="W415" s="77"/>
      <c r="X415" s="77"/>
      <c r="Z415" s="81"/>
      <c r="AB415" s="164">
        <f t="shared" si="22"/>
        <v>0.73032744799028249</v>
      </c>
      <c r="AC415" s="164">
        <f t="shared" si="23"/>
        <v>3.0786078399426883E-4</v>
      </c>
    </row>
    <row r="416" spans="9:29" x14ac:dyDescent="0.25">
      <c r="I416" s="46"/>
      <c r="J416" s="46"/>
      <c r="K416" s="46"/>
      <c r="M416" s="30"/>
      <c r="R416" s="58">
        <v>553.22945279282442</v>
      </c>
      <c r="S416" s="55">
        <v>3.0786078399426882E-6</v>
      </c>
      <c r="V416" s="77"/>
      <c r="W416" s="77"/>
      <c r="X416" s="77"/>
      <c r="Z416" s="78"/>
      <c r="AB416" s="164">
        <f t="shared" si="22"/>
        <v>0.66305472071755955</v>
      </c>
      <c r="AC416" s="164">
        <f t="shared" si="23"/>
        <v>3.0786078399426883E-4</v>
      </c>
    </row>
    <row r="417" spans="9:29" x14ac:dyDescent="0.25">
      <c r="I417" s="46"/>
      <c r="J417" s="46"/>
      <c r="K417" s="46"/>
      <c r="M417" s="31"/>
      <c r="R417" s="58">
        <v>553.22945279282442</v>
      </c>
      <c r="S417" s="55">
        <v>3.1360529137616047E-6</v>
      </c>
      <c r="T417"/>
      <c r="V417" s="77"/>
      <c r="W417" s="77"/>
      <c r="X417" s="77"/>
      <c r="Z417" s="79"/>
      <c r="AB417" s="164">
        <f t="shared" si="22"/>
        <v>0.66305472071755955</v>
      </c>
      <c r="AC417" s="164">
        <f t="shared" si="23"/>
        <v>3.1360529137616045E-4</v>
      </c>
    </row>
    <row r="418" spans="9:29" x14ac:dyDescent="0.25">
      <c r="I418" s="46"/>
      <c r="J418" s="46"/>
      <c r="K418" s="46"/>
      <c r="M418" s="34"/>
      <c r="R418" s="58">
        <v>553.90218006555165</v>
      </c>
      <c r="S418" s="55">
        <v>3.1360529137616047E-6</v>
      </c>
      <c r="T418"/>
      <c r="V418" s="77"/>
      <c r="W418" s="77"/>
      <c r="X418" s="77"/>
      <c r="Z418" s="81"/>
      <c r="AB418" s="164">
        <f t="shared" si="22"/>
        <v>0.59578199344483662</v>
      </c>
      <c r="AC418" s="164">
        <f t="shared" si="23"/>
        <v>3.1360529137616045E-4</v>
      </c>
    </row>
    <row r="419" spans="9:29" x14ac:dyDescent="0.25">
      <c r="I419" s="46"/>
      <c r="J419" s="46"/>
      <c r="K419" s="46"/>
      <c r="M419" s="34"/>
      <c r="R419" s="58">
        <v>553.90218006555165</v>
      </c>
      <c r="S419" s="55">
        <v>3.1861996687455641E-6</v>
      </c>
      <c r="T419"/>
      <c r="V419" s="77"/>
      <c r="W419" s="77"/>
      <c r="X419" s="77"/>
      <c r="Z419" s="81"/>
      <c r="AB419" s="164">
        <f t="shared" si="22"/>
        <v>0.59578199344483662</v>
      </c>
      <c r="AC419" s="164">
        <f t="shared" si="23"/>
        <v>3.186199668745564E-4</v>
      </c>
    </row>
    <row r="420" spans="9:29" x14ac:dyDescent="0.25">
      <c r="I420" s="46"/>
      <c r="J420" s="46"/>
      <c r="K420" s="46"/>
      <c r="M420" s="31"/>
      <c r="R420" s="58">
        <v>554.57490733827888</v>
      </c>
      <c r="S420" s="55">
        <v>3.1861996687455641E-6</v>
      </c>
      <c r="T420"/>
      <c r="V420" s="77"/>
      <c r="W420" s="77"/>
      <c r="X420" s="77"/>
      <c r="Z420" s="79"/>
      <c r="AB420" s="164">
        <f t="shared" si="22"/>
        <v>0.52850926617211369</v>
      </c>
      <c r="AC420" s="164">
        <f t="shared" si="23"/>
        <v>3.186199668745564E-4</v>
      </c>
    </row>
    <row r="421" spans="9:29" x14ac:dyDescent="0.25">
      <c r="I421" s="46"/>
      <c r="J421" s="46"/>
      <c r="K421" s="46"/>
      <c r="M421" s="34"/>
      <c r="R421" s="58">
        <v>554.57490733827888</v>
      </c>
      <c r="S421" s="55">
        <v>3.2286022191968382E-6</v>
      </c>
      <c r="T421"/>
      <c r="V421" s="77"/>
      <c r="W421" s="77"/>
      <c r="X421" s="77"/>
      <c r="Z421" s="81"/>
      <c r="AB421" s="164">
        <f t="shared" si="22"/>
        <v>0.52850926617211369</v>
      </c>
      <c r="AC421" s="164">
        <f t="shared" si="23"/>
        <v>3.2286022191968381E-4</v>
      </c>
    </row>
    <row r="422" spans="9:29" x14ac:dyDescent="0.25">
      <c r="I422" s="46"/>
      <c r="J422" s="46"/>
      <c r="K422" s="46"/>
      <c r="M422" s="30"/>
      <c r="R422" s="58">
        <v>555.24763461100611</v>
      </c>
      <c r="S422" s="55">
        <v>3.2286022191968382E-6</v>
      </c>
      <c r="T422"/>
      <c r="V422" s="77"/>
      <c r="W422" s="77"/>
      <c r="X422" s="77"/>
      <c r="Z422" s="78"/>
      <c r="AB422" s="164">
        <f t="shared" si="22"/>
        <v>0.46123653889939076</v>
      </c>
      <c r="AC422" s="164">
        <f t="shared" si="23"/>
        <v>3.2286022191968381E-4</v>
      </c>
    </row>
    <row r="423" spans="9:29" x14ac:dyDescent="0.25">
      <c r="I423" s="46"/>
      <c r="J423" s="46"/>
      <c r="K423" s="46"/>
      <c r="M423" s="34"/>
      <c r="R423" s="58">
        <v>555.24763461100611</v>
      </c>
      <c r="S423" s="55">
        <v>3.2620762149381038E-6</v>
      </c>
      <c r="T423"/>
      <c r="V423" s="77"/>
      <c r="W423" s="77"/>
      <c r="X423" s="77"/>
      <c r="Z423" s="81"/>
      <c r="AB423" s="164">
        <f t="shared" si="22"/>
        <v>0.46123653889939076</v>
      </c>
      <c r="AC423" s="164">
        <f t="shared" si="23"/>
        <v>3.2620762149381037E-4</v>
      </c>
    </row>
    <row r="424" spans="9:29" x14ac:dyDescent="0.25">
      <c r="I424" s="46"/>
      <c r="J424" s="46"/>
      <c r="K424" s="46"/>
      <c r="M424" s="31"/>
      <c r="R424" s="58">
        <v>555.92036188373334</v>
      </c>
      <c r="S424" s="55">
        <v>3.2620762149381038E-6</v>
      </c>
      <c r="T424"/>
      <c r="V424" s="77"/>
      <c r="W424" s="77"/>
      <c r="X424" s="77"/>
      <c r="Z424" s="79"/>
      <c r="AB424" s="164">
        <f t="shared" si="22"/>
        <v>0.39396381162666783</v>
      </c>
      <c r="AC424" s="164">
        <f t="shared" si="23"/>
        <v>3.2620762149381037E-4</v>
      </c>
    </row>
    <row r="425" spans="9:29" x14ac:dyDescent="0.25">
      <c r="I425" s="46"/>
      <c r="J425" s="46"/>
      <c r="K425" s="46"/>
      <c r="M425" s="34"/>
      <c r="R425" s="58">
        <v>555.92036188373334</v>
      </c>
      <c r="S425" s="55">
        <v>3.2841340973159013E-6</v>
      </c>
      <c r="T425"/>
      <c r="V425" s="77"/>
      <c r="W425" s="77"/>
      <c r="X425" s="77"/>
      <c r="Z425" s="81"/>
      <c r="AB425" s="164">
        <f t="shared" si="22"/>
        <v>0.39396381162666783</v>
      </c>
      <c r="AC425" s="164">
        <f t="shared" si="23"/>
        <v>3.2841340973159013E-4</v>
      </c>
    </row>
    <row r="426" spans="9:29" x14ac:dyDescent="0.25">
      <c r="I426" s="46"/>
      <c r="J426" s="46"/>
      <c r="K426" s="46"/>
      <c r="M426" s="34"/>
      <c r="R426" s="58">
        <v>556.59308915646056</v>
      </c>
      <c r="S426" s="55">
        <v>3.2841340973159013E-6</v>
      </c>
      <c r="T426"/>
      <c r="V426" s="77"/>
      <c r="W426" s="77"/>
      <c r="X426" s="77"/>
      <c r="Z426" s="81"/>
      <c r="AB426" s="164">
        <f t="shared" si="22"/>
        <v>0.32669108435394489</v>
      </c>
      <c r="AC426" s="164">
        <f t="shared" si="23"/>
        <v>3.2841340973159013E-4</v>
      </c>
    </row>
    <row r="427" spans="9:29" x14ac:dyDescent="0.25">
      <c r="I427" s="46"/>
      <c r="J427" s="46"/>
      <c r="K427" s="46"/>
      <c r="M427" s="31"/>
      <c r="R427" s="58">
        <v>556.59308915646056</v>
      </c>
      <c r="S427" s="55">
        <v>3.2904899653385599E-6</v>
      </c>
      <c r="T427"/>
      <c r="V427" s="77"/>
      <c r="W427" s="77"/>
      <c r="X427" s="77"/>
      <c r="Z427" s="79"/>
      <c r="AB427" s="164">
        <f t="shared" si="22"/>
        <v>0.32669108435394489</v>
      </c>
      <c r="AC427" s="164">
        <f t="shared" si="23"/>
        <v>3.29048996533856E-4</v>
      </c>
    </row>
    <row r="428" spans="9:29" x14ac:dyDescent="0.25">
      <c r="I428" s="46"/>
      <c r="J428" s="46"/>
      <c r="K428" s="46"/>
      <c r="M428" s="34"/>
      <c r="R428" s="58">
        <v>557.26581642918779</v>
      </c>
      <c r="S428" s="55">
        <v>3.2904899653385599E-6</v>
      </c>
      <c r="T428"/>
      <c r="V428" s="77"/>
      <c r="W428" s="77"/>
      <c r="X428" s="77"/>
      <c r="Z428" s="81"/>
      <c r="AB428" s="164">
        <f t="shared" si="22"/>
        <v>0.25941835708122196</v>
      </c>
      <c r="AC428" s="164">
        <f t="shared" si="23"/>
        <v>3.29048996533856E-4</v>
      </c>
    </row>
    <row r="429" spans="9:29" x14ac:dyDescent="0.25">
      <c r="I429" s="46"/>
      <c r="J429" s="46"/>
      <c r="K429" s="46"/>
      <c r="M429" s="30"/>
      <c r="R429" s="58">
        <v>557.26581642918779</v>
      </c>
      <c r="S429" s="55">
        <v>3.2750519701903218E-6</v>
      </c>
      <c r="T429"/>
      <c r="V429" s="77"/>
      <c r="W429" s="77"/>
      <c r="X429" s="77"/>
      <c r="Z429" s="78"/>
      <c r="AB429" s="164">
        <f t="shared" si="22"/>
        <v>0.25941835708122196</v>
      </c>
      <c r="AC429" s="164">
        <f t="shared" si="23"/>
        <v>3.2750519701903218E-4</v>
      </c>
    </row>
    <row r="430" spans="9:29" x14ac:dyDescent="0.25">
      <c r="I430" s="46"/>
      <c r="J430" s="46"/>
      <c r="K430" s="46"/>
      <c r="M430" s="31"/>
      <c r="R430" s="58">
        <v>557.93854370191502</v>
      </c>
      <c r="S430" s="55">
        <v>3.2750519701903218E-6</v>
      </c>
      <c r="T430"/>
      <c r="V430" s="77"/>
      <c r="W430" s="77"/>
      <c r="X430" s="77"/>
      <c r="Z430" s="79"/>
      <c r="AB430" s="164">
        <f t="shared" si="22"/>
        <v>0.19214562980849906</v>
      </c>
      <c r="AC430" s="164">
        <f t="shared" si="23"/>
        <v>3.2750519701903218E-4</v>
      </c>
    </row>
    <row r="431" spans="9:29" x14ac:dyDescent="0.25">
      <c r="I431" s="46"/>
      <c r="J431" s="46"/>
      <c r="K431" s="46"/>
      <c r="M431" s="34"/>
      <c r="R431" s="58">
        <v>557.93854370191502</v>
      </c>
      <c r="S431" s="55">
        <v>3.2309007952452701E-6</v>
      </c>
      <c r="T431"/>
      <c r="V431" s="77"/>
      <c r="W431" s="77"/>
      <c r="X431" s="77"/>
      <c r="Z431" s="81"/>
      <c r="AB431" s="164">
        <f t="shared" si="22"/>
        <v>0.19214562980849906</v>
      </c>
      <c r="AC431" s="164">
        <f t="shared" si="23"/>
        <v>3.2309007952452699E-4</v>
      </c>
    </row>
    <row r="432" spans="9:29" x14ac:dyDescent="0.25">
      <c r="I432" s="46"/>
      <c r="J432" s="46"/>
      <c r="K432" s="46"/>
      <c r="M432" s="31"/>
      <c r="R432" s="58">
        <v>558.61127097464225</v>
      </c>
      <c r="S432" s="55">
        <v>3.2309007952452701E-6</v>
      </c>
      <c r="T432"/>
      <c r="V432" s="77"/>
      <c r="W432" s="77"/>
      <c r="X432" s="77"/>
      <c r="Z432" s="79"/>
      <c r="AB432" s="164">
        <f t="shared" si="22"/>
        <v>0.12487290253577613</v>
      </c>
      <c r="AC432" s="164">
        <f t="shared" si="23"/>
        <v>3.2309007952452699E-4</v>
      </c>
    </row>
    <row r="433" spans="9:29" x14ac:dyDescent="0.25">
      <c r="I433" s="46"/>
      <c r="J433" s="46"/>
      <c r="K433" s="46"/>
      <c r="M433" s="34"/>
      <c r="R433" s="58">
        <v>558.61127097464225</v>
      </c>
      <c r="S433" s="55">
        <v>3.1524694663931227E-6</v>
      </c>
      <c r="T433"/>
      <c r="V433" s="77"/>
      <c r="W433" s="77"/>
      <c r="X433" s="77"/>
      <c r="Z433" s="81"/>
      <c r="AB433" s="164">
        <f t="shared" si="22"/>
        <v>0.12487290253577613</v>
      </c>
      <c r="AC433" s="164">
        <f t="shared" si="23"/>
        <v>3.1524694663931228E-4</v>
      </c>
    </row>
    <row r="434" spans="9:29" x14ac:dyDescent="0.25">
      <c r="I434" s="46"/>
      <c r="J434" s="46"/>
      <c r="K434" s="46"/>
      <c r="M434" s="34"/>
      <c r="R434" s="58">
        <v>559.28399824736948</v>
      </c>
      <c r="S434" s="55">
        <v>3.1524694663931227E-6</v>
      </c>
      <c r="T434"/>
      <c r="V434" s="77"/>
      <c r="W434" s="77"/>
      <c r="X434" s="77"/>
      <c r="Z434" s="81"/>
      <c r="AB434" s="164">
        <f t="shared" si="22"/>
        <v>5.7600175263053187E-2</v>
      </c>
      <c r="AC434" s="164">
        <f t="shared" si="23"/>
        <v>3.1524694663931228E-4</v>
      </c>
    </row>
    <row r="435" spans="9:29" x14ac:dyDescent="0.25">
      <c r="I435" s="46"/>
      <c r="J435" s="46"/>
      <c r="K435" s="46"/>
      <c r="M435" s="30"/>
      <c r="R435" s="58">
        <v>559.28399824736948</v>
      </c>
      <c r="S435" s="55">
        <v>3.0384360731760574E-6</v>
      </c>
      <c r="T435"/>
      <c r="V435" s="77"/>
      <c r="W435" s="77"/>
      <c r="X435" s="77"/>
      <c r="Z435" s="78"/>
      <c r="AB435" s="164">
        <f t="shared" si="22"/>
        <v>5.7600175263053187E-2</v>
      </c>
      <c r="AC435" s="164">
        <f t="shared" si="23"/>
        <v>3.0384360731760575E-4</v>
      </c>
    </row>
    <row r="436" spans="9:29" x14ac:dyDescent="0.25">
      <c r="I436" s="46"/>
      <c r="J436" s="46"/>
      <c r="K436" s="46"/>
      <c r="M436" s="31"/>
      <c r="R436" s="58">
        <v>559.95672552009671</v>
      </c>
      <c r="S436" s="55">
        <v>3.0384360731760574E-6</v>
      </c>
      <c r="T436"/>
      <c r="V436" s="77"/>
      <c r="W436" s="77"/>
      <c r="X436" s="77"/>
      <c r="Z436" s="79"/>
      <c r="AB436" s="164">
        <f t="shared" si="22"/>
        <v>-9.6725520096697434E-3</v>
      </c>
      <c r="AC436" s="164">
        <f t="shared" si="23"/>
        <v>3.0384360731760575E-4</v>
      </c>
    </row>
    <row r="437" spans="9:29" x14ac:dyDescent="0.25">
      <c r="I437" s="46"/>
      <c r="J437" s="46"/>
      <c r="K437" s="46"/>
      <c r="M437" s="34"/>
      <c r="R437" s="58">
        <v>559.95672552009671</v>
      </c>
      <c r="S437" s="55">
        <v>2.8940578400571907E-6</v>
      </c>
      <c r="T437"/>
      <c r="V437" s="77"/>
      <c r="W437" s="77"/>
      <c r="X437" s="77"/>
      <c r="Z437" s="81"/>
      <c r="AB437" s="164">
        <f t="shared" si="22"/>
        <v>-9.6725520096697434E-3</v>
      </c>
      <c r="AC437" s="164">
        <f t="shared" si="23"/>
        <v>2.8940578400571908E-4</v>
      </c>
    </row>
    <row r="438" spans="9:29" x14ac:dyDescent="0.25">
      <c r="I438" s="46"/>
      <c r="J438" s="46"/>
      <c r="K438" s="46"/>
      <c r="M438" s="34"/>
      <c r="R438" s="58">
        <v>560.62945279282394</v>
      </c>
      <c r="S438" s="55">
        <v>2.8940578400571907E-6</v>
      </c>
      <c r="T438"/>
      <c r="V438" s="77"/>
      <c r="W438" s="77"/>
      <c r="X438" s="77"/>
      <c r="Z438" s="81"/>
      <c r="AB438" s="164">
        <f t="shared" si="22"/>
        <v>-7.694527928239267E-2</v>
      </c>
      <c r="AC438" s="164">
        <f t="shared" si="23"/>
        <v>2.8940578400571908E-4</v>
      </c>
    </row>
    <row r="439" spans="9:29" x14ac:dyDescent="0.25">
      <c r="I439" s="46"/>
      <c r="J439" s="46"/>
      <c r="K439" s="46"/>
      <c r="M439" s="31"/>
      <c r="R439" s="58">
        <v>560.62945279282394</v>
      </c>
      <c r="S439" s="55">
        <v>2.772948496864918E-6</v>
      </c>
      <c r="T439"/>
      <c r="V439" s="77"/>
      <c r="W439" s="77"/>
      <c r="X439" s="77"/>
      <c r="Z439" s="79"/>
      <c r="AB439" s="164">
        <f t="shared" si="22"/>
        <v>-7.694527928239267E-2</v>
      </c>
      <c r="AC439" s="164">
        <f t="shared" si="23"/>
        <v>2.7729484968649177E-4</v>
      </c>
    </row>
    <row r="440" spans="9:29" x14ac:dyDescent="0.25">
      <c r="I440" s="46"/>
      <c r="J440" s="46"/>
      <c r="K440" s="46"/>
      <c r="M440" s="34"/>
      <c r="R440" s="58">
        <v>560.96581642918761</v>
      </c>
      <c r="S440" s="55">
        <v>2.772948496864918E-6</v>
      </c>
      <c r="T440"/>
      <c r="V440" s="77"/>
      <c r="W440" s="77"/>
      <c r="X440" s="77"/>
      <c r="Z440" s="81"/>
      <c r="AB440" s="164">
        <f t="shared" si="22"/>
        <v>-0.11058164291875983</v>
      </c>
      <c r="AC440" s="164">
        <f t="shared" si="23"/>
        <v>2.7729484968649177E-4</v>
      </c>
    </row>
    <row r="441" spans="9:29" x14ac:dyDescent="0.25">
      <c r="I441" s="46"/>
      <c r="J441" s="46"/>
      <c r="K441" s="46"/>
      <c r="M441" s="34"/>
      <c r="R441" s="58">
        <v>560.96581642918761</v>
      </c>
      <c r="S441" s="55">
        <v>2.7198662854725101E-6</v>
      </c>
      <c r="T441"/>
      <c r="V441" s="77"/>
      <c r="W441" s="77"/>
      <c r="X441" s="77"/>
      <c r="Z441" s="81"/>
      <c r="AB441" s="164">
        <f t="shared" si="22"/>
        <v>-0.11058164291875983</v>
      </c>
      <c r="AC441" s="164">
        <f t="shared" si="23"/>
        <v>2.7198662854725103E-4</v>
      </c>
    </row>
    <row r="442" spans="9:29" x14ac:dyDescent="0.25">
      <c r="I442" s="46"/>
      <c r="J442" s="46"/>
      <c r="K442" s="46"/>
      <c r="M442" s="31"/>
      <c r="R442" s="58">
        <v>561.24014722791696</v>
      </c>
      <c r="S442" s="55">
        <v>2.7198662854725101E-6</v>
      </c>
      <c r="T442"/>
      <c r="V442" s="77"/>
      <c r="W442" s="77"/>
      <c r="X442" s="77"/>
      <c r="Z442" s="79"/>
      <c r="AB442" s="164">
        <f t="shared" si="22"/>
        <v>-0.13801472279169502</v>
      </c>
      <c r="AC442" s="164">
        <f t="shared" si="23"/>
        <v>2.7198662854725103E-4</v>
      </c>
    </row>
    <row r="443" spans="9:29" x14ac:dyDescent="0.25">
      <c r="I443" s="46"/>
      <c r="J443" s="46"/>
      <c r="K443" s="46"/>
      <c r="M443" s="30"/>
      <c r="R443" s="58">
        <v>561.24014722791696</v>
      </c>
      <c r="S443" s="55">
        <v>2.6496003878244733E-6</v>
      </c>
      <c r="T443"/>
      <c r="V443" s="77"/>
      <c r="W443" s="77"/>
      <c r="X443" s="77"/>
      <c r="Z443" s="78"/>
      <c r="AB443" s="164">
        <f t="shared" si="22"/>
        <v>-0.13801472279169502</v>
      </c>
      <c r="AC443" s="164">
        <f t="shared" si="23"/>
        <v>2.6496003878244732E-4</v>
      </c>
    </row>
    <row r="444" spans="9:29" x14ac:dyDescent="0.25">
      <c r="I444" s="46"/>
      <c r="J444" s="46"/>
      <c r="K444" s="46"/>
      <c r="M444" s="34"/>
      <c r="R444" s="58">
        <v>561.51916505354939</v>
      </c>
      <c r="S444" s="55">
        <v>2.6496003878244733E-6</v>
      </c>
      <c r="T444"/>
      <c r="V444" s="77"/>
      <c r="W444" s="77"/>
      <c r="X444" s="77"/>
      <c r="Z444" s="81"/>
      <c r="AB444" s="164">
        <f t="shared" si="22"/>
        <v>-0.16591650535493727</v>
      </c>
      <c r="AC444" s="164">
        <f t="shared" si="23"/>
        <v>2.6496003878244732E-4</v>
      </c>
    </row>
    <row r="445" spans="9:29" x14ac:dyDescent="0.25">
      <c r="I445" s="46"/>
      <c r="J445" s="46"/>
      <c r="K445" s="46"/>
      <c r="M445" s="34"/>
      <c r="R445" s="58">
        <v>561.51916505354939</v>
      </c>
      <c r="S445" s="55">
        <v>2.5793482334753735E-6</v>
      </c>
      <c r="T445"/>
      <c r="V445" s="77"/>
      <c r="W445" s="77"/>
      <c r="X445" s="77"/>
      <c r="Z445" s="81"/>
      <c r="AB445" s="164">
        <f t="shared" si="22"/>
        <v>-0.16591650535493727</v>
      </c>
      <c r="AC445" s="164">
        <f t="shared" si="23"/>
        <v>2.5793482334753737E-4</v>
      </c>
    </row>
    <row r="446" spans="9:29" x14ac:dyDescent="0.25">
      <c r="I446" s="46"/>
      <c r="J446" s="46"/>
      <c r="K446" s="46"/>
      <c r="M446" s="31"/>
      <c r="R446" s="58">
        <v>561.80806053641913</v>
      </c>
      <c r="S446" s="55">
        <v>2.5793482334753735E-6</v>
      </c>
      <c r="T446"/>
      <c r="V446" s="77"/>
      <c r="W446" s="77"/>
      <c r="X446" s="77"/>
      <c r="Z446" s="79"/>
      <c r="AB446" s="164">
        <f t="shared" si="22"/>
        <v>-0.19480605364191206</v>
      </c>
      <c r="AC446" s="164">
        <f t="shared" si="23"/>
        <v>2.5793482334753737E-4</v>
      </c>
    </row>
    <row r="447" spans="9:29" x14ac:dyDescent="0.25">
      <c r="I447" s="46"/>
      <c r="J447" s="46"/>
      <c r="K447" s="46"/>
      <c r="M447" s="34"/>
      <c r="R447" s="58">
        <v>561.80806053641913</v>
      </c>
      <c r="S447" s="55">
        <v>2.5091556373957901E-6</v>
      </c>
      <c r="T447"/>
      <c r="V447" s="77"/>
      <c r="W447" s="77"/>
      <c r="X447" s="77"/>
      <c r="Z447" s="81"/>
      <c r="AB447" s="164">
        <f t="shared" si="22"/>
        <v>-0.19480605364191206</v>
      </c>
      <c r="AC447" s="164">
        <f t="shared" si="23"/>
        <v>2.5091556373957899E-4</v>
      </c>
    </row>
    <row r="448" spans="9:29" x14ac:dyDescent="0.25">
      <c r="I448" s="46"/>
      <c r="J448" s="46"/>
      <c r="K448" s="46"/>
      <c r="M448" s="34"/>
      <c r="R448" s="58">
        <v>562.11317639608546</v>
      </c>
      <c r="S448" s="55">
        <v>2.5091556373957901E-6</v>
      </c>
      <c r="T448"/>
      <c r="V448" s="77"/>
      <c r="W448" s="77"/>
      <c r="X448" s="77"/>
      <c r="Z448" s="81"/>
      <c r="AB448" s="164">
        <f t="shared" si="22"/>
        <v>-0.22531763960854506</v>
      </c>
      <c r="AC448" s="164">
        <f t="shared" si="23"/>
        <v>2.5091556373957899E-4</v>
      </c>
    </row>
    <row r="449" spans="9:29" x14ac:dyDescent="0.25">
      <c r="I449" s="46"/>
      <c r="J449" s="46"/>
      <c r="K449" s="46"/>
      <c r="M449" s="31"/>
      <c r="R449" s="58">
        <v>562.11317639608546</v>
      </c>
      <c r="S449" s="55">
        <v>2.4391349780240453E-6</v>
      </c>
      <c r="T449"/>
      <c r="V449" s="77"/>
      <c r="W449" s="77"/>
      <c r="X449" s="77"/>
      <c r="Z449" s="79"/>
      <c r="AB449" s="164">
        <f t="shared" si="22"/>
        <v>-0.22531763960854506</v>
      </c>
      <c r="AC449" s="164">
        <f t="shared" si="23"/>
        <v>2.4391349780240453E-4</v>
      </c>
    </row>
    <row r="450" spans="9:29" x14ac:dyDescent="0.25">
      <c r="I450" s="46"/>
      <c r="J450" s="46"/>
      <c r="K450" s="46"/>
      <c r="M450" s="30"/>
      <c r="R450" s="58">
        <v>562.443031245773</v>
      </c>
      <c r="S450" s="55">
        <v>2.4391349780240453E-6</v>
      </c>
      <c r="T450"/>
      <c r="V450" s="77"/>
      <c r="W450" s="77"/>
      <c r="X450" s="77"/>
      <c r="Z450" s="78"/>
      <c r="AB450" s="164">
        <f t="shared" si="22"/>
        <v>-0.25830312457729859</v>
      </c>
      <c r="AC450" s="164">
        <f t="shared" si="23"/>
        <v>2.4391349780240453E-4</v>
      </c>
    </row>
    <row r="451" spans="9:29" x14ac:dyDescent="0.25">
      <c r="I451" s="46"/>
      <c r="J451" s="46"/>
      <c r="K451" s="46"/>
      <c r="M451" s="34"/>
      <c r="R451" s="58">
        <v>562.443031245773</v>
      </c>
      <c r="S451" s="55">
        <v>2.3695198721662014E-6</v>
      </c>
      <c r="T451"/>
      <c r="V451" s="77"/>
      <c r="W451" s="77"/>
      <c r="X451" s="77"/>
      <c r="Z451" s="81"/>
      <c r="AB451" s="164">
        <f t="shared" si="22"/>
        <v>-0.25830312457729859</v>
      </c>
      <c r="AC451" s="164">
        <f t="shared" si="23"/>
        <v>2.3695198721662014E-4</v>
      </c>
    </row>
    <row r="452" spans="9:29" x14ac:dyDescent="0.25">
      <c r="I452" s="46"/>
      <c r="J452" s="46"/>
      <c r="K452" s="46"/>
      <c r="M452" s="34"/>
      <c r="R452" s="58">
        <v>562.81021265502943</v>
      </c>
      <c r="S452" s="55">
        <v>2.3695198721662014E-6</v>
      </c>
      <c r="T452"/>
      <c r="V452" s="77"/>
      <c r="W452" s="77"/>
      <c r="X452" s="77"/>
      <c r="Z452" s="81"/>
      <c r="AB452" s="164">
        <f t="shared" ref="AB452:AB464" si="24">(559.86-R452)/10</f>
        <v>-0.29502126550294178</v>
      </c>
      <c r="AC452" s="164">
        <f t="shared" ref="AC452:AC464" si="25">S452*100</f>
        <v>2.3695198721662014E-4</v>
      </c>
    </row>
    <row r="453" spans="9:29" x14ac:dyDescent="0.25">
      <c r="I453" s="46"/>
      <c r="J453" s="46"/>
      <c r="K453" s="46"/>
      <c r="M453" s="31"/>
      <c r="R453" s="58">
        <v>562.81021265502943</v>
      </c>
      <c r="S453" s="55">
        <v>2.3007661947574838E-6</v>
      </c>
      <c r="T453"/>
      <c r="V453" s="77"/>
      <c r="W453" s="77"/>
      <c r="X453" s="77"/>
      <c r="Z453" s="79"/>
      <c r="AB453" s="164">
        <f t="shared" si="24"/>
        <v>-0.29502126550294178</v>
      </c>
      <c r="AC453" s="164">
        <f t="shared" si="25"/>
        <v>2.3007661947574838E-4</v>
      </c>
    </row>
    <row r="454" spans="9:29" x14ac:dyDescent="0.25">
      <c r="I454" s="46"/>
      <c r="J454" s="46"/>
      <c r="K454" s="46"/>
      <c r="M454" s="34"/>
      <c r="R454" s="58">
        <v>563.23543448304804</v>
      </c>
      <c r="S454" s="55">
        <v>2.3007661947574838E-6</v>
      </c>
      <c r="T454"/>
      <c r="V454" s="77"/>
      <c r="W454" s="77"/>
      <c r="X454" s="77"/>
      <c r="Z454" s="81"/>
      <c r="AB454" s="164">
        <f t="shared" si="24"/>
        <v>-0.33754344830480248</v>
      </c>
      <c r="AC454" s="164">
        <f t="shared" si="25"/>
        <v>2.3007661947574838E-4</v>
      </c>
    </row>
    <row r="455" spans="9:29" x14ac:dyDescent="0.25">
      <c r="I455" s="46"/>
      <c r="J455" s="46"/>
      <c r="K455" s="46"/>
      <c r="M455" s="34"/>
      <c r="R455" s="58">
        <v>563.23543448304804</v>
      </c>
      <c r="S455" s="55">
        <v>2.2337565362949153E-6</v>
      </c>
      <c r="T455"/>
      <c r="V455" s="77"/>
      <c r="W455" s="77"/>
      <c r="X455" s="77"/>
      <c r="Z455" s="81"/>
      <c r="AB455" s="164">
        <f t="shared" si="24"/>
        <v>-0.33754344830480248</v>
      </c>
      <c r="AC455" s="164">
        <f t="shared" si="25"/>
        <v>2.2337565362949154E-4</v>
      </c>
    </row>
    <row r="456" spans="9:29" x14ac:dyDescent="0.25">
      <c r="I456" s="46"/>
      <c r="J456" s="46"/>
      <c r="K456" s="46"/>
      <c r="M456" s="31"/>
      <c r="R456" s="58">
        <v>563.75795719291466</v>
      </c>
      <c r="S456" s="55">
        <v>2.2337565362949153E-6</v>
      </c>
      <c r="T456"/>
      <c r="V456" s="77"/>
      <c r="W456" s="77"/>
      <c r="X456" s="77"/>
      <c r="Z456" s="79"/>
      <c r="AB456" s="164">
        <f t="shared" si="24"/>
        <v>-0.38979571929146462</v>
      </c>
      <c r="AC456" s="164">
        <f t="shared" si="25"/>
        <v>2.2337565362949154E-4</v>
      </c>
    </row>
    <row r="457" spans="9:29" x14ac:dyDescent="0.25">
      <c r="I457" s="46"/>
      <c r="J457" s="46"/>
      <c r="K457" s="46"/>
      <c r="M457" s="34"/>
      <c r="R457" s="58">
        <v>563.75795719291466</v>
      </c>
      <c r="S457" s="55">
        <v>2.1702613482464512E-6</v>
      </c>
      <c r="T457"/>
      <c r="V457" s="77"/>
      <c r="W457" s="77"/>
      <c r="X457" s="77"/>
      <c r="Z457" s="81"/>
      <c r="AB457" s="164">
        <f t="shared" si="24"/>
        <v>-0.38979571929146462</v>
      </c>
      <c r="AC457" s="164">
        <f t="shared" si="25"/>
        <v>2.1702613482464512E-4</v>
      </c>
    </row>
    <row r="458" spans="9:29" x14ac:dyDescent="0.25">
      <c r="I458" s="46"/>
      <c r="J458" s="46"/>
      <c r="K458" s="46"/>
      <c r="M458" s="30"/>
      <c r="R458" s="58">
        <v>564.47113438093811</v>
      </c>
      <c r="S458" s="55">
        <v>2.1702613482464512E-6</v>
      </c>
      <c r="T458"/>
      <c r="V458" s="77"/>
      <c r="W458" s="77"/>
      <c r="X458" s="77"/>
      <c r="Z458" s="78"/>
      <c r="AB458" s="164">
        <f t="shared" si="24"/>
        <v>-0.46111343809380967</v>
      </c>
      <c r="AC458" s="164">
        <f t="shared" si="25"/>
        <v>2.1702613482464512E-4</v>
      </c>
    </row>
    <row r="459" spans="9:29" x14ac:dyDescent="0.25">
      <c r="I459" s="46"/>
      <c r="J459" s="46"/>
      <c r="K459" s="46"/>
      <c r="M459" s="34"/>
      <c r="R459" s="58">
        <v>564.47113438093811</v>
      </c>
      <c r="S459" s="55">
        <v>2.1141480010057634E-6</v>
      </c>
      <c r="T459"/>
      <c r="V459" s="77"/>
      <c r="W459" s="77"/>
      <c r="X459" s="77"/>
      <c r="Z459" s="81"/>
      <c r="AB459" s="164">
        <f t="shared" si="24"/>
        <v>-0.46111343809380967</v>
      </c>
      <c r="AC459" s="164">
        <f t="shared" si="25"/>
        <v>2.1141480010057633E-4</v>
      </c>
    </row>
    <row r="460" spans="9:29" x14ac:dyDescent="0.25">
      <c r="I460" s="46"/>
      <c r="J460" s="46"/>
      <c r="K460" s="46"/>
      <c r="M460" s="31"/>
      <c r="R460" s="58">
        <v>565.75272325631204</v>
      </c>
      <c r="S460" s="55">
        <v>2.1141480010057634E-6</v>
      </c>
      <c r="T460"/>
      <c r="V460" s="77"/>
      <c r="W460" s="77"/>
      <c r="X460" s="77"/>
      <c r="Z460" s="79"/>
      <c r="AB460" s="164">
        <f t="shared" si="24"/>
        <v>-0.58927232563120246</v>
      </c>
      <c r="AC460" s="164">
        <f t="shared" si="25"/>
        <v>2.1141480010057633E-4</v>
      </c>
    </row>
    <row r="461" spans="9:29" x14ac:dyDescent="0.25">
      <c r="I461" s="46"/>
      <c r="J461" s="46"/>
      <c r="K461" s="46"/>
      <c r="M461" s="34"/>
      <c r="R461" s="58">
        <v>565.75272325631204</v>
      </c>
      <c r="S461" s="55">
        <v>2.0753595302827892E-6</v>
      </c>
      <c r="T461"/>
      <c r="V461" s="77"/>
      <c r="W461" s="77"/>
      <c r="X461" s="77"/>
      <c r="Z461" s="81"/>
      <c r="AB461" s="164">
        <f t="shared" si="24"/>
        <v>-0.58927232563120246</v>
      </c>
      <c r="AC461" s="164">
        <f t="shared" si="25"/>
        <v>2.0753595302827892E-4</v>
      </c>
    </row>
    <row r="462" spans="9:29" x14ac:dyDescent="0.25">
      <c r="I462" s="46"/>
      <c r="J462" s="46"/>
      <c r="K462" s="46"/>
      <c r="M462" s="34"/>
      <c r="R462" s="58">
        <v>567.47380484438611</v>
      </c>
      <c r="S462" s="55">
        <v>2.0753595302827892E-6</v>
      </c>
      <c r="T462"/>
      <c r="V462" s="77"/>
      <c r="W462" s="77"/>
      <c r="X462" s="77"/>
      <c r="Z462" s="81"/>
      <c r="AB462" s="164">
        <f t="shared" si="24"/>
        <v>-0.76138048443860951</v>
      </c>
      <c r="AC462" s="164">
        <f t="shared" si="25"/>
        <v>2.0753595302827892E-4</v>
      </c>
    </row>
    <row r="463" spans="9:29" x14ac:dyDescent="0.25">
      <c r="I463" s="46"/>
      <c r="J463" s="46"/>
      <c r="K463" s="46"/>
      <c r="M463" s="31"/>
      <c r="R463" s="58">
        <v>567.47380484438611</v>
      </c>
      <c r="S463" s="55">
        <v>2.0700000000000001E-6</v>
      </c>
      <c r="T463"/>
      <c r="V463" s="77"/>
      <c r="W463" s="77"/>
      <c r="X463" s="77"/>
      <c r="Z463" s="79"/>
      <c r="AB463" s="164">
        <f t="shared" si="24"/>
        <v>-0.76138048443860951</v>
      </c>
      <c r="AC463" s="164">
        <f t="shared" si="25"/>
        <v>2.0700000000000002E-4</v>
      </c>
    </row>
    <row r="464" spans="9:29" x14ac:dyDescent="0.25">
      <c r="I464" s="46"/>
      <c r="J464" s="46"/>
      <c r="K464" s="46"/>
      <c r="M464" s="34"/>
      <c r="R464" s="58">
        <v>667.47380484438611</v>
      </c>
      <c r="S464" s="55">
        <v>2.0700000000000001E-6</v>
      </c>
      <c r="T464"/>
      <c r="V464" s="77"/>
      <c r="W464" s="77"/>
      <c r="X464" s="77"/>
      <c r="Z464" s="81"/>
      <c r="AB464" s="164">
        <f t="shared" si="24"/>
        <v>-10.761380484438609</v>
      </c>
      <c r="AC464" s="164">
        <f t="shared" si="25"/>
        <v>2.0700000000000002E-4</v>
      </c>
    </row>
    <row r="465" spans="9:33" x14ac:dyDescent="0.25">
      <c r="I465" s="46"/>
      <c r="J465" s="46"/>
      <c r="K465" s="46"/>
      <c r="M465" s="30"/>
      <c r="T465"/>
      <c r="V465" s="77"/>
      <c r="W465" s="77"/>
      <c r="X465" s="77"/>
      <c r="Z465" s="78"/>
      <c r="AG465"/>
    </row>
    <row r="466" spans="9:33" x14ac:dyDescent="0.25">
      <c r="I466" s="46"/>
      <c r="J466" s="46"/>
      <c r="K466" s="46"/>
      <c r="M466" s="34"/>
      <c r="T466"/>
      <c r="V466" s="77"/>
      <c r="W466" s="77"/>
      <c r="X466" s="77"/>
      <c r="Z466" s="81"/>
      <c r="AG466"/>
    </row>
    <row r="467" spans="9:33" x14ac:dyDescent="0.25">
      <c r="I467" s="46"/>
      <c r="J467" s="46"/>
      <c r="K467" s="46"/>
      <c r="M467" s="31"/>
      <c r="T467"/>
      <c r="V467" s="77"/>
      <c r="W467" s="77"/>
      <c r="X467" s="77"/>
      <c r="Z467" s="79"/>
      <c r="AG467"/>
    </row>
    <row r="468" spans="9:33" x14ac:dyDescent="0.25">
      <c r="I468" s="46"/>
      <c r="J468" s="46"/>
      <c r="K468" s="46"/>
      <c r="M468" s="34"/>
      <c r="T468"/>
      <c r="V468" s="77"/>
      <c r="W468" s="77"/>
      <c r="X468" s="77"/>
      <c r="Z468" s="81"/>
      <c r="AG468"/>
    </row>
    <row r="469" spans="9:33" x14ac:dyDescent="0.25">
      <c r="I469" s="46"/>
      <c r="J469" s="46"/>
      <c r="K469" s="46"/>
      <c r="M469" s="34"/>
      <c r="T469"/>
      <c r="V469" s="77"/>
      <c r="W469" s="77"/>
      <c r="X469" s="77"/>
      <c r="Z469" s="81"/>
      <c r="AG469"/>
    </row>
    <row r="470" spans="9:33" x14ac:dyDescent="0.25">
      <c r="I470" s="46"/>
      <c r="J470" s="46"/>
      <c r="K470" s="46"/>
      <c r="M470" s="31"/>
      <c r="T470"/>
      <c r="V470" s="77"/>
      <c r="W470" s="77"/>
      <c r="X470" s="77"/>
      <c r="Z470" s="79"/>
      <c r="AG470"/>
    </row>
    <row r="471" spans="9:33" x14ac:dyDescent="0.25">
      <c r="I471" s="46"/>
      <c r="J471" s="46"/>
      <c r="K471" s="46"/>
      <c r="M471" s="34"/>
      <c r="T471"/>
      <c r="V471" s="77"/>
      <c r="W471" s="77"/>
      <c r="X471" s="77"/>
      <c r="Z471" s="81"/>
      <c r="AG471"/>
    </row>
    <row r="472" spans="9:33" x14ac:dyDescent="0.25">
      <c r="I472" s="46"/>
      <c r="J472" s="46"/>
      <c r="K472" s="46"/>
      <c r="M472" s="30"/>
      <c r="T472"/>
      <c r="V472" s="77"/>
      <c r="W472" s="77"/>
      <c r="X472" s="77"/>
      <c r="Z472" s="78"/>
      <c r="AG472"/>
    </row>
    <row r="473" spans="9:33" x14ac:dyDescent="0.25">
      <c r="I473" s="46"/>
      <c r="J473" s="46"/>
      <c r="K473" s="46"/>
      <c r="M473" s="34"/>
      <c r="T473"/>
      <c r="V473" s="77"/>
      <c r="W473" s="77"/>
      <c r="X473" s="77"/>
      <c r="Z473" s="81"/>
      <c r="AG473"/>
    </row>
    <row r="474" spans="9:33" x14ac:dyDescent="0.25">
      <c r="I474" s="46"/>
      <c r="J474" s="46"/>
      <c r="K474" s="46"/>
      <c r="M474" s="31"/>
      <c r="T474"/>
      <c r="V474" s="77"/>
      <c r="W474" s="77"/>
      <c r="X474" s="77"/>
      <c r="Z474" s="79"/>
      <c r="AG474"/>
    </row>
    <row r="475" spans="9:33" x14ac:dyDescent="0.25">
      <c r="I475" s="46"/>
      <c r="J475" s="46"/>
      <c r="K475" s="46"/>
      <c r="M475" s="34"/>
      <c r="T475"/>
      <c r="V475" s="77"/>
      <c r="W475" s="77"/>
      <c r="X475" s="77"/>
      <c r="Z475" s="81"/>
      <c r="AG475"/>
    </row>
    <row r="476" spans="9:33" x14ac:dyDescent="0.25">
      <c r="I476" s="46"/>
      <c r="J476" s="46"/>
      <c r="K476" s="46"/>
      <c r="M476" s="34"/>
      <c r="T476"/>
      <c r="V476" s="77"/>
      <c r="W476" s="77"/>
      <c r="X476" s="77"/>
      <c r="Z476" s="81"/>
      <c r="AG476"/>
    </row>
    <row r="477" spans="9:33" x14ac:dyDescent="0.25">
      <c r="I477" s="46"/>
      <c r="J477" s="46"/>
      <c r="K477" s="46"/>
      <c r="M477" s="31"/>
      <c r="T477"/>
      <c r="V477" s="77"/>
      <c r="W477" s="77"/>
      <c r="X477" s="77"/>
      <c r="Z477" s="79"/>
      <c r="AG477"/>
    </row>
    <row r="478" spans="9:33" x14ac:dyDescent="0.25">
      <c r="I478" s="46"/>
      <c r="J478" s="46"/>
      <c r="K478" s="46"/>
      <c r="M478" s="34"/>
      <c r="T478"/>
      <c r="V478" s="77"/>
      <c r="W478" s="77"/>
      <c r="X478" s="77"/>
      <c r="Z478" s="81"/>
      <c r="AG478"/>
    </row>
    <row r="479" spans="9:33" x14ac:dyDescent="0.25">
      <c r="I479" s="46"/>
      <c r="J479" s="46"/>
      <c r="K479" s="46"/>
      <c r="M479" s="34"/>
      <c r="T479"/>
      <c r="V479" s="77"/>
      <c r="W479" s="77"/>
      <c r="X479" s="77"/>
      <c r="Z479" s="81"/>
      <c r="AG479"/>
    </row>
    <row r="480" spans="9:33" x14ac:dyDescent="0.25">
      <c r="I480" s="46"/>
      <c r="J480" s="46"/>
      <c r="K480" s="46"/>
      <c r="M480" s="30"/>
      <c r="T480"/>
      <c r="V480" s="77"/>
      <c r="W480" s="77"/>
      <c r="X480" s="77"/>
      <c r="Z480" s="78"/>
      <c r="AG480"/>
    </row>
    <row r="481" spans="9:33" x14ac:dyDescent="0.25">
      <c r="I481" s="46"/>
      <c r="J481" s="46"/>
      <c r="K481" s="46"/>
      <c r="M481" s="31"/>
      <c r="T481"/>
      <c r="V481" s="77"/>
      <c r="W481" s="77"/>
      <c r="X481" s="77"/>
      <c r="Z481" s="79"/>
      <c r="AG481"/>
    </row>
    <row r="482" spans="9:33" x14ac:dyDescent="0.25">
      <c r="I482" s="46"/>
      <c r="J482" s="46"/>
      <c r="K482" s="46"/>
      <c r="M482" s="34"/>
      <c r="T482"/>
      <c r="V482" s="77"/>
      <c r="W482" s="77"/>
      <c r="X482" s="77"/>
      <c r="Z482" s="81"/>
      <c r="AG482"/>
    </row>
    <row r="483" spans="9:33" x14ac:dyDescent="0.25">
      <c r="I483" s="46"/>
      <c r="J483" s="46"/>
      <c r="K483" s="46"/>
      <c r="M483" s="34"/>
      <c r="T483"/>
      <c r="V483" s="77"/>
      <c r="W483" s="77"/>
      <c r="X483" s="77"/>
      <c r="Z483" s="81"/>
      <c r="AG483"/>
    </row>
    <row r="484" spans="9:33" x14ac:dyDescent="0.25">
      <c r="I484" s="46"/>
      <c r="J484" s="46"/>
      <c r="K484" s="46"/>
      <c r="M484" s="31"/>
      <c r="T484"/>
      <c r="V484" s="77"/>
      <c r="W484" s="77"/>
      <c r="X484" s="77"/>
      <c r="Z484" s="79"/>
      <c r="AG484"/>
    </row>
    <row r="485" spans="9:33" x14ac:dyDescent="0.25">
      <c r="I485" s="46"/>
      <c r="J485" s="46"/>
      <c r="K485" s="46"/>
      <c r="M485" s="34"/>
      <c r="T485"/>
      <c r="V485" s="77"/>
      <c r="W485" s="77"/>
      <c r="X485" s="77"/>
      <c r="Z485" s="81"/>
      <c r="AG485"/>
    </row>
    <row r="486" spans="9:33" x14ac:dyDescent="0.25">
      <c r="I486" s="46"/>
      <c r="J486" s="46"/>
      <c r="K486" s="46"/>
      <c r="M486" s="34"/>
      <c r="T486"/>
      <c r="V486" s="77"/>
      <c r="W486" s="77"/>
      <c r="X486" s="77"/>
      <c r="Z486" s="81"/>
      <c r="AG486"/>
    </row>
    <row r="487" spans="9:33" x14ac:dyDescent="0.25">
      <c r="I487" s="46"/>
      <c r="J487" s="46"/>
      <c r="K487" s="46"/>
      <c r="M487" s="30"/>
      <c r="T487"/>
      <c r="V487" s="77"/>
      <c r="W487" s="77"/>
      <c r="X487" s="77"/>
      <c r="Z487" s="78"/>
      <c r="AG487"/>
    </row>
    <row r="488" spans="9:33" x14ac:dyDescent="0.25">
      <c r="I488" s="46"/>
      <c r="J488" s="46"/>
      <c r="K488" s="46"/>
      <c r="M488" s="31"/>
      <c r="T488"/>
      <c r="V488" s="77"/>
      <c r="W488" s="77"/>
      <c r="X488" s="77"/>
      <c r="Z488" s="79"/>
      <c r="AG488"/>
    </row>
    <row r="489" spans="9:33" x14ac:dyDescent="0.25">
      <c r="I489" s="46"/>
      <c r="J489" s="46"/>
      <c r="K489" s="46"/>
      <c r="M489" s="34"/>
      <c r="T489"/>
      <c r="V489" s="77"/>
      <c r="W489" s="77"/>
      <c r="X489" s="77"/>
      <c r="Z489" s="81"/>
      <c r="AG489"/>
    </row>
    <row r="490" spans="9:33" x14ac:dyDescent="0.25">
      <c r="I490" s="46"/>
      <c r="J490" s="46"/>
      <c r="K490" s="46"/>
      <c r="M490" s="34"/>
      <c r="T490"/>
      <c r="V490" s="77"/>
      <c r="W490" s="77"/>
      <c r="X490" s="77"/>
      <c r="Z490" s="81"/>
      <c r="AG490"/>
    </row>
    <row r="491" spans="9:33" x14ac:dyDescent="0.25">
      <c r="I491" s="46"/>
      <c r="J491" s="46"/>
      <c r="K491" s="46"/>
      <c r="M491" s="31"/>
      <c r="T491"/>
      <c r="V491" s="77"/>
      <c r="W491" s="77"/>
      <c r="X491" s="77"/>
      <c r="Z491" s="79"/>
      <c r="AG491"/>
    </row>
    <row r="492" spans="9:33" x14ac:dyDescent="0.25">
      <c r="I492" s="46"/>
      <c r="J492" s="46"/>
      <c r="K492" s="46"/>
      <c r="M492" s="34"/>
      <c r="T492"/>
      <c r="V492" s="77"/>
      <c r="W492" s="77"/>
      <c r="X492" s="77"/>
      <c r="Z492" s="81"/>
      <c r="AG492"/>
    </row>
    <row r="493" spans="9:33" x14ac:dyDescent="0.25">
      <c r="I493" s="46"/>
      <c r="J493" s="46"/>
      <c r="K493" s="46"/>
      <c r="M493" s="34"/>
      <c r="T493"/>
      <c r="V493" s="77"/>
      <c r="W493" s="77"/>
      <c r="X493" s="77"/>
      <c r="Z493" s="81"/>
      <c r="AG493"/>
    </row>
    <row r="494" spans="9:33" x14ac:dyDescent="0.25">
      <c r="I494" s="46"/>
      <c r="J494" s="46"/>
      <c r="K494" s="46"/>
      <c r="M494" s="31"/>
      <c r="T494"/>
      <c r="V494" s="77"/>
      <c r="W494" s="77"/>
      <c r="X494" s="77"/>
      <c r="Z494" s="79"/>
      <c r="AG494"/>
    </row>
    <row r="495" spans="9:33" x14ac:dyDescent="0.25">
      <c r="I495" s="46"/>
      <c r="J495" s="46"/>
      <c r="K495" s="46"/>
      <c r="M495" s="30"/>
      <c r="T495"/>
      <c r="V495" s="77"/>
      <c r="W495" s="77"/>
      <c r="X495" s="77"/>
      <c r="Z495" s="78"/>
      <c r="AG495"/>
    </row>
    <row r="496" spans="9:33" x14ac:dyDescent="0.25">
      <c r="I496" s="46"/>
      <c r="J496" s="46"/>
      <c r="K496" s="46"/>
      <c r="M496" s="34"/>
      <c r="T496"/>
      <c r="V496" s="77"/>
      <c r="W496" s="77"/>
      <c r="X496" s="77"/>
      <c r="Z496" s="81"/>
      <c r="AG496"/>
    </row>
    <row r="497" spans="9:33" x14ac:dyDescent="0.25">
      <c r="I497" s="46"/>
      <c r="J497" s="46"/>
      <c r="K497" s="46"/>
      <c r="M497" s="34"/>
      <c r="T497"/>
      <c r="V497" s="77"/>
      <c r="W497" s="77"/>
      <c r="X497" s="77"/>
      <c r="Z497" s="81"/>
      <c r="AG497"/>
    </row>
    <row r="498" spans="9:33" x14ac:dyDescent="0.25">
      <c r="I498" s="46"/>
      <c r="J498" s="46"/>
      <c r="K498" s="46"/>
      <c r="M498" s="31"/>
      <c r="T498"/>
      <c r="V498" s="77"/>
      <c r="W498" s="77"/>
      <c r="X498" s="77"/>
      <c r="Z498" s="79"/>
      <c r="AG498"/>
    </row>
    <row r="499" spans="9:33" x14ac:dyDescent="0.25">
      <c r="I499" s="46"/>
      <c r="J499" s="46"/>
      <c r="K499" s="46"/>
      <c r="M499" s="34"/>
      <c r="T499"/>
      <c r="V499" s="77"/>
      <c r="W499" s="77"/>
      <c r="X499" s="77"/>
      <c r="Z499" s="81"/>
      <c r="AG499"/>
    </row>
    <row r="500" spans="9:33" x14ac:dyDescent="0.25">
      <c r="I500" s="46"/>
      <c r="J500" s="46"/>
      <c r="K500" s="46"/>
      <c r="M500" s="34"/>
      <c r="T500"/>
      <c r="V500" s="77"/>
      <c r="W500" s="77"/>
      <c r="X500" s="77"/>
      <c r="Z500" s="81"/>
      <c r="AG500"/>
    </row>
    <row r="501" spans="9:33" x14ac:dyDescent="0.25">
      <c r="I501" s="46"/>
      <c r="J501" s="46"/>
      <c r="K501" s="46"/>
      <c r="M501" s="31"/>
      <c r="T501"/>
      <c r="V501" s="77"/>
      <c r="W501" s="77"/>
      <c r="X501" s="77"/>
      <c r="Z501" s="79"/>
      <c r="AG501"/>
    </row>
    <row r="502" spans="9:33" x14ac:dyDescent="0.25">
      <c r="I502" s="46"/>
      <c r="J502" s="46"/>
      <c r="K502" s="46"/>
      <c r="M502" s="30"/>
      <c r="T502"/>
      <c r="V502" s="77"/>
      <c r="W502" s="77"/>
      <c r="X502" s="77"/>
      <c r="Z502" s="78"/>
      <c r="AG502"/>
    </row>
    <row r="503" spans="9:33" x14ac:dyDescent="0.25">
      <c r="I503" s="46"/>
      <c r="J503" s="46"/>
      <c r="K503" s="46"/>
      <c r="M503" s="34"/>
      <c r="T503"/>
      <c r="V503" s="77"/>
      <c r="W503" s="77"/>
      <c r="X503" s="77"/>
      <c r="Z503" s="81"/>
      <c r="AG503"/>
    </row>
    <row r="504" spans="9:33" x14ac:dyDescent="0.25">
      <c r="I504" s="46"/>
      <c r="J504" s="46"/>
      <c r="K504" s="46"/>
      <c r="M504" s="34"/>
      <c r="T504"/>
      <c r="V504" s="77"/>
      <c r="W504" s="77"/>
      <c r="X504" s="77"/>
      <c r="Z504" s="81"/>
      <c r="AG504"/>
    </row>
    <row r="505" spans="9:33" x14ac:dyDescent="0.25">
      <c r="I505" s="46"/>
      <c r="J505" s="46"/>
      <c r="K505" s="46"/>
      <c r="M505" s="31"/>
      <c r="T505"/>
      <c r="V505" s="77"/>
      <c r="W505" s="77"/>
      <c r="X505" s="77"/>
      <c r="Z505" s="79"/>
      <c r="AG505"/>
    </row>
    <row r="506" spans="9:33" x14ac:dyDescent="0.25">
      <c r="I506" s="46"/>
      <c r="J506" s="46"/>
      <c r="K506" s="46"/>
      <c r="M506" s="34"/>
      <c r="T506"/>
      <c r="V506" s="77"/>
      <c r="W506" s="77"/>
      <c r="X506" s="77"/>
      <c r="Z506" s="81"/>
      <c r="AG506"/>
    </row>
    <row r="507" spans="9:33" x14ac:dyDescent="0.25">
      <c r="I507" s="46"/>
      <c r="J507" s="46"/>
      <c r="K507" s="46"/>
      <c r="M507" s="34"/>
      <c r="T507"/>
      <c r="V507" s="77"/>
      <c r="W507" s="77"/>
      <c r="X507" s="77"/>
      <c r="Z507" s="81"/>
      <c r="AG507"/>
    </row>
    <row r="508" spans="9:33" x14ac:dyDescent="0.25">
      <c r="I508" s="46"/>
      <c r="J508" s="46"/>
      <c r="K508" s="46"/>
      <c r="M508" s="31"/>
      <c r="T508"/>
      <c r="V508" s="77"/>
      <c r="W508" s="77"/>
      <c r="X508" s="77"/>
      <c r="Z508" s="79"/>
      <c r="AG508"/>
    </row>
    <row r="509" spans="9:33" x14ac:dyDescent="0.25">
      <c r="I509" s="46"/>
      <c r="J509" s="46"/>
      <c r="K509" s="46"/>
      <c r="M509" s="34"/>
      <c r="T509"/>
      <c r="V509" s="77"/>
      <c r="W509" s="77"/>
      <c r="X509" s="77"/>
      <c r="Z509" s="81"/>
      <c r="AG509"/>
    </row>
    <row r="510" spans="9:33" x14ac:dyDescent="0.25">
      <c r="I510" s="46"/>
      <c r="J510" s="46"/>
      <c r="K510" s="46"/>
      <c r="M510" s="30"/>
      <c r="T510"/>
      <c r="V510" s="77"/>
      <c r="W510" s="77"/>
      <c r="X510" s="77"/>
      <c r="Z510" s="78"/>
      <c r="AG510"/>
    </row>
    <row r="511" spans="9:33" x14ac:dyDescent="0.25">
      <c r="I511" s="46"/>
      <c r="J511" s="46"/>
      <c r="K511" s="46"/>
      <c r="M511" s="34"/>
      <c r="T511"/>
      <c r="V511" s="77"/>
      <c r="W511" s="77"/>
      <c r="X511" s="77"/>
      <c r="Z511" s="81"/>
      <c r="AG511"/>
    </row>
    <row r="512" spans="9:33" x14ac:dyDescent="0.25">
      <c r="I512" s="46"/>
      <c r="J512" s="46"/>
      <c r="K512" s="46"/>
      <c r="M512" s="31"/>
      <c r="T512"/>
      <c r="V512" s="77"/>
      <c r="W512" s="77"/>
      <c r="X512" s="77"/>
      <c r="Z512" s="79"/>
      <c r="AG512"/>
    </row>
    <row r="513" spans="9:33" x14ac:dyDescent="0.25">
      <c r="I513" s="46"/>
      <c r="J513" s="46"/>
      <c r="K513" s="46"/>
      <c r="M513" s="34"/>
      <c r="T513"/>
      <c r="V513" s="77"/>
      <c r="W513" s="77"/>
      <c r="X513" s="77"/>
      <c r="Z513" s="81"/>
      <c r="AG513"/>
    </row>
    <row r="514" spans="9:33" x14ac:dyDescent="0.25">
      <c r="I514" s="46"/>
      <c r="J514" s="46"/>
      <c r="K514" s="46"/>
      <c r="M514" s="34"/>
      <c r="T514"/>
      <c r="V514" s="77"/>
      <c r="W514" s="77"/>
      <c r="X514" s="77"/>
      <c r="Z514" s="81"/>
      <c r="AG514"/>
    </row>
    <row r="515" spans="9:33" x14ac:dyDescent="0.25">
      <c r="I515" s="46"/>
      <c r="J515" s="46"/>
      <c r="K515" s="46"/>
      <c r="M515" s="31"/>
      <c r="T515"/>
      <c r="V515" s="77"/>
      <c r="W515" s="77"/>
      <c r="X515" s="77"/>
      <c r="Z515" s="79"/>
      <c r="AG515"/>
    </row>
    <row r="516" spans="9:33" x14ac:dyDescent="0.25">
      <c r="I516" s="46"/>
      <c r="J516" s="46"/>
      <c r="K516" s="46"/>
      <c r="M516" s="34"/>
      <c r="T516"/>
      <c r="V516" s="77"/>
      <c r="W516" s="77"/>
      <c r="X516" s="77"/>
      <c r="Z516" s="81"/>
      <c r="AG516"/>
    </row>
    <row r="517" spans="9:33" x14ac:dyDescent="0.25">
      <c r="I517" s="46"/>
      <c r="J517" s="46"/>
      <c r="K517" s="46"/>
      <c r="M517" s="30"/>
      <c r="T517"/>
      <c r="V517" s="77"/>
      <c r="W517" s="77"/>
      <c r="X517" s="77"/>
      <c r="Z517" s="78"/>
      <c r="AG517"/>
    </row>
    <row r="518" spans="9:33" x14ac:dyDescent="0.25">
      <c r="I518" s="46"/>
      <c r="J518" s="46"/>
      <c r="K518" s="46"/>
      <c r="M518" s="34"/>
      <c r="T518"/>
      <c r="V518" s="77"/>
      <c r="W518" s="77"/>
      <c r="X518" s="77"/>
      <c r="Z518" s="81"/>
      <c r="AG518"/>
    </row>
    <row r="519" spans="9:33" x14ac:dyDescent="0.25">
      <c r="I519" s="46"/>
      <c r="J519" s="46"/>
      <c r="K519" s="46"/>
      <c r="M519" s="31"/>
      <c r="T519"/>
      <c r="V519" s="77"/>
      <c r="W519" s="77"/>
      <c r="X519" s="77"/>
      <c r="Z519" s="79"/>
      <c r="AG519"/>
    </row>
    <row r="520" spans="9:33" x14ac:dyDescent="0.25">
      <c r="I520" s="46"/>
      <c r="J520" s="46"/>
      <c r="K520" s="46"/>
      <c r="M520" s="34"/>
      <c r="T520"/>
      <c r="V520" s="77"/>
      <c r="W520" s="77"/>
      <c r="X520" s="77"/>
      <c r="Z520" s="81"/>
      <c r="AG520"/>
    </row>
    <row r="521" spans="9:33" x14ac:dyDescent="0.25">
      <c r="I521" s="46"/>
      <c r="J521" s="46"/>
      <c r="K521" s="46"/>
      <c r="M521" s="34"/>
      <c r="T521"/>
      <c r="V521" s="77"/>
      <c r="W521" s="77"/>
      <c r="X521" s="77"/>
      <c r="Z521" s="81"/>
      <c r="AG521"/>
    </row>
    <row r="522" spans="9:33" x14ac:dyDescent="0.25">
      <c r="I522" s="46"/>
      <c r="J522" s="46"/>
      <c r="K522" s="46"/>
      <c r="M522" s="31"/>
      <c r="T522"/>
      <c r="V522" s="77"/>
      <c r="W522" s="77"/>
      <c r="X522" s="77"/>
      <c r="Z522" s="79"/>
      <c r="AG522"/>
    </row>
    <row r="523" spans="9:33" x14ac:dyDescent="0.25">
      <c r="I523" s="46"/>
      <c r="J523" s="46"/>
      <c r="K523" s="46"/>
      <c r="M523" s="34"/>
      <c r="T523"/>
      <c r="V523" s="77"/>
      <c r="W523" s="77"/>
      <c r="X523" s="77"/>
      <c r="Z523" s="81"/>
      <c r="AG523"/>
    </row>
    <row r="524" spans="9:33" x14ac:dyDescent="0.25">
      <c r="I524" s="46"/>
      <c r="J524" s="46"/>
      <c r="K524" s="46"/>
      <c r="M524" s="30"/>
      <c r="T524"/>
      <c r="V524" s="77"/>
      <c r="W524" s="77"/>
      <c r="X524" s="77"/>
      <c r="Z524" s="78"/>
      <c r="AG524"/>
    </row>
    <row r="525" spans="9:33" x14ac:dyDescent="0.25">
      <c r="I525" s="46"/>
      <c r="J525" s="46"/>
      <c r="K525" s="46"/>
      <c r="M525" s="34"/>
      <c r="T525"/>
      <c r="V525" s="77"/>
      <c r="W525" s="77"/>
      <c r="X525" s="77"/>
      <c r="Z525" s="81"/>
      <c r="AG525"/>
    </row>
    <row r="526" spans="9:33" x14ac:dyDescent="0.25">
      <c r="I526" s="46"/>
      <c r="J526" s="46"/>
      <c r="K526" s="46"/>
      <c r="M526" s="31"/>
      <c r="T526"/>
      <c r="V526" s="77"/>
      <c r="W526" s="77"/>
      <c r="X526" s="77"/>
      <c r="Z526" s="79"/>
      <c r="AG526"/>
    </row>
    <row r="527" spans="9:33" x14ac:dyDescent="0.25">
      <c r="I527" s="46"/>
      <c r="J527" s="46"/>
      <c r="K527" s="46"/>
      <c r="M527" s="34"/>
      <c r="T527"/>
      <c r="V527" s="77"/>
      <c r="W527" s="77"/>
      <c r="X527" s="77"/>
      <c r="Z527" s="81"/>
      <c r="AG527"/>
    </row>
    <row r="528" spans="9:33" x14ac:dyDescent="0.25">
      <c r="I528" s="46"/>
      <c r="J528" s="46"/>
      <c r="K528" s="46"/>
      <c r="M528" s="34"/>
      <c r="T528"/>
      <c r="V528" s="77"/>
      <c r="W528" s="77"/>
      <c r="X528" s="77"/>
      <c r="Z528" s="81"/>
      <c r="AG528"/>
    </row>
    <row r="529" spans="9:33" x14ac:dyDescent="0.25">
      <c r="I529" s="46"/>
      <c r="J529" s="46"/>
      <c r="K529" s="46"/>
      <c r="M529" s="31"/>
      <c r="T529"/>
      <c r="V529" s="77"/>
      <c r="W529" s="77"/>
      <c r="X529" s="77"/>
      <c r="Z529" s="79"/>
      <c r="AG529"/>
    </row>
    <row r="530" spans="9:33" x14ac:dyDescent="0.25">
      <c r="I530" s="46"/>
      <c r="J530" s="46"/>
      <c r="K530" s="46"/>
      <c r="M530" s="34"/>
      <c r="T530"/>
      <c r="V530" s="77"/>
      <c r="W530" s="77"/>
      <c r="X530" s="77"/>
      <c r="Z530" s="81"/>
      <c r="AG530"/>
    </row>
    <row r="531" spans="9:33" x14ac:dyDescent="0.25">
      <c r="I531" s="46"/>
      <c r="J531" s="46"/>
      <c r="K531" s="46"/>
      <c r="M531" s="34"/>
      <c r="T531"/>
      <c r="V531" s="77"/>
      <c r="W531" s="77"/>
      <c r="X531" s="77"/>
      <c r="Z531" s="81"/>
      <c r="AG531"/>
    </row>
    <row r="532" spans="9:33" x14ac:dyDescent="0.25">
      <c r="I532" s="46"/>
      <c r="J532" s="46"/>
      <c r="K532" s="46"/>
      <c r="M532" s="30"/>
      <c r="T532"/>
      <c r="V532" s="77"/>
      <c r="W532" s="77"/>
      <c r="X532" s="77"/>
      <c r="Z532" s="78"/>
      <c r="AG532"/>
    </row>
    <row r="533" spans="9:33" x14ac:dyDescent="0.25">
      <c r="I533" s="46"/>
      <c r="J533" s="46"/>
      <c r="K533" s="46"/>
      <c r="M533" s="31"/>
      <c r="T533"/>
      <c r="V533" s="77"/>
      <c r="W533" s="77"/>
      <c r="X533" s="77"/>
      <c r="Z533" s="79"/>
      <c r="AG533"/>
    </row>
    <row r="534" spans="9:33" x14ac:dyDescent="0.25">
      <c r="I534" s="46"/>
      <c r="J534" s="46"/>
      <c r="K534" s="46"/>
      <c r="M534" s="34"/>
      <c r="T534"/>
      <c r="V534" s="77"/>
      <c r="W534" s="77"/>
      <c r="X534" s="77"/>
      <c r="Z534" s="81"/>
      <c r="AG534"/>
    </row>
    <row r="535" spans="9:33" x14ac:dyDescent="0.25">
      <c r="I535" s="46"/>
      <c r="J535" s="46"/>
      <c r="K535" s="46"/>
      <c r="M535" s="34"/>
      <c r="T535"/>
      <c r="V535" s="77"/>
      <c r="W535" s="77"/>
      <c r="X535" s="77"/>
      <c r="Z535" s="81"/>
      <c r="AG535"/>
    </row>
    <row r="536" spans="9:33" x14ac:dyDescent="0.25">
      <c r="I536" s="46"/>
      <c r="J536" s="46"/>
      <c r="K536" s="46"/>
      <c r="M536" s="31"/>
      <c r="T536"/>
      <c r="V536" s="77"/>
      <c r="W536" s="77"/>
      <c r="X536" s="77"/>
      <c r="Z536" s="79"/>
      <c r="AG536"/>
    </row>
    <row r="537" spans="9:33" x14ac:dyDescent="0.25">
      <c r="I537" s="46"/>
      <c r="J537" s="46"/>
      <c r="K537" s="46"/>
      <c r="M537" s="34"/>
      <c r="T537"/>
      <c r="V537" s="77"/>
      <c r="W537" s="77"/>
      <c r="X537" s="77"/>
      <c r="Z537" s="81"/>
      <c r="AG537"/>
    </row>
    <row r="538" spans="9:33" x14ac:dyDescent="0.25">
      <c r="I538" s="46"/>
      <c r="J538" s="46"/>
      <c r="K538" s="46"/>
      <c r="M538" s="34"/>
      <c r="T538"/>
      <c r="V538" s="77"/>
      <c r="W538" s="77"/>
      <c r="X538" s="77"/>
      <c r="Z538" s="81"/>
      <c r="AG538"/>
    </row>
    <row r="539" spans="9:33" x14ac:dyDescent="0.25">
      <c r="I539" s="46"/>
      <c r="J539" s="46"/>
      <c r="K539" s="46"/>
      <c r="M539" s="30"/>
      <c r="T539"/>
      <c r="V539" s="77"/>
      <c r="W539" s="77"/>
      <c r="X539" s="77"/>
      <c r="Z539" s="78"/>
      <c r="AG539"/>
    </row>
    <row r="540" spans="9:33" x14ac:dyDescent="0.25">
      <c r="I540" s="46"/>
      <c r="J540" s="46"/>
      <c r="K540" s="46"/>
      <c r="M540" s="31"/>
      <c r="T540"/>
      <c r="V540" s="77"/>
      <c r="W540" s="77"/>
      <c r="X540" s="77"/>
      <c r="Z540" s="79"/>
      <c r="AG540"/>
    </row>
    <row r="541" spans="9:33" x14ac:dyDescent="0.25">
      <c r="I541" s="46"/>
      <c r="J541" s="46"/>
      <c r="K541" s="46"/>
      <c r="M541" s="34"/>
      <c r="T541"/>
      <c r="V541" s="77"/>
      <c r="W541" s="77"/>
      <c r="X541" s="77"/>
      <c r="Z541" s="81"/>
      <c r="AG541"/>
    </row>
    <row r="542" spans="9:33" x14ac:dyDescent="0.25">
      <c r="I542" s="46"/>
      <c r="J542" s="46"/>
      <c r="K542" s="46"/>
      <c r="M542" s="34"/>
      <c r="T542"/>
      <c r="V542" s="77"/>
      <c r="W542" s="77"/>
      <c r="X542" s="77"/>
      <c r="Z542" s="81"/>
      <c r="AG542"/>
    </row>
    <row r="543" spans="9:33" x14ac:dyDescent="0.25">
      <c r="I543" s="46"/>
      <c r="J543" s="46"/>
      <c r="K543" s="46"/>
      <c r="M543" s="31"/>
      <c r="T543"/>
      <c r="V543" s="77"/>
      <c r="W543" s="77"/>
      <c r="X543" s="77"/>
      <c r="Z543" s="79"/>
      <c r="AG543"/>
    </row>
    <row r="544" spans="9:33" x14ac:dyDescent="0.25">
      <c r="I544" s="46"/>
      <c r="J544" s="46"/>
      <c r="K544" s="46"/>
      <c r="M544" s="34"/>
      <c r="T544"/>
      <c r="V544" s="77"/>
      <c r="W544" s="77"/>
      <c r="X544" s="77"/>
      <c r="Z544" s="81"/>
      <c r="AG544"/>
    </row>
    <row r="545" spans="9:33" x14ac:dyDescent="0.25">
      <c r="I545" s="46"/>
      <c r="J545" s="46"/>
      <c r="K545" s="46"/>
      <c r="M545" s="34"/>
      <c r="T545"/>
      <c r="V545" s="77"/>
      <c r="W545" s="77"/>
      <c r="X545" s="77"/>
      <c r="Z545" s="81"/>
      <c r="AG545"/>
    </row>
    <row r="546" spans="9:33" x14ac:dyDescent="0.25">
      <c r="I546" s="46"/>
      <c r="J546" s="46"/>
      <c r="K546" s="46"/>
      <c r="M546" s="31"/>
      <c r="T546"/>
      <c r="V546" s="77"/>
      <c r="W546" s="77"/>
      <c r="X546" s="77"/>
      <c r="Z546" s="79"/>
      <c r="AG546"/>
    </row>
    <row r="547" spans="9:33" x14ac:dyDescent="0.25">
      <c r="I547" s="46"/>
      <c r="J547" s="46"/>
      <c r="K547" s="46"/>
      <c r="M547" s="30"/>
      <c r="T547"/>
      <c r="V547" s="77"/>
      <c r="W547" s="77"/>
      <c r="X547" s="77"/>
      <c r="Z547" s="78"/>
      <c r="AG547"/>
    </row>
    <row r="548" spans="9:33" x14ac:dyDescent="0.25">
      <c r="I548" s="46"/>
      <c r="J548" s="46"/>
      <c r="K548" s="46"/>
      <c r="M548" s="34"/>
      <c r="T548"/>
      <c r="V548" s="77"/>
      <c r="W548" s="77"/>
      <c r="X548" s="77"/>
      <c r="Z548" s="81"/>
      <c r="AG548"/>
    </row>
    <row r="549" spans="9:33" x14ac:dyDescent="0.25">
      <c r="I549" s="46"/>
      <c r="J549" s="46"/>
      <c r="K549" s="46"/>
      <c r="M549" s="34"/>
      <c r="T549"/>
      <c r="V549" s="77"/>
      <c r="W549" s="77"/>
      <c r="X549" s="77"/>
      <c r="Z549" s="81"/>
      <c r="AG549"/>
    </row>
    <row r="550" spans="9:33" x14ac:dyDescent="0.25">
      <c r="I550" s="46"/>
      <c r="J550" s="46"/>
      <c r="K550" s="46"/>
      <c r="M550" s="31"/>
      <c r="T550"/>
      <c r="V550" s="77"/>
      <c r="W550" s="77"/>
      <c r="X550" s="77"/>
      <c r="Z550" s="79"/>
      <c r="AG550"/>
    </row>
    <row r="551" spans="9:33" x14ac:dyDescent="0.25">
      <c r="I551" s="46"/>
      <c r="J551" s="46"/>
      <c r="K551" s="46"/>
      <c r="M551" s="34"/>
      <c r="T551"/>
      <c r="V551" s="77"/>
      <c r="W551" s="77"/>
      <c r="X551" s="77"/>
      <c r="Z551" s="81"/>
      <c r="AG551"/>
    </row>
    <row r="552" spans="9:33" x14ac:dyDescent="0.25">
      <c r="I552" s="46"/>
      <c r="J552" s="46"/>
      <c r="K552" s="46"/>
      <c r="M552" s="34"/>
      <c r="T552"/>
      <c r="V552" s="77"/>
      <c r="W552" s="77"/>
      <c r="X552" s="77"/>
      <c r="Z552" s="81"/>
      <c r="AG552"/>
    </row>
    <row r="553" spans="9:33" x14ac:dyDescent="0.25">
      <c r="I553" s="46"/>
      <c r="J553" s="46"/>
      <c r="K553" s="46"/>
      <c r="M553" s="31"/>
      <c r="T553"/>
      <c r="V553" s="77"/>
      <c r="W553" s="77"/>
      <c r="X553" s="77"/>
      <c r="Z553" s="79"/>
      <c r="AG553"/>
    </row>
    <row r="554" spans="9:33" x14ac:dyDescent="0.25">
      <c r="I554" s="46"/>
      <c r="J554" s="46"/>
      <c r="K554" s="46"/>
      <c r="M554" s="30"/>
      <c r="T554"/>
      <c r="V554" s="77"/>
      <c r="W554" s="77"/>
      <c r="X554" s="77"/>
      <c r="Z554" s="78"/>
      <c r="AG554"/>
    </row>
    <row r="555" spans="9:33" x14ac:dyDescent="0.25">
      <c r="I555" s="46"/>
      <c r="J555" s="46"/>
      <c r="K555" s="46"/>
      <c r="M555" s="34"/>
      <c r="T555"/>
      <c r="V555" s="77"/>
      <c r="W555" s="77"/>
      <c r="X555" s="77"/>
      <c r="Z555" s="81"/>
    </row>
    <row r="556" spans="9:33" x14ac:dyDescent="0.25">
      <c r="I556" s="46"/>
      <c r="J556" s="46"/>
      <c r="K556" s="46"/>
      <c r="M556" s="34"/>
      <c r="T556"/>
      <c r="V556" s="77"/>
      <c r="W556" s="77"/>
      <c r="X556" s="77"/>
      <c r="Z556" s="81"/>
    </row>
    <row r="557" spans="9:33" x14ac:dyDescent="0.25">
      <c r="I557" s="46"/>
      <c r="J557" s="46"/>
      <c r="K557" s="46"/>
      <c r="M557" s="31"/>
      <c r="T557"/>
      <c r="V557" s="77"/>
      <c r="W557" s="77"/>
      <c r="X557" s="77"/>
      <c r="Z557" s="79"/>
    </row>
    <row r="558" spans="9:33" x14ac:dyDescent="0.25">
      <c r="I558" s="46"/>
      <c r="J558" s="46"/>
      <c r="K558" s="46"/>
      <c r="M558" s="34"/>
      <c r="T558"/>
      <c r="V558" s="77"/>
      <c r="W558" s="77"/>
      <c r="X558" s="77"/>
      <c r="Z558" s="81"/>
    </row>
    <row r="559" spans="9:33" x14ac:dyDescent="0.25">
      <c r="I559" s="46"/>
      <c r="J559" s="46"/>
      <c r="K559" s="46"/>
      <c r="M559" s="34"/>
      <c r="T559"/>
      <c r="V559" s="77"/>
      <c r="W559" s="77"/>
      <c r="X559" s="77"/>
      <c r="Z559" s="81"/>
    </row>
    <row r="560" spans="9:33" x14ac:dyDescent="0.25">
      <c r="I560" s="46"/>
      <c r="J560" s="46"/>
      <c r="K560" s="46"/>
      <c r="M560" s="31"/>
      <c r="T560"/>
      <c r="V560" s="77"/>
      <c r="W560" s="77"/>
      <c r="X560" s="77"/>
      <c r="Z560" s="79"/>
    </row>
    <row r="561" spans="9:26" x14ac:dyDescent="0.25">
      <c r="I561" s="46"/>
      <c r="J561" s="46"/>
      <c r="K561" s="46"/>
      <c r="M561" s="34"/>
      <c r="T561"/>
      <c r="V561" s="77"/>
      <c r="W561" s="77"/>
      <c r="X561" s="77"/>
      <c r="Z561" s="81"/>
    </row>
    <row r="562" spans="9:26" x14ac:dyDescent="0.25">
      <c r="I562" s="46"/>
      <c r="J562" s="46"/>
      <c r="K562" s="46"/>
      <c r="M562" s="30"/>
      <c r="T562"/>
      <c r="V562" s="77"/>
      <c r="W562" s="77"/>
      <c r="X562" s="77"/>
      <c r="Z562" s="78"/>
    </row>
    <row r="563" spans="9:26" x14ac:dyDescent="0.25">
      <c r="I563" s="46"/>
      <c r="J563" s="46"/>
      <c r="K563" s="46"/>
      <c r="M563" s="34"/>
      <c r="T563"/>
      <c r="V563" s="77"/>
      <c r="W563" s="77"/>
      <c r="X563" s="77"/>
      <c r="Z563" s="81"/>
    </row>
    <row r="564" spans="9:26" x14ac:dyDescent="0.25">
      <c r="I564" s="46"/>
      <c r="J564" s="46"/>
      <c r="K564" s="46"/>
      <c r="M564" s="31"/>
      <c r="T564"/>
      <c r="V564" s="77"/>
      <c r="W564" s="77"/>
      <c r="X564" s="77"/>
      <c r="Z564" s="79"/>
    </row>
    <row r="565" spans="9:26" x14ac:dyDescent="0.25">
      <c r="I565" s="46"/>
      <c r="J565" s="46"/>
      <c r="K565" s="46"/>
      <c r="M565" s="34"/>
      <c r="T565"/>
      <c r="V565" s="77"/>
      <c r="W565" s="77"/>
      <c r="X565" s="77"/>
      <c r="Z565" s="81"/>
    </row>
    <row r="566" spans="9:26" x14ac:dyDescent="0.25">
      <c r="I566" s="46"/>
      <c r="J566" s="46"/>
      <c r="K566" s="46"/>
      <c r="M566" s="34"/>
      <c r="T566"/>
      <c r="V566" s="77"/>
      <c r="W566" s="77"/>
      <c r="X566" s="77"/>
      <c r="Z566" s="81"/>
    </row>
    <row r="567" spans="9:26" x14ac:dyDescent="0.25">
      <c r="I567" s="46"/>
      <c r="J567" s="46"/>
      <c r="K567" s="46"/>
      <c r="M567" s="31"/>
      <c r="T567"/>
      <c r="V567" s="77"/>
      <c r="W567" s="77"/>
      <c r="X567" s="77"/>
      <c r="Z567" s="79"/>
    </row>
    <row r="568" spans="9:26" x14ac:dyDescent="0.25">
      <c r="I568" s="46"/>
      <c r="J568" s="46"/>
      <c r="K568" s="46"/>
      <c r="M568" s="34"/>
      <c r="T568"/>
      <c r="V568" s="77"/>
      <c r="W568" s="77"/>
      <c r="X568" s="77"/>
      <c r="Z568" s="81"/>
    </row>
    <row r="569" spans="9:26" x14ac:dyDescent="0.25">
      <c r="I569" s="46"/>
      <c r="J569" s="46"/>
      <c r="K569" s="46"/>
      <c r="M569" s="30"/>
      <c r="T569"/>
      <c r="V569" s="77"/>
      <c r="W569" s="77"/>
      <c r="X569" s="77"/>
      <c r="Z569" s="78"/>
    </row>
    <row r="570" spans="9:26" x14ac:dyDescent="0.25">
      <c r="I570" s="46"/>
      <c r="J570" s="46"/>
      <c r="K570" s="46"/>
      <c r="M570" s="34"/>
      <c r="T570"/>
      <c r="V570" s="77"/>
      <c r="W570" s="77"/>
      <c r="X570" s="77"/>
      <c r="Z570" s="81"/>
    </row>
    <row r="571" spans="9:26" x14ac:dyDescent="0.25">
      <c r="I571" s="46"/>
      <c r="J571" s="46"/>
      <c r="K571" s="46"/>
      <c r="M571" s="31"/>
      <c r="T571"/>
      <c r="V571" s="77"/>
      <c r="W571" s="77"/>
      <c r="X571" s="77"/>
      <c r="Z571" s="79"/>
    </row>
    <row r="572" spans="9:26" x14ac:dyDescent="0.25">
      <c r="I572" s="46"/>
      <c r="J572" s="46"/>
      <c r="K572" s="46"/>
      <c r="M572" s="34"/>
      <c r="T572"/>
      <c r="V572" s="77"/>
      <c r="W572" s="77"/>
      <c r="X572" s="77"/>
      <c r="Z572" s="81"/>
    </row>
    <row r="573" spans="9:26" x14ac:dyDescent="0.25">
      <c r="I573" s="46"/>
      <c r="J573" s="46"/>
      <c r="K573" s="46"/>
      <c r="M573" s="34"/>
      <c r="T573"/>
      <c r="V573" s="77"/>
      <c r="W573" s="77"/>
      <c r="X573" s="77"/>
      <c r="Z573" s="81"/>
    </row>
    <row r="574" spans="9:26" x14ac:dyDescent="0.25">
      <c r="I574" s="46"/>
      <c r="J574" s="46"/>
      <c r="K574" s="46"/>
      <c r="M574" s="31"/>
      <c r="V574" s="77"/>
      <c r="W574" s="77"/>
      <c r="X574" s="77"/>
      <c r="Z574" s="79"/>
    </row>
    <row r="575" spans="9:26" x14ac:dyDescent="0.25">
      <c r="I575" s="46"/>
      <c r="J575" s="46"/>
      <c r="K575" s="46"/>
      <c r="M575" s="30"/>
      <c r="V575" s="77"/>
      <c r="W575" s="77"/>
      <c r="X575" s="77"/>
      <c r="Z575" s="78"/>
    </row>
    <row r="576" spans="9:26" x14ac:dyDescent="0.25">
      <c r="I576" s="46"/>
      <c r="J576" s="46"/>
      <c r="K576" s="46"/>
      <c r="M576" s="34"/>
      <c r="V576" s="77"/>
      <c r="W576" s="77"/>
      <c r="X576" s="77"/>
      <c r="Z576" s="81"/>
    </row>
    <row r="577" spans="9:26" x14ac:dyDescent="0.25">
      <c r="I577" s="46"/>
      <c r="J577" s="46"/>
      <c r="K577" s="46"/>
      <c r="M577" s="31"/>
      <c r="V577" s="77"/>
      <c r="W577" s="77"/>
      <c r="X577" s="77"/>
      <c r="Z577" s="79"/>
    </row>
    <row r="578" spans="9:26" x14ac:dyDescent="0.25">
      <c r="I578" s="46"/>
      <c r="J578" s="46"/>
      <c r="K578" s="46"/>
      <c r="M578" s="34"/>
      <c r="V578" s="77"/>
      <c r="W578" s="77"/>
      <c r="X578" s="77"/>
      <c r="Z578" s="81"/>
    </row>
    <row r="579" spans="9:26" x14ac:dyDescent="0.25">
      <c r="I579" s="46"/>
      <c r="J579" s="46"/>
      <c r="K579" s="46"/>
      <c r="M579" s="34"/>
      <c r="V579" s="77"/>
      <c r="W579" s="77"/>
      <c r="X579" s="77"/>
      <c r="Z579" s="81"/>
    </row>
    <row r="580" spans="9:26" x14ac:dyDescent="0.25">
      <c r="I580" s="46"/>
      <c r="J580" s="46"/>
      <c r="K580" s="46"/>
      <c r="M580" s="31"/>
      <c r="V580" s="77"/>
      <c r="W580" s="77"/>
      <c r="X580" s="77"/>
      <c r="Z580" s="79"/>
    </row>
    <row r="581" spans="9:26" x14ac:dyDescent="0.25">
      <c r="I581" s="46"/>
      <c r="J581" s="46"/>
      <c r="K581" s="46"/>
      <c r="M581" s="34"/>
      <c r="V581" s="77"/>
      <c r="W581" s="77"/>
      <c r="X581" s="77"/>
      <c r="Z581" s="81"/>
    </row>
    <row r="582" spans="9:26" x14ac:dyDescent="0.25">
      <c r="I582" s="46"/>
      <c r="J582" s="46"/>
      <c r="K582" s="46"/>
      <c r="M582" s="30"/>
      <c r="V582" s="77"/>
      <c r="W582" s="77"/>
      <c r="X582" s="77"/>
      <c r="Z582" s="78"/>
    </row>
    <row r="583" spans="9:26" x14ac:dyDescent="0.25">
      <c r="I583" s="46"/>
      <c r="J583" s="46"/>
      <c r="K583" s="46"/>
      <c r="M583" s="31"/>
      <c r="V583" s="77"/>
      <c r="W583" s="77"/>
      <c r="X583" s="77"/>
      <c r="Z583" s="79"/>
    </row>
    <row r="584" spans="9:26" x14ac:dyDescent="0.25">
      <c r="I584" s="46"/>
      <c r="J584" s="46"/>
      <c r="K584" s="46"/>
      <c r="M584" s="34"/>
      <c r="V584" s="77"/>
      <c r="W584" s="77"/>
      <c r="X584" s="77"/>
      <c r="Z584" s="81"/>
    </row>
    <row r="585" spans="9:26" x14ac:dyDescent="0.25">
      <c r="I585" s="46"/>
      <c r="J585" s="46"/>
      <c r="K585" s="46"/>
      <c r="M585" s="34"/>
      <c r="V585" s="77"/>
      <c r="W585" s="77"/>
      <c r="X585" s="77"/>
      <c r="Z585" s="81"/>
    </row>
    <row r="586" spans="9:26" x14ac:dyDescent="0.25">
      <c r="I586" s="46"/>
      <c r="J586" s="46"/>
      <c r="K586" s="46"/>
      <c r="M586" s="31"/>
      <c r="V586" s="77"/>
      <c r="W586" s="77"/>
      <c r="X586" s="77"/>
      <c r="Z586" s="79"/>
    </row>
    <row r="587" spans="9:26" x14ac:dyDescent="0.25">
      <c r="I587" s="46"/>
      <c r="J587" s="46"/>
      <c r="K587" s="46"/>
      <c r="M587" s="34"/>
      <c r="V587" s="77"/>
      <c r="W587" s="77"/>
      <c r="X587" s="77"/>
      <c r="Z587" s="81"/>
    </row>
    <row r="588" spans="9:26" x14ac:dyDescent="0.25">
      <c r="I588" s="46"/>
      <c r="J588" s="46"/>
      <c r="K588" s="46"/>
      <c r="M588" s="34"/>
      <c r="V588" s="77"/>
      <c r="W588" s="77"/>
      <c r="X588" s="77"/>
      <c r="Z588" s="81"/>
    </row>
    <row r="589" spans="9:26" x14ac:dyDescent="0.25">
      <c r="I589" s="46"/>
      <c r="J589" s="46"/>
      <c r="K589" s="46"/>
      <c r="M589" s="30"/>
      <c r="V589" s="77"/>
      <c r="W589" s="77"/>
      <c r="X589" s="77"/>
      <c r="Z589" s="78"/>
    </row>
    <row r="590" spans="9:26" x14ac:dyDescent="0.25">
      <c r="I590" s="46"/>
      <c r="J590" s="46"/>
      <c r="K590" s="46"/>
      <c r="M590" s="31"/>
      <c r="V590" s="77"/>
      <c r="W590" s="77"/>
      <c r="X590" s="77"/>
      <c r="Z590" s="79"/>
    </row>
    <row r="591" spans="9:26" x14ac:dyDescent="0.25">
      <c r="I591" s="46"/>
      <c r="J591" s="46"/>
      <c r="K591" s="46"/>
      <c r="M591" s="34"/>
      <c r="V591" s="77"/>
      <c r="W591" s="77"/>
      <c r="X591" s="77"/>
      <c r="Z591" s="81"/>
    </row>
    <row r="592" spans="9:26" x14ac:dyDescent="0.25">
      <c r="I592" s="46"/>
      <c r="J592" s="46"/>
      <c r="K592" s="46"/>
      <c r="L592" s="67"/>
      <c r="M592" s="34"/>
      <c r="V592" s="77"/>
      <c r="W592" s="77"/>
      <c r="X592" s="77"/>
      <c r="Z592" s="81"/>
    </row>
    <row r="593" spans="9:34" x14ac:dyDescent="0.25">
      <c r="I593" s="46"/>
      <c r="J593" s="46"/>
      <c r="K593" s="46"/>
      <c r="M593" s="31"/>
      <c r="V593" s="77"/>
      <c r="W593" s="77"/>
      <c r="X593" s="77"/>
      <c r="Z593" s="79"/>
    </row>
    <row r="594" spans="9:34" x14ac:dyDescent="0.25">
      <c r="I594" s="46"/>
      <c r="J594" s="46"/>
      <c r="K594" s="46"/>
      <c r="M594" s="34"/>
      <c r="V594" s="77"/>
      <c r="W594" s="77"/>
      <c r="X594" s="77"/>
      <c r="Z594" s="81"/>
    </row>
    <row r="595" spans="9:34" x14ac:dyDescent="0.25">
      <c r="I595" s="46"/>
      <c r="J595" s="46"/>
      <c r="K595" s="46"/>
      <c r="M595" s="31"/>
      <c r="V595" s="77"/>
      <c r="W595" s="77"/>
      <c r="X595" s="77"/>
      <c r="Z595" s="79"/>
    </row>
    <row r="596" spans="9:34" x14ac:dyDescent="0.25">
      <c r="I596" s="46"/>
      <c r="J596" s="46"/>
      <c r="K596" s="46"/>
      <c r="M596" s="35"/>
      <c r="V596" s="77"/>
      <c r="W596" s="77"/>
      <c r="X596" s="77"/>
      <c r="Y596" s="82"/>
      <c r="Z596" s="82"/>
    </row>
    <row r="597" spans="9:34" x14ac:dyDescent="0.25">
      <c r="I597" s="46"/>
      <c r="J597" s="46"/>
      <c r="K597" s="46"/>
      <c r="M597" s="34"/>
      <c r="V597" s="77"/>
      <c r="W597" s="77"/>
      <c r="X597" s="77"/>
      <c r="Z597" s="81"/>
    </row>
    <row r="598" spans="9:34" x14ac:dyDescent="0.25">
      <c r="I598" s="46"/>
      <c r="J598" s="46"/>
      <c r="K598" s="46"/>
      <c r="M598" s="31"/>
      <c r="V598" s="77"/>
      <c r="W598" s="77"/>
      <c r="X598" s="77"/>
      <c r="Z598" s="79"/>
    </row>
    <row r="599" spans="9:34" x14ac:dyDescent="0.25">
      <c r="I599" s="46"/>
      <c r="J599" s="46"/>
      <c r="K599" s="46"/>
      <c r="M599" s="34"/>
      <c r="V599" s="77"/>
      <c r="W599" s="77"/>
      <c r="X599" s="77"/>
      <c r="Z599" s="81"/>
    </row>
    <row r="600" spans="9:34" x14ac:dyDescent="0.25">
      <c r="I600" s="46"/>
      <c r="J600" s="46"/>
      <c r="K600" s="46"/>
      <c r="M600" s="34"/>
      <c r="V600" s="77"/>
      <c r="W600" s="77"/>
      <c r="X600" s="77"/>
      <c r="Z600" s="81"/>
    </row>
    <row r="601" spans="9:34" x14ac:dyDescent="0.25">
      <c r="I601" s="46"/>
      <c r="J601" s="46"/>
      <c r="K601" s="46"/>
      <c r="M601" s="31"/>
      <c r="V601" s="77"/>
      <c r="W601" s="77"/>
      <c r="X601" s="77"/>
      <c r="Z601" s="79"/>
    </row>
    <row r="602" spans="9:34" x14ac:dyDescent="0.25">
      <c r="I602" s="46"/>
      <c r="J602" s="46"/>
      <c r="K602" s="46"/>
      <c r="M602" s="30"/>
      <c r="V602" s="77"/>
      <c r="W602" s="77"/>
      <c r="X602" s="77"/>
      <c r="Z602" s="78"/>
    </row>
    <row r="603" spans="9:34" x14ac:dyDescent="0.25">
      <c r="I603" s="46"/>
      <c r="J603" s="46"/>
      <c r="K603" s="46"/>
      <c r="M603" s="34"/>
      <c r="V603" s="77"/>
      <c r="W603" s="77"/>
      <c r="X603" s="77"/>
      <c r="Z603" s="81"/>
    </row>
    <row r="604" spans="9:34" x14ac:dyDescent="0.25">
      <c r="I604" s="46"/>
      <c r="J604" s="46"/>
      <c r="K604" s="46"/>
      <c r="M604" s="34"/>
      <c r="V604" s="77"/>
      <c r="W604" s="77"/>
      <c r="X604" s="77"/>
      <c r="Z604" s="81"/>
      <c r="AH604" s="82"/>
    </row>
    <row r="605" spans="9:34" x14ac:dyDescent="0.25">
      <c r="I605" s="46"/>
      <c r="J605" s="46"/>
      <c r="K605" s="46"/>
      <c r="M605" s="31"/>
      <c r="V605" s="77"/>
      <c r="W605" s="77"/>
      <c r="X605" s="77"/>
      <c r="Z605" s="79"/>
    </row>
    <row r="606" spans="9:34" x14ac:dyDescent="0.25">
      <c r="I606" s="46"/>
      <c r="J606" s="46"/>
      <c r="K606" s="46"/>
      <c r="M606" s="34"/>
      <c r="V606" s="77"/>
      <c r="W606" s="77"/>
      <c r="X606" s="77"/>
      <c r="Z606" s="81"/>
    </row>
    <row r="607" spans="9:34" x14ac:dyDescent="0.25">
      <c r="I607" s="46"/>
      <c r="J607" s="46"/>
      <c r="K607" s="46"/>
      <c r="M607" s="34"/>
      <c r="V607" s="77"/>
      <c r="W607" s="77"/>
      <c r="X607" s="77"/>
      <c r="Z607" s="81"/>
    </row>
    <row r="608" spans="9:34" x14ac:dyDescent="0.25">
      <c r="I608" s="46"/>
      <c r="J608" s="46"/>
      <c r="K608" s="46"/>
      <c r="M608" s="31"/>
      <c r="V608" s="77"/>
      <c r="W608" s="77"/>
      <c r="X608" s="77"/>
      <c r="Z608" s="79"/>
    </row>
    <row r="609" spans="9:26" x14ac:dyDescent="0.25">
      <c r="I609" s="46"/>
      <c r="J609" s="46"/>
      <c r="K609" s="46"/>
      <c r="M609" s="34"/>
      <c r="V609" s="77"/>
      <c r="W609" s="77"/>
      <c r="X609" s="77"/>
      <c r="Z609" s="81"/>
    </row>
    <row r="610" spans="9:26" x14ac:dyDescent="0.25">
      <c r="I610" s="46"/>
      <c r="J610" s="46"/>
      <c r="K610" s="46"/>
      <c r="M610" s="30"/>
      <c r="V610" s="77"/>
      <c r="W610" s="77"/>
      <c r="X610" s="77"/>
      <c r="Z610" s="78"/>
    </row>
    <row r="611" spans="9:26" x14ac:dyDescent="0.25">
      <c r="I611" s="46"/>
      <c r="J611" s="46"/>
      <c r="K611" s="46"/>
      <c r="M611" s="34"/>
      <c r="V611" s="77"/>
      <c r="W611" s="77"/>
      <c r="X611" s="77"/>
      <c r="Z611" s="81"/>
    </row>
    <row r="612" spans="9:26" x14ac:dyDescent="0.25">
      <c r="I612" s="46"/>
      <c r="J612" s="46"/>
      <c r="K612" s="46"/>
      <c r="M612" s="31"/>
      <c r="V612" s="77"/>
      <c r="W612" s="77"/>
      <c r="X612" s="77"/>
      <c r="Z612" s="79"/>
    </row>
    <row r="613" spans="9:26" x14ac:dyDescent="0.25">
      <c r="I613" s="46"/>
      <c r="J613" s="46"/>
      <c r="K613" s="46"/>
      <c r="M613" s="34"/>
      <c r="V613" s="77"/>
      <c r="W613" s="77"/>
      <c r="X613" s="77"/>
      <c r="Z613" s="81"/>
    </row>
    <row r="614" spans="9:26" x14ac:dyDescent="0.25">
      <c r="I614" s="46"/>
      <c r="J614" s="46"/>
      <c r="K614" s="46"/>
      <c r="M614" s="34"/>
      <c r="V614" s="77"/>
      <c r="W614" s="77"/>
      <c r="X614" s="77"/>
      <c r="Z614" s="81"/>
    </row>
    <row r="615" spans="9:26" x14ac:dyDescent="0.25">
      <c r="I615" s="46"/>
      <c r="J615" s="46"/>
      <c r="K615" s="46"/>
      <c r="M615" s="31"/>
      <c r="V615" s="77"/>
      <c r="W615" s="77"/>
      <c r="X615" s="77"/>
      <c r="Z615" s="79"/>
    </row>
    <row r="616" spans="9:26" x14ac:dyDescent="0.25">
      <c r="I616" s="46"/>
      <c r="J616" s="46"/>
      <c r="K616" s="46"/>
      <c r="M616" s="34"/>
      <c r="V616" s="77"/>
      <c r="W616" s="77"/>
      <c r="X616" s="77"/>
      <c r="Z616" s="81"/>
    </row>
    <row r="617" spans="9:26" x14ac:dyDescent="0.25">
      <c r="I617" s="46"/>
      <c r="J617" s="46"/>
      <c r="K617" s="46"/>
      <c r="M617" s="30"/>
      <c r="V617" s="77"/>
      <c r="W617" s="77"/>
      <c r="X617" s="77"/>
      <c r="Z617" s="78"/>
    </row>
    <row r="618" spans="9:26" x14ac:dyDescent="0.25">
      <c r="I618" s="46"/>
      <c r="J618" s="46"/>
      <c r="K618" s="46"/>
      <c r="M618" s="34"/>
      <c r="V618" s="77"/>
      <c r="W618" s="77"/>
      <c r="X618" s="77"/>
      <c r="Z618" s="81"/>
    </row>
    <row r="619" spans="9:26" x14ac:dyDescent="0.25">
      <c r="I619" s="46"/>
      <c r="J619" s="46"/>
      <c r="K619" s="46"/>
      <c r="M619" s="31"/>
      <c r="V619" s="77"/>
      <c r="W619" s="77"/>
      <c r="X619" s="77"/>
      <c r="Z619" s="79"/>
    </row>
    <row r="620" spans="9:26" x14ac:dyDescent="0.25">
      <c r="I620" s="46"/>
      <c r="J620" s="46"/>
      <c r="K620" s="46"/>
      <c r="M620" s="34"/>
      <c r="V620" s="77"/>
      <c r="W620" s="77"/>
      <c r="X620" s="77"/>
      <c r="Z620" s="81"/>
    </row>
    <row r="621" spans="9:26" x14ac:dyDescent="0.25">
      <c r="I621" s="46"/>
      <c r="J621" s="46"/>
      <c r="K621" s="46"/>
      <c r="M621" s="34"/>
      <c r="V621" s="77"/>
      <c r="W621" s="77"/>
      <c r="X621" s="77"/>
      <c r="Z621" s="81"/>
    </row>
    <row r="622" spans="9:26" x14ac:dyDescent="0.25">
      <c r="I622" s="46"/>
      <c r="J622" s="46"/>
      <c r="K622" s="46"/>
      <c r="M622" s="31"/>
      <c r="V622" s="77"/>
      <c r="W622" s="77"/>
      <c r="X622" s="77"/>
      <c r="Z622" s="79"/>
    </row>
    <row r="623" spans="9:26" x14ac:dyDescent="0.25">
      <c r="I623" s="46"/>
      <c r="J623" s="46"/>
      <c r="K623" s="46"/>
      <c r="M623" s="34"/>
      <c r="U623" s="82"/>
      <c r="V623" s="77"/>
      <c r="W623" s="77"/>
      <c r="X623" s="77"/>
      <c r="Z623" s="81"/>
    </row>
    <row r="624" spans="9:26" x14ac:dyDescent="0.25">
      <c r="I624" s="46"/>
      <c r="J624" s="46"/>
      <c r="K624" s="46"/>
      <c r="M624" s="30"/>
      <c r="V624" s="77"/>
      <c r="W624" s="77"/>
      <c r="X624" s="77"/>
      <c r="Z624" s="78"/>
    </row>
    <row r="625" spans="9:26" x14ac:dyDescent="0.25">
      <c r="I625" s="46"/>
      <c r="J625" s="46"/>
      <c r="K625" s="46"/>
      <c r="M625" s="34"/>
      <c r="V625" s="77"/>
      <c r="W625" s="77"/>
      <c r="X625" s="77"/>
      <c r="Z625" s="81"/>
    </row>
    <row r="626" spans="9:26" x14ac:dyDescent="0.25">
      <c r="I626" s="46"/>
      <c r="J626" s="46"/>
      <c r="K626" s="46"/>
      <c r="M626" s="31"/>
      <c r="V626" s="77"/>
      <c r="W626" s="77"/>
      <c r="X626" s="77"/>
      <c r="Z626" s="79"/>
    </row>
    <row r="627" spans="9:26" x14ac:dyDescent="0.25">
      <c r="I627" s="46"/>
      <c r="J627" s="46"/>
      <c r="K627" s="46"/>
      <c r="M627" s="34"/>
      <c r="V627" s="77"/>
      <c r="W627" s="77"/>
      <c r="X627" s="77"/>
      <c r="Z627" s="81"/>
    </row>
    <row r="628" spans="9:26" x14ac:dyDescent="0.25">
      <c r="I628" s="46"/>
      <c r="J628" s="46"/>
      <c r="K628" s="46"/>
      <c r="M628" s="34"/>
      <c r="V628" s="77"/>
      <c r="W628" s="77"/>
      <c r="X628" s="77"/>
      <c r="Z628" s="81"/>
    </row>
    <row r="629" spans="9:26" x14ac:dyDescent="0.25">
      <c r="I629" s="46"/>
      <c r="J629" s="46"/>
      <c r="K629" s="46"/>
      <c r="M629" s="31"/>
      <c r="V629" s="77"/>
      <c r="W629" s="77"/>
      <c r="X629" s="77"/>
      <c r="Z629" s="79"/>
    </row>
    <row r="630" spans="9:26" x14ac:dyDescent="0.25">
      <c r="I630" s="46"/>
      <c r="J630" s="46"/>
      <c r="K630" s="46"/>
      <c r="M630" s="34"/>
      <c r="V630" s="77"/>
      <c r="W630" s="77"/>
      <c r="X630" s="77"/>
      <c r="Z630" s="81"/>
    </row>
    <row r="631" spans="9:26" x14ac:dyDescent="0.25">
      <c r="I631" s="46"/>
      <c r="J631" s="46"/>
      <c r="K631" s="46"/>
      <c r="M631" s="30"/>
      <c r="V631" s="77"/>
      <c r="W631" s="77"/>
      <c r="X631" s="77"/>
      <c r="Z631" s="78"/>
    </row>
    <row r="632" spans="9:26" x14ac:dyDescent="0.25">
      <c r="I632" s="46"/>
      <c r="J632" s="46"/>
      <c r="K632" s="46"/>
      <c r="M632" s="31"/>
      <c r="V632" s="77"/>
      <c r="W632" s="77"/>
      <c r="X632" s="77"/>
      <c r="Z632" s="79"/>
    </row>
    <row r="633" spans="9:26" x14ac:dyDescent="0.25">
      <c r="I633" s="46"/>
      <c r="J633" s="46"/>
      <c r="K633" s="46"/>
      <c r="M633" s="34"/>
      <c r="V633" s="77"/>
      <c r="W633" s="77"/>
      <c r="X633" s="77"/>
      <c r="Z633" s="81"/>
    </row>
    <row r="634" spans="9:26" x14ac:dyDescent="0.25">
      <c r="I634" s="46"/>
      <c r="J634" s="46"/>
      <c r="K634" s="46"/>
      <c r="M634" s="34"/>
      <c r="V634" s="77"/>
      <c r="W634" s="77"/>
      <c r="X634" s="77"/>
      <c r="Z634" s="81"/>
    </row>
    <row r="635" spans="9:26" x14ac:dyDescent="0.25">
      <c r="I635" s="46"/>
      <c r="J635" s="46"/>
      <c r="K635" s="46"/>
      <c r="M635" s="31"/>
      <c r="V635" s="77"/>
      <c r="W635" s="77"/>
      <c r="X635" s="77"/>
      <c r="Z635" s="79"/>
    </row>
    <row r="636" spans="9:26" x14ac:dyDescent="0.25">
      <c r="I636" s="46"/>
      <c r="J636" s="46"/>
      <c r="K636" s="46"/>
      <c r="M636" s="34"/>
      <c r="V636" s="77"/>
      <c r="W636" s="77"/>
      <c r="X636" s="77"/>
      <c r="Z636" s="81"/>
    </row>
    <row r="637" spans="9:26" x14ac:dyDescent="0.25">
      <c r="I637" s="46"/>
      <c r="J637" s="46"/>
      <c r="K637" s="46"/>
      <c r="M637" s="34"/>
      <c r="V637" s="77"/>
      <c r="W637" s="77"/>
      <c r="X637" s="77"/>
      <c r="Z637" s="81"/>
    </row>
    <row r="638" spans="9:26" x14ac:dyDescent="0.25">
      <c r="I638" s="46"/>
      <c r="J638" s="46"/>
      <c r="K638" s="46"/>
      <c r="M638" s="33"/>
      <c r="V638" s="77"/>
      <c r="W638" s="77"/>
      <c r="X638" s="77"/>
      <c r="Z638" s="80"/>
    </row>
    <row r="639" spans="9:26" x14ac:dyDescent="0.25">
      <c r="I639" s="46"/>
      <c r="J639" s="46"/>
      <c r="K639" s="46"/>
      <c r="M639" s="31"/>
      <c r="V639" s="77"/>
      <c r="W639" s="77"/>
      <c r="X639" s="77"/>
      <c r="Z639" s="79"/>
    </row>
    <row r="640" spans="9:26" x14ac:dyDescent="0.25">
      <c r="I640" s="46"/>
      <c r="J640" s="46"/>
      <c r="K640" s="46"/>
      <c r="M640" s="34"/>
      <c r="V640" s="77"/>
      <c r="W640" s="77"/>
      <c r="X640" s="77"/>
      <c r="Z640" s="81"/>
    </row>
    <row r="641" spans="9:26" x14ac:dyDescent="0.25">
      <c r="I641" s="46"/>
      <c r="J641" s="46"/>
      <c r="K641" s="46"/>
      <c r="M641" s="34"/>
      <c r="V641" s="77"/>
      <c r="W641" s="77"/>
      <c r="X641" s="77"/>
      <c r="Z641" s="81"/>
    </row>
    <row r="642" spans="9:26" x14ac:dyDescent="0.25">
      <c r="I642" s="46"/>
      <c r="J642" s="46"/>
      <c r="K642" s="46"/>
      <c r="M642" s="31"/>
      <c r="V642" s="77"/>
      <c r="W642" s="77"/>
      <c r="X642" s="77"/>
      <c r="Z642" s="79"/>
    </row>
    <row r="643" spans="9:26" x14ac:dyDescent="0.25">
      <c r="I643" s="46"/>
      <c r="J643" s="46"/>
      <c r="K643" s="46"/>
      <c r="M643" s="34"/>
      <c r="V643" s="77"/>
      <c r="W643" s="77"/>
      <c r="X643" s="77"/>
      <c r="Z643" s="81"/>
    </row>
    <row r="644" spans="9:26" x14ac:dyDescent="0.25">
      <c r="I644" s="46"/>
      <c r="J644" s="46"/>
      <c r="K644" s="46"/>
      <c r="M644" s="34"/>
      <c r="V644" s="77"/>
      <c r="W644" s="77"/>
      <c r="X644" s="77"/>
      <c r="Z644" s="81"/>
    </row>
    <row r="645" spans="9:26" x14ac:dyDescent="0.25">
      <c r="I645" s="46"/>
      <c r="J645" s="46"/>
      <c r="K645" s="46"/>
      <c r="M645" s="31"/>
      <c r="V645" s="77"/>
      <c r="W645" s="77"/>
      <c r="X645" s="77"/>
      <c r="Z645" s="79"/>
    </row>
    <row r="646" spans="9:26" x14ac:dyDescent="0.25">
      <c r="I646" s="46"/>
      <c r="J646" s="46"/>
      <c r="K646" s="46"/>
      <c r="M646" s="34"/>
      <c r="V646" s="77"/>
      <c r="W646" s="77"/>
      <c r="X646" s="77"/>
      <c r="Z646" s="81"/>
    </row>
    <row r="647" spans="9:26" x14ac:dyDescent="0.25">
      <c r="I647" s="46"/>
      <c r="J647" s="46"/>
      <c r="K647" s="46"/>
      <c r="M647" s="34"/>
      <c r="V647" s="77"/>
      <c r="W647" s="77"/>
      <c r="X647" s="77"/>
      <c r="Z647" s="81"/>
    </row>
    <row r="648" spans="9:26" x14ac:dyDescent="0.25">
      <c r="I648" s="46"/>
      <c r="J648" s="46"/>
      <c r="K648" s="46"/>
      <c r="M648" s="31"/>
      <c r="V648" s="77"/>
      <c r="W648" s="77"/>
      <c r="X648" s="77"/>
      <c r="Z648" s="79"/>
    </row>
    <row r="649" spans="9:26" x14ac:dyDescent="0.25">
      <c r="I649" s="46"/>
      <c r="J649" s="46"/>
      <c r="K649" s="46"/>
      <c r="M649" s="34"/>
      <c r="V649" s="77"/>
      <c r="W649" s="77"/>
      <c r="X649" s="77"/>
      <c r="Z649" s="81"/>
    </row>
    <row r="650" spans="9:26" x14ac:dyDescent="0.25">
      <c r="I650" s="46"/>
      <c r="J650" s="46"/>
      <c r="K650" s="46"/>
      <c r="M650" s="34"/>
      <c r="V650" s="77"/>
      <c r="W650" s="77"/>
      <c r="X650" s="77"/>
      <c r="Z650" s="81"/>
    </row>
    <row r="651" spans="9:26" x14ac:dyDescent="0.25">
      <c r="I651" s="46"/>
      <c r="J651" s="46"/>
      <c r="K651" s="46"/>
      <c r="M651" s="31"/>
      <c r="V651" s="77"/>
      <c r="W651" s="77"/>
      <c r="X651" s="77"/>
      <c r="Z651" s="79"/>
    </row>
    <row r="652" spans="9:26" x14ac:dyDescent="0.25">
      <c r="I652" s="46"/>
      <c r="J652" s="46"/>
      <c r="K652" s="46"/>
      <c r="M652" s="34"/>
      <c r="V652" s="77"/>
      <c r="W652" s="77"/>
      <c r="X652" s="77"/>
      <c r="Z652" s="81"/>
    </row>
    <row r="653" spans="9:26" x14ac:dyDescent="0.25">
      <c r="I653" s="46"/>
      <c r="J653" s="46"/>
      <c r="K653" s="46"/>
      <c r="M653" s="34"/>
      <c r="V653" s="77"/>
      <c r="W653" s="77"/>
      <c r="X653" s="77"/>
      <c r="Z653" s="81"/>
    </row>
    <row r="654" spans="9:26" x14ac:dyDescent="0.25">
      <c r="I654" s="46"/>
      <c r="J654" s="46"/>
      <c r="K654" s="46"/>
      <c r="M654" s="31"/>
      <c r="V654" s="77"/>
      <c r="W654" s="77"/>
      <c r="X654" s="77"/>
      <c r="Z654" s="79"/>
    </row>
    <row r="655" spans="9:26" x14ac:dyDescent="0.25">
      <c r="I655" s="46"/>
      <c r="J655" s="46"/>
      <c r="K655" s="46"/>
      <c r="M655" s="34"/>
      <c r="V655" s="77"/>
      <c r="W655" s="77"/>
      <c r="X655" s="77"/>
      <c r="Z655" s="81"/>
    </row>
    <row r="656" spans="9:26" x14ac:dyDescent="0.25">
      <c r="I656" s="46"/>
      <c r="J656" s="46"/>
      <c r="K656" s="46"/>
      <c r="M656" s="34"/>
      <c r="V656" s="77"/>
      <c r="W656" s="77"/>
      <c r="X656" s="77"/>
      <c r="Z656" s="81"/>
    </row>
    <row r="657" spans="9:26" x14ac:dyDescent="0.25">
      <c r="I657" s="46"/>
      <c r="J657" s="46"/>
      <c r="K657" s="46"/>
      <c r="M657" s="31"/>
      <c r="V657" s="77"/>
      <c r="W657" s="77"/>
      <c r="X657" s="77"/>
      <c r="Z657" s="79"/>
    </row>
    <row r="658" spans="9:26" x14ac:dyDescent="0.25">
      <c r="I658" s="46"/>
      <c r="J658" s="46"/>
      <c r="K658" s="46"/>
      <c r="M658" s="34"/>
      <c r="V658" s="77"/>
      <c r="W658" s="77"/>
      <c r="X658" s="77"/>
      <c r="Z658" s="81"/>
    </row>
    <row r="659" spans="9:26" x14ac:dyDescent="0.25">
      <c r="I659" s="46"/>
      <c r="J659" s="46"/>
      <c r="K659" s="46"/>
      <c r="M659" s="34"/>
      <c r="V659" s="77"/>
      <c r="W659" s="77"/>
      <c r="X659" s="77"/>
      <c r="Z659" s="81"/>
    </row>
    <row r="660" spans="9:26" x14ac:dyDescent="0.25">
      <c r="I660" s="46"/>
      <c r="J660" s="46"/>
      <c r="K660" s="46"/>
      <c r="M660" s="31"/>
      <c r="V660" s="77"/>
      <c r="W660" s="77"/>
      <c r="X660" s="77"/>
      <c r="Z660" s="79"/>
    </row>
    <row r="661" spans="9:26" x14ac:dyDescent="0.25">
      <c r="I661" s="46"/>
      <c r="J661" s="46"/>
      <c r="K661" s="46"/>
      <c r="M661" s="34"/>
      <c r="V661" s="77"/>
      <c r="W661" s="77"/>
      <c r="X661" s="77"/>
      <c r="Z661" s="81"/>
    </row>
    <row r="662" spans="9:26" x14ac:dyDescent="0.25">
      <c r="I662" s="46"/>
      <c r="J662" s="46"/>
      <c r="K662" s="46"/>
      <c r="M662" s="34"/>
      <c r="V662" s="77"/>
      <c r="W662" s="77"/>
      <c r="X662" s="77"/>
      <c r="Z662" s="81"/>
    </row>
    <row r="663" spans="9:26" x14ac:dyDescent="0.25">
      <c r="I663" s="46"/>
      <c r="J663" s="46"/>
      <c r="K663" s="46"/>
      <c r="M663" s="31"/>
      <c r="V663" s="77"/>
      <c r="W663" s="77"/>
      <c r="X663" s="77"/>
      <c r="Z663" s="79"/>
    </row>
    <row r="664" spans="9:26" x14ac:dyDescent="0.25">
      <c r="I664" s="46"/>
      <c r="J664" s="46"/>
      <c r="K664" s="46"/>
      <c r="M664" s="34"/>
      <c r="V664" s="77"/>
      <c r="W664" s="77"/>
      <c r="X664" s="77"/>
      <c r="Z664" s="81"/>
    </row>
    <row r="665" spans="9:26" x14ac:dyDescent="0.25">
      <c r="I665" s="46"/>
      <c r="J665" s="46"/>
      <c r="K665" s="46"/>
      <c r="M665" s="30"/>
      <c r="V665" s="77"/>
      <c r="W665" s="77"/>
      <c r="X665" s="77"/>
      <c r="Z665" s="78"/>
    </row>
    <row r="666" spans="9:26" x14ac:dyDescent="0.25">
      <c r="I666" s="46"/>
      <c r="J666" s="46"/>
      <c r="K666" s="46"/>
      <c r="M666" s="34"/>
      <c r="V666" s="77"/>
      <c r="W666" s="77"/>
      <c r="X666" s="77"/>
      <c r="Z666" s="81"/>
    </row>
    <row r="667" spans="9:26" x14ac:dyDescent="0.25">
      <c r="I667" s="46"/>
      <c r="J667" s="46"/>
      <c r="K667" s="46"/>
      <c r="M667" s="31"/>
      <c r="V667" s="77"/>
      <c r="W667" s="77"/>
      <c r="X667" s="77"/>
      <c r="Z667" s="79"/>
    </row>
    <row r="668" spans="9:26" x14ac:dyDescent="0.25">
      <c r="I668" s="46"/>
      <c r="J668" s="46"/>
      <c r="K668" s="46"/>
      <c r="M668" s="34"/>
      <c r="V668" s="77"/>
      <c r="W668" s="77"/>
      <c r="X668" s="77"/>
      <c r="Z668" s="81"/>
    </row>
    <row r="669" spans="9:26" x14ac:dyDescent="0.25">
      <c r="I669" s="46"/>
      <c r="J669" s="46"/>
      <c r="K669" s="46"/>
      <c r="M669" s="34"/>
      <c r="V669" s="77"/>
      <c r="W669" s="77"/>
      <c r="X669" s="77"/>
      <c r="Z669" s="81"/>
    </row>
    <row r="670" spans="9:26" x14ac:dyDescent="0.25">
      <c r="I670" s="46"/>
      <c r="J670" s="46"/>
      <c r="K670" s="46"/>
      <c r="M670" s="31"/>
      <c r="V670" s="77"/>
      <c r="W670" s="77"/>
      <c r="X670" s="77"/>
      <c r="Z670" s="79"/>
    </row>
    <row r="671" spans="9:26" x14ac:dyDescent="0.25">
      <c r="I671" s="46"/>
      <c r="J671" s="46"/>
      <c r="K671" s="46"/>
      <c r="M671" s="34"/>
      <c r="V671" s="77"/>
      <c r="W671" s="77"/>
      <c r="X671" s="77"/>
      <c r="Z671" s="81"/>
    </row>
    <row r="672" spans="9:26" x14ac:dyDescent="0.25">
      <c r="I672" s="46"/>
      <c r="J672" s="46"/>
      <c r="K672" s="46"/>
      <c r="M672" s="34"/>
      <c r="V672" s="77"/>
      <c r="W672" s="77"/>
      <c r="X672" s="77"/>
      <c r="Z672" s="81"/>
    </row>
    <row r="673" spans="9:26" x14ac:dyDescent="0.25">
      <c r="I673" s="46"/>
      <c r="J673" s="46"/>
      <c r="K673" s="46"/>
      <c r="M673" s="31"/>
      <c r="V673" s="77"/>
      <c r="W673" s="77"/>
      <c r="X673" s="77"/>
      <c r="Z673" s="79"/>
    </row>
    <row r="674" spans="9:26" x14ac:dyDescent="0.25">
      <c r="I674" s="46"/>
      <c r="J674" s="46"/>
      <c r="K674" s="46"/>
      <c r="M674" s="34"/>
      <c r="V674" s="77"/>
      <c r="W674" s="77"/>
      <c r="X674" s="77"/>
      <c r="Z674" s="81"/>
    </row>
    <row r="675" spans="9:26" x14ac:dyDescent="0.25">
      <c r="I675" s="46"/>
      <c r="J675" s="46"/>
      <c r="K675" s="46"/>
      <c r="M675" s="34"/>
      <c r="V675" s="77"/>
      <c r="W675" s="77"/>
      <c r="X675" s="77"/>
      <c r="Z675" s="81"/>
    </row>
    <row r="676" spans="9:26" x14ac:dyDescent="0.25">
      <c r="I676" s="46"/>
      <c r="J676" s="46"/>
      <c r="K676" s="46"/>
      <c r="M676" s="31"/>
      <c r="V676" s="77"/>
      <c r="W676" s="77"/>
      <c r="X676" s="77"/>
      <c r="Z676" s="79"/>
    </row>
    <row r="677" spans="9:26" x14ac:dyDescent="0.25">
      <c r="I677" s="46"/>
      <c r="J677" s="46"/>
      <c r="K677" s="46"/>
      <c r="M677" s="34"/>
      <c r="V677" s="77"/>
      <c r="W677" s="77"/>
      <c r="X677" s="77"/>
      <c r="Z677" s="81"/>
    </row>
    <row r="678" spans="9:26" x14ac:dyDescent="0.25">
      <c r="I678" s="46"/>
      <c r="J678" s="46"/>
      <c r="K678" s="46"/>
      <c r="M678" s="34"/>
      <c r="V678" s="77"/>
      <c r="W678" s="77"/>
      <c r="X678" s="77"/>
      <c r="Z678" s="81"/>
    </row>
    <row r="679" spans="9:26" x14ac:dyDescent="0.25">
      <c r="I679" s="46"/>
      <c r="J679" s="46"/>
      <c r="K679" s="46"/>
      <c r="M679" s="31"/>
      <c r="V679" s="77"/>
      <c r="W679" s="77"/>
      <c r="X679" s="77"/>
      <c r="Z679" s="79"/>
    </row>
    <row r="680" spans="9:26" x14ac:dyDescent="0.25">
      <c r="I680" s="46"/>
      <c r="J680" s="46"/>
      <c r="K680" s="46"/>
      <c r="M680" s="34"/>
      <c r="V680" s="77"/>
      <c r="W680" s="77"/>
      <c r="X680" s="77"/>
      <c r="Z680" s="81"/>
    </row>
    <row r="681" spans="9:26" x14ac:dyDescent="0.25">
      <c r="I681" s="46"/>
      <c r="J681" s="46"/>
      <c r="K681" s="46"/>
      <c r="M681" s="34"/>
      <c r="V681" s="77"/>
      <c r="W681" s="77"/>
      <c r="X681" s="77"/>
      <c r="Z681" s="81"/>
    </row>
    <row r="682" spans="9:26" x14ac:dyDescent="0.25">
      <c r="I682" s="46"/>
      <c r="J682" s="46"/>
      <c r="K682" s="46"/>
      <c r="M682" s="31"/>
      <c r="V682" s="77"/>
      <c r="W682" s="77"/>
      <c r="X682" s="77"/>
      <c r="Z682" s="79"/>
    </row>
    <row r="683" spans="9:26" x14ac:dyDescent="0.25">
      <c r="I683" s="46"/>
      <c r="J683" s="46"/>
      <c r="K683" s="46"/>
      <c r="M683" s="34"/>
      <c r="V683" s="77"/>
      <c r="W683" s="77"/>
      <c r="X683" s="77"/>
      <c r="Z683" s="81"/>
    </row>
    <row r="684" spans="9:26" x14ac:dyDescent="0.25">
      <c r="I684" s="46"/>
      <c r="J684" s="46"/>
      <c r="K684" s="46"/>
      <c r="M684" s="34"/>
      <c r="V684" s="77"/>
      <c r="W684" s="77"/>
      <c r="X684" s="77"/>
      <c r="Z684" s="81"/>
    </row>
    <row r="685" spans="9:26" x14ac:dyDescent="0.25">
      <c r="I685" s="46"/>
      <c r="J685" s="46"/>
      <c r="K685" s="46"/>
      <c r="M685" s="31"/>
      <c r="V685" s="77"/>
      <c r="W685" s="77"/>
      <c r="X685" s="77"/>
      <c r="Z685" s="79"/>
    </row>
    <row r="686" spans="9:26" x14ac:dyDescent="0.25">
      <c r="I686" s="46"/>
      <c r="J686" s="46"/>
      <c r="K686" s="46"/>
      <c r="M686" s="34"/>
      <c r="V686" s="77"/>
      <c r="W686" s="77"/>
      <c r="X686" s="77"/>
      <c r="Z686" s="81"/>
    </row>
    <row r="687" spans="9:26" x14ac:dyDescent="0.25">
      <c r="I687" s="46"/>
      <c r="J687" s="46"/>
      <c r="K687" s="46"/>
      <c r="M687" s="34"/>
      <c r="V687" s="77"/>
      <c r="W687" s="77"/>
      <c r="X687" s="77"/>
      <c r="Z687" s="81"/>
    </row>
    <row r="688" spans="9:26" x14ac:dyDescent="0.25">
      <c r="I688" s="46"/>
      <c r="J688" s="46"/>
      <c r="K688" s="46"/>
      <c r="M688" s="31"/>
      <c r="V688" s="77"/>
      <c r="W688" s="77"/>
      <c r="X688" s="77"/>
      <c r="Z688" s="79"/>
    </row>
    <row r="689" spans="9:26" x14ac:dyDescent="0.25">
      <c r="I689" s="46"/>
      <c r="J689" s="46"/>
      <c r="K689" s="46"/>
      <c r="M689" s="34"/>
      <c r="V689" s="77"/>
      <c r="W689" s="77"/>
      <c r="X689" s="77"/>
      <c r="Z689" s="81"/>
    </row>
    <row r="690" spans="9:26" x14ac:dyDescent="0.25">
      <c r="I690" s="46"/>
      <c r="J690" s="46"/>
      <c r="K690" s="46"/>
      <c r="M690" s="34"/>
      <c r="V690" s="77"/>
      <c r="W690" s="77"/>
      <c r="X690" s="77"/>
      <c r="Z690" s="81"/>
    </row>
    <row r="691" spans="9:26" x14ac:dyDescent="0.25">
      <c r="I691" s="46"/>
      <c r="J691" s="46"/>
      <c r="K691" s="46"/>
      <c r="M691" s="31"/>
      <c r="V691" s="77"/>
      <c r="W691" s="77"/>
      <c r="X691" s="77"/>
      <c r="Z691" s="79"/>
    </row>
    <row r="692" spans="9:26" x14ac:dyDescent="0.25">
      <c r="I692" s="46"/>
      <c r="J692" s="46"/>
      <c r="K692" s="46"/>
      <c r="M692" s="34"/>
      <c r="V692" s="77"/>
      <c r="W692" s="77"/>
      <c r="X692" s="77"/>
      <c r="Z692" s="81"/>
    </row>
    <row r="693" spans="9:26" x14ac:dyDescent="0.25">
      <c r="I693" s="46"/>
      <c r="J693" s="46"/>
      <c r="K693" s="46"/>
      <c r="M693" s="34"/>
      <c r="V693" s="77"/>
      <c r="W693" s="77"/>
      <c r="X693" s="77"/>
      <c r="Z693" s="81"/>
    </row>
    <row r="694" spans="9:26" x14ac:dyDescent="0.25">
      <c r="I694" s="46"/>
      <c r="J694" s="46"/>
      <c r="K694" s="46"/>
      <c r="M694" s="31"/>
      <c r="V694" s="77"/>
      <c r="W694" s="77"/>
      <c r="X694" s="77"/>
      <c r="Z694" s="79"/>
    </row>
    <row r="695" spans="9:26" x14ac:dyDescent="0.25">
      <c r="I695" s="46"/>
      <c r="J695" s="46"/>
      <c r="K695" s="46"/>
      <c r="M695" s="34"/>
      <c r="V695" s="77"/>
      <c r="W695" s="77"/>
      <c r="X695" s="77"/>
      <c r="Z695" s="81"/>
    </row>
    <row r="696" spans="9:26" x14ac:dyDescent="0.25">
      <c r="I696" s="46"/>
      <c r="J696" s="46"/>
      <c r="K696" s="46"/>
      <c r="M696" s="34"/>
      <c r="V696" s="77"/>
      <c r="W696" s="77"/>
      <c r="X696" s="77"/>
      <c r="Z696" s="81"/>
    </row>
    <row r="697" spans="9:26" x14ac:dyDescent="0.25">
      <c r="I697" s="46"/>
      <c r="J697" s="46"/>
      <c r="K697" s="46"/>
      <c r="M697" s="31"/>
      <c r="V697" s="77"/>
      <c r="W697" s="77"/>
      <c r="X697" s="77"/>
      <c r="Z697" s="79"/>
    </row>
    <row r="698" spans="9:26" x14ac:dyDescent="0.25">
      <c r="I698" s="46"/>
      <c r="J698" s="46"/>
      <c r="K698" s="46"/>
      <c r="M698" s="34"/>
      <c r="V698" s="77"/>
      <c r="W698" s="77"/>
      <c r="X698" s="77"/>
      <c r="Z698" s="81"/>
    </row>
    <row r="699" spans="9:26" x14ac:dyDescent="0.25">
      <c r="I699" s="46"/>
      <c r="J699" s="46"/>
      <c r="K699" s="46"/>
      <c r="M699" s="34"/>
      <c r="V699" s="77"/>
      <c r="W699" s="77"/>
      <c r="X699" s="77"/>
      <c r="Z699" s="81"/>
    </row>
    <row r="700" spans="9:26" x14ac:dyDescent="0.25">
      <c r="I700" s="46"/>
      <c r="J700" s="46"/>
      <c r="K700" s="46"/>
      <c r="M700" s="31"/>
      <c r="V700" s="77"/>
      <c r="W700" s="77"/>
      <c r="X700" s="77"/>
      <c r="Z700" s="79"/>
    </row>
    <row r="701" spans="9:26" x14ac:dyDescent="0.25">
      <c r="I701" s="46"/>
      <c r="J701" s="46"/>
      <c r="K701" s="46"/>
      <c r="M701" s="34"/>
      <c r="V701" s="77"/>
      <c r="W701" s="77"/>
      <c r="X701" s="77"/>
      <c r="Z701" s="81"/>
    </row>
    <row r="702" spans="9:26" x14ac:dyDescent="0.25">
      <c r="I702" s="46"/>
      <c r="J702" s="46"/>
      <c r="K702" s="46"/>
      <c r="M702" s="34"/>
      <c r="V702" s="77"/>
      <c r="W702" s="77"/>
      <c r="X702" s="77"/>
      <c r="Z702" s="81"/>
    </row>
    <row r="703" spans="9:26" x14ac:dyDescent="0.25">
      <c r="I703" s="46"/>
      <c r="J703" s="46"/>
      <c r="K703" s="46"/>
      <c r="M703" s="31"/>
      <c r="V703" s="77"/>
      <c r="W703" s="77"/>
      <c r="X703" s="77"/>
      <c r="Z703" s="79"/>
    </row>
    <row r="704" spans="9:26" x14ac:dyDescent="0.25">
      <c r="I704" s="46"/>
      <c r="J704" s="46"/>
      <c r="K704" s="46"/>
      <c r="M704" s="34"/>
      <c r="V704" s="77"/>
      <c r="W704" s="77"/>
      <c r="X704" s="77"/>
      <c r="Z704" s="81"/>
    </row>
    <row r="705" spans="9:26" x14ac:dyDescent="0.25">
      <c r="I705" s="46"/>
      <c r="J705" s="46"/>
      <c r="K705" s="46"/>
      <c r="M705" s="34"/>
      <c r="V705" s="77"/>
      <c r="W705" s="77"/>
      <c r="X705" s="77"/>
      <c r="Z705" s="81"/>
    </row>
    <row r="706" spans="9:26" x14ac:dyDescent="0.25">
      <c r="I706" s="46"/>
      <c r="J706" s="46"/>
      <c r="K706" s="46"/>
      <c r="M706" s="31"/>
      <c r="V706" s="77"/>
      <c r="W706" s="77"/>
      <c r="X706" s="77"/>
      <c r="Z706" s="79"/>
    </row>
    <row r="707" spans="9:26" x14ac:dyDescent="0.25">
      <c r="I707" s="46"/>
      <c r="J707" s="46"/>
      <c r="K707" s="46"/>
      <c r="M707" s="34"/>
      <c r="V707" s="77"/>
      <c r="W707" s="77"/>
      <c r="X707" s="77"/>
      <c r="Z707" s="81"/>
    </row>
    <row r="708" spans="9:26" x14ac:dyDescent="0.25">
      <c r="I708" s="46"/>
      <c r="J708" s="46"/>
      <c r="K708" s="46"/>
      <c r="M708" s="34"/>
      <c r="V708" s="77"/>
      <c r="W708" s="77"/>
      <c r="X708" s="77"/>
      <c r="Z708" s="81"/>
    </row>
    <row r="709" spans="9:26" x14ac:dyDescent="0.25">
      <c r="I709" s="46"/>
      <c r="J709" s="46"/>
      <c r="K709" s="46"/>
      <c r="M709" s="31"/>
      <c r="V709" s="77"/>
      <c r="W709" s="77"/>
      <c r="X709" s="77"/>
      <c r="Z709" s="79"/>
    </row>
    <row r="710" spans="9:26" x14ac:dyDescent="0.25">
      <c r="I710" s="46"/>
      <c r="J710" s="46"/>
      <c r="K710" s="46"/>
      <c r="M710" s="34"/>
      <c r="V710" s="77"/>
      <c r="W710" s="77"/>
      <c r="X710" s="77"/>
      <c r="Z710" s="81"/>
    </row>
    <row r="711" spans="9:26" x14ac:dyDescent="0.25">
      <c r="I711" s="46"/>
      <c r="J711" s="46"/>
      <c r="K711" s="46"/>
      <c r="M711" s="34"/>
      <c r="V711" s="77"/>
      <c r="W711" s="77"/>
      <c r="X711" s="77"/>
      <c r="Z711" s="81"/>
    </row>
    <row r="712" spans="9:26" x14ac:dyDescent="0.25">
      <c r="I712" s="46"/>
      <c r="J712" s="46"/>
      <c r="K712" s="46"/>
      <c r="M712" s="31"/>
      <c r="V712" s="77"/>
      <c r="W712" s="77"/>
      <c r="X712" s="77"/>
      <c r="Z712" s="79"/>
    </row>
    <row r="713" spans="9:26" x14ac:dyDescent="0.25">
      <c r="I713" s="46"/>
      <c r="J713" s="46"/>
      <c r="K713" s="46"/>
      <c r="M713" s="34"/>
      <c r="V713" s="77"/>
      <c r="W713" s="77"/>
      <c r="X713" s="77"/>
      <c r="Z713" s="81"/>
    </row>
    <row r="714" spans="9:26" x14ac:dyDescent="0.25">
      <c r="I714" s="46"/>
      <c r="J714" s="46"/>
      <c r="K714" s="46"/>
      <c r="M714" s="34"/>
      <c r="V714" s="77"/>
      <c r="W714" s="77"/>
      <c r="X714" s="77"/>
      <c r="Z714" s="81"/>
    </row>
    <row r="715" spans="9:26" x14ac:dyDescent="0.25">
      <c r="I715" s="46"/>
      <c r="J715" s="46"/>
      <c r="K715" s="46"/>
      <c r="M715" s="31"/>
      <c r="V715" s="77"/>
      <c r="W715" s="77"/>
      <c r="X715" s="77"/>
      <c r="Z715" s="79"/>
    </row>
    <row r="716" spans="9:26" x14ac:dyDescent="0.25">
      <c r="I716" s="46"/>
      <c r="J716" s="46"/>
      <c r="K716" s="46"/>
      <c r="M716" s="34"/>
      <c r="V716" s="77"/>
      <c r="W716" s="77"/>
      <c r="X716" s="77"/>
      <c r="Z716" s="81"/>
    </row>
    <row r="717" spans="9:26" x14ac:dyDescent="0.25">
      <c r="I717" s="46"/>
      <c r="J717" s="46"/>
      <c r="K717" s="46"/>
      <c r="M717" s="31"/>
      <c r="V717" s="77"/>
      <c r="W717" s="77"/>
      <c r="X717" s="77"/>
      <c r="Z717" s="79"/>
    </row>
    <row r="718" spans="9:26" x14ac:dyDescent="0.25">
      <c r="I718" s="46"/>
      <c r="J718" s="46"/>
      <c r="K718" s="46"/>
      <c r="M718" s="34"/>
      <c r="V718" s="77"/>
      <c r="W718" s="77"/>
      <c r="X718" s="77"/>
      <c r="Z718" s="81"/>
    </row>
    <row r="719" spans="9:26" x14ac:dyDescent="0.25">
      <c r="I719" s="46"/>
      <c r="J719" s="46"/>
      <c r="K719" s="46"/>
      <c r="M719" s="31"/>
      <c r="V719" s="77"/>
      <c r="W719" s="77"/>
      <c r="X719" s="77"/>
      <c r="Z719" s="79"/>
    </row>
    <row r="720" spans="9:26" x14ac:dyDescent="0.25">
      <c r="I720" s="46"/>
      <c r="J720" s="46"/>
      <c r="K720" s="46"/>
      <c r="M720" s="34"/>
      <c r="V720" s="77"/>
      <c r="W720" s="77"/>
      <c r="X720" s="77"/>
      <c r="Z720" s="81"/>
    </row>
    <row r="721" spans="9:26" x14ac:dyDescent="0.25">
      <c r="I721" s="46"/>
      <c r="J721" s="46"/>
      <c r="K721" s="46"/>
      <c r="M721" s="31"/>
      <c r="V721" s="77"/>
      <c r="W721" s="77"/>
      <c r="X721" s="77"/>
      <c r="Z721" s="79"/>
    </row>
    <row r="722" spans="9:26" x14ac:dyDescent="0.25">
      <c r="I722" s="46"/>
      <c r="J722" s="46"/>
      <c r="K722" s="46"/>
      <c r="M722" s="34"/>
      <c r="V722" s="77"/>
      <c r="W722" s="77"/>
      <c r="X722" s="77"/>
      <c r="Z722" s="81"/>
    </row>
    <row r="723" spans="9:26" x14ac:dyDescent="0.25">
      <c r="I723" s="46"/>
      <c r="J723" s="46"/>
      <c r="K723" s="46"/>
      <c r="M723" s="31"/>
      <c r="V723" s="77"/>
      <c r="W723" s="77"/>
      <c r="X723" s="77"/>
      <c r="Z723" s="79"/>
    </row>
    <row r="724" spans="9:26" x14ac:dyDescent="0.25">
      <c r="I724" s="46"/>
      <c r="J724" s="46"/>
      <c r="K724" s="46"/>
      <c r="M724" s="34"/>
      <c r="V724" s="77"/>
      <c r="W724" s="77"/>
      <c r="X724" s="77"/>
      <c r="Z724" s="81"/>
    </row>
    <row r="725" spans="9:26" x14ac:dyDescent="0.25">
      <c r="I725" s="46"/>
      <c r="J725" s="46"/>
      <c r="K725" s="46"/>
      <c r="M725" s="34"/>
      <c r="V725" s="77"/>
      <c r="W725" s="77"/>
      <c r="X725" s="77"/>
      <c r="Z725" s="81"/>
    </row>
    <row r="726" spans="9:26" x14ac:dyDescent="0.25">
      <c r="I726" s="46"/>
      <c r="J726" s="46"/>
      <c r="K726" s="46"/>
      <c r="M726" s="34"/>
      <c r="V726" s="77"/>
      <c r="W726" s="77"/>
      <c r="X726" s="77"/>
      <c r="Z726" s="81"/>
    </row>
    <row r="727" spans="9:26" x14ac:dyDescent="0.25">
      <c r="I727" s="46"/>
      <c r="J727" s="46"/>
      <c r="K727" s="46"/>
      <c r="M727" s="31"/>
      <c r="V727" s="77"/>
      <c r="W727" s="77"/>
      <c r="X727" s="77"/>
      <c r="Z727" s="79"/>
    </row>
    <row r="728" spans="9:26" x14ac:dyDescent="0.25">
      <c r="I728" s="46"/>
      <c r="J728" s="46"/>
      <c r="K728" s="46"/>
      <c r="M728" s="34"/>
      <c r="V728" s="77"/>
      <c r="W728" s="77"/>
      <c r="X728" s="77"/>
      <c r="Z728" s="81"/>
    </row>
    <row r="729" spans="9:26" x14ac:dyDescent="0.25">
      <c r="I729" s="46"/>
      <c r="J729" s="46"/>
      <c r="K729" s="46"/>
      <c r="M729" s="34"/>
      <c r="V729" s="77"/>
      <c r="W729" s="77"/>
      <c r="X729" s="77"/>
      <c r="Z729" s="81"/>
    </row>
    <row r="730" spans="9:26" x14ac:dyDescent="0.25">
      <c r="I730" s="46"/>
      <c r="J730" s="46"/>
      <c r="K730" s="46"/>
      <c r="M730" s="31"/>
      <c r="V730" s="77"/>
      <c r="W730" s="77"/>
      <c r="X730" s="77"/>
      <c r="Z730" s="79"/>
    </row>
    <row r="731" spans="9:26" x14ac:dyDescent="0.25">
      <c r="I731" s="46"/>
      <c r="J731" s="46"/>
      <c r="K731" s="46"/>
      <c r="M731" s="34"/>
      <c r="V731" s="77"/>
      <c r="W731" s="77"/>
      <c r="X731" s="77"/>
      <c r="Z731" s="81"/>
    </row>
    <row r="732" spans="9:26" x14ac:dyDescent="0.25">
      <c r="I732" s="46"/>
      <c r="J732" s="46"/>
      <c r="K732" s="46"/>
      <c r="M732" s="34"/>
      <c r="V732" s="77"/>
      <c r="W732" s="77"/>
      <c r="X732" s="77"/>
      <c r="Z732" s="81"/>
    </row>
    <row r="733" spans="9:26" x14ac:dyDescent="0.25">
      <c r="I733" s="46"/>
      <c r="J733" s="46"/>
      <c r="K733" s="46"/>
      <c r="M733" s="34"/>
      <c r="V733" s="77"/>
      <c r="W733" s="77"/>
      <c r="X733" s="77"/>
      <c r="Z733" s="81"/>
    </row>
    <row r="734" spans="9:26" x14ac:dyDescent="0.25">
      <c r="I734" s="46"/>
      <c r="J734" s="46"/>
      <c r="K734" s="46"/>
      <c r="M734" s="31"/>
      <c r="V734" s="77"/>
      <c r="W734" s="77"/>
      <c r="X734" s="77"/>
      <c r="Z734" s="79"/>
    </row>
    <row r="735" spans="9:26" x14ac:dyDescent="0.25">
      <c r="I735" s="46"/>
      <c r="J735" s="46"/>
      <c r="K735" s="46"/>
      <c r="M735" s="34"/>
      <c r="V735" s="77"/>
      <c r="W735" s="77"/>
      <c r="X735" s="77"/>
      <c r="Z735" s="81"/>
    </row>
    <row r="736" spans="9:26" x14ac:dyDescent="0.25">
      <c r="I736" s="46"/>
      <c r="J736" s="46"/>
      <c r="K736" s="46"/>
      <c r="M736" s="34"/>
      <c r="V736" s="77"/>
      <c r="W736" s="77"/>
      <c r="X736" s="77"/>
      <c r="Z736" s="81"/>
    </row>
    <row r="737" spans="9:26" x14ac:dyDescent="0.25">
      <c r="I737" s="46"/>
      <c r="J737" s="46"/>
      <c r="K737" s="46"/>
      <c r="M737" s="31"/>
      <c r="V737" s="77"/>
      <c r="W737" s="77"/>
      <c r="X737" s="77"/>
      <c r="Z737" s="79"/>
    </row>
    <row r="738" spans="9:26" x14ac:dyDescent="0.25">
      <c r="I738" s="46"/>
      <c r="J738" s="46"/>
      <c r="K738" s="46"/>
      <c r="M738" s="34"/>
      <c r="V738" s="77"/>
      <c r="W738" s="77"/>
      <c r="X738" s="77"/>
      <c r="Z738" s="81"/>
    </row>
    <row r="739" spans="9:26" x14ac:dyDescent="0.25">
      <c r="I739" s="46"/>
      <c r="J739" s="46"/>
      <c r="K739" s="46"/>
      <c r="M739" s="34"/>
      <c r="V739" s="77"/>
      <c r="W739" s="77"/>
      <c r="X739" s="77"/>
      <c r="Z739" s="81"/>
    </row>
    <row r="740" spans="9:26" x14ac:dyDescent="0.25">
      <c r="I740" s="46"/>
      <c r="J740" s="46"/>
      <c r="K740" s="46"/>
      <c r="M740" s="34"/>
      <c r="V740" s="77"/>
      <c r="W740" s="77"/>
      <c r="X740" s="77"/>
      <c r="Z740" s="81"/>
    </row>
    <row r="741" spans="9:26" x14ac:dyDescent="0.25">
      <c r="I741" s="46"/>
      <c r="J741" s="46"/>
      <c r="K741" s="46"/>
      <c r="M741" s="34"/>
      <c r="V741" s="77"/>
      <c r="W741" s="77"/>
      <c r="X741" s="77"/>
      <c r="Z741" s="81"/>
    </row>
    <row r="742" spans="9:26" x14ac:dyDescent="0.25">
      <c r="I742" s="46"/>
      <c r="J742" s="46"/>
      <c r="K742" s="46"/>
      <c r="M742" s="31"/>
      <c r="V742" s="77"/>
      <c r="W742" s="77"/>
      <c r="X742" s="77"/>
      <c r="Z742" s="79"/>
    </row>
    <row r="743" spans="9:26" x14ac:dyDescent="0.25">
      <c r="I743" s="46"/>
      <c r="J743" s="46"/>
      <c r="K743" s="46"/>
      <c r="M743" s="34"/>
      <c r="V743" s="77"/>
      <c r="W743" s="77"/>
      <c r="X743" s="77"/>
      <c r="Z743" s="81"/>
    </row>
    <row r="744" spans="9:26" x14ac:dyDescent="0.25">
      <c r="I744" s="46"/>
      <c r="J744" s="46"/>
      <c r="K744" s="46"/>
      <c r="M744" s="34"/>
      <c r="V744" s="77"/>
      <c r="W744" s="77"/>
      <c r="X744" s="77"/>
      <c r="Z744" s="81"/>
    </row>
    <row r="745" spans="9:26" x14ac:dyDescent="0.25">
      <c r="I745" s="46"/>
      <c r="J745" s="46"/>
      <c r="K745" s="46"/>
      <c r="M745" s="34"/>
      <c r="V745" s="77"/>
      <c r="W745" s="77"/>
      <c r="X745" s="77"/>
      <c r="Z745" s="81"/>
    </row>
    <row r="746" spans="9:26" x14ac:dyDescent="0.25">
      <c r="I746" s="46"/>
      <c r="J746" s="46"/>
      <c r="K746" s="46"/>
      <c r="M746" s="34"/>
      <c r="V746" s="77"/>
      <c r="W746" s="77"/>
      <c r="X746" s="77"/>
      <c r="Z746" s="81"/>
    </row>
    <row r="747" spans="9:26" x14ac:dyDescent="0.25">
      <c r="I747" s="46"/>
      <c r="J747" s="46"/>
      <c r="K747" s="46"/>
      <c r="M747" s="31"/>
      <c r="V747" s="77"/>
      <c r="W747" s="77"/>
      <c r="X747" s="77"/>
      <c r="Z747" s="79"/>
    </row>
    <row r="748" spans="9:26" x14ac:dyDescent="0.25">
      <c r="I748" s="46"/>
      <c r="J748" s="46"/>
      <c r="K748" s="46"/>
      <c r="M748" s="34"/>
      <c r="V748" s="77"/>
      <c r="W748" s="77"/>
      <c r="X748" s="77"/>
      <c r="Z748" s="81"/>
    </row>
    <row r="749" spans="9:26" x14ac:dyDescent="0.25">
      <c r="I749" s="46"/>
      <c r="J749" s="46"/>
      <c r="K749" s="46"/>
      <c r="M749" s="31"/>
      <c r="V749" s="77"/>
      <c r="W749" s="77"/>
      <c r="X749" s="77"/>
      <c r="Z749" s="79"/>
    </row>
    <row r="750" spans="9:26" x14ac:dyDescent="0.25">
      <c r="I750" s="46"/>
      <c r="J750" s="46"/>
      <c r="K750" s="46"/>
      <c r="M750" s="34"/>
      <c r="V750" s="77"/>
      <c r="W750" s="77"/>
      <c r="X750" s="77"/>
      <c r="Z750" s="81"/>
    </row>
    <row r="751" spans="9:26" x14ac:dyDescent="0.25">
      <c r="I751" s="46"/>
      <c r="J751" s="46"/>
      <c r="K751" s="46"/>
      <c r="M751" s="34"/>
      <c r="V751" s="77"/>
      <c r="W751" s="77"/>
      <c r="X751" s="77"/>
      <c r="Z751" s="81"/>
    </row>
    <row r="752" spans="9:26" x14ac:dyDescent="0.25">
      <c r="I752" s="46"/>
      <c r="J752" s="46"/>
      <c r="K752" s="46"/>
      <c r="M752" s="31"/>
      <c r="V752" s="77"/>
      <c r="W752" s="77"/>
      <c r="X752" s="77"/>
      <c r="Z752" s="79"/>
    </row>
    <row r="753" spans="9:26" x14ac:dyDescent="0.25">
      <c r="I753" s="46"/>
      <c r="J753" s="46"/>
      <c r="K753" s="46"/>
      <c r="M753" s="34"/>
      <c r="V753" s="77"/>
      <c r="W753" s="77"/>
      <c r="X753" s="77"/>
      <c r="Z753" s="81"/>
    </row>
    <row r="754" spans="9:26" x14ac:dyDescent="0.25">
      <c r="I754" s="46"/>
      <c r="J754" s="46"/>
      <c r="K754" s="46"/>
      <c r="M754" s="34"/>
      <c r="V754" s="77"/>
      <c r="W754" s="77"/>
      <c r="X754" s="77"/>
      <c r="Z754" s="81"/>
    </row>
    <row r="755" spans="9:26" x14ac:dyDescent="0.25">
      <c r="I755" s="46"/>
      <c r="J755" s="46"/>
      <c r="K755" s="46"/>
      <c r="M755" s="31"/>
      <c r="V755" s="77"/>
      <c r="W755" s="77"/>
      <c r="X755" s="77"/>
      <c r="Z755" s="79"/>
    </row>
    <row r="756" spans="9:26" x14ac:dyDescent="0.25">
      <c r="I756" s="46"/>
      <c r="J756" s="46"/>
      <c r="K756" s="46"/>
      <c r="M756" s="34"/>
      <c r="V756" s="77"/>
      <c r="W756" s="77"/>
      <c r="X756" s="77"/>
      <c r="Z756" s="81"/>
    </row>
    <row r="757" spans="9:26" x14ac:dyDescent="0.25">
      <c r="I757" s="46"/>
      <c r="J757" s="46"/>
      <c r="K757" s="46"/>
      <c r="M757" s="34"/>
      <c r="V757" s="77"/>
      <c r="W757" s="77"/>
      <c r="X757" s="77"/>
      <c r="Z757" s="81"/>
    </row>
    <row r="758" spans="9:26" x14ac:dyDescent="0.25">
      <c r="I758" s="46"/>
      <c r="J758" s="46"/>
      <c r="K758" s="46"/>
      <c r="M758" s="34"/>
      <c r="V758" s="77"/>
      <c r="W758" s="77"/>
      <c r="X758" s="77"/>
      <c r="Z758" s="81"/>
    </row>
    <row r="759" spans="9:26" x14ac:dyDescent="0.25">
      <c r="I759" s="46"/>
      <c r="J759" s="46"/>
      <c r="K759" s="46"/>
      <c r="M759" s="34"/>
      <c r="V759" s="77"/>
      <c r="W759" s="77"/>
      <c r="X759" s="77"/>
      <c r="Z759" s="81"/>
    </row>
    <row r="760" spans="9:26" x14ac:dyDescent="0.25">
      <c r="I760" s="46"/>
      <c r="J760" s="46"/>
      <c r="K760" s="46"/>
      <c r="M760" s="34"/>
      <c r="V760" s="77"/>
      <c r="W760" s="77"/>
      <c r="X760" s="77"/>
      <c r="Z760" s="81"/>
    </row>
    <row r="761" spans="9:26" x14ac:dyDescent="0.25">
      <c r="I761" s="46"/>
      <c r="J761" s="46"/>
      <c r="K761" s="46"/>
      <c r="M761" s="34"/>
      <c r="V761" s="77"/>
      <c r="W761" s="77"/>
      <c r="X761" s="77"/>
      <c r="Z761" s="81"/>
    </row>
    <row r="762" spans="9:26" x14ac:dyDescent="0.25">
      <c r="I762" s="46"/>
      <c r="J762" s="46"/>
      <c r="K762" s="46"/>
      <c r="M762" s="34"/>
      <c r="V762" s="77"/>
      <c r="W762" s="77"/>
      <c r="X762" s="77"/>
      <c r="Z762" s="81"/>
    </row>
    <row r="763" spans="9:26" x14ac:dyDescent="0.25">
      <c r="I763" s="46"/>
      <c r="J763" s="46"/>
      <c r="K763" s="46"/>
      <c r="M763" s="34"/>
      <c r="V763" s="77"/>
      <c r="W763" s="77"/>
      <c r="X763" s="77"/>
      <c r="Z763" s="81"/>
    </row>
    <row r="764" spans="9:26" x14ac:dyDescent="0.25">
      <c r="I764" s="46"/>
      <c r="J764" s="46"/>
      <c r="K764" s="46"/>
      <c r="M764" s="34"/>
      <c r="V764" s="77"/>
      <c r="W764" s="77"/>
      <c r="X764" s="77"/>
      <c r="Z764" s="81"/>
    </row>
    <row r="765" spans="9:26" x14ac:dyDescent="0.25">
      <c r="I765" s="46"/>
      <c r="J765" s="46"/>
      <c r="K765" s="46"/>
      <c r="M765" s="34"/>
      <c r="V765" s="77"/>
      <c r="W765" s="77"/>
      <c r="X765" s="77"/>
      <c r="Z765" s="81"/>
    </row>
    <row r="766" spans="9:26" x14ac:dyDescent="0.25">
      <c r="I766" s="46"/>
      <c r="J766" s="46"/>
      <c r="K766" s="46"/>
      <c r="M766" s="34"/>
      <c r="V766" s="77"/>
      <c r="W766" s="77"/>
      <c r="X766" s="77"/>
      <c r="Z766" s="81"/>
    </row>
    <row r="767" spans="9:26" x14ac:dyDescent="0.25">
      <c r="I767" s="46"/>
      <c r="J767" s="46"/>
      <c r="K767" s="46"/>
      <c r="V767" s="77"/>
      <c r="W767" s="77"/>
      <c r="X767" s="77"/>
    </row>
    <row r="768" spans="9:26" x14ac:dyDescent="0.25">
      <c r="I768" s="46"/>
      <c r="J768" s="46"/>
      <c r="K768" s="46"/>
      <c r="V768" s="77"/>
      <c r="W768" s="77"/>
      <c r="X768" s="77"/>
    </row>
    <row r="769" spans="9:24" x14ac:dyDescent="0.25">
      <c r="I769" s="46"/>
      <c r="J769" s="46"/>
      <c r="K769" s="46"/>
      <c r="V769" s="77"/>
      <c r="W769" s="77"/>
      <c r="X769" s="77"/>
    </row>
    <row r="770" spans="9:24" x14ac:dyDescent="0.25">
      <c r="I770" s="46"/>
      <c r="J770" s="46"/>
      <c r="K770" s="46"/>
      <c r="V770" s="77"/>
      <c r="W770" s="77"/>
      <c r="X770" s="77"/>
    </row>
    <row r="771" spans="9:24" x14ac:dyDescent="0.25">
      <c r="I771" s="46"/>
      <c r="J771" s="46"/>
      <c r="K771" s="46"/>
      <c r="V771" s="77"/>
      <c r="W771" s="77"/>
      <c r="X771" s="77"/>
    </row>
    <row r="772" spans="9:24" x14ac:dyDescent="0.25">
      <c r="I772" s="46"/>
      <c r="J772" s="46"/>
      <c r="K772" s="46"/>
      <c r="V772" s="77"/>
      <c r="W772" s="77"/>
      <c r="X772" s="77"/>
    </row>
    <row r="773" spans="9:24" x14ac:dyDescent="0.25">
      <c r="I773" s="46"/>
      <c r="J773" s="46"/>
      <c r="K773" s="46"/>
      <c r="V773" s="77"/>
      <c r="W773" s="77"/>
      <c r="X773" s="77"/>
    </row>
    <row r="774" spans="9:24" x14ac:dyDescent="0.25">
      <c r="I774" s="46"/>
      <c r="J774" s="46"/>
      <c r="K774" s="46"/>
      <c r="V774" s="77"/>
      <c r="W774" s="77"/>
      <c r="X774" s="77"/>
    </row>
    <row r="775" spans="9:24" x14ac:dyDescent="0.25">
      <c r="I775" s="46"/>
      <c r="J775" s="46"/>
      <c r="K775" s="46"/>
      <c r="V775" s="77"/>
      <c r="W775" s="77"/>
      <c r="X775" s="77"/>
    </row>
    <row r="776" spans="9:24" x14ac:dyDescent="0.25">
      <c r="I776" s="46"/>
      <c r="J776" s="46"/>
      <c r="K776" s="46"/>
      <c r="V776" s="77"/>
      <c r="W776" s="77"/>
      <c r="X776" s="77"/>
    </row>
    <row r="777" spans="9:24" x14ac:dyDescent="0.25">
      <c r="I777" s="46"/>
      <c r="J777" s="46"/>
      <c r="K777" s="46"/>
      <c r="V777" s="77"/>
      <c r="W777" s="77"/>
      <c r="X777" s="77"/>
    </row>
    <row r="778" spans="9:24" x14ac:dyDescent="0.25">
      <c r="I778" s="46"/>
      <c r="J778" s="46"/>
      <c r="K778" s="46"/>
      <c r="V778" s="77"/>
      <c r="W778" s="77"/>
      <c r="X778" s="77"/>
    </row>
    <row r="779" spans="9:24" x14ac:dyDescent="0.25">
      <c r="I779" s="46"/>
      <c r="J779" s="46"/>
      <c r="K779" s="46"/>
      <c r="V779" s="77"/>
      <c r="W779" s="77"/>
      <c r="X779" s="77"/>
    </row>
    <row r="780" spans="9:24" x14ac:dyDescent="0.25">
      <c r="I780" s="46"/>
      <c r="J780" s="46"/>
      <c r="K780" s="46"/>
      <c r="V780" s="77"/>
      <c r="W780" s="77"/>
      <c r="X780" s="77"/>
    </row>
    <row r="781" spans="9:24" x14ac:dyDescent="0.25">
      <c r="I781" s="46"/>
      <c r="J781" s="46"/>
      <c r="K781" s="46"/>
      <c r="V781" s="77"/>
      <c r="W781" s="77"/>
      <c r="X781" s="77"/>
    </row>
    <row r="782" spans="9:24" x14ac:dyDescent="0.25">
      <c r="I782" s="46"/>
      <c r="J782" s="46"/>
      <c r="K782" s="46"/>
      <c r="V782" s="77"/>
      <c r="W782" s="77"/>
      <c r="X782" s="77"/>
    </row>
    <row r="783" spans="9:24" x14ac:dyDescent="0.25">
      <c r="I783" s="46"/>
      <c r="J783" s="46"/>
      <c r="K783" s="46"/>
      <c r="V783" s="77"/>
      <c r="W783" s="77"/>
      <c r="X783" s="77"/>
    </row>
    <row r="784" spans="9:24" x14ac:dyDescent="0.25">
      <c r="I784" s="46"/>
      <c r="J784" s="46"/>
      <c r="K784" s="46"/>
      <c r="V784" s="77"/>
      <c r="W784" s="77"/>
      <c r="X784" s="77"/>
    </row>
    <row r="785" spans="9:24" x14ac:dyDescent="0.25">
      <c r="I785" s="46"/>
      <c r="J785" s="46"/>
      <c r="K785" s="46"/>
      <c r="V785" s="77"/>
      <c r="W785" s="77"/>
      <c r="X785" s="77"/>
    </row>
    <row r="786" spans="9:24" x14ac:dyDescent="0.25">
      <c r="I786" s="46"/>
      <c r="J786" s="46"/>
      <c r="K786" s="46"/>
      <c r="V786" s="77"/>
      <c r="W786" s="77"/>
      <c r="X786" s="77"/>
    </row>
    <row r="787" spans="9:24" x14ac:dyDescent="0.25">
      <c r="I787" s="46"/>
      <c r="J787" s="46"/>
      <c r="K787" s="46"/>
      <c r="V787" s="77"/>
      <c r="W787" s="77"/>
      <c r="X787" s="77"/>
    </row>
    <row r="788" spans="9:24" x14ac:dyDescent="0.25">
      <c r="I788" s="46"/>
      <c r="J788" s="46"/>
      <c r="K788" s="46"/>
      <c r="V788" s="77"/>
      <c r="W788" s="77"/>
      <c r="X788" s="77"/>
    </row>
    <row r="789" spans="9:24" x14ac:dyDescent="0.25">
      <c r="I789" s="46"/>
      <c r="J789" s="46"/>
      <c r="K789" s="46"/>
      <c r="V789" s="77"/>
      <c r="W789" s="77"/>
      <c r="X789" s="77"/>
    </row>
    <row r="790" spans="9:24" x14ac:dyDescent="0.25">
      <c r="I790" s="46"/>
      <c r="J790" s="46"/>
      <c r="K790" s="46"/>
      <c r="V790" s="77"/>
      <c r="W790" s="77"/>
      <c r="X790" s="77"/>
    </row>
    <row r="791" spans="9:24" x14ac:dyDescent="0.25">
      <c r="I791" s="46"/>
      <c r="J791" s="46"/>
      <c r="K791" s="46"/>
      <c r="V791" s="77"/>
      <c r="W791" s="77"/>
      <c r="X791" s="77"/>
    </row>
    <row r="792" spans="9:24" x14ac:dyDescent="0.25">
      <c r="I792" s="46"/>
      <c r="J792" s="46"/>
      <c r="K792" s="46"/>
      <c r="V792" s="77"/>
      <c r="W792" s="77"/>
      <c r="X792" s="77"/>
    </row>
    <row r="793" spans="9:24" x14ac:dyDescent="0.25">
      <c r="I793" s="46"/>
      <c r="J793" s="46"/>
      <c r="K793" s="46"/>
      <c r="V793" s="77"/>
      <c r="W793" s="77"/>
      <c r="X793" s="77"/>
    </row>
    <row r="794" spans="9:24" x14ac:dyDescent="0.25">
      <c r="I794" s="46"/>
      <c r="J794" s="46"/>
      <c r="K794" s="46"/>
      <c r="V794" s="77"/>
      <c r="W794" s="77"/>
      <c r="X794" s="77"/>
    </row>
    <row r="795" spans="9:24" x14ac:dyDescent="0.25">
      <c r="I795" s="46"/>
      <c r="J795" s="46"/>
      <c r="K795" s="46"/>
      <c r="V795" s="77"/>
      <c r="W795" s="77"/>
      <c r="X795" s="77"/>
    </row>
    <row r="796" spans="9:24" x14ac:dyDescent="0.25">
      <c r="I796" s="46"/>
      <c r="J796" s="46"/>
      <c r="K796" s="46"/>
      <c r="V796" s="77"/>
      <c r="W796" s="77"/>
      <c r="X796" s="77"/>
    </row>
    <row r="797" spans="9:24" x14ac:dyDescent="0.25">
      <c r="I797" s="46"/>
      <c r="J797" s="46"/>
      <c r="K797" s="46"/>
      <c r="V797" s="77"/>
      <c r="W797" s="77"/>
      <c r="X797" s="77"/>
    </row>
    <row r="798" spans="9:24" x14ac:dyDescent="0.25">
      <c r="I798" s="46"/>
      <c r="J798" s="46"/>
      <c r="K798" s="46"/>
      <c r="V798" s="77"/>
      <c r="W798" s="77"/>
      <c r="X798" s="77"/>
    </row>
    <row r="799" spans="9:24" x14ac:dyDescent="0.25">
      <c r="I799" s="46"/>
      <c r="J799" s="46"/>
      <c r="K799" s="46"/>
      <c r="V799" s="77"/>
      <c r="W799" s="77"/>
      <c r="X799" s="77"/>
    </row>
    <row r="800" spans="9:24" x14ac:dyDescent="0.25">
      <c r="I800" s="46"/>
      <c r="J800" s="46"/>
      <c r="K800" s="46"/>
      <c r="V800" s="77"/>
      <c r="W800" s="77"/>
      <c r="X800" s="77"/>
    </row>
    <row r="801" spans="9:24" x14ac:dyDescent="0.25">
      <c r="I801" s="46"/>
      <c r="J801" s="46"/>
      <c r="K801" s="46"/>
      <c r="V801" s="77"/>
      <c r="W801" s="77"/>
      <c r="X801" s="77"/>
    </row>
    <row r="802" spans="9:24" x14ac:dyDescent="0.25">
      <c r="I802" s="46"/>
      <c r="J802" s="46"/>
      <c r="K802" s="46"/>
      <c r="V802" s="77"/>
      <c r="W802" s="77"/>
      <c r="X802" s="77"/>
    </row>
    <row r="803" spans="9:24" x14ac:dyDescent="0.25">
      <c r="I803" s="46"/>
      <c r="J803" s="46"/>
      <c r="K803" s="46"/>
      <c r="V803" s="77"/>
      <c r="W803" s="77"/>
      <c r="X803" s="77"/>
    </row>
    <row r="804" spans="9:24" x14ac:dyDescent="0.25">
      <c r="I804" s="46"/>
      <c r="J804" s="46"/>
      <c r="K804" s="46"/>
      <c r="V804" s="77"/>
      <c r="W804" s="77"/>
      <c r="X804" s="77"/>
    </row>
    <row r="805" spans="9:24" x14ac:dyDescent="0.25">
      <c r="I805" s="46"/>
      <c r="J805" s="46"/>
      <c r="K805" s="46"/>
      <c r="V805" s="77"/>
      <c r="W805" s="77"/>
      <c r="X805" s="77"/>
    </row>
    <row r="806" spans="9:24" x14ac:dyDescent="0.25">
      <c r="I806" s="46"/>
      <c r="J806" s="46"/>
      <c r="K806" s="46"/>
      <c r="V806" s="77"/>
      <c r="W806" s="77"/>
      <c r="X806" s="77"/>
    </row>
    <row r="807" spans="9:24" x14ac:dyDescent="0.25">
      <c r="I807" s="46"/>
      <c r="J807" s="46"/>
      <c r="K807" s="46"/>
      <c r="V807" s="77"/>
      <c r="W807" s="77"/>
      <c r="X807" s="77"/>
    </row>
    <row r="808" spans="9:24" x14ac:dyDescent="0.25">
      <c r="I808" s="46"/>
      <c r="J808" s="46"/>
      <c r="K808" s="46"/>
      <c r="V808" s="77"/>
      <c r="W808" s="77"/>
      <c r="X808" s="77"/>
    </row>
    <row r="809" spans="9:24" x14ac:dyDescent="0.25">
      <c r="I809" s="46"/>
      <c r="J809" s="46"/>
      <c r="K809" s="46"/>
      <c r="V809" s="77"/>
      <c r="W809" s="77"/>
      <c r="X809" s="77"/>
    </row>
    <row r="810" spans="9:24" x14ac:dyDescent="0.25">
      <c r="I810" s="46"/>
      <c r="J810" s="46"/>
      <c r="K810" s="46"/>
      <c r="V810" s="77"/>
      <c r="W810" s="77"/>
      <c r="X810" s="77"/>
    </row>
    <row r="811" spans="9:24" x14ac:dyDescent="0.25">
      <c r="I811" s="46"/>
      <c r="J811" s="46"/>
      <c r="K811" s="46"/>
      <c r="V811" s="77"/>
      <c r="W811" s="77"/>
      <c r="X811" s="77"/>
    </row>
    <row r="812" spans="9:24" x14ac:dyDescent="0.25">
      <c r="I812" s="46"/>
      <c r="J812" s="46"/>
      <c r="K812" s="46"/>
      <c r="V812" s="77"/>
      <c r="W812" s="77"/>
      <c r="X812" s="77"/>
    </row>
    <row r="813" spans="9:24" x14ac:dyDescent="0.25">
      <c r="I813" s="46"/>
      <c r="J813" s="46"/>
      <c r="K813" s="46"/>
      <c r="V813" s="77"/>
      <c r="W813" s="77"/>
      <c r="X813" s="77"/>
    </row>
    <row r="814" spans="9:24" x14ac:dyDescent="0.25">
      <c r="I814" s="46"/>
      <c r="J814" s="46"/>
      <c r="K814" s="46"/>
      <c r="V814" s="77"/>
      <c r="W814" s="77"/>
      <c r="X814" s="77"/>
    </row>
    <row r="815" spans="9:24" x14ac:dyDescent="0.25">
      <c r="I815" s="46"/>
      <c r="J815" s="46"/>
      <c r="K815" s="46"/>
      <c r="V815" s="77"/>
      <c r="W815" s="77"/>
      <c r="X815" s="77"/>
    </row>
    <row r="816" spans="9:24" x14ac:dyDescent="0.25">
      <c r="I816" s="46"/>
      <c r="J816" s="46"/>
      <c r="K816" s="46"/>
      <c r="V816" s="77"/>
      <c r="W816" s="77"/>
      <c r="X816" s="77"/>
    </row>
    <row r="817" spans="9:24" x14ac:dyDescent="0.25">
      <c r="I817" s="46"/>
      <c r="J817" s="46"/>
      <c r="K817" s="46"/>
      <c r="V817" s="77"/>
      <c r="W817" s="77"/>
      <c r="X817" s="77"/>
    </row>
    <row r="818" spans="9:24" x14ac:dyDescent="0.25">
      <c r="I818" s="46"/>
      <c r="J818" s="46"/>
      <c r="K818" s="46"/>
      <c r="V818" s="77"/>
      <c r="W818" s="77"/>
      <c r="X818" s="77"/>
    </row>
    <row r="819" spans="9:24" x14ac:dyDescent="0.25">
      <c r="I819" s="46"/>
      <c r="J819" s="46"/>
      <c r="K819" s="46"/>
      <c r="V819" s="77"/>
      <c r="W819" s="77"/>
      <c r="X819" s="77"/>
    </row>
    <row r="820" spans="9:24" x14ac:dyDescent="0.25">
      <c r="I820" s="46"/>
      <c r="J820" s="46"/>
      <c r="K820" s="46"/>
      <c r="V820" s="77"/>
      <c r="W820" s="77"/>
      <c r="X820" s="77"/>
    </row>
    <row r="821" spans="9:24" x14ac:dyDescent="0.25">
      <c r="I821" s="46"/>
      <c r="J821" s="46"/>
      <c r="K821" s="46"/>
      <c r="V821" s="77"/>
      <c r="W821" s="77"/>
      <c r="X821" s="77"/>
    </row>
    <row r="822" spans="9:24" x14ac:dyDescent="0.25">
      <c r="I822" s="46"/>
      <c r="J822" s="46"/>
      <c r="K822" s="46"/>
      <c r="V822" s="77"/>
      <c r="W822" s="77"/>
      <c r="X822" s="77"/>
    </row>
    <row r="823" spans="9:24" x14ac:dyDescent="0.25">
      <c r="I823" s="46"/>
      <c r="J823" s="46"/>
      <c r="K823" s="46"/>
      <c r="V823" s="77"/>
      <c r="W823" s="77"/>
      <c r="X823" s="77"/>
    </row>
    <row r="824" spans="9:24" x14ac:dyDescent="0.25">
      <c r="I824" s="46"/>
      <c r="J824" s="46"/>
      <c r="K824" s="46"/>
      <c r="V824" s="77"/>
      <c r="W824" s="77"/>
      <c r="X824" s="77"/>
    </row>
    <row r="825" spans="9:24" x14ac:dyDescent="0.25">
      <c r="I825" s="46"/>
      <c r="J825" s="46"/>
      <c r="K825" s="46"/>
      <c r="V825" s="77"/>
      <c r="W825" s="77"/>
      <c r="X825" s="77"/>
    </row>
    <row r="826" spans="9:24" x14ac:dyDescent="0.25">
      <c r="I826" s="46"/>
      <c r="J826" s="46"/>
      <c r="K826" s="46"/>
      <c r="V826" s="77"/>
      <c r="W826" s="77"/>
      <c r="X826" s="77"/>
    </row>
    <row r="827" spans="9:24" x14ac:dyDescent="0.25">
      <c r="I827" s="46"/>
      <c r="J827" s="46"/>
      <c r="K827" s="46"/>
      <c r="V827" s="77"/>
      <c r="W827" s="77"/>
      <c r="X827" s="77"/>
    </row>
    <row r="828" spans="9:24" x14ac:dyDescent="0.25">
      <c r="I828" s="46"/>
      <c r="J828" s="46"/>
      <c r="K828" s="46"/>
      <c r="V828" s="77"/>
      <c r="W828" s="77"/>
      <c r="X828" s="77"/>
    </row>
    <row r="829" spans="9:24" x14ac:dyDescent="0.25">
      <c r="I829" s="46"/>
      <c r="J829" s="46"/>
      <c r="K829" s="46"/>
      <c r="V829" s="77"/>
      <c r="W829" s="77"/>
      <c r="X829" s="77"/>
    </row>
    <row r="830" spans="9:24" x14ac:dyDescent="0.25">
      <c r="I830" s="46"/>
      <c r="J830" s="46"/>
      <c r="K830" s="46"/>
      <c r="V830" s="77"/>
      <c r="W830" s="77"/>
      <c r="X830" s="77"/>
    </row>
    <row r="831" spans="9:24" x14ac:dyDescent="0.25">
      <c r="I831" s="46"/>
      <c r="J831" s="46"/>
      <c r="K831" s="46"/>
      <c r="V831" s="77"/>
      <c r="W831" s="77"/>
      <c r="X831" s="77"/>
    </row>
    <row r="832" spans="9:24" x14ac:dyDescent="0.25">
      <c r="I832" s="46"/>
      <c r="J832" s="46"/>
      <c r="K832" s="46"/>
      <c r="V832" s="77"/>
      <c r="W832" s="77"/>
      <c r="X832" s="77"/>
    </row>
    <row r="833" spans="9:24" x14ac:dyDescent="0.25">
      <c r="I833" s="46"/>
      <c r="J833" s="46"/>
      <c r="K833" s="46"/>
      <c r="V833" s="77"/>
      <c r="W833" s="77"/>
      <c r="X833" s="77"/>
    </row>
    <row r="834" spans="9:24" x14ac:dyDescent="0.25">
      <c r="I834" s="46"/>
      <c r="J834" s="46"/>
      <c r="K834" s="46"/>
      <c r="V834" s="77"/>
      <c r="W834" s="77"/>
      <c r="X834" s="77"/>
    </row>
    <row r="835" spans="9:24" x14ac:dyDescent="0.25">
      <c r="I835" s="46"/>
      <c r="J835" s="46"/>
      <c r="K835" s="46"/>
      <c r="V835" s="77"/>
      <c r="W835" s="77"/>
      <c r="X835" s="77"/>
    </row>
    <row r="836" spans="9:24" x14ac:dyDescent="0.25">
      <c r="I836" s="46"/>
      <c r="J836" s="46"/>
      <c r="K836" s="46"/>
      <c r="V836" s="77"/>
      <c r="W836" s="77"/>
      <c r="X836" s="77"/>
    </row>
    <row r="837" spans="9:24" x14ac:dyDescent="0.25">
      <c r="I837" s="46"/>
      <c r="J837" s="46"/>
      <c r="K837" s="46"/>
      <c r="V837" s="77"/>
      <c r="W837" s="77"/>
      <c r="X837" s="77"/>
    </row>
    <row r="838" spans="9:24" x14ac:dyDescent="0.25">
      <c r="I838" s="46"/>
      <c r="J838" s="46"/>
      <c r="K838" s="46"/>
      <c r="V838" s="77"/>
      <c r="W838" s="77"/>
      <c r="X838" s="77"/>
    </row>
    <row r="839" spans="9:24" x14ac:dyDescent="0.25">
      <c r="I839" s="46"/>
      <c r="J839" s="46"/>
      <c r="K839" s="46"/>
      <c r="V839" s="77"/>
      <c r="W839" s="77"/>
      <c r="X839" s="77"/>
    </row>
    <row r="840" spans="9:24" x14ac:dyDescent="0.25">
      <c r="I840" s="46"/>
      <c r="J840" s="46"/>
      <c r="K840" s="46"/>
      <c r="V840" s="77"/>
      <c r="W840" s="77"/>
      <c r="X840" s="77"/>
    </row>
    <row r="841" spans="9:24" x14ac:dyDescent="0.25">
      <c r="I841" s="46"/>
      <c r="J841" s="46"/>
      <c r="K841" s="46"/>
      <c r="V841" s="77"/>
      <c r="W841" s="77"/>
      <c r="X841" s="77"/>
    </row>
    <row r="842" spans="9:24" x14ac:dyDescent="0.25">
      <c r="I842" s="46"/>
      <c r="J842" s="46"/>
      <c r="K842" s="46"/>
      <c r="V842" s="77"/>
      <c r="W842" s="77"/>
      <c r="X842" s="77"/>
    </row>
    <row r="843" spans="9:24" x14ac:dyDescent="0.25">
      <c r="I843" s="46"/>
      <c r="J843" s="46"/>
      <c r="K843" s="46"/>
      <c r="V843" s="77"/>
      <c r="W843" s="77"/>
      <c r="X843" s="77"/>
    </row>
    <row r="844" spans="9:24" x14ac:dyDescent="0.25">
      <c r="I844" s="46"/>
      <c r="J844" s="46"/>
      <c r="K844" s="46"/>
      <c r="V844" s="77"/>
      <c r="W844" s="77"/>
      <c r="X844" s="77"/>
    </row>
    <row r="845" spans="9:24" x14ac:dyDescent="0.25">
      <c r="I845" s="46"/>
      <c r="J845" s="46"/>
      <c r="K845" s="46"/>
      <c r="V845" s="77"/>
      <c r="W845" s="77"/>
      <c r="X845" s="77"/>
    </row>
    <row r="846" spans="9:24" x14ac:dyDescent="0.25">
      <c r="I846" s="46"/>
      <c r="J846" s="46"/>
      <c r="K846" s="46"/>
      <c r="V846" s="77"/>
      <c r="W846" s="77"/>
      <c r="X846" s="77"/>
    </row>
    <row r="847" spans="9:24" x14ac:dyDescent="0.25">
      <c r="I847" s="46"/>
      <c r="J847" s="46"/>
      <c r="K847" s="46"/>
      <c r="V847" s="77"/>
      <c r="W847" s="77"/>
      <c r="X847" s="77"/>
    </row>
    <row r="848" spans="9:24" x14ac:dyDescent="0.25">
      <c r="I848" s="46"/>
      <c r="J848" s="46"/>
      <c r="K848" s="46"/>
      <c r="V848" s="77"/>
      <c r="W848" s="77"/>
      <c r="X848" s="77"/>
    </row>
    <row r="849" spans="9:24" x14ac:dyDescent="0.25">
      <c r="I849" s="46"/>
      <c r="J849" s="46"/>
      <c r="K849" s="46"/>
      <c r="V849" s="77"/>
      <c r="W849" s="77"/>
      <c r="X849" s="77"/>
    </row>
    <row r="850" spans="9:24" x14ac:dyDescent="0.25">
      <c r="I850" s="46"/>
      <c r="J850" s="46"/>
      <c r="K850" s="46"/>
      <c r="V850" s="77"/>
      <c r="W850" s="77"/>
      <c r="X850" s="77"/>
    </row>
    <row r="851" spans="9:24" x14ac:dyDescent="0.25">
      <c r="I851" s="46"/>
      <c r="J851" s="46"/>
      <c r="K851" s="46"/>
      <c r="V851" s="77"/>
      <c r="W851" s="77"/>
      <c r="X851" s="77"/>
    </row>
    <row r="852" spans="9:24" x14ac:dyDescent="0.25">
      <c r="I852" s="46"/>
      <c r="J852" s="46"/>
      <c r="K852" s="46"/>
      <c r="V852" s="77"/>
      <c r="W852" s="77"/>
      <c r="X852" s="77"/>
    </row>
    <row r="853" spans="9:24" x14ac:dyDescent="0.25">
      <c r="I853" s="46"/>
      <c r="J853" s="46"/>
      <c r="K853" s="46"/>
      <c r="V853" s="77"/>
      <c r="W853" s="77"/>
      <c r="X853" s="77"/>
    </row>
    <row r="854" spans="9:24" x14ac:dyDescent="0.25">
      <c r="I854" s="46"/>
      <c r="J854" s="46"/>
      <c r="K854" s="46"/>
      <c r="V854" s="77"/>
      <c r="W854" s="77"/>
      <c r="X854" s="77"/>
    </row>
    <row r="855" spans="9:24" x14ac:dyDescent="0.25">
      <c r="I855" s="46"/>
      <c r="J855" s="46"/>
      <c r="K855" s="46"/>
      <c r="V855" s="77"/>
      <c r="W855" s="77"/>
      <c r="X855" s="77"/>
    </row>
    <row r="856" spans="9:24" x14ac:dyDescent="0.25">
      <c r="I856" s="46"/>
      <c r="J856" s="46"/>
      <c r="K856" s="46"/>
      <c r="V856" s="77"/>
      <c r="W856" s="77"/>
      <c r="X856" s="77"/>
    </row>
    <row r="857" spans="9:24" x14ac:dyDescent="0.25">
      <c r="I857" s="46"/>
      <c r="J857" s="46"/>
      <c r="K857" s="46"/>
      <c r="V857" s="77"/>
      <c r="W857" s="77"/>
      <c r="X857" s="77"/>
    </row>
    <row r="858" spans="9:24" x14ac:dyDescent="0.25">
      <c r="I858" s="46"/>
      <c r="J858" s="46"/>
      <c r="K858" s="46"/>
      <c r="V858" s="77"/>
      <c r="W858" s="77"/>
      <c r="X858" s="77"/>
    </row>
    <row r="859" spans="9:24" x14ac:dyDescent="0.25">
      <c r="I859" s="46"/>
      <c r="J859" s="46"/>
      <c r="K859" s="46"/>
      <c r="V859" s="77"/>
      <c r="W859" s="77"/>
      <c r="X859" s="77"/>
    </row>
    <row r="860" spans="9:24" x14ac:dyDescent="0.25">
      <c r="I860" s="46"/>
      <c r="J860" s="46"/>
      <c r="K860" s="46"/>
      <c r="V860" s="77"/>
      <c r="W860" s="77"/>
      <c r="X860" s="77"/>
    </row>
    <row r="861" spans="9:24" x14ac:dyDescent="0.25">
      <c r="I861" s="46"/>
      <c r="J861" s="46"/>
      <c r="K861" s="46"/>
      <c r="V861" s="77"/>
      <c r="W861" s="77"/>
      <c r="X861" s="77"/>
    </row>
    <row r="862" spans="9:24" x14ac:dyDescent="0.25">
      <c r="I862" s="46"/>
      <c r="J862" s="46"/>
      <c r="K862" s="46"/>
      <c r="V862" s="77"/>
      <c r="W862" s="77"/>
      <c r="X862" s="77"/>
    </row>
    <row r="863" spans="9:24" x14ac:dyDescent="0.25">
      <c r="I863" s="46"/>
      <c r="J863" s="46"/>
      <c r="K863" s="46"/>
      <c r="V863" s="77"/>
      <c r="W863" s="77"/>
      <c r="X863" s="77"/>
    </row>
    <row r="864" spans="9:24" x14ac:dyDescent="0.25">
      <c r="I864" s="46"/>
      <c r="J864" s="46"/>
      <c r="K864" s="46"/>
      <c r="V864" s="77"/>
      <c r="W864" s="77"/>
      <c r="X864" s="77"/>
    </row>
    <row r="865" spans="9:24" x14ac:dyDescent="0.25">
      <c r="I865" s="46"/>
      <c r="J865" s="46"/>
      <c r="K865" s="46"/>
      <c r="V865" s="77"/>
      <c r="W865" s="77"/>
      <c r="X865" s="77"/>
    </row>
    <row r="866" spans="9:24" x14ac:dyDescent="0.25">
      <c r="I866" s="46"/>
      <c r="J866" s="46"/>
      <c r="K866" s="46"/>
      <c r="V866" s="77"/>
      <c r="W866" s="77"/>
      <c r="X866" s="77"/>
    </row>
    <row r="867" spans="9:24" x14ac:dyDescent="0.25">
      <c r="I867" s="46"/>
      <c r="J867" s="46"/>
      <c r="K867" s="46"/>
      <c r="V867" s="77"/>
      <c r="W867" s="77"/>
      <c r="X867" s="77"/>
    </row>
    <row r="868" spans="9:24" x14ac:dyDescent="0.25">
      <c r="I868" s="46"/>
      <c r="J868" s="46"/>
      <c r="K868" s="46"/>
      <c r="V868" s="77"/>
      <c r="W868" s="77"/>
      <c r="X868" s="77"/>
    </row>
    <row r="869" spans="9:24" x14ac:dyDescent="0.25">
      <c r="I869" s="46"/>
      <c r="J869" s="46"/>
      <c r="K869" s="46"/>
      <c r="V869" s="77"/>
      <c r="W869" s="77"/>
      <c r="X869" s="77"/>
    </row>
    <row r="870" spans="9:24" x14ac:dyDescent="0.25">
      <c r="I870" s="46"/>
      <c r="J870" s="46"/>
      <c r="K870" s="46"/>
      <c r="V870" s="77"/>
      <c r="W870" s="77"/>
      <c r="X870" s="77"/>
    </row>
    <row r="871" spans="9:24" x14ac:dyDescent="0.25">
      <c r="I871" s="46"/>
      <c r="J871" s="46"/>
      <c r="K871" s="46"/>
      <c r="V871" s="77"/>
      <c r="W871" s="77"/>
      <c r="X871" s="77"/>
    </row>
    <row r="872" spans="9:24" x14ac:dyDescent="0.25">
      <c r="I872" s="46"/>
      <c r="J872" s="46"/>
      <c r="K872" s="46"/>
      <c r="V872" s="77"/>
      <c r="W872" s="77"/>
      <c r="X872" s="77"/>
    </row>
    <row r="873" spans="9:24" x14ac:dyDescent="0.25">
      <c r="I873" s="46"/>
      <c r="J873" s="46"/>
      <c r="K873" s="46"/>
      <c r="V873" s="77"/>
      <c r="W873" s="77"/>
      <c r="X873" s="77"/>
    </row>
    <row r="874" spans="9:24" x14ac:dyDescent="0.25">
      <c r="I874" s="46"/>
      <c r="J874" s="46"/>
      <c r="K874" s="46"/>
      <c r="V874" s="77"/>
      <c r="W874" s="77"/>
      <c r="X874" s="77"/>
    </row>
    <row r="875" spans="9:24" x14ac:dyDescent="0.25">
      <c r="I875" s="46"/>
      <c r="J875" s="46"/>
      <c r="K875" s="46"/>
      <c r="V875" s="77"/>
      <c r="W875" s="77"/>
      <c r="X875" s="77"/>
    </row>
    <row r="876" spans="9:24" x14ac:dyDescent="0.25">
      <c r="I876" s="46"/>
      <c r="J876" s="46"/>
      <c r="K876" s="46"/>
      <c r="V876" s="77"/>
      <c r="W876" s="77"/>
      <c r="X876" s="77"/>
    </row>
    <row r="877" spans="9:24" x14ac:dyDescent="0.25">
      <c r="I877" s="46"/>
      <c r="J877" s="46"/>
      <c r="K877" s="46"/>
      <c r="V877" s="77"/>
      <c r="W877" s="77"/>
      <c r="X877" s="77"/>
    </row>
    <row r="878" spans="9:24" x14ac:dyDescent="0.25">
      <c r="I878" s="46"/>
      <c r="J878" s="46"/>
      <c r="K878" s="46"/>
      <c r="V878" s="77"/>
      <c r="W878" s="77"/>
      <c r="X878" s="77"/>
    </row>
    <row r="879" spans="9:24" x14ac:dyDescent="0.25">
      <c r="I879" s="46"/>
      <c r="J879" s="46"/>
      <c r="K879" s="46"/>
      <c r="V879" s="77"/>
      <c r="W879" s="77"/>
      <c r="X879" s="77"/>
    </row>
    <row r="880" spans="9:24" x14ac:dyDescent="0.25">
      <c r="I880" s="46"/>
      <c r="J880" s="46"/>
      <c r="K880" s="46"/>
      <c r="V880" s="77"/>
      <c r="W880" s="77"/>
      <c r="X880" s="77"/>
    </row>
    <row r="881" spans="9:24" x14ac:dyDescent="0.25">
      <c r="I881" s="46"/>
      <c r="J881" s="46"/>
      <c r="K881" s="46"/>
      <c r="V881" s="77"/>
      <c r="W881" s="77"/>
      <c r="X881" s="77"/>
    </row>
    <row r="882" spans="9:24" x14ac:dyDescent="0.25">
      <c r="I882" s="46"/>
      <c r="J882" s="46"/>
      <c r="K882" s="46"/>
      <c r="V882" s="77"/>
      <c r="W882" s="77"/>
      <c r="X882" s="77"/>
    </row>
    <row r="883" spans="9:24" x14ac:dyDescent="0.25">
      <c r="I883" s="46"/>
      <c r="J883" s="46"/>
      <c r="K883" s="46"/>
      <c r="V883" s="77"/>
      <c r="W883" s="77"/>
      <c r="X883" s="77"/>
    </row>
    <row r="884" spans="9:24" x14ac:dyDescent="0.25">
      <c r="I884" s="46"/>
      <c r="J884" s="46"/>
      <c r="K884" s="46"/>
      <c r="V884" s="77"/>
      <c r="W884" s="77"/>
      <c r="X884" s="77"/>
    </row>
    <row r="885" spans="9:24" x14ac:dyDescent="0.25">
      <c r="I885" s="46"/>
      <c r="J885" s="46"/>
      <c r="K885" s="46"/>
      <c r="V885" s="77"/>
      <c r="W885" s="77"/>
      <c r="X885" s="77"/>
    </row>
    <row r="886" spans="9:24" x14ac:dyDescent="0.25">
      <c r="I886" s="46"/>
      <c r="J886" s="46"/>
      <c r="K886" s="46"/>
      <c r="V886" s="77"/>
      <c r="W886" s="77"/>
      <c r="X886" s="77"/>
    </row>
    <row r="887" spans="9:24" x14ac:dyDescent="0.25">
      <c r="I887" s="46"/>
      <c r="J887" s="46"/>
      <c r="K887" s="46"/>
      <c r="V887" s="77"/>
      <c r="W887" s="77"/>
      <c r="X887" s="77"/>
    </row>
    <row r="888" spans="9:24" x14ac:dyDescent="0.25">
      <c r="I888" s="46"/>
      <c r="J888" s="46"/>
      <c r="K888" s="46"/>
      <c r="V888" s="77"/>
      <c r="W888" s="77"/>
      <c r="X888" s="77"/>
    </row>
    <row r="889" spans="9:24" x14ac:dyDescent="0.25">
      <c r="I889" s="46"/>
      <c r="J889" s="46"/>
      <c r="K889" s="46"/>
      <c r="V889" s="77"/>
      <c r="W889" s="77"/>
      <c r="X889" s="77"/>
    </row>
    <row r="890" spans="9:24" x14ac:dyDescent="0.25">
      <c r="I890" s="46"/>
      <c r="J890" s="46"/>
      <c r="K890" s="46"/>
      <c r="V890" s="77"/>
      <c r="W890" s="77"/>
      <c r="X890" s="77"/>
    </row>
    <row r="891" spans="9:24" x14ac:dyDescent="0.25">
      <c r="I891" s="46"/>
      <c r="J891" s="46"/>
      <c r="K891" s="46"/>
      <c r="V891" s="77"/>
      <c r="W891" s="77"/>
      <c r="X891" s="77"/>
    </row>
    <row r="892" spans="9:24" x14ac:dyDescent="0.25">
      <c r="I892" s="46"/>
      <c r="J892" s="46"/>
      <c r="K892" s="46"/>
      <c r="V892" s="77"/>
      <c r="W892" s="77"/>
      <c r="X892" s="77"/>
    </row>
    <row r="893" spans="9:24" x14ac:dyDescent="0.25">
      <c r="I893" s="46"/>
      <c r="J893" s="46"/>
      <c r="K893" s="46"/>
      <c r="V893" s="77"/>
      <c r="W893" s="77"/>
      <c r="X893" s="77"/>
    </row>
    <row r="894" spans="9:24" x14ac:dyDescent="0.25">
      <c r="I894" s="46"/>
      <c r="J894" s="46"/>
      <c r="K894" s="46"/>
      <c r="V894" s="77"/>
      <c r="W894" s="77"/>
      <c r="X894" s="77"/>
    </row>
    <row r="895" spans="9:24" x14ac:dyDescent="0.25">
      <c r="I895" s="46"/>
      <c r="J895" s="46"/>
      <c r="K895" s="46"/>
      <c r="V895" s="77"/>
      <c r="W895" s="77"/>
      <c r="X895" s="77"/>
    </row>
    <row r="896" spans="9:24" x14ac:dyDescent="0.25">
      <c r="I896" s="46"/>
      <c r="J896" s="46"/>
      <c r="K896" s="46"/>
      <c r="V896" s="77"/>
      <c r="W896" s="77"/>
      <c r="X896" s="77"/>
    </row>
    <row r="897" spans="9:24" x14ac:dyDescent="0.25">
      <c r="I897" s="46"/>
      <c r="J897" s="46"/>
      <c r="K897" s="46"/>
      <c r="V897" s="77"/>
      <c r="W897" s="77"/>
      <c r="X897" s="77"/>
    </row>
    <row r="898" spans="9:24" x14ac:dyDescent="0.25">
      <c r="I898" s="46"/>
      <c r="J898" s="46"/>
      <c r="K898" s="46"/>
      <c r="V898" s="77"/>
      <c r="W898" s="77"/>
      <c r="X898" s="77"/>
    </row>
    <row r="899" spans="9:24" x14ac:dyDescent="0.25">
      <c r="I899" s="46"/>
      <c r="J899" s="46"/>
      <c r="K899" s="46"/>
      <c r="V899" s="77"/>
      <c r="W899" s="77"/>
      <c r="X899" s="77"/>
    </row>
    <row r="900" spans="9:24" x14ac:dyDescent="0.25">
      <c r="I900" s="46"/>
      <c r="J900" s="46"/>
      <c r="K900" s="46"/>
      <c r="V900" s="77"/>
      <c r="W900" s="77"/>
      <c r="X900" s="77"/>
    </row>
    <row r="901" spans="9:24" x14ac:dyDescent="0.25">
      <c r="I901" s="46"/>
      <c r="J901" s="46"/>
      <c r="K901" s="46"/>
      <c r="V901" s="77"/>
      <c r="W901" s="77"/>
      <c r="X901" s="77"/>
    </row>
    <row r="902" spans="9:24" x14ac:dyDescent="0.25">
      <c r="I902" s="46"/>
      <c r="J902" s="46"/>
      <c r="K902" s="46"/>
      <c r="V902" s="77"/>
      <c r="W902" s="77"/>
      <c r="X902" s="77"/>
    </row>
    <row r="903" spans="9:24" x14ac:dyDescent="0.25">
      <c r="I903" s="46"/>
      <c r="J903" s="46"/>
      <c r="K903" s="46"/>
      <c r="V903" s="77"/>
      <c r="W903" s="77"/>
      <c r="X903" s="77"/>
    </row>
    <row r="904" spans="9:24" x14ac:dyDescent="0.25">
      <c r="I904" s="46"/>
      <c r="J904" s="46"/>
      <c r="K904" s="46"/>
      <c r="V904" s="77"/>
      <c r="W904" s="77"/>
      <c r="X904" s="77"/>
    </row>
    <row r="905" spans="9:24" x14ac:dyDescent="0.25">
      <c r="I905" s="46"/>
      <c r="J905" s="46"/>
      <c r="K905" s="46"/>
      <c r="V905" s="77"/>
      <c r="W905" s="77"/>
      <c r="X905" s="77"/>
    </row>
    <row r="906" spans="9:24" x14ac:dyDescent="0.25">
      <c r="I906" s="46"/>
      <c r="J906" s="46"/>
      <c r="K906" s="46"/>
      <c r="V906" s="77"/>
      <c r="W906" s="77"/>
      <c r="X906" s="77"/>
    </row>
    <row r="907" spans="9:24" x14ac:dyDescent="0.25">
      <c r="I907" s="46"/>
      <c r="J907" s="46"/>
      <c r="K907" s="46"/>
      <c r="V907" s="77"/>
      <c r="W907" s="77"/>
      <c r="X907" s="77"/>
    </row>
    <row r="908" spans="9:24" x14ac:dyDescent="0.25">
      <c r="I908" s="46"/>
      <c r="J908" s="46"/>
      <c r="K908" s="46"/>
      <c r="V908" s="77"/>
      <c r="W908" s="77"/>
      <c r="X908" s="77"/>
    </row>
    <row r="909" spans="9:24" x14ac:dyDescent="0.25">
      <c r="I909" s="46"/>
      <c r="J909" s="46"/>
      <c r="K909" s="46"/>
      <c r="V909" s="77"/>
      <c r="W909" s="77"/>
      <c r="X909" s="77"/>
    </row>
    <row r="910" spans="9:24" x14ac:dyDescent="0.25">
      <c r="I910" s="46"/>
      <c r="J910" s="46"/>
      <c r="K910" s="46"/>
      <c r="V910" s="77"/>
      <c r="W910" s="77"/>
      <c r="X910" s="77"/>
    </row>
    <row r="911" spans="9:24" x14ac:dyDescent="0.25">
      <c r="I911" s="46"/>
      <c r="J911" s="46"/>
      <c r="K911" s="46"/>
      <c r="V911" s="77"/>
      <c r="W911" s="77"/>
      <c r="X911" s="77"/>
    </row>
    <row r="912" spans="9:24" x14ac:dyDescent="0.25">
      <c r="I912" s="46"/>
      <c r="J912" s="46"/>
      <c r="K912" s="46"/>
      <c r="V912" s="77"/>
      <c r="W912" s="77"/>
      <c r="X912" s="77"/>
    </row>
    <row r="913" spans="9:24" x14ac:dyDescent="0.25">
      <c r="I913" s="46"/>
      <c r="J913" s="46"/>
      <c r="K913" s="46"/>
      <c r="V913" s="77"/>
      <c r="W913" s="77"/>
      <c r="X913" s="77"/>
    </row>
    <row r="914" spans="9:24" x14ac:dyDescent="0.25">
      <c r="I914" s="46"/>
      <c r="J914" s="46"/>
      <c r="K914" s="46"/>
      <c r="V914" s="77"/>
      <c r="W914" s="77"/>
      <c r="X914" s="77"/>
    </row>
    <row r="915" spans="9:24" x14ac:dyDescent="0.25">
      <c r="I915" s="46"/>
      <c r="J915" s="46"/>
      <c r="K915" s="46"/>
      <c r="V915" s="77"/>
      <c r="W915" s="77"/>
      <c r="X915" s="77"/>
    </row>
    <row r="916" spans="9:24" x14ac:dyDescent="0.25">
      <c r="I916" s="46"/>
      <c r="J916" s="46"/>
      <c r="K916" s="46"/>
      <c r="V916" s="77"/>
      <c r="W916" s="77"/>
      <c r="X916" s="77"/>
    </row>
    <row r="917" spans="9:24" x14ac:dyDescent="0.25">
      <c r="I917" s="46"/>
      <c r="J917" s="46"/>
      <c r="K917" s="46"/>
      <c r="V917" s="77"/>
      <c r="W917" s="77"/>
      <c r="X917" s="77"/>
    </row>
    <row r="918" spans="9:24" x14ac:dyDescent="0.25">
      <c r="I918" s="46"/>
      <c r="J918" s="46"/>
      <c r="K918" s="46"/>
      <c r="V918" s="77"/>
      <c r="W918" s="77"/>
      <c r="X918" s="77"/>
    </row>
    <row r="919" spans="9:24" x14ac:dyDescent="0.25">
      <c r="I919" s="46"/>
      <c r="J919" s="46"/>
      <c r="K919" s="46"/>
      <c r="V919" s="77"/>
      <c r="W919" s="77"/>
      <c r="X919" s="77"/>
    </row>
    <row r="920" spans="9:24" x14ac:dyDescent="0.25">
      <c r="I920" s="46"/>
      <c r="J920" s="46"/>
      <c r="K920" s="46"/>
      <c r="V920" s="77"/>
      <c r="W920" s="77"/>
      <c r="X920" s="77"/>
    </row>
    <row r="921" spans="9:24" x14ac:dyDescent="0.25">
      <c r="I921" s="46"/>
      <c r="J921" s="46"/>
      <c r="K921" s="46"/>
      <c r="V921" s="77"/>
      <c r="W921" s="77"/>
      <c r="X921" s="77"/>
    </row>
    <row r="922" spans="9:24" x14ac:dyDescent="0.25">
      <c r="I922" s="46"/>
      <c r="J922" s="46"/>
      <c r="K922" s="46"/>
      <c r="V922" s="77"/>
      <c r="W922" s="77"/>
      <c r="X922" s="77"/>
    </row>
    <row r="923" spans="9:24" x14ac:dyDescent="0.25">
      <c r="I923" s="46"/>
      <c r="J923" s="46"/>
      <c r="K923" s="46"/>
      <c r="V923" s="77"/>
      <c r="W923" s="77"/>
      <c r="X923" s="77"/>
    </row>
    <row r="924" spans="9:24" x14ac:dyDescent="0.25">
      <c r="I924" s="46"/>
      <c r="J924" s="46"/>
      <c r="K924" s="46"/>
      <c r="V924" s="77"/>
      <c r="W924" s="77"/>
      <c r="X924" s="77"/>
    </row>
    <row r="925" spans="9:24" x14ac:dyDescent="0.25">
      <c r="I925" s="46"/>
      <c r="J925" s="46"/>
      <c r="K925" s="46"/>
      <c r="V925" s="77"/>
      <c r="W925" s="77"/>
      <c r="X925" s="77"/>
    </row>
    <row r="926" spans="9:24" x14ac:dyDescent="0.25">
      <c r="I926" s="46"/>
      <c r="J926" s="46"/>
      <c r="K926" s="46"/>
      <c r="V926" s="77"/>
      <c r="W926" s="77"/>
      <c r="X926" s="77"/>
    </row>
    <row r="927" spans="9:24" x14ac:dyDescent="0.25">
      <c r="I927" s="46"/>
      <c r="J927" s="46"/>
      <c r="K927" s="46"/>
      <c r="V927" s="77"/>
      <c r="W927" s="77"/>
      <c r="X927" s="77"/>
    </row>
    <row r="928" spans="9:24" x14ac:dyDescent="0.25">
      <c r="I928" s="46"/>
      <c r="J928" s="46"/>
      <c r="K928" s="46"/>
      <c r="V928" s="77"/>
      <c r="W928" s="77"/>
      <c r="X928" s="77"/>
    </row>
    <row r="929" spans="9:24" x14ac:dyDescent="0.25">
      <c r="I929" s="46"/>
      <c r="J929" s="46"/>
      <c r="K929" s="46"/>
      <c r="V929" s="77"/>
      <c r="W929" s="77"/>
      <c r="X929" s="77"/>
    </row>
    <row r="930" spans="9:24" x14ac:dyDescent="0.25">
      <c r="I930" s="46"/>
      <c r="J930" s="46"/>
      <c r="K930" s="46"/>
      <c r="V930" s="77"/>
      <c r="W930" s="77"/>
      <c r="X930" s="77"/>
    </row>
    <row r="931" spans="9:24" x14ac:dyDescent="0.25">
      <c r="I931" s="46"/>
      <c r="J931" s="46"/>
      <c r="K931" s="46"/>
      <c r="V931" s="77"/>
      <c r="W931" s="77"/>
      <c r="X931" s="77"/>
    </row>
    <row r="932" spans="9:24" x14ac:dyDescent="0.25">
      <c r="I932" s="46"/>
      <c r="J932" s="46"/>
      <c r="K932" s="46"/>
      <c r="V932" s="77"/>
      <c r="W932" s="77"/>
      <c r="X932" s="77"/>
    </row>
    <row r="933" spans="9:24" x14ac:dyDescent="0.25">
      <c r="I933" s="46"/>
      <c r="J933" s="46"/>
      <c r="K933" s="46"/>
      <c r="V933" s="77"/>
      <c r="W933" s="77"/>
      <c r="X933" s="77"/>
    </row>
    <row r="934" spans="9:24" x14ac:dyDescent="0.25">
      <c r="I934" s="46"/>
      <c r="J934" s="46"/>
      <c r="K934" s="46"/>
      <c r="V934" s="77"/>
      <c r="W934" s="77"/>
      <c r="X934" s="77"/>
    </row>
    <row r="935" spans="9:24" x14ac:dyDescent="0.25">
      <c r="I935" s="46"/>
      <c r="J935" s="46"/>
      <c r="K935" s="46"/>
      <c r="V935" s="77"/>
      <c r="W935" s="77"/>
      <c r="X935" s="77"/>
    </row>
    <row r="936" spans="9:24" x14ac:dyDescent="0.25">
      <c r="I936" s="46"/>
      <c r="J936" s="46"/>
      <c r="K936" s="46"/>
      <c r="V936" s="77"/>
      <c r="W936" s="77"/>
      <c r="X936" s="77"/>
    </row>
    <row r="937" spans="9:24" x14ac:dyDescent="0.25">
      <c r="I937" s="46"/>
      <c r="J937" s="46"/>
      <c r="K937" s="46"/>
      <c r="V937" s="77"/>
      <c r="W937" s="77"/>
      <c r="X937" s="77"/>
    </row>
    <row r="938" spans="9:24" x14ac:dyDescent="0.25">
      <c r="I938" s="46"/>
      <c r="J938" s="46"/>
      <c r="K938" s="46"/>
      <c r="V938" s="77"/>
      <c r="W938" s="77"/>
      <c r="X938" s="77"/>
    </row>
    <row r="939" spans="9:24" x14ac:dyDescent="0.25">
      <c r="I939" s="46"/>
      <c r="J939" s="46"/>
      <c r="K939" s="46"/>
      <c r="V939" s="77"/>
      <c r="W939" s="77"/>
      <c r="X939" s="77"/>
    </row>
    <row r="940" spans="9:24" x14ac:dyDescent="0.25">
      <c r="I940" s="46"/>
      <c r="J940" s="46"/>
      <c r="K940" s="46"/>
      <c r="V940" s="77"/>
      <c r="W940" s="77"/>
      <c r="X940" s="77"/>
    </row>
    <row r="941" spans="9:24" x14ac:dyDescent="0.25">
      <c r="I941" s="46"/>
      <c r="J941" s="46"/>
      <c r="K941" s="46"/>
      <c r="V941" s="77"/>
      <c r="W941" s="77"/>
      <c r="X941" s="77"/>
    </row>
    <row r="942" spans="9:24" x14ac:dyDescent="0.25">
      <c r="I942" s="46"/>
      <c r="J942" s="46"/>
      <c r="K942" s="46"/>
      <c r="V942" s="77"/>
      <c r="W942" s="77"/>
      <c r="X942" s="77"/>
    </row>
    <row r="943" spans="9:24" x14ac:dyDescent="0.25">
      <c r="I943" s="46"/>
      <c r="J943" s="46"/>
      <c r="K943" s="46"/>
      <c r="V943" s="77"/>
      <c r="W943" s="77"/>
      <c r="X943" s="77"/>
    </row>
    <row r="944" spans="9:24" x14ac:dyDescent="0.25">
      <c r="I944" s="46"/>
      <c r="J944" s="46"/>
      <c r="K944" s="46"/>
      <c r="V944" s="77"/>
      <c r="W944" s="77"/>
      <c r="X944" s="77"/>
    </row>
    <row r="945" spans="9:24" x14ac:dyDescent="0.25">
      <c r="I945" s="46"/>
      <c r="J945" s="46"/>
      <c r="K945" s="46"/>
      <c r="V945" s="77"/>
      <c r="W945" s="77"/>
      <c r="X945" s="77"/>
    </row>
    <row r="946" spans="9:24" x14ac:dyDescent="0.25">
      <c r="I946" s="46"/>
      <c r="J946" s="46"/>
      <c r="K946" s="46"/>
      <c r="V946" s="77"/>
      <c r="W946" s="77"/>
      <c r="X946" s="77"/>
    </row>
    <row r="947" spans="9:24" x14ac:dyDescent="0.25">
      <c r="I947" s="46"/>
      <c r="J947" s="46"/>
      <c r="K947" s="46"/>
      <c r="V947" s="77"/>
      <c r="W947" s="77"/>
      <c r="X947" s="77"/>
    </row>
    <row r="948" spans="9:24" x14ac:dyDescent="0.25">
      <c r="I948" s="46"/>
      <c r="J948" s="46"/>
      <c r="K948" s="46"/>
      <c r="V948" s="77"/>
      <c r="W948" s="77"/>
      <c r="X948" s="77"/>
    </row>
    <row r="949" spans="9:24" x14ac:dyDescent="0.25">
      <c r="I949" s="46"/>
      <c r="J949" s="46"/>
      <c r="K949" s="46"/>
      <c r="V949" s="77"/>
      <c r="W949" s="77"/>
      <c r="X949" s="77"/>
    </row>
    <row r="950" spans="9:24" x14ac:dyDescent="0.25">
      <c r="I950" s="46"/>
      <c r="J950" s="46"/>
      <c r="K950" s="46"/>
      <c r="V950" s="77"/>
      <c r="W950" s="77"/>
      <c r="X950" s="77"/>
    </row>
    <row r="951" spans="9:24" x14ac:dyDescent="0.25">
      <c r="I951" s="46"/>
      <c r="J951" s="46"/>
      <c r="K951" s="46"/>
      <c r="V951" s="77"/>
      <c r="W951" s="77"/>
      <c r="X951" s="77"/>
    </row>
    <row r="952" spans="9:24" x14ac:dyDescent="0.25">
      <c r="I952" s="46"/>
      <c r="J952" s="46"/>
      <c r="K952" s="46"/>
      <c r="V952" s="77"/>
      <c r="W952" s="77"/>
      <c r="X952" s="77"/>
    </row>
    <row r="953" spans="9:24" x14ac:dyDescent="0.25">
      <c r="I953" s="46"/>
      <c r="J953" s="46"/>
      <c r="K953" s="46"/>
      <c r="V953" s="77"/>
      <c r="W953" s="77"/>
      <c r="X953" s="77"/>
    </row>
    <row r="954" spans="9:24" x14ac:dyDescent="0.25">
      <c r="I954" s="46"/>
      <c r="J954" s="46"/>
      <c r="K954" s="46"/>
      <c r="V954" s="77"/>
      <c r="W954" s="77"/>
      <c r="X954" s="77"/>
    </row>
    <row r="955" spans="9:24" x14ac:dyDescent="0.25">
      <c r="I955" s="46"/>
      <c r="J955" s="46"/>
      <c r="K955" s="46"/>
      <c r="V955" s="77"/>
      <c r="W955" s="77"/>
      <c r="X955" s="77"/>
    </row>
    <row r="956" spans="9:24" x14ac:dyDescent="0.25">
      <c r="I956" s="46"/>
      <c r="J956" s="46"/>
      <c r="K956" s="46"/>
      <c r="V956" s="77"/>
      <c r="W956" s="77"/>
      <c r="X956" s="77"/>
    </row>
    <row r="957" spans="9:24" x14ac:dyDescent="0.25">
      <c r="I957" s="46"/>
      <c r="J957" s="46"/>
      <c r="K957" s="46"/>
      <c r="V957" s="77"/>
      <c r="W957" s="77"/>
      <c r="X957" s="77"/>
    </row>
    <row r="958" spans="9:24" x14ac:dyDescent="0.25">
      <c r="I958" s="46"/>
      <c r="J958" s="46"/>
      <c r="K958" s="46"/>
      <c r="V958" s="77"/>
      <c r="W958" s="77"/>
      <c r="X958" s="77"/>
    </row>
    <row r="959" spans="9:24" x14ac:dyDescent="0.25">
      <c r="I959" s="46"/>
      <c r="J959" s="46"/>
      <c r="K959" s="46"/>
      <c r="V959" s="77"/>
      <c r="W959" s="77"/>
      <c r="X959" s="77"/>
    </row>
    <row r="960" spans="9:24" x14ac:dyDescent="0.25">
      <c r="I960" s="46"/>
      <c r="J960" s="46"/>
      <c r="K960" s="46"/>
      <c r="V960" s="77"/>
      <c r="W960" s="77"/>
      <c r="X960" s="77"/>
    </row>
    <row r="961" spans="9:24" x14ac:dyDescent="0.25">
      <c r="I961" s="46"/>
      <c r="J961" s="46"/>
      <c r="K961" s="46"/>
      <c r="V961" s="77"/>
      <c r="W961" s="77"/>
      <c r="X961" s="77"/>
    </row>
    <row r="962" spans="9:24" x14ac:dyDescent="0.25">
      <c r="I962" s="46"/>
      <c r="J962" s="46"/>
      <c r="K962" s="46"/>
      <c r="V962" s="77"/>
      <c r="W962" s="77"/>
      <c r="X962" s="77"/>
    </row>
    <row r="963" spans="9:24" x14ac:dyDescent="0.25">
      <c r="I963" s="46"/>
      <c r="J963" s="46"/>
      <c r="K963" s="46"/>
      <c r="V963" s="77"/>
      <c r="W963" s="77"/>
      <c r="X963" s="77"/>
    </row>
    <row r="964" spans="9:24" x14ac:dyDescent="0.25">
      <c r="I964" s="46"/>
      <c r="J964" s="46"/>
      <c r="K964" s="46"/>
      <c r="V964" s="77"/>
      <c r="W964" s="77"/>
      <c r="X964" s="77"/>
    </row>
    <row r="965" spans="9:24" x14ac:dyDescent="0.25">
      <c r="I965" s="46"/>
      <c r="J965" s="46"/>
      <c r="K965" s="46"/>
      <c r="V965" s="77"/>
      <c r="W965" s="77"/>
      <c r="X965" s="77"/>
    </row>
    <row r="966" spans="9:24" x14ac:dyDescent="0.25">
      <c r="I966" s="46"/>
      <c r="J966" s="46"/>
      <c r="K966" s="46"/>
      <c r="V966" s="77"/>
      <c r="W966" s="77"/>
      <c r="X966" s="77"/>
    </row>
    <row r="967" spans="9:24" x14ac:dyDescent="0.25">
      <c r="I967" s="46"/>
      <c r="J967" s="46"/>
      <c r="K967" s="46"/>
      <c r="V967" s="77"/>
      <c r="W967" s="77"/>
      <c r="X967" s="77"/>
    </row>
    <row r="968" spans="9:24" x14ac:dyDescent="0.25">
      <c r="I968" s="46"/>
      <c r="J968" s="46"/>
      <c r="K968" s="46"/>
      <c r="V968" s="77"/>
      <c r="W968" s="77"/>
      <c r="X968" s="77"/>
    </row>
    <row r="969" spans="9:24" x14ac:dyDescent="0.25">
      <c r="I969" s="46"/>
      <c r="J969" s="46"/>
      <c r="K969" s="46"/>
      <c r="V969" s="77"/>
      <c r="W969" s="77"/>
      <c r="X969" s="77"/>
    </row>
    <row r="970" spans="9:24" x14ac:dyDescent="0.25">
      <c r="I970" s="46"/>
      <c r="J970" s="46"/>
      <c r="K970" s="46"/>
      <c r="V970" s="77"/>
      <c r="W970" s="77"/>
      <c r="X970" s="77"/>
    </row>
    <row r="971" spans="9:24" x14ac:dyDescent="0.25">
      <c r="I971" s="46"/>
      <c r="J971" s="46"/>
      <c r="K971" s="46"/>
      <c r="V971" s="77"/>
      <c r="W971" s="77"/>
      <c r="X971" s="77"/>
    </row>
    <row r="972" spans="9:24" x14ac:dyDescent="0.25">
      <c r="I972" s="46"/>
      <c r="J972" s="46"/>
      <c r="K972" s="46"/>
      <c r="V972" s="77"/>
      <c r="W972" s="77"/>
      <c r="X972" s="77"/>
    </row>
    <row r="973" spans="9:24" x14ac:dyDescent="0.25">
      <c r="I973" s="46"/>
      <c r="J973" s="46"/>
      <c r="K973" s="46"/>
      <c r="V973" s="77"/>
      <c r="W973" s="77"/>
      <c r="X973" s="77"/>
    </row>
    <row r="974" spans="9:24" x14ac:dyDescent="0.25">
      <c r="I974" s="46"/>
      <c r="J974" s="46"/>
      <c r="K974" s="46"/>
      <c r="V974" s="77"/>
      <c r="W974" s="77"/>
      <c r="X974" s="77"/>
    </row>
    <row r="975" spans="9:24" x14ac:dyDescent="0.25">
      <c r="I975" s="46"/>
      <c r="J975" s="46"/>
      <c r="K975" s="46"/>
      <c r="V975" s="77"/>
      <c r="W975" s="77"/>
      <c r="X975" s="77"/>
    </row>
    <row r="976" spans="9:24" x14ac:dyDescent="0.25">
      <c r="I976" s="46"/>
      <c r="J976" s="46"/>
      <c r="K976" s="46"/>
      <c r="V976" s="77"/>
      <c r="W976" s="77"/>
      <c r="X976" s="77"/>
    </row>
    <row r="977" spans="9:24" x14ac:dyDescent="0.25">
      <c r="I977" s="46"/>
      <c r="J977" s="46"/>
      <c r="K977" s="46"/>
      <c r="V977" s="77"/>
      <c r="W977" s="77"/>
      <c r="X977" s="77"/>
    </row>
    <row r="978" spans="9:24" x14ac:dyDescent="0.25">
      <c r="I978" s="46"/>
      <c r="J978" s="46"/>
      <c r="K978" s="46"/>
      <c r="V978" s="77"/>
      <c r="W978" s="77"/>
      <c r="X978" s="77"/>
    </row>
    <row r="979" spans="9:24" x14ac:dyDescent="0.25">
      <c r="I979" s="46"/>
      <c r="J979" s="46"/>
      <c r="K979" s="46"/>
      <c r="V979" s="77"/>
      <c r="W979" s="77"/>
      <c r="X979" s="77"/>
    </row>
    <row r="980" spans="9:24" x14ac:dyDescent="0.25">
      <c r="I980" s="46"/>
      <c r="J980" s="46"/>
      <c r="K980" s="46"/>
      <c r="V980" s="77"/>
      <c r="W980" s="77"/>
      <c r="X980" s="77"/>
    </row>
    <row r="981" spans="9:24" x14ac:dyDescent="0.25">
      <c r="I981" s="46"/>
      <c r="J981" s="46"/>
      <c r="K981" s="46"/>
      <c r="V981" s="77"/>
      <c r="W981" s="77"/>
      <c r="X981" s="77"/>
    </row>
    <row r="982" spans="9:24" x14ac:dyDescent="0.25">
      <c r="I982" s="46"/>
      <c r="J982" s="46"/>
      <c r="K982" s="46"/>
      <c r="V982" s="77"/>
      <c r="W982" s="77"/>
      <c r="X982" s="77"/>
    </row>
    <row r="983" spans="9:24" x14ac:dyDescent="0.25">
      <c r="I983" s="46"/>
      <c r="J983" s="46"/>
      <c r="K983" s="46"/>
      <c r="V983" s="77"/>
      <c r="W983" s="77"/>
      <c r="X983" s="77"/>
    </row>
    <row r="984" spans="9:24" x14ac:dyDescent="0.25">
      <c r="I984" s="46"/>
      <c r="J984" s="46"/>
      <c r="K984" s="46"/>
      <c r="V984" s="77"/>
      <c r="W984" s="77"/>
      <c r="X984" s="77"/>
    </row>
    <row r="985" spans="9:24" x14ac:dyDescent="0.25">
      <c r="I985" s="46"/>
      <c r="J985" s="46"/>
      <c r="K985" s="46"/>
      <c r="V985" s="77"/>
      <c r="W985" s="77"/>
      <c r="X985" s="77"/>
    </row>
    <row r="986" spans="9:24" x14ac:dyDescent="0.25">
      <c r="I986" s="46"/>
      <c r="J986" s="46"/>
      <c r="K986" s="46"/>
      <c r="V986" s="77"/>
      <c r="W986" s="77"/>
      <c r="X986" s="77"/>
    </row>
    <row r="987" spans="9:24" x14ac:dyDescent="0.25">
      <c r="I987" s="46"/>
      <c r="J987" s="46"/>
      <c r="K987" s="46"/>
      <c r="V987" s="77"/>
      <c r="W987" s="77"/>
      <c r="X987" s="77"/>
    </row>
    <row r="988" spans="9:24" x14ac:dyDescent="0.25">
      <c r="I988" s="46"/>
      <c r="J988" s="46"/>
      <c r="K988" s="46"/>
      <c r="V988" s="77"/>
      <c r="W988" s="77"/>
      <c r="X988" s="77"/>
    </row>
    <row r="989" spans="9:24" x14ac:dyDescent="0.25">
      <c r="I989" s="46"/>
      <c r="J989" s="46"/>
      <c r="K989" s="46"/>
      <c r="V989" s="77"/>
      <c r="W989" s="77"/>
      <c r="X989" s="77"/>
    </row>
    <row r="990" spans="9:24" x14ac:dyDescent="0.25">
      <c r="I990" s="46"/>
      <c r="J990" s="46"/>
      <c r="K990" s="46"/>
      <c r="V990" s="77"/>
      <c r="W990" s="77"/>
      <c r="X990" s="77"/>
    </row>
    <row r="991" spans="9:24" x14ac:dyDescent="0.25">
      <c r="I991" s="46"/>
      <c r="J991" s="46"/>
      <c r="K991" s="46"/>
      <c r="V991" s="77"/>
      <c r="W991" s="77"/>
      <c r="X991" s="77"/>
    </row>
    <row r="992" spans="9:24" x14ac:dyDescent="0.25">
      <c r="I992" s="46"/>
      <c r="J992" s="46"/>
      <c r="K992" s="46"/>
      <c r="V992" s="77"/>
      <c r="W992" s="77"/>
      <c r="X992" s="77"/>
    </row>
    <row r="993" spans="9:24" x14ac:dyDescent="0.25">
      <c r="I993" s="46"/>
      <c r="J993" s="46"/>
      <c r="K993" s="46"/>
      <c r="V993" s="77"/>
      <c r="W993" s="77"/>
      <c r="X993" s="77"/>
    </row>
    <row r="994" spans="9:24" x14ac:dyDescent="0.25">
      <c r="I994" s="46"/>
      <c r="J994" s="46"/>
      <c r="K994" s="46"/>
      <c r="V994" s="77"/>
      <c r="W994" s="77"/>
      <c r="X994" s="77"/>
    </row>
    <row r="995" spans="9:24" x14ac:dyDescent="0.25">
      <c r="I995" s="46"/>
      <c r="J995" s="46"/>
      <c r="K995" s="46"/>
      <c r="V995" s="77"/>
      <c r="W995" s="77"/>
      <c r="X995" s="77"/>
    </row>
    <row r="996" spans="9:24" x14ac:dyDescent="0.25">
      <c r="I996" s="46"/>
      <c r="J996" s="46"/>
      <c r="K996" s="46"/>
      <c r="V996" s="77"/>
      <c r="W996" s="77"/>
      <c r="X996" s="77"/>
    </row>
    <row r="997" spans="9:24" x14ac:dyDescent="0.25">
      <c r="I997" s="46"/>
      <c r="J997" s="46"/>
      <c r="K997" s="46"/>
      <c r="V997" s="77"/>
      <c r="W997" s="77"/>
      <c r="X997" s="77"/>
    </row>
    <row r="998" spans="9:24" x14ac:dyDescent="0.25">
      <c r="I998" s="46"/>
      <c r="J998" s="46"/>
      <c r="K998" s="46"/>
      <c r="V998" s="77"/>
      <c r="W998" s="77"/>
      <c r="X998" s="77"/>
    </row>
    <row r="999" spans="9:24" x14ac:dyDescent="0.25">
      <c r="I999" s="46"/>
      <c r="J999" s="46"/>
      <c r="K999" s="46"/>
      <c r="V999" s="77"/>
      <c r="W999" s="77"/>
      <c r="X999" s="77"/>
    </row>
    <row r="1000" spans="9:24" x14ac:dyDescent="0.25">
      <c r="I1000" s="46"/>
      <c r="J1000" s="46"/>
      <c r="K1000" s="46"/>
      <c r="V1000" s="77"/>
      <c r="W1000" s="77"/>
      <c r="X1000" s="77"/>
    </row>
    <row r="1001" spans="9:24" x14ac:dyDescent="0.25">
      <c r="I1001" s="46"/>
      <c r="J1001" s="46"/>
      <c r="K1001" s="46"/>
      <c r="V1001" s="77"/>
      <c r="W1001" s="77"/>
      <c r="X1001" s="77"/>
    </row>
    <row r="1002" spans="9:24" x14ac:dyDescent="0.25">
      <c r="I1002" s="46"/>
      <c r="J1002" s="46"/>
      <c r="K1002" s="46"/>
      <c r="V1002" s="77"/>
      <c r="W1002" s="77"/>
      <c r="X1002" s="77"/>
    </row>
    <row r="1003" spans="9:24" x14ac:dyDescent="0.25">
      <c r="I1003" s="46"/>
      <c r="J1003" s="46"/>
      <c r="K1003" s="46"/>
      <c r="V1003" s="77"/>
      <c r="W1003" s="77"/>
      <c r="X1003" s="77"/>
    </row>
    <row r="1004" spans="9:24" x14ac:dyDescent="0.25">
      <c r="I1004" s="46"/>
      <c r="J1004" s="46"/>
      <c r="K1004" s="46"/>
      <c r="V1004" s="77"/>
      <c r="W1004" s="77"/>
      <c r="X1004" s="77"/>
    </row>
    <row r="1005" spans="9:24" x14ac:dyDescent="0.25">
      <c r="I1005" s="46"/>
      <c r="J1005" s="46"/>
      <c r="K1005" s="46"/>
      <c r="V1005" s="77"/>
      <c r="W1005" s="77"/>
      <c r="X1005" s="77"/>
    </row>
    <row r="1006" spans="9:24" x14ac:dyDescent="0.25">
      <c r="I1006" s="46"/>
      <c r="J1006" s="46"/>
      <c r="K1006" s="46"/>
      <c r="V1006" s="77"/>
      <c r="W1006" s="77"/>
      <c r="X1006" s="77"/>
    </row>
    <row r="1007" spans="9:24" x14ac:dyDescent="0.25">
      <c r="I1007" s="46"/>
      <c r="J1007" s="46"/>
      <c r="K1007" s="46"/>
      <c r="V1007" s="77"/>
      <c r="W1007" s="77"/>
      <c r="X1007" s="77"/>
    </row>
    <row r="1008" spans="9:24" x14ac:dyDescent="0.25">
      <c r="I1008" s="46"/>
      <c r="J1008" s="46"/>
      <c r="K1008" s="46"/>
      <c r="V1008" s="77"/>
      <c r="W1008" s="77"/>
      <c r="X1008" s="77"/>
    </row>
    <row r="1009" spans="9:24" x14ac:dyDescent="0.25">
      <c r="I1009" s="46"/>
      <c r="J1009" s="46"/>
      <c r="K1009" s="46"/>
      <c r="V1009" s="77"/>
      <c r="W1009" s="77"/>
      <c r="X1009" s="77"/>
    </row>
    <row r="1010" spans="9:24" x14ac:dyDescent="0.25">
      <c r="I1010" s="46"/>
      <c r="J1010" s="46"/>
      <c r="K1010" s="46"/>
      <c r="V1010" s="77"/>
      <c r="W1010" s="77"/>
      <c r="X1010" s="77"/>
    </row>
    <row r="1011" spans="9:24" x14ac:dyDescent="0.25">
      <c r="I1011" s="46"/>
      <c r="J1011" s="46"/>
      <c r="K1011" s="46"/>
      <c r="V1011" s="77"/>
      <c r="W1011" s="77"/>
      <c r="X1011" s="77"/>
    </row>
    <row r="1012" spans="9:24" x14ac:dyDescent="0.25">
      <c r="I1012" s="46"/>
      <c r="J1012" s="46"/>
      <c r="K1012" s="46"/>
      <c r="V1012" s="77"/>
      <c r="W1012" s="77"/>
      <c r="X1012" s="77"/>
    </row>
    <row r="1013" spans="9:24" x14ac:dyDescent="0.25">
      <c r="I1013" s="46"/>
      <c r="J1013" s="46"/>
      <c r="K1013" s="46"/>
      <c r="V1013" s="77"/>
      <c r="W1013" s="77"/>
      <c r="X1013" s="77"/>
    </row>
    <row r="1014" spans="9:24" x14ac:dyDescent="0.25">
      <c r="I1014" s="46"/>
      <c r="J1014" s="46"/>
      <c r="K1014" s="46"/>
      <c r="V1014" s="77"/>
      <c r="W1014" s="77"/>
      <c r="X1014" s="77"/>
    </row>
    <row r="1015" spans="9:24" x14ac:dyDescent="0.25">
      <c r="I1015" s="46"/>
      <c r="J1015" s="46"/>
      <c r="K1015" s="46"/>
      <c r="V1015" s="77"/>
      <c r="W1015" s="77"/>
      <c r="X1015" s="77"/>
    </row>
    <row r="1016" spans="9:24" x14ac:dyDescent="0.25">
      <c r="I1016" s="46"/>
      <c r="J1016" s="46"/>
      <c r="K1016" s="46"/>
      <c r="V1016" s="77"/>
      <c r="W1016" s="77"/>
      <c r="X1016" s="77"/>
    </row>
    <row r="1017" spans="9:24" x14ac:dyDescent="0.25">
      <c r="I1017" s="46"/>
      <c r="J1017" s="46"/>
      <c r="K1017" s="46"/>
      <c r="V1017" s="77"/>
      <c r="W1017" s="77"/>
      <c r="X1017" s="77"/>
    </row>
    <row r="1018" spans="9:24" x14ac:dyDescent="0.25">
      <c r="I1018" s="46"/>
      <c r="J1018" s="46"/>
      <c r="K1018" s="46"/>
      <c r="V1018" s="77"/>
      <c r="W1018" s="77"/>
      <c r="X1018" s="77"/>
    </row>
    <row r="1019" spans="9:24" x14ac:dyDescent="0.25">
      <c r="I1019" s="46"/>
      <c r="J1019" s="46"/>
      <c r="K1019" s="46"/>
      <c r="V1019" s="77"/>
      <c r="W1019" s="77"/>
      <c r="X1019" s="77"/>
    </row>
    <row r="1020" spans="9:24" x14ac:dyDescent="0.25">
      <c r="I1020" s="46"/>
      <c r="J1020" s="46"/>
      <c r="K1020" s="46"/>
      <c r="V1020" s="77"/>
      <c r="W1020" s="77"/>
      <c r="X1020" s="77"/>
    </row>
    <row r="1021" spans="9:24" x14ac:dyDescent="0.25">
      <c r="I1021" s="46"/>
      <c r="J1021" s="46"/>
      <c r="K1021" s="46"/>
      <c r="V1021" s="77"/>
      <c r="W1021" s="77"/>
      <c r="X1021" s="77"/>
    </row>
    <row r="1022" spans="9:24" x14ac:dyDescent="0.25">
      <c r="I1022" s="46"/>
      <c r="J1022" s="46"/>
      <c r="K1022" s="46"/>
      <c r="V1022" s="77"/>
      <c r="W1022" s="77"/>
      <c r="X1022" s="77"/>
    </row>
    <row r="1023" spans="9:24" x14ac:dyDescent="0.25">
      <c r="I1023" s="46"/>
      <c r="J1023" s="46"/>
      <c r="K1023" s="46"/>
      <c r="V1023" s="77"/>
      <c r="W1023" s="77"/>
      <c r="X1023" s="77"/>
    </row>
    <row r="1024" spans="9:24" x14ac:dyDescent="0.25">
      <c r="I1024" s="46"/>
      <c r="J1024" s="46"/>
      <c r="K1024" s="46"/>
      <c r="V1024" s="77"/>
      <c r="W1024" s="77"/>
      <c r="X1024" s="77"/>
    </row>
    <row r="1025" spans="9:24" x14ac:dyDescent="0.25">
      <c r="I1025" s="46"/>
      <c r="J1025" s="46"/>
      <c r="K1025" s="46"/>
      <c r="V1025" s="77"/>
      <c r="W1025" s="77"/>
      <c r="X1025" s="77"/>
    </row>
    <row r="1026" spans="9:24" x14ac:dyDescent="0.25">
      <c r="I1026" s="46"/>
      <c r="J1026" s="46"/>
      <c r="K1026" s="46"/>
      <c r="V1026" s="77"/>
      <c r="W1026" s="77"/>
      <c r="X1026" s="77"/>
    </row>
    <row r="1027" spans="9:24" x14ac:dyDescent="0.25">
      <c r="I1027" s="46"/>
      <c r="J1027" s="46"/>
      <c r="K1027" s="46"/>
      <c r="V1027" s="77"/>
      <c r="W1027" s="77"/>
      <c r="X1027" s="77"/>
    </row>
    <row r="1028" spans="9:24" x14ac:dyDescent="0.25">
      <c r="I1028" s="46"/>
      <c r="J1028" s="46"/>
      <c r="K1028" s="46"/>
      <c r="V1028" s="77"/>
      <c r="W1028" s="77"/>
      <c r="X1028" s="77"/>
    </row>
    <row r="1029" spans="9:24" x14ac:dyDescent="0.25">
      <c r="I1029" s="46"/>
      <c r="J1029" s="46"/>
      <c r="K1029" s="46"/>
      <c r="V1029" s="77"/>
      <c r="W1029" s="77"/>
      <c r="X1029" s="77"/>
    </row>
    <row r="1030" spans="9:24" x14ac:dyDescent="0.25">
      <c r="I1030" s="46"/>
      <c r="J1030" s="46"/>
      <c r="K1030" s="46"/>
      <c r="V1030" s="77"/>
      <c r="W1030" s="77"/>
      <c r="X1030" s="77"/>
    </row>
    <row r="1031" spans="9:24" x14ac:dyDescent="0.25">
      <c r="I1031" s="46"/>
      <c r="J1031" s="46"/>
      <c r="K1031" s="46"/>
      <c r="V1031" s="77"/>
      <c r="W1031" s="77"/>
      <c r="X1031" s="77"/>
    </row>
    <row r="1032" spans="9:24" x14ac:dyDescent="0.25">
      <c r="I1032" s="46"/>
      <c r="J1032" s="46"/>
      <c r="K1032" s="46"/>
      <c r="V1032" s="77"/>
      <c r="W1032" s="77"/>
      <c r="X1032" s="77"/>
    </row>
    <row r="1033" spans="9:24" x14ac:dyDescent="0.25">
      <c r="I1033" s="46"/>
      <c r="J1033" s="46"/>
      <c r="K1033" s="46"/>
      <c r="V1033" s="77"/>
      <c r="W1033" s="77"/>
      <c r="X1033" s="77"/>
    </row>
    <row r="1034" spans="9:24" x14ac:dyDescent="0.25">
      <c r="I1034" s="46"/>
      <c r="J1034" s="46"/>
      <c r="K1034" s="46"/>
      <c r="V1034" s="77"/>
      <c r="W1034" s="77"/>
      <c r="X1034" s="77"/>
    </row>
    <row r="1035" spans="9:24" x14ac:dyDescent="0.25">
      <c r="I1035" s="46"/>
      <c r="J1035" s="46"/>
      <c r="K1035" s="46"/>
      <c r="V1035" s="77"/>
      <c r="W1035" s="77"/>
      <c r="X1035" s="77"/>
    </row>
    <row r="1036" spans="9:24" x14ac:dyDescent="0.25">
      <c r="I1036" s="46"/>
      <c r="J1036" s="46"/>
      <c r="K1036" s="46"/>
      <c r="V1036" s="77"/>
      <c r="W1036" s="77"/>
      <c r="X1036" s="77"/>
    </row>
    <row r="1037" spans="9:24" x14ac:dyDescent="0.25">
      <c r="I1037" s="46"/>
      <c r="J1037" s="46"/>
      <c r="K1037" s="46"/>
      <c r="V1037" s="77"/>
      <c r="W1037" s="77"/>
      <c r="X1037" s="77"/>
    </row>
    <row r="1038" spans="9:24" x14ac:dyDescent="0.25">
      <c r="I1038" s="46"/>
      <c r="J1038" s="46"/>
      <c r="K1038" s="46"/>
      <c r="V1038" s="77"/>
      <c r="W1038" s="77"/>
      <c r="X1038" s="77"/>
    </row>
    <row r="1039" spans="9:24" x14ac:dyDescent="0.25">
      <c r="I1039" s="46"/>
      <c r="J1039" s="46"/>
      <c r="K1039" s="46"/>
      <c r="V1039" s="77"/>
      <c r="W1039" s="77"/>
      <c r="X1039" s="77"/>
    </row>
    <row r="1040" spans="9:24" x14ac:dyDescent="0.25">
      <c r="I1040" s="46"/>
      <c r="J1040" s="46"/>
      <c r="K1040" s="46"/>
      <c r="V1040" s="77"/>
      <c r="W1040" s="77"/>
      <c r="X1040" s="77"/>
    </row>
    <row r="1041" spans="9:24" x14ac:dyDescent="0.25">
      <c r="I1041" s="46"/>
      <c r="J1041" s="46"/>
      <c r="K1041" s="46"/>
      <c r="V1041" s="77"/>
      <c r="W1041" s="77"/>
      <c r="X1041" s="77"/>
    </row>
    <row r="1042" spans="9:24" x14ac:dyDescent="0.25">
      <c r="I1042" s="46"/>
      <c r="J1042" s="46"/>
      <c r="K1042" s="46"/>
      <c r="V1042" s="77"/>
      <c r="W1042" s="77"/>
      <c r="X1042" s="77"/>
    </row>
    <row r="1043" spans="9:24" x14ac:dyDescent="0.25">
      <c r="I1043" s="46"/>
      <c r="J1043" s="46"/>
      <c r="K1043" s="46"/>
      <c r="V1043" s="77"/>
      <c r="W1043" s="77"/>
      <c r="X1043" s="77"/>
    </row>
    <row r="1044" spans="9:24" x14ac:dyDescent="0.25">
      <c r="I1044" s="46"/>
      <c r="J1044" s="46"/>
      <c r="K1044" s="46"/>
      <c r="V1044" s="77"/>
      <c r="W1044" s="77"/>
      <c r="X1044" s="77"/>
    </row>
    <row r="1045" spans="9:24" x14ac:dyDescent="0.25">
      <c r="I1045" s="46"/>
      <c r="J1045" s="46"/>
      <c r="K1045" s="46"/>
      <c r="V1045" s="77"/>
      <c r="W1045" s="77"/>
      <c r="X1045" s="77"/>
    </row>
    <row r="1046" spans="9:24" x14ac:dyDescent="0.25">
      <c r="I1046" s="46"/>
      <c r="J1046" s="46"/>
      <c r="K1046" s="46"/>
      <c r="V1046" s="77"/>
      <c r="W1046" s="77"/>
      <c r="X1046" s="77"/>
    </row>
    <row r="1047" spans="9:24" x14ac:dyDescent="0.25">
      <c r="I1047" s="46"/>
      <c r="J1047" s="46"/>
      <c r="K1047" s="46"/>
      <c r="V1047" s="77"/>
      <c r="W1047" s="77"/>
      <c r="X1047" s="77"/>
    </row>
    <row r="1048" spans="9:24" x14ac:dyDescent="0.25">
      <c r="I1048" s="46"/>
      <c r="J1048" s="46"/>
      <c r="K1048" s="46"/>
      <c r="V1048" s="77"/>
      <c r="W1048" s="77"/>
      <c r="X1048" s="77"/>
    </row>
    <row r="1049" spans="9:24" x14ac:dyDescent="0.25">
      <c r="I1049" s="46"/>
      <c r="J1049" s="46"/>
      <c r="K1049" s="46"/>
      <c r="V1049" s="77"/>
      <c r="W1049" s="77"/>
      <c r="X1049" s="77"/>
    </row>
    <row r="1050" spans="9:24" x14ac:dyDescent="0.25">
      <c r="I1050" s="46"/>
      <c r="J1050" s="46"/>
      <c r="K1050" s="46"/>
      <c r="V1050" s="77"/>
      <c r="W1050" s="77"/>
      <c r="X1050" s="77"/>
    </row>
    <row r="1051" spans="9:24" x14ac:dyDescent="0.25">
      <c r="I1051" s="46"/>
      <c r="J1051" s="46"/>
      <c r="K1051" s="46"/>
      <c r="V1051" s="77"/>
      <c r="W1051" s="77"/>
      <c r="X1051" s="77"/>
    </row>
    <row r="1052" spans="9:24" x14ac:dyDescent="0.25">
      <c r="I1052" s="46"/>
      <c r="J1052" s="46"/>
      <c r="K1052" s="46"/>
      <c r="V1052" s="77"/>
      <c r="W1052" s="77"/>
      <c r="X1052" s="77"/>
    </row>
    <row r="1053" spans="9:24" x14ac:dyDescent="0.25">
      <c r="I1053" s="46"/>
      <c r="J1053" s="46"/>
      <c r="K1053" s="46"/>
      <c r="V1053" s="77"/>
      <c r="W1053" s="77"/>
      <c r="X1053" s="77"/>
    </row>
    <row r="1054" spans="9:24" x14ac:dyDescent="0.25">
      <c r="I1054" s="46"/>
      <c r="J1054" s="46"/>
      <c r="K1054" s="46"/>
      <c r="V1054" s="77"/>
      <c r="W1054" s="77"/>
      <c r="X1054" s="77"/>
    </row>
    <row r="1055" spans="9:24" x14ac:dyDescent="0.25">
      <c r="I1055" s="46"/>
      <c r="J1055" s="46"/>
      <c r="K1055" s="46"/>
      <c r="V1055" s="77"/>
      <c r="W1055" s="77"/>
      <c r="X1055" s="77"/>
    </row>
    <row r="1056" spans="9:24" x14ac:dyDescent="0.25">
      <c r="I1056" s="46"/>
      <c r="J1056" s="46"/>
      <c r="K1056" s="46"/>
      <c r="V1056" s="77"/>
      <c r="W1056" s="77"/>
      <c r="X1056" s="77"/>
    </row>
    <row r="1057" spans="9:24" x14ac:dyDescent="0.25">
      <c r="I1057" s="46"/>
      <c r="J1057" s="46"/>
      <c r="K1057" s="46"/>
      <c r="V1057" s="77"/>
      <c r="W1057" s="77"/>
      <c r="X1057" s="77"/>
    </row>
    <row r="1058" spans="9:24" x14ac:dyDescent="0.25">
      <c r="I1058" s="46"/>
      <c r="J1058" s="46"/>
      <c r="K1058" s="46"/>
      <c r="V1058" s="77"/>
      <c r="W1058" s="77"/>
      <c r="X1058" s="77"/>
    </row>
    <row r="1059" spans="9:24" x14ac:dyDescent="0.25">
      <c r="I1059" s="46"/>
      <c r="J1059" s="46"/>
      <c r="K1059" s="46"/>
      <c r="V1059" s="77"/>
      <c r="W1059" s="77"/>
      <c r="X1059" s="77"/>
    </row>
    <row r="1060" spans="9:24" x14ac:dyDescent="0.25">
      <c r="I1060" s="46"/>
      <c r="J1060" s="46"/>
      <c r="K1060" s="46"/>
      <c r="V1060" s="77"/>
      <c r="W1060" s="77"/>
      <c r="X1060" s="77"/>
    </row>
    <row r="1061" spans="9:24" x14ac:dyDescent="0.25">
      <c r="I1061" s="46"/>
      <c r="J1061" s="46"/>
      <c r="K1061" s="46"/>
      <c r="V1061" s="77"/>
      <c r="W1061" s="77"/>
      <c r="X1061" s="77"/>
    </row>
    <row r="1062" spans="9:24" x14ac:dyDescent="0.25">
      <c r="I1062" s="46"/>
      <c r="J1062" s="46"/>
      <c r="K1062" s="46"/>
      <c r="V1062" s="77"/>
      <c r="W1062" s="77"/>
      <c r="X1062" s="77"/>
    </row>
    <row r="1063" spans="9:24" x14ac:dyDescent="0.25">
      <c r="I1063" s="46"/>
      <c r="J1063" s="46"/>
      <c r="K1063" s="46"/>
      <c r="V1063" s="77"/>
      <c r="W1063" s="77"/>
      <c r="X1063" s="77"/>
    </row>
    <row r="1064" spans="9:24" x14ac:dyDescent="0.25">
      <c r="I1064" s="46"/>
      <c r="J1064" s="46"/>
      <c r="K1064" s="46"/>
      <c r="V1064" s="77"/>
      <c r="W1064" s="77"/>
      <c r="X1064" s="77"/>
    </row>
    <row r="1065" spans="9:24" x14ac:dyDescent="0.25">
      <c r="I1065" s="46"/>
      <c r="J1065" s="46"/>
      <c r="K1065" s="46"/>
      <c r="V1065" s="77"/>
      <c r="W1065" s="77"/>
      <c r="X1065" s="77"/>
    </row>
    <row r="1066" spans="9:24" x14ac:dyDescent="0.25">
      <c r="I1066" s="46"/>
      <c r="J1066" s="46"/>
      <c r="K1066" s="46"/>
      <c r="V1066" s="77"/>
      <c r="W1066" s="77"/>
      <c r="X1066" s="77"/>
    </row>
    <row r="1067" spans="9:24" x14ac:dyDescent="0.25">
      <c r="I1067" s="46"/>
      <c r="J1067" s="46"/>
      <c r="K1067" s="46"/>
      <c r="V1067" s="77"/>
      <c r="W1067" s="77"/>
      <c r="X1067" s="77"/>
    </row>
    <row r="1068" spans="9:24" x14ac:dyDescent="0.25">
      <c r="I1068" s="46"/>
      <c r="J1068" s="46"/>
      <c r="K1068" s="46"/>
      <c r="V1068" s="77"/>
      <c r="W1068" s="77"/>
      <c r="X1068" s="77"/>
    </row>
    <row r="1069" spans="9:24" x14ac:dyDescent="0.25">
      <c r="I1069" s="46"/>
      <c r="J1069" s="46"/>
      <c r="K1069" s="46"/>
      <c r="V1069" s="77"/>
      <c r="W1069" s="77"/>
      <c r="X1069" s="77"/>
    </row>
    <row r="1070" spans="9:24" x14ac:dyDescent="0.25">
      <c r="I1070" s="46"/>
      <c r="J1070" s="46"/>
      <c r="K1070" s="46"/>
      <c r="V1070" s="77"/>
      <c r="W1070" s="77"/>
      <c r="X1070" s="77"/>
    </row>
    <row r="1071" spans="9:24" x14ac:dyDescent="0.25">
      <c r="I1071" s="46"/>
      <c r="J1071" s="46"/>
      <c r="K1071" s="46"/>
      <c r="V1071" s="77"/>
      <c r="W1071" s="77"/>
      <c r="X1071" s="77"/>
    </row>
    <row r="1072" spans="9:24" x14ac:dyDescent="0.25">
      <c r="I1072" s="46"/>
      <c r="J1072" s="46"/>
      <c r="K1072" s="46"/>
      <c r="V1072" s="77"/>
      <c r="W1072" s="77"/>
      <c r="X1072" s="77"/>
    </row>
    <row r="1073" spans="9:24" x14ac:dyDescent="0.25">
      <c r="I1073" s="46"/>
      <c r="J1073" s="46"/>
      <c r="K1073" s="46"/>
      <c r="V1073" s="77"/>
      <c r="W1073" s="77"/>
      <c r="X1073" s="77"/>
    </row>
    <row r="1074" spans="9:24" x14ac:dyDescent="0.25">
      <c r="I1074" s="46"/>
      <c r="J1074" s="46"/>
      <c r="K1074" s="46"/>
      <c r="V1074" s="77"/>
      <c r="W1074" s="77"/>
      <c r="X1074" s="77"/>
    </row>
    <row r="1075" spans="9:24" x14ac:dyDescent="0.25">
      <c r="I1075" s="46"/>
      <c r="J1075" s="46"/>
      <c r="K1075" s="46"/>
      <c r="V1075" s="77"/>
      <c r="W1075" s="77"/>
      <c r="X1075" s="77"/>
    </row>
    <row r="1076" spans="9:24" x14ac:dyDescent="0.25">
      <c r="I1076" s="46"/>
      <c r="J1076" s="46"/>
      <c r="K1076" s="46"/>
      <c r="V1076" s="77"/>
      <c r="W1076" s="77"/>
      <c r="X1076" s="77"/>
    </row>
    <row r="1077" spans="9:24" x14ac:dyDescent="0.25">
      <c r="I1077" s="46"/>
      <c r="J1077" s="46"/>
      <c r="K1077" s="46"/>
      <c r="V1077" s="77"/>
      <c r="W1077" s="77"/>
      <c r="X1077" s="77"/>
    </row>
    <row r="1078" spans="9:24" x14ac:dyDescent="0.25">
      <c r="I1078" s="46"/>
      <c r="J1078" s="46"/>
      <c r="K1078" s="46"/>
      <c r="V1078" s="77"/>
      <c r="W1078" s="77"/>
      <c r="X1078" s="77"/>
    </row>
    <row r="1079" spans="9:24" x14ac:dyDescent="0.25">
      <c r="I1079" s="46"/>
      <c r="J1079" s="46"/>
      <c r="K1079" s="46"/>
      <c r="V1079" s="77"/>
      <c r="W1079" s="77"/>
      <c r="X1079" s="77"/>
    </row>
    <row r="1080" spans="9:24" x14ac:dyDescent="0.25">
      <c r="I1080" s="46"/>
      <c r="J1080" s="46"/>
      <c r="K1080" s="46"/>
      <c r="V1080" s="77"/>
      <c r="W1080" s="77"/>
      <c r="X1080" s="77"/>
    </row>
    <row r="1081" spans="9:24" x14ac:dyDescent="0.25">
      <c r="I1081" s="46"/>
      <c r="J1081" s="46"/>
      <c r="K1081" s="46"/>
      <c r="V1081" s="77"/>
      <c r="W1081" s="77"/>
      <c r="X1081" s="77"/>
    </row>
    <row r="1082" spans="9:24" x14ac:dyDescent="0.25">
      <c r="I1082" s="46"/>
      <c r="J1082" s="46"/>
      <c r="K1082" s="46"/>
      <c r="V1082" s="77"/>
      <c r="W1082" s="77"/>
      <c r="X1082" s="77"/>
    </row>
    <row r="1083" spans="9:24" x14ac:dyDescent="0.25">
      <c r="I1083" s="46"/>
      <c r="J1083" s="46"/>
      <c r="K1083" s="46"/>
      <c r="V1083" s="77"/>
      <c r="W1083" s="77"/>
      <c r="X1083" s="77"/>
    </row>
    <row r="1084" spans="9:24" x14ac:dyDescent="0.25">
      <c r="I1084" s="46"/>
      <c r="J1084" s="46"/>
      <c r="K1084" s="46"/>
      <c r="V1084" s="77"/>
      <c r="W1084" s="77"/>
      <c r="X1084" s="77"/>
    </row>
    <row r="1085" spans="9:24" x14ac:dyDescent="0.25">
      <c r="I1085" s="46"/>
      <c r="J1085" s="46"/>
      <c r="K1085" s="46"/>
      <c r="V1085" s="77"/>
      <c r="W1085" s="77"/>
      <c r="X1085" s="77"/>
    </row>
    <row r="1086" spans="9:24" x14ac:dyDescent="0.25">
      <c r="I1086" s="46"/>
      <c r="J1086" s="46"/>
      <c r="K1086" s="46"/>
      <c r="V1086" s="77"/>
      <c r="W1086" s="77"/>
      <c r="X1086" s="77"/>
    </row>
    <row r="1087" spans="9:24" x14ac:dyDescent="0.25">
      <c r="I1087" s="46"/>
      <c r="J1087" s="46"/>
      <c r="K1087" s="46"/>
      <c r="V1087" s="77"/>
      <c r="W1087" s="77"/>
      <c r="X1087" s="77"/>
    </row>
    <row r="1088" spans="9:24" x14ac:dyDescent="0.25">
      <c r="I1088" s="46"/>
      <c r="J1088" s="46"/>
      <c r="K1088" s="46"/>
      <c r="V1088" s="77"/>
      <c r="W1088" s="77"/>
      <c r="X1088" s="77"/>
    </row>
    <row r="1089" spans="9:24" x14ac:dyDescent="0.25">
      <c r="I1089" s="46"/>
      <c r="J1089" s="46"/>
      <c r="K1089" s="46"/>
      <c r="V1089" s="77"/>
      <c r="W1089" s="77"/>
      <c r="X1089" s="77"/>
    </row>
    <row r="1090" spans="9:24" x14ac:dyDescent="0.25">
      <c r="I1090" s="46"/>
      <c r="J1090" s="46"/>
      <c r="K1090" s="46"/>
      <c r="V1090" s="77"/>
      <c r="W1090" s="77"/>
      <c r="X1090" s="77"/>
    </row>
    <row r="1091" spans="9:24" x14ac:dyDescent="0.25">
      <c r="I1091" s="46"/>
      <c r="J1091" s="46"/>
      <c r="K1091" s="46"/>
      <c r="V1091" s="77"/>
      <c r="W1091" s="77"/>
      <c r="X1091" s="77"/>
    </row>
    <row r="1092" spans="9:24" x14ac:dyDescent="0.25">
      <c r="I1092" s="46"/>
      <c r="J1092" s="46"/>
      <c r="K1092" s="46"/>
      <c r="V1092" s="77"/>
      <c r="W1092" s="77"/>
      <c r="X1092" s="77"/>
    </row>
    <row r="1093" spans="9:24" x14ac:dyDescent="0.25">
      <c r="I1093" s="46"/>
      <c r="J1093" s="46"/>
      <c r="K1093" s="46"/>
      <c r="V1093" s="77"/>
      <c r="W1093" s="77"/>
      <c r="X1093" s="77"/>
    </row>
    <row r="1094" spans="9:24" x14ac:dyDescent="0.25">
      <c r="I1094" s="46"/>
      <c r="J1094" s="46"/>
      <c r="K1094" s="46"/>
      <c r="V1094" s="77"/>
      <c r="W1094" s="77"/>
      <c r="X1094" s="77"/>
    </row>
    <row r="1095" spans="9:24" x14ac:dyDescent="0.25">
      <c r="I1095" s="46"/>
      <c r="J1095" s="46"/>
      <c r="K1095" s="46"/>
      <c r="V1095" s="77"/>
      <c r="W1095" s="77"/>
      <c r="X1095" s="77"/>
    </row>
    <row r="1096" spans="9:24" x14ac:dyDescent="0.25">
      <c r="I1096" s="46"/>
      <c r="J1096" s="46"/>
      <c r="K1096" s="46"/>
      <c r="V1096" s="77"/>
      <c r="W1096" s="77"/>
      <c r="X1096" s="77"/>
    </row>
    <row r="1097" spans="9:24" x14ac:dyDescent="0.25">
      <c r="I1097" s="46"/>
      <c r="J1097" s="46"/>
      <c r="K1097" s="46"/>
      <c r="V1097" s="77"/>
      <c r="W1097" s="77"/>
      <c r="X1097" s="77"/>
    </row>
    <row r="1098" spans="9:24" x14ac:dyDescent="0.25">
      <c r="I1098" s="46"/>
      <c r="J1098" s="46"/>
      <c r="K1098" s="46"/>
      <c r="V1098" s="77"/>
      <c r="W1098" s="77"/>
      <c r="X1098" s="77"/>
    </row>
    <row r="1099" spans="9:24" x14ac:dyDescent="0.25">
      <c r="I1099" s="46"/>
      <c r="J1099" s="46"/>
      <c r="K1099" s="46"/>
      <c r="V1099" s="77"/>
      <c r="W1099" s="77"/>
      <c r="X1099" s="77"/>
    </row>
    <row r="1100" spans="9:24" x14ac:dyDescent="0.25">
      <c r="I1100" s="46"/>
      <c r="J1100" s="46"/>
      <c r="K1100" s="46"/>
      <c r="V1100" s="77"/>
      <c r="W1100" s="77"/>
      <c r="X1100" s="77"/>
    </row>
    <row r="1101" spans="9:24" x14ac:dyDescent="0.25">
      <c r="I1101" s="46"/>
      <c r="J1101" s="46"/>
      <c r="K1101" s="46"/>
      <c r="V1101" s="77"/>
      <c r="W1101" s="77"/>
      <c r="X1101" s="77"/>
    </row>
    <row r="1102" spans="9:24" x14ac:dyDescent="0.25">
      <c r="I1102" s="46"/>
      <c r="J1102" s="46"/>
      <c r="K1102" s="46"/>
      <c r="V1102" s="77"/>
      <c r="W1102" s="77"/>
      <c r="X1102" s="77"/>
    </row>
    <row r="1103" spans="9:24" x14ac:dyDescent="0.25">
      <c r="I1103" s="46"/>
      <c r="J1103" s="46"/>
      <c r="K1103" s="46"/>
      <c r="V1103" s="77"/>
      <c r="W1103" s="77"/>
      <c r="X1103" s="77"/>
    </row>
    <row r="1104" spans="9:24" x14ac:dyDescent="0.25">
      <c r="I1104" s="46"/>
      <c r="J1104" s="46"/>
      <c r="K1104" s="46"/>
      <c r="V1104" s="77"/>
      <c r="W1104" s="77"/>
      <c r="X1104" s="77"/>
    </row>
    <row r="1105" spans="9:24" x14ac:dyDescent="0.25">
      <c r="I1105" s="46"/>
      <c r="J1105" s="46"/>
      <c r="K1105" s="46"/>
      <c r="V1105" s="77"/>
      <c r="W1105" s="77"/>
      <c r="X1105" s="77"/>
    </row>
    <row r="1106" spans="9:24" x14ac:dyDescent="0.25">
      <c r="I1106" s="46"/>
      <c r="J1106" s="46"/>
      <c r="K1106" s="46"/>
      <c r="V1106" s="77"/>
      <c r="W1106" s="77"/>
      <c r="X1106" s="77"/>
    </row>
    <row r="1107" spans="9:24" x14ac:dyDescent="0.25">
      <c r="I1107" s="46"/>
      <c r="J1107" s="46"/>
      <c r="K1107" s="46"/>
      <c r="V1107" s="77"/>
      <c r="W1107" s="77"/>
      <c r="X1107" s="77"/>
    </row>
    <row r="1108" spans="9:24" x14ac:dyDescent="0.25">
      <c r="I1108" s="46"/>
      <c r="J1108" s="46"/>
      <c r="K1108" s="46"/>
      <c r="V1108" s="77"/>
      <c r="W1108" s="77"/>
      <c r="X1108" s="77"/>
    </row>
    <row r="1109" spans="9:24" x14ac:dyDescent="0.25">
      <c r="I1109" s="46"/>
      <c r="J1109" s="46"/>
      <c r="K1109" s="46"/>
      <c r="V1109" s="77"/>
      <c r="W1109" s="77"/>
      <c r="X1109" s="77"/>
    </row>
    <row r="1110" spans="9:24" x14ac:dyDescent="0.25">
      <c r="I1110" s="46"/>
      <c r="J1110" s="46"/>
      <c r="K1110" s="46"/>
      <c r="V1110" s="77"/>
      <c r="W1110" s="77"/>
      <c r="X1110" s="77"/>
    </row>
    <row r="1111" spans="9:24" x14ac:dyDescent="0.25">
      <c r="I1111" s="46"/>
      <c r="J1111" s="46"/>
      <c r="K1111" s="46"/>
      <c r="V1111" s="77"/>
      <c r="W1111" s="77"/>
      <c r="X1111" s="77"/>
    </row>
    <row r="1112" spans="9:24" x14ac:dyDescent="0.25">
      <c r="I1112" s="46"/>
      <c r="J1112" s="46"/>
      <c r="K1112" s="46"/>
      <c r="V1112" s="77"/>
      <c r="W1112" s="77"/>
      <c r="X1112" s="77"/>
    </row>
    <row r="1113" spans="9:24" x14ac:dyDescent="0.25">
      <c r="I1113" s="46"/>
      <c r="J1113" s="46"/>
      <c r="K1113" s="46"/>
      <c r="V1113" s="77"/>
      <c r="W1113" s="77"/>
      <c r="X1113" s="77"/>
    </row>
    <row r="1114" spans="9:24" x14ac:dyDescent="0.25">
      <c r="I1114" s="46"/>
      <c r="J1114" s="46"/>
      <c r="K1114" s="46"/>
      <c r="V1114" s="77"/>
      <c r="W1114" s="77"/>
      <c r="X1114" s="77"/>
    </row>
    <row r="1115" spans="9:24" x14ac:dyDescent="0.25">
      <c r="I1115" s="46"/>
      <c r="J1115" s="46"/>
      <c r="K1115" s="46"/>
      <c r="V1115" s="77"/>
      <c r="W1115" s="77"/>
      <c r="X1115" s="77"/>
    </row>
    <row r="1116" spans="9:24" x14ac:dyDescent="0.25">
      <c r="I1116" s="46"/>
      <c r="J1116" s="46"/>
      <c r="K1116" s="46"/>
      <c r="V1116" s="77"/>
      <c r="W1116" s="77"/>
      <c r="X1116" s="77"/>
    </row>
    <row r="1117" spans="9:24" x14ac:dyDescent="0.25">
      <c r="I1117" s="46"/>
      <c r="J1117" s="46"/>
      <c r="K1117" s="46"/>
      <c r="V1117" s="77"/>
      <c r="W1117" s="77"/>
      <c r="X1117" s="77"/>
    </row>
    <row r="1118" spans="9:24" x14ac:dyDescent="0.25">
      <c r="I1118" s="46"/>
      <c r="J1118" s="46"/>
      <c r="K1118" s="46"/>
      <c r="V1118" s="77"/>
      <c r="W1118" s="77"/>
      <c r="X1118" s="77"/>
    </row>
    <row r="1119" spans="9:24" x14ac:dyDescent="0.25">
      <c r="I1119" s="46"/>
      <c r="J1119" s="46"/>
      <c r="K1119" s="46"/>
      <c r="V1119" s="77"/>
      <c r="W1119" s="77"/>
      <c r="X1119" s="77"/>
    </row>
    <row r="1120" spans="9:24" x14ac:dyDescent="0.25">
      <c r="I1120" s="46"/>
      <c r="J1120" s="46"/>
      <c r="K1120" s="46"/>
      <c r="V1120" s="77"/>
      <c r="W1120" s="77"/>
      <c r="X1120" s="77"/>
    </row>
    <row r="1121" spans="9:24" x14ac:dyDescent="0.25">
      <c r="I1121" s="46"/>
      <c r="J1121" s="46"/>
      <c r="K1121" s="46"/>
      <c r="V1121" s="77"/>
      <c r="W1121" s="77"/>
      <c r="X1121" s="77"/>
    </row>
    <row r="1122" spans="9:24" x14ac:dyDescent="0.25">
      <c r="I1122" s="46"/>
      <c r="J1122" s="46"/>
      <c r="K1122" s="46"/>
      <c r="V1122" s="77"/>
      <c r="W1122" s="77"/>
      <c r="X1122" s="77"/>
    </row>
    <row r="1123" spans="9:24" x14ac:dyDescent="0.25">
      <c r="I1123" s="46"/>
      <c r="J1123" s="46"/>
      <c r="K1123" s="46"/>
      <c r="V1123" s="77"/>
      <c r="W1123" s="77"/>
      <c r="X1123" s="77"/>
    </row>
    <row r="1124" spans="9:24" x14ac:dyDescent="0.25">
      <c r="I1124" s="46"/>
      <c r="J1124" s="46"/>
      <c r="K1124" s="46"/>
      <c r="V1124" s="77"/>
      <c r="W1124" s="77"/>
      <c r="X1124" s="77"/>
    </row>
    <row r="1125" spans="9:24" x14ac:dyDescent="0.25">
      <c r="I1125" s="46"/>
      <c r="J1125" s="46"/>
      <c r="K1125" s="46"/>
      <c r="V1125" s="77"/>
      <c r="W1125" s="77"/>
      <c r="X1125" s="77"/>
    </row>
    <row r="1126" spans="9:24" x14ac:dyDescent="0.25">
      <c r="I1126" s="46"/>
      <c r="J1126" s="46"/>
      <c r="K1126" s="46"/>
      <c r="V1126" s="77"/>
      <c r="W1126" s="77"/>
      <c r="X1126" s="77"/>
    </row>
    <row r="1127" spans="9:24" x14ac:dyDescent="0.25">
      <c r="I1127" s="46"/>
      <c r="J1127" s="46"/>
      <c r="K1127" s="46"/>
      <c r="V1127" s="77"/>
      <c r="W1127" s="77"/>
      <c r="X1127" s="77"/>
    </row>
    <row r="1128" spans="9:24" x14ac:dyDescent="0.25">
      <c r="I1128" s="46"/>
      <c r="J1128" s="46"/>
      <c r="K1128" s="46"/>
      <c r="V1128" s="77"/>
      <c r="W1128" s="77"/>
      <c r="X1128" s="77"/>
    </row>
    <row r="1129" spans="9:24" x14ac:dyDescent="0.25">
      <c r="I1129" s="46"/>
      <c r="J1129" s="46"/>
      <c r="K1129" s="46"/>
      <c r="V1129" s="77"/>
      <c r="W1129" s="77"/>
      <c r="X1129" s="77"/>
    </row>
    <row r="1130" spans="9:24" x14ac:dyDescent="0.25">
      <c r="I1130" s="46"/>
      <c r="J1130" s="46"/>
      <c r="K1130" s="46"/>
      <c r="V1130" s="77"/>
      <c r="W1130" s="77"/>
      <c r="X1130" s="77"/>
    </row>
    <row r="1131" spans="9:24" x14ac:dyDescent="0.25">
      <c r="I1131" s="46"/>
      <c r="J1131" s="46"/>
      <c r="K1131" s="46"/>
      <c r="V1131" s="77"/>
      <c r="W1131" s="77"/>
      <c r="X1131" s="77"/>
    </row>
    <row r="1132" spans="9:24" x14ac:dyDescent="0.25">
      <c r="I1132" s="46"/>
      <c r="J1132" s="46"/>
      <c r="K1132" s="46"/>
      <c r="V1132" s="77"/>
      <c r="W1132" s="77"/>
      <c r="X1132" s="77"/>
    </row>
    <row r="1133" spans="9:24" x14ac:dyDescent="0.25">
      <c r="I1133" s="46"/>
      <c r="J1133" s="46"/>
      <c r="K1133" s="46"/>
      <c r="V1133" s="77"/>
      <c r="W1133" s="77"/>
      <c r="X1133" s="77"/>
    </row>
    <row r="1134" spans="9:24" x14ac:dyDescent="0.25">
      <c r="I1134" s="46"/>
      <c r="J1134" s="46"/>
      <c r="K1134" s="46"/>
      <c r="V1134" s="77"/>
      <c r="W1134" s="77"/>
      <c r="X1134" s="77"/>
    </row>
    <row r="1135" spans="9:24" x14ac:dyDescent="0.25">
      <c r="I1135" s="46"/>
      <c r="J1135" s="46"/>
      <c r="K1135" s="46"/>
      <c r="V1135" s="77"/>
      <c r="W1135" s="77"/>
      <c r="X1135" s="77"/>
    </row>
    <row r="1136" spans="9:24" x14ac:dyDescent="0.25">
      <c r="I1136" s="46"/>
      <c r="J1136" s="46"/>
      <c r="K1136" s="46"/>
      <c r="V1136" s="77"/>
      <c r="W1136" s="77"/>
      <c r="X1136" s="77"/>
    </row>
    <row r="1137" spans="9:24" x14ac:dyDescent="0.25">
      <c r="I1137" s="46"/>
      <c r="J1137" s="46"/>
      <c r="K1137" s="46"/>
      <c r="V1137" s="77"/>
      <c r="W1137" s="77"/>
      <c r="X1137" s="77"/>
    </row>
    <row r="1138" spans="9:24" x14ac:dyDescent="0.25">
      <c r="I1138" s="46"/>
      <c r="J1138" s="46"/>
      <c r="K1138" s="46"/>
      <c r="V1138" s="77"/>
      <c r="W1138" s="77"/>
      <c r="X1138" s="77"/>
    </row>
    <row r="1139" spans="9:24" x14ac:dyDescent="0.25">
      <c r="I1139" s="46"/>
      <c r="J1139" s="46"/>
      <c r="K1139" s="46"/>
      <c r="V1139" s="77"/>
      <c r="W1139" s="77"/>
      <c r="X1139" s="77"/>
    </row>
    <row r="1140" spans="9:24" x14ac:dyDescent="0.25">
      <c r="I1140" s="46"/>
      <c r="J1140" s="46"/>
      <c r="K1140" s="46"/>
      <c r="V1140" s="77"/>
      <c r="W1140" s="77"/>
      <c r="X1140" s="77"/>
    </row>
    <row r="1141" spans="9:24" x14ac:dyDescent="0.25">
      <c r="I1141" s="46"/>
      <c r="J1141" s="46"/>
      <c r="K1141" s="46"/>
      <c r="V1141" s="77"/>
      <c r="W1141" s="77"/>
      <c r="X1141" s="77"/>
    </row>
    <row r="1142" spans="9:24" x14ac:dyDescent="0.25">
      <c r="I1142" s="46"/>
      <c r="J1142" s="46"/>
      <c r="K1142" s="46"/>
      <c r="V1142" s="77"/>
      <c r="W1142" s="77"/>
      <c r="X1142" s="77"/>
    </row>
    <row r="1143" spans="9:24" x14ac:dyDescent="0.25">
      <c r="I1143" s="46"/>
      <c r="J1143" s="46"/>
      <c r="K1143" s="46"/>
      <c r="V1143" s="77"/>
      <c r="W1143" s="77"/>
      <c r="X1143" s="77"/>
    </row>
    <row r="1144" spans="9:24" x14ac:dyDescent="0.25">
      <c r="I1144" s="46"/>
      <c r="J1144" s="46"/>
      <c r="K1144" s="46"/>
      <c r="V1144" s="77"/>
      <c r="W1144" s="77"/>
      <c r="X1144" s="77"/>
    </row>
    <row r="1145" spans="9:24" x14ac:dyDescent="0.25">
      <c r="I1145" s="46"/>
      <c r="J1145" s="46"/>
      <c r="K1145" s="46"/>
      <c r="V1145" s="77"/>
      <c r="W1145" s="77"/>
      <c r="X1145" s="77"/>
    </row>
    <row r="1146" spans="9:24" x14ac:dyDescent="0.25">
      <c r="I1146" s="46"/>
      <c r="J1146" s="46"/>
      <c r="K1146" s="46"/>
      <c r="V1146" s="77"/>
      <c r="W1146" s="77"/>
      <c r="X1146" s="77"/>
    </row>
    <row r="1147" spans="9:24" x14ac:dyDescent="0.25">
      <c r="I1147" s="46"/>
      <c r="J1147" s="46"/>
      <c r="K1147" s="46"/>
      <c r="V1147" s="77"/>
      <c r="W1147" s="77"/>
      <c r="X1147" s="77"/>
    </row>
    <row r="1148" spans="9:24" x14ac:dyDescent="0.25">
      <c r="I1148" s="46"/>
      <c r="J1148" s="46"/>
      <c r="K1148" s="46"/>
      <c r="V1148" s="77"/>
      <c r="W1148" s="77"/>
      <c r="X1148" s="77"/>
    </row>
    <row r="1149" spans="9:24" x14ac:dyDescent="0.25">
      <c r="I1149" s="46"/>
      <c r="J1149" s="46"/>
      <c r="K1149" s="46"/>
      <c r="V1149" s="77"/>
      <c r="W1149" s="77"/>
      <c r="X1149" s="77"/>
    </row>
    <row r="1150" spans="9:24" x14ac:dyDescent="0.25">
      <c r="I1150" s="46"/>
      <c r="J1150" s="46"/>
      <c r="K1150" s="46"/>
      <c r="V1150" s="77"/>
      <c r="W1150" s="77"/>
      <c r="X1150" s="77"/>
    </row>
    <row r="1151" spans="9:24" x14ac:dyDescent="0.25">
      <c r="I1151" s="46"/>
      <c r="J1151" s="46"/>
      <c r="K1151" s="46"/>
      <c r="V1151" s="77"/>
      <c r="W1151" s="77"/>
      <c r="X1151" s="77"/>
    </row>
    <row r="1152" spans="9:24" x14ac:dyDescent="0.25">
      <c r="I1152" s="46"/>
      <c r="J1152" s="46"/>
      <c r="K1152" s="46"/>
      <c r="V1152" s="77"/>
      <c r="W1152" s="77"/>
      <c r="X1152" s="77"/>
    </row>
    <row r="1153" spans="9:24" x14ac:dyDescent="0.25">
      <c r="I1153" s="46"/>
      <c r="J1153" s="46"/>
      <c r="K1153" s="46"/>
      <c r="V1153" s="77"/>
      <c r="W1153" s="77"/>
      <c r="X1153" s="77"/>
    </row>
    <row r="1154" spans="9:24" x14ac:dyDescent="0.25">
      <c r="I1154" s="46"/>
      <c r="J1154" s="46"/>
      <c r="K1154" s="46"/>
      <c r="V1154" s="77"/>
      <c r="W1154" s="77"/>
      <c r="X1154" s="77"/>
    </row>
    <row r="1155" spans="9:24" x14ac:dyDescent="0.25">
      <c r="I1155" s="46"/>
      <c r="J1155" s="46"/>
      <c r="K1155" s="46"/>
      <c r="V1155" s="77"/>
      <c r="W1155" s="77"/>
      <c r="X1155" s="77"/>
    </row>
    <row r="1156" spans="9:24" x14ac:dyDescent="0.25">
      <c r="I1156" s="46"/>
      <c r="J1156" s="46"/>
      <c r="K1156" s="46"/>
      <c r="V1156" s="77"/>
      <c r="W1156" s="77"/>
      <c r="X1156" s="77"/>
    </row>
    <row r="1157" spans="9:24" x14ac:dyDescent="0.25">
      <c r="I1157" s="46"/>
      <c r="J1157" s="46"/>
      <c r="K1157" s="46"/>
      <c r="V1157" s="77"/>
      <c r="W1157" s="77"/>
      <c r="X1157" s="77"/>
    </row>
    <row r="1158" spans="9:24" x14ac:dyDescent="0.25">
      <c r="I1158" s="46"/>
      <c r="J1158" s="46"/>
      <c r="K1158" s="46"/>
      <c r="V1158" s="77"/>
      <c r="W1158" s="77"/>
      <c r="X1158" s="77"/>
    </row>
    <row r="1159" spans="9:24" x14ac:dyDescent="0.25">
      <c r="I1159" s="46"/>
      <c r="J1159" s="46"/>
      <c r="K1159" s="46"/>
      <c r="V1159" s="77"/>
      <c r="W1159" s="77"/>
      <c r="X1159" s="77"/>
    </row>
    <row r="1160" spans="9:24" x14ac:dyDescent="0.25">
      <c r="I1160" s="46"/>
      <c r="J1160" s="46"/>
      <c r="K1160" s="46"/>
      <c r="V1160" s="77"/>
      <c r="W1160" s="77"/>
      <c r="X1160" s="77"/>
    </row>
    <row r="1161" spans="9:24" x14ac:dyDescent="0.25">
      <c r="I1161" s="46"/>
      <c r="J1161" s="46"/>
      <c r="K1161" s="46"/>
      <c r="V1161" s="77"/>
      <c r="W1161" s="77"/>
      <c r="X1161" s="77"/>
    </row>
    <row r="1162" spans="9:24" x14ac:dyDescent="0.25">
      <c r="I1162" s="46"/>
      <c r="J1162" s="46"/>
      <c r="K1162" s="46"/>
      <c r="V1162" s="77"/>
      <c r="W1162" s="77"/>
      <c r="X1162" s="77"/>
    </row>
    <row r="1163" spans="9:24" x14ac:dyDescent="0.25">
      <c r="I1163" s="46"/>
      <c r="J1163" s="46"/>
      <c r="K1163" s="46"/>
      <c r="V1163" s="77"/>
      <c r="W1163" s="77"/>
      <c r="X1163" s="77"/>
    </row>
    <row r="1164" spans="9:24" x14ac:dyDescent="0.25">
      <c r="I1164" s="46"/>
      <c r="J1164" s="46"/>
      <c r="K1164" s="46"/>
      <c r="V1164" s="77"/>
      <c r="W1164" s="77"/>
      <c r="X1164" s="77"/>
    </row>
    <row r="1165" spans="9:24" x14ac:dyDescent="0.25">
      <c r="I1165" s="46"/>
      <c r="J1165" s="46"/>
      <c r="K1165" s="46"/>
      <c r="V1165" s="77"/>
      <c r="W1165" s="77"/>
      <c r="X1165" s="77"/>
    </row>
    <row r="1166" spans="9:24" x14ac:dyDescent="0.25">
      <c r="I1166" s="46"/>
      <c r="J1166" s="46"/>
      <c r="K1166" s="46"/>
      <c r="V1166" s="77"/>
      <c r="W1166" s="77"/>
      <c r="X1166" s="77"/>
    </row>
    <row r="1167" spans="9:24" x14ac:dyDescent="0.25">
      <c r="I1167" s="46"/>
      <c r="J1167" s="46"/>
      <c r="K1167" s="46"/>
      <c r="V1167" s="77"/>
      <c r="W1167" s="77"/>
      <c r="X1167" s="77"/>
    </row>
    <row r="1168" spans="9:24" x14ac:dyDescent="0.25">
      <c r="I1168" s="46"/>
      <c r="J1168" s="46"/>
      <c r="K1168" s="46"/>
      <c r="V1168" s="77"/>
      <c r="W1168" s="77"/>
      <c r="X1168" s="77"/>
    </row>
    <row r="1169" spans="9:24" x14ac:dyDescent="0.25">
      <c r="I1169" s="46"/>
      <c r="J1169" s="46"/>
      <c r="K1169" s="46"/>
      <c r="V1169" s="77"/>
      <c r="W1169" s="77"/>
      <c r="X1169" s="77"/>
    </row>
    <row r="1170" spans="9:24" x14ac:dyDescent="0.25">
      <c r="I1170" s="46"/>
      <c r="J1170" s="46"/>
      <c r="K1170" s="46"/>
      <c r="V1170" s="77"/>
      <c r="W1170" s="77"/>
      <c r="X1170" s="77"/>
    </row>
    <row r="1171" spans="9:24" x14ac:dyDescent="0.25">
      <c r="I1171" s="46"/>
      <c r="J1171" s="46"/>
      <c r="K1171" s="46"/>
      <c r="V1171" s="77"/>
      <c r="W1171" s="77"/>
      <c r="X1171" s="77"/>
    </row>
    <row r="1172" spans="9:24" x14ac:dyDescent="0.25">
      <c r="I1172" s="46"/>
      <c r="J1172" s="46"/>
      <c r="K1172" s="46"/>
      <c r="V1172" s="77"/>
      <c r="W1172" s="77"/>
      <c r="X1172" s="77"/>
    </row>
    <row r="1173" spans="9:24" x14ac:dyDescent="0.25">
      <c r="I1173" s="46"/>
      <c r="J1173" s="46"/>
      <c r="K1173" s="46"/>
      <c r="V1173" s="77"/>
      <c r="W1173" s="77"/>
      <c r="X1173" s="77"/>
    </row>
    <row r="1174" spans="9:24" x14ac:dyDescent="0.25">
      <c r="I1174" s="46"/>
      <c r="J1174" s="46"/>
      <c r="K1174" s="46"/>
      <c r="V1174" s="77"/>
      <c r="W1174" s="77"/>
      <c r="X1174" s="77"/>
    </row>
    <row r="1175" spans="9:24" x14ac:dyDescent="0.25">
      <c r="I1175" s="46"/>
      <c r="J1175" s="46"/>
      <c r="K1175" s="46"/>
      <c r="V1175" s="77"/>
      <c r="W1175" s="77"/>
      <c r="X1175" s="77"/>
    </row>
    <row r="1176" spans="9:24" x14ac:dyDescent="0.25">
      <c r="I1176" s="46"/>
      <c r="J1176" s="46"/>
      <c r="K1176" s="46"/>
      <c r="V1176" s="77"/>
      <c r="W1176" s="77"/>
      <c r="X1176" s="77"/>
    </row>
    <row r="1177" spans="9:24" x14ac:dyDescent="0.25">
      <c r="I1177" s="46"/>
      <c r="J1177" s="46"/>
      <c r="K1177" s="46"/>
      <c r="V1177" s="77"/>
      <c r="W1177" s="77"/>
      <c r="X1177" s="77"/>
    </row>
    <row r="1178" spans="9:24" x14ac:dyDescent="0.25">
      <c r="I1178" s="46"/>
      <c r="J1178" s="46"/>
      <c r="K1178" s="46"/>
      <c r="V1178" s="77"/>
      <c r="W1178" s="77"/>
      <c r="X1178" s="77"/>
    </row>
    <row r="1179" spans="9:24" x14ac:dyDescent="0.25">
      <c r="I1179" s="46"/>
      <c r="J1179" s="46"/>
      <c r="K1179" s="46"/>
      <c r="V1179" s="77"/>
      <c r="W1179" s="77"/>
      <c r="X1179" s="77"/>
    </row>
    <row r="1180" spans="9:24" x14ac:dyDescent="0.25">
      <c r="I1180" s="46"/>
      <c r="J1180" s="46"/>
      <c r="K1180" s="46"/>
      <c r="V1180" s="77"/>
      <c r="W1180" s="77"/>
      <c r="X1180" s="77"/>
    </row>
    <row r="1181" spans="9:24" x14ac:dyDescent="0.25">
      <c r="I1181" s="46"/>
      <c r="J1181" s="46"/>
      <c r="K1181" s="46"/>
      <c r="V1181" s="77"/>
      <c r="W1181" s="77"/>
      <c r="X1181" s="77"/>
    </row>
    <row r="1182" spans="9:24" x14ac:dyDescent="0.25">
      <c r="I1182" s="46"/>
      <c r="J1182" s="46"/>
      <c r="K1182" s="46"/>
      <c r="V1182" s="77"/>
      <c r="W1182" s="77"/>
      <c r="X1182" s="77"/>
    </row>
    <row r="1183" spans="9:24" x14ac:dyDescent="0.25">
      <c r="I1183" s="46"/>
      <c r="J1183" s="46"/>
      <c r="K1183" s="46"/>
      <c r="V1183" s="77"/>
      <c r="W1183" s="77"/>
      <c r="X1183" s="77"/>
    </row>
    <row r="1184" spans="9:24" x14ac:dyDescent="0.25">
      <c r="I1184" s="46"/>
      <c r="J1184" s="46"/>
      <c r="K1184" s="46"/>
      <c r="V1184" s="77"/>
      <c r="W1184" s="77"/>
      <c r="X1184" s="77"/>
    </row>
    <row r="1185" spans="9:24" x14ac:dyDescent="0.25">
      <c r="I1185" s="46"/>
      <c r="J1185" s="46"/>
      <c r="K1185" s="46"/>
      <c r="V1185" s="77"/>
      <c r="W1185" s="77"/>
      <c r="X1185" s="77"/>
    </row>
    <row r="1186" spans="9:24" x14ac:dyDescent="0.25">
      <c r="I1186" s="46"/>
      <c r="J1186" s="46"/>
      <c r="K1186" s="46"/>
      <c r="V1186" s="77"/>
      <c r="W1186" s="77"/>
      <c r="X1186" s="77"/>
    </row>
    <row r="1187" spans="9:24" x14ac:dyDescent="0.25">
      <c r="I1187" s="46"/>
      <c r="J1187" s="46"/>
      <c r="K1187" s="46"/>
      <c r="V1187" s="77"/>
      <c r="W1187" s="77"/>
      <c r="X1187" s="77"/>
    </row>
    <row r="1188" spans="9:24" x14ac:dyDescent="0.25">
      <c r="I1188" s="46"/>
      <c r="J1188" s="46"/>
      <c r="K1188" s="46"/>
      <c r="V1188" s="77"/>
      <c r="W1188" s="77"/>
      <c r="X1188" s="77"/>
    </row>
    <row r="1189" spans="9:24" x14ac:dyDescent="0.25">
      <c r="I1189" s="46"/>
      <c r="J1189" s="46"/>
      <c r="K1189" s="46"/>
      <c r="V1189" s="77"/>
      <c r="W1189" s="77"/>
      <c r="X1189" s="77"/>
    </row>
    <row r="1190" spans="9:24" x14ac:dyDescent="0.25">
      <c r="I1190" s="46"/>
      <c r="J1190" s="46"/>
      <c r="K1190" s="46"/>
      <c r="V1190" s="77"/>
      <c r="W1190" s="77"/>
      <c r="X1190" s="77"/>
    </row>
    <row r="1191" spans="9:24" x14ac:dyDescent="0.25">
      <c r="I1191" s="46"/>
      <c r="J1191" s="46"/>
      <c r="K1191" s="46"/>
      <c r="V1191" s="77"/>
      <c r="W1191" s="77"/>
      <c r="X1191" s="77"/>
    </row>
    <row r="1192" spans="9:24" x14ac:dyDescent="0.25">
      <c r="I1192" s="46"/>
      <c r="J1192" s="46"/>
      <c r="K1192" s="46"/>
      <c r="V1192" s="77"/>
      <c r="W1192" s="77"/>
      <c r="X1192" s="77"/>
    </row>
    <row r="1193" spans="9:24" x14ac:dyDescent="0.25">
      <c r="I1193" s="46"/>
      <c r="J1193" s="46"/>
      <c r="K1193" s="46"/>
      <c r="V1193" s="77"/>
      <c r="W1193" s="77"/>
      <c r="X1193" s="77"/>
    </row>
    <row r="1194" spans="9:24" x14ac:dyDescent="0.25">
      <c r="I1194" s="46"/>
      <c r="J1194" s="46"/>
      <c r="K1194" s="46"/>
      <c r="V1194" s="77"/>
      <c r="W1194" s="77"/>
      <c r="X1194" s="77"/>
    </row>
    <row r="1195" spans="9:24" x14ac:dyDescent="0.25">
      <c r="I1195" s="46"/>
      <c r="J1195" s="46"/>
      <c r="K1195" s="46"/>
      <c r="V1195" s="77"/>
      <c r="W1195" s="77"/>
      <c r="X1195" s="77"/>
    </row>
    <row r="1196" spans="9:24" x14ac:dyDescent="0.25">
      <c r="I1196" s="46"/>
      <c r="J1196" s="46"/>
      <c r="K1196" s="46"/>
      <c r="V1196" s="77"/>
      <c r="W1196" s="77"/>
      <c r="X1196" s="77"/>
    </row>
    <row r="1197" spans="9:24" x14ac:dyDescent="0.25">
      <c r="I1197" s="46"/>
      <c r="J1197" s="46"/>
      <c r="K1197" s="46"/>
      <c r="V1197" s="77"/>
      <c r="W1197" s="77"/>
      <c r="X1197" s="77"/>
    </row>
    <row r="1198" spans="9:24" x14ac:dyDescent="0.25">
      <c r="I1198" s="46"/>
      <c r="J1198" s="46"/>
      <c r="K1198" s="46"/>
      <c r="V1198" s="77"/>
      <c r="W1198" s="77"/>
      <c r="X1198" s="77"/>
    </row>
    <row r="1199" spans="9:24" x14ac:dyDescent="0.25">
      <c r="I1199" s="46"/>
      <c r="J1199" s="46"/>
      <c r="K1199" s="46"/>
      <c r="V1199" s="77"/>
      <c r="W1199" s="77"/>
      <c r="X1199" s="77"/>
    </row>
    <row r="1200" spans="9:24" x14ac:dyDescent="0.25">
      <c r="I1200" s="46"/>
      <c r="J1200" s="46"/>
      <c r="K1200" s="46"/>
      <c r="V1200" s="77"/>
      <c r="W1200" s="77"/>
      <c r="X1200" s="77"/>
    </row>
    <row r="1201" spans="9:24" x14ac:dyDescent="0.25">
      <c r="I1201" s="46"/>
      <c r="J1201" s="46"/>
      <c r="K1201" s="46"/>
      <c r="V1201" s="77"/>
      <c r="W1201" s="77"/>
      <c r="X1201" s="77"/>
    </row>
    <row r="1202" spans="9:24" x14ac:dyDescent="0.25">
      <c r="I1202" s="46"/>
      <c r="J1202" s="46"/>
      <c r="K1202" s="46"/>
      <c r="V1202" s="77"/>
      <c r="W1202" s="77"/>
      <c r="X1202" s="77"/>
    </row>
    <row r="1203" spans="9:24" x14ac:dyDescent="0.25">
      <c r="I1203" s="46"/>
      <c r="J1203" s="46"/>
      <c r="K1203" s="46"/>
      <c r="V1203" s="77"/>
      <c r="W1203" s="77"/>
      <c r="X1203" s="77"/>
    </row>
    <row r="1204" spans="9:24" x14ac:dyDescent="0.25">
      <c r="I1204" s="46"/>
      <c r="J1204" s="46"/>
      <c r="K1204" s="46"/>
      <c r="V1204" s="77"/>
      <c r="W1204" s="77"/>
      <c r="X1204" s="77"/>
    </row>
    <row r="1205" spans="9:24" x14ac:dyDescent="0.25">
      <c r="I1205" s="46"/>
      <c r="J1205" s="46"/>
      <c r="K1205" s="46"/>
      <c r="V1205" s="77"/>
      <c r="W1205" s="77"/>
      <c r="X1205" s="77"/>
    </row>
    <row r="1206" spans="9:24" x14ac:dyDescent="0.25">
      <c r="I1206" s="46"/>
      <c r="J1206" s="46"/>
      <c r="K1206" s="46"/>
      <c r="V1206" s="77"/>
      <c r="W1206" s="77"/>
      <c r="X1206" s="77"/>
    </row>
    <row r="1207" spans="9:24" x14ac:dyDescent="0.25">
      <c r="I1207" s="46"/>
      <c r="J1207" s="46"/>
      <c r="K1207" s="46"/>
      <c r="V1207" s="77"/>
      <c r="W1207" s="77"/>
      <c r="X1207" s="77"/>
    </row>
    <row r="1208" spans="9:24" x14ac:dyDescent="0.25">
      <c r="I1208" s="46"/>
      <c r="J1208" s="46"/>
      <c r="K1208" s="46"/>
      <c r="V1208" s="77"/>
      <c r="W1208" s="77"/>
      <c r="X1208" s="77"/>
    </row>
    <row r="1209" spans="9:24" x14ac:dyDescent="0.25">
      <c r="I1209" s="46"/>
      <c r="J1209" s="46"/>
      <c r="K1209" s="46"/>
      <c r="V1209" s="77"/>
      <c r="W1209" s="77"/>
      <c r="X1209" s="77"/>
    </row>
    <row r="1210" spans="9:24" x14ac:dyDescent="0.25">
      <c r="I1210" s="47"/>
      <c r="J1210" s="47"/>
      <c r="K1210" s="47"/>
      <c r="V1210" s="77"/>
      <c r="W1210" s="77"/>
      <c r="X1210" s="77"/>
    </row>
    <row r="1211" spans="9:24" x14ac:dyDescent="0.25">
      <c r="I1211" s="47"/>
      <c r="J1211" s="47"/>
      <c r="K1211" s="47"/>
      <c r="V1211" s="77"/>
      <c r="W1211" s="77"/>
      <c r="X1211" s="77"/>
    </row>
    <row r="1212" spans="9:24" x14ac:dyDescent="0.25">
      <c r="I1212" s="47"/>
      <c r="J1212" s="47"/>
      <c r="K1212" s="47"/>
      <c r="V1212" s="77"/>
      <c r="W1212" s="77"/>
      <c r="X1212" s="77"/>
    </row>
    <row r="1213" spans="9:24" x14ac:dyDescent="0.25">
      <c r="I1213" s="47"/>
      <c r="J1213" s="47"/>
      <c r="K1213" s="47"/>
      <c r="V1213" s="77"/>
      <c r="W1213" s="77"/>
      <c r="X1213" s="77"/>
    </row>
    <row r="1214" spans="9:24" x14ac:dyDescent="0.25">
      <c r="I1214" s="47"/>
      <c r="J1214" s="47"/>
      <c r="K1214" s="47"/>
      <c r="V1214" s="1"/>
      <c r="W1214" s="1"/>
      <c r="X1214" s="1"/>
    </row>
    <row r="1215" spans="9:24" x14ac:dyDescent="0.25">
      <c r="I1215" s="47"/>
      <c r="J1215" s="47"/>
      <c r="K1215" s="47"/>
      <c r="V1215" s="1"/>
      <c r="W1215" s="1"/>
      <c r="X1215" s="1"/>
    </row>
    <row r="1216" spans="9:24" x14ac:dyDescent="0.25">
      <c r="I1216" s="47"/>
      <c r="J1216" s="47"/>
      <c r="K1216" s="47"/>
      <c r="V1216" s="1"/>
      <c r="W1216" s="1"/>
      <c r="X1216" s="1"/>
    </row>
    <row r="1217" spans="9:24" x14ac:dyDescent="0.25">
      <c r="I1217" s="47"/>
      <c r="J1217" s="47"/>
      <c r="K1217" s="47"/>
      <c r="V1217" s="1"/>
      <c r="W1217" s="1"/>
      <c r="X1217" s="1"/>
    </row>
    <row r="1218" spans="9:24" x14ac:dyDescent="0.25">
      <c r="I1218" s="47"/>
      <c r="J1218" s="47"/>
      <c r="K1218" s="47"/>
      <c r="V1218" s="1"/>
      <c r="W1218" s="1"/>
      <c r="X1218" s="1"/>
    </row>
    <row r="1219" spans="9:24" x14ac:dyDescent="0.25">
      <c r="I1219" s="47"/>
      <c r="J1219" s="47"/>
      <c r="K1219" s="47"/>
      <c r="V1219" s="1"/>
      <c r="W1219" s="1"/>
      <c r="X1219" s="1"/>
    </row>
    <row r="1220" spans="9:24" x14ac:dyDescent="0.25">
      <c r="I1220" s="47"/>
      <c r="J1220" s="47"/>
      <c r="K1220" s="47"/>
      <c r="V1220" s="1"/>
      <c r="W1220" s="1"/>
      <c r="X1220" s="1"/>
    </row>
    <row r="1221" spans="9:24" x14ac:dyDescent="0.25">
      <c r="I1221" s="47"/>
      <c r="J1221" s="47"/>
      <c r="K1221" s="47"/>
      <c r="V1221" s="1"/>
      <c r="W1221" s="1"/>
      <c r="X1221" s="1"/>
    </row>
    <row r="1222" spans="9:24" x14ac:dyDescent="0.25">
      <c r="I1222" s="47"/>
      <c r="J1222" s="47"/>
      <c r="K1222" s="47"/>
      <c r="V1222" s="1"/>
      <c r="W1222" s="1"/>
      <c r="X1222" s="1"/>
    </row>
    <row r="1223" spans="9:24" x14ac:dyDescent="0.25">
      <c r="I1223" s="47"/>
      <c r="J1223" s="47"/>
      <c r="K1223" s="47"/>
      <c r="V1223" s="1"/>
      <c r="W1223" s="1"/>
      <c r="X1223" s="1"/>
    </row>
    <row r="1224" spans="9:24" x14ac:dyDescent="0.25">
      <c r="I1224" s="47"/>
      <c r="J1224" s="47"/>
      <c r="K1224" s="47"/>
      <c r="V1224" s="1"/>
      <c r="W1224" s="1"/>
      <c r="X1224" s="1"/>
    </row>
    <row r="1225" spans="9:24" x14ac:dyDescent="0.25">
      <c r="I1225" s="47"/>
      <c r="J1225" s="47"/>
      <c r="K1225" s="47"/>
      <c r="V1225" s="1"/>
      <c r="W1225" s="1"/>
      <c r="X1225" s="1"/>
    </row>
    <row r="1226" spans="9:24" x14ac:dyDescent="0.25">
      <c r="I1226" s="47"/>
      <c r="J1226" s="47"/>
      <c r="K1226" s="47"/>
      <c r="V1226" s="1"/>
      <c r="W1226" s="1"/>
      <c r="X1226" s="1"/>
    </row>
    <row r="1227" spans="9:24" x14ac:dyDescent="0.25">
      <c r="I1227" s="47"/>
      <c r="J1227" s="47"/>
      <c r="K1227" s="47"/>
      <c r="V1227" s="1"/>
      <c r="W1227" s="1"/>
      <c r="X1227" s="1"/>
    </row>
    <row r="1228" spans="9:24" x14ac:dyDescent="0.25">
      <c r="I1228" s="47"/>
      <c r="J1228" s="47"/>
      <c r="K1228" s="47"/>
      <c r="V1228" s="1"/>
      <c r="W1228" s="1"/>
      <c r="X1228" s="1"/>
    </row>
    <row r="1229" spans="9:24" x14ac:dyDescent="0.25">
      <c r="I1229" s="47"/>
      <c r="J1229" s="47"/>
      <c r="K1229" s="47"/>
      <c r="V1229" s="1"/>
      <c r="W1229" s="1"/>
      <c r="X1229" s="1"/>
    </row>
    <row r="1230" spans="9:24" x14ac:dyDescent="0.25">
      <c r="I1230" s="47"/>
      <c r="J1230" s="47"/>
      <c r="K1230" s="47"/>
      <c r="V1230" s="1"/>
      <c r="W1230" s="1"/>
      <c r="X1230" s="1"/>
    </row>
    <row r="1231" spans="9:24" x14ac:dyDescent="0.25">
      <c r="I1231" s="47"/>
      <c r="J1231" s="47"/>
      <c r="K1231" s="47"/>
      <c r="V1231" s="1"/>
      <c r="W1231" s="1"/>
      <c r="X1231" s="1"/>
    </row>
    <row r="1232" spans="9:24" x14ac:dyDescent="0.25">
      <c r="I1232" s="47"/>
      <c r="J1232" s="47"/>
      <c r="K1232" s="47"/>
      <c r="V1232" s="1"/>
      <c r="W1232" s="1"/>
      <c r="X1232" s="1"/>
    </row>
    <row r="1233" spans="9:24" x14ac:dyDescent="0.25">
      <c r="I1233" s="47"/>
      <c r="J1233" s="47"/>
      <c r="K1233" s="47"/>
      <c r="V1233" s="1"/>
      <c r="W1233" s="1"/>
      <c r="X1233" s="1"/>
    </row>
    <row r="1234" spans="9:24" x14ac:dyDescent="0.25">
      <c r="I1234" s="47"/>
      <c r="J1234" s="47"/>
      <c r="K1234" s="47"/>
      <c r="V1234" s="1"/>
      <c r="W1234" s="1"/>
      <c r="X1234" s="1"/>
    </row>
    <row r="1235" spans="9:24" x14ac:dyDescent="0.25">
      <c r="I1235" s="47"/>
      <c r="J1235" s="47"/>
      <c r="K1235" s="47"/>
      <c r="V1235" s="1"/>
      <c r="W1235" s="1"/>
      <c r="X1235" s="1"/>
    </row>
    <row r="1236" spans="9:24" x14ac:dyDescent="0.25">
      <c r="I1236" s="47"/>
      <c r="J1236" s="47"/>
      <c r="K1236" s="47"/>
      <c r="V1236" s="1"/>
      <c r="W1236" s="1"/>
      <c r="X1236" s="1"/>
    </row>
    <row r="1237" spans="9:24" x14ac:dyDescent="0.25">
      <c r="I1237" s="47"/>
      <c r="J1237" s="47"/>
      <c r="K1237" s="47"/>
      <c r="V1237" s="1"/>
      <c r="W1237" s="1"/>
      <c r="X1237" s="1"/>
    </row>
    <row r="1238" spans="9:24" x14ac:dyDescent="0.25">
      <c r="I1238" s="47"/>
      <c r="J1238" s="47"/>
      <c r="K1238" s="47"/>
      <c r="V1238" s="1"/>
      <c r="W1238" s="1"/>
      <c r="X1238" s="1"/>
    </row>
    <row r="1239" spans="9:24" x14ac:dyDescent="0.25">
      <c r="I1239" s="47"/>
      <c r="J1239" s="47"/>
      <c r="K1239" s="47"/>
      <c r="V1239" s="1"/>
      <c r="W1239" s="1"/>
      <c r="X1239" s="1"/>
    </row>
    <row r="1240" spans="9:24" x14ac:dyDescent="0.25">
      <c r="I1240" s="47"/>
      <c r="J1240" s="47"/>
      <c r="K1240" s="47"/>
      <c r="V1240" s="1"/>
      <c r="W1240" s="1"/>
      <c r="X1240" s="1"/>
    </row>
    <row r="1241" spans="9:24" x14ac:dyDescent="0.25">
      <c r="I1241" s="47"/>
      <c r="J1241" s="47"/>
      <c r="K1241" s="47"/>
      <c r="V1241" s="1"/>
      <c r="W1241" s="1"/>
      <c r="X1241" s="1"/>
    </row>
    <row r="1242" spans="9:24" x14ac:dyDescent="0.25">
      <c r="I1242" s="47"/>
      <c r="J1242" s="47"/>
      <c r="K1242" s="47"/>
      <c r="V1242" s="1"/>
      <c r="W1242" s="1"/>
      <c r="X1242" s="1"/>
    </row>
    <row r="1243" spans="9:24" x14ac:dyDescent="0.25">
      <c r="I1243" s="47"/>
      <c r="J1243" s="47"/>
      <c r="K1243" s="47"/>
      <c r="V1243" s="1"/>
      <c r="W1243" s="1"/>
      <c r="X1243" s="1"/>
    </row>
    <row r="1244" spans="9:24" x14ac:dyDescent="0.25">
      <c r="I1244" s="47"/>
      <c r="J1244" s="47"/>
      <c r="K1244" s="47"/>
      <c r="V1244" s="1"/>
      <c r="W1244" s="1"/>
      <c r="X1244" s="1"/>
    </row>
    <row r="1245" spans="9:24" x14ac:dyDescent="0.25">
      <c r="I1245" s="47"/>
      <c r="J1245" s="47"/>
      <c r="K1245" s="47"/>
      <c r="V1245" s="1"/>
      <c r="W1245" s="1"/>
      <c r="X1245" s="1"/>
    </row>
    <row r="1246" spans="9:24" x14ac:dyDescent="0.25">
      <c r="I1246" s="47"/>
      <c r="J1246" s="47"/>
      <c r="K1246" s="47"/>
      <c r="V1246" s="1"/>
      <c r="W1246" s="1"/>
      <c r="X1246" s="1"/>
    </row>
    <row r="1247" spans="9:24" x14ac:dyDescent="0.25">
      <c r="I1247" s="47"/>
      <c r="J1247" s="47"/>
      <c r="K1247" s="47"/>
      <c r="V1247" s="1"/>
      <c r="W1247" s="1"/>
      <c r="X1247" s="1"/>
    </row>
    <row r="1248" spans="9:24" x14ac:dyDescent="0.25">
      <c r="I1248" s="47"/>
      <c r="J1248" s="47"/>
      <c r="K1248" s="47"/>
      <c r="V1248" s="1"/>
      <c r="W1248" s="1"/>
      <c r="X1248" s="1"/>
    </row>
    <row r="1249" spans="9:24" x14ac:dyDescent="0.25">
      <c r="I1249" s="47"/>
      <c r="J1249" s="47"/>
      <c r="K1249" s="47"/>
      <c r="V1249" s="1"/>
      <c r="W1249" s="1"/>
      <c r="X1249" s="1"/>
    </row>
    <row r="1250" spans="9:24" x14ac:dyDescent="0.25">
      <c r="I1250" s="47"/>
      <c r="J1250" s="47"/>
      <c r="K1250" s="47"/>
      <c r="V1250" s="1"/>
      <c r="W1250" s="1"/>
      <c r="X1250" s="1"/>
    </row>
    <row r="1251" spans="9:24" x14ac:dyDescent="0.25">
      <c r="I1251" s="47"/>
      <c r="J1251" s="47"/>
      <c r="K1251" s="47"/>
      <c r="V1251" s="1"/>
      <c r="W1251" s="1"/>
      <c r="X1251" s="1"/>
    </row>
    <row r="1252" spans="9:24" x14ac:dyDescent="0.25">
      <c r="I1252" s="47"/>
      <c r="J1252" s="47"/>
      <c r="K1252" s="47"/>
      <c r="V1252" s="1"/>
      <c r="W1252" s="1"/>
      <c r="X1252" s="1"/>
    </row>
    <row r="1253" spans="9:24" x14ac:dyDescent="0.25">
      <c r="I1253" s="47"/>
      <c r="J1253" s="47"/>
      <c r="K1253" s="47"/>
      <c r="V1253" s="1"/>
      <c r="W1253" s="1"/>
      <c r="X1253" s="1"/>
    </row>
    <row r="1254" spans="9:24" x14ac:dyDescent="0.25">
      <c r="I1254" s="47"/>
      <c r="J1254" s="47"/>
      <c r="K1254" s="47"/>
      <c r="V1254" s="1"/>
      <c r="W1254" s="1"/>
      <c r="X1254" s="1"/>
    </row>
    <row r="1255" spans="9:24" x14ac:dyDescent="0.25">
      <c r="I1255" s="47"/>
      <c r="J1255" s="47"/>
      <c r="K1255" s="47"/>
      <c r="V1255" s="1"/>
      <c r="W1255" s="1"/>
      <c r="X1255" s="1"/>
    </row>
    <row r="1256" spans="9:24" x14ac:dyDescent="0.25">
      <c r="I1256" s="47"/>
      <c r="J1256" s="47"/>
      <c r="K1256" s="47"/>
      <c r="V1256" s="1"/>
      <c r="W1256" s="1"/>
      <c r="X1256" s="1"/>
    </row>
    <row r="1257" spans="9:24" x14ac:dyDescent="0.25">
      <c r="I1257" s="47"/>
      <c r="J1257" s="47"/>
      <c r="K1257" s="47"/>
      <c r="V1257" s="1"/>
      <c r="W1257" s="1"/>
      <c r="X1257" s="1"/>
    </row>
    <row r="1258" spans="9:24" x14ac:dyDescent="0.25">
      <c r="I1258" s="47"/>
      <c r="J1258" s="47"/>
      <c r="K1258" s="47"/>
      <c r="V1258" s="1"/>
      <c r="W1258" s="1"/>
      <c r="X1258" s="1"/>
    </row>
    <row r="1259" spans="9:24" x14ac:dyDescent="0.25">
      <c r="I1259" s="47"/>
      <c r="J1259" s="47"/>
      <c r="K1259" s="47"/>
      <c r="V1259" s="1"/>
      <c r="W1259" s="1"/>
      <c r="X1259" s="1"/>
    </row>
    <row r="1260" spans="9:24" x14ac:dyDescent="0.25">
      <c r="I1260" s="47"/>
      <c r="J1260" s="47"/>
      <c r="K1260" s="47"/>
      <c r="V1260" s="1"/>
      <c r="W1260" s="1"/>
      <c r="X1260" s="1"/>
    </row>
    <row r="1261" spans="9:24" x14ac:dyDescent="0.25">
      <c r="I1261" s="47"/>
      <c r="J1261" s="47"/>
      <c r="K1261" s="47"/>
      <c r="V1261" s="1"/>
      <c r="W1261" s="1"/>
      <c r="X1261" s="1"/>
    </row>
    <row r="1262" spans="9:24" x14ac:dyDescent="0.25">
      <c r="I1262" s="47"/>
      <c r="J1262" s="47"/>
      <c r="K1262" s="47"/>
      <c r="V1262" s="1"/>
      <c r="W1262" s="1"/>
      <c r="X1262" s="1"/>
    </row>
    <row r="1263" spans="9:24" x14ac:dyDescent="0.25">
      <c r="I1263" s="47"/>
      <c r="J1263" s="47"/>
      <c r="K1263" s="47"/>
      <c r="V1263" s="1"/>
      <c r="W1263" s="1"/>
      <c r="X1263" s="1"/>
    </row>
    <row r="1264" spans="9:24" x14ac:dyDescent="0.25">
      <c r="I1264" s="47"/>
      <c r="J1264" s="47"/>
      <c r="K1264" s="47"/>
      <c r="V1264" s="1"/>
      <c r="W1264" s="1"/>
      <c r="X1264" s="1"/>
    </row>
    <row r="1265" spans="9:24" x14ac:dyDescent="0.25">
      <c r="I1265" s="47"/>
      <c r="J1265" s="47"/>
      <c r="K1265" s="47"/>
      <c r="V1265" s="1"/>
      <c r="W1265" s="1"/>
      <c r="X1265" s="1"/>
    </row>
    <row r="1266" spans="9:24" x14ac:dyDescent="0.25">
      <c r="I1266" s="47"/>
      <c r="J1266" s="47"/>
      <c r="K1266" s="47"/>
      <c r="V1266" s="1"/>
      <c r="W1266" s="1"/>
      <c r="X1266" s="1"/>
    </row>
    <row r="1267" spans="9:24" x14ac:dyDescent="0.25">
      <c r="I1267" s="47"/>
      <c r="J1267" s="47"/>
      <c r="K1267" s="47"/>
      <c r="V1267" s="1"/>
      <c r="W1267" s="1"/>
      <c r="X1267" s="1"/>
    </row>
    <row r="1268" spans="9:24" x14ac:dyDescent="0.25">
      <c r="I1268" s="47"/>
      <c r="J1268" s="47"/>
      <c r="K1268" s="47"/>
      <c r="V1268" s="1"/>
      <c r="W1268" s="1"/>
      <c r="X1268" s="1"/>
    </row>
    <row r="1269" spans="9:24" x14ac:dyDescent="0.25">
      <c r="I1269" s="47"/>
      <c r="J1269" s="47"/>
      <c r="K1269" s="47"/>
      <c r="V1269" s="1"/>
      <c r="W1269" s="1"/>
      <c r="X1269" s="1"/>
    </row>
    <row r="1270" spans="9:24" x14ac:dyDescent="0.25">
      <c r="I1270" s="47"/>
      <c r="J1270" s="47"/>
      <c r="K1270" s="47"/>
      <c r="V1270" s="1"/>
      <c r="W1270" s="1"/>
      <c r="X1270" s="1"/>
    </row>
    <row r="1271" spans="9:24" x14ac:dyDescent="0.25">
      <c r="I1271" s="47"/>
      <c r="J1271" s="47"/>
      <c r="K1271" s="47"/>
      <c r="V1271" s="1"/>
      <c r="W1271" s="1"/>
      <c r="X1271" s="1"/>
    </row>
    <row r="1272" spans="9:24" x14ac:dyDescent="0.25">
      <c r="I1272" s="47"/>
      <c r="J1272" s="47"/>
      <c r="K1272" s="47"/>
      <c r="V1272" s="1"/>
      <c r="W1272" s="1"/>
      <c r="X1272" s="1"/>
    </row>
    <row r="1273" spans="9:24" x14ac:dyDescent="0.25">
      <c r="I1273" s="47"/>
      <c r="J1273" s="47"/>
      <c r="K1273" s="47"/>
      <c r="V1273" s="1"/>
      <c r="W1273" s="1"/>
      <c r="X1273" s="1"/>
    </row>
    <row r="1274" spans="9:24" x14ac:dyDescent="0.25">
      <c r="I1274" s="47"/>
      <c r="J1274" s="47"/>
      <c r="K1274" s="47"/>
      <c r="V1274" s="1"/>
      <c r="W1274" s="1"/>
      <c r="X1274" s="1"/>
    </row>
    <row r="1275" spans="9:24" x14ac:dyDescent="0.25">
      <c r="I1275" s="47"/>
      <c r="J1275" s="47"/>
      <c r="K1275" s="47"/>
      <c r="V1275" s="1"/>
      <c r="W1275" s="1"/>
      <c r="X1275" s="1"/>
    </row>
    <row r="1276" spans="9:24" x14ac:dyDescent="0.25">
      <c r="I1276" s="47"/>
      <c r="J1276" s="47"/>
      <c r="K1276" s="47"/>
      <c r="V1276" s="1"/>
      <c r="W1276" s="1"/>
      <c r="X1276" s="1"/>
    </row>
    <row r="1277" spans="9:24" x14ac:dyDescent="0.25">
      <c r="I1277" s="47"/>
      <c r="J1277" s="47"/>
      <c r="K1277" s="47"/>
      <c r="V1277" s="1"/>
      <c r="W1277" s="1"/>
      <c r="X1277" s="1"/>
    </row>
    <row r="1278" spans="9:24" x14ac:dyDescent="0.25">
      <c r="I1278" s="47"/>
      <c r="J1278" s="47"/>
      <c r="K1278" s="47"/>
      <c r="V1278" s="1"/>
      <c r="W1278" s="1"/>
      <c r="X1278" s="1"/>
    </row>
    <row r="1279" spans="9:24" x14ac:dyDescent="0.25">
      <c r="I1279" s="47"/>
      <c r="J1279" s="47"/>
      <c r="K1279" s="47"/>
      <c r="V1279" s="1"/>
      <c r="W1279" s="1"/>
      <c r="X1279" s="1"/>
    </row>
    <row r="1280" spans="9:24" x14ac:dyDescent="0.25">
      <c r="I1280" s="47"/>
      <c r="J1280" s="47"/>
      <c r="K1280" s="47"/>
      <c r="V1280" s="1"/>
      <c r="W1280" s="1"/>
      <c r="X1280" s="1"/>
    </row>
    <row r="1281" spans="9:24" x14ac:dyDescent="0.25">
      <c r="I1281" s="47"/>
      <c r="J1281" s="47"/>
      <c r="K1281" s="47"/>
      <c r="V1281" s="1"/>
      <c r="W1281" s="1"/>
      <c r="X1281" s="1"/>
    </row>
    <row r="1282" spans="9:24" x14ac:dyDescent="0.25">
      <c r="I1282" s="47"/>
      <c r="J1282" s="47"/>
      <c r="K1282" s="47"/>
      <c r="V1282" s="1"/>
      <c r="W1282" s="1"/>
      <c r="X1282" s="1"/>
    </row>
    <row r="1283" spans="9:24" x14ac:dyDescent="0.25">
      <c r="I1283" s="47"/>
      <c r="J1283" s="47"/>
      <c r="K1283" s="47"/>
      <c r="V1283" s="1"/>
      <c r="W1283" s="1"/>
      <c r="X1283" s="1"/>
    </row>
    <row r="1284" spans="9:24" x14ac:dyDescent="0.25">
      <c r="I1284" s="47"/>
      <c r="J1284" s="47"/>
      <c r="K1284" s="47"/>
      <c r="V1284" s="1"/>
      <c r="W1284" s="1"/>
      <c r="X1284" s="1"/>
    </row>
    <row r="1285" spans="9:24" x14ac:dyDescent="0.25">
      <c r="I1285" s="47"/>
      <c r="J1285" s="47"/>
      <c r="K1285" s="47"/>
      <c r="V1285" s="1"/>
      <c r="W1285" s="1"/>
      <c r="X1285" s="1"/>
    </row>
    <row r="1286" spans="9:24" x14ac:dyDescent="0.25">
      <c r="I1286" s="47"/>
      <c r="J1286" s="47"/>
      <c r="K1286" s="47"/>
      <c r="V1286" s="1"/>
      <c r="W1286" s="1"/>
      <c r="X1286" s="1"/>
    </row>
    <row r="1287" spans="9:24" x14ac:dyDescent="0.25">
      <c r="I1287" s="47"/>
      <c r="J1287" s="47"/>
      <c r="K1287" s="47"/>
      <c r="V1287" s="1"/>
      <c r="W1287" s="1"/>
      <c r="X1287" s="1"/>
    </row>
    <row r="1288" spans="9:24" x14ac:dyDescent="0.25">
      <c r="I1288" s="47"/>
      <c r="J1288" s="47"/>
      <c r="K1288" s="47"/>
      <c r="V1288" s="1"/>
      <c r="W1288" s="1"/>
      <c r="X1288" s="1"/>
    </row>
    <row r="1289" spans="9:24" x14ac:dyDescent="0.25">
      <c r="I1289" s="47"/>
      <c r="J1289" s="47"/>
      <c r="K1289" s="47"/>
      <c r="V1289" s="1"/>
      <c r="W1289" s="1"/>
      <c r="X1289" s="1"/>
    </row>
    <row r="1290" spans="9:24" x14ac:dyDescent="0.25">
      <c r="I1290" s="47"/>
      <c r="J1290" s="47"/>
      <c r="K1290" s="47"/>
      <c r="V1290" s="1"/>
      <c r="W1290" s="1"/>
      <c r="X1290" s="1"/>
    </row>
    <row r="1291" spans="9:24" x14ac:dyDescent="0.25">
      <c r="I1291" s="47"/>
      <c r="J1291" s="47"/>
      <c r="K1291" s="47"/>
      <c r="V1291" s="1"/>
      <c r="W1291" s="1"/>
      <c r="X1291" s="1"/>
    </row>
    <row r="1292" spans="9:24" x14ac:dyDescent="0.25">
      <c r="I1292" s="47"/>
      <c r="J1292" s="47"/>
      <c r="K1292" s="47"/>
      <c r="V1292" s="1"/>
      <c r="W1292" s="1"/>
      <c r="X1292" s="1"/>
    </row>
    <row r="1293" spans="9:24" x14ac:dyDescent="0.25">
      <c r="I1293" s="47"/>
      <c r="J1293" s="47"/>
      <c r="K1293" s="47"/>
      <c r="V1293" s="1"/>
      <c r="W1293" s="1"/>
      <c r="X1293" s="1"/>
    </row>
    <row r="1294" spans="9:24" x14ac:dyDescent="0.25">
      <c r="I1294" s="47"/>
      <c r="J1294" s="47"/>
      <c r="K1294" s="47"/>
      <c r="V1294" s="1"/>
      <c r="W1294" s="1"/>
      <c r="X1294" s="1"/>
    </row>
    <row r="1295" spans="9:24" x14ac:dyDescent="0.25">
      <c r="I1295" s="47"/>
      <c r="J1295" s="47"/>
      <c r="K1295" s="47"/>
      <c r="V1295" s="1"/>
      <c r="W1295" s="1"/>
      <c r="X1295" s="1"/>
    </row>
    <row r="1296" spans="9:24" x14ac:dyDescent="0.25">
      <c r="I1296" s="47"/>
      <c r="J1296" s="47"/>
      <c r="K1296" s="47"/>
      <c r="V1296" s="1"/>
      <c r="W1296" s="1"/>
      <c r="X1296" s="1"/>
    </row>
    <row r="1297" spans="9:24" x14ac:dyDescent="0.25">
      <c r="I1297" s="47"/>
      <c r="J1297" s="47"/>
      <c r="K1297" s="47"/>
      <c r="V1297" s="1"/>
      <c r="W1297" s="1"/>
      <c r="X1297" s="1"/>
    </row>
    <row r="1298" spans="9:24" x14ac:dyDescent="0.25">
      <c r="I1298" s="47"/>
      <c r="J1298" s="47"/>
      <c r="K1298" s="47"/>
      <c r="V1298" s="1"/>
      <c r="W1298" s="1"/>
      <c r="X1298" s="1"/>
    </row>
    <row r="1299" spans="9:24" x14ac:dyDescent="0.25">
      <c r="I1299" s="47"/>
      <c r="J1299" s="47"/>
      <c r="K1299" s="47"/>
      <c r="V1299" s="1"/>
      <c r="W1299" s="1"/>
      <c r="X1299" s="1"/>
    </row>
    <row r="1300" spans="9:24" x14ac:dyDescent="0.25">
      <c r="I1300" s="47"/>
      <c r="J1300" s="47"/>
      <c r="K1300" s="47"/>
      <c r="V1300" s="1"/>
      <c r="W1300" s="1"/>
      <c r="X1300" s="1"/>
    </row>
    <row r="1301" spans="9:24" x14ac:dyDescent="0.25">
      <c r="I1301" s="47"/>
      <c r="J1301" s="47"/>
      <c r="K1301" s="47"/>
      <c r="V1301" s="1"/>
      <c r="W1301" s="1"/>
      <c r="X1301" s="1"/>
    </row>
    <row r="1302" spans="9:24" x14ac:dyDescent="0.25">
      <c r="I1302" s="47"/>
      <c r="J1302" s="47"/>
      <c r="K1302" s="47"/>
      <c r="V1302" s="1"/>
      <c r="W1302" s="1"/>
      <c r="X1302" s="1"/>
    </row>
    <row r="1303" spans="9:24" x14ac:dyDescent="0.25">
      <c r="I1303" s="47"/>
      <c r="J1303" s="47"/>
      <c r="K1303" s="47"/>
      <c r="V1303" s="1"/>
      <c r="W1303" s="1"/>
      <c r="X1303" s="1"/>
    </row>
    <row r="1304" spans="9:24" x14ac:dyDescent="0.25">
      <c r="I1304" s="47"/>
      <c r="J1304" s="47"/>
      <c r="K1304" s="47"/>
      <c r="V1304" s="1"/>
      <c r="W1304" s="1"/>
      <c r="X1304" s="1"/>
    </row>
    <row r="1305" spans="9:24" x14ac:dyDescent="0.25">
      <c r="I1305" s="47"/>
      <c r="J1305" s="47"/>
      <c r="K1305" s="47"/>
      <c r="V1305" s="1"/>
      <c r="W1305" s="1"/>
      <c r="X1305" s="1"/>
    </row>
    <row r="1306" spans="9:24" x14ac:dyDescent="0.25">
      <c r="I1306" s="47"/>
      <c r="J1306" s="47"/>
      <c r="K1306" s="47"/>
      <c r="V1306" s="1"/>
      <c r="W1306" s="1"/>
      <c r="X1306" s="1"/>
    </row>
    <row r="1307" spans="9:24" x14ac:dyDescent="0.25">
      <c r="I1307" s="47"/>
      <c r="J1307" s="47"/>
      <c r="K1307" s="47"/>
      <c r="V1307" s="1"/>
      <c r="W1307" s="1"/>
      <c r="X1307" s="1"/>
    </row>
    <row r="1308" spans="9:24" x14ac:dyDescent="0.25">
      <c r="I1308" s="47"/>
      <c r="J1308" s="47"/>
      <c r="K1308" s="47"/>
      <c r="V1308" s="1"/>
      <c r="W1308" s="1"/>
      <c r="X1308" s="1"/>
    </row>
    <row r="1309" spans="9:24" x14ac:dyDescent="0.25">
      <c r="I1309" s="47"/>
      <c r="J1309" s="47"/>
      <c r="K1309" s="47"/>
      <c r="V1309" s="1"/>
      <c r="W1309" s="1"/>
      <c r="X1309" s="1"/>
    </row>
    <row r="1310" spans="9:24" x14ac:dyDescent="0.25">
      <c r="I1310" s="47"/>
      <c r="J1310" s="47"/>
      <c r="K1310" s="47"/>
      <c r="V1310" s="1"/>
      <c r="W1310" s="1"/>
      <c r="X1310" s="1"/>
    </row>
    <row r="1311" spans="9:24" x14ac:dyDescent="0.25">
      <c r="I1311" s="47"/>
      <c r="J1311" s="47"/>
      <c r="K1311" s="47"/>
      <c r="V1311" s="1"/>
      <c r="W1311" s="1"/>
      <c r="X1311" s="1"/>
    </row>
    <row r="1312" spans="9:24" x14ac:dyDescent="0.25">
      <c r="I1312" s="47"/>
      <c r="J1312" s="47"/>
      <c r="K1312" s="47"/>
      <c r="V1312" s="1"/>
      <c r="W1312" s="1"/>
      <c r="X1312" s="1"/>
    </row>
    <row r="1313" spans="9:24" x14ac:dyDescent="0.25">
      <c r="I1313" s="47"/>
      <c r="J1313" s="47"/>
      <c r="K1313" s="47"/>
      <c r="V1313" s="1"/>
      <c r="W1313" s="1"/>
      <c r="X1313" s="1"/>
    </row>
    <row r="1314" spans="9:24" x14ac:dyDescent="0.25">
      <c r="I1314" s="47"/>
      <c r="J1314" s="47"/>
      <c r="K1314" s="47"/>
      <c r="V1314" s="1"/>
      <c r="W1314" s="1"/>
      <c r="X1314" s="1"/>
    </row>
    <row r="1315" spans="9:24" x14ac:dyDescent="0.25">
      <c r="I1315" s="47"/>
      <c r="J1315" s="47"/>
      <c r="K1315" s="47"/>
      <c r="V1315" s="1"/>
      <c r="W1315" s="1"/>
      <c r="X1315" s="1"/>
    </row>
    <row r="1316" spans="9:24" x14ac:dyDescent="0.25">
      <c r="I1316" s="47"/>
      <c r="J1316" s="47"/>
      <c r="K1316" s="47"/>
      <c r="V1316" s="1"/>
      <c r="W1316" s="1"/>
      <c r="X1316" s="1"/>
    </row>
    <row r="1317" spans="9:24" x14ac:dyDescent="0.25">
      <c r="I1317" s="47"/>
      <c r="J1317" s="47"/>
      <c r="K1317" s="47"/>
      <c r="V1317" s="1"/>
      <c r="W1317" s="1"/>
      <c r="X1317" s="1"/>
    </row>
    <row r="1318" spans="9:24" x14ac:dyDescent="0.25">
      <c r="I1318" s="47"/>
      <c r="J1318" s="47"/>
      <c r="K1318" s="47"/>
      <c r="V1318" s="1"/>
      <c r="W1318" s="1"/>
      <c r="X1318" s="1"/>
    </row>
    <row r="1319" spans="9:24" x14ac:dyDescent="0.25">
      <c r="I1319" s="47"/>
      <c r="J1319" s="47"/>
      <c r="K1319" s="47"/>
      <c r="V1319" s="1"/>
      <c r="W1319" s="1"/>
      <c r="X1319" s="1"/>
    </row>
    <row r="1320" spans="9:24" x14ac:dyDescent="0.25">
      <c r="I1320" s="47"/>
      <c r="J1320" s="47"/>
      <c r="K1320" s="47"/>
      <c r="V1320" s="1"/>
      <c r="W1320" s="1"/>
      <c r="X1320" s="1"/>
    </row>
    <row r="1321" spans="9:24" x14ac:dyDescent="0.25">
      <c r="I1321" s="47"/>
      <c r="J1321" s="47"/>
      <c r="K1321" s="47"/>
      <c r="V1321" s="1"/>
      <c r="W1321" s="1"/>
      <c r="X1321" s="1"/>
    </row>
    <row r="1322" spans="9:24" x14ac:dyDescent="0.25">
      <c r="I1322" s="47"/>
      <c r="J1322" s="47"/>
      <c r="K1322" s="47"/>
      <c r="V1322" s="1"/>
      <c r="W1322" s="1"/>
      <c r="X1322" s="1"/>
    </row>
    <row r="1323" spans="9:24" x14ac:dyDescent="0.25">
      <c r="I1323" s="47"/>
      <c r="J1323" s="47"/>
      <c r="K1323" s="47"/>
      <c r="V1323" s="1"/>
      <c r="W1323" s="1"/>
      <c r="X1323" s="1"/>
    </row>
    <row r="1324" spans="9:24" x14ac:dyDescent="0.25">
      <c r="I1324" s="47"/>
      <c r="J1324" s="47"/>
      <c r="K1324" s="47"/>
      <c r="V1324" s="1"/>
      <c r="W1324" s="1"/>
      <c r="X1324" s="1"/>
    </row>
    <row r="1325" spans="9:24" x14ac:dyDescent="0.25">
      <c r="I1325" s="47"/>
      <c r="J1325" s="47"/>
      <c r="K1325" s="47"/>
      <c r="V1325" s="1"/>
      <c r="W1325" s="1"/>
      <c r="X1325" s="1"/>
    </row>
    <row r="1326" spans="9:24" x14ac:dyDescent="0.25">
      <c r="I1326" s="47"/>
      <c r="J1326" s="47"/>
      <c r="K1326" s="47"/>
      <c r="V1326" s="1"/>
      <c r="W1326" s="1"/>
      <c r="X1326" s="1"/>
    </row>
    <row r="1327" spans="9:24" x14ac:dyDescent="0.25">
      <c r="I1327" s="47"/>
      <c r="J1327" s="47"/>
      <c r="K1327" s="47"/>
      <c r="V1327" s="1"/>
      <c r="W1327" s="1"/>
      <c r="X1327" s="1"/>
    </row>
    <row r="1328" spans="9:24" x14ac:dyDescent="0.25">
      <c r="I1328" s="47"/>
      <c r="J1328" s="47"/>
      <c r="K1328" s="47"/>
      <c r="V1328" s="1"/>
      <c r="W1328" s="1"/>
      <c r="X1328" s="1"/>
    </row>
    <row r="1329" spans="9:24" x14ac:dyDescent="0.25">
      <c r="I1329" s="47"/>
      <c r="J1329" s="47"/>
      <c r="K1329" s="47"/>
      <c r="V1329" s="1"/>
      <c r="W1329" s="1"/>
      <c r="X1329" s="1"/>
    </row>
    <row r="1330" spans="9:24" x14ac:dyDescent="0.25">
      <c r="I1330" s="47"/>
      <c r="J1330" s="47"/>
      <c r="K1330" s="47"/>
      <c r="V1330" s="1"/>
      <c r="W1330" s="1"/>
      <c r="X1330" s="1"/>
    </row>
    <row r="1331" spans="9:24" x14ac:dyDescent="0.25">
      <c r="I1331" s="47"/>
      <c r="J1331" s="47"/>
      <c r="K1331" s="47"/>
      <c r="V1331" s="1"/>
      <c r="W1331" s="1"/>
      <c r="X1331" s="1"/>
    </row>
    <row r="1332" spans="9:24" x14ac:dyDescent="0.25">
      <c r="I1332" s="47"/>
      <c r="J1332" s="47"/>
      <c r="K1332" s="47"/>
      <c r="V1332" s="1"/>
      <c r="W1332" s="1"/>
      <c r="X1332" s="1"/>
    </row>
    <row r="1333" spans="9:24" x14ac:dyDescent="0.25">
      <c r="I1333" s="47"/>
      <c r="J1333" s="47"/>
      <c r="K1333" s="47"/>
      <c r="V1333" s="1"/>
      <c r="W1333" s="1"/>
      <c r="X1333" s="1"/>
    </row>
    <row r="1334" spans="9:24" x14ac:dyDescent="0.25">
      <c r="I1334" s="47"/>
      <c r="J1334" s="47"/>
      <c r="K1334" s="47"/>
      <c r="V1334" s="1"/>
      <c r="W1334" s="1"/>
      <c r="X1334" s="1"/>
    </row>
    <row r="1335" spans="9:24" x14ac:dyDescent="0.25">
      <c r="I1335" s="47"/>
      <c r="J1335" s="47"/>
      <c r="K1335" s="47"/>
      <c r="V1335" s="1"/>
      <c r="W1335" s="1"/>
      <c r="X1335" s="1"/>
    </row>
    <row r="1336" spans="9:24" x14ac:dyDescent="0.25">
      <c r="I1336" s="47"/>
      <c r="J1336" s="47"/>
      <c r="K1336" s="47"/>
      <c r="V1336" s="1"/>
      <c r="W1336" s="1"/>
      <c r="X1336" s="1"/>
    </row>
    <row r="1337" spans="9:24" x14ac:dyDescent="0.25">
      <c r="I1337" s="47"/>
      <c r="J1337" s="47"/>
      <c r="K1337" s="47"/>
      <c r="V1337" s="1"/>
      <c r="W1337" s="1"/>
      <c r="X1337" s="1"/>
    </row>
    <row r="1338" spans="9:24" x14ac:dyDescent="0.25">
      <c r="I1338" s="47"/>
      <c r="J1338" s="47"/>
      <c r="K1338" s="47"/>
      <c r="V1338" s="1"/>
      <c r="W1338" s="1"/>
      <c r="X1338" s="1"/>
    </row>
    <row r="1339" spans="9:24" x14ac:dyDescent="0.25">
      <c r="I1339" s="47"/>
      <c r="J1339" s="47"/>
      <c r="K1339" s="47"/>
      <c r="V1339" s="1"/>
      <c r="W1339" s="1"/>
      <c r="X1339" s="1"/>
    </row>
    <row r="1340" spans="9:24" x14ac:dyDescent="0.25">
      <c r="I1340" s="47"/>
      <c r="J1340" s="47"/>
      <c r="K1340" s="47"/>
      <c r="V1340" s="1"/>
      <c r="W1340" s="1"/>
      <c r="X1340" s="1"/>
    </row>
    <row r="1341" spans="9:24" x14ac:dyDescent="0.25">
      <c r="I1341" s="47"/>
      <c r="J1341" s="47"/>
      <c r="K1341" s="47"/>
      <c r="V1341" s="1"/>
      <c r="W1341" s="1"/>
      <c r="X1341" s="1"/>
    </row>
    <row r="1342" spans="9:24" x14ac:dyDescent="0.25">
      <c r="I1342" s="47"/>
      <c r="J1342" s="47"/>
      <c r="K1342" s="47"/>
      <c r="V1342" s="1"/>
      <c r="W1342" s="1"/>
      <c r="X1342" s="1"/>
    </row>
    <row r="1343" spans="9:24" x14ac:dyDescent="0.25">
      <c r="I1343" s="47"/>
      <c r="J1343" s="47"/>
      <c r="K1343" s="47"/>
      <c r="V1343" s="1"/>
      <c r="W1343" s="1"/>
      <c r="X1343" s="1"/>
    </row>
    <row r="1344" spans="9:24" x14ac:dyDescent="0.25">
      <c r="I1344" s="47"/>
      <c r="J1344" s="47"/>
      <c r="K1344" s="47"/>
      <c r="V1344" s="1"/>
      <c r="W1344" s="1"/>
      <c r="X1344" s="1"/>
    </row>
    <row r="1345" spans="9:24" x14ac:dyDescent="0.25">
      <c r="I1345" s="47"/>
      <c r="J1345" s="47"/>
      <c r="K1345" s="47"/>
      <c r="V1345" s="1"/>
      <c r="W1345" s="1"/>
      <c r="X1345" s="1"/>
    </row>
    <row r="1346" spans="9:24" x14ac:dyDescent="0.25">
      <c r="I1346" s="47"/>
      <c r="J1346" s="47"/>
      <c r="K1346" s="47"/>
      <c r="V1346" s="1"/>
      <c r="W1346" s="1"/>
      <c r="X1346" s="1"/>
    </row>
    <row r="1347" spans="9:24" x14ac:dyDescent="0.25">
      <c r="I1347" s="47"/>
      <c r="J1347" s="47"/>
      <c r="K1347" s="47"/>
      <c r="V1347" s="1"/>
      <c r="W1347" s="1"/>
      <c r="X1347" s="1"/>
    </row>
    <row r="1348" spans="9:24" x14ac:dyDescent="0.25">
      <c r="I1348" s="47"/>
      <c r="J1348" s="47"/>
      <c r="K1348" s="47"/>
      <c r="V1348" s="1"/>
      <c r="W1348" s="1"/>
      <c r="X1348" s="1"/>
    </row>
    <row r="1349" spans="9:24" x14ac:dyDescent="0.25">
      <c r="I1349" s="47"/>
      <c r="J1349" s="47"/>
      <c r="K1349" s="47"/>
      <c r="V1349" s="1"/>
      <c r="W1349" s="1"/>
      <c r="X1349" s="1"/>
    </row>
    <row r="1350" spans="9:24" x14ac:dyDescent="0.25">
      <c r="I1350" s="47"/>
      <c r="J1350" s="47"/>
      <c r="K1350" s="47"/>
      <c r="V1350" s="1"/>
      <c r="W1350" s="1"/>
      <c r="X1350" s="1"/>
    </row>
    <row r="1351" spans="9:24" x14ac:dyDescent="0.25">
      <c r="I1351" s="47"/>
      <c r="J1351" s="47"/>
      <c r="K1351" s="47"/>
      <c r="V1351" s="1"/>
      <c r="W1351" s="1"/>
      <c r="X1351" s="1"/>
    </row>
    <row r="1352" spans="9:24" x14ac:dyDescent="0.25">
      <c r="I1352" s="47"/>
      <c r="J1352" s="47"/>
      <c r="K1352" s="47"/>
      <c r="V1352" s="1"/>
      <c r="W1352" s="1"/>
      <c r="X1352" s="1"/>
    </row>
    <row r="1353" spans="9:24" x14ac:dyDescent="0.25">
      <c r="I1353" s="47"/>
      <c r="J1353" s="47"/>
      <c r="K1353" s="47"/>
      <c r="V1353" s="1"/>
      <c r="W1353" s="1"/>
      <c r="X1353" s="1"/>
    </row>
    <row r="1354" spans="9:24" x14ac:dyDescent="0.25">
      <c r="I1354" s="47"/>
      <c r="J1354" s="47"/>
      <c r="K1354" s="47"/>
      <c r="V1354" s="1"/>
      <c r="W1354" s="1"/>
      <c r="X1354" s="1"/>
    </row>
    <row r="1355" spans="9:24" x14ac:dyDescent="0.25">
      <c r="I1355" s="47"/>
      <c r="J1355" s="47"/>
      <c r="K1355" s="47"/>
      <c r="V1355" s="1"/>
      <c r="W1355" s="1"/>
      <c r="X1355" s="1"/>
    </row>
    <row r="1356" spans="9:24" x14ac:dyDescent="0.25">
      <c r="I1356" s="47"/>
      <c r="J1356" s="47"/>
      <c r="K1356" s="47"/>
      <c r="V1356" s="1"/>
      <c r="W1356" s="1"/>
      <c r="X1356" s="1"/>
    </row>
    <row r="1357" spans="9:24" x14ac:dyDescent="0.25">
      <c r="I1357" s="47"/>
      <c r="J1357" s="47"/>
      <c r="K1357" s="47"/>
      <c r="V1357" s="1"/>
      <c r="W1357" s="1"/>
      <c r="X1357" s="1"/>
    </row>
    <row r="1358" spans="9:24" x14ac:dyDescent="0.25">
      <c r="I1358" s="47"/>
      <c r="J1358" s="47"/>
      <c r="K1358" s="47"/>
      <c r="V1358" s="1"/>
      <c r="W1358" s="1"/>
      <c r="X1358" s="1"/>
    </row>
    <row r="1359" spans="9:24" x14ac:dyDescent="0.25">
      <c r="I1359" s="47"/>
      <c r="J1359" s="47"/>
      <c r="K1359" s="47"/>
      <c r="V1359" s="1"/>
      <c r="W1359" s="1"/>
      <c r="X1359" s="1"/>
    </row>
    <row r="1360" spans="9:24" x14ac:dyDescent="0.25">
      <c r="I1360" s="47"/>
      <c r="J1360" s="47"/>
      <c r="K1360" s="47"/>
      <c r="V1360" s="1"/>
      <c r="W1360" s="1"/>
      <c r="X1360" s="1"/>
    </row>
    <row r="1361" spans="9:24" x14ac:dyDescent="0.25">
      <c r="I1361" s="47"/>
      <c r="J1361" s="47"/>
      <c r="K1361" s="47"/>
      <c r="V1361" s="1"/>
      <c r="W1361" s="1"/>
      <c r="X1361" s="1"/>
    </row>
    <row r="1362" spans="9:24" x14ac:dyDescent="0.25">
      <c r="I1362" s="47"/>
      <c r="J1362" s="47"/>
      <c r="K1362" s="47"/>
      <c r="V1362" s="1"/>
      <c r="W1362" s="1"/>
      <c r="X1362" s="1"/>
    </row>
    <row r="1363" spans="9:24" x14ac:dyDescent="0.25">
      <c r="I1363" s="47"/>
      <c r="J1363" s="47"/>
      <c r="K1363" s="47"/>
      <c r="V1363" s="1"/>
      <c r="W1363" s="1"/>
      <c r="X1363" s="1"/>
    </row>
    <row r="1364" spans="9:24" x14ac:dyDescent="0.25">
      <c r="I1364" s="47"/>
      <c r="J1364" s="47"/>
      <c r="K1364" s="47"/>
      <c r="V1364" s="1"/>
      <c r="W1364" s="1"/>
      <c r="X1364" s="1"/>
    </row>
    <row r="1365" spans="9:24" x14ac:dyDescent="0.25">
      <c r="I1365" s="47"/>
      <c r="J1365" s="47"/>
      <c r="K1365" s="47"/>
      <c r="V1365" s="1"/>
      <c r="W1365" s="1"/>
      <c r="X1365" s="1"/>
    </row>
    <row r="1366" spans="9:24" x14ac:dyDescent="0.25">
      <c r="I1366" s="47"/>
      <c r="J1366" s="47"/>
      <c r="K1366" s="47"/>
      <c r="V1366" s="1"/>
      <c r="W1366" s="1"/>
      <c r="X1366" s="1"/>
    </row>
    <row r="1367" spans="9:24" x14ac:dyDescent="0.25">
      <c r="I1367" s="47"/>
      <c r="J1367" s="47"/>
      <c r="K1367" s="47"/>
      <c r="V1367" s="1"/>
      <c r="W1367" s="1"/>
      <c r="X1367" s="1"/>
    </row>
    <row r="1368" spans="9:24" x14ac:dyDescent="0.25">
      <c r="I1368" s="47"/>
      <c r="J1368" s="47"/>
      <c r="K1368" s="47"/>
      <c r="V1368" s="1"/>
      <c r="W1368" s="1"/>
      <c r="X1368" s="1"/>
    </row>
    <row r="1369" spans="9:24" x14ac:dyDescent="0.25">
      <c r="I1369" s="47"/>
      <c r="J1369" s="47"/>
      <c r="K1369" s="47"/>
      <c r="V1369" s="1"/>
      <c r="W1369" s="1"/>
      <c r="X1369" s="1"/>
    </row>
    <row r="1370" spans="9:24" x14ac:dyDescent="0.25">
      <c r="I1370" s="47"/>
      <c r="J1370" s="47"/>
      <c r="K1370" s="47"/>
      <c r="V1370" s="1"/>
      <c r="W1370" s="1"/>
      <c r="X1370" s="1"/>
    </row>
    <row r="1371" spans="9:24" x14ac:dyDescent="0.25">
      <c r="I1371" s="47"/>
      <c r="J1371" s="47"/>
      <c r="K1371" s="47"/>
      <c r="V1371" s="1"/>
      <c r="W1371" s="1"/>
      <c r="X1371" s="1"/>
    </row>
    <row r="1372" spans="9:24" x14ac:dyDescent="0.25">
      <c r="I1372" s="47"/>
      <c r="J1372" s="47"/>
      <c r="K1372" s="47"/>
      <c r="V1372" s="1"/>
      <c r="W1372" s="1"/>
      <c r="X1372" s="1"/>
    </row>
    <row r="1373" spans="9:24" x14ac:dyDescent="0.25">
      <c r="I1373" s="47"/>
      <c r="J1373" s="47"/>
      <c r="K1373" s="47"/>
      <c r="V1373" s="1"/>
      <c r="W1373" s="1"/>
      <c r="X1373" s="1"/>
    </row>
    <row r="1374" spans="9:24" x14ac:dyDescent="0.25">
      <c r="I1374" s="47"/>
      <c r="J1374" s="47"/>
      <c r="K1374" s="47"/>
      <c r="V1374" s="1"/>
      <c r="W1374" s="1"/>
      <c r="X1374" s="1"/>
    </row>
    <row r="1375" spans="9:24" x14ac:dyDescent="0.25">
      <c r="I1375" s="47"/>
      <c r="J1375" s="47"/>
      <c r="K1375" s="47"/>
      <c r="V1375" s="1"/>
      <c r="W1375" s="1"/>
      <c r="X1375" s="1"/>
    </row>
    <row r="1376" spans="9:24" x14ac:dyDescent="0.25">
      <c r="I1376" s="47"/>
      <c r="J1376" s="47"/>
      <c r="K1376" s="47"/>
      <c r="V1376" s="1"/>
      <c r="W1376" s="1"/>
      <c r="X1376" s="1"/>
    </row>
    <row r="1377" spans="9:24" x14ac:dyDescent="0.25">
      <c r="I1377" s="47"/>
      <c r="J1377" s="47"/>
      <c r="K1377" s="47"/>
      <c r="V1377" s="1"/>
      <c r="W1377" s="1"/>
      <c r="X1377" s="1"/>
    </row>
    <row r="1378" spans="9:24" x14ac:dyDescent="0.25">
      <c r="I1378" s="47"/>
      <c r="J1378" s="47"/>
      <c r="K1378" s="47"/>
      <c r="V1378" s="1"/>
      <c r="W1378" s="1"/>
      <c r="X1378" s="1"/>
    </row>
    <row r="1379" spans="9:24" x14ac:dyDescent="0.25">
      <c r="I1379" s="47"/>
      <c r="J1379" s="47"/>
      <c r="K1379" s="47"/>
      <c r="V1379" s="1"/>
      <c r="W1379" s="1"/>
      <c r="X1379" s="1"/>
    </row>
    <row r="1380" spans="9:24" x14ac:dyDescent="0.25">
      <c r="I1380" s="47"/>
      <c r="J1380" s="47"/>
      <c r="K1380" s="47"/>
      <c r="V1380" s="1"/>
      <c r="W1380" s="1"/>
      <c r="X1380" s="1"/>
    </row>
    <row r="1381" spans="9:24" x14ac:dyDescent="0.25">
      <c r="I1381" s="47"/>
      <c r="J1381" s="47"/>
      <c r="K1381" s="47"/>
      <c r="V1381" s="1"/>
      <c r="W1381" s="1"/>
      <c r="X1381" s="1"/>
    </row>
    <row r="1382" spans="9:24" x14ac:dyDescent="0.25">
      <c r="I1382" s="47"/>
      <c r="J1382" s="47"/>
      <c r="K1382" s="47"/>
      <c r="V1382" s="1"/>
      <c r="W1382" s="1"/>
      <c r="X1382" s="1"/>
    </row>
    <row r="1383" spans="9:24" x14ac:dyDescent="0.25">
      <c r="I1383" s="47"/>
      <c r="J1383" s="47"/>
      <c r="K1383" s="47"/>
      <c r="V1383" s="1"/>
      <c r="W1383" s="1"/>
      <c r="X1383" s="1"/>
    </row>
    <row r="1384" spans="9:24" x14ac:dyDescent="0.25">
      <c r="I1384" s="47"/>
      <c r="J1384" s="47"/>
      <c r="K1384" s="47"/>
      <c r="V1384" s="1"/>
      <c r="W1384" s="1"/>
      <c r="X1384" s="1"/>
    </row>
    <row r="1385" spans="9:24" x14ac:dyDescent="0.25">
      <c r="I1385" s="47"/>
      <c r="J1385" s="47"/>
      <c r="K1385" s="47"/>
      <c r="V1385" s="1"/>
      <c r="W1385" s="1"/>
      <c r="X1385" s="1"/>
    </row>
    <row r="1386" spans="9:24" x14ac:dyDescent="0.25">
      <c r="I1386" s="47"/>
      <c r="J1386" s="47"/>
      <c r="K1386" s="47"/>
      <c r="V1386" s="1"/>
      <c r="W1386" s="1"/>
      <c r="X1386" s="1"/>
    </row>
    <row r="1387" spans="9:24" x14ac:dyDescent="0.25">
      <c r="I1387" s="47"/>
      <c r="J1387" s="47"/>
      <c r="K1387" s="47"/>
      <c r="V1387" s="1"/>
      <c r="W1387" s="1"/>
      <c r="X1387" s="1"/>
    </row>
    <row r="1388" spans="9:24" x14ac:dyDescent="0.25">
      <c r="I1388" s="47"/>
      <c r="J1388" s="47"/>
      <c r="K1388" s="47"/>
      <c r="V1388" s="1"/>
      <c r="W1388" s="1"/>
      <c r="X1388" s="1"/>
    </row>
    <row r="1389" spans="9:24" x14ac:dyDescent="0.25">
      <c r="I1389" s="47"/>
      <c r="J1389" s="47"/>
      <c r="K1389" s="47"/>
      <c r="V1389" s="1"/>
      <c r="W1389" s="1"/>
      <c r="X1389" s="1"/>
    </row>
    <row r="1390" spans="9:24" x14ac:dyDescent="0.25">
      <c r="I1390" s="47"/>
      <c r="J1390" s="47"/>
      <c r="K1390" s="47"/>
      <c r="V1390" s="1"/>
      <c r="W1390" s="1"/>
      <c r="X1390" s="1"/>
    </row>
    <row r="1391" spans="9:24" x14ac:dyDescent="0.25">
      <c r="I1391" s="47"/>
      <c r="J1391" s="47"/>
      <c r="K1391" s="47"/>
      <c r="V1391" s="1"/>
      <c r="W1391" s="1"/>
      <c r="X1391" s="1"/>
    </row>
    <row r="1392" spans="9:24" x14ac:dyDescent="0.25">
      <c r="I1392" s="47"/>
      <c r="J1392" s="47"/>
      <c r="K1392" s="47"/>
      <c r="V1392" s="1"/>
      <c r="W1392" s="1"/>
      <c r="X1392" s="1"/>
    </row>
    <row r="1393" spans="9:24" x14ac:dyDescent="0.25">
      <c r="I1393" s="47"/>
      <c r="J1393" s="47"/>
      <c r="K1393" s="47"/>
      <c r="V1393" s="1"/>
      <c r="W1393" s="1"/>
      <c r="X1393" s="1"/>
    </row>
    <row r="1394" spans="9:24" x14ac:dyDescent="0.25">
      <c r="I1394" s="47"/>
      <c r="J1394" s="47"/>
      <c r="K1394" s="47"/>
      <c r="V1394" s="1"/>
      <c r="W1394" s="1"/>
      <c r="X1394" s="1"/>
    </row>
    <row r="1395" spans="9:24" x14ac:dyDescent="0.25">
      <c r="I1395" s="47"/>
      <c r="J1395" s="47"/>
      <c r="K1395" s="47"/>
      <c r="V1395" s="1"/>
      <c r="W1395" s="1"/>
      <c r="X1395" s="1"/>
    </row>
    <row r="1396" spans="9:24" x14ac:dyDescent="0.25">
      <c r="I1396" s="47"/>
      <c r="J1396" s="47"/>
      <c r="K1396" s="47"/>
      <c r="V1396" s="1"/>
      <c r="W1396" s="1"/>
      <c r="X1396" s="1"/>
    </row>
    <row r="1397" spans="9:24" x14ac:dyDescent="0.25">
      <c r="I1397" s="47"/>
      <c r="J1397" s="47"/>
      <c r="K1397" s="47"/>
      <c r="V1397" s="1"/>
      <c r="W1397" s="1"/>
      <c r="X1397" s="1"/>
    </row>
    <row r="1398" spans="9:24" x14ac:dyDescent="0.25">
      <c r="I1398" s="47"/>
      <c r="J1398" s="47"/>
      <c r="K1398" s="47"/>
      <c r="V1398" s="1"/>
      <c r="W1398" s="1"/>
      <c r="X1398" s="1"/>
    </row>
    <row r="1399" spans="9:24" x14ac:dyDescent="0.25">
      <c r="I1399" s="47"/>
      <c r="J1399" s="47"/>
      <c r="K1399" s="47"/>
      <c r="V1399" s="1"/>
      <c r="W1399" s="1"/>
      <c r="X1399" s="1"/>
    </row>
    <row r="1400" spans="9:24" x14ac:dyDescent="0.25">
      <c r="I1400" s="47"/>
      <c r="J1400" s="47"/>
      <c r="K1400" s="47"/>
      <c r="V1400" s="1"/>
      <c r="W1400" s="1"/>
      <c r="X1400" s="1"/>
    </row>
    <row r="1401" spans="9:24" x14ac:dyDescent="0.25">
      <c r="I1401" s="47"/>
      <c r="J1401" s="47"/>
      <c r="K1401" s="47"/>
      <c r="V1401" s="1"/>
      <c r="W1401" s="1"/>
      <c r="X1401" s="1"/>
    </row>
    <row r="1402" spans="9:24" x14ac:dyDescent="0.25">
      <c r="I1402" s="47"/>
      <c r="J1402" s="47"/>
      <c r="K1402" s="47"/>
      <c r="V1402" s="1"/>
      <c r="W1402" s="1"/>
      <c r="X1402" s="1"/>
    </row>
    <row r="1403" spans="9:24" x14ac:dyDescent="0.25">
      <c r="I1403" s="47"/>
      <c r="J1403" s="47"/>
      <c r="K1403" s="47"/>
      <c r="V1403" s="1"/>
      <c r="W1403" s="1"/>
      <c r="X1403" s="1"/>
    </row>
    <row r="1404" spans="9:24" x14ac:dyDescent="0.25">
      <c r="I1404" s="47"/>
      <c r="J1404" s="47"/>
      <c r="K1404" s="47"/>
      <c r="V1404" s="1"/>
      <c r="W1404" s="1"/>
      <c r="X1404" s="1"/>
    </row>
    <row r="1405" spans="9:24" x14ac:dyDescent="0.25">
      <c r="I1405" s="47"/>
      <c r="J1405" s="47"/>
      <c r="K1405" s="47"/>
      <c r="V1405" s="1"/>
      <c r="W1405" s="1"/>
      <c r="X1405" s="1"/>
    </row>
    <row r="1406" spans="9:24" x14ac:dyDescent="0.25">
      <c r="I1406" s="47"/>
      <c r="J1406" s="47"/>
      <c r="K1406" s="47"/>
      <c r="V1406" s="1"/>
      <c r="W1406" s="1"/>
      <c r="X1406" s="1"/>
    </row>
    <row r="1407" spans="9:24" x14ac:dyDescent="0.25">
      <c r="I1407" s="47"/>
      <c r="J1407" s="47"/>
      <c r="K1407" s="47"/>
      <c r="V1407" s="1"/>
      <c r="W1407" s="1"/>
      <c r="X1407" s="1"/>
    </row>
    <row r="1408" spans="9:24" x14ac:dyDescent="0.25">
      <c r="I1408" s="47"/>
      <c r="J1408" s="47"/>
      <c r="K1408" s="47"/>
      <c r="V1408" s="1"/>
      <c r="W1408" s="1"/>
      <c r="X1408" s="1"/>
    </row>
    <row r="1409" spans="9:24" x14ac:dyDescent="0.25">
      <c r="I1409" s="47"/>
      <c r="J1409" s="47"/>
      <c r="K1409" s="47"/>
      <c r="V1409" s="1"/>
      <c r="W1409" s="1"/>
      <c r="X1409" s="1"/>
    </row>
    <row r="1410" spans="9:24" x14ac:dyDescent="0.25">
      <c r="I1410" s="47"/>
      <c r="J1410" s="47"/>
      <c r="K1410" s="47"/>
      <c r="V1410" s="1"/>
      <c r="W1410" s="1"/>
      <c r="X1410" s="1"/>
    </row>
    <row r="1411" spans="9:24" x14ac:dyDescent="0.25">
      <c r="I1411" s="47"/>
      <c r="J1411" s="47"/>
      <c r="K1411" s="47"/>
      <c r="V1411" s="1"/>
      <c r="W1411" s="1"/>
      <c r="X1411" s="1"/>
    </row>
    <row r="1412" spans="9:24" x14ac:dyDescent="0.25">
      <c r="I1412" s="47"/>
      <c r="J1412" s="47"/>
      <c r="K1412" s="47"/>
      <c r="V1412" s="1"/>
      <c r="W1412" s="1"/>
      <c r="X1412" s="1"/>
    </row>
    <row r="1413" spans="9:24" x14ac:dyDescent="0.25">
      <c r="I1413" s="47"/>
      <c r="J1413" s="47"/>
      <c r="K1413" s="47"/>
      <c r="V1413" s="1"/>
      <c r="W1413" s="1"/>
      <c r="X1413" s="1"/>
    </row>
    <row r="1414" spans="9:24" x14ac:dyDescent="0.25">
      <c r="I1414" s="47"/>
      <c r="J1414" s="47"/>
      <c r="K1414" s="47"/>
      <c r="V1414" s="1"/>
      <c r="W1414" s="1"/>
      <c r="X1414" s="1"/>
    </row>
    <row r="1415" spans="9:24" x14ac:dyDescent="0.25">
      <c r="I1415" s="47"/>
      <c r="J1415" s="47"/>
      <c r="K1415" s="47"/>
      <c r="V1415" s="1"/>
      <c r="W1415" s="1"/>
      <c r="X1415" s="1"/>
    </row>
    <row r="1416" spans="9:24" x14ac:dyDescent="0.25">
      <c r="I1416" s="47"/>
      <c r="J1416" s="47"/>
      <c r="K1416" s="47"/>
      <c r="V1416" s="1"/>
      <c r="W1416" s="1"/>
      <c r="X1416" s="1"/>
    </row>
    <row r="1417" spans="9:24" x14ac:dyDescent="0.25">
      <c r="I1417" s="47"/>
      <c r="J1417" s="47"/>
      <c r="K1417" s="47"/>
      <c r="V1417" s="1"/>
      <c r="W1417" s="1"/>
      <c r="X1417" s="1"/>
    </row>
    <row r="1418" spans="9:24" x14ac:dyDescent="0.25">
      <c r="I1418" s="47"/>
      <c r="J1418" s="47"/>
      <c r="K1418" s="47"/>
      <c r="V1418" s="1"/>
      <c r="W1418" s="1"/>
      <c r="X1418" s="1"/>
    </row>
    <row r="1419" spans="9:24" x14ac:dyDescent="0.25">
      <c r="I1419" s="47"/>
      <c r="J1419" s="47"/>
      <c r="K1419" s="47"/>
      <c r="V1419" s="1"/>
      <c r="W1419" s="1"/>
      <c r="X1419" s="1"/>
    </row>
    <row r="1420" spans="9:24" x14ac:dyDescent="0.25">
      <c r="I1420" s="47"/>
      <c r="J1420" s="47"/>
      <c r="K1420" s="47"/>
      <c r="V1420" s="1"/>
      <c r="W1420" s="1"/>
      <c r="X1420" s="1"/>
    </row>
    <row r="1421" spans="9:24" x14ac:dyDescent="0.25">
      <c r="I1421" s="47"/>
      <c r="J1421" s="47"/>
      <c r="K1421" s="47"/>
      <c r="V1421" s="1"/>
      <c r="W1421" s="1"/>
      <c r="X1421" s="1"/>
    </row>
    <row r="1422" spans="9:24" x14ac:dyDescent="0.25">
      <c r="I1422" s="47"/>
      <c r="J1422" s="47"/>
      <c r="K1422" s="47"/>
      <c r="V1422" s="1"/>
      <c r="W1422" s="1"/>
      <c r="X1422" s="1"/>
    </row>
    <row r="1423" spans="9:24" x14ac:dyDescent="0.25">
      <c r="I1423" s="47"/>
      <c r="J1423" s="47"/>
      <c r="K1423" s="47"/>
      <c r="V1423" s="1"/>
      <c r="W1423" s="1"/>
      <c r="X1423" s="1"/>
    </row>
    <row r="1424" spans="9:24" x14ac:dyDescent="0.25">
      <c r="I1424" s="47"/>
      <c r="J1424" s="47"/>
      <c r="K1424" s="47"/>
      <c r="V1424" s="1"/>
      <c r="W1424" s="1"/>
      <c r="X1424" s="1"/>
    </row>
    <row r="1425" spans="9:24" x14ac:dyDescent="0.25">
      <c r="I1425" s="47"/>
      <c r="J1425" s="47"/>
      <c r="K1425" s="47"/>
      <c r="V1425" s="1"/>
      <c r="W1425" s="1"/>
      <c r="X1425" s="1"/>
    </row>
    <row r="1426" spans="9:24" x14ac:dyDescent="0.25">
      <c r="I1426" s="47"/>
      <c r="J1426" s="47"/>
      <c r="K1426" s="47"/>
      <c r="V1426" s="1"/>
      <c r="W1426" s="1"/>
      <c r="X1426" s="1"/>
    </row>
    <row r="1427" spans="9:24" x14ac:dyDescent="0.25">
      <c r="I1427" s="47"/>
      <c r="J1427" s="47"/>
      <c r="K1427" s="47"/>
      <c r="V1427" s="1"/>
      <c r="W1427" s="1"/>
      <c r="X1427" s="1"/>
    </row>
    <row r="1428" spans="9:24" x14ac:dyDescent="0.25">
      <c r="I1428" s="47"/>
      <c r="J1428" s="47"/>
      <c r="K1428" s="47"/>
      <c r="V1428" s="1"/>
      <c r="W1428" s="1"/>
      <c r="X1428" s="1"/>
    </row>
    <row r="1429" spans="9:24" x14ac:dyDescent="0.25">
      <c r="I1429" s="47"/>
      <c r="J1429" s="47"/>
      <c r="K1429" s="47"/>
      <c r="V1429" s="1"/>
      <c r="W1429" s="1"/>
      <c r="X1429" s="1"/>
    </row>
    <row r="1430" spans="9:24" x14ac:dyDescent="0.25">
      <c r="I1430" s="47"/>
      <c r="J1430" s="47"/>
      <c r="K1430" s="47"/>
      <c r="V1430" s="1"/>
      <c r="W1430" s="1"/>
      <c r="X1430" s="1"/>
    </row>
    <row r="1431" spans="9:24" x14ac:dyDescent="0.25">
      <c r="I1431" s="47"/>
      <c r="J1431" s="47"/>
      <c r="K1431" s="47"/>
      <c r="V1431" s="1"/>
      <c r="W1431" s="1"/>
      <c r="X1431" s="1"/>
    </row>
    <row r="1432" spans="9:24" x14ac:dyDescent="0.25">
      <c r="I1432" s="47"/>
      <c r="J1432" s="47"/>
      <c r="K1432" s="47"/>
      <c r="V1432" s="1"/>
      <c r="W1432" s="1"/>
      <c r="X1432" s="1"/>
    </row>
    <row r="1433" spans="9:24" x14ac:dyDescent="0.25">
      <c r="I1433" s="47"/>
      <c r="J1433" s="47"/>
      <c r="K1433" s="47"/>
      <c r="V1433" s="1"/>
      <c r="W1433" s="1"/>
      <c r="X1433" s="1"/>
    </row>
    <row r="1434" spans="9:24" x14ac:dyDescent="0.25">
      <c r="I1434" s="47"/>
      <c r="J1434" s="47"/>
      <c r="K1434" s="47"/>
      <c r="V1434" s="1"/>
      <c r="W1434" s="1"/>
      <c r="X1434" s="1"/>
    </row>
    <row r="1435" spans="9:24" x14ac:dyDescent="0.25">
      <c r="I1435" s="47"/>
      <c r="J1435" s="47"/>
      <c r="K1435" s="47"/>
      <c r="V1435" s="1"/>
      <c r="W1435" s="1"/>
      <c r="X1435" s="1"/>
    </row>
    <row r="1436" spans="9:24" x14ac:dyDescent="0.25">
      <c r="I1436" s="47"/>
      <c r="J1436" s="47"/>
      <c r="K1436" s="47"/>
      <c r="V1436" s="1"/>
      <c r="W1436" s="1"/>
      <c r="X1436" s="1"/>
    </row>
    <row r="1437" spans="9:24" x14ac:dyDescent="0.25">
      <c r="I1437" s="47"/>
      <c r="J1437" s="47"/>
      <c r="K1437" s="47"/>
      <c r="V1437" s="1"/>
      <c r="W1437" s="1"/>
      <c r="X1437" s="1"/>
    </row>
    <row r="1438" spans="9:24" x14ac:dyDescent="0.25">
      <c r="I1438" s="47"/>
      <c r="J1438" s="47"/>
      <c r="K1438" s="47"/>
      <c r="V1438" s="1"/>
      <c r="W1438" s="1"/>
      <c r="X1438" s="1"/>
    </row>
    <row r="1439" spans="9:24" x14ac:dyDescent="0.25">
      <c r="I1439" s="47"/>
      <c r="J1439" s="47"/>
      <c r="K1439" s="47"/>
      <c r="V1439" s="1"/>
      <c r="W1439" s="1"/>
      <c r="X1439" s="1"/>
    </row>
    <row r="1440" spans="9:24" x14ac:dyDescent="0.25">
      <c r="I1440" s="47"/>
      <c r="J1440" s="47"/>
      <c r="K1440" s="47"/>
      <c r="V1440" s="1"/>
      <c r="W1440" s="1"/>
      <c r="X1440" s="1"/>
    </row>
    <row r="1441" spans="9:24" x14ac:dyDescent="0.25">
      <c r="I1441" s="47"/>
      <c r="J1441" s="47"/>
      <c r="K1441" s="47"/>
      <c r="V1441" s="1"/>
      <c r="W1441" s="1"/>
      <c r="X1441" s="1"/>
    </row>
    <row r="1442" spans="9:24" x14ac:dyDescent="0.25">
      <c r="I1442" s="47"/>
      <c r="J1442" s="47"/>
      <c r="K1442" s="47"/>
      <c r="V1442" s="1"/>
      <c r="W1442" s="1"/>
      <c r="X1442" s="1"/>
    </row>
    <row r="1443" spans="9:24" x14ac:dyDescent="0.25">
      <c r="I1443" s="47"/>
      <c r="J1443" s="47"/>
      <c r="K1443" s="47"/>
      <c r="V1443" s="1"/>
      <c r="W1443" s="1"/>
      <c r="X1443" s="1"/>
    </row>
    <row r="1444" spans="9:24" x14ac:dyDescent="0.25">
      <c r="I1444" s="47"/>
      <c r="J1444" s="47"/>
      <c r="K1444" s="47"/>
      <c r="V1444" s="1"/>
      <c r="W1444" s="1"/>
      <c r="X1444" s="1"/>
    </row>
    <row r="1445" spans="9:24" x14ac:dyDescent="0.25">
      <c r="I1445" s="47"/>
      <c r="J1445" s="47"/>
      <c r="K1445" s="47"/>
      <c r="V1445" s="1"/>
      <c r="W1445" s="1"/>
      <c r="X1445" s="1"/>
    </row>
    <row r="1446" spans="9:24" x14ac:dyDescent="0.25">
      <c r="I1446" s="47"/>
      <c r="J1446" s="47"/>
      <c r="K1446" s="47"/>
      <c r="V1446" s="1"/>
      <c r="W1446" s="1"/>
      <c r="X1446" s="1"/>
    </row>
    <row r="1447" spans="9:24" x14ac:dyDescent="0.25">
      <c r="I1447" s="47"/>
      <c r="J1447" s="47"/>
      <c r="K1447" s="47"/>
      <c r="V1447" s="1"/>
      <c r="W1447" s="1"/>
      <c r="X1447" s="1"/>
    </row>
    <row r="1448" spans="9:24" x14ac:dyDescent="0.25">
      <c r="I1448" s="47"/>
      <c r="J1448" s="47"/>
      <c r="K1448" s="47"/>
      <c r="V1448" s="1"/>
      <c r="W1448" s="1"/>
      <c r="X1448" s="1"/>
    </row>
    <row r="1449" spans="9:24" x14ac:dyDescent="0.25">
      <c r="I1449" s="47"/>
      <c r="J1449" s="47"/>
      <c r="K1449" s="47"/>
      <c r="V1449" s="1"/>
      <c r="W1449" s="1"/>
      <c r="X1449" s="1"/>
    </row>
    <row r="1450" spans="9:24" x14ac:dyDescent="0.25">
      <c r="I1450" s="47"/>
      <c r="J1450" s="47"/>
      <c r="K1450" s="47"/>
      <c r="V1450" s="1"/>
      <c r="W1450" s="1"/>
      <c r="X1450" s="1"/>
    </row>
    <row r="1451" spans="9:24" x14ac:dyDescent="0.25">
      <c r="I1451" s="47"/>
      <c r="J1451" s="47"/>
      <c r="K1451" s="47"/>
      <c r="V1451" s="1"/>
      <c r="W1451" s="1"/>
      <c r="X1451" s="1"/>
    </row>
    <row r="1452" spans="9:24" x14ac:dyDescent="0.25">
      <c r="I1452" s="47"/>
      <c r="J1452" s="47"/>
      <c r="K1452" s="47"/>
      <c r="V1452" s="1"/>
      <c r="W1452" s="1"/>
      <c r="X1452" s="1"/>
    </row>
    <row r="1453" spans="9:24" x14ac:dyDescent="0.25">
      <c r="I1453" s="47"/>
      <c r="J1453" s="47"/>
      <c r="K1453" s="47"/>
      <c r="V1453" s="1"/>
      <c r="W1453" s="1"/>
      <c r="X1453" s="1"/>
    </row>
    <row r="1454" spans="9:24" x14ac:dyDescent="0.25">
      <c r="I1454" s="47"/>
      <c r="J1454" s="47"/>
      <c r="K1454" s="47"/>
      <c r="V1454" s="1"/>
      <c r="W1454" s="1"/>
      <c r="X1454" s="1"/>
    </row>
    <row r="1455" spans="9:24" x14ac:dyDescent="0.25">
      <c r="I1455" s="47"/>
      <c r="J1455" s="47"/>
      <c r="K1455" s="47"/>
      <c r="V1455" s="1"/>
      <c r="W1455" s="1"/>
      <c r="X1455" s="1"/>
    </row>
    <row r="1456" spans="9:24" x14ac:dyDescent="0.25">
      <c r="I1456" s="47"/>
      <c r="J1456" s="47"/>
      <c r="K1456" s="47"/>
      <c r="V1456" s="1"/>
      <c r="W1456" s="1"/>
      <c r="X1456" s="1"/>
    </row>
    <row r="1457" spans="9:24" x14ac:dyDescent="0.25">
      <c r="I1457" s="47"/>
      <c r="J1457" s="47"/>
      <c r="K1457" s="47"/>
      <c r="V1457" s="1"/>
      <c r="W1457" s="1"/>
      <c r="X1457" s="1"/>
    </row>
    <row r="1458" spans="9:24" x14ac:dyDescent="0.25">
      <c r="I1458" s="47"/>
      <c r="J1458" s="47"/>
      <c r="K1458" s="47"/>
      <c r="V1458" s="1"/>
      <c r="W1458" s="1"/>
      <c r="X1458" s="1"/>
    </row>
    <row r="1459" spans="9:24" x14ac:dyDescent="0.25">
      <c r="I1459" s="47"/>
      <c r="J1459" s="47"/>
      <c r="K1459" s="47"/>
      <c r="V1459" s="1"/>
      <c r="W1459" s="1"/>
      <c r="X1459" s="1"/>
    </row>
    <row r="1460" spans="9:24" x14ac:dyDescent="0.25">
      <c r="I1460" s="47"/>
      <c r="J1460" s="47"/>
      <c r="K1460" s="47"/>
      <c r="V1460" s="1"/>
      <c r="W1460" s="1"/>
      <c r="X1460" s="1"/>
    </row>
    <row r="1461" spans="9:24" x14ac:dyDescent="0.25">
      <c r="I1461" s="47"/>
      <c r="J1461" s="47"/>
      <c r="K1461" s="47"/>
      <c r="V1461" s="1"/>
      <c r="W1461" s="1"/>
      <c r="X1461" s="1"/>
    </row>
    <row r="1462" spans="9:24" x14ac:dyDescent="0.25">
      <c r="I1462" s="47"/>
      <c r="J1462" s="47"/>
      <c r="K1462" s="47"/>
      <c r="V1462" s="1"/>
      <c r="W1462" s="1"/>
      <c r="X1462" s="1"/>
    </row>
    <row r="1463" spans="9:24" x14ac:dyDescent="0.25">
      <c r="I1463" s="47"/>
      <c r="J1463" s="47"/>
      <c r="K1463" s="47"/>
      <c r="V1463" s="1"/>
      <c r="W1463" s="1"/>
      <c r="X1463" s="1"/>
    </row>
    <row r="1464" spans="9:24" x14ac:dyDescent="0.25">
      <c r="I1464" s="47"/>
      <c r="J1464" s="47"/>
      <c r="K1464" s="47"/>
      <c r="V1464" s="1"/>
      <c r="W1464" s="1"/>
      <c r="X1464" s="1"/>
    </row>
    <row r="1465" spans="9:24" x14ac:dyDescent="0.25">
      <c r="I1465" s="47"/>
      <c r="J1465" s="47"/>
      <c r="K1465" s="47"/>
      <c r="V1465" s="1"/>
      <c r="W1465" s="1"/>
      <c r="X1465" s="1"/>
    </row>
    <row r="1466" spans="9:24" x14ac:dyDescent="0.25">
      <c r="I1466" s="47"/>
      <c r="J1466" s="47"/>
      <c r="K1466" s="47"/>
      <c r="V1466" s="1"/>
      <c r="W1466" s="1"/>
      <c r="X1466" s="1"/>
    </row>
    <row r="1467" spans="9:24" x14ac:dyDescent="0.25">
      <c r="I1467" s="47"/>
      <c r="J1467" s="47"/>
      <c r="K1467" s="47"/>
      <c r="V1467" s="1"/>
      <c r="W1467" s="1"/>
      <c r="X1467" s="1"/>
    </row>
    <row r="1468" spans="9:24" x14ac:dyDescent="0.25">
      <c r="I1468" s="47"/>
      <c r="J1468" s="47"/>
      <c r="K1468" s="47"/>
      <c r="V1468" s="1"/>
      <c r="W1468" s="1"/>
      <c r="X1468" s="1"/>
    </row>
    <row r="1469" spans="9:24" x14ac:dyDescent="0.25">
      <c r="I1469" s="47"/>
      <c r="J1469" s="47"/>
      <c r="K1469" s="47"/>
      <c r="V1469" s="1"/>
      <c r="W1469" s="1"/>
      <c r="X1469" s="1"/>
    </row>
    <row r="1470" spans="9:24" x14ac:dyDescent="0.25">
      <c r="I1470" s="47"/>
      <c r="J1470" s="47"/>
      <c r="K1470" s="47"/>
      <c r="V1470" s="1"/>
      <c r="W1470" s="1"/>
      <c r="X1470" s="1"/>
    </row>
    <row r="1471" spans="9:24" x14ac:dyDescent="0.25">
      <c r="I1471" s="47"/>
      <c r="J1471" s="47"/>
      <c r="K1471" s="47"/>
      <c r="V1471" s="1"/>
      <c r="W1471" s="1"/>
      <c r="X1471" s="1"/>
    </row>
    <row r="1472" spans="9:24" x14ac:dyDescent="0.25">
      <c r="I1472" s="47"/>
      <c r="J1472" s="47"/>
      <c r="K1472" s="47"/>
      <c r="V1472" s="1"/>
      <c r="W1472" s="1"/>
      <c r="X1472" s="1"/>
    </row>
    <row r="1473" spans="9:24" x14ac:dyDescent="0.25">
      <c r="I1473" s="47"/>
      <c r="J1473" s="47"/>
      <c r="K1473" s="47"/>
      <c r="V1473" s="1"/>
      <c r="W1473" s="1"/>
      <c r="X1473" s="1"/>
    </row>
    <row r="1474" spans="9:24" x14ac:dyDescent="0.25">
      <c r="I1474" s="47"/>
      <c r="J1474" s="47"/>
      <c r="K1474" s="47"/>
      <c r="V1474" s="1"/>
      <c r="W1474" s="1"/>
      <c r="X1474" s="1"/>
    </row>
    <row r="1475" spans="9:24" x14ac:dyDescent="0.25">
      <c r="I1475" s="47"/>
      <c r="J1475" s="47"/>
      <c r="K1475" s="47"/>
      <c r="V1475" s="1"/>
      <c r="W1475" s="1"/>
      <c r="X1475" s="1"/>
    </row>
    <row r="1476" spans="9:24" x14ac:dyDescent="0.25">
      <c r="I1476" s="47"/>
      <c r="J1476" s="47"/>
      <c r="K1476" s="47"/>
      <c r="V1476" s="1"/>
      <c r="W1476" s="1"/>
      <c r="X1476" s="1"/>
    </row>
    <row r="1477" spans="9:24" x14ac:dyDescent="0.25">
      <c r="I1477" s="47"/>
      <c r="J1477" s="47"/>
      <c r="K1477" s="47"/>
      <c r="V1477" s="1"/>
      <c r="W1477" s="1"/>
      <c r="X1477" s="1"/>
    </row>
    <row r="1478" spans="9:24" x14ac:dyDescent="0.25">
      <c r="I1478" s="47"/>
      <c r="J1478" s="47"/>
      <c r="K1478" s="47"/>
      <c r="V1478" s="1"/>
      <c r="W1478" s="1"/>
      <c r="X1478" s="1"/>
    </row>
    <row r="1479" spans="9:24" x14ac:dyDescent="0.25">
      <c r="I1479" s="47"/>
      <c r="J1479" s="47"/>
      <c r="K1479" s="47"/>
      <c r="V1479" s="1"/>
      <c r="W1479" s="1"/>
      <c r="X1479" s="1"/>
    </row>
    <row r="1480" spans="9:24" x14ac:dyDescent="0.25">
      <c r="I1480" s="47"/>
      <c r="J1480" s="47"/>
      <c r="K1480" s="47"/>
      <c r="V1480" s="1"/>
      <c r="W1480" s="1"/>
      <c r="X1480" s="1"/>
    </row>
    <row r="1481" spans="9:24" x14ac:dyDescent="0.25">
      <c r="I1481" s="47"/>
      <c r="J1481" s="47"/>
      <c r="K1481" s="47"/>
      <c r="V1481" s="1"/>
      <c r="W1481" s="1"/>
      <c r="X1481" s="1"/>
    </row>
    <row r="1482" spans="9:24" x14ac:dyDescent="0.25">
      <c r="I1482" s="47"/>
      <c r="J1482" s="47"/>
      <c r="K1482" s="47"/>
      <c r="V1482" s="1"/>
      <c r="W1482" s="1"/>
      <c r="X1482" s="1"/>
    </row>
    <row r="1483" spans="9:24" x14ac:dyDescent="0.25">
      <c r="I1483" s="47"/>
      <c r="J1483" s="47"/>
      <c r="K1483" s="47"/>
      <c r="V1483" s="1"/>
      <c r="W1483" s="1"/>
      <c r="X1483" s="1"/>
    </row>
    <row r="1484" spans="9:24" x14ac:dyDescent="0.25">
      <c r="I1484" s="47"/>
      <c r="J1484" s="47"/>
      <c r="K1484" s="47"/>
      <c r="V1484" s="1"/>
      <c r="W1484" s="1"/>
      <c r="X1484" s="1"/>
    </row>
    <row r="1485" spans="9:24" x14ac:dyDescent="0.25">
      <c r="I1485" s="47"/>
      <c r="J1485" s="47"/>
      <c r="K1485" s="47"/>
      <c r="V1485" s="1"/>
      <c r="W1485" s="1"/>
      <c r="X1485" s="1"/>
    </row>
    <row r="1486" spans="9:24" x14ac:dyDescent="0.25">
      <c r="I1486" s="47"/>
      <c r="J1486" s="47"/>
      <c r="K1486" s="47"/>
      <c r="V1486" s="1"/>
      <c r="W1486" s="1"/>
      <c r="X1486" s="1"/>
    </row>
    <row r="1487" spans="9:24" x14ac:dyDescent="0.25">
      <c r="I1487" s="47"/>
      <c r="J1487" s="47"/>
      <c r="K1487" s="47"/>
      <c r="V1487" s="1"/>
      <c r="W1487" s="1"/>
      <c r="X1487" s="1"/>
    </row>
    <row r="1488" spans="9:24" x14ac:dyDescent="0.25">
      <c r="I1488" s="47"/>
      <c r="J1488" s="47"/>
      <c r="K1488" s="47"/>
      <c r="V1488" s="1"/>
      <c r="W1488" s="1"/>
      <c r="X1488" s="1"/>
    </row>
    <row r="1489" spans="9:24" x14ac:dyDescent="0.25">
      <c r="I1489" s="47"/>
      <c r="J1489" s="47"/>
      <c r="K1489" s="47"/>
      <c r="V1489" s="1"/>
      <c r="W1489" s="1"/>
      <c r="X1489" s="1"/>
    </row>
    <row r="1490" spans="9:24" x14ac:dyDescent="0.25">
      <c r="I1490" s="47"/>
      <c r="J1490" s="47"/>
      <c r="K1490" s="47"/>
      <c r="V1490" s="1"/>
      <c r="W1490" s="1"/>
      <c r="X1490" s="1"/>
    </row>
    <row r="1491" spans="9:24" x14ac:dyDescent="0.25">
      <c r="I1491" s="47"/>
      <c r="J1491" s="47"/>
      <c r="K1491" s="47"/>
      <c r="V1491" s="1"/>
      <c r="W1491" s="1"/>
      <c r="X1491" s="1"/>
    </row>
    <row r="1492" spans="9:24" x14ac:dyDescent="0.25">
      <c r="I1492" s="47"/>
      <c r="J1492" s="47"/>
      <c r="K1492" s="47"/>
      <c r="V1492" s="1"/>
      <c r="W1492" s="1"/>
      <c r="X1492" s="1"/>
    </row>
    <row r="1493" spans="9:24" x14ac:dyDescent="0.25">
      <c r="I1493" s="47"/>
      <c r="J1493" s="47"/>
      <c r="K1493" s="47"/>
      <c r="V1493" s="1"/>
      <c r="W1493" s="1"/>
      <c r="X1493" s="1"/>
    </row>
    <row r="1494" spans="9:24" x14ac:dyDescent="0.25">
      <c r="I1494" s="47"/>
      <c r="J1494" s="47"/>
      <c r="K1494" s="47"/>
      <c r="V1494" s="1"/>
      <c r="W1494" s="1"/>
      <c r="X1494" s="1"/>
    </row>
    <row r="1495" spans="9:24" x14ac:dyDescent="0.25">
      <c r="I1495" s="47"/>
      <c r="J1495" s="47"/>
      <c r="K1495" s="47"/>
      <c r="V1495" s="1"/>
      <c r="W1495" s="1"/>
      <c r="X1495" s="1"/>
    </row>
    <row r="1496" spans="9:24" x14ac:dyDescent="0.25">
      <c r="I1496" s="47"/>
      <c r="J1496" s="47"/>
      <c r="K1496" s="47"/>
      <c r="V1496" s="1"/>
      <c r="W1496" s="1"/>
      <c r="X1496" s="1"/>
    </row>
    <row r="1497" spans="9:24" x14ac:dyDescent="0.25">
      <c r="I1497" s="47"/>
      <c r="J1497" s="47"/>
      <c r="K1497" s="47"/>
      <c r="V1497" s="1"/>
      <c r="W1497" s="1"/>
      <c r="X1497" s="1"/>
    </row>
    <row r="1498" spans="9:24" x14ac:dyDescent="0.25">
      <c r="I1498" s="47"/>
      <c r="J1498" s="47"/>
      <c r="K1498" s="47"/>
      <c r="V1498" s="1"/>
      <c r="W1498" s="1"/>
      <c r="X1498" s="1"/>
    </row>
    <row r="1499" spans="9:24" x14ac:dyDescent="0.25">
      <c r="I1499" s="47"/>
      <c r="J1499" s="47"/>
      <c r="K1499" s="47"/>
      <c r="V1499" s="1"/>
      <c r="W1499" s="1"/>
      <c r="X1499" s="1"/>
    </row>
    <row r="1500" spans="9:24" x14ac:dyDescent="0.25">
      <c r="I1500" s="47"/>
      <c r="J1500" s="47"/>
      <c r="K1500" s="47"/>
      <c r="V1500" s="1"/>
      <c r="W1500" s="1"/>
      <c r="X1500" s="1"/>
    </row>
    <row r="1501" spans="9:24" x14ac:dyDescent="0.25">
      <c r="I1501" s="47"/>
      <c r="J1501" s="47"/>
      <c r="K1501" s="47"/>
      <c r="V1501" s="1"/>
      <c r="W1501" s="1"/>
      <c r="X1501" s="1"/>
    </row>
    <row r="1502" spans="9:24" x14ac:dyDescent="0.25">
      <c r="I1502" s="47"/>
      <c r="J1502" s="47"/>
      <c r="K1502" s="47"/>
      <c r="V1502" s="1"/>
      <c r="W1502" s="1"/>
      <c r="X1502" s="1"/>
    </row>
    <row r="1503" spans="9:24" x14ac:dyDescent="0.25">
      <c r="I1503" s="47"/>
      <c r="J1503" s="47"/>
      <c r="K1503" s="47"/>
      <c r="V1503" s="1"/>
      <c r="W1503" s="1"/>
      <c r="X1503" s="1"/>
    </row>
    <row r="1504" spans="9:24" x14ac:dyDescent="0.25">
      <c r="I1504" s="47"/>
      <c r="J1504" s="47"/>
      <c r="K1504" s="47"/>
      <c r="V1504" s="1"/>
      <c r="W1504" s="1"/>
      <c r="X1504" s="1"/>
    </row>
    <row r="1505" spans="9:24" x14ac:dyDescent="0.25">
      <c r="I1505" s="47"/>
      <c r="J1505" s="47"/>
      <c r="K1505" s="47"/>
      <c r="V1505" s="1"/>
      <c r="W1505" s="1"/>
      <c r="X1505" s="1"/>
    </row>
    <row r="1506" spans="9:24" x14ac:dyDescent="0.25">
      <c r="I1506" s="47"/>
      <c r="J1506" s="47"/>
      <c r="K1506" s="47"/>
      <c r="V1506" s="1"/>
      <c r="W1506" s="1"/>
      <c r="X1506" s="1"/>
    </row>
    <row r="1507" spans="9:24" x14ac:dyDescent="0.25">
      <c r="I1507" s="47"/>
      <c r="J1507" s="47"/>
      <c r="K1507" s="47"/>
      <c r="V1507" s="1"/>
      <c r="W1507" s="1"/>
      <c r="X1507" s="1"/>
    </row>
    <row r="1508" spans="9:24" x14ac:dyDescent="0.25">
      <c r="I1508" s="47"/>
      <c r="J1508" s="47"/>
      <c r="K1508" s="47"/>
      <c r="V1508" s="1"/>
      <c r="W1508" s="1"/>
      <c r="X1508" s="1"/>
    </row>
    <row r="1509" spans="9:24" x14ac:dyDescent="0.25">
      <c r="I1509" s="47"/>
      <c r="J1509" s="47"/>
      <c r="K1509" s="47"/>
      <c r="V1509" s="1"/>
      <c r="W1509" s="1"/>
      <c r="X1509" s="1"/>
    </row>
    <row r="1510" spans="9:24" x14ac:dyDescent="0.25">
      <c r="I1510" s="47"/>
      <c r="J1510" s="47"/>
      <c r="K1510" s="47"/>
      <c r="V1510" s="1"/>
      <c r="W1510" s="1"/>
      <c r="X1510" s="1"/>
    </row>
    <row r="1511" spans="9:24" x14ac:dyDescent="0.25">
      <c r="I1511" s="47"/>
      <c r="J1511" s="47"/>
      <c r="K1511" s="47"/>
      <c r="V1511" s="1"/>
      <c r="W1511" s="1"/>
      <c r="X1511" s="1"/>
    </row>
    <row r="1512" spans="9:24" x14ac:dyDescent="0.25">
      <c r="I1512" s="47"/>
      <c r="J1512" s="47"/>
      <c r="K1512" s="47"/>
      <c r="V1512" s="1"/>
      <c r="W1512" s="1"/>
      <c r="X1512" s="1"/>
    </row>
    <row r="1513" spans="9:24" x14ac:dyDescent="0.25">
      <c r="I1513" s="47"/>
      <c r="J1513" s="47"/>
      <c r="K1513" s="47"/>
      <c r="V1513" s="1"/>
      <c r="W1513" s="1"/>
      <c r="X1513" s="1"/>
    </row>
    <row r="1514" spans="9:24" x14ac:dyDescent="0.25">
      <c r="I1514" s="47"/>
      <c r="J1514" s="47"/>
      <c r="K1514" s="47"/>
      <c r="V1514" s="1"/>
      <c r="W1514" s="1"/>
      <c r="X1514" s="1"/>
    </row>
    <row r="1515" spans="9:24" x14ac:dyDescent="0.25">
      <c r="I1515" s="47"/>
      <c r="J1515" s="47"/>
      <c r="K1515" s="47"/>
      <c r="V1515" s="1"/>
      <c r="W1515" s="1"/>
      <c r="X1515" s="1"/>
    </row>
    <row r="1516" spans="9:24" x14ac:dyDescent="0.25">
      <c r="I1516" s="47"/>
      <c r="J1516" s="47"/>
      <c r="K1516" s="47"/>
      <c r="V1516" s="1"/>
      <c r="W1516" s="1"/>
      <c r="X1516" s="1"/>
    </row>
    <row r="1517" spans="9:24" x14ac:dyDescent="0.25">
      <c r="I1517" s="47"/>
      <c r="J1517" s="47"/>
      <c r="K1517" s="47"/>
      <c r="V1517" s="1"/>
      <c r="W1517" s="1"/>
      <c r="X1517" s="1"/>
    </row>
    <row r="1518" spans="9:24" x14ac:dyDescent="0.25">
      <c r="I1518" s="47"/>
      <c r="J1518" s="47"/>
      <c r="K1518" s="47"/>
      <c r="V1518" s="1"/>
      <c r="W1518" s="1"/>
      <c r="X1518" s="1"/>
    </row>
    <row r="1519" spans="9:24" x14ac:dyDescent="0.25">
      <c r="I1519" s="47"/>
      <c r="J1519" s="47"/>
      <c r="K1519" s="47"/>
      <c r="V1519" s="1"/>
      <c r="W1519" s="1"/>
      <c r="X1519" s="1"/>
    </row>
    <row r="1520" spans="9:24" x14ac:dyDescent="0.25">
      <c r="I1520" s="47"/>
      <c r="J1520" s="47"/>
      <c r="K1520" s="47"/>
      <c r="V1520" s="1"/>
      <c r="W1520" s="1"/>
      <c r="X1520" s="1"/>
    </row>
    <row r="1521" spans="9:24" x14ac:dyDescent="0.25">
      <c r="I1521" s="47"/>
      <c r="J1521" s="47"/>
      <c r="K1521" s="47"/>
      <c r="V1521" s="1"/>
      <c r="W1521" s="1"/>
      <c r="X1521" s="1"/>
    </row>
    <row r="1522" spans="9:24" x14ac:dyDescent="0.25">
      <c r="I1522" s="47"/>
      <c r="J1522" s="47"/>
      <c r="K1522" s="47"/>
      <c r="V1522" s="1"/>
      <c r="W1522" s="1"/>
      <c r="X1522" s="1"/>
    </row>
    <row r="1523" spans="9:24" x14ac:dyDescent="0.25">
      <c r="I1523" s="47"/>
      <c r="J1523" s="47"/>
      <c r="K1523" s="47"/>
      <c r="V1523" s="1"/>
      <c r="W1523" s="1"/>
      <c r="X1523" s="1"/>
    </row>
    <row r="1524" spans="9:24" x14ac:dyDescent="0.25">
      <c r="I1524" s="47"/>
      <c r="J1524" s="47"/>
      <c r="K1524" s="47"/>
      <c r="V1524" s="1"/>
      <c r="W1524" s="1"/>
      <c r="X1524" s="1"/>
    </row>
    <row r="1525" spans="9:24" x14ac:dyDescent="0.25">
      <c r="I1525" s="47"/>
      <c r="J1525" s="47"/>
      <c r="K1525" s="47"/>
      <c r="V1525" s="1"/>
      <c r="W1525" s="1"/>
      <c r="X1525" s="1"/>
    </row>
    <row r="1526" spans="9:24" x14ac:dyDescent="0.25">
      <c r="I1526" s="47"/>
      <c r="J1526" s="47"/>
      <c r="K1526" s="47"/>
      <c r="V1526" s="1"/>
      <c r="W1526" s="1"/>
      <c r="X1526" s="1"/>
    </row>
    <row r="1527" spans="9:24" x14ac:dyDescent="0.25">
      <c r="I1527" s="47"/>
      <c r="J1527" s="47"/>
      <c r="K1527" s="47"/>
      <c r="V1527" s="1"/>
      <c r="W1527" s="1"/>
      <c r="X1527" s="1"/>
    </row>
    <row r="1528" spans="9:24" x14ac:dyDescent="0.25">
      <c r="I1528" s="47"/>
      <c r="J1528" s="47"/>
      <c r="K1528" s="47"/>
      <c r="V1528" s="1"/>
      <c r="W1528" s="1"/>
      <c r="X1528" s="1"/>
    </row>
    <row r="1529" spans="9:24" x14ac:dyDescent="0.25">
      <c r="I1529" s="47"/>
      <c r="J1529" s="47"/>
      <c r="K1529" s="47"/>
      <c r="V1529" s="1"/>
      <c r="W1529" s="1"/>
      <c r="X1529" s="1"/>
    </row>
    <row r="1530" spans="9:24" x14ac:dyDescent="0.25">
      <c r="I1530" s="47"/>
      <c r="J1530" s="47"/>
      <c r="K1530" s="47"/>
      <c r="V1530" s="1"/>
      <c r="W1530" s="1"/>
      <c r="X1530" s="1"/>
    </row>
    <row r="1531" spans="9:24" x14ac:dyDescent="0.25">
      <c r="I1531" s="47"/>
      <c r="J1531" s="47"/>
      <c r="K1531" s="47"/>
      <c r="V1531" s="1"/>
      <c r="W1531" s="1"/>
      <c r="X1531" s="1"/>
    </row>
    <row r="1532" spans="9:24" x14ac:dyDescent="0.25">
      <c r="I1532" s="47"/>
      <c r="J1532" s="47"/>
      <c r="K1532" s="47"/>
      <c r="V1532" s="1"/>
      <c r="W1532" s="1"/>
      <c r="X1532" s="1"/>
    </row>
    <row r="1533" spans="9:24" x14ac:dyDescent="0.25">
      <c r="I1533" s="47"/>
      <c r="J1533" s="47"/>
      <c r="K1533" s="47"/>
      <c r="V1533" s="1"/>
      <c r="W1533" s="1"/>
      <c r="X1533" s="1"/>
    </row>
    <row r="1534" spans="9:24" x14ac:dyDescent="0.25">
      <c r="I1534" s="47"/>
      <c r="J1534" s="47"/>
      <c r="K1534" s="47"/>
      <c r="V1534" s="1"/>
      <c r="W1534" s="1"/>
      <c r="X1534" s="1"/>
    </row>
    <row r="1535" spans="9:24" x14ac:dyDescent="0.25">
      <c r="I1535" s="47"/>
      <c r="J1535" s="47"/>
      <c r="K1535" s="47"/>
      <c r="V1535" s="1"/>
      <c r="W1535" s="1"/>
      <c r="X1535" s="1"/>
    </row>
    <row r="1536" spans="9:24" x14ac:dyDescent="0.25">
      <c r="I1536" s="47"/>
      <c r="J1536" s="47"/>
      <c r="K1536" s="47"/>
      <c r="V1536" s="1"/>
      <c r="W1536" s="1"/>
      <c r="X1536" s="1"/>
    </row>
    <row r="1537" spans="9:24" x14ac:dyDescent="0.25">
      <c r="I1537" s="47"/>
      <c r="J1537" s="47"/>
      <c r="K1537" s="47"/>
      <c r="V1537" s="1"/>
      <c r="W1537" s="1"/>
      <c r="X1537" s="1"/>
    </row>
    <row r="1538" spans="9:24" x14ac:dyDescent="0.25">
      <c r="I1538" s="47"/>
      <c r="J1538" s="47"/>
      <c r="K1538" s="47"/>
      <c r="V1538" s="1"/>
      <c r="W1538" s="1"/>
      <c r="X1538" s="1"/>
    </row>
    <row r="1539" spans="9:24" x14ac:dyDescent="0.25">
      <c r="I1539" s="47"/>
      <c r="J1539" s="47"/>
      <c r="K1539" s="47"/>
      <c r="V1539" s="1"/>
      <c r="W1539" s="1"/>
      <c r="X1539" s="1"/>
    </row>
    <row r="1540" spans="9:24" x14ac:dyDescent="0.25">
      <c r="I1540" s="47"/>
      <c r="J1540" s="47"/>
      <c r="K1540" s="47"/>
      <c r="V1540" s="1"/>
      <c r="W1540" s="1"/>
      <c r="X1540" s="1"/>
    </row>
    <row r="1541" spans="9:24" x14ac:dyDescent="0.25">
      <c r="I1541" s="47"/>
      <c r="J1541" s="47"/>
      <c r="K1541" s="47"/>
      <c r="V1541" s="1"/>
      <c r="W1541" s="1"/>
      <c r="X1541" s="1"/>
    </row>
    <row r="1542" spans="9:24" x14ac:dyDescent="0.25">
      <c r="I1542" s="47"/>
      <c r="J1542" s="47"/>
      <c r="K1542" s="47"/>
      <c r="V1542" s="1"/>
      <c r="W1542" s="1"/>
      <c r="X1542" s="1"/>
    </row>
    <row r="1543" spans="9:24" x14ac:dyDescent="0.25">
      <c r="I1543" s="47"/>
      <c r="J1543" s="47"/>
      <c r="K1543" s="47"/>
      <c r="V1543" s="1"/>
      <c r="W1543" s="1"/>
      <c r="X1543" s="1"/>
    </row>
    <row r="1544" spans="9:24" x14ac:dyDescent="0.25">
      <c r="I1544" s="47"/>
      <c r="J1544" s="47"/>
      <c r="K1544" s="47"/>
      <c r="V1544" s="1"/>
      <c r="W1544" s="1"/>
      <c r="X1544" s="1"/>
    </row>
    <row r="1545" spans="9:24" x14ac:dyDescent="0.25">
      <c r="I1545" s="47"/>
      <c r="J1545" s="47"/>
      <c r="K1545" s="47"/>
      <c r="V1545" s="1"/>
      <c r="W1545" s="1"/>
      <c r="X1545" s="1"/>
    </row>
    <row r="1546" spans="9:24" x14ac:dyDescent="0.25">
      <c r="I1546" s="47"/>
      <c r="J1546" s="47"/>
      <c r="K1546" s="47"/>
      <c r="V1546" s="1"/>
      <c r="W1546" s="1"/>
      <c r="X1546" s="1"/>
    </row>
    <row r="1547" spans="9:24" x14ac:dyDescent="0.25">
      <c r="I1547" s="47"/>
      <c r="J1547" s="47"/>
      <c r="K1547" s="47"/>
      <c r="V1547" s="1"/>
      <c r="W1547" s="1"/>
      <c r="X1547" s="1"/>
    </row>
    <row r="1548" spans="9:24" x14ac:dyDescent="0.25">
      <c r="I1548" s="47"/>
      <c r="J1548" s="47"/>
      <c r="K1548" s="47"/>
      <c r="V1548" s="1"/>
      <c r="W1548" s="1"/>
      <c r="X1548" s="1"/>
    </row>
    <row r="1549" spans="9:24" x14ac:dyDescent="0.25">
      <c r="I1549" s="47"/>
      <c r="J1549" s="47"/>
      <c r="K1549" s="47"/>
      <c r="V1549" s="1"/>
      <c r="W1549" s="1"/>
      <c r="X1549" s="1"/>
    </row>
    <row r="1550" spans="9:24" x14ac:dyDescent="0.25">
      <c r="I1550" s="47"/>
      <c r="J1550" s="47"/>
      <c r="K1550" s="47"/>
      <c r="V1550" s="1"/>
      <c r="W1550" s="1"/>
      <c r="X1550" s="1"/>
    </row>
    <row r="1551" spans="9:24" x14ac:dyDescent="0.25">
      <c r="I1551" s="47"/>
      <c r="J1551" s="47"/>
      <c r="K1551" s="47"/>
      <c r="V1551" s="1"/>
      <c r="W1551" s="1"/>
      <c r="X1551" s="1"/>
    </row>
    <row r="1552" spans="9:24" x14ac:dyDescent="0.25">
      <c r="I1552" s="47"/>
      <c r="J1552" s="47"/>
      <c r="K1552" s="47"/>
      <c r="V1552" s="1"/>
      <c r="W1552" s="1"/>
      <c r="X1552" s="1"/>
    </row>
    <row r="1553" spans="9:24" x14ac:dyDescent="0.25">
      <c r="I1553" s="47"/>
      <c r="J1553" s="47"/>
      <c r="K1553" s="47"/>
      <c r="V1553" s="1"/>
      <c r="W1553" s="1"/>
      <c r="X1553" s="1"/>
    </row>
    <row r="1554" spans="9:24" x14ac:dyDescent="0.25">
      <c r="V1554" s="1"/>
      <c r="W1554" s="1"/>
      <c r="X1554" s="1"/>
    </row>
    <row r="1555" spans="9:24" x14ac:dyDescent="0.25">
      <c r="V1555" s="1"/>
      <c r="W1555" s="1"/>
      <c r="X1555" s="1"/>
    </row>
    <row r="1556" spans="9:24" x14ac:dyDescent="0.25">
      <c r="V1556" s="1"/>
      <c r="W1556" s="1"/>
      <c r="X1556" s="1"/>
    </row>
    <row r="1557" spans="9:24" x14ac:dyDescent="0.25">
      <c r="V1557" s="1"/>
      <c r="W1557" s="1"/>
      <c r="X1557" s="1"/>
    </row>
  </sheetData>
  <protectedRanges>
    <protectedRange password="CE28" sqref="M1:S17 N18:S367" name="Range1"/>
    <protectedRange password="CE28" sqref="AA1:AF1" name="Range1_1"/>
    <protectedRange password="CE28" sqref="AB2:AC2" name="Range1_2_1_1"/>
    <protectedRange password="CE28" sqref="AB3:AC464" name="Range1_1_1_1_1"/>
  </protectedRanges>
  <dataConsolidate link="1"/>
  <mergeCells count="7">
    <mergeCell ref="B33:H33"/>
    <mergeCell ref="AE1:AF1"/>
    <mergeCell ref="R1:S1"/>
    <mergeCell ref="B1:H1"/>
    <mergeCell ref="I1:K1"/>
    <mergeCell ref="M1:Q1"/>
    <mergeCell ref="AA1:AD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FB793-9494-4795-9CFE-47F7E76018CC}">
  <sheetPr codeName="Sheet7"/>
  <dimension ref="A1:D45"/>
  <sheetViews>
    <sheetView topLeftCell="A3" zoomScaleNormal="100" workbookViewId="0">
      <selection activeCell="C4" sqref="C4"/>
    </sheetView>
  </sheetViews>
  <sheetFormatPr defaultRowHeight="15.75" x14ac:dyDescent="0.25"/>
  <cols>
    <col min="1" max="1" width="31.125" bestFit="1" customWidth="1"/>
    <col min="2" max="2" width="9.375" bestFit="1" customWidth="1"/>
  </cols>
  <sheetData>
    <row r="1" spans="1:4" x14ac:dyDescent="0.25">
      <c r="A1" s="143"/>
      <c r="B1" s="98" t="s">
        <v>534</v>
      </c>
      <c r="C1" s="98" t="s">
        <v>551</v>
      </c>
      <c r="D1" s="144" t="s">
        <v>552</v>
      </c>
    </row>
    <row r="2" spans="1:4" ht="18.75" x14ac:dyDescent="0.25">
      <c r="A2" s="98" t="s">
        <v>598</v>
      </c>
      <c r="B2" s="145">
        <f>Reflectivity!F4</f>
        <v>36.089658308560537</v>
      </c>
      <c r="C2" s="145">
        <f>SQRT((B17*C3)^2+(B3*C17)^2+(-C5)^2+(C4)^2)</f>
        <v>13.526347664742985</v>
      </c>
      <c r="D2" s="148"/>
    </row>
    <row r="3" spans="1:4" ht="18.75" x14ac:dyDescent="0.25">
      <c r="A3" s="98" t="s">
        <v>599</v>
      </c>
      <c r="B3" s="145">
        <f>Reflectivity!F35</f>
        <v>61.774063156716643</v>
      </c>
      <c r="C3" s="145">
        <v>15.3</v>
      </c>
      <c r="D3" s="148"/>
    </row>
    <row r="4" spans="1:4" ht="18.75" x14ac:dyDescent="0.25">
      <c r="A4" s="98" t="s">
        <v>600</v>
      </c>
      <c r="B4" s="145">
        <f>Reflectivity!F5</f>
        <v>44.525552128511919</v>
      </c>
      <c r="C4" s="145">
        <f>dMarker!D4</f>
        <v>7.2669764425695309</v>
      </c>
      <c r="D4" s="145"/>
    </row>
    <row r="5" spans="1:4" ht="18.75" x14ac:dyDescent="0.25">
      <c r="A5" s="98" t="s">
        <v>601</v>
      </c>
      <c r="B5" s="145">
        <f>Reflectivity!F36</f>
        <v>36.513977867968762</v>
      </c>
      <c r="C5" s="145">
        <v>2.2999999999999998</v>
      </c>
      <c r="D5" s="148"/>
    </row>
    <row r="6" spans="1:4" ht="18.75" x14ac:dyDescent="0.25">
      <c r="A6" s="98" t="s">
        <v>602</v>
      </c>
      <c r="B6" s="145">
        <f>Reflectivity!H41</f>
        <v>162.68211337381149</v>
      </c>
      <c r="C6" s="145">
        <v>1.6</v>
      </c>
      <c r="D6" s="148"/>
    </row>
    <row r="7" spans="1:4" ht="18.75" x14ac:dyDescent="0.25">
      <c r="A7" s="98" t="s">
        <v>603</v>
      </c>
      <c r="B7" s="145">
        <f>B6*B17-B4</f>
        <v>74.089624059824445</v>
      </c>
      <c r="C7" s="145">
        <f>SQRT((B17*C6)^2+(B6*C17)^2+(-C4)^2)</f>
        <v>7.5536246132175604</v>
      </c>
      <c r="D7" s="148"/>
    </row>
    <row r="8" spans="1:4" ht="18.75" x14ac:dyDescent="0.25">
      <c r="A8" s="98" t="s">
        <v>636</v>
      </c>
      <c r="B8" s="145">
        <f>Reflectivity!H10</f>
        <v>118.61517618833636</v>
      </c>
      <c r="C8" s="145">
        <f>SQRT(B6^2*C17^2+B17^2*C6^2)</f>
        <v>2.0611400196361274</v>
      </c>
      <c r="D8" s="148"/>
    </row>
    <row r="9" spans="1:4" ht="18.75" x14ac:dyDescent="0.25">
      <c r="A9" s="98" t="s">
        <v>604</v>
      </c>
      <c r="B9" s="145">
        <f>Reflectivity!F10</f>
        <v>64.819056983118031</v>
      </c>
      <c r="C9" s="145">
        <f>SQRT((B17*C10)^2+(B10*C17)^2+(-C5/2)^2+(C4/2)^2)</f>
        <v>5.5294434573357858</v>
      </c>
      <c r="D9" s="148"/>
    </row>
    <row r="10" spans="1:4" ht="18.75" x14ac:dyDescent="0.25">
      <c r="A10" s="98" t="s">
        <v>605</v>
      </c>
      <c r="B10" s="145">
        <f>Reflectivity!F41</f>
        <v>101.17677234221604</v>
      </c>
      <c r="C10" s="145">
        <v>5.3</v>
      </c>
      <c r="D10" s="148"/>
    </row>
    <row r="11" spans="1:4" ht="18.75" x14ac:dyDescent="0.25">
      <c r="A11" s="98" t="s">
        <v>585</v>
      </c>
      <c r="B11" s="145">
        <f>Reflectivity!$H$43</f>
        <v>524.82904011452445</v>
      </c>
      <c r="C11" s="145">
        <v>21.3</v>
      </c>
      <c r="D11" s="145"/>
    </row>
    <row r="12" spans="1:4" ht="18.75" x14ac:dyDescent="0.25">
      <c r="A12" s="98" t="s">
        <v>581</v>
      </c>
      <c r="B12" s="145">
        <f>Reflectivity!H12</f>
        <v>382.66461979686312</v>
      </c>
      <c r="C12" s="145">
        <f>B12*SQRT(C17*C17/B17/B17+C11*C11/B11/B11)</f>
        <v>16.469403180495831</v>
      </c>
      <c r="D12" s="145"/>
    </row>
    <row r="13" spans="1:4" x14ac:dyDescent="0.25">
      <c r="A13" s="99"/>
      <c r="B13" s="99"/>
      <c r="C13" s="99"/>
      <c r="D13" s="99"/>
    </row>
    <row r="14" spans="1:4" ht="18.75" x14ac:dyDescent="0.25">
      <c r="A14" s="98" t="s">
        <v>606</v>
      </c>
      <c r="B14" s="145">
        <f>Reflectivity!G7/2.35</f>
        <v>18.936170212765958</v>
      </c>
      <c r="C14" s="145">
        <f>sigMarker!D4/2.35</f>
        <v>2.0219279789979598</v>
      </c>
      <c r="D14" s="145"/>
    </row>
    <row r="15" spans="1:4" ht="18.75" x14ac:dyDescent="0.25">
      <c r="A15" s="98" t="s">
        <v>607</v>
      </c>
      <c r="B15" s="145">
        <f>sigTop!C4/2.35</f>
        <v>15.627259429808102</v>
      </c>
      <c r="C15" s="145">
        <f>sigTop!D4/2.35</f>
        <v>11.963578230180374</v>
      </c>
      <c r="D15" s="145"/>
    </row>
    <row r="16" spans="1:4" x14ac:dyDescent="0.25">
      <c r="A16" s="99"/>
      <c r="B16" s="99"/>
      <c r="C16" s="99"/>
      <c r="D16" s="99"/>
    </row>
    <row r="17" spans="1:4" ht="18.75" x14ac:dyDescent="0.25">
      <c r="A17" s="98" t="s">
        <v>596</v>
      </c>
      <c r="B17" s="146">
        <f>f_PMAA!C4</f>
        <v>0.72912241996624438</v>
      </c>
      <c r="C17" s="146">
        <f>f_PMAA!D4</f>
        <v>1.044503932810871E-2</v>
      </c>
      <c r="D17" s="145"/>
    </row>
    <row r="18" spans="1:4" ht="18.75" x14ac:dyDescent="0.25">
      <c r="A18" s="98" t="s">
        <v>608</v>
      </c>
      <c r="B18" s="147">
        <f>(B17*B6/5)/dMarker!C4</f>
        <v>0.53279598126479466</v>
      </c>
      <c r="C18" s="147">
        <f>B18*SQRT(C17*C17/B17/B17+C6*C6/B6/B6+dMarker!D4*dMarker!D4/dMarker!C4/dMarker!C4)</f>
        <v>8.7448634587032614E-2</v>
      </c>
      <c r="D18" s="145"/>
    </row>
    <row r="19" spans="1:4" ht="17.25" x14ac:dyDescent="0.25">
      <c r="A19" s="98" t="s">
        <v>570</v>
      </c>
      <c r="B19" s="147">
        <f>Reflectivity!H26</f>
        <v>0.15</v>
      </c>
      <c r="C19" s="147">
        <v>0.01</v>
      </c>
      <c r="D19" s="145"/>
    </row>
    <row r="21" spans="1:4" ht="18.75" x14ac:dyDescent="0.25">
      <c r="A21" s="98" t="s">
        <v>609</v>
      </c>
      <c r="B21" s="147">
        <f>Reflectivity!H47</f>
        <v>0.90809677190880689</v>
      </c>
      <c r="C21" s="147">
        <v>0.04</v>
      </c>
      <c r="D21" s="145"/>
    </row>
    <row r="22" spans="1:4" ht="18.75" x14ac:dyDescent="0.25">
      <c r="A22" s="98" t="s">
        <v>610</v>
      </c>
      <c r="B22" s="147">
        <f>Reflectivity!H18</f>
        <v>87.905999999999992</v>
      </c>
      <c r="C22" s="147"/>
      <c r="D22" s="145"/>
    </row>
    <row r="23" spans="1:4" ht="18.75" x14ac:dyDescent="0.25">
      <c r="A23" s="98" t="s">
        <v>613</v>
      </c>
      <c r="B23" s="147">
        <f>Reflectivity!B18</f>
        <v>86.1</v>
      </c>
      <c r="C23" s="147"/>
      <c r="D23" s="145"/>
    </row>
    <row r="24" spans="1:4" ht="18.75" x14ac:dyDescent="0.25">
      <c r="A24" s="98" t="s">
        <v>618</v>
      </c>
      <c r="B24" s="147">
        <f>(B22/B23)*(B12/B11)/B17</f>
        <v>1.0209756097560974</v>
      </c>
      <c r="C24" s="153"/>
      <c r="D24" s="154"/>
    </row>
    <row r="25" spans="1:4" ht="18.75" x14ac:dyDescent="0.25">
      <c r="A25" s="98" t="s">
        <v>619</v>
      </c>
      <c r="B25" s="153">
        <f>B21*(B22/B23)*(1/B11)/B17</f>
        <v>2.4228648467927633E-3</v>
      </c>
      <c r="C25" s="153"/>
      <c r="D25" s="154"/>
    </row>
    <row r="26" spans="1:4" ht="18.75" x14ac:dyDescent="0.25">
      <c r="A26" s="98" t="s">
        <v>620</v>
      </c>
      <c r="B26" s="153">
        <f>-B21*(B22/B23)*(B12/B11^2)/B17</f>
        <v>-1.7665650803446833E-3</v>
      </c>
      <c r="C26" s="153"/>
      <c r="D26" s="154"/>
    </row>
    <row r="27" spans="1:4" ht="18.75" x14ac:dyDescent="0.25">
      <c r="A27" s="98" t="s">
        <v>621</v>
      </c>
      <c r="B27" s="147">
        <f>-B21*(B22/B23)*(B12/B11)/B17^2</f>
        <v>-1.2715898318694698</v>
      </c>
      <c r="C27" s="153"/>
      <c r="D27" s="154"/>
    </row>
    <row r="28" spans="1:4" ht="18.75" x14ac:dyDescent="0.25">
      <c r="A28" s="98" t="s">
        <v>617</v>
      </c>
      <c r="B28" s="147">
        <f>Reflectivity!H16</f>
        <v>0.92714465541713764</v>
      </c>
      <c r="C28" s="147">
        <f>SQRT(B24^2*C21^2+B25^2*C12^2+B26^2*C11^2+B27^2*C17^2)</f>
        <v>6.9658788101893993E-2</v>
      </c>
      <c r="D28" s="145"/>
    </row>
    <row r="29" spans="1:4" x14ac:dyDescent="0.25">
      <c r="A29" s="99"/>
      <c r="B29" s="99"/>
      <c r="C29" s="99"/>
      <c r="D29" s="99"/>
    </row>
    <row r="30" spans="1:4" ht="18.75" x14ac:dyDescent="0.25">
      <c r="A30" s="98" t="s">
        <v>622</v>
      </c>
      <c r="B30" s="153">
        <f>-2*Reflectivity!B20+Reflectivity!D20</f>
        <v>-10700000000</v>
      </c>
      <c r="C30" s="153"/>
      <c r="D30" s="154"/>
    </row>
    <row r="31" spans="1:4" ht="18.75" x14ac:dyDescent="0.25">
      <c r="A31" s="98" t="s">
        <v>623</v>
      </c>
      <c r="B31" s="153">
        <f>Reflectivity!H22</f>
        <v>10197500000</v>
      </c>
      <c r="C31" s="153">
        <f>ABS(B30*C19)</f>
        <v>107000000</v>
      </c>
      <c r="D31" s="154"/>
    </row>
    <row r="32" spans="1:4" ht="18.75" x14ac:dyDescent="0.25">
      <c r="A32" s="98" t="s">
        <v>631</v>
      </c>
      <c r="B32" s="153">
        <f>0.0000000000000001*(2*(1-B19)*Reflectivity!B20+B19*Reflectivity!D20)</f>
        <v>2.0395000000000001E-6</v>
      </c>
      <c r="C32" s="153"/>
      <c r="D32" s="154"/>
    </row>
    <row r="33" spans="1:4" ht="18.75" x14ac:dyDescent="0.25">
      <c r="A33" s="98" t="s">
        <v>632</v>
      </c>
      <c r="B33" s="153">
        <f>0.0000000000000001*B28</f>
        <v>9.2714465541713758E-17</v>
      </c>
      <c r="C33" s="153"/>
      <c r="D33" s="154"/>
    </row>
    <row r="34" spans="1:4" ht="18.75" x14ac:dyDescent="0.25">
      <c r="A34" s="98" t="s">
        <v>589</v>
      </c>
      <c r="B34" s="153">
        <f>Reflectivity!H4</f>
        <v>9.4545576236162603E-7</v>
      </c>
      <c r="C34" s="153">
        <f>SQRT((0.0000000000000001*B32*C28)^2+(B33*C31)^2)</f>
        <v>9.920447812963372E-9</v>
      </c>
      <c r="D34" s="154"/>
    </row>
    <row r="35" spans="1:4" x14ac:dyDescent="0.25">
      <c r="A35" s="98"/>
      <c r="B35" s="153"/>
      <c r="C35" s="146"/>
      <c r="D35" s="154"/>
    </row>
    <row r="36" spans="1:4" ht="18.75" x14ac:dyDescent="0.25">
      <c r="A36" s="98" t="s">
        <v>625</v>
      </c>
      <c r="B36" s="147">
        <f>2*Reflectivity!H28</f>
        <v>1.0655919625295893</v>
      </c>
      <c r="C36" s="146"/>
      <c r="D36" s="154"/>
    </row>
    <row r="37" spans="1:4" ht="18.75" x14ac:dyDescent="0.25">
      <c r="A37" s="98" t="s">
        <v>626</v>
      </c>
      <c r="B37" s="147">
        <f>1-2*Reflectivity!H28</f>
        <v>-6.559196252958932E-2</v>
      </c>
      <c r="C37" s="146"/>
      <c r="D37" s="154"/>
    </row>
    <row r="38" spans="1:4" ht="18.75" x14ac:dyDescent="0.25">
      <c r="A38" s="98" t="s">
        <v>627</v>
      </c>
      <c r="B38" s="147">
        <f>-2+2*Reflectivity!H28</f>
        <v>-0.93440803747041068</v>
      </c>
      <c r="C38" s="146"/>
      <c r="D38" s="154"/>
    </row>
    <row r="39" spans="1:4" ht="18.75" x14ac:dyDescent="0.25">
      <c r="A39" s="98" t="s">
        <v>624</v>
      </c>
      <c r="B39" s="153">
        <f>(B18-1)*Reflectivity!B20-Reflectivity!H28*Reflectivity!C20+(Reflectivity!B22*Reflectivity!E20+2*Reflectivity!D22*Reflectivity!F20+Reflectivity!E22*Reflectivity!D20)/2</f>
        <v>-17121081748.281078</v>
      </c>
      <c r="C39" s="146"/>
      <c r="D39" s="154"/>
    </row>
    <row r="40" spans="1:4" ht="18.75" x14ac:dyDescent="0.25">
      <c r="A40" s="98" t="s">
        <v>628</v>
      </c>
      <c r="B40" s="153">
        <f>(1-B19)*(Reflectivity!C20-Reflectivity!B20)+B19*(B18*Reflectivity!E20+(1-2*B18)*Reflectivity!F20+(B18-1)*Reflectivity!D20)</f>
        <v>36742088663.091309</v>
      </c>
      <c r="C40" s="146"/>
      <c r="D40" s="154"/>
    </row>
    <row r="41" spans="1:4" ht="18.75" x14ac:dyDescent="0.25">
      <c r="A41" s="98" t="s">
        <v>595</v>
      </c>
      <c r="B41" s="153">
        <f>Reflectivity!H24</f>
        <v>29796956586.476105</v>
      </c>
      <c r="C41" s="153">
        <f>SQRT((B39*C19)^2+(B40*C18)^2)</f>
        <v>3217603834.4826517</v>
      </c>
      <c r="D41" s="154"/>
    </row>
    <row r="42" spans="1:4" ht="18.75" x14ac:dyDescent="0.25">
      <c r="A42" s="98" t="s">
        <v>629</v>
      </c>
      <c r="B42" s="153">
        <f>0.0000000000000001*B41*(Reflectivity!C18/Reflectivity!B18)</f>
        <v>3.187339955417479E-6</v>
      </c>
      <c r="C42" s="146"/>
      <c r="D42" s="154"/>
    </row>
    <row r="43" spans="1:4" ht="18.75" x14ac:dyDescent="0.25">
      <c r="A43" s="98" t="s">
        <v>630</v>
      </c>
      <c r="B43" s="153">
        <f>0.0000000000000001*B28*(Reflectivity!C18/Reflectivity!B18)</f>
        <v>9.9175403906989982E-17</v>
      </c>
      <c r="C43" s="146"/>
      <c r="D43" s="154"/>
    </row>
    <row r="44" spans="1:4" ht="18.75" x14ac:dyDescent="0.25">
      <c r="A44" s="98" t="s">
        <v>635</v>
      </c>
      <c r="B44" s="153">
        <f>Reflectivity!H6</f>
        <v>2.8630735093003271E-6</v>
      </c>
      <c r="C44" s="153">
        <f>SQRT((B43*C41)^2+(B42*C28)^2)</f>
        <v>3.8874802907325054E-7</v>
      </c>
      <c r="D44" s="154"/>
    </row>
    <row r="45" spans="1:4" x14ac:dyDescent="0.25">
      <c r="A45" s="169"/>
      <c r="B45" s="170"/>
      <c r="C45" s="170"/>
      <c r="D45" s="17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4" bestFit="1" customWidth="1"/>
    <col min="2" max="2" width="8.625" style="100" bestFit="1" customWidth="1"/>
    <col min="3" max="3" width="8.625" bestFit="1" customWidth="1"/>
    <col min="4" max="4" width="8.25" bestFit="1" customWidth="1"/>
  </cols>
  <sheetData>
    <row r="1" spans="1:5" ht="17.25" x14ac:dyDescent="0.25">
      <c r="A1" s="101" t="s">
        <v>529</v>
      </c>
      <c r="B1" s="95" t="s">
        <v>530</v>
      </c>
      <c r="C1" s="95" t="s">
        <v>531</v>
      </c>
      <c r="D1" s="96" t="s">
        <v>532</v>
      </c>
      <c r="E1" s="178" t="s">
        <v>533</v>
      </c>
    </row>
    <row r="2" spans="1:5" x14ac:dyDescent="0.25">
      <c r="A2" s="102" t="s">
        <v>568</v>
      </c>
      <c r="B2" s="121">
        <v>41</v>
      </c>
      <c r="C2" s="121">
        <v>50</v>
      </c>
      <c r="D2" s="97">
        <v>10</v>
      </c>
      <c r="E2" s="178"/>
    </row>
    <row r="3" spans="1:5" ht="18.75" x14ac:dyDescent="0.25">
      <c r="A3" s="103" t="s">
        <v>534</v>
      </c>
      <c r="B3" s="98" t="s">
        <v>535</v>
      </c>
      <c r="C3" s="98" t="s">
        <v>536</v>
      </c>
      <c r="D3" s="98" t="s">
        <v>537</v>
      </c>
    </row>
    <row r="4" spans="1:5" x14ac:dyDescent="0.25">
      <c r="A4" s="122">
        <v>41</v>
      </c>
      <c r="B4" s="99">
        <v>6.6648430161839949</v>
      </c>
      <c r="C4" s="122">
        <v>44.525552128511919</v>
      </c>
      <c r="D4" s="122">
        <v>7.2669764425695309</v>
      </c>
    </row>
    <row r="5" spans="1:5" x14ac:dyDescent="0.25">
      <c r="A5" s="122">
        <v>41.9</v>
      </c>
      <c r="B5" s="99">
        <v>6.5560709563665256</v>
      </c>
      <c r="C5" s="99"/>
      <c r="D5" s="99"/>
    </row>
    <row r="6" spans="1:5" x14ac:dyDescent="0.25">
      <c r="A6" s="122">
        <v>42.8</v>
      </c>
      <c r="B6" s="99">
        <v>6.4799179411404033</v>
      </c>
      <c r="C6" s="99"/>
      <c r="D6" s="99"/>
    </row>
    <row r="7" spans="1:5" x14ac:dyDescent="0.25">
      <c r="A7" s="122">
        <v>43.7</v>
      </c>
      <c r="B7" s="99">
        <v>6.4360717623235733</v>
      </c>
      <c r="C7" s="99"/>
      <c r="D7" s="99"/>
    </row>
    <row r="8" spans="1:5" x14ac:dyDescent="0.25">
      <c r="A8" s="122">
        <v>44.6</v>
      </c>
      <c r="B8" s="99">
        <v>6.4241512976091437</v>
      </c>
      <c r="C8" s="99"/>
      <c r="D8" s="99"/>
    </row>
    <row r="9" spans="1:5" x14ac:dyDescent="0.25">
      <c r="A9" s="122">
        <v>45.5</v>
      </c>
      <c r="B9" s="99">
        <v>6.4436838863227548</v>
      </c>
      <c r="C9" s="99"/>
      <c r="D9" s="99"/>
    </row>
    <row r="10" spans="1:5" x14ac:dyDescent="0.25">
      <c r="A10" s="122">
        <v>46.4</v>
      </c>
      <c r="B10" s="99">
        <v>6.4940941981316644</v>
      </c>
      <c r="C10" s="99"/>
      <c r="D10" s="99"/>
    </row>
    <row r="11" spans="1:5" x14ac:dyDescent="0.25">
      <c r="A11" s="122">
        <v>47.3</v>
      </c>
      <c r="B11" s="99">
        <v>6.5747019346245494</v>
      </c>
      <c r="C11" s="99"/>
      <c r="D11" s="99"/>
    </row>
    <row r="12" spans="1:5" x14ac:dyDescent="0.25">
      <c r="A12" s="122">
        <v>48.2</v>
      </c>
      <c r="B12" s="99">
        <v>6.6847260597066134</v>
      </c>
      <c r="C12" s="99"/>
      <c r="D12" s="99"/>
    </row>
    <row r="13" spans="1:5" x14ac:dyDescent="0.25">
      <c r="A13" s="122">
        <v>49.1</v>
      </c>
      <c r="B13" s="99">
        <v>6.8232936083291928</v>
      </c>
      <c r="C13" s="99"/>
      <c r="D13" s="99"/>
    </row>
    <row r="14" spans="1:5" x14ac:dyDescent="0.25">
      <c r="A14" s="122">
        <v>50</v>
      </c>
      <c r="B14" s="99">
        <v>6.989451463649397</v>
      </c>
      <c r="C14" s="99"/>
      <c r="D14" s="99"/>
    </row>
    <row r="15" spans="1:5" x14ac:dyDescent="0.25">
      <c r="A15" s="122"/>
      <c r="B15" s="99"/>
      <c r="C15" s="99"/>
      <c r="D15" s="99"/>
    </row>
    <row r="16" spans="1:5" x14ac:dyDescent="0.25">
      <c r="A16" s="122"/>
      <c r="B16" s="99"/>
      <c r="C16" s="99"/>
      <c r="D16" s="99"/>
    </row>
    <row r="17" spans="1:4" x14ac:dyDescent="0.25">
      <c r="A17" s="122"/>
      <c r="B17" s="99"/>
      <c r="C17" s="99"/>
      <c r="D17" s="99"/>
    </row>
    <row r="18" spans="1:4" x14ac:dyDescent="0.25">
      <c r="A18" s="122"/>
      <c r="B18" s="99"/>
      <c r="C18" s="99"/>
      <c r="D18" s="99"/>
    </row>
    <row r="19" spans="1:4" x14ac:dyDescent="0.25">
      <c r="A19" s="122"/>
      <c r="B19" s="99"/>
      <c r="C19" s="99"/>
      <c r="D19" s="99"/>
    </row>
    <row r="20" spans="1:4" x14ac:dyDescent="0.25">
      <c r="A20" s="122"/>
      <c r="B20" s="99"/>
      <c r="C20" s="99"/>
      <c r="D20" s="99"/>
    </row>
    <row r="21" spans="1:4" x14ac:dyDescent="0.25">
      <c r="A21" s="122"/>
      <c r="B21" s="99"/>
      <c r="C21" s="99"/>
      <c r="D21" s="99"/>
    </row>
    <row r="22" spans="1:4" x14ac:dyDescent="0.25">
      <c r="A22" s="122"/>
      <c r="B22" s="99"/>
      <c r="C22" s="99"/>
      <c r="D22" s="99"/>
    </row>
    <row r="23" spans="1:4" x14ac:dyDescent="0.25">
      <c r="A23" s="122"/>
      <c r="B23" s="99"/>
      <c r="C23" s="99"/>
      <c r="D23" s="99"/>
    </row>
    <row r="24" spans="1:4" x14ac:dyDescent="0.25">
      <c r="A24" s="122"/>
      <c r="B24" s="99"/>
      <c r="C24" s="99"/>
      <c r="D24" s="99"/>
    </row>
    <row r="25" spans="1:4" x14ac:dyDescent="0.25">
      <c r="B25" s="99"/>
      <c r="C25" s="99"/>
      <c r="D25" s="99"/>
    </row>
    <row r="26" spans="1:4" x14ac:dyDescent="0.25">
      <c r="B26" s="99"/>
      <c r="C26" s="99"/>
      <c r="D26" s="99"/>
    </row>
    <row r="27" spans="1:4" x14ac:dyDescent="0.25">
      <c r="B27" s="99"/>
      <c r="C27" s="99"/>
      <c r="D27" s="99"/>
    </row>
    <row r="28" spans="1:4" x14ac:dyDescent="0.25">
      <c r="B28" s="99"/>
      <c r="C28" s="99"/>
      <c r="D28" s="99"/>
    </row>
    <row r="29" spans="1:4" x14ac:dyDescent="0.25">
      <c r="B29" s="99"/>
      <c r="C29" s="99"/>
      <c r="D29" s="99"/>
    </row>
    <row r="30" spans="1:4" x14ac:dyDescent="0.25">
      <c r="B30" s="99"/>
      <c r="C30" s="99"/>
      <c r="D30" s="99"/>
    </row>
    <row r="31" spans="1:4" x14ac:dyDescent="0.25">
      <c r="B31" s="99"/>
      <c r="C31" s="99"/>
      <c r="D31" s="99"/>
    </row>
    <row r="32" spans="1:4" x14ac:dyDescent="0.25">
      <c r="B32" s="99"/>
      <c r="C32" s="99"/>
      <c r="D32" s="99"/>
    </row>
    <row r="33" spans="2:4" x14ac:dyDescent="0.25">
      <c r="B33" s="99"/>
      <c r="C33" s="99"/>
      <c r="D33" s="99"/>
    </row>
    <row r="34" spans="2:4" x14ac:dyDescent="0.25">
      <c r="B34" s="99"/>
      <c r="C34" s="99"/>
      <c r="D34" s="99"/>
    </row>
    <row r="35" spans="2:4" x14ac:dyDescent="0.25">
      <c r="C35" s="99"/>
      <c r="D35" s="99"/>
    </row>
    <row r="36" spans="2:4" x14ac:dyDescent="0.25">
      <c r="C36" s="99"/>
      <c r="D36" s="99"/>
    </row>
    <row r="37" spans="2:4" x14ac:dyDescent="0.25">
      <c r="C37" s="99"/>
      <c r="D37" s="99"/>
    </row>
    <row r="38" spans="2:4" x14ac:dyDescent="0.25">
      <c r="C38" s="99"/>
      <c r="D38" s="99"/>
    </row>
    <row r="39" spans="2:4" x14ac:dyDescent="0.25">
      <c r="C39" s="99"/>
      <c r="D39" s="99"/>
    </row>
    <row r="40" spans="2:4" x14ac:dyDescent="0.25">
      <c r="C40" s="99"/>
      <c r="D40" s="99"/>
    </row>
    <row r="41" spans="2:4" x14ac:dyDescent="0.25">
      <c r="C41" s="99"/>
      <c r="D41" s="99"/>
    </row>
    <row r="42" spans="2:4" x14ac:dyDescent="0.25">
      <c r="C42" s="99"/>
      <c r="D42" s="99"/>
    </row>
    <row r="43" spans="2:4" x14ac:dyDescent="0.25">
      <c r="C43" s="99"/>
      <c r="D43" s="99"/>
    </row>
    <row r="44" spans="2:4" x14ac:dyDescent="0.25">
      <c r="C44" s="99"/>
      <c r="D44" s="99"/>
    </row>
    <row r="45" spans="2:4" x14ac:dyDescent="0.25">
      <c r="C45" s="99"/>
      <c r="D45" s="99"/>
    </row>
    <row r="46" spans="2:4" x14ac:dyDescent="0.25">
      <c r="C46" s="99"/>
      <c r="D46" s="99"/>
    </row>
    <row r="47" spans="2:4" x14ac:dyDescent="0.25">
      <c r="C47" s="99"/>
      <c r="D47" s="99"/>
    </row>
    <row r="48" spans="2:4" x14ac:dyDescent="0.25">
      <c r="C48" s="99"/>
      <c r="D48" s="99"/>
    </row>
    <row r="49" spans="3:4" x14ac:dyDescent="0.25">
      <c r="C49" s="99"/>
      <c r="D49" s="99"/>
    </row>
    <row r="50" spans="3:4" x14ac:dyDescent="0.25">
      <c r="C50" s="99"/>
      <c r="D50" s="99"/>
    </row>
    <row r="51" spans="3:4" x14ac:dyDescent="0.25">
      <c r="C51" s="99"/>
      <c r="D51" s="99"/>
    </row>
    <row r="52" spans="3:4" x14ac:dyDescent="0.25">
      <c r="C52" s="99"/>
      <c r="D52" s="99"/>
    </row>
    <row r="53" spans="3:4" x14ac:dyDescent="0.25">
      <c r="C53" s="99"/>
      <c r="D53" s="99"/>
    </row>
    <row r="54" spans="3:4" x14ac:dyDescent="0.25">
      <c r="C54" s="99"/>
      <c r="D54" s="99"/>
    </row>
    <row r="55" spans="3:4" x14ac:dyDescent="0.25">
      <c r="C55" s="99"/>
      <c r="D55" s="99"/>
    </row>
    <row r="56" spans="3:4" x14ac:dyDescent="0.25">
      <c r="C56" s="99"/>
      <c r="D56" s="99"/>
    </row>
    <row r="57" spans="3:4" x14ac:dyDescent="0.25">
      <c r="C57" s="99"/>
      <c r="D57" s="99"/>
    </row>
    <row r="58" spans="3:4" x14ac:dyDescent="0.25">
      <c r="C58" s="99"/>
      <c r="D58" s="99"/>
    </row>
    <row r="59" spans="3:4" x14ac:dyDescent="0.25">
      <c r="C59" s="99"/>
      <c r="D59" s="99"/>
    </row>
    <row r="60" spans="3:4" x14ac:dyDescent="0.25">
      <c r="C60" s="99"/>
      <c r="D60" s="99"/>
    </row>
    <row r="61" spans="3:4" x14ac:dyDescent="0.25">
      <c r="C61" s="99"/>
      <c r="D61" s="99"/>
    </row>
    <row r="62" spans="3:4" x14ac:dyDescent="0.25">
      <c r="C62" s="99"/>
      <c r="D62" s="99"/>
    </row>
    <row r="63" spans="3:4" x14ac:dyDescent="0.25">
      <c r="C63" s="99"/>
      <c r="D63" s="99"/>
    </row>
    <row r="64" spans="3:4" x14ac:dyDescent="0.25">
      <c r="C64" s="99"/>
      <c r="D64" s="99"/>
    </row>
    <row r="65" spans="3:4" x14ac:dyDescent="0.25">
      <c r="C65" s="99"/>
      <c r="D65" s="99"/>
    </row>
    <row r="66" spans="3:4" x14ac:dyDescent="0.25">
      <c r="C66" s="99"/>
      <c r="D66" s="99"/>
    </row>
    <row r="67" spans="3:4" x14ac:dyDescent="0.25">
      <c r="C67" s="99"/>
      <c r="D67" s="99"/>
    </row>
    <row r="68" spans="3:4" x14ac:dyDescent="0.25">
      <c r="C68" s="99"/>
      <c r="D68" s="99"/>
    </row>
    <row r="69" spans="3:4" x14ac:dyDescent="0.25">
      <c r="C69" s="99"/>
      <c r="D69" s="99"/>
    </row>
    <row r="70" spans="3:4" x14ac:dyDescent="0.25">
      <c r="C70" s="99"/>
      <c r="D70" s="99"/>
    </row>
    <row r="71" spans="3:4" x14ac:dyDescent="0.25">
      <c r="C71" s="99"/>
      <c r="D71" s="99"/>
    </row>
    <row r="72" spans="3:4" x14ac:dyDescent="0.25">
      <c r="C72" s="99"/>
      <c r="D72" s="99"/>
    </row>
    <row r="73" spans="3:4" x14ac:dyDescent="0.25">
      <c r="C73" s="99"/>
      <c r="D73" s="99"/>
    </row>
    <row r="74" spans="3:4" x14ac:dyDescent="0.25">
      <c r="C74" s="99"/>
      <c r="D74" s="99"/>
    </row>
    <row r="75" spans="3:4" x14ac:dyDescent="0.25">
      <c r="C75" s="99"/>
      <c r="D75" s="99"/>
    </row>
    <row r="76" spans="3:4" x14ac:dyDescent="0.25">
      <c r="C76" s="99"/>
      <c r="D76" s="99"/>
    </row>
    <row r="77" spans="3:4" x14ac:dyDescent="0.25">
      <c r="C77" s="99"/>
      <c r="D77" s="99"/>
    </row>
    <row r="78" spans="3:4" x14ac:dyDescent="0.25">
      <c r="C78" s="99"/>
      <c r="D78" s="99"/>
    </row>
    <row r="79" spans="3:4" x14ac:dyDescent="0.25">
      <c r="C79" s="99"/>
      <c r="D79" s="99"/>
    </row>
    <row r="80" spans="3:4" x14ac:dyDescent="0.25">
      <c r="C80" s="99"/>
      <c r="D80" s="99"/>
    </row>
    <row r="81" spans="3:4" x14ac:dyDescent="0.25">
      <c r="C81" s="99"/>
      <c r="D81" s="99"/>
    </row>
    <row r="82" spans="3:4" x14ac:dyDescent="0.25">
      <c r="C82" s="99"/>
      <c r="D82" s="99"/>
    </row>
    <row r="83" spans="3:4" x14ac:dyDescent="0.25">
      <c r="C83" s="99"/>
      <c r="D83" s="99"/>
    </row>
    <row r="84" spans="3:4" x14ac:dyDescent="0.25">
      <c r="C84" s="99"/>
      <c r="D84" s="99"/>
    </row>
    <row r="85" spans="3:4" x14ac:dyDescent="0.25">
      <c r="C85" s="99"/>
      <c r="D85" s="99"/>
    </row>
    <row r="86" spans="3:4" x14ac:dyDescent="0.25">
      <c r="C86" s="99"/>
      <c r="D86" s="99"/>
    </row>
    <row r="87" spans="3:4" x14ac:dyDescent="0.25">
      <c r="C87" s="99"/>
      <c r="D87" s="99"/>
    </row>
    <row r="88" spans="3:4" x14ac:dyDescent="0.25">
      <c r="C88" s="99"/>
      <c r="D88" s="99"/>
    </row>
    <row r="89" spans="3:4" x14ac:dyDescent="0.25">
      <c r="C89" s="99"/>
      <c r="D89" s="99"/>
    </row>
    <row r="90" spans="3:4" x14ac:dyDescent="0.25">
      <c r="C90" s="99"/>
      <c r="D90" s="99"/>
    </row>
    <row r="91" spans="3:4" x14ac:dyDescent="0.25">
      <c r="C91" s="99"/>
      <c r="D91" s="99"/>
    </row>
    <row r="92" spans="3:4" x14ac:dyDescent="0.25">
      <c r="C92" s="99"/>
      <c r="D92" s="99"/>
    </row>
    <row r="93" spans="3:4" x14ac:dyDescent="0.25">
      <c r="C93" s="99"/>
      <c r="D93" s="99"/>
    </row>
    <row r="94" spans="3:4" x14ac:dyDescent="0.25">
      <c r="C94" s="99"/>
      <c r="D94" s="99"/>
    </row>
    <row r="95" spans="3:4" x14ac:dyDescent="0.25">
      <c r="C95" s="99"/>
      <c r="D95" s="99"/>
    </row>
    <row r="96" spans="3:4" x14ac:dyDescent="0.25">
      <c r="C96" s="99"/>
      <c r="D96" s="99"/>
    </row>
    <row r="97" spans="3:4" x14ac:dyDescent="0.25">
      <c r="C97" s="99"/>
      <c r="D97" s="99"/>
    </row>
    <row r="98" spans="3:4" x14ac:dyDescent="0.25">
      <c r="C98" s="99"/>
      <c r="D98" s="99"/>
    </row>
    <row r="99" spans="3:4" x14ac:dyDescent="0.25">
      <c r="C99" s="99"/>
      <c r="D99" s="99"/>
    </row>
    <row r="100" spans="3:4" x14ac:dyDescent="0.25">
      <c r="C100" s="99"/>
      <c r="D100" s="99"/>
    </row>
    <row r="101" spans="3:4" x14ac:dyDescent="0.25">
      <c r="C101" s="99"/>
      <c r="D101" s="99"/>
    </row>
    <row r="102" spans="3:4" x14ac:dyDescent="0.25">
      <c r="C102" s="99"/>
      <c r="D102" s="99"/>
    </row>
    <row r="103" spans="3:4" x14ac:dyDescent="0.25">
      <c r="C103" s="99"/>
      <c r="D103" s="99"/>
    </row>
    <row r="104" spans="3:4" x14ac:dyDescent="0.25">
      <c r="C104" s="99"/>
      <c r="D104" s="99"/>
    </row>
    <row r="105" spans="3:4" x14ac:dyDescent="0.25">
      <c r="C105" s="99"/>
      <c r="D105" s="99"/>
    </row>
    <row r="106" spans="3:4" x14ac:dyDescent="0.25">
      <c r="C106" s="99"/>
      <c r="D106" s="99"/>
    </row>
    <row r="107" spans="3:4" x14ac:dyDescent="0.25">
      <c r="C107" s="99"/>
      <c r="D107" s="99"/>
    </row>
    <row r="108" spans="3:4" x14ac:dyDescent="0.25">
      <c r="C108" s="99"/>
      <c r="D108" s="99"/>
    </row>
    <row r="109" spans="3:4" x14ac:dyDescent="0.25">
      <c r="C109" s="99"/>
      <c r="D109" s="99"/>
    </row>
    <row r="110" spans="3:4" x14ac:dyDescent="0.25">
      <c r="C110" s="99"/>
      <c r="D110" s="99"/>
    </row>
    <row r="111" spans="3:4" x14ac:dyDescent="0.25">
      <c r="C111" s="99"/>
      <c r="D111" s="99"/>
    </row>
    <row r="112" spans="3:4" x14ac:dyDescent="0.25">
      <c r="C112" s="99"/>
      <c r="D112" s="99"/>
    </row>
    <row r="113" spans="3:4" x14ac:dyDescent="0.25">
      <c r="C113" s="99"/>
      <c r="D113" s="99"/>
    </row>
    <row r="114" spans="3:4" x14ac:dyDescent="0.25">
      <c r="C114" s="99"/>
      <c r="D114" s="99"/>
    </row>
    <row r="115" spans="3:4" x14ac:dyDescent="0.25">
      <c r="C115" s="99"/>
      <c r="D115" s="99"/>
    </row>
    <row r="116" spans="3:4" x14ac:dyDescent="0.25">
      <c r="C116" s="99"/>
      <c r="D116" s="99"/>
    </row>
    <row r="117" spans="3:4" x14ac:dyDescent="0.25">
      <c r="C117" s="99"/>
      <c r="D117" s="99"/>
    </row>
    <row r="118" spans="3:4" x14ac:dyDescent="0.25">
      <c r="C118" s="99"/>
      <c r="D118" s="99"/>
    </row>
    <row r="119" spans="3:4" x14ac:dyDescent="0.25">
      <c r="C119" s="99"/>
      <c r="D119" s="99"/>
    </row>
    <row r="120" spans="3:4" x14ac:dyDescent="0.25">
      <c r="C120" s="99"/>
      <c r="D120" s="99"/>
    </row>
    <row r="121" spans="3:4" x14ac:dyDescent="0.25">
      <c r="C121" s="99"/>
      <c r="D121" s="99"/>
    </row>
    <row r="122" spans="3:4" x14ac:dyDescent="0.25">
      <c r="C122" s="99"/>
      <c r="D122" s="99"/>
    </row>
    <row r="123" spans="3:4" x14ac:dyDescent="0.25">
      <c r="C123" s="99"/>
      <c r="D123" s="99"/>
    </row>
    <row r="124" spans="3:4" x14ac:dyDescent="0.25">
      <c r="C124" s="99"/>
      <c r="D124" s="99"/>
    </row>
    <row r="125" spans="3:4" x14ac:dyDescent="0.25">
      <c r="C125" s="99"/>
      <c r="D125" s="99"/>
    </row>
    <row r="126" spans="3:4" x14ac:dyDescent="0.25">
      <c r="C126" s="99"/>
      <c r="D126" s="99"/>
    </row>
    <row r="127" spans="3:4" x14ac:dyDescent="0.25">
      <c r="C127" s="99"/>
      <c r="D127" s="99"/>
    </row>
    <row r="128" spans="3:4" x14ac:dyDescent="0.25">
      <c r="C128" s="99"/>
      <c r="D128" s="99"/>
    </row>
    <row r="129" spans="3:4" x14ac:dyDescent="0.25">
      <c r="C129" s="99"/>
      <c r="D129" s="99"/>
    </row>
    <row r="130" spans="3:4" x14ac:dyDescent="0.25">
      <c r="C130" s="99"/>
      <c r="D130" s="99"/>
    </row>
    <row r="131" spans="3:4" x14ac:dyDescent="0.25">
      <c r="C131" s="99"/>
      <c r="D131" s="99"/>
    </row>
    <row r="132" spans="3:4" x14ac:dyDescent="0.25">
      <c r="C132" s="99"/>
      <c r="D132" s="99"/>
    </row>
    <row r="133" spans="3:4" x14ac:dyDescent="0.25">
      <c r="C133" s="99"/>
      <c r="D133" s="99"/>
    </row>
    <row r="134" spans="3:4" x14ac:dyDescent="0.25">
      <c r="C134" s="99"/>
      <c r="D134" s="99"/>
    </row>
    <row r="135" spans="3:4" x14ac:dyDescent="0.25">
      <c r="C135" s="99"/>
      <c r="D135" s="99"/>
    </row>
    <row r="136" spans="3:4" x14ac:dyDescent="0.25">
      <c r="C136" s="99"/>
      <c r="D136" s="99"/>
    </row>
    <row r="137" spans="3:4" x14ac:dyDescent="0.25">
      <c r="C137" s="99"/>
      <c r="D137" s="99"/>
    </row>
    <row r="138" spans="3:4" x14ac:dyDescent="0.25">
      <c r="C138" s="99"/>
      <c r="D138" s="99"/>
    </row>
    <row r="139" spans="3:4" x14ac:dyDescent="0.25">
      <c r="C139" s="99"/>
      <c r="D139" s="99"/>
    </row>
    <row r="140" spans="3:4" x14ac:dyDescent="0.25">
      <c r="C140" s="99"/>
      <c r="D140" s="99"/>
    </row>
    <row r="141" spans="3:4" x14ac:dyDescent="0.25">
      <c r="C141" s="99"/>
      <c r="D141" s="99"/>
    </row>
    <row r="142" spans="3:4" x14ac:dyDescent="0.25">
      <c r="C142" s="99"/>
      <c r="D142" s="99"/>
    </row>
    <row r="143" spans="3:4" x14ac:dyDescent="0.25">
      <c r="C143" s="99"/>
      <c r="D143" s="99"/>
    </row>
    <row r="144" spans="3:4" x14ac:dyDescent="0.25">
      <c r="C144" s="99"/>
      <c r="D144" s="99"/>
    </row>
    <row r="145" spans="3:4" x14ac:dyDescent="0.25">
      <c r="C145" s="99"/>
      <c r="D145" s="99"/>
    </row>
    <row r="146" spans="3:4" x14ac:dyDescent="0.25">
      <c r="C146" s="99"/>
      <c r="D146" s="99"/>
    </row>
    <row r="147" spans="3:4" x14ac:dyDescent="0.25">
      <c r="C147" s="99"/>
      <c r="D147" s="99"/>
    </row>
    <row r="148" spans="3:4" x14ac:dyDescent="0.25">
      <c r="C148" s="99"/>
      <c r="D148" s="99"/>
    </row>
    <row r="149" spans="3:4" x14ac:dyDescent="0.25">
      <c r="C149" s="99"/>
      <c r="D149" s="99"/>
    </row>
    <row r="150" spans="3:4" x14ac:dyDescent="0.25">
      <c r="C150" s="99"/>
      <c r="D150" s="99"/>
    </row>
    <row r="151" spans="3:4" x14ac:dyDescent="0.25">
      <c r="C151" s="99"/>
      <c r="D151" s="99"/>
    </row>
    <row r="152" spans="3:4" x14ac:dyDescent="0.25">
      <c r="C152" s="99"/>
      <c r="D152" s="99"/>
    </row>
    <row r="153" spans="3:4" x14ac:dyDescent="0.25">
      <c r="C153" s="99"/>
      <c r="D153" s="99"/>
    </row>
    <row r="154" spans="3:4" x14ac:dyDescent="0.25">
      <c r="C154" s="99"/>
      <c r="D154" s="99"/>
    </row>
    <row r="155" spans="3:4" x14ac:dyDescent="0.25">
      <c r="C155" s="99"/>
      <c r="D155" s="99"/>
    </row>
    <row r="156" spans="3:4" x14ac:dyDescent="0.25">
      <c r="C156" s="99"/>
      <c r="D156" s="99"/>
    </row>
    <row r="157" spans="3:4" x14ac:dyDescent="0.25">
      <c r="C157" s="99"/>
      <c r="D157" s="99"/>
    </row>
    <row r="158" spans="3:4" x14ac:dyDescent="0.25">
      <c r="C158" s="99"/>
      <c r="D158" s="99"/>
    </row>
    <row r="159" spans="3:4" x14ac:dyDescent="0.25">
      <c r="C159" s="99"/>
      <c r="D159" s="99"/>
    </row>
    <row r="160" spans="3:4" x14ac:dyDescent="0.25">
      <c r="C160" s="99"/>
      <c r="D160" s="99"/>
    </row>
    <row r="161" spans="3:4" x14ac:dyDescent="0.25">
      <c r="C161" s="99"/>
      <c r="D161" s="99"/>
    </row>
    <row r="162" spans="3:4" x14ac:dyDescent="0.25">
      <c r="C162" s="99"/>
      <c r="D162" s="99"/>
    </row>
    <row r="163" spans="3:4" x14ac:dyDescent="0.25">
      <c r="C163" s="99"/>
      <c r="D163" s="99"/>
    </row>
    <row r="164" spans="3:4" x14ac:dyDescent="0.25">
      <c r="C164" s="99"/>
      <c r="D164" s="99"/>
    </row>
    <row r="165" spans="3:4" x14ac:dyDescent="0.25">
      <c r="C165" s="99"/>
      <c r="D165" s="99"/>
    </row>
    <row r="166" spans="3:4" x14ac:dyDescent="0.25">
      <c r="C166" s="99"/>
      <c r="D166" s="99"/>
    </row>
    <row r="167" spans="3:4" x14ac:dyDescent="0.25">
      <c r="C167" s="99"/>
      <c r="D167" s="99"/>
    </row>
    <row r="168" spans="3:4" x14ac:dyDescent="0.25">
      <c r="C168" s="99"/>
      <c r="D168" s="99"/>
    </row>
    <row r="169" spans="3:4" x14ac:dyDescent="0.25">
      <c r="C169" s="99"/>
      <c r="D169" s="99"/>
    </row>
    <row r="170" spans="3:4" x14ac:dyDescent="0.25">
      <c r="C170" s="99"/>
      <c r="D170" s="99"/>
    </row>
    <row r="171" spans="3:4" x14ac:dyDescent="0.25">
      <c r="C171" s="99"/>
      <c r="D171" s="99"/>
    </row>
    <row r="172" spans="3:4" x14ac:dyDescent="0.25">
      <c r="C172" s="99"/>
      <c r="D172" s="99"/>
    </row>
    <row r="173" spans="3:4" x14ac:dyDescent="0.25">
      <c r="C173" s="99"/>
      <c r="D173" s="99"/>
    </row>
    <row r="174" spans="3:4" x14ac:dyDescent="0.25">
      <c r="C174" s="99"/>
      <c r="D174" s="99"/>
    </row>
    <row r="175" spans="3:4" x14ac:dyDescent="0.25">
      <c r="C175" s="99"/>
      <c r="D175" s="99"/>
    </row>
    <row r="176" spans="3:4" x14ac:dyDescent="0.25">
      <c r="C176" s="99"/>
      <c r="D176" s="99"/>
    </row>
    <row r="177" spans="3:4" x14ac:dyDescent="0.25">
      <c r="C177" s="99"/>
      <c r="D177" s="99"/>
    </row>
    <row r="178" spans="3:4" x14ac:dyDescent="0.25">
      <c r="C178" s="99"/>
      <c r="D178" s="99"/>
    </row>
    <row r="179" spans="3:4" x14ac:dyDescent="0.25">
      <c r="C179" s="99"/>
      <c r="D179" s="99"/>
    </row>
    <row r="180" spans="3:4" x14ac:dyDescent="0.25">
      <c r="C180" s="99"/>
      <c r="D180" s="99"/>
    </row>
    <row r="181" spans="3:4" x14ac:dyDescent="0.25">
      <c r="C181" s="99"/>
      <c r="D181" s="99"/>
    </row>
    <row r="182" spans="3:4" x14ac:dyDescent="0.25">
      <c r="C182" s="99"/>
      <c r="D182" s="99"/>
    </row>
    <row r="183" spans="3:4" x14ac:dyDescent="0.25">
      <c r="C183" s="99"/>
      <c r="D183" s="99"/>
    </row>
    <row r="184" spans="3:4" x14ac:dyDescent="0.25">
      <c r="C184" s="99"/>
      <c r="D184" s="99"/>
    </row>
    <row r="185" spans="3:4" x14ac:dyDescent="0.25">
      <c r="C185" s="99"/>
      <c r="D185" s="99"/>
    </row>
    <row r="186" spans="3:4" x14ac:dyDescent="0.25">
      <c r="C186" s="99"/>
      <c r="D186" s="99"/>
    </row>
    <row r="187" spans="3:4" x14ac:dyDescent="0.25">
      <c r="C187" s="99"/>
      <c r="D187" s="99"/>
    </row>
    <row r="188" spans="3:4" x14ac:dyDescent="0.25">
      <c r="C188" s="99"/>
      <c r="D188" s="99"/>
    </row>
    <row r="189" spans="3:4" x14ac:dyDescent="0.25">
      <c r="C189" s="99"/>
      <c r="D189" s="99"/>
    </row>
    <row r="190" spans="3:4" x14ac:dyDescent="0.25">
      <c r="C190" s="99"/>
      <c r="D190" s="99"/>
    </row>
    <row r="191" spans="3:4" x14ac:dyDescent="0.25">
      <c r="C191" s="99"/>
      <c r="D191" s="99"/>
    </row>
    <row r="192" spans="3:4" x14ac:dyDescent="0.25">
      <c r="C192" s="99"/>
      <c r="D192" s="99"/>
    </row>
    <row r="193" spans="3:4" x14ac:dyDescent="0.25">
      <c r="C193" s="99"/>
      <c r="D193" s="99"/>
    </row>
    <row r="194" spans="3:4" x14ac:dyDescent="0.25">
      <c r="C194" s="99"/>
      <c r="D194" s="99"/>
    </row>
    <row r="195" spans="3:4" x14ac:dyDescent="0.25">
      <c r="C195" s="99"/>
      <c r="D195" s="99"/>
    </row>
    <row r="196" spans="3:4" x14ac:dyDescent="0.25">
      <c r="C196" s="99"/>
      <c r="D196" s="99"/>
    </row>
    <row r="197" spans="3:4" x14ac:dyDescent="0.25">
      <c r="C197" s="99"/>
      <c r="D197" s="99"/>
    </row>
    <row r="198" spans="3:4" x14ac:dyDescent="0.25">
      <c r="C198" s="99"/>
      <c r="D198" s="99"/>
    </row>
    <row r="199" spans="3:4" x14ac:dyDescent="0.25">
      <c r="C199" s="99"/>
      <c r="D199" s="99"/>
    </row>
    <row r="200" spans="3:4" x14ac:dyDescent="0.25">
      <c r="C200" s="99"/>
      <c r="D200" s="99"/>
    </row>
    <row r="201" spans="3:4" x14ac:dyDescent="0.25">
      <c r="C201" s="99"/>
      <c r="D201" s="99"/>
    </row>
    <row r="202" spans="3:4" x14ac:dyDescent="0.25">
      <c r="C202" s="99"/>
      <c r="D202" s="99"/>
    </row>
    <row r="203" spans="3:4" x14ac:dyDescent="0.25">
      <c r="C203" s="99"/>
      <c r="D203" s="99"/>
    </row>
    <row r="204" spans="3:4" x14ac:dyDescent="0.25">
      <c r="C204" s="99"/>
      <c r="D204" s="99"/>
    </row>
    <row r="205" spans="3:4" x14ac:dyDescent="0.25">
      <c r="C205" s="99"/>
      <c r="D205" s="99"/>
    </row>
    <row r="206" spans="3:4" x14ac:dyDescent="0.25">
      <c r="C206" s="99"/>
      <c r="D206" s="99"/>
    </row>
    <row r="207" spans="3:4" x14ac:dyDescent="0.25">
      <c r="C207" s="99"/>
      <c r="D207" s="99"/>
    </row>
    <row r="208" spans="3:4" x14ac:dyDescent="0.25">
      <c r="C208" s="99"/>
      <c r="D208" s="99"/>
    </row>
    <row r="209" spans="3:4" x14ac:dyDescent="0.25">
      <c r="C209" s="99"/>
      <c r="D209" s="99"/>
    </row>
    <row r="210" spans="3:4" x14ac:dyDescent="0.25">
      <c r="C210" s="99"/>
      <c r="D210" s="99"/>
    </row>
    <row r="211" spans="3:4" x14ac:dyDescent="0.25">
      <c r="C211" s="99"/>
      <c r="D211" s="99"/>
    </row>
    <row r="212" spans="3:4" x14ac:dyDescent="0.25">
      <c r="C212" s="99"/>
      <c r="D212" s="99"/>
    </row>
    <row r="213" spans="3:4" x14ac:dyDescent="0.25">
      <c r="C213" s="99"/>
      <c r="D213" s="99"/>
    </row>
    <row r="214" spans="3:4" x14ac:dyDescent="0.25">
      <c r="C214" s="99"/>
      <c r="D214" s="99"/>
    </row>
    <row r="215" spans="3:4" x14ac:dyDescent="0.25">
      <c r="C215" s="99"/>
      <c r="D215" s="99"/>
    </row>
    <row r="216" spans="3:4" x14ac:dyDescent="0.25">
      <c r="C216" s="99"/>
      <c r="D216" s="99"/>
    </row>
    <row r="217" spans="3:4" x14ac:dyDescent="0.25">
      <c r="C217" s="99"/>
      <c r="D217" s="99"/>
    </row>
    <row r="218" spans="3:4" x14ac:dyDescent="0.25">
      <c r="C218" s="99"/>
      <c r="D218" s="99"/>
    </row>
    <row r="219" spans="3:4" x14ac:dyDescent="0.25">
      <c r="C219" s="99"/>
      <c r="D219" s="99"/>
    </row>
    <row r="220" spans="3:4" x14ac:dyDescent="0.25">
      <c r="C220" s="99"/>
      <c r="D220" s="99"/>
    </row>
    <row r="221" spans="3:4" x14ac:dyDescent="0.25">
      <c r="C221" s="99"/>
      <c r="D221" s="99"/>
    </row>
    <row r="222" spans="3:4" x14ac:dyDescent="0.25">
      <c r="C222" s="99"/>
      <c r="D222" s="99"/>
    </row>
    <row r="223" spans="3:4" x14ac:dyDescent="0.25">
      <c r="C223" s="99"/>
      <c r="D223" s="99"/>
    </row>
    <row r="224" spans="3:4" x14ac:dyDescent="0.25">
      <c r="C224" s="99"/>
      <c r="D224" s="99"/>
    </row>
    <row r="225" spans="3:4" x14ac:dyDescent="0.25">
      <c r="C225" s="99"/>
      <c r="D225" s="99"/>
    </row>
    <row r="226" spans="3:4" x14ac:dyDescent="0.25">
      <c r="C226" s="99"/>
      <c r="D226" s="99"/>
    </row>
    <row r="227" spans="3:4" x14ac:dyDescent="0.25">
      <c r="C227" s="99"/>
      <c r="D227" s="99"/>
    </row>
    <row r="228" spans="3:4" x14ac:dyDescent="0.25">
      <c r="C228" s="99"/>
      <c r="D228" s="99"/>
    </row>
    <row r="229" spans="3:4" x14ac:dyDescent="0.25">
      <c r="C229" s="99"/>
      <c r="D229" s="99"/>
    </row>
    <row r="230" spans="3:4" x14ac:dyDescent="0.25">
      <c r="C230" s="99"/>
      <c r="D230" s="99"/>
    </row>
    <row r="231" spans="3:4" x14ac:dyDescent="0.25">
      <c r="C231" s="99"/>
      <c r="D231" s="99"/>
    </row>
    <row r="232" spans="3:4" x14ac:dyDescent="0.25">
      <c r="C232" s="99"/>
      <c r="D232" s="99"/>
    </row>
    <row r="233" spans="3:4" x14ac:dyDescent="0.25">
      <c r="C233" s="99"/>
      <c r="D233" s="99"/>
    </row>
    <row r="234" spans="3:4" x14ac:dyDescent="0.25">
      <c r="C234" s="99"/>
      <c r="D234" s="99"/>
    </row>
    <row r="235" spans="3:4" x14ac:dyDescent="0.25">
      <c r="C235" s="99"/>
      <c r="D235" s="99"/>
    </row>
    <row r="236" spans="3:4" x14ac:dyDescent="0.25">
      <c r="C236" s="99"/>
      <c r="D236" s="99"/>
    </row>
    <row r="237" spans="3:4" x14ac:dyDescent="0.25">
      <c r="C237" s="99"/>
      <c r="D237" s="99"/>
    </row>
    <row r="238" spans="3:4" x14ac:dyDescent="0.25">
      <c r="C238" s="99"/>
      <c r="D238" s="99"/>
    </row>
    <row r="239" spans="3:4" x14ac:dyDescent="0.25">
      <c r="C239" s="99"/>
      <c r="D239" s="99"/>
    </row>
    <row r="240" spans="3:4" x14ac:dyDescent="0.25">
      <c r="C240" s="99"/>
      <c r="D240" s="99"/>
    </row>
    <row r="241" spans="3:4" x14ac:dyDescent="0.25">
      <c r="C241" s="99"/>
      <c r="D241" s="99"/>
    </row>
    <row r="242" spans="3:4" x14ac:dyDescent="0.25">
      <c r="C242" s="99"/>
      <c r="D242" s="99"/>
    </row>
    <row r="243" spans="3:4" x14ac:dyDescent="0.25">
      <c r="C243" s="99"/>
      <c r="D243" s="99"/>
    </row>
    <row r="244" spans="3:4" x14ac:dyDescent="0.25">
      <c r="C244" s="99"/>
      <c r="D244" s="99"/>
    </row>
    <row r="245" spans="3:4" x14ac:dyDescent="0.25">
      <c r="C245" s="99"/>
      <c r="D245" s="99"/>
    </row>
    <row r="246" spans="3:4" x14ac:dyDescent="0.25">
      <c r="C246" s="99"/>
      <c r="D246" s="99"/>
    </row>
    <row r="247" spans="3:4" x14ac:dyDescent="0.25">
      <c r="C247" s="99"/>
      <c r="D247" s="99"/>
    </row>
    <row r="248" spans="3:4" x14ac:dyDescent="0.25">
      <c r="C248" s="99"/>
      <c r="D248" s="99"/>
    </row>
    <row r="249" spans="3:4" x14ac:dyDescent="0.25">
      <c r="C249" s="99"/>
      <c r="D249" s="99"/>
    </row>
    <row r="250" spans="3:4" x14ac:dyDescent="0.25">
      <c r="C250" s="99"/>
      <c r="D250" s="99"/>
    </row>
    <row r="251" spans="3:4" x14ac:dyDescent="0.25">
      <c r="C251" s="99"/>
      <c r="D251" s="99"/>
    </row>
    <row r="252" spans="3:4" x14ac:dyDescent="0.25">
      <c r="C252" s="99"/>
      <c r="D252" s="99"/>
    </row>
    <row r="253" spans="3:4" x14ac:dyDescent="0.25">
      <c r="C253" s="99"/>
      <c r="D253" s="99"/>
    </row>
    <row r="254" spans="3:4" x14ac:dyDescent="0.25">
      <c r="C254" s="99"/>
      <c r="D254" s="99"/>
    </row>
    <row r="255" spans="3:4" x14ac:dyDescent="0.25">
      <c r="C255" s="99"/>
      <c r="D255" s="99"/>
    </row>
    <row r="256" spans="3:4" x14ac:dyDescent="0.25">
      <c r="C256" s="99"/>
      <c r="D256" s="99"/>
    </row>
    <row r="257" spans="3:4" x14ac:dyDescent="0.25">
      <c r="C257" s="99"/>
      <c r="D257" s="99"/>
    </row>
    <row r="258" spans="3:4" x14ac:dyDescent="0.25">
      <c r="C258" s="99"/>
      <c r="D258" s="99"/>
    </row>
    <row r="259" spans="3:4" x14ac:dyDescent="0.25">
      <c r="C259" s="99"/>
      <c r="D259" s="99"/>
    </row>
    <row r="260" spans="3:4" x14ac:dyDescent="0.25">
      <c r="C260" s="99"/>
      <c r="D260" s="99"/>
    </row>
    <row r="261" spans="3:4" x14ac:dyDescent="0.25">
      <c r="C261" s="99"/>
      <c r="D261" s="99"/>
    </row>
    <row r="262" spans="3:4" x14ac:dyDescent="0.25">
      <c r="C262" s="99"/>
      <c r="D262" s="99"/>
    </row>
    <row r="263" spans="3:4" x14ac:dyDescent="0.25">
      <c r="C263" s="99"/>
      <c r="D263" s="99"/>
    </row>
    <row r="264" spans="3:4" x14ac:dyDescent="0.25">
      <c r="C264" s="99"/>
      <c r="D264" s="99"/>
    </row>
    <row r="265" spans="3:4" x14ac:dyDescent="0.25">
      <c r="C265" s="99"/>
      <c r="D265" s="99"/>
    </row>
    <row r="266" spans="3:4" x14ac:dyDescent="0.25">
      <c r="C266" s="99"/>
      <c r="D266" s="99"/>
    </row>
    <row r="267" spans="3:4" x14ac:dyDescent="0.25">
      <c r="C267" s="99"/>
      <c r="D267" s="99"/>
    </row>
    <row r="268" spans="3:4" x14ac:dyDescent="0.25">
      <c r="C268" s="99"/>
      <c r="D268" s="99"/>
    </row>
    <row r="269" spans="3:4" x14ac:dyDescent="0.25">
      <c r="C269" s="99"/>
      <c r="D269" s="99"/>
    </row>
    <row r="270" spans="3:4" x14ac:dyDescent="0.25">
      <c r="C270" s="99"/>
      <c r="D270" s="99"/>
    </row>
    <row r="271" spans="3:4" x14ac:dyDescent="0.25">
      <c r="C271" s="99"/>
      <c r="D271" s="99"/>
    </row>
    <row r="272" spans="3:4" x14ac:dyDescent="0.25">
      <c r="C272" s="99"/>
      <c r="D272" s="99"/>
    </row>
    <row r="273" spans="3:4" x14ac:dyDescent="0.25">
      <c r="C273" s="99"/>
      <c r="D273" s="99"/>
    </row>
    <row r="274" spans="3:4" x14ac:dyDescent="0.25">
      <c r="C274" s="99"/>
      <c r="D274" s="99"/>
    </row>
    <row r="275" spans="3:4" x14ac:dyDescent="0.25">
      <c r="C275" s="99"/>
      <c r="D275" s="99"/>
    </row>
    <row r="276" spans="3:4" x14ac:dyDescent="0.25">
      <c r="C276" s="99"/>
      <c r="D276" s="99"/>
    </row>
    <row r="277" spans="3:4" x14ac:dyDescent="0.25">
      <c r="C277" s="99"/>
      <c r="D277" s="99"/>
    </row>
    <row r="278" spans="3:4" x14ac:dyDescent="0.25">
      <c r="C278" s="99"/>
      <c r="D278" s="99"/>
    </row>
    <row r="279" spans="3:4" x14ac:dyDescent="0.25">
      <c r="C279" s="99"/>
      <c r="D279" s="99"/>
    </row>
    <row r="280" spans="3:4" x14ac:dyDescent="0.25">
      <c r="C280" s="99"/>
      <c r="D280" s="99"/>
    </row>
    <row r="281" spans="3:4" x14ac:dyDescent="0.25">
      <c r="C281" s="99"/>
      <c r="D281" s="99"/>
    </row>
    <row r="282" spans="3:4" x14ac:dyDescent="0.25">
      <c r="C282" s="99"/>
      <c r="D282" s="99"/>
    </row>
    <row r="283" spans="3:4" x14ac:dyDescent="0.25">
      <c r="C283" s="99"/>
      <c r="D283" s="99"/>
    </row>
    <row r="284" spans="3:4" x14ac:dyDescent="0.25">
      <c r="C284" s="99"/>
      <c r="D284" s="99"/>
    </row>
    <row r="285" spans="3:4" x14ac:dyDescent="0.25">
      <c r="C285" s="99"/>
      <c r="D285" s="99"/>
    </row>
    <row r="286" spans="3:4" x14ac:dyDescent="0.25">
      <c r="C286" s="99"/>
      <c r="D286" s="99"/>
    </row>
    <row r="287" spans="3:4" x14ac:dyDescent="0.25">
      <c r="C287" s="99"/>
      <c r="D287" s="99"/>
    </row>
    <row r="288" spans="3:4" x14ac:dyDescent="0.25">
      <c r="C288" s="99"/>
      <c r="D288" s="99"/>
    </row>
    <row r="289" spans="3:4" x14ac:dyDescent="0.25">
      <c r="C289" s="99"/>
      <c r="D289" s="99"/>
    </row>
    <row r="290" spans="3:4" x14ac:dyDescent="0.25">
      <c r="C290" s="99"/>
      <c r="D290" s="99"/>
    </row>
    <row r="291" spans="3:4" x14ac:dyDescent="0.25">
      <c r="C291" s="99"/>
      <c r="D291" s="99"/>
    </row>
    <row r="292" spans="3:4" x14ac:dyDescent="0.25">
      <c r="C292" s="99"/>
      <c r="D292" s="99"/>
    </row>
    <row r="293" spans="3:4" x14ac:dyDescent="0.25">
      <c r="C293" s="99"/>
      <c r="D293" s="99"/>
    </row>
    <row r="294" spans="3:4" x14ac:dyDescent="0.25">
      <c r="C294" s="99"/>
      <c r="D294" s="99"/>
    </row>
    <row r="295" spans="3:4" x14ac:dyDescent="0.25">
      <c r="C295" s="99"/>
      <c r="D295" s="99"/>
    </row>
    <row r="296" spans="3:4" x14ac:dyDescent="0.25">
      <c r="C296" s="99"/>
      <c r="D296" s="99"/>
    </row>
    <row r="297" spans="3:4" x14ac:dyDescent="0.25">
      <c r="C297" s="99"/>
      <c r="D297" s="99"/>
    </row>
    <row r="298" spans="3:4" x14ac:dyDescent="0.25">
      <c r="C298" s="99"/>
      <c r="D298" s="99"/>
    </row>
    <row r="299" spans="3:4" x14ac:dyDescent="0.25">
      <c r="C299" s="99"/>
      <c r="D299" s="99"/>
    </row>
    <row r="300" spans="3:4" x14ac:dyDescent="0.25">
      <c r="C300" s="99"/>
      <c r="D300" s="99"/>
    </row>
    <row r="301" spans="3:4" x14ac:dyDescent="0.25">
      <c r="C301" s="99"/>
      <c r="D301" s="99"/>
    </row>
    <row r="302" spans="3:4" x14ac:dyDescent="0.25">
      <c r="C302" s="99"/>
      <c r="D302" s="99"/>
    </row>
    <row r="303" spans="3:4" x14ac:dyDescent="0.25">
      <c r="C303" s="99"/>
      <c r="D303" s="99"/>
    </row>
    <row r="304" spans="3:4" x14ac:dyDescent="0.25">
      <c r="C304" s="99"/>
      <c r="D304" s="99"/>
    </row>
    <row r="305" spans="3:4" x14ac:dyDescent="0.25">
      <c r="C305" s="99"/>
      <c r="D305" s="99"/>
    </row>
    <row r="306" spans="3:4" x14ac:dyDescent="0.25">
      <c r="C306" s="99"/>
      <c r="D306" s="99"/>
    </row>
    <row r="307" spans="3:4" x14ac:dyDescent="0.25">
      <c r="C307" s="99"/>
      <c r="D307" s="99"/>
    </row>
    <row r="308" spans="3:4" x14ac:dyDescent="0.25">
      <c r="C308" s="99"/>
      <c r="D308" s="99"/>
    </row>
    <row r="309" spans="3:4" x14ac:dyDescent="0.25">
      <c r="C309" s="99"/>
      <c r="D309" s="99"/>
    </row>
    <row r="310" spans="3:4" x14ac:dyDescent="0.25">
      <c r="C310" s="99"/>
      <c r="D310" s="99"/>
    </row>
    <row r="311" spans="3:4" x14ac:dyDescent="0.25">
      <c r="C311" s="99"/>
      <c r="D311" s="99"/>
    </row>
    <row r="312" spans="3:4" x14ac:dyDescent="0.25">
      <c r="C312" s="99"/>
      <c r="D312" s="99"/>
    </row>
    <row r="313" spans="3:4" x14ac:dyDescent="0.25">
      <c r="C313" s="99"/>
      <c r="D313" s="99"/>
    </row>
    <row r="314" spans="3:4" x14ac:dyDescent="0.25">
      <c r="C314" s="99"/>
      <c r="D314" s="99"/>
    </row>
    <row r="315" spans="3:4" x14ac:dyDescent="0.25">
      <c r="C315" s="99"/>
      <c r="D315" s="99"/>
    </row>
    <row r="316" spans="3:4" x14ac:dyDescent="0.25">
      <c r="C316" s="99"/>
      <c r="D316" s="99"/>
    </row>
    <row r="317" spans="3:4" x14ac:dyDescent="0.25">
      <c r="C317" s="99"/>
      <c r="D317" s="99"/>
    </row>
    <row r="318" spans="3:4" x14ac:dyDescent="0.25">
      <c r="C318" s="99"/>
      <c r="D318" s="99"/>
    </row>
    <row r="319" spans="3:4" x14ac:dyDescent="0.25">
      <c r="C319" s="99"/>
      <c r="D319" s="99"/>
    </row>
    <row r="320" spans="3:4" x14ac:dyDescent="0.25">
      <c r="C320" s="99"/>
      <c r="D320" s="99"/>
    </row>
    <row r="321" spans="3:4" x14ac:dyDescent="0.25">
      <c r="C321" s="99"/>
      <c r="D321" s="99"/>
    </row>
    <row r="322" spans="3:4" x14ac:dyDescent="0.25">
      <c r="C322" s="99"/>
      <c r="D322" s="99"/>
    </row>
    <row r="323" spans="3:4" x14ac:dyDescent="0.25">
      <c r="C323" s="99"/>
      <c r="D323" s="99"/>
    </row>
    <row r="324" spans="3:4" x14ac:dyDescent="0.25">
      <c r="C324" s="99"/>
      <c r="D324" s="99"/>
    </row>
    <row r="325" spans="3:4" x14ac:dyDescent="0.25">
      <c r="C325" s="99"/>
      <c r="D325" s="99"/>
    </row>
    <row r="326" spans="3:4" x14ac:dyDescent="0.25">
      <c r="C326" s="99"/>
      <c r="D326" s="99"/>
    </row>
    <row r="327" spans="3:4" x14ac:dyDescent="0.25">
      <c r="C327" s="99"/>
      <c r="D327" s="99"/>
    </row>
    <row r="328" spans="3:4" x14ac:dyDescent="0.25">
      <c r="C328" s="99"/>
      <c r="D328" s="99"/>
    </row>
    <row r="329" spans="3:4" x14ac:dyDescent="0.25">
      <c r="C329" s="99"/>
      <c r="D329" s="99"/>
    </row>
    <row r="330" spans="3:4" x14ac:dyDescent="0.25">
      <c r="C330" s="99"/>
      <c r="D330" s="99"/>
    </row>
    <row r="331" spans="3:4" x14ac:dyDescent="0.25">
      <c r="C331" s="99"/>
      <c r="D331" s="99"/>
    </row>
    <row r="332" spans="3:4" x14ac:dyDescent="0.25">
      <c r="C332" s="99"/>
      <c r="D332" s="99"/>
    </row>
    <row r="333" spans="3:4" x14ac:dyDescent="0.25">
      <c r="C333" s="99"/>
      <c r="D333" s="99"/>
    </row>
    <row r="334" spans="3:4" x14ac:dyDescent="0.25">
      <c r="C334" s="99"/>
      <c r="D334" s="99"/>
    </row>
    <row r="335" spans="3:4" x14ac:dyDescent="0.25">
      <c r="C335" s="99"/>
      <c r="D335" s="99"/>
    </row>
    <row r="336" spans="3:4" x14ac:dyDescent="0.25">
      <c r="C336" s="99"/>
      <c r="D336" s="99"/>
    </row>
    <row r="337" spans="3:4" x14ac:dyDescent="0.25">
      <c r="C337" s="99"/>
      <c r="D337" s="99"/>
    </row>
    <row r="338" spans="3:4" x14ac:dyDescent="0.25">
      <c r="C338" s="99"/>
      <c r="D338" s="99"/>
    </row>
    <row r="339" spans="3:4" x14ac:dyDescent="0.25">
      <c r="C339" s="99"/>
      <c r="D339" s="99"/>
    </row>
    <row r="340" spans="3:4" x14ac:dyDescent="0.25">
      <c r="C340" s="99"/>
      <c r="D340" s="99"/>
    </row>
    <row r="341" spans="3:4" x14ac:dyDescent="0.25">
      <c r="C341" s="99"/>
      <c r="D341" s="99"/>
    </row>
    <row r="342" spans="3:4" x14ac:dyDescent="0.25">
      <c r="C342" s="99"/>
      <c r="D342" s="99"/>
    </row>
    <row r="343" spans="3:4" x14ac:dyDescent="0.25">
      <c r="C343" s="99"/>
      <c r="D343" s="99"/>
    </row>
    <row r="344" spans="3:4" x14ac:dyDescent="0.25">
      <c r="C344" s="99"/>
      <c r="D344" s="99"/>
    </row>
    <row r="345" spans="3:4" x14ac:dyDescent="0.25">
      <c r="C345" s="99"/>
      <c r="D345" s="99"/>
    </row>
    <row r="346" spans="3:4" x14ac:dyDescent="0.25">
      <c r="C346" s="99"/>
      <c r="D346" s="99"/>
    </row>
    <row r="347" spans="3:4" x14ac:dyDescent="0.25">
      <c r="C347" s="99"/>
      <c r="D347" s="99"/>
    </row>
    <row r="348" spans="3:4" x14ac:dyDescent="0.25">
      <c r="C348" s="99"/>
      <c r="D348" s="99"/>
    </row>
    <row r="349" spans="3:4" x14ac:dyDescent="0.25">
      <c r="C349" s="99"/>
      <c r="D349" s="99"/>
    </row>
    <row r="350" spans="3:4" x14ac:dyDescent="0.25">
      <c r="C350" s="99"/>
      <c r="D350" s="99"/>
    </row>
    <row r="351" spans="3:4" x14ac:dyDescent="0.25">
      <c r="C351" s="99"/>
      <c r="D351" s="99"/>
    </row>
    <row r="352" spans="3:4" x14ac:dyDescent="0.25">
      <c r="C352" s="99"/>
      <c r="D352" s="99"/>
    </row>
    <row r="353" spans="3:4" x14ac:dyDescent="0.25">
      <c r="C353" s="99"/>
      <c r="D353" s="99"/>
    </row>
    <row r="354" spans="3:4" x14ac:dyDescent="0.25">
      <c r="C354" s="99"/>
      <c r="D354" s="99"/>
    </row>
    <row r="355" spans="3:4" x14ac:dyDescent="0.25">
      <c r="C355" s="99"/>
      <c r="D355" s="99"/>
    </row>
    <row r="356" spans="3:4" x14ac:dyDescent="0.25">
      <c r="C356" s="99"/>
      <c r="D356" s="99"/>
    </row>
    <row r="357" spans="3:4" x14ac:dyDescent="0.25">
      <c r="C357" s="99"/>
      <c r="D357" s="99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CC79-8158-4761-854D-B67B11298E16}">
  <sheetPr codeName="Sheet19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4" bestFit="1" customWidth="1"/>
    <col min="2" max="2" width="8.625" style="100" bestFit="1" customWidth="1"/>
    <col min="3" max="3" width="8.625" bestFit="1" customWidth="1"/>
    <col min="4" max="4" width="8.25" bestFit="1" customWidth="1"/>
  </cols>
  <sheetData>
    <row r="1" spans="1:5" ht="17.25" x14ac:dyDescent="0.25">
      <c r="A1" s="101" t="s">
        <v>529</v>
      </c>
      <c r="B1" s="95" t="s">
        <v>530</v>
      </c>
      <c r="C1" s="95" t="s">
        <v>531</v>
      </c>
      <c r="D1" s="96" t="s">
        <v>532</v>
      </c>
      <c r="E1" s="178" t="s">
        <v>533</v>
      </c>
    </row>
    <row r="2" spans="1:5" x14ac:dyDescent="0.25">
      <c r="A2" s="102" t="s">
        <v>567</v>
      </c>
      <c r="B2" s="136">
        <v>0.71</v>
      </c>
      <c r="C2" s="136">
        <v>0.75</v>
      </c>
      <c r="D2" s="97">
        <v>10</v>
      </c>
      <c r="E2" s="178"/>
    </row>
    <row r="3" spans="1:5" ht="18.75" x14ac:dyDescent="0.25">
      <c r="A3" s="103" t="s">
        <v>534</v>
      </c>
      <c r="B3" s="98" t="s">
        <v>535</v>
      </c>
      <c r="C3" s="98" t="s">
        <v>536</v>
      </c>
      <c r="D3" s="98" t="s">
        <v>537</v>
      </c>
    </row>
    <row r="4" spans="1:5" x14ac:dyDescent="0.25">
      <c r="A4" s="100">
        <v>0.71</v>
      </c>
      <c r="B4" s="99">
        <v>9.7048685603291744</v>
      </c>
      <c r="C4" s="100">
        <v>0.72912241996624438</v>
      </c>
      <c r="D4" s="100">
        <v>1.044503932810871E-2</v>
      </c>
    </row>
    <row r="5" spans="1:5" x14ac:dyDescent="0.25">
      <c r="A5" s="100">
        <v>0.71399999999999997</v>
      </c>
      <c r="B5" s="99">
        <v>8.5191062395225163</v>
      </c>
      <c r="C5" s="99"/>
      <c r="D5" s="99"/>
    </row>
    <row r="6" spans="1:5" x14ac:dyDescent="0.25">
      <c r="A6" s="100">
        <v>0.71799999999999997</v>
      </c>
      <c r="B6" s="99">
        <v>7.5908820838779203</v>
      </c>
      <c r="C6" s="99"/>
      <c r="D6" s="99"/>
    </row>
    <row r="7" spans="1:5" x14ac:dyDescent="0.25">
      <c r="A7" s="100">
        <v>0.72199999999999998</v>
      </c>
      <c r="B7" s="99">
        <v>6.9268817458894478</v>
      </c>
      <c r="C7" s="99"/>
      <c r="D7" s="99"/>
    </row>
    <row r="8" spans="1:5" x14ac:dyDescent="0.25">
      <c r="A8" s="100">
        <v>0.72599999999999998</v>
      </c>
      <c r="B8" s="99">
        <v>6.5349510278012906</v>
      </c>
      <c r="C8" s="99"/>
      <c r="D8" s="99"/>
    </row>
    <row r="9" spans="1:5" x14ac:dyDescent="0.25">
      <c r="A9" s="100">
        <v>0.73</v>
      </c>
      <c r="B9" s="99">
        <v>6.4240431395226061</v>
      </c>
      <c r="C9" s="99"/>
      <c r="D9" s="99"/>
    </row>
    <row r="10" spans="1:5" x14ac:dyDescent="0.25">
      <c r="A10" s="100">
        <v>0.73399999999999999</v>
      </c>
      <c r="B10" s="99">
        <v>6.6041942689042532</v>
      </c>
      <c r="C10" s="99"/>
      <c r="D10" s="99"/>
    </row>
    <row r="11" spans="1:5" x14ac:dyDescent="0.25">
      <c r="A11" s="100">
        <v>0.73799999999999999</v>
      </c>
      <c r="B11" s="99">
        <v>7.0865391009472098</v>
      </c>
      <c r="C11" s="99"/>
      <c r="D11" s="99"/>
    </row>
    <row r="12" spans="1:5" x14ac:dyDescent="0.25">
      <c r="A12" s="100">
        <v>0.74199999999999999</v>
      </c>
      <c r="B12" s="99">
        <v>7.8833703326693687</v>
      </c>
      <c r="C12" s="99"/>
      <c r="D12" s="99"/>
    </row>
    <row r="13" spans="1:5" x14ac:dyDescent="0.25">
      <c r="A13" s="100">
        <v>0.746</v>
      </c>
      <c r="B13" s="99">
        <v>9.0082387451061852</v>
      </c>
      <c r="C13" s="99"/>
      <c r="D13" s="99"/>
    </row>
    <row r="14" spans="1:5" x14ac:dyDescent="0.25">
      <c r="A14" s="100">
        <v>0.75</v>
      </c>
      <c r="B14" s="99">
        <v>10.476084129130019</v>
      </c>
      <c r="C14" s="99"/>
      <c r="D14" s="99"/>
    </row>
    <row r="15" spans="1:5" x14ac:dyDescent="0.25">
      <c r="A15" s="122"/>
      <c r="B15" s="99"/>
      <c r="C15" s="99"/>
      <c r="D15" s="99"/>
    </row>
    <row r="16" spans="1:5" x14ac:dyDescent="0.25">
      <c r="A16" s="122"/>
      <c r="B16" s="99"/>
      <c r="C16" s="99"/>
      <c r="D16" s="99"/>
    </row>
    <row r="17" spans="1:4" x14ac:dyDescent="0.25">
      <c r="A17" s="122"/>
      <c r="B17" s="99"/>
      <c r="C17" s="99"/>
      <c r="D17" s="99"/>
    </row>
    <row r="18" spans="1:4" x14ac:dyDescent="0.25">
      <c r="A18" s="122"/>
      <c r="B18" s="99"/>
      <c r="C18" s="99"/>
      <c r="D18" s="99"/>
    </row>
    <row r="19" spans="1:4" x14ac:dyDescent="0.25">
      <c r="A19" s="122"/>
      <c r="B19" s="99"/>
      <c r="C19" s="99"/>
      <c r="D19" s="99"/>
    </row>
    <row r="20" spans="1:4" x14ac:dyDescent="0.25">
      <c r="A20" s="122"/>
      <c r="B20" s="99"/>
      <c r="C20" s="99"/>
      <c r="D20" s="99"/>
    </row>
    <row r="21" spans="1:4" x14ac:dyDescent="0.25">
      <c r="A21" s="122"/>
      <c r="B21" s="99"/>
      <c r="C21" s="99"/>
      <c r="D21" s="99"/>
    </row>
    <row r="22" spans="1:4" x14ac:dyDescent="0.25">
      <c r="A22" s="122"/>
      <c r="B22" s="99"/>
      <c r="C22" s="99"/>
      <c r="D22" s="99"/>
    </row>
    <row r="23" spans="1:4" x14ac:dyDescent="0.25">
      <c r="A23" s="122"/>
      <c r="B23" s="99"/>
      <c r="C23" s="99"/>
      <c r="D23" s="99"/>
    </row>
    <row r="24" spans="1:4" x14ac:dyDescent="0.25">
      <c r="A24" s="122"/>
      <c r="B24" s="99"/>
      <c r="C24" s="99"/>
      <c r="D24" s="99"/>
    </row>
    <row r="25" spans="1:4" x14ac:dyDescent="0.25">
      <c r="B25" s="99"/>
      <c r="C25" s="99"/>
      <c r="D25" s="99"/>
    </row>
    <row r="26" spans="1:4" x14ac:dyDescent="0.25">
      <c r="B26" s="99"/>
      <c r="C26" s="99"/>
      <c r="D26" s="99"/>
    </row>
    <row r="27" spans="1:4" x14ac:dyDescent="0.25">
      <c r="B27" s="99"/>
      <c r="C27" s="99"/>
      <c r="D27" s="99"/>
    </row>
    <row r="28" spans="1:4" x14ac:dyDescent="0.25">
      <c r="B28" s="99"/>
      <c r="C28" s="99"/>
      <c r="D28" s="99"/>
    </row>
    <row r="29" spans="1:4" x14ac:dyDescent="0.25">
      <c r="B29" s="99"/>
      <c r="C29" s="99"/>
      <c r="D29" s="99"/>
    </row>
    <row r="30" spans="1:4" x14ac:dyDescent="0.25">
      <c r="B30" s="99"/>
      <c r="C30" s="99"/>
      <c r="D30" s="99"/>
    </row>
    <row r="31" spans="1:4" x14ac:dyDescent="0.25">
      <c r="B31" s="99"/>
      <c r="C31" s="99"/>
      <c r="D31" s="99"/>
    </row>
    <row r="32" spans="1:4" x14ac:dyDescent="0.25">
      <c r="B32" s="99"/>
      <c r="C32" s="99"/>
      <c r="D32" s="99"/>
    </row>
    <row r="33" spans="2:4" x14ac:dyDescent="0.25">
      <c r="B33" s="99"/>
      <c r="C33" s="99"/>
      <c r="D33" s="99"/>
    </row>
    <row r="34" spans="2:4" x14ac:dyDescent="0.25">
      <c r="B34" s="99"/>
      <c r="C34" s="99"/>
      <c r="D34" s="99"/>
    </row>
    <row r="35" spans="2:4" x14ac:dyDescent="0.25">
      <c r="C35" s="99"/>
      <c r="D35" s="99"/>
    </row>
    <row r="36" spans="2:4" x14ac:dyDescent="0.25">
      <c r="C36" s="99"/>
      <c r="D36" s="99"/>
    </row>
    <row r="37" spans="2:4" x14ac:dyDescent="0.25">
      <c r="C37" s="99"/>
      <c r="D37" s="99"/>
    </row>
    <row r="38" spans="2:4" x14ac:dyDescent="0.25">
      <c r="C38" s="99"/>
      <c r="D38" s="99"/>
    </row>
    <row r="39" spans="2:4" x14ac:dyDescent="0.25">
      <c r="C39" s="99"/>
      <c r="D39" s="99"/>
    </row>
    <row r="40" spans="2:4" x14ac:dyDescent="0.25">
      <c r="C40" s="99"/>
      <c r="D40" s="99"/>
    </row>
    <row r="41" spans="2:4" x14ac:dyDescent="0.25">
      <c r="C41" s="99"/>
      <c r="D41" s="99"/>
    </row>
    <row r="42" spans="2:4" x14ac:dyDescent="0.25">
      <c r="C42" s="99"/>
      <c r="D42" s="99"/>
    </row>
    <row r="43" spans="2:4" x14ac:dyDescent="0.25">
      <c r="C43" s="99"/>
      <c r="D43" s="99"/>
    </row>
    <row r="44" spans="2:4" x14ac:dyDescent="0.25">
      <c r="C44" s="99"/>
      <c r="D44" s="99"/>
    </row>
    <row r="45" spans="2:4" x14ac:dyDescent="0.25">
      <c r="C45" s="99"/>
      <c r="D45" s="99"/>
    </row>
    <row r="46" spans="2:4" x14ac:dyDescent="0.25">
      <c r="C46" s="99"/>
      <c r="D46" s="99"/>
    </row>
    <row r="47" spans="2:4" x14ac:dyDescent="0.25">
      <c r="C47" s="99"/>
      <c r="D47" s="99"/>
    </row>
    <row r="48" spans="2:4" x14ac:dyDescent="0.25">
      <c r="C48" s="99"/>
      <c r="D48" s="99"/>
    </row>
    <row r="49" spans="3:4" x14ac:dyDescent="0.25">
      <c r="C49" s="99"/>
      <c r="D49" s="99"/>
    </row>
    <row r="50" spans="3:4" x14ac:dyDescent="0.25">
      <c r="C50" s="99"/>
      <c r="D50" s="99"/>
    </row>
    <row r="51" spans="3:4" x14ac:dyDescent="0.25">
      <c r="C51" s="99"/>
      <c r="D51" s="99"/>
    </row>
    <row r="52" spans="3:4" x14ac:dyDescent="0.25">
      <c r="C52" s="99"/>
      <c r="D52" s="99"/>
    </row>
    <row r="53" spans="3:4" x14ac:dyDescent="0.25">
      <c r="C53" s="99"/>
      <c r="D53" s="99"/>
    </row>
    <row r="54" spans="3:4" x14ac:dyDescent="0.25">
      <c r="C54" s="99"/>
      <c r="D54" s="99"/>
    </row>
    <row r="55" spans="3:4" x14ac:dyDescent="0.25">
      <c r="C55" s="99"/>
      <c r="D55" s="99"/>
    </row>
    <row r="56" spans="3:4" x14ac:dyDescent="0.25">
      <c r="C56" s="99"/>
      <c r="D56" s="99"/>
    </row>
    <row r="57" spans="3:4" x14ac:dyDescent="0.25">
      <c r="C57" s="99"/>
      <c r="D57" s="99"/>
    </row>
    <row r="58" spans="3:4" x14ac:dyDescent="0.25">
      <c r="C58" s="99"/>
      <c r="D58" s="99"/>
    </row>
    <row r="59" spans="3:4" x14ac:dyDescent="0.25">
      <c r="C59" s="99"/>
      <c r="D59" s="99"/>
    </row>
    <row r="60" spans="3:4" x14ac:dyDescent="0.25">
      <c r="C60" s="99"/>
      <c r="D60" s="99"/>
    </row>
    <row r="61" spans="3:4" x14ac:dyDescent="0.25">
      <c r="C61" s="99"/>
      <c r="D61" s="99"/>
    </row>
    <row r="62" spans="3:4" x14ac:dyDescent="0.25">
      <c r="C62" s="99"/>
      <c r="D62" s="99"/>
    </row>
    <row r="63" spans="3:4" x14ac:dyDescent="0.25">
      <c r="C63" s="99"/>
      <c r="D63" s="99"/>
    </row>
    <row r="64" spans="3:4" x14ac:dyDescent="0.25">
      <c r="C64" s="99"/>
      <c r="D64" s="99"/>
    </row>
    <row r="65" spans="3:4" x14ac:dyDescent="0.25">
      <c r="C65" s="99"/>
      <c r="D65" s="99"/>
    </row>
    <row r="66" spans="3:4" x14ac:dyDescent="0.25">
      <c r="C66" s="99"/>
      <c r="D66" s="99"/>
    </row>
    <row r="67" spans="3:4" x14ac:dyDescent="0.25">
      <c r="C67" s="99"/>
      <c r="D67" s="99"/>
    </row>
    <row r="68" spans="3:4" x14ac:dyDescent="0.25">
      <c r="C68" s="99"/>
      <c r="D68" s="99"/>
    </row>
    <row r="69" spans="3:4" x14ac:dyDescent="0.25">
      <c r="C69" s="99"/>
      <c r="D69" s="99"/>
    </row>
    <row r="70" spans="3:4" x14ac:dyDescent="0.25">
      <c r="C70" s="99"/>
      <c r="D70" s="99"/>
    </row>
    <row r="71" spans="3:4" x14ac:dyDescent="0.25">
      <c r="C71" s="99"/>
      <c r="D71" s="99"/>
    </row>
    <row r="72" spans="3:4" x14ac:dyDescent="0.25">
      <c r="C72" s="99"/>
      <c r="D72" s="99"/>
    </row>
    <row r="73" spans="3:4" x14ac:dyDescent="0.25">
      <c r="C73" s="99"/>
      <c r="D73" s="99"/>
    </row>
    <row r="74" spans="3:4" x14ac:dyDescent="0.25">
      <c r="C74" s="99"/>
      <c r="D74" s="99"/>
    </row>
    <row r="75" spans="3:4" x14ac:dyDescent="0.25">
      <c r="C75" s="99"/>
      <c r="D75" s="99"/>
    </row>
    <row r="76" spans="3:4" x14ac:dyDescent="0.25">
      <c r="C76" s="99"/>
      <c r="D76" s="99"/>
    </row>
    <row r="77" spans="3:4" x14ac:dyDescent="0.25">
      <c r="C77" s="99"/>
      <c r="D77" s="99"/>
    </row>
    <row r="78" spans="3:4" x14ac:dyDescent="0.25">
      <c r="C78" s="99"/>
      <c r="D78" s="99"/>
    </row>
    <row r="79" spans="3:4" x14ac:dyDescent="0.25">
      <c r="C79" s="99"/>
      <c r="D79" s="99"/>
    </row>
    <row r="80" spans="3:4" x14ac:dyDescent="0.25">
      <c r="C80" s="99"/>
      <c r="D80" s="99"/>
    </row>
    <row r="81" spans="3:4" x14ac:dyDescent="0.25">
      <c r="C81" s="99"/>
      <c r="D81" s="99"/>
    </row>
    <row r="82" spans="3:4" x14ac:dyDescent="0.25">
      <c r="C82" s="99"/>
      <c r="D82" s="99"/>
    </row>
    <row r="83" spans="3:4" x14ac:dyDescent="0.25">
      <c r="C83" s="99"/>
      <c r="D83" s="99"/>
    </row>
    <row r="84" spans="3:4" x14ac:dyDescent="0.25">
      <c r="C84" s="99"/>
      <c r="D84" s="99"/>
    </row>
    <row r="85" spans="3:4" x14ac:dyDescent="0.25">
      <c r="C85" s="99"/>
      <c r="D85" s="99"/>
    </row>
    <row r="86" spans="3:4" x14ac:dyDescent="0.25">
      <c r="C86" s="99"/>
      <c r="D86" s="99"/>
    </row>
    <row r="87" spans="3:4" x14ac:dyDescent="0.25">
      <c r="C87" s="99"/>
      <c r="D87" s="99"/>
    </row>
    <row r="88" spans="3:4" x14ac:dyDescent="0.25">
      <c r="C88" s="99"/>
      <c r="D88" s="99"/>
    </row>
    <row r="89" spans="3:4" x14ac:dyDescent="0.25">
      <c r="C89" s="99"/>
      <c r="D89" s="99"/>
    </row>
    <row r="90" spans="3:4" x14ac:dyDescent="0.25">
      <c r="C90" s="99"/>
      <c r="D90" s="99"/>
    </row>
    <row r="91" spans="3:4" x14ac:dyDescent="0.25">
      <c r="C91" s="99"/>
      <c r="D91" s="99"/>
    </row>
    <row r="92" spans="3:4" x14ac:dyDescent="0.25">
      <c r="C92" s="99"/>
      <c r="D92" s="99"/>
    </row>
    <row r="93" spans="3:4" x14ac:dyDescent="0.25">
      <c r="C93" s="99"/>
      <c r="D93" s="99"/>
    </row>
    <row r="94" spans="3:4" x14ac:dyDescent="0.25">
      <c r="C94" s="99"/>
      <c r="D94" s="99"/>
    </row>
    <row r="95" spans="3:4" x14ac:dyDescent="0.25">
      <c r="C95" s="99"/>
      <c r="D95" s="99"/>
    </row>
    <row r="96" spans="3:4" x14ac:dyDescent="0.25">
      <c r="C96" s="99"/>
      <c r="D96" s="99"/>
    </row>
    <row r="97" spans="3:4" x14ac:dyDescent="0.25">
      <c r="C97" s="99"/>
      <c r="D97" s="99"/>
    </row>
    <row r="98" spans="3:4" x14ac:dyDescent="0.25">
      <c r="C98" s="99"/>
      <c r="D98" s="99"/>
    </row>
    <row r="99" spans="3:4" x14ac:dyDescent="0.25">
      <c r="C99" s="99"/>
      <c r="D99" s="99"/>
    </row>
    <row r="100" spans="3:4" x14ac:dyDescent="0.25">
      <c r="C100" s="99"/>
      <c r="D100" s="99"/>
    </row>
    <row r="101" spans="3:4" x14ac:dyDescent="0.25">
      <c r="C101" s="99"/>
      <c r="D101" s="99"/>
    </row>
    <row r="102" spans="3:4" x14ac:dyDescent="0.25">
      <c r="C102" s="99"/>
      <c r="D102" s="99"/>
    </row>
    <row r="103" spans="3:4" x14ac:dyDescent="0.25">
      <c r="C103" s="99"/>
      <c r="D103" s="99"/>
    </row>
    <row r="104" spans="3:4" x14ac:dyDescent="0.25">
      <c r="C104" s="99"/>
      <c r="D104" s="99"/>
    </row>
    <row r="105" spans="3:4" x14ac:dyDescent="0.25">
      <c r="C105" s="99"/>
      <c r="D105" s="99"/>
    </row>
    <row r="106" spans="3:4" x14ac:dyDescent="0.25">
      <c r="C106" s="99"/>
      <c r="D106" s="99"/>
    </row>
    <row r="107" spans="3:4" x14ac:dyDescent="0.25">
      <c r="C107" s="99"/>
      <c r="D107" s="99"/>
    </row>
    <row r="108" spans="3:4" x14ac:dyDescent="0.25">
      <c r="C108" s="99"/>
      <c r="D108" s="99"/>
    </row>
    <row r="109" spans="3:4" x14ac:dyDescent="0.25">
      <c r="C109" s="99"/>
      <c r="D109" s="99"/>
    </row>
    <row r="110" spans="3:4" x14ac:dyDescent="0.25">
      <c r="C110" s="99"/>
      <c r="D110" s="99"/>
    </row>
    <row r="111" spans="3:4" x14ac:dyDescent="0.25">
      <c r="C111" s="99"/>
      <c r="D111" s="99"/>
    </row>
    <row r="112" spans="3:4" x14ac:dyDescent="0.25">
      <c r="C112" s="99"/>
      <c r="D112" s="99"/>
    </row>
    <row r="113" spans="3:4" x14ac:dyDescent="0.25">
      <c r="C113" s="99"/>
      <c r="D113" s="99"/>
    </row>
    <row r="114" spans="3:4" x14ac:dyDescent="0.25">
      <c r="C114" s="99"/>
      <c r="D114" s="99"/>
    </row>
    <row r="115" spans="3:4" x14ac:dyDescent="0.25">
      <c r="C115" s="99"/>
      <c r="D115" s="99"/>
    </row>
    <row r="116" spans="3:4" x14ac:dyDescent="0.25">
      <c r="C116" s="99"/>
      <c r="D116" s="99"/>
    </row>
    <row r="117" spans="3:4" x14ac:dyDescent="0.25">
      <c r="C117" s="99"/>
      <c r="D117" s="99"/>
    </row>
    <row r="118" spans="3:4" x14ac:dyDescent="0.25">
      <c r="C118" s="99"/>
      <c r="D118" s="99"/>
    </row>
    <row r="119" spans="3:4" x14ac:dyDescent="0.25">
      <c r="C119" s="99"/>
      <c r="D119" s="99"/>
    </row>
    <row r="120" spans="3:4" x14ac:dyDescent="0.25">
      <c r="C120" s="99"/>
      <c r="D120" s="99"/>
    </row>
    <row r="121" spans="3:4" x14ac:dyDescent="0.25">
      <c r="C121" s="99"/>
      <c r="D121" s="99"/>
    </row>
    <row r="122" spans="3:4" x14ac:dyDescent="0.25">
      <c r="C122" s="99"/>
      <c r="D122" s="99"/>
    </row>
    <row r="123" spans="3:4" x14ac:dyDescent="0.25">
      <c r="C123" s="99"/>
      <c r="D123" s="99"/>
    </row>
    <row r="124" spans="3:4" x14ac:dyDescent="0.25">
      <c r="C124" s="99"/>
      <c r="D124" s="99"/>
    </row>
    <row r="125" spans="3:4" x14ac:dyDescent="0.25">
      <c r="C125" s="99"/>
      <c r="D125" s="99"/>
    </row>
    <row r="126" spans="3:4" x14ac:dyDescent="0.25">
      <c r="C126" s="99"/>
      <c r="D126" s="99"/>
    </row>
    <row r="127" spans="3:4" x14ac:dyDescent="0.25">
      <c r="C127" s="99"/>
      <c r="D127" s="99"/>
    </row>
    <row r="128" spans="3:4" x14ac:dyDescent="0.25">
      <c r="C128" s="99"/>
      <c r="D128" s="99"/>
    </row>
    <row r="129" spans="3:4" x14ac:dyDescent="0.25">
      <c r="C129" s="99"/>
      <c r="D129" s="99"/>
    </row>
    <row r="130" spans="3:4" x14ac:dyDescent="0.25">
      <c r="C130" s="99"/>
      <c r="D130" s="99"/>
    </row>
    <row r="131" spans="3:4" x14ac:dyDescent="0.25">
      <c r="C131" s="99"/>
      <c r="D131" s="99"/>
    </row>
    <row r="132" spans="3:4" x14ac:dyDescent="0.25">
      <c r="C132" s="99"/>
      <c r="D132" s="99"/>
    </row>
    <row r="133" spans="3:4" x14ac:dyDescent="0.25">
      <c r="C133" s="99"/>
      <c r="D133" s="99"/>
    </row>
    <row r="134" spans="3:4" x14ac:dyDescent="0.25">
      <c r="C134" s="99"/>
      <c r="D134" s="99"/>
    </row>
    <row r="135" spans="3:4" x14ac:dyDescent="0.25">
      <c r="C135" s="99"/>
      <c r="D135" s="99"/>
    </row>
    <row r="136" spans="3:4" x14ac:dyDescent="0.25">
      <c r="C136" s="99"/>
      <c r="D136" s="99"/>
    </row>
    <row r="137" spans="3:4" x14ac:dyDescent="0.25">
      <c r="C137" s="99"/>
      <c r="D137" s="99"/>
    </row>
    <row r="138" spans="3:4" x14ac:dyDescent="0.25">
      <c r="C138" s="99"/>
      <c r="D138" s="99"/>
    </row>
    <row r="139" spans="3:4" x14ac:dyDescent="0.25">
      <c r="C139" s="99"/>
      <c r="D139" s="99"/>
    </row>
    <row r="140" spans="3:4" x14ac:dyDescent="0.25">
      <c r="C140" s="99"/>
      <c r="D140" s="99"/>
    </row>
    <row r="141" spans="3:4" x14ac:dyDescent="0.25">
      <c r="C141" s="99"/>
      <c r="D141" s="99"/>
    </row>
    <row r="142" spans="3:4" x14ac:dyDescent="0.25">
      <c r="C142" s="99"/>
      <c r="D142" s="99"/>
    </row>
    <row r="143" spans="3:4" x14ac:dyDescent="0.25">
      <c r="C143" s="99"/>
      <c r="D143" s="99"/>
    </row>
    <row r="144" spans="3:4" x14ac:dyDescent="0.25">
      <c r="C144" s="99"/>
      <c r="D144" s="99"/>
    </row>
    <row r="145" spans="3:4" x14ac:dyDescent="0.25">
      <c r="C145" s="99"/>
      <c r="D145" s="99"/>
    </row>
    <row r="146" spans="3:4" x14ac:dyDescent="0.25">
      <c r="C146" s="99"/>
      <c r="D146" s="99"/>
    </row>
    <row r="147" spans="3:4" x14ac:dyDescent="0.25">
      <c r="C147" s="99"/>
      <c r="D147" s="99"/>
    </row>
    <row r="148" spans="3:4" x14ac:dyDescent="0.25">
      <c r="C148" s="99"/>
      <c r="D148" s="99"/>
    </row>
    <row r="149" spans="3:4" x14ac:dyDescent="0.25">
      <c r="C149" s="99"/>
      <c r="D149" s="99"/>
    </row>
    <row r="150" spans="3:4" x14ac:dyDescent="0.25">
      <c r="C150" s="99"/>
      <c r="D150" s="99"/>
    </row>
    <row r="151" spans="3:4" x14ac:dyDescent="0.25">
      <c r="C151" s="99"/>
      <c r="D151" s="99"/>
    </row>
    <row r="152" spans="3:4" x14ac:dyDescent="0.25">
      <c r="C152" s="99"/>
      <c r="D152" s="99"/>
    </row>
    <row r="153" spans="3:4" x14ac:dyDescent="0.25">
      <c r="C153" s="99"/>
      <c r="D153" s="99"/>
    </row>
    <row r="154" spans="3:4" x14ac:dyDescent="0.25">
      <c r="C154" s="99"/>
      <c r="D154" s="99"/>
    </row>
    <row r="155" spans="3:4" x14ac:dyDescent="0.25">
      <c r="C155" s="99"/>
      <c r="D155" s="99"/>
    </row>
    <row r="156" spans="3:4" x14ac:dyDescent="0.25">
      <c r="C156" s="99"/>
      <c r="D156" s="99"/>
    </row>
    <row r="157" spans="3:4" x14ac:dyDescent="0.25">
      <c r="C157" s="99"/>
      <c r="D157" s="99"/>
    </row>
    <row r="158" spans="3:4" x14ac:dyDescent="0.25">
      <c r="C158" s="99"/>
      <c r="D158" s="99"/>
    </row>
    <row r="159" spans="3:4" x14ac:dyDescent="0.25">
      <c r="C159" s="99"/>
      <c r="D159" s="99"/>
    </row>
    <row r="160" spans="3:4" x14ac:dyDescent="0.25">
      <c r="C160" s="99"/>
      <c r="D160" s="99"/>
    </row>
    <row r="161" spans="3:4" x14ac:dyDescent="0.25">
      <c r="C161" s="99"/>
      <c r="D161" s="99"/>
    </row>
    <row r="162" spans="3:4" x14ac:dyDescent="0.25">
      <c r="C162" s="99"/>
      <c r="D162" s="99"/>
    </row>
    <row r="163" spans="3:4" x14ac:dyDescent="0.25">
      <c r="C163" s="99"/>
      <c r="D163" s="99"/>
    </row>
    <row r="164" spans="3:4" x14ac:dyDescent="0.25">
      <c r="C164" s="99"/>
      <c r="D164" s="99"/>
    </row>
    <row r="165" spans="3:4" x14ac:dyDescent="0.25">
      <c r="C165" s="99"/>
      <c r="D165" s="99"/>
    </row>
    <row r="166" spans="3:4" x14ac:dyDescent="0.25">
      <c r="C166" s="99"/>
      <c r="D166" s="99"/>
    </row>
    <row r="167" spans="3:4" x14ac:dyDescent="0.25">
      <c r="C167" s="99"/>
      <c r="D167" s="99"/>
    </row>
    <row r="168" spans="3:4" x14ac:dyDescent="0.25">
      <c r="C168" s="99"/>
      <c r="D168" s="99"/>
    </row>
    <row r="169" spans="3:4" x14ac:dyDescent="0.25">
      <c r="C169" s="99"/>
      <c r="D169" s="99"/>
    </row>
    <row r="170" spans="3:4" x14ac:dyDescent="0.25">
      <c r="C170" s="99"/>
      <c r="D170" s="99"/>
    </row>
    <row r="171" spans="3:4" x14ac:dyDescent="0.25">
      <c r="C171" s="99"/>
      <c r="D171" s="99"/>
    </row>
    <row r="172" spans="3:4" x14ac:dyDescent="0.25">
      <c r="C172" s="99"/>
      <c r="D172" s="99"/>
    </row>
    <row r="173" spans="3:4" x14ac:dyDescent="0.25">
      <c r="C173" s="99"/>
      <c r="D173" s="99"/>
    </row>
    <row r="174" spans="3:4" x14ac:dyDescent="0.25">
      <c r="C174" s="99"/>
      <c r="D174" s="99"/>
    </row>
    <row r="175" spans="3:4" x14ac:dyDescent="0.25">
      <c r="C175" s="99"/>
      <c r="D175" s="99"/>
    </row>
    <row r="176" spans="3:4" x14ac:dyDescent="0.25">
      <c r="C176" s="99"/>
      <c r="D176" s="99"/>
    </row>
    <row r="177" spans="3:4" x14ac:dyDescent="0.25">
      <c r="C177" s="99"/>
      <c r="D177" s="99"/>
    </row>
    <row r="178" spans="3:4" x14ac:dyDescent="0.25">
      <c r="C178" s="99"/>
      <c r="D178" s="99"/>
    </row>
    <row r="179" spans="3:4" x14ac:dyDescent="0.25">
      <c r="C179" s="99"/>
      <c r="D179" s="99"/>
    </row>
    <row r="180" spans="3:4" x14ac:dyDescent="0.25">
      <c r="C180" s="99"/>
      <c r="D180" s="99"/>
    </row>
    <row r="181" spans="3:4" x14ac:dyDescent="0.25">
      <c r="C181" s="99"/>
      <c r="D181" s="99"/>
    </row>
    <row r="182" spans="3:4" x14ac:dyDescent="0.25">
      <c r="C182" s="99"/>
      <c r="D182" s="99"/>
    </row>
    <row r="183" spans="3:4" x14ac:dyDescent="0.25">
      <c r="C183" s="99"/>
      <c r="D183" s="99"/>
    </row>
    <row r="184" spans="3:4" x14ac:dyDescent="0.25">
      <c r="C184" s="99"/>
      <c r="D184" s="99"/>
    </row>
    <row r="185" spans="3:4" x14ac:dyDescent="0.25">
      <c r="C185" s="99"/>
      <c r="D185" s="99"/>
    </row>
    <row r="186" spans="3:4" x14ac:dyDescent="0.25">
      <c r="C186" s="99"/>
      <c r="D186" s="99"/>
    </row>
    <row r="187" spans="3:4" x14ac:dyDescent="0.25">
      <c r="C187" s="99"/>
      <c r="D187" s="99"/>
    </row>
    <row r="188" spans="3:4" x14ac:dyDescent="0.25">
      <c r="C188" s="99"/>
      <c r="D188" s="99"/>
    </row>
    <row r="189" spans="3:4" x14ac:dyDescent="0.25">
      <c r="C189" s="99"/>
      <c r="D189" s="99"/>
    </row>
    <row r="190" spans="3:4" x14ac:dyDescent="0.25">
      <c r="C190" s="99"/>
      <c r="D190" s="99"/>
    </row>
    <row r="191" spans="3:4" x14ac:dyDescent="0.25">
      <c r="C191" s="99"/>
      <c r="D191" s="99"/>
    </row>
    <row r="192" spans="3:4" x14ac:dyDescent="0.25">
      <c r="C192" s="99"/>
      <c r="D192" s="99"/>
    </row>
    <row r="193" spans="3:4" x14ac:dyDescent="0.25">
      <c r="C193" s="99"/>
      <c r="D193" s="99"/>
    </row>
    <row r="194" spans="3:4" x14ac:dyDescent="0.25">
      <c r="C194" s="99"/>
      <c r="D194" s="99"/>
    </row>
    <row r="195" spans="3:4" x14ac:dyDescent="0.25">
      <c r="C195" s="99"/>
      <c r="D195" s="99"/>
    </row>
    <row r="196" spans="3:4" x14ac:dyDescent="0.25">
      <c r="C196" s="99"/>
      <c r="D196" s="99"/>
    </row>
    <row r="197" spans="3:4" x14ac:dyDescent="0.25">
      <c r="C197" s="99"/>
      <c r="D197" s="99"/>
    </row>
    <row r="198" spans="3:4" x14ac:dyDescent="0.25">
      <c r="C198" s="99"/>
      <c r="D198" s="99"/>
    </row>
    <row r="199" spans="3:4" x14ac:dyDescent="0.25">
      <c r="C199" s="99"/>
      <c r="D199" s="99"/>
    </row>
    <row r="200" spans="3:4" x14ac:dyDescent="0.25">
      <c r="C200" s="99"/>
      <c r="D200" s="99"/>
    </row>
    <row r="201" spans="3:4" x14ac:dyDescent="0.25">
      <c r="C201" s="99"/>
      <c r="D201" s="99"/>
    </row>
    <row r="202" spans="3:4" x14ac:dyDescent="0.25">
      <c r="C202" s="99"/>
      <c r="D202" s="99"/>
    </row>
    <row r="203" spans="3:4" x14ac:dyDescent="0.25">
      <c r="C203" s="99"/>
      <c r="D203" s="99"/>
    </row>
    <row r="204" spans="3:4" x14ac:dyDescent="0.25">
      <c r="C204" s="99"/>
      <c r="D204" s="99"/>
    </row>
    <row r="205" spans="3:4" x14ac:dyDescent="0.25">
      <c r="C205" s="99"/>
      <c r="D205" s="99"/>
    </row>
    <row r="206" spans="3:4" x14ac:dyDescent="0.25">
      <c r="C206" s="99"/>
      <c r="D206" s="99"/>
    </row>
    <row r="207" spans="3:4" x14ac:dyDescent="0.25">
      <c r="C207" s="99"/>
      <c r="D207" s="99"/>
    </row>
    <row r="208" spans="3:4" x14ac:dyDescent="0.25">
      <c r="C208" s="99"/>
      <c r="D208" s="99"/>
    </row>
    <row r="209" spans="3:4" x14ac:dyDescent="0.25">
      <c r="C209" s="99"/>
      <c r="D209" s="99"/>
    </row>
    <row r="210" spans="3:4" x14ac:dyDescent="0.25">
      <c r="C210" s="99"/>
      <c r="D210" s="99"/>
    </row>
    <row r="211" spans="3:4" x14ac:dyDescent="0.25">
      <c r="C211" s="99"/>
      <c r="D211" s="99"/>
    </row>
    <row r="212" spans="3:4" x14ac:dyDescent="0.25">
      <c r="C212" s="99"/>
      <c r="D212" s="99"/>
    </row>
    <row r="213" spans="3:4" x14ac:dyDescent="0.25">
      <c r="C213" s="99"/>
      <c r="D213" s="99"/>
    </row>
    <row r="214" spans="3:4" x14ac:dyDescent="0.25">
      <c r="C214" s="99"/>
      <c r="D214" s="99"/>
    </row>
    <row r="215" spans="3:4" x14ac:dyDescent="0.25">
      <c r="C215" s="99"/>
      <c r="D215" s="99"/>
    </row>
    <row r="216" spans="3:4" x14ac:dyDescent="0.25">
      <c r="C216" s="99"/>
      <c r="D216" s="99"/>
    </row>
    <row r="217" spans="3:4" x14ac:dyDescent="0.25">
      <c r="C217" s="99"/>
      <c r="D217" s="99"/>
    </row>
    <row r="218" spans="3:4" x14ac:dyDescent="0.25">
      <c r="C218" s="99"/>
      <c r="D218" s="99"/>
    </row>
    <row r="219" spans="3:4" x14ac:dyDescent="0.25">
      <c r="C219" s="99"/>
      <c r="D219" s="99"/>
    </row>
    <row r="220" spans="3:4" x14ac:dyDescent="0.25">
      <c r="C220" s="99"/>
      <c r="D220" s="99"/>
    </row>
    <row r="221" spans="3:4" x14ac:dyDescent="0.25">
      <c r="C221" s="99"/>
      <c r="D221" s="99"/>
    </row>
    <row r="222" spans="3:4" x14ac:dyDescent="0.25">
      <c r="C222" s="99"/>
      <c r="D222" s="99"/>
    </row>
    <row r="223" spans="3:4" x14ac:dyDescent="0.25">
      <c r="C223" s="99"/>
      <c r="D223" s="99"/>
    </row>
    <row r="224" spans="3:4" x14ac:dyDescent="0.25">
      <c r="C224" s="99"/>
      <c r="D224" s="99"/>
    </row>
    <row r="225" spans="3:4" x14ac:dyDescent="0.25">
      <c r="C225" s="99"/>
      <c r="D225" s="99"/>
    </row>
    <row r="226" spans="3:4" x14ac:dyDescent="0.25">
      <c r="C226" s="99"/>
      <c r="D226" s="99"/>
    </row>
    <row r="227" spans="3:4" x14ac:dyDescent="0.25">
      <c r="C227" s="99"/>
      <c r="D227" s="99"/>
    </row>
    <row r="228" spans="3:4" x14ac:dyDescent="0.25">
      <c r="C228" s="99"/>
      <c r="D228" s="99"/>
    </row>
    <row r="229" spans="3:4" x14ac:dyDescent="0.25">
      <c r="C229" s="99"/>
      <c r="D229" s="99"/>
    </row>
    <row r="230" spans="3:4" x14ac:dyDescent="0.25">
      <c r="C230" s="99"/>
      <c r="D230" s="99"/>
    </row>
    <row r="231" spans="3:4" x14ac:dyDescent="0.25">
      <c r="C231" s="99"/>
      <c r="D231" s="99"/>
    </row>
    <row r="232" spans="3:4" x14ac:dyDescent="0.25">
      <c r="C232" s="99"/>
      <c r="D232" s="99"/>
    </row>
    <row r="233" spans="3:4" x14ac:dyDescent="0.25">
      <c r="C233" s="99"/>
      <c r="D233" s="99"/>
    </row>
    <row r="234" spans="3:4" x14ac:dyDescent="0.25">
      <c r="C234" s="99"/>
      <c r="D234" s="99"/>
    </row>
    <row r="235" spans="3:4" x14ac:dyDescent="0.25">
      <c r="C235" s="99"/>
      <c r="D235" s="99"/>
    </row>
    <row r="236" spans="3:4" x14ac:dyDescent="0.25">
      <c r="C236" s="99"/>
      <c r="D236" s="99"/>
    </row>
    <row r="237" spans="3:4" x14ac:dyDescent="0.25">
      <c r="C237" s="99"/>
      <c r="D237" s="99"/>
    </row>
    <row r="238" spans="3:4" x14ac:dyDescent="0.25">
      <c r="C238" s="99"/>
      <c r="D238" s="99"/>
    </row>
    <row r="239" spans="3:4" x14ac:dyDescent="0.25">
      <c r="C239" s="99"/>
      <c r="D239" s="99"/>
    </row>
    <row r="240" spans="3:4" x14ac:dyDescent="0.25">
      <c r="C240" s="99"/>
      <c r="D240" s="99"/>
    </row>
    <row r="241" spans="3:4" x14ac:dyDescent="0.25">
      <c r="C241" s="99"/>
      <c r="D241" s="99"/>
    </row>
    <row r="242" spans="3:4" x14ac:dyDescent="0.25">
      <c r="C242" s="99"/>
      <c r="D242" s="99"/>
    </row>
    <row r="243" spans="3:4" x14ac:dyDescent="0.25">
      <c r="C243" s="99"/>
      <c r="D243" s="99"/>
    </row>
    <row r="244" spans="3:4" x14ac:dyDescent="0.25">
      <c r="C244" s="99"/>
      <c r="D244" s="99"/>
    </row>
    <row r="245" spans="3:4" x14ac:dyDescent="0.25">
      <c r="C245" s="99"/>
      <c r="D245" s="99"/>
    </row>
    <row r="246" spans="3:4" x14ac:dyDescent="0.25">
      <c r="C246" s="99"/>
      <c r="D246" s="99"/>
    </row>
    <row r="247" spans="3:4" x14ac:dyDescent="0.25">
      <c r="C247" s="99"/>
      <c r="D247" s="99"/>
    </row>
    <row r="248" spans="3:4" x14ac:dyDescent="0.25">
      <c r="C248" s="99"/>
      <c r="D248" s="99"/>
    </row>
    <row r="249" spans="3:4" x14ac:dyDescent="0.25">
      <c r="C249" s="99"/>
      <c r="D249" s="99"/>
    </row>
    <row r="250" spans="3:4" x14ac:dyDescent="0.25">
      <c r="C250" s="99"/>
      <c r="D250" s="99"/>
    </row>
    <row r="251" spans="3:4" x14ac:dyDescent="0.25">
      <c r="C251" s="99"/>
      <c r="D251" s="99"/>
    </row>
    <row r="252" spans="3:4" x14ac:dyDescent="0.25">
      <c r="C252" s="99"/>
      <c r="D252" s="99"/>
    </row>
    <row r="253" spans="3:4" x14ac:dyDescent="0.25">
      <c r="C253" s="99"/>
      <c r="D253" s="99"/>
    </row>
    <row r="254" spans="3:4" x14ac:dyDescent="0.25">
      <c r="C254" s="99"/>
      <c r="D254" s="99"/>
    </row>
    <row r="255" spans="3:4" x14ac:dyDescent="0.25">
      <c r="C255" s="99"/>
      <c r="D255" s="99"/>
    </row>
    <row r="256" spans="3:4" x14ac:dyDescent="0.25">
      <c r="C256" s="99"/>
      <c r="D256" s="99"/>
    </row>
    <row r="257" spans="3:4" x14ac:dyDescent="0.25">
      <c r="C257" s="99"/>
      <c r="D257" s="99"/>
    </row>
    <row r="258" spans="3:4" x14ac:dyDescent="0.25">
      <c r="C258" s="99"/>
      <c r="D258" s="99"/>
    </row>
    <row r="259" spans="3:4" x14ac:dyDescent="0.25">
      <c r="C259" s="99"/>
      <c r="D259" s="99"/>
    </row>
    <row r="260" spans="3:4" x14ac:dyDescent="0.25">
      <c r="C260" s="99"/>
      <c r="D260" s="99"/>
    </row>
    <row r="261" spans="3:4" x14ac:dyDescent="0.25">
      <c r="C261" s="99"/>
      <c r="D261" s="99"/>
    </row>
    <row r="262" spans="3:4" x14ac:dyDescent="0.25">
      <c r="C262" s="99"/>
      <c r="D262" s="99"/>
    </row>
    <row r="263" spans="3:4" x14ac:dyDescent="0.25">
      <c r="C263" s="99"/>
      <c r="D263" s="99"/>
    </row>
    <row r="264" spans="3:4" x14ac:dyDescent="0.25">
      <c r="C264" s="99"/>
      <c r="D264" s="99"/>
    </row>
    <row r="265" spans="3:4" x14ac:dyDescent="0.25">
      <c r="C265" s="99"/>
      <c r="D265" s="99"/>
    </row>
    <row r="266" spans="3:4" x14ac:dyDescent="0.25">
      <c r="C266" s="99"/>
      <c r="D266" s="99"/>
    </row>
    <row r="267" spans="3:4" x14ac:dyDescent="0.25">
      <c r="C267" s="99"/>
      <c r="D267" s="99"/>
    </row>
    <row r="268" spans="3:4" x14ac:dyDescent="0.25">
      <c r="C268" s="99"/>
      <c r="D268" s="99"/>
    </row>
    <row r="269" spans="3:4" x14ac:dyDescent="0.25">
      <c r="C269" s="99"/>
      <c r="D269" s="99"/>
    </row>
    <row r="270" spans="3:4" x14ac:dyDescent="0.25">
      <c r="C270" s="99"/>
      <c r="D270" s="99"/>
    </row>
    <row r="271" spans="3:4" x14ac:dyDescent="0.25">
      <c r="C271" s="99"/>
      <c r="D271" s="99"/>
    </row>
    <row r="272" spans="3:4" x14ac:dyDescent="0.25">
      <c r="C272" s="99"/>
      <c r="D272" s="99"/>
    </row>
    <row r="273" spans="3:4" x14ac:dyDescent="0.25">
      <c r="C273" s="99"/>
      <c r="D273" s="99"/>
    </row>
    <row r="274" spans="3:4" x14ac:dyDescent="0.25">
      <c r="C274" s="99"/>
      <c r="D274" s="99"/>
    </row>
    <row r="275" spans="3:4" x14ac:dyDescent="0.25">
      <c r="C275" s="99"/>
      <c r="D275" s="99"/>
    </row>
    <row r="276" spans="3:4" x14ac:dyDescent="0.25">
      <c r="C276" s="99"/>
      <c r="D276" s="99"/>
    </row>
    <row r="277" spans="3:4" x14ac:dyDescent="0.25">
      <c r="C277" s="99"/>
      <c r="D277" s="99"/>
    </row>
    <row r="278" spans="3:4" x14ac:dyDescent="0.25">
      <c r="C278" s="99"/>
      <c r="D278" s="99"/>
    </row>
    <row r="279" spans="3:4" x14ac:dyDescent="0.25">
      <c r="C279" s="99"/>
      <c r="D279" s="99"/>
    </row>
    <row r="280" spans="3:4" x14ac:dyDescent="0.25">
      <c r="C280" s="99"/>
      <c r="D280" s="99"/>
    </row>
    <row r="281" spans="3:4" x14ac:dyDescent="0.25">
      <c r="C281" s="99"/>
      <c r="D281" s="99"/>
    </row>
    <row r="282" spans="3:4" x14ac:dyDescent="0.25">
      <c r="C282" s="99"/>
      <c r="D282" s="99"/>
    </row>
    <row r="283" spans="3:4" x14ac:dyDescent="0.25">
      <c r="C283" s="99"/>
      <c r="D283" s="99"/>
    </row>
    <row r="284" spans="3:4" x14ac:dyDescent="0.25">
      <c r="C284" s="99"/>
      <c r="D284" s="99"/>
    </row>
    <row r="285" spans="3:4" x14ac:dyDescent="0.25">
      <c r="C285" s="99"/>
      <c r="D285" s="99"/>
    </row>
    <row r="286" spans="3:4" x14ac:dyDescent="0.25">
      <c r="C286" s="99"/>
      <c r="D286" s="99"/>
    </row>
    <row r="287" spans="3:4" x14ac:dyDescent="0.25">
      <c r="C287" s="99"/>
      <c r="D287" s="99"/>
    </row>
    <row r="288" spans="3:4" x14ac:dyDescent="0.25">
      <c r="C288" s="99"/>
      <c r="D288" s="99"/>
    </row>
    <row r="289" spans="3:4" x14ac:dyDescent="0.25">
      <c r="C289" s="99"/>
      <c r="D289" s="99"/>
    </row>
    <row r="290" spans="3:4" x14ac:dyDescent="0.25">
      <c r="C290" s="99"/>
      <c r="D290" s="99"/>
    </row>
    <row r="291" spans="3:4" x14ac:dyDescent="0.25">
      <c r="C291" s="99"/>
      <c r="D291" s="99"/>
    </row>
    <row r="292" spans="3:4" x14ac:dyDescent="0.25">
      <c r="C292" s="99"/>
      <c r="D292" s="99"/>
    </row>
    <row r="293" spans="3:4" x14ac:dyDescent="0.25">
      <c r="C293" s="99"/>
      <c r="D293" s="99"/>
    </row>
    <row r="294" spans="3:4" x14ac:dyDescent="0.25">
      <c r="C294" s="99"/>
      <c r="D294" s="99"/>
    </row>
    <row r="295" spans="3:4" x14ac:dyDescent="0.25">
      <c r="C295" s="99"/>
      <c r="D295" s="99"/>
    </row>
    <row r="296" spans="3:4" x14ac:dyDescent="0.25">
      <c r="C296" s="99"/>
      <c r="D296" s="99"/>
    </row>
    <row r="297" spans="3:4" x14ac:dyDescent="0.25">
      <c r="C297" s="99"/>
      <c r="D297" s="99"/>
    </row>
    <row r="298" spans="3:4" x14ac:dyDescent="0.25">
      <c r="C298" s="99"/>
      <c r="D298" s="99"/>
    </row>
    <row r="299" spans="3:4" x14ac:dyDescent="0.25">
      <c r="C299" s="99"/>
      <c r="D299" s="99"/>
    </row>
    <row r="300" spans="3:4" x14ac:dyDescent="0.25">
      <c r="C300" s="99"/>
      <c r="D300" s="99"/>
    </row>
    <row r="301" spans="3:4" x14ac:dyDescent="0.25">
      <c r="C301" s="99"/>
      <c r="D301" s="99"/>
    </row>
    <row r="302" spans="3:4" x14ac:dyDescent="0.25">
      <c r="C302" s="99"/>
      <c r="D302" s="99"/>
    </row>
    <row r="303" spans="3:4" x14ac:dyDescent="0.25">
      <c r="C303" s="99"/>
      <c r="D303" s="99"/>
    </row>
    <row r="304" spans="3:4" x14ac:dyDescent="0.25">
      <c r="C304" s="99"/>
      <c r="D304" s="99"/>
    </row>
    <row r="305" spans="3:4" x14ac:dyDescent="0.25">
      <c r="C305" s="99"/>
      <c r="D305" s="99"/>
    </row>
    <row r="306" spans="3:4" x14ac:dyDescent="0.25">
      <c r="C306" s="99"/>
      <c r="D306" s="99"/>
    </row>
    <row r="307" spans="3:4" x14ac:dyDescent="0.25">
      <c r="C307" s="99"/>
      <c r="D307" s="99"/>
    </row>
    <row r="308" spans="3:4" x14ac:dyDescent="0.25">
      <c r="C308" s="99"/>
      <c r="D308" s="99"/>
    </row>
    <row r="309" spans="3:4" x14ac:dyDescent="0.25">
      <c r="C309" s="99"/>
      <c r="D309" s="99"/>
    </row>
    <row r="310" spans="3:4" x14ac:dyDescent="0.25">
      <c r="C310" s="99"/>
      <c r="D310" s="99"/>
    </row>
    <row r="311" spans="3:4" x14ac:dyDescent="0.25">
      <c r="C311" s="99"/>
      <c r="D311" s="99"/>
    </row>
    <row r="312" spans="3:4" x14ac:dyDescent="0.25">
      <c r="C312" s="99"/>
      <c r="D312" s="99"/>
    </row>
    <row r="313" spans="3:4" x14ac:dyDescent="0.25">
      <c r="C313" s="99"/>
      <c r="D313" s="99"/>
    </row>
    <row r="314" spans="3:4" x14ac:dyDescent="0.25">
      <c r="C314" s="99"/>
      <c r="D314" s="99"/>
    </row>
    <row r="315" spans="3:4" x14ac:dyDescent="0.25">
      <c r="C315" s="99"/>
      <c r="D315" s="99"/>
    </row>
    <row r="316" spans="3:4" x14ac:dyDescent="0.25">
      <c r="C316" s="99"/>
      <c r="D316" s="99"/>
    </row>
    <row r="317" spans="3:4" x14ac:dyDescent="0.25">
      <c r="C317" s="99"/>
      <c r="D317" s="99"/>
    </row>
    <row r="318" spans="3:4" x14ac:dyDescent="0.25">
      <c r="C318" s="99"/>
      <c r="D318" s="99"/>
    </row>
    <row r="319" spans="3:4" x14ac:dyDescent="0.25">
      <c r="C319" s="99"/>
      <c r="D319" s="99"/>
    </row>
    <row r="320" spans="3:4" x14ac:dyDescent="0.25">
      <c r="C320" s="99"/>
      <c r="D320" s="99"/>
    </row>
    <row r="321" spans="3:4" x14ac:dyDescent="0.25">
      <c r="C321" s="99"/>
      <c r="D321" s="99"/>
    </row>
    <row r="322" spans="3:4" x14ac:dyDescent="0.25">
      <c r="C322" s="99"/>
      <c r="D322" s="99"/>
    </row>
    <row r="323" spans="3:4" x14ac:dyDescent="0.25">
      <c r="C323" s="99"/>
      <c r="D323" s="99"/>
    </row>
    <row r="324" spans="3:4" x14ac:dyDescent="0.25">
      <c r="C324" s="99"/>
      <c r="D324" s="99"/>
    </row>
    <row r="325" spans="3:4" x14ac:dyDescent="0.25">
      <c r="C325" s="99"/>
      <c r="D325" s="99"/>
    </row>
    <row r="326" spans="3:4" x14ac:dyDescent="0.25">
      <c r="C326" s="99"/>
      <c r="D326" s="99"/>
    </row>
    <row r="327" spans="3:4" x14ac:dyDescent="0.25">
      <c r="C327" s="99"/>
      <c r="D327" s="99"/>
    </row>
    <row r="328" spans="3:4" x14ac:dyDescent="0.25">
      <c r="C328" s="99"/>
      <c r="D328" s="99"/>
    </row>
    <row r="329" spans="3:4" x14ac:dyDescent="0.25">
      <c r="C329" s="99"/>
      <c r="D329" s="99"/>
    </row>
    <row r="330" spans="3:4" x14ac:dyDescent="0.25">
      <c r="C330" s="99"/>
      <c r="D330" s="99"/>
    </row>
    <row r="331" spans="3:4" x14ac:dyDescent="0.25">
      <c r="C331" s="99"/>
      <c r="D331" s="99"/>
    </row>
    <row r="332" spans="3:4" x14ac:dyDescent="0.25">
      <c r="C332" s="99"/>
      <c r="D332" s="99"/>
    </row>
    <row r="333" spans="3:4" x14ac:dyDescent="0.25">
      <c r="C333" s="99"/>
      <c r="D333" s="99"/>
    </row>
    <row r="334" spans="3:4" x14ac:dyDescent="0.25">
      <c r="C334" s="99"/>
      <c r="D334" s="99"/>
    </row>
    <row r="335" spans="3:4" x14ac:dyDescent="0.25">
      <c r="C335" s="99"/>
      <c r="D335" s="99"/>
    </row>
    <row r="336" spans="3:4" x14ac:dyDescent="0.25">
      <c r="C336" s="99"/>
      <c r="D336" s="99"/>
    </row>
    <row r="337" spans="3:4" x14ac:dyDescent="0.25">
      <c r="C337" s="99"/>
      <c r="D337" s="99"/>
    </row>
    <row r="338" spans="3:4" x14ac:dyDescent="0.25">
      <c r="C338" s="99"/>
      <c r="D338" s="99"/>
    </row>
    <row r="339" spans="3:4" x14ac:dyDescent="0.25">
      <c r="C339" s="99"/>
      <c r="D339" s="99"/>
    </row>
    <row r="340" spans="3:4" x14ac:dyDescent="0.25">
      <c r="C340" s="99"/>
      <c r="D340" s="99"/>
    </row>
    <row r="341" spans="3:4" x14ac:dyDescent="0.25">
      <c r="C341" s="99"/>
      <c r="D341" s="99"/>
    </row>
    <row r="342" spans="3:4" x14ac:dyDescent="0.25">
      <c r="C342" s="99"/>
      <c r="D342" s="99"/>
    </row>
    <row r="343" spans="3:4" x14ac:dyDescent="0.25">
      <c r="C343" s="99"/>
      <c r="D343" s="99"/>
    </row>
    <row r="344" spans="3:4" x14ac:dyDescent="0.25">
      <c r="C344" s="99"/>
      <c r="D344" s="99"/>
    </row>
    <row r="345" spans="3:4" x14ac:dyDescent="0.25">
      <c r="C345" s="99"/>
      <c r="D345" s="99"/>
    </row>
    <row r="346" spans="3:4" x14ac:dyDescent="0.25">
      <c r="C346" s="99"/>
      <c r="D346" s="99"/>
    </row>
    <row r="347" spans="3:4" x14ac:dyDescent="0.25">
      <c r="C347" s="99"/>
      <c r="D347" s="99"/>
    </row>
    <row r="348" spans="3:4" x14ac:dyDescent="0.25">
      <c r="C348" s="99"/>
      <c r="D348" s="99"/>
    </row>
    <row r="349" spans="3:4" x14ac:dyDescent="0.25">
      <c r="C349" s="99"/>
      <c r="D349" s="99"/>
    </row>
    <row r="350" spans="3:4" x14ac:dyDescent="0.25">
      <c r="C350" s="99"/>
      <c r="D350" s="99"/>
    </row>
    <row r="351" spans="3:4" x14ac:dyDescent="0.25">
      <c r="C351" s="99"/>
      <c r="D351" s="99"/>
    </row>
    <row r="352" spans="3:4" x14ac:dyDescent="0.25">
      <c r="C352" s="99"/>
      <c r="D352" s="99"/>
    </row>
    <row r="353" spans="3:4" x14ac:dyDescent="0.25">
      <c r="C353" s="99"/>
      <c r="D353" s="99"/>
    </row>
    <row r="354" spans="3:4" x14ac:dyDescent="0.25">
      <c r="C354" s="99"/>
      <c r="D354" s="99"/>
    </row>
    <row r="355" spans="3:4" x14ac:dyDescent="0.25">
      <c r="C355" s="99"/>
      <c r="D355" s="99"/>
    </row>
    <row r="356" spans="3:4" x14ac:dyDescent="0.25">
      <c r="C356" s="99"/>
      <c r="D356" s="99"/>
    </row>
    <row r="357" spans="3:4" x14ac:dyDescent="0.25">
      <c r="C357" s="99"/>
      <c r="D357" s="99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4" bestFit="1" customWidth="1"/>
    <col min="2" max="2" width="8.625" style="100" bestFit="1" customWidth="1"/>
    <col min="3" max="3" width="8.625" bestFit="1" customWidth="1"/>
    <col min="4" max="4" width="8.25" bestFit="1" customWidth="1"/>
  </cols>
  <sheetData>
    <row r="1" spans="1:5" ht="17.25" x14ac:dyDescent="0.25">
      <c r="A1" s="101" t="s">
        <v>529</v>
      </c>
      <c r="B1" s="95" t="s">
        <v>530</v>
      </c>
      <c r="C1" s="95" t="s">
        <v>531</v>
      </c>
      <c r="D1" s="96" t="s">
        <v>532</v>
      </c>
      <c r="E1" s="178" t="s">
        <v>533</v>
      </c>
    </row>
    <row r="2" spans="1:5" x14ac:dyDescent="0.25">
      <c r="A2" s="102" t="s">
        <v>550</v>
      </c>
      <c r="B2" s="121">
        <v>10</v>
      </c>
      <c r="C2" s="121">
        <v>80</v>
      </c>
      <c r="D2" s="97">
        <v>10</v>
      </c>
      <c r="E2" s="178"/>
    </row>
    <row r="3" spans="1:5" ht="18.75" x14ac:dyDescent="0.25">
      <c r="A3" s="103" t="s">
        <v>534</v>
      </c>
      <c r="B3" s="98" t="s">
        <v>535</v>
      </c>
      <c r="C3" s="98" t="s">
        <v>536</v>
      </c>
      <c r="D3" s="98" t="s">
        <v>537</v>
      </c>
    </row>
    <row r="4" spans="1:5" x14ac:dyDescent="0.25">
      <c r="A4" s="122">
        <v>10</v>
      </c>
      <c r="B4" s="99">
        <v>7.3509646530025554</v>
      </c>
      <c r="C4" s="122">
        <v>36.724059660049043</v>
      </c>
      <c r="D4" s="122">
        <v>28.114408840923879</v>
      </c>
    </row>
    <row r="5" spans="1:5" x14ac:dyDescent="0.25">
      <c r="A5" s="122">
        <v>17</v>
      </c>
      <c r="B5" s="99">
        <v>6.9234527185537535</v>
      </c>
      <c r="C5" s="99"/>
      <c r="D5" s="99"/>
    </row>
    <row r="6" spans="1:5" x14ac:dyDescent="0.25">
      <c r="A6" s="122">
        <v>24</v>
      </c>
      <c r="B6" s="99">
        <v>6.6029203661625857</v>
      </c>
      <c r="C6" s="99"/>
      <c r="D6" s="99"/>
    </row>
    <row r="7" spans="1:5" x14ac:dyDescent="0.25">
      <c r="A7" s="122">
        <v>31</v>
      </c>
      <c r="B7" s="99">
        <v>6.4481512554166187</v>
      </c>
      <c r="C7" s="99"/>
      <c r="D7" s="99"/>
    </row>
    <row r="8" spans="1:5" x14ac:dyDescent="0.25">
      <c r="A8" s="122">
        <v>38</v>
      </c>
      <c r="B8" s="99">
        <v>6.430909758515063</v>
      </c>
      <c r="C8" s="99"/>
      <c r="D8" s="99"/>
    </row>
    <row r="9" spans="1:5" x14ac:dyDescent="0.25">
      <c r="A9" s="122">
        <v>45</v>
      </c>
      <c r="B9" s="99">
        <v>6.5247403441977418</v>
      </c>
      <c r="C9" s="99"/>
      <c r="D9" s="99"/>
    </row>
    <row r="10" spans="1:5" x14ac:dyDescent="0.25">
      <c r="A10" s="122">
        <v>52</v>
      </c>
      <c r="B10" s="99">
        <v>6.7312441012240241</v>
      </c>
      <c r="C10" s="99"/>
      <c r="D10" s="99"/>
    </row>
    <row r="11" spans="1:5" x14ac:dyDescent="0.25">
      <c r="A11" s="122">
        <v>59</v>
      </c>
      <c r="B11" s="99">
        <v>7.0620700213483216</v>
      </c>
      <c r="C11" s="99"/>
      <c r="D11" s="99"/>
    </row>
    <row r="12" spans="1:5" x14ac:dyDescent="0.25">
      <c r="A12" s="122">
        <v>66</v>
      </c>
      <c r="B12" s="99">
        <v>7.5210707487665793</v>
      </c>
      <c r="C12" s="99"/>
      <c r="D12" s="99"/>
    </row>
    <row r="13" spans="1:5" x14ac:dyDescent="0.25">
      <c r="A13" s="122">
        <v>73</v>
      </c>
      <c r="B13" s="99">
        <v>8.0990814671147771</v>
      </c>
      <c r="C13" s="99"/>
      <c r="D13" s="99"/>
    </row>
    <row r="14" spans="1:5" x14ac:dyDescent="0.25">
      <c r="A14" s="122">
        <v>80</v>
      </c>
      <c r="B14" s="99">
        <v>8.7787917785197411</v>
      </c>
      <c r="C14" s="99"/>
      <c r="D14" s="99"/>
    </row>
    <row r="15" spans="1:5" x14ac:dyDescent="0.25">
      <c r="A15" s="122"/>
      <c r="B15" s="99"/>
      <c r="C15" s="99"/>
      <c r="D15" s="99"/>
    </row>
    <row r="16" spans="1:5" x14ac:dyDescent="0.25">
      <c r="A16" s="122"/>
      <c r="B16" s="99"/>
      <c r="C16" s="99"/>
      <c r="D16" s="99"/>
    </row>
    <row r="17" spans="1:4" x14ac:dyDescent="0.25">
      <c r="A17" s="122"/>
      <c r="B17" s="99"/>
      <c r="C17" s="99"/>
      <c r="D17" s="99"/>
    </row>
    <row r="18" spans="1:4" x14ac:dyDescent="0.25">
      <c r="A18" s="122"/>
      <c r="B18" s="99"/>
      <c r="C18" s="99"/>
      <c r="D18" s="99"/>
    </row>
    <row r="19" spans="1:4" x14ac:dyDescent="0.25">
      <c r="A19" s="122"/>
      <c r="B19" s="99"/>
      <c r="C19" s="99"/>
      <c r="D19" s="99"/>
    </row>
    <row r="20" spans="1:4" x14ac:dyDescent="0.25">
      <c r="A20" s="122"/>
      <c r="B20" s="99"/>
      <c r="C20" s="99"/>
      <c r="D20" s="99"/>
    </row>
    <row r="21" spans="1:4" x14ac:dyDescent="0.25">
      <c r="A21" s="122"/>
      <c r="B21" s="99"/>
      <c r="C21" s="99"/>
      <c r="D21" s="99"/>
    </row>
    <row r="22" spans="1:4" x14ac:dyDescent="0.25">
      <c r="A22" s="122"/>
      <c r="B22" s="99"/>
      <c r="C22" s="99"/>
      <c r="D22" s="99"/>
    </row>
    <row r="23" spans="1:4" x14ac:dyDescent="0.25">
      <c r="A23" s="122"/>
      <c r="B23" s="99"/>
      <c r="C23" s="99"/>
      <c r="D23" s="99"/>
    </row>
    <row r="24" spans="1:4" x14ac:dyDescent="0.25">
      <c r="A24" s="122"/>
      <c r="B24" s="99"/>
      <c r="C24" s="99"/>
      <c r="D24" s="99"/>
    </row>
    <row r="25" spans="1:4" x14ac:dyDescent="0.25">
      <c r="B25" s="99"/>
      <c r="C25" s="99"/>
      <c r="D25" s="99"/>
    </row>
    <row r="26" spans="1:4" x14ac:dyDescent="0.25">
      <c r="B26" s="99"/>
      <c r="C26" s="99"/>
      <c r="D26" s="99"/>
    </row>
    <row r="27" spans="1:4" x14ac:dyDescent="0.25">
      <c r="B27" s="99"/>
      <c r="C27" s="99"/>
      <c r="D27" s="99"/>
    </row>
    <row r="28" spans="1:4" x14ac:dyDescent="0.25">
      <c r="B28" s="99"/>
      <c r="C28" s="99"/>
      <c r="D28" s="99"/>
    </row>
    <row r="29" spans="1:4" x14ac:dyDescent="0.25">
      <c r="B29" s="99"/>
      <c r="C29" s="99"/>
      <c r="D29" s="99"/>
    </row>
    <row r="30" spans="1:4" x14ac:dyDescent="0.25">
      <c r="B30" s="99"/>
      <c r="C30" s="99"/>
      <c r="D30" s="99"/>
    </row>
    <row r="31" spans="1:4" x14ac:dyDescent="0.25">
      <c r="B31" s="99"/>
      <c r="C31" s="99"/>
      <c r="D31" s="99"/>
    </row>
    <row r="32" spans="1:4" x14ac:dyDescent="0.25">
      <c r="B32" s="99"/>
      <c r="C32" s="99"/>
      <c r="D32" s="99"/>
    </row>
    <row r="33" spans="2:4" x14ac:dyDescent="0.25">
      <c r="B33" s="99"/>
      <c r="C33" s="99"/>
      <c r="D33" s="99"/>
    </row>
    <row r="34" spans="2:4" x14ac:dyDescent="0.25">
      <c r="B34" s="99"/>
      <c r="C34" s="99"/>
      <c r="D34" s="99"/>
    </row>
    <row r="35" spans="2:4" x14ac:dyDescent="0.25">
      <c r="C35" s="99"/>
      <c r="D35" s="99"/>
    </row>
    <row r="36" spans="2:4" x14ac:dyDescent="0.25">
      <c r="C36" s="99"/>
      <c r="D36" s="99"/>
    </row>
    <row r="37" spans="2:4" x14ac:dyDescent="0.25">
      <c r="C37" s="99"/>
      <c r="D37" s="99"/>
    </row>
    <row r="38" spans="2:4" x14ac:dyDescent="0.25">
      <c r="C38" s="99"/>
      <c r="D38" s="99"/>
    </row>
    <row r="39" spans="2:4" x14ac:dyDescent="0.25">
      <c r="C39" s="99"/>
      <c r="D39" s="99"/>
    </row>
    <row r="40" spans="2:4" x14ac:dyDescent="0.25">
      <c r="C40" s="99"/>
      <c r="D40" s="99"/>
    </row>
    <row r="41" spans="2:4" x14ac:dyDescent="0.25">
      <c r="C41" s="99"/>
      <c r="D41" s="99"/>
    </row>
    <row r="42" spans="2:4" x14ac:dyDescent="0.25">
      <c r="C42" s="99"/>
      <c r="D42" s="99"/>
    </row>
    <row r="43" spans="2:4" x14ac:dyDescent="0.25">
      <c r="C43" s="99"/>
      <c r="D43" s="99"/>
    </row>
    <row r="44" spans="2:4" x14ac:dyDescent="0.25">
      <c r="C44" s="99"/>
      <c r="D44" s="99"/>
    </row>
    <row r="45" spans="2:4" x14ac:dyDescent="0.25">
      <c r="C45" s="99"/>
      <c r="D45" s="99"/>
    </row>
    <row r="46" spans="2:4" x14ac:dyDescent="0.25">
      <c r="C46" s="99"/>
      <c r="D46" s="99"/>
    </row>
    <row r="47" spans="2:4" x14ac:dyDescent="0.25">
      <c r="C47" s="99"/>
      <c r="D47" s="99"/>
    </row>
    <row r="48" spans="2:4" x14ac:dyDescent="0.25">
      <c r="C48" s="99"/>
      <c r="D48" s="99"/>
    </row>
    <row r="49" spans="3:4" x14ac:dyDescent="0.25">
      <c r="C49" s="99"/>
      <c r="D49" s="99"/>
    </row>
    <row r="50" spans="3:4" x14ac:dyDescent="0.25">
      <c r="C50" s="99"/>
      <c r="D50" s="99"/>
    </row>
    <row r="51" spans="3:4" x14ac:dyDescent="0.25">
      <c r="C51" s="99"/>
      <c r="D51" s="99"/>
    </row>
    <row r="52" spans="3:4" x14ac:dyDescent="0.25">
      <c r="C52" s="99"/>
      <c r="D52" s="99"/>
    </row>
    <row r="53" spans="3:4" x14ac:dyDescent="0.25">
      <c r="C53" s="99"/>
      <c r="D53" s="99"/>
    </row>
    <row r="54" spans="3:4" x14ac:dyDescent="0.25">
      <c r="C54" s="99"/>
      <c r="D54" s="99"/>
    </row>
    <row r="55" spans="3:4" x14ac:dyDescent="0.25">
      <c r="C55" s="99"/>
      <c r="D55" s="99"/>
    </row>
    <row r="56" spans="3:4" x14ac:dyDescent="0.25">
      <c r="C56" s="99"/>
      <c r="D56" s="99"/>
    </row>
    <row r="57" spans="3:4" x14ac:dyDescent="0.25">
      <c r="C57" s="99"/>
      <c r="D57" s="99"/>
    </row>
    <row r="58" spans="3:4" x14ac:dyDescent="0.25">
      <c r="C58" s="99"/>
      <c r="D58" s="99"/>
    </row>
    <row r="59" spans="3:4" x14ac:dyDescent="0.25">
      <c r="C59" s="99"/>
      <c r="D59" s="99"/>
    </row>
    <row r="60" spans="3:4" x14ac:dyDescent="0.25">
      <c r="C60" s="99"/>
      <c r="D60" s="99"/>
    </row>
    <row r="61" spans="3:4" x14ac:dyDescent="0.25">
      <c r="C61" s="99"/>
      <c r="D61" s="99"/>
    </row>
    <row r="62" spans="3:4" x14ac:dyDescent="0.25">
      <c r="C62" s="99"/>
      <c r="D62" s="99"/>
    </row>
    <row r="63" spans="3:4" x14ac:dyDescent="0.25">
      <c r="C63" s="99"/>
      <c r="D63" s="99"/>
    </row>
    <row r="64" spans="3:4" x14ac:dyDescent="0.25">
      <c r="C64" s="99"/>
      <c r="D64" s="99"/>
    </row>
    <row r="65" spans="3:4" x14ac:dyDescent="0.25">
      <c r="C65" s="99"/>
      <c r="D65" s="99"/>
    </row>
    <row r="66" spans="3:4" x14ac:dyDescent="0.25">
      <c r="C66" s="99"/>
      <c r="D66" s="99"/>
    </row>
    <row r="67" spans="3:4" x14ac:dyDescent="0.25">
      <c r="C67" s="99"/>
      <c r="D67" s="99"/>
    </row>
    <row r="68" spans="3:4" x14ac:dyDescent="0.25">
      <c r="C68" s="99"/>
      <c r="D68" s="99"/>
    </row>
    <row r="69" spans="3:4" x14ac:dyDescent="0.25">
      <c r="C69" s="99"/>
      <c r="D69" s="99"/>
    </row>
    <row r="70" spans="3:4" x14ac:dyDescent="0.25">
      <c r="C70" s="99"/>
      <c r="D70" s="99"/>
    </row>
    <row r="71" spans="3:4" x14ac:dyDescent="0.25">
      <c r="C71" s="99"/>
      <c r="D71" s="99"/>
    </row>
    <row r="72" spans="3:4" x14ac:dyDescent="0.25">
      <c r="C72" s="99"/>
      <c r="D72" s="99"/>
    </row>
    <row r="73" spans="3:4" x14ac:dyDescent="0.25">
      <c r="C73" s="99"/>
      <c r="D73" s="99"/>
    </row>
    <row r="74" spans="3:4" x14ac:dyDescent="0.25">
      <c r="C74" s="99"/>
      <c r="D74" s="99"/>
    </row>
    <row r="75" spans="3:4" x14ac:dyDescent="0.25">
      <c r="C75" s="99"/>
      <c r="D75" s="99"/>
    </row>
    <row r="76" spans="3:4" x14ac:dyDescent="0.25">
      <c r="C76" s="99"/>
      <c r="D76" s="99"/>
    </row>
    <row r="77" spans="3:4" x14ac:dyDescent="0.25">
      <c r="C77" s="99"/>
      <c r="D77" s="99"/>
    </row>
    <row r="78" spans="3:4" x14ac:dyDescent="0.25">
      <c r="C78" s="99"/>
      <c r="D78" s="99"/>
    </row>
    <row r="79" spans="3:4" x14ac:dyDescent="0.25">
      <c r="C79" s="99"/>
      <c r="D79" s="99"/>
    </row>
    <row r="80" spans="3:4" x14ac:dyDescent="0.25">
      <c r="C80" s="99"/>
      <c r="D80" s="99"/>
    </row>
    <row r="81" spans="3:4" x14ac:dyDescent="0.25">
      <c r="C81" s="99"/>
      <c r="D81" s="99"/>
    </row>
    <row r="82" spans="3:4" x14ac:dyDescent="0.25">
      <c r="C82" s="99"/>
      <c r="D82" s="99"/>
    </row>
    <row r="83" spans="3:4" x14ac:dyDescent="0.25">
      <c r="C83" s="99"/>
      <c r="D83" s="99"/>
    </row>
    <row r="84" spans="3:4" x14ac:dyDescent="0.25">
      <c r="C84" s="99"/>
      <c r="D84" s="99"/>
    </row>
    <row r="85" spans="3:4" x14ac:dyDescent="0.25">
      <c r="C85" s="99"/>
      <c r="D85" s="99"/>
    </row>
    <row r="86" spans="3:4" x14ac:dyDescent="0.25">
      <c r="C86" s="99"/>
      <c r="D86" s="99"/>
    </row>
    <row r="87" spans="3:4" x14ac:dyDescent="0.25">
      <c r="C87" s="99"/>
      <c r="D87" s="99"/>
    </row>
    <row r="88" spans="3:4" x14ac:dyDescent="0.25">
      <c r="C88" s="99"/>
      <c r="D88" s="99"/>
    </row>
    <row r="89" spans="3:4" x14ac:dyDescent="0.25">
      <c r="C89" s="99"/>
      <c r="D89" s="99"/>
    </row>
    <row r="90" spans="3:4" x14ac:dyDescent="0.25">
      <c r="C90" s="99"/>
      <c r="D90" s="99"/>
    </row>
    <row r="91" spans="3:4" x14ac:dyDescent="0.25">
      <c r="C91" s="99"/>
      <c r="D91" s="99"/>
    </row>
    <row r="92" spans="3:4" x14ac:dyDescent="0.25">
      <c r="C92" s="99"/>
      <c r="D92" s="99"/>
    </row>
    <row r="93" spans="3:4" x14ac:dyDescent="0.25">
      <c r="C93" s="99"/>
      <c r="D93" s="99"/>
    </row>
    <row r="94" spans="3:4" x14ac:dyDescent="0.25">
      <c r="C94" s="99"/>
      <c r="D94" s="99"/>
    </row>
    <row r="95" spans="3:4" x14ac:dyDescent="0.25">
      <c r="C95" s="99"/>
      <c r="D95" s="99"/>
    </row>
    <row r="96" spans="3:4" x14ac:dyDescent="0.25">
      <c r="C96" s="99"/>
      <c r="D96" s="99"/>
    </row>
    <row r="97" spans="3:4" x14ac:dyDescent="0.25">
      <c r="C97" s="99"/>
      <c r="D97" s="99"/>
    </row>
    <row r="98" spans="3:4" x14ac:dyDescent="0.25">
      <c r="C98" s="99"/>
      <c r="D98" s="99"/>
    </row>
    <row r="99" spans="3:4" x14ac:dyDescent="0.25">
      <c r="C99" s="99"/>
      <c r="D99" s="99"/>
    </row>
    <row r="100" spans="3:4" x14ac:dyDescent="0.25">
      <c r="C100" s="99"/>
      <c r="D100" s="99"/>
    </row>
    <row r="101" spans="3:4" x14ac:dyDescent="0.25">
      <c r="C101" s="99"/>
      <c r="D101" s="99"/>
    </row>
    <row r="102" spans="3:4" x14ac:dyDescent="0.25">
      <c r="C102" s="99"/>
      <c r="D102" s="99"/>
    </row>
    <row r="103" spans="3:4" x14ac:dyDescent="0.25">
      <c r="C103" s="99"/>
      <c r="D103" s="99"/>
    </row>
    <row r="104" spans="3:4" x14ac:dyDescent="0.25">
      <c r="C104" s="99"/>
      <c r="D104" s="99"/>
    </row>
    <row r="105" spans="3:4" x14ac:dyDescent="0.25">
      <c r="C105" s="99"/>
      <c r="D105" s="99"/>
    </row>
    <row r="106" spans="3:4" x14ac:dyDescent="0.25">
      <c r="C106" s="99"/>
      <c r="D106" s="99"/>
    </row>
    <row r="107" spans="3:4" x14ac:dyDescent="0.25">
      <c r="C107" s="99"/>
      <c r="D107" s="99"/>
    </row>
    <row r="108" spans="3:4" x14ac:dyDescent="0.25">
      <c r="C108" s="99"/>
      <c r="D108" s="99"/>
    </row>
    <row r="109" spans="3:4" x14ac:dyDescent="0.25">
      <c r="C109" s="99"/>
      <c r="D109" s="99"/>
    </row>
    <row r="110" spans="3:4" x14ac:dyDescent="0.25">
      <c r="C110" s="99"/>
      <c r="D110" s="99"/>
    </row>
    <row r="111" spans="3:4" x14ac:dyDescent="0.25">
      <c r="C111" s="99"/>
      <c r="D111" s="99"/>
    </row>
    <row r="112" spans="3:4" x14ac:dyDescent="0.25">
      <c r="C112" s="99"/>
      <c r="D112" s="99"/>
    </row>
    <row r="113" spans="3:4" x14ac:dyDescent="0.25">
      <c r="C113" s="99"/>
      <c r="D113" s="99"/>
    </row>
    <row r="114" spans="3:4" x14ac:dyDescent="0.25">
      <c r="C114" s="99"/>
      <c r="D114" s="99"/>
    </row>
    <row r="115" spans="3:4" x14ac:dyDescent="0.25">
      <c r="C115" s="99"/>
      <c r="D115" s="99"/>
    </row>
    <row r="116" spans="3:4" x14ac:dyDescent="0.25">
      <c r="C116" s="99"/>
      <c r="D116" s="99"/>
    </row>
    <row r="117" spans="3:4" x14ac:dyDescent="0.25">
      <c r="C117" s="99"/>
      <c r="D117" s="99"/>
    </row>
    <row r="118" spans="3:4" x14ac:dyDescent="0.25">
      <c r="C118" s="99"/>
      <c r="D118" s="99"/>
    </row>
    <row r="119" spans="3:4" x14ac:dyDescent="0.25">
      <c r="C119" s="99"/>
      <c r="D119" s="99"/>
    </row>
    <row r="120" spans="3:4" x14ac:dyDescent="0.25">
      <c r="C120" s="99"/>
      <c r="D120" s="99"/>
    </row>
    <row r="121" spans="3:4" x14ac:dyDescent="0.25">
      <c r="C121" s="99"/>
      <c r="D121" s="99"/>
    </row>
    <row r="122" spans="3:4" x14ac:dyDescent="0.25">
      <c r="C122" s="99"/>
      <c r="D122" s="99"/>
    </row>
    <row r="123" spans="3:4" x14ac:dyDescent="0.25">
      <c r="C123" s="99"/>
      <c r="D123" s="99"/>
    </row>
    <row r="124" spans="3:4" x14ac:dyDescent="0.25">
      <c r="C124" s="99"/>
      <c r="D124" s="99"/>
    </row>
    <row r="125" spans="3:4" x14ac:dyDescent="0.25">
      <c r="C125" s="99"/>
      <c r="D125" s="99"/>
    </row>
    <row r="126" spans="3:4" x14ac:dyDescent="0.25">
      <c r="C126" s="99"/>
      <c r="D126" s="99"/>
    </row>
    <row r="127" spans="3:4" x14ac:dyDescent="0.25">
      <c r="C127" s="99"/>
      <c r="D127" s="99"/>
    </row>
    <row r="128" spans="3:4" x14ac:dyDescent="0.25">
      <c r="C128" s="99"/>
      <c r="D128" s="99"/>
    </row>
    <row r="129" spans="3:4" x14ac:dyDescent="0.25">
      <c r="C129" s="99"/>
      <c r="D129" s="99"/>
    </row>
    <row r="130" spans="3:4" x14ac:dyDescent="0.25">
      <c r="C130" s="99"/>
      <c r="D130" s="99"/>
    </row>
    <row r="131" spans="3:4" x14ac:dyDescent="0.25">
      <c r="C131" s="99"/>
      <c r="D131" s="99"/>
    </row>
    <row r="132" spans="3:4" x14ac:dyDescent="0.25">
      <c r="C132" s="99"/>
      <c r="D132" s="99"/>
    </row>
    <row r="133" spans="3:4" x14ac:dyDescent="0.25">
      <c r="C133" s="99"/>
      <c r="D133" s="99"/>
    </row>
    <row r="134" spans="3:4" x14ac:dyDescent="0.25">
      <c r="C134" s="99"/>
      <c r="D134" s="99"/>
    </row>
    <row r="135" spans="3:4" x14ac:dyDescent="0.25">
      <c r="C135" s="99"/>
      <c r="D135" s="99"/>
    </row>
    <row r="136" spans="3:4" x14ac:dyDescent="0.25">
      <c r="C136" s="99"/>
      <c r="D136" s="99"/>
    </row>
    <row r="137" spans="3:4" x14ac:dyDescent="0.25">
      <c r="C137" s="99"/>
      <c r="D137" s="99"/>
    </row>
    <row r="138" spans="3:4" x14ac:dyDescent="0.25">
      <c r="C138" s="99"/>
      <c r="D138" s="99"/>
    </row>
    <row r="139" spans="3:4" x14ac:dyDescent="0.25">
      <c r="C139" s="99"/>
      <c r="D139" s="99"/>
    </row>
    <row r="140" spans="3:4" x14ac:dyDescent="0.25">
      <c r="C140" s="99"/>
      <c r="D140" s="99"/>
    </row>
    <row r="141" spans="3:4" x14ac:dyDescent="0.25">
      <c r="C141" s="99"/>
      <c r="D141" s="99"/>
    </row>
    <row r="142" spans="3:4" x14ac:dyDescent="0.25">
      <c r="C142" s="99"/>
      <c r="D142" s="99"/>
    </row>
    <row r="143" spans="3:4" x14ac:dyDescent="0.25">
      <c r="C143" s="99"/>
      <c r="D143" s="99"/>
    </row>
    <row r="144" spans="3:4" x14ac:dyDescent="0.25">
      <c r="C144" s="99"/>
      <c r="D144" s="99"/>
    </row>
    <row r="145" spans="3:4" x14ac:dyDescent="0.25">
      <c r="C145" s="99"/>
      <c r="D145" s="99"/>
    </row>
    <row r="146" spans="3:4" x14ac:dyDescent="0.25">
      <c r="C146" s="99"/>
      <c r="D146" s="99"/>
    </row>
    <row r="147" spans="3:4" x14ac:dyDescent="0.25">
      <c r="C147" s="99"/>
      <c r="D147" s="99"/>
    </row>
    <row r="148" spans="3:4" x14ac:dyDescent="0.25">
      <c r="C148" s="99"/>
      <c r="D148" s="99"/>
    </row>
    <row r="149" spans="3:4" x14ac:dyDescent="0.25">
      <c r="C149" s="99"/>
      <c r="D149" s="99"/>
    </row>
    <row r="150" spans="3:4" x14ac:dyDescent="0.25">
      <c r="C150" s="99"/>
      <c r="D150" s="99"/>
    </row>
    <row r="151" spans="3:4" x14ac:dyDescent="0.25">
      <c r="C151" s="99"/>
      <c r="D151" s="99"/>
    </row>
    <row r="152" spans="3:4" x14ac:dyDescent="0.25">
      <c r="C152" s="99"/>
      <c r="D152" s="99"/>
    </row>
    <row r="153" spans="3:4" x14ac:dyDescent="0.25">
      <c r="C153" s="99"/>
      <c r="D153" s="99"/>
    </row>
    <row r="154" spans="3:4" x14ac:dyDescent="0.25">
      <c r="C154" s="99"/>
      <c r="D154" s="99"/>
    </row>
    <row r="155" spans="3:4" x14ac:dyDescent="0.25">
      <c r="C155" s="99"/>
      <c r="D155" s="99"/>
    </row>
    <row r="156" spans="3:4" x14ac:dyDescent="0.25">
      <c r="C156" s="99"/>
      <c r="D156" s="99"/>
    </row>
    <row r="157" spans="3:4" x14ac:dyDescent="0.25">
      <c r="C157" s="99"/>
      <c r="D157" s="99"/>
    </row>
    <row r="158" spans="3:4" x14ac:dyDescent="0.25">
      <c r="C158" s="99"/>
      <c r="D158" s="99"/>
    </row>
    <row r="159" spans="3:4" x14ac:dyDescent="0.25">
      <c r="C159" s="99"/>
      <c r="D159" s="99"/>
    </row>
    <row r="160" spans="3:4" x14ac:dyDescent="0.25">
      <c r="C160" s="99"/>
      <c r="D160" s="99"/>
    </row>
    <row r="161" spans="3:4" x14ac:dyDescent="0.25">
      <c r="C161" s="99"/>
      <c r="D161" s="99"/>
    </row>
    <row r="162" spans="3:4" x14ac:dyDescent="0.25">
      <c r="C162" s="99"/>
      <c r="D162" s="99"/>
    </row>
    <row r="163" spans="3:4" x14ac:dyDescent="0.25">
      <c r="C163" s="99"/>
      <c r="D163" s="99"/>
    </row>
    <row r="164" spans="3:4" x14ac:dyDescent="0.25">
      <c r="C164" s="99"/>
      <c r="D164" s="99"/>
    </row>
    <row r="165" spans="3:4" x14ac:dyDescent="0.25">
      <c r="C165" s="99"/>
      <c r="D165" s="99"/>
    </row>
    <row r="166" spans="3:4" x14ac:dyDescent="0.25">
      <c r="C166" s="99"/>
      <c r="D166" s="99"/>
    </row>
    <row r="167" spans="3:4" x14ac:dyDescent="0.25">
      <c r="C167" s="99"/>
      <c r="D167" s="99"/>
    </row>
    <row r="168" spans="3:4" x14ac:dyDescent="0.25">
      <c r="C168" s="99"/>
      <c r="D168" s="99"/>
    </row>
    <row r="169" spans="3:4" x14ac:dyDescent="0.25">
      <c r="C169" s="99"/>
      <c r="D169" s="99"/>
    </row>
    <row r="170" spans="3:4" x14ac:dyDescent="0.25">
      <c r="C170" s="99"/>
      <c r="D170" s="99"/>
    </row>
    <row r="171" spans="3:4" x14ac:dyDescent="0.25">
      <c r="C171" s="99"/>
      <c r="D171" s="99"/>
    </row>
    <row r="172" spans="3:4" x14ac:dyDescent="0.25">
      <c r="C172" s="99"/>
      <c r="D172" s="99"/>
    </row>
    <row r="173" spans="3:4" x14ac:dyDescent="0.25">
      <c r="C173" s="99"/>
      <c r="D173" s="99"/>
    </row>
    <row r="174" spans="3:4" x14ac:dyDescent="0.25">
      <c r="C174" s="99"/>
      <c r="D174" s="99"/>
    </row>
    <row r="175" spans="3:4" x14ac:dyDescent="0.25">
      <c r="C175" s="99"/>
      <c r="D175" s="99"/>
    </row>
    <row r="176" spans="3:4" x14ac:dyDescent="0.25">
      <c r="C176" s="99"/>
      <c r="D176" s="99"/>
    </row>
    <row r="177" spans="3:4" x14ac:dyDescent="0.25">
      <c r="C177" s="99"/>
      <c r="D177" s="99"/>
    </row>
    <row r="178" spans="3:4" x14ac:dyDescent="0.25">
      <c r="C178" s="99"/>
      <c r="D178" s="99"/>
    </row>
    <row r="179" spans="3:4" x14ac:dyDescent="0.25">
      <c r="C179" s="99"/>
      <c r="D179" s="99"/>
    </row>
    <row r="180" spans="3:4" x14ac:dyDescent="0.25">
      <c r="C180" s="99"/>
      <c r="D180" s="99"/>
    </row>
    <row r="181" spans="3:4" x14ac:dyDescent="0.25">
      <c r="C181" s="99"/>
      <c r="D181" s="99"/>
    </row>
    <row r="182" spans="3:4" x14ac:dyDescent="0.25">
      <c r="C182" s="99"/>
      <c r="D182" s="99"/>
    </row>
    <row r="183" spans="3:4" x14ac:dyDescent="0.25">
      <c r="C183" s="99"/>
      <c r="D183" s="99"/>
    </row>
    <row r="184" spans="3:4" x14ac:dyDescent="0.25">
      <c r="C184" s="99"/>
      <c r="D184" s="99"/>
    </row>
    <row r="185" spans="3:4" x14ac:dyDescent="0.25">
      <c r="C185" s="99"/>
      <c r="D185" s="99"/>
    </row>
    <row r="186" spans="3:4" x14ac:dyDescent="0.25">
      <c r="C186" s="99"/>
      <c r="D186" s="99"/>
    </row>
    <row r="187" spans="3:4" x14ac:dyDescent="0.25">
      <c r="C187" s="99"/>
      <c r="D187" s="99"/>
    </row>
    <row r="188" spans="3:4" x14ac:dyDescent="0.25">
      <c r="C188" s="99"/>
      <c r="D188" s="99"/>
    </row>
    <row r="189" spans="3:4" x14ac:dyDescent="0.25">
      <c r="C189" s="99"/>
      <c r="D189" s="99"/>
    </row>
    <row r="190" spans="3:4" x14ac:dyDescent="0.25">
      <c r="C190" s="99"/>
      <c r="D190" s="99"/>
    </row>
    <row r="191" spans="3:4" x14ac:dyDescent="0.25">
      <c r="C191" s="99"/>
      <c r="D191" s="99"/>
    </row>
    <row r="192" spans="3:4" x14ac:dyDescent="0.25">
      <c r="C192" s="99"/>
      <c r="D192" s="99"/>
    </row>
    <row r="193" spans="3:4" x14ac:dyDescent="0.25">
      <c r="C193" s="99"/>
      <c r="D193" s="99"/>
    </row>
    <row r="194" spans="3:4" x14ac:dyDescent="0.25">
      <c r="C194" s="99"/>
      <c r="D194" s="99"/>
    </row>
    <row r="195" spans="3:4" x14ac:dyDescent="0.25">
      <c r="C195" s="99"/>
      <c r="D195" s="99"/>
    </row>
    <row r="196" spans="3:4" x14ac:dyDescent="0.25">
      <c r="C196" s="99"/>
      <c r="D196" s="99"/>
    </row>
    <row r="197" spans="3:4" x14ac:dyDescent="0.25">
      <c r="C197" s="99"/>
      <c r="D197" s="99"/>
    </row>
    <row r="198" spans="3:4" x14ac:dyDescent="0.25">
      <c r="C198" s="99"/>
      <c r="D198" s="99"/>
    </row>
    <row r="199" spans="3:4" x14ac:dyDescent="0.25">
      <c r="C199" s="99"/>
      <c r="D199" s="99"/>
    </row>
    <row r="200" spans="3:4" x14ac:dyDescent="0.25">
      <c r="C200" s="99"/>
      <c r="D200" s="99"/>
    </row>
    <row r="201" spans="3:4" x14ac:dyDescent="0.25">
      <c r="C201" s="99"/>
      <c r="D201" s="99"/>
    </row>
    <row r="202" spans="3:4" x14ac:dyDescent="0.25">
      <c r="C202" s="99"/>
      <c r="D202" s="99"/>
    </row>
    <row r="203" spans="3:4" x14ac:dyDescent="0.25">
      <c r="C203" s="99"/>
      <c r="D203" s="99"/>
    </row>
    <row r="204" spans="3:4" x14ac:dyDescent="0.25">
      <c r="C204" s="99"/>
      <c r="D204" s="99"/>
    </row>
    <row r="205" spans="3:4" x14ac:dyDescent="0.25">
      <c r="C205" s="99"/>
      <c r="D205" s="99"/>
    </row>
    <row r="206" spans="3:4" x14ac:dyDescent="0.25">
      <c r="C206" s="99"/>
      <c r="D206" s="99"/>
    </row>
    <row r="207" spans="3:4" x14ac:dyDescent="0.25">
      <c r="C207" s="99"/>
      <c r="D207" s="99"/>
    </row>
    <row r="208" spans="3:4" x14ac:dyDescent="0.25">
      <c r="C208" s="99"/>
      <c r="D208" s="99"/>
    </row>
    <row r="209" spans="3:4" x14ac:dyDescent="0.25">
      <c r="C209" s="99"/>
      <c r="D209" s="99"/>
    </row>
    <row r="210" spans="3:4" x14ac:dyDescent="0.25">
      <c r="C210" s="99"/>
      <c r="D210" s="99"/>
    </row>
    <row r="211" spans="3:4" x14ac:dyDescent="0.25">
      <c r="C211" s="99"/>
      <c r="D211" s="99"/>
    </row>
    <row r="212" spans="3:4" x14ac:dyDescent="0.25">
      <c r="C212" s="99"/>
      <c r="D212" s="99"/>
    </row>
    <row r="213" spans="3:4" x14ac:dyDescent="0.25">
      <c r="C213" s="99"/>
      <c r="D213" s="99"/>
    </row>
    <row r="214" spans="3:4" x14ac:dyDescent="0.25">
      <c r="C214" s="99"/>
      <c r="D214" s="99"/>
    </row>
    <row r="215" spans="3:4" x14ac:dyDescent="0.25">
      <c r="C215" s="99"/>
      <c r="D215" s="99"/>
    </row>
    <row r="216" spans="3:4" x14ac:dyDescent="0.25">
      <c r="C216" s="99"/>
      <c r="D216" s="99"/>
    </row>
    <row r="217" spans="3:4" x14ac:dyDescent="0.25">
      <c r="C217" s="99"/>
      <c r="D217" s="99"/>
    </row>
    <row r="218" spans="3:4" x14ac:dyDescent="0.25">
      <c r="C218" s="99"/>
      <c r="D218" s="99"/>
    </row>
    <row r="219" spans="3:4" x14ac:dyDescent="0.25">
      <c r="C219" s="99"/>
      <c r="D219" s="99"/>
    </row>
    <row r="220" spans="3:4" x14ac:dyDescent="0.25">
      <c r="C220" s="99"/>
      <c r="D220" s="99"/>
    </row>
    <row r="221" spans="3:4" x14ac:dyDescent="0.25">
      <c r="C221" s="99"/>
      <c r="D221" s="99"/>
    </row>
    <row r="222" spans="3:4" x14ac:dyDescent="0.25">
      <c r="C222" s="99"/>
      <c r="D222" s="99"/>
    </row>
    <row r="223" spans="3:4" x14ac:dyDescent="0.25">
      <c r="C223" s="99"/>
      <c r="D223" s="99"/>
    </row>
    <row r="224" spans="3:4" x14ac:dyDescent="0.25">
      <c r="C224" s="99"/>
      <c r="D224" s="99"/>
    </row>
    <row r="225" spans="3:4" x14ac:dyDescent="0.25">
      <c r="C225" s="99"/>
      <c r="D225" s="99"/>
    </row>
    <row r="226" spans="3:4" x14ac:dyDescent="0.25">
      <c r="C226" s="99"/>
      <c r="D226" s="99"/>
    </row>
    <row r="227" spans="3:4" x14ac:dyDescent="0.25">
      <c r="C227" s="99"/>
      <c r="D227" s="99"/>
    </row>
    <row r="228" spans="3:4" x14ac:dyDescent="0.25">
      <c r="C228" s="99"/>
      <c r="D228" s="99"/>
    </row>
    <row r="229" spans="3:4" x14ac:dyDescent="0.25">
      <c r="C229" s="99"/>
      <c r="D229" s="99"/>
    </row>
    <row r="230" spans="3:4" x14ac:dyDescent="0.25">
      <c r="C230" s="99"/>
      <c r="D230" s="99"/>
    </row>
    <row r="231" spans="3:4" x14ac:dyDescent="0.25">
      <c r="C231" s="99"/>
      <c r="D231" s="99"/>
    </row>
    <row r="232" spans="3:4" x14ac:dyDescent="0.25">
      <c r="C232" s="99"/>
      <c r="D232" s="99"/>
    </row>
    <row r="233" spans="3:4" x14ac:dyDescent="0.25">
      <c r="C233" s="99"/>
      <c r="D233" s="99"/>
    </row>
    <row r="234" spans="3:4" x14ac:dyDescent="0.25">
      <c r="C234" s="99"/>
      <c r="D234" s="99"/>
    </row>
    <row r="235" spans="3:4" x14ac:dyDescent="0.25">
      <c r="C235" s="99"/>
      <c r="D235" s="99"/>
    </row>
    <row r="236" spans="3:4" x14ac:dyDescent="0.25">
      <c r="C236" s="99"/>
      <c r="D236" s="99"/>
    </row>
    <row r="237" spans="3:4" x14ac:dyDescent="0.25">
      <c r="C237" s="99"/>
      <c r="D237" s="99"/>
    </row>
    <row r="238" spans="3:4" x14ac:dyDescent="0.25">
      <c r="C238" s="99"/>
      <c r="D238" s="99"/>
    </row>
    <row r="239" spans="3:4" x14ac:dyDescent="0.25">
      <c r="C239" s="99"/>
      <c r="D239" s="99"/>
    </row>
    <row r="240" spans="3:4" x14ac:dyDescent="0.25">
      <c r="C240" s="99"/>
      <c r="D240" s="99"/>
    </row>
    <row r="241" spans="3:4" x14ac:dyDescent="0.25">
      <c r="C241" s="99"/>
      <c r="D241" s="99"/>
    </row>
    <row r="242" spans="3:4" x14ac:dyDescent="0.25">
      <c r="C242" s="99"/>
      <c r="D242" s="99"/>
    </row>
    <row r="243" spans="3:4" x14ac:dyDescent="0.25">
      <c r="C243" s="99"/>
      <c r="D243" s="99"/>
    </row>
    <row r="244" spans="3:4" x14ac:dyDescent="0.25">
      <c r="C244" s="99"/>
      <c r="D244" s="99"/>
    </row>
    <row r="245" spans="3:4" x14ac:dyDescent="0.25">
      <c r="C245" s="99"/>
      <c r="D245" s="99"/>
    </row>
    <row r="246" spans="3:4" x14ac:dyDescent="0.25">
      <c r="C246" s="99"/>
      <c r="D246" s="99"/>
    </row>
    <row r="247" spans="3:4" x14ac:dyDescent="0.25">
      <c r="C247" s="99"/>
      <c r="D247" s="99"/>
    </row>
    <row r="248" spans="3:4" x14ac:dyDescent="0.25">
      <c r="C248" s="99"/>
      <c r="D248" s="99"/>
    </row>
    <row r="249" spans="3:4" x14ac:dyDescent="0.25">
      <c r="C249" s="99"/>
      <c r="D249" s="99"/>
    </row>
    <row r="250" spans="3:4" x14ac:dyDescent="0.25">
      <c r="C250" s="99"/>
      <c r="D250" s="99"/>
    </row>
    <row r="251" spans="3:4" x14ac:dyDescent="0.25">
      <c r="C251" s="99"/>
      <c r="D251" s="99"/>
    </row>
    <row r="252" spans="3:4" x14ac:dyDescent="0.25">
      <c r="C252" s="99"/>
      <c r="D252" s="99"/>
    </row>
    <row r="253" spans="3:4" x14ac:dyDescent="0.25">
      <c r="C253" s="99"/>
      <c r="D253" s="99"/>
    </row>
    <row r="254" spans="3:4" x14ac:dyDescent="0.25">
      <c r="C254" s="99"/>
      <c r="D254" s="99"/>
    </row>
    <row r="255" spans="3:4" x14ac:dyDescent="0.25">
      <c r="C255" s="99"/>
      <c r="D255" s="99"/>
    </row>
    <row r="256" spans="3:4" x14ac:dyDescent="0.25">
      <c r="C256" s="99"/>
      <c r="D256" s="99"/>
    </row>
    <row r="257" spans="3:4" x14ac:dyDescent="0.25">
      <c r="C257" s="99"/>
      <c r="D257" s="99"/>
    </row>
    <row r="258" spans="3:4" x14ac:dyDescent="0.25">
      <c r="C258" s="99"/>
      <c r="D258" s="99"/>
    </row>
    <row r="259" spans="3:4" x14ac:dyDescent="0.25">
      <c r="C259" s="99"/>
      <c r="D259" s="99"/>
    </row>
    <row r="260" spans="3:4" x14ac:dyDescent="0.25">
      <c r="C260" s="99"/>
      <c r="D260" s="99"/>
    </row>
    <row r="261" spans="3:4" x14ac:dyDescent="0.25">
      <c r="C261" s="99"/>
      <c r="D261" s="99"/>
    </row>
    <row r="262" spans="3:4" x14ac:dyDescent="0.25">
      <c r="C262" s="99"/>
      <c r="D262" s="99"/>
    </row>
    <row r="263" spans="3:4" x14ac:dyDescent="0.25">
      <c r="C263" s="99"/>
      <c r="D263" s="99"/>
    </row>
    <row r="264" spans="3:4" x14ac:dyDescent="0.25">
      <c r="C264" s="99"/>
      <c r="D264" s="99"/>
    </row>
    <row r="265" spans="3:4" x14ac:dyDescent="0.25">
      <c r="C265" s="99"/>
      <c r="D265" s="99"/>
    </row>
    <row r="266" spans="3:4" x14ac:dyDescent="0.25">
      <c r="C266" s="99"/>
      <c r="D266" s="99"/>
    </row>
    <row r="267" spans="3:4" x14ac:dyDescent="0.25">
      <c r="C267" s="99"/>
      <c r="D267" s="99"/>
    </row>
    <row r="268" spans="3:4" x14ac:dyDescent="0.25">
      <c r="C268" s="99"/>
      <c r="D268" s="99"/>
    </row>
    <row r="269" spans="3:4" x14ac:dyDescent="0.25">
      <c r="C269" s="99"/>
      <c r="D269" s="99"/>
    </row>
    <row r="270" spans="3:4" x14ac:dyDescent="0.25">
      <c r="C270" s="99"/>
      <c r="D270" s="99"/>
    </row>
    <row r="271" spans="3:4" x14ac:dyDescent="0.25">
      <c r="C271" s="99"/>
      <c r="D271" s="99"/>
    </row>
    <row r="272" spans="3:4" x14ac:dyDescent="0.25">
      <c r="C272" s="99"/>
      <c r="D272" s="99"/>
    </row>
    <row r="273" spans="3:4" x14ac:dyDescent="0.25">
      <c r="C273" s="99"/>
      <c r="D273" s="99"/>
    </row>
    <row r="274" spans="3:4" x14ac:dyDescent="0.25">
      <c r="C274" s="99"/>
      <c r="D274" s="99"/>
    </row>
    <row r="275" spans="3:4" x14ac:dyDescent="0.25">
      <c r="C275" s="99"/>
      <c r="D275" s="99"/>
    </row>
    <row r="276" spans="3:4" x14ac:dyDescent="0.25">
      <c r="C276" s="99"/>
      <c r="D276" s="99"/>
    </row>
    <row r="277" spans="3:4" x14ac:dyDescent="0.25">
      <c r="C277" s="99"/>
      <c r="D277" s="99"/>
    </row>
    <row r="278" spans="3:4" x14ac:dyDescent="0.25">
      <c r="C278" s="99"/>
      <c r="D278" s="99"/>
    </row>
    <row r="279" spans="3:4" x14ac:dyDescent="0.25">
      <c r="C279" s="99"/>
      <c r="D279" s="99"/>
    </row>
    <row r="280" spans="3:4" x14ac:dyDescent="0.25">
      <c r="C280" s="99"/>
      <c r="D280" s="99"/>
    </row>
    <row r="281" spans="3:4" x14ac:dyDescent="0.25">
      <c r="C281" s="99"/>
      <c r="D281" s="99"/>
    </row>
    <row r="282" spans="3:4" x14ac:dyDescent="0.25">
      <c r="C282" s="99"/>
      <c r="D282" s="99"/>
    </row>
    <row r="283" spans="3:4" x14ac:dyDescent="0.25">
      <c r="C283" s="99"/>
      <c r="D283" s="99"/>
    </row>
    <row r="284" spans="3:4" x14ac:dyDescent="0.25">
      <c r="C284" s="99"/>
      <c r="D284" s="99"/>
    </row>
    <row r="285" spans="3:4" x14ac:dyDescent="0.25">
      <c r="C285" s="99"/>
      <c r="D285" s="99"/>
    </row>
    <row r="286" spans="3:4" x14ac:dyDescent="0.25">
      <c r="C286" s="99"/>
      <c r="D286" s="99"/>
    </row>
    <row r="287" spans="3:4" x14ac:dyDescent="0.25">
      <c r="C287" s="99"/>
      <c r="D287" s="99"/>
    </row>
    <row r="288" spans="3:4" x14ac:dyDescent="0.25">
      <c r="C288" s="99"/>
      <c r="D288" s="99"/>
    </row>
    <row r="289" spans="3:4" x14ac:dyDescent="0.25">
      <c r="C289" s="99"/>
      <c r="D289" s="99"/>
    </row>
    <row r="290" spans="3:4" x14ac:dyDescent="0.25">
      <c r="C290" s="99"/>
      <c r="D290" s="99"/>
    </row>
    <row r="291" spans="3:4" x14ac:dyDescent="0.25">
      <c r="C291" s="99"/>
      <c r="D291" s="99"/>
    </row>
    <row r="292" spans="3:4" x14ac:dyDescent="0.25">
      <c r="C292" s="99"/>
      <c r="D292" s="99"/>
    </row>
    <row r="293" spans="3:4" x14ac:dyDescent="0.25">
      <c r="C293" s="99"/>
      <c r="D293" s="99"/>
    </row>
    <row r="294" spans="3:4" x14ac:dyDescent="0.25">
      <c r="C294" s="99"/>
      <c r="D294" s="99"/>
    </row>
    <row r="295" spans="3:4" x14ac:dyDescent="0.25">
      <c r="C295" s="99"/>
      <c r="D295" s="99"/>
    </row>
    <row r="296" spans="3:4" x14ac:dyDescent="0.25">
      <c r="C296" s="99"/>
      <c r="D296" s="99"/>
    </row>
    <row r="297" spans="3:4" x14ac:dyDescent="0.25">
      <c r="C297" s="99"/>
      <c r="D297" s="99"/>
    </row>
    <row r="298" spans="3:4" x14ac:dyDescent="0.25">
      <c r="C298" s="99"/>
      <c r="D298" s="99"/>
    </row>
    <row r="299" spans="3:4" x14ac:dyDescent="0.25">
      <c r="C299" s="99"/>
      <c r="D299" s="99"/>
    </row>
    <row r="300" spans="3:4" x14ac:dyDescent="0.25">
      <c r="C300" s="99"/>
      <c r="D300" s="99"/>
    </row>
    <row r="301" spans="3:4" x14ac:dyDescent="0.25">
      <c r="C301" s="99"/>
      <c r="D301" s="99"/>
    </row>
    <row r="302" spans="3:4" x14ac:dyDescent="0.25">
      <c r="C302" s="99"/>
      <c r="D302" s="99"/>
    </row>
    <row r="303" spans="3:4" x14ac:dyDescent="0.25">
      <c r="C303" s="99"/>
      <c r="D303" s="99"/>
    </row>
    <row r="304" spans="3:4" x14ac:dyDescent="0.25">
      <c r="C304" s="99"/>
      <c r="D304" s="99"/>
    </row>
    <row r="305" spans="3:4" x14ac:dyDescent="0.25">
      <c r="C305" s="99"/>
      <c r="D305" s="99"/>
    </row>
    <row r="306" spans="3:4" x14ac:dyDescent="0.25">
      <c r="C306" s="99"/>
      <c r="D306" s="99"/>
    </row>
    <row r="307" spans="3:4" x14ac:dyDescent="0.25">
      <c r="C307" s="99"/>
      <c r="D307" s="99"/>
    </row>
    <row r="308" spans="3:4" x14ac:dyDescent="0.25">
      <c r="C308" s="99"/>
      <c r="D308" s="99"/>
    </row>
    <row r="309" spans="3:4" x14ac:dyDescent="0.25">
      <c r="C309" s="99"/>
      <c r="D309" s="99"/>
    </row>
    <row r="310" spans="3:4" x14ac:dyDescent="0.25">
      <c r="C310" s="99"/>
      <c r="D310" s="99"/>
    </row>
    <row r="311" spans="3:4" x14ac:dyDescent="0.25">
      <c r="C311" s="99"/>
      <c r="D311" s="99"/>
    </row>
    <row r="312" spans="3:4" x14ac:dyDescent="0.25">
      <c r="C312" s="99"/>
      <c r="D312" s="99"/>
    </row>
    <row r="313" spans="3:4" x14ac:dyDescent="0.25">
      <c r="C313" s="99"/>
      <c r="D313" s="99"/>
    </row>
    <row r="314" spans="3:4" x14ac:dyDescent="0.25">
      <c r="C314" s="99"/>
      <c r="D314" s="99"/>
    </row>
    <row r="315" spans="3:4" x14ac:dyDescent="0.25">
      <c r="C315" s="99"/>
      <c r="D315" s="99"/>
    </row>
    <row r="316" spans="3:4" x14ac:dyDescent="0.25">
      <c r="C316" s="99"/>
      <c r="D316" s="99"/>
    </row>
    <row r="317" spans="3:4" x14ac:dyDescent="0.25">
      <c r="C317" s="99"/>
      <c r="D317" s="99"/>
    </row>
    <row r="318" spans="3:4" x14ac:dyDescent="0.25">
      <c r="C318" s="99"/>
      <c r="D318" s="99"/>
    </row>
    <row r="319" spans="3:4" x14ac:dyDescent="0.25">
      <c r="C319" s="99"/>
      <c r="D319" s="99"/>
    </row>
    <row r="320" spans="3:4" x14ac:dyDescent="0.25">
      <c r="C320" s="99"/>
      <c r="D320" s="99"/>
    </row>
    <row r="321" spans="3:4" x14ac:dyDescent="0.25">
      <c r="C321" s="99"/>
      <c r="D321" s="99"/>
    </row>
    <row r="322" spans="3:4" x14ac:dyDescent="0.25">
      <c r="C322" s="99"/>
      <c r="D322" s="99"/>
    </row>
    <row r="323" spans="3:4" x14ac:dyDescent="0.25">
      <c r="C323" s="99"/>
      <c r="D323" s="99"/>
    </row>
    <row r="324" spans="3:4" x14ac:dyDescent="0.25">
      <c r="C324" s="99"/>
      <c r="D324" s="99"/>
    </row>
    <row r="325" spans="3:4" x14ac:dyDescent="0.25">
      <c r="C325" s="99"/>
      <c r="D325" s="99"/>
    </row>
    <row r="326" spans="3:4" x14ac:dyDescent="0.25">
      <c r="C326" s="99"/>
      <c r="D326" s="99"/>
    </row>
    <row r="327" spans="3:4" x14ac:dyDescent="0.25">
      <c r="C327" s="99"/>
      <c r="D327" s="99"/>
    </row>
    <row r="328" spans="3:4" x14ac:dyDescent="0.25">
      <c r="C328" s="99"/>
      <c r="D328" s="99"/>
    </row>
    <row r="329" spans="3:4" x14ac:dyDescent="0.25">
      <c r="C329" s="99"/>
      <c r="D329" s="99"/>
    </row>
    <row r="330" spans="3:4" x14ac:dyDescent="0.25">
      <c r="C330" s="99"/>
      <c r="D330" s="99"/>
    </row>
    <row r="331" spans="3:4" x14ac:dyDescent="0.25">
      <c r="C331" s="99"/>
      <c r="D331" s="99"/>
    </row>
    <row r="332" spans="3:4" x14ac:dyDescent="0.25">
      <c r="C332" s="99"/>
      <c r="D332" s="99"/>
    </row>
    <row r="333" spans="3:4" x14ac:dyDescent="0.25">
      <c r="C333" s="99"/>
      <c r="D333" s="99"/>
    </row>
    <row r="334" spans="3:4" x14ac:dyDescent="0.25">
      <c r="C334" s="99"/>
      <c r="D334" s="99"/>
    </row>
    <row r="335" spans="3:4" x14ac:dyDescent="0.25">
      <c r="C335" s="99"/>
      <c r="D335" s="99"/>
    </row>
    <row r="336" spans="3:4" x14ac:dyDescent="0.25">
      <c r="C336" s="99"/>
      <c r="D336" s="99"/>
    </row>
    <row r="337" spans="3:4" x14ac:dyDescent="0.25">
      <c r="C337" s="99"/>
      <c r="D337" s="99"/>
    </row>
    <row r="338" spans="3:4" x14ac:dyDescent="0.25">
      <c r="C338" s="99"/>
      <c r="D338" s="99"/>
    </row>
    <row r="339" spans="3:4" x14ac:dyDescent="0.25">
      <c r="C339" s="99"/>
      <c r="D339" s="99"/>
    </row>
    <row r="340" spans="3:4" x14ac:dyDescent="0.25">
      <c r="C340" s="99"/>
      <c r="D340" s="99"/>
    </row>
    <row r="341" spans="3:4" x14ac:dyDescent="0.25">
      <c r="C341" s="99"/>
      <c r="D341" s="99"/>
    </row>
    <row r="342" spans="3:4" x14ac:dyDescent="0.25">
      <c r="C342" s="99"/>
      <c r="D342" s="99"/>
    </row>
    <row r="343" spans="3:4" x14ac:dyDescent="0.25">
      <c r="C343" s="99"/>
      <c r="D343" s="99"/>
    </row>
    <row r="344" spans="3:4" x14ac:dyDescent="0.25">
      <c r="C344" s="99"/>
      <c r="D344" s="99"/>
    </row>
    <row r="345" spans="3:4" x14ac:dyDescent="0.25">
      <c r="C345" s="99"/>
      <c r="D345" s="99"/>
    </row>
    <row r="346" spans="3:4" x14ac:dyDescent="0.25">
      <c r="C346" s="99"/>
      <c r="D346" s="99"/>
    </row>
    <row r="347" spans="3:4" x14ac:dyDescent="0.25">
      <c r="C347" s="99"/>
      <c r="D347" s="99"/>
    </row>
    <row r="348" spans="3:4" x14ac:dyDescent="0.25">
      <c r="C348" s="99"/>
      <c r="D348" s="99"/>
    </row>
    <row r="349" spans="3:4" x14ac:dyDescent="0.25">
      <c r="C349" s="99"/>
      <c r="D349" s="99"/>
    </row>
    <row r="350" spans="3:4" x14ac:dyDescent="0.25">
      <c r="C350" s="99"/>
      <c r="D350" s="99"/>
    </row>
    <row r="351" spans="3:4" x14ac:dyDescent="0.25">
      <c r="C351" s="99"/>
      <c r="D351" s="99"/>
    </row>
    <row r="352" spans="3:4" x14ac:dyDescent="0.25">
      <c r="C352" s="99"/>
      <c r="D352" s="99"/>
    </row>
    <row r="353" spans="3:4" x14ac:dyDescent="0.25">
      <c r="C353" s="99"/>
      <c r="D353" s="99"/>
    </row>
    <row r="354" spans="3:4" x14ac:dyDescent="0.25">
      <c r="C354" s="99"/>
      <c r="D354" s="99"/>
    </row>
    <row r="355" spans="3:4" x14ac:dyDescent="0.25">
      <c r="C355" s="99"/>
      <c r="D355" s="99"/>
    </row>
    <row r="356" spans="3:4" x14ac:dyDescent="0.25">
      <c r="C356" s="99"/>
      <c r="D356" s="99"/>
    </row>
    <row r="357" spans="3:4" x14ac:dyDescent="0.25">
      <c r="C357" s="99"/>
      <c r="D357" s="99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CFEC-BF07-428B-B8F3-3FBD6E44BA43}">
  <sheetPr codeName="Sheet17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4" bestFit="1" customWidth="1"/>
    <col min="2" max="2" width="8.625" style="100" bestFit="1" customWidth="1"/>
    <col min="3" max="3" width="8.625" bestFit="1" customWidth="1"/>
    <col min="4" max="4" width="8.25" bestFit="1" customWidth="1"/>
  </cols>
  <sheetData>
    <row r="1" spans="1:5" ht="17.25" x14ac:dyDescent="0.25">
      <c r="A1" s="101" t="s">
        <v>529</v>
      </c>
      <c r="B1" s="140" t="s">
        <v>530</v>
      </c>
      <c r="C1" s="140" t="s">
        <v>531</v>
      </c>
      <c r="D1" s="96" t="s">
        <v>532</v>
      </c>
      <c r="E1" s="178" t="s">
        <v>533</v>
      </c>
    </row>
    <row r="2" spans="1:5" x14ac:dyDescent="0.25">
      <c r="A2" s="102" t="s">
        <v>569</v>
      </c>
      <c r="B2" s="121">
        <v>40</v>
      </c>
      <c r="C2" s="121">
        <v>48</v>
      </c>
      <c r="D2" s="97">
        <v>10</v>
      </c>
      <c r="E2" s="178"/>
    </row>
    <row r="3" spans="1:5" ht="18.75" x14ac:dyDescent="0.25">
      <c r="A3" s="103" t="s">
        <v>534</v>
      </c>
      <c r="B3" s="98" t="s">
        <v>535</v>
      </c>
      <c r="C3" s="98" t="s">
        <v>536</v>
      </c>
      <c r="D3" s="98" t="s">
        <v>537</v>
      </c>
    </row>
    <row r="4" spans="1:5" x14ac:dyDescent="0.25">
      <c r="A4" s="122">
        <v>40</v>
      </c>
      <c r="B4" s="99">
        <v>7.4712044222981895</v>
      </c>
      <c r="C4" s="122">
        <v>44.895867530708244</v>
      </c>
      <c r="D4" s="122">
        <v>4.7515307506452062</v>
      </c>
    </row>
    <row r="5" spans="1:5" x14ac:dyDescent="0.25">
      <c r="A5" s="122">
        <v>40.799999999999997</v>
      </c>
      <c r="B5" s="99">
        <v>7.1239613404396112</v>
      </c>
      <c r="C5" s="99"/>
      <c r="D5" s="99"/>
    </row>
    <row r="6" spans="1:5" x14ac:dyDescent="0.25">
      <c r="A6" s="122">
        <v>41.6</v>
      </c>
      <c r="B6" s="99">
        <v>6.8501062601030362</v>
      </c>
      <c r="C6" s="99"/>
      <c r="D6" s="99"/>
    </row>
    <row r="7" spans="1:5" x14ac:dyDescent="0.25">
      <c r="A7" s="122">
        <v>42.4</v>
      </c>
      <c r="B7" s="99">
        <v>6.6448277844984789</v>
      </c>
      <c r="C7" s="99"/>
      <c r="D7" s="99"/>
    </row>
    <row r="8" spans="1:5" x14ac:dyDescent="0.25">
      <c r="A8" s="122">
        <v>43.2</v>
      </c>
      <c r="B8" s="99">
        <v>6.5036828710431136</v>
      </c>
      <c r="C8" s="99"/>
      <c r="D8" s="99"/>
    </row>
    <row r="9" spans="1:5" x14ac:dyDescent="0.25">
      <c r="A9" s="122">
        <v>44</v>
      </c>
      <c r="B9" s="99">
        <v>6.4225535360655348</v>
      </c>
      <c r="C9" s="99"/>
      <c r="D9" s="99"/>
    </row>
    <row r="10" spans="1:5" x14ac:dyDescent="0.25">
      <c r="A10" s="122">
        <v>44.8</v>
      </c>
      <c r="B10" s="99">
        <v>6.3976082404875418</v>
      </c>
      <c r="C10" s="99"/>
      <c r="D10" s="99"/>
    </row>
    <row r="11" spans="1:5" x14ac:dyDescent="0.25">
      <c r="A11" s="122">
        <v>45.6</v>
      </c>
      <c r="B11" s="99">
        <v>6.4252678837373161</v>
      </c>
      <c r="C11" s="99"/>
      <c r="D11" s="99"/>
    </row>
    <row r="12" spans="1:5" x14ac:dyDescent="0.25">
      <c r="A12" s="122">
        <v>46.4</v>
      </c>
      <c r="B12" s="99">
        <v>6.5021762013828113</v>
      </c>
      <c r="C12" s="99"/>
      <c r="D12" s="99"/>
    </row>
    <row r="13" spans="1:5" x14ac:dyDescent="0.25">
      <c r="A13" s="122">
        <v>47.2</v>
      </c>
      <c r="B13" s="99">
        <v>6.6251742711894224</v>
      </c>
      <c r="C13" s="99"/>
      <c r="D13" s="99"/>
    </row>
    <row r="14" spans="1:5" x14ac:dyDescent="0.25">
      <c r="A14" s="122">
        <v>48</v>
      </c>
      <c r="B14" s="99">
        <v>6.791278775341512</v>
      </c>
      <c r="C14" s="99"/>
      <c r="D14" s="99"/>
    </row>
    <row r="15" spans="1:5" x14ac:dyDescent="0.25">
      <c r="A15" s="122"/>
      <c r="B15" s="99"/>
      <c r="C15" s="99"/>
      <c r="D15" s="99"/>
    </row>
    <row r="16" spans="1:5" x14ac:dyDescent="0.25">
      <c r="A16" s="122"/>
      <c r="B16" s="99"/>
      <c r="C16" s="99"/>
      <c r="D16" s="99"/>
    </row>
    <row r="17" spans="1:4" x14ac:dyDescent="0.25">
      <c r="A17" s="122"/>
      <c r="B17" s="99"/>
      <c r="C17" s="99"/>
      <c r="D17" s="99"/>
    </row>
    <row r="18" spans="1:4" x14ac:dyDescent="0.25">
      <c r="A18" s="122"/>
      <c r="B18" s="99"/>
      <c r="C18" s="99"/>
      <c r="D18" s="99"/>
    </row>
    <row r="19" spans="1:4" x14ac:dyDescent="0.25">
      <c r="A19" s="122"/>
      <c r="B19" s="99"/>
      <c r="C19" s="99"/>
      <c r="D19" s="99"/>
    </row>
    <row r="20" spans="1:4" x14ac:dyDescent="0.25">
      <c r="A20" s="122"/>
      <c r="B20" s="99"/>
      <c r="C20" s="99"/>
      <c r="D20" s="99"/>
    </row>
    <row r="21" spans="1:4" x14ac:dyDescent="0.25">
      <c r="A21" s="122"/>
      <c r="B21" s="99"/>
      <c r="C21" s="99"/>
      <c r="D21" s="99"/>
    </row>
    <row r="22" spans="1:4" x14ac:dyDescent="0.25">
      <c r="A22" s="122"/>
      <c r="B22" s="99"/>
      <c r="C22" s="99"/>
      <c r="D22" s="99"/>
    </row>
    <row r="23" spans="1:4" x14ac:dyDescent="0.25">
      <c r="A23" s="122"/>
      <c r="B23" s="99"/>
      <c r="C23" s="99"/>
      <c r="D23" s="99"/>
    </row>
    <row r="24" spans="1:4" x14ac:dyDescent="0.25">
      <c r="A24" s="122"/>
      <c r="B24" s="99"/>
      <c r="C24" s="99"/>
      <c r="D24" s="99"/>
    </row>
    <row r="25" spans="1:4" x14ac:dyDescent="0.25">
      <c r="B25" s="99"/>
      <c r="C25" s="99"/>
      <c r="D25" s="99"/>
    </row>
    <row r="26" spans="1:4" x14ac:dyDescent="0.25">
      <c r="B26" s="99"/>
      <c r="C26" s="99"/>
      <c r="D26" s="99"/>
    </row>
    <row r="27" spans="1:4" x14ac:dyDescent="0.25">
      <c r="B27" s="99"/>
      <c r="C27" s="99"/>
      <c r="D27" s="99"/>
    </row>
    <row r="28" spans="1:4" x14ac:dyDescent="0.25">
      <c r="B28" s="99"/>
      <c r="C28" s="99"/>
      <c r="D28" s="99"/>
    </row>
    <row r="29" spans="1:4" x14ac:dyDescent="0.25">
      <c r="B29" s="99"/>
      <c r="C29" s="99"/>
      <c r="D29" s="99"/>
    </row>
    <row r="30" spans="1:4" x14ac:dyDescent="0.25">
      <c r="B30" s="99"/>
      <c r="C30" s="99"/>
      <c r="D30" s="99"/>
    </row>
    <row r="31" spans="1:4" x14ac:dyDescent="0.25">
      <c r="B31" s="99"/>
      <c r="C31" s="99"/>
      <c r="D31" s="99"/>
    </row>
    <row r="32" spans="1:4" x14ac:dyDescent="0.25">
      <c r="B32" s="99"/>
      <c r="C32" s="99"/>
      <c r="D32" s="99"/>
    </row>
    <row r="33" spans="2:4" x14ac:dyDescent="0.25">
      <c r="B33" s="99"/>
      <c r="C33" s="99"/>
      <c r="D33" s="99"/>
    </row>
    <row r="34" spans="2:4" x14ac:dyDescent="0.25">
      <c r="B34" s="99"/>
      <c r="C34" s="99"/>
      <c r="D34" s="99"/>
    </row>
    <row r="35" spans="2:4" x14ac:dyDescent="0.25">
      <c r="C35" s="99"/>
      <c r="D35" s="99"/>
    </row>
    <row r="36" spans="2:4" x14ac:dyDescent="0.25">
      <c r="C36" s="99"/>
      <c r="D36" s="99"/>
    </row>
    <row r="37" spans="2:4" x14ac:dyDescent="0.25">
      <c r="C37" s="99"/>
      <c r="D37" s="99"/>
    </row>
    <row r="38" spans="2:4" x14ac:dyDescent="0.25">
      <c r="C38" s="99"/>
      <c r="D38" s="99"/>
    </row>
    <row r="39" spans="2:4" x14ac:dyDescent="0.25">
      <c r="C39" s="99"/>
      <c r="D39" s="99"/>
    </row>
    <row r="40" spans="2:4" x14ac:dyDescent="0.25">
      <c r="C40" s="99"/>
      <c r="D40" s="99"/>
    </row>
    <row r="41" spans="2:4" x14ac:dyDescent="0.25">
      <c r="C41" s="99"/>
      <c r="D41" s="99"/>
    </row>
    <row r="42" spans="2:4" x14ac:dyDescent="0.25">
      <c r="C42" s="99"/>
      <c r="D42" s="99"/>
    </row>
    <row r="43" spans="2:4" x14ac:dyDescent="0.25">
      <c r="C43" s="99"/>
      <c r="D43" s="99"/>
    </row>
    <row r="44" spans="2:4" x14ac:dyDescent="0.25">
      <c r="C44" s="99"/>
      <c r="D44" s="99"/>
    </row>
    <row r="45" spans="2:4" x14ac:dyDescent="0.25">
      <c r="C45" s="99"/>
      <c r="D45" s="99"/>
    </row>
    <row r="46" spans="2:4" x14ac:dyDescent="0.25">
      <c r="C46" s="99"/>
      <c r="D46" s="99"/>
    </row>
    <row r="47" spans="2:4" x14ac:dyDescent="0.25">
      <c r="C47" s="99"/>
      <c r="D47" s="99"/>
    </row>
    <row r="48" spans="2:4" x14ac:dyDescent="0.25">
      <c r="C48" s="99"/>
      <c r="D48" s="99"/>
    </row>
    <row r="49" spans="3:4" x14ac:dyDescent="0.25">
      <c r="C49" s="99"/>
      <c r="D49" s="99"/>
    </row>
    <row r="50" spans="3:4" x14ac:dyDescent="0.25">
      <c r="C50" s="99"/>
      <c r="D50" s="99"/>
    </row>
    <row r="51" spans="3:4" x14ac:dyDescent="0.25">
      <c r="C51" s="99"/>
      <c r="D51" s="99"/>
    </row>
    <row r="52" spans="3:4" x14ac:dyDescent="0.25">
      <c r="C52" s="99"/>
      <c r="D52" s="99"/>
    </row>
    <row r="53" spans="3:4" x14ac:dyDescent="0.25">
      <c r="C53" s="99"/>
      <c r="D53" s="99"/>
    </row>
    <row r="54" spans="3:4" x14ac:dyDescent="0.25">
      <c r="C54" s="99"/>
      <c r="D54" s="99"/>
    </row>
    <row r="55" spans="3:4" x14ac:dyDescent="0.25">
      <c r="C55" s="99"/>
      <c r="D55" s="99"/>
    </row>
    <row r="56" spans="3:4" x14ac:dyDescent="0.25">
      <c r="C56" s="99"/>
      <c r="D56" s="99"/>
    </row>
    <row r="57" spans="3:4" x14ac:dyDescent="0.25">
      <c r="C57" s="99"/>
      <c r="D57" s="99"/>
    </row>
    <row r="58" spans="3:4" x14ac:dyDescent="0.25">
      <c r="C58" s="99"/>
      <c r="D58" s="99"/>
    </row>
    <row r="59" spans="3:4" x14ac:dyDescent="0.25">
      <c r="C59" s="99"/>
      <c r="D59" s="99"/>
    </row>
    <row r="60" spans="3:4" x14ac:dyDescent="0.25">
      <c r="C60" s="99"/>
      <c r="D60" s="99"/>
    </row>
    <row r="61" spans="3:4" x14ac:dyDescent="0.25">
      <c r="C61" s="99"/>
      <c r="D61" s="99"/>
    </row>
    <row r="62" spans="3:4" x14ac:dyDescent="0.25">
      <c r="C62" s="99"/>
      <c r="D62" s="99"/>
    </row>
    <row r="63" spans="3:4" x14ac:dyDescent="0.25">
      <c r="C63" s="99"/>
      <c r="D63" s="99"/>
    </row>
    <row r="64" spans="3:4" x14ac:dyDescent="0.25">
      <c r="C64" s="99"/>
      <c r="D64" s="99"/>
    </row>
    <row r="65" spans="3:4" x14ac:dyDescent="0.25">
      <c r="C65" s="99"/>
      <c r="D65" s="99"/>
    </row>
    <row r="66" spans="3:4" x14ac:dyDescent="0.25">
      <c r="C66" s="99"/>
      <c r="D66" s="99"/>
    </row>
    <row r="67" spans="3:4" x14ac:dyDescent="0.25">
      <c r="C67" s="99"/>
      <c r="D67" s="99"/>
    </row>
    <row r="68" spans="3:4" x14ac:dyDescent="0.25">
      <c r="C68" s="99"/>
      <c r="D68" s="99"/>
    </row>
    <row r="69" spans="3:4" x14ac:dyDescent="0.25">
      <c r="C69" s="99"/>
      <c r="D69" s="99"/>
    </row>
    <row r="70" spans="3:4" x14ac:dyDescent="0.25">
      <c r="C70" s="99"/>
      <c r="D70" s="99"/>
    </row>
    <row r="71" spans="3:4" x14ac:dyDescent="0.25">
      <c r="C71" s="99"/>
      <c r="D71" s="99"/>
    </row>
    <row r="72" spans="3:4" x14ac:dyDescent="0.25">
      <c r="C72" s="99"/>
      <c r="D72" s="99"/>
    </row>
    <row r="73" spans="3:4" x14ac:dyDescent="0.25">
      <c r="C73" s="99"/>
      <c r="D73" s="99"/>
    </row>
    <row r="74" spans="3:4" x14ac:dyDescent="0.25">
      <c r="C74" s="99"/>
      <c r="D74" s="99"/>
    </row>
    <row r="75" spans="3:4" x14ac:dyDescent="0.25">
      <c r="C75" s="99"/>
      <c r="D75" s="99"/>
    </row>
    <row r="76" spans="3:4" x14ac:dyDescent="0.25">
      <c r="C76" s="99"/>
      <c r="D76" s="99"/>
    </row>
    <row r="77" spans="3:4" x14ac:dyDescent="0.25">
      <c r="C77" s="99"/>
      <c r="D77" s="99"/>
    </row>
    <row r="78" spans="3:4" x14ac:dyDescent="0.25">
      <c r="C78" s="99"/>
      <c r="D78" s="99"/>
    </row>
    <row r="79" spans="3:4" x14ac:dyDescent="0.25">
      <c r="C79" s="99"/>
      <c r="D79" s="99"/>
    </row>
    <row r="80" spans="3:4" x14ac:dyDescent="0.25">
      <c r="C80" s="99"/>
      <c r="D80" s="99"/>
    </row>
    <row r="81" spans="3:4" x14ac:dyDescent="0.25">
      <c r="C81" s="99"/>
      <c r="D81" s="99"/>
    </row>
    <row r="82" spans="3:4" x14ac:dyDescent="0.25">
      <c r="C82" s="99"/>
      <c r="D82" s="99"/>
    </row>
    <row r="83" spans="3:4" x14ac:dyDescent="0.25">
      <c r="C83" s="99"/>
      <c r="D83" s="99"/>
    </row>
    <row r="84" spans="3:4" x14ac:dyDescent="0.25">
      <c r="C84" s="99"/>
      <c r="D84" s="99"/>
    </row>
    <row r="85" spans="3:4" x14ac:dyDescent="0.25">
      <c r="C85" s="99"/>
      <c r="D85" s="99"/>
    </row>
    <row r="86" spans="3:4" x14ac:dyDescent="0.25">
      <c r="C86" s="99"/>
      <c r="D86" s="99"/>
    </row>
    <row r="87" spans="3:4" x14ac:dyDescent="0.25">
      <c r="C87" s="99"/>
      <c r="D87" s="99"/>
    </row>
    <row r="88" spans="3:4" x14ac:dyDescent="0.25">
      <c r="C88" s="99"/>
      <c r="D88" s="99"/>
    </row>
    <row r="89" spans="3:4" x14ac:dyDescent="0.25">
      <c r="C89" s="99"/>
      <c r="D89" s="99"/>
    </row>
    <row r="90" spans="3:4" x14ac:dyDescent="0.25">
      <c r="C90" s="99"/>
      <c r="D90" s="99"/>
    </row>
    <row r="91" spans="3:4" x14ac:dyDescent="0.25">
      <c r="C91" s="99"/>
      <c r="D91" s="99"/>
    </row>
    <row r="92" spans="3:4" x14ac:dyDescent="0.25">
      <c r="C92" s="99"/>
      <c r="D92" s="99"/>
    </row>
    <row r="93" spans="3:4" x14ac:dyDescent="0.25">
      <c r="C93" s="99"/>
      <c r="D93" s="99"/>
    </row>
    <row r="94" spans="3:4" x14ac:dyDescent="0.25">
      <c r="C94" s="99"/>
      <c r="D94" s="99"/>
    </row>
    <row r="95" spans="3:4" x14ac:dyDescent="0.25">
      <c r="C95" s="99"/>
      <c r="D95" s="99"/>
    </row>
    <row r="96" spans="3:4" x14ac:dyDescent="0.25">
      <c r="C96" s="99"/>
      <c r="D96" s="99"/>
    </row>
    <row r="97" spans="3:4" x14ac:dyDescent="0.25">
      <c r="C97" s="99"/>
      <c r="D97" s="99"/>
    </row>
    <row r="98" spans="3:4" x14ac:dyDescent="0.25">
      <c r="C98" s="99"/>
      <c r="D98" s="99"/>
    </row>
    <row r="99" spans="3:4" x14ac:dyDescent="0.25">
      <c r="C99" s="99"/>
      <c r="D99" s="99"/>
    </row>
    <row r="100" spans="3:4" x14ac:dyDescent="0.25">
      <c r="C100" s="99"/>
      <c r="D100" s="99"/>
    </row>
    <row r="101" spans="3:4" x14ac:dyDescent="0.25">
      <c r="C101" s="99"/>
      <c r="D101" s="99"/>
    </row>
    <row r="102" spans="3:4" x14ac:dyDescent="0.25">
      <c r="C102" s="99"/>
      <c r="D102" s="99"/>
    </row>
    <row r="103" spans="3:4" x14ac:dyDescent="0.25">
      <c r="C103" s="99"/>
      <c r="D103" s="99"/>
    </row>
    <row r="104" spans="3:4" x14ac:dyDescent="0.25">
      <c r="C104" s="99"/>
      <c r="D104" s="99"/>
    </row>
    <row r="105" spans="3:4" x14ac:dyDescent="0.25">
      <c r="C105" s="99"/>
      <c r="D105" s="99"/>
    </row>
    <row r="106" spans="3:4" x14ac:dyDescent="0.25">
      <c r="C106" s="99"/>
      <c r="D106" s="99"/>
    </row>
    <row r="107" spans="3:4" x14ac:dyDescent="0.25">
      <c r="C107" s="99"/>
      <c r="D107" s="99"/>
    </row>
    <row r="108" spans="3:4" x14ac:dyDescent="0.25">
      <c r="C108" s="99"/>
      <c r="D108" s="99"/>
    </row>
    <row r="109" spans="3:4" x14ac:dyDescent="0.25">
      <c r="C109" s="99"/>
      <c r="D109" s="99"/>
    </row>
    <row r="110" spans="3:4" x14ac:dyDescent="0.25">
      <c r="C110" s="99"/>
      <c r="D110" s="99"/>
    </row>
    <row r="111" spans="3:4" x14ac:dyDescent="0.25">
      <c r="C111" s="99"/>
      <c r="D111" s="99"/>
    </row>
    <row r="112" spans="3:4" x14ac:dyDescent="0.25">
      <c r="C112" s="99"/>
      <c r="D112" s="99"/>
    </row>
    <row r="113" spans="3:4" x14ac:dyDescent="0.25">
      <c r="C113" s="99"/>
      <c r="D113" s="99"/>
    </row>
    <row r="114" spans="3:4" x14ac:dyDescent="0.25">
      <c r="C114" s="99"/>
      <c r="D114" s="99"/>
    </row>
    <row r="115" spans="3:4" x14ac:dyDescent="0.25">
      <c r="C115" s="99"/>
      <c r="D115" s="99"/>
    </row>
    <row r="116" spans="3:4" x14ac:dyDescent="0.25">
      <c r="C116" s="99"/>
      <c r="D116" s="99"/>
    </row>
    <row r="117" spans="3:4" x14ac:dyDescent="0.25">
      <c r="C117" s="99"/>
      <c r="D117" s="99"/>
    </row>
    <row r="118" spans="3:4" x14ac:dyDescent="0.25">
      <c r="C118" s="99"/>
      <c r="D118" s="99"/>
    </row>
    <row r="119" spans="3:4" x14ac:dyDescent="0.25">
      <c r="C119" s="99"/>
      <c r="D119" s="99"/>
    </row>
    <row r="120" spans="3:4" x14ac:dyDescent="0.25">
      <c r="C120" s="99"/>
      <c r="D120" s="99"/>
    </row>
    <row r="121" spans="3:4" x14ac:dyDescent="0.25">
      <c r="C121" s="99"/>
      <c r="D121" s="99"/>
    </row>
    <row r="122" spans="3:4" x14ac:dyDescent="0.25">
      <c r="C122" s="99"/>
      <c r="D122" s="99"/>
    </row>
    <row r="123" spans="3:4" x14ac:dyDescent="0.25">
      <c r="C123" s="99"/>
      <c r="D123" s="99"/>
    </row>
    <row r="124" spans="3:4" x14ac:dyDescent="0.25">
      <c r="C124" s="99"/>
      <c r="D124" s="99"/>
    </row>
    <row r="125" spans="3:4" x14ac:dyDescent="0.25">
      <c r="C125" s="99"/>
      <c r="D125" s="99"/>
    </row>
    <row r="126" spans="3:4" x14ac:dyDescent="0.25">
      <c r="C126" s="99"/>
      <c r="D126" s="99"/>
    </row>
    <row r="127" spans="3:4" x14ac:dyDescent="0.25">
      <c r="C127" s="99"/>
      <c r="D127" s="99"/>
    </row>
    <row r="128" spans="3:4" x14ac:dyDescent="0.25">
      <c r="C128" s="99"/>
      <c r="D128" s="99"/>
    </row>
    <row r="129" spans="3:4" x14ac:dyDescent="0.25">
      <c r="C129" s="99"/>
      <c r="D129" s="99"/>
    </row>
    <row r="130" spans="3:4" x14ac:dyDescent="0.25">
      <c r="C130" s="99"/>
      <c r="D130" s="99"/>
    </row>
    <row r="131" spans="3:4" x14ac:dyDescent="0.25">
      <c r="C131" s="99"/>
      <c r="D131" s="99"/>
    </row>
    <row r="132" spans="3:4" x14ac:dyDescent="0.25">
      <c r="C132" s="99"/>
      <c r="D132" s="99"/>
    </row>
    <row r="133" spans="3:4" x14ac:dyDescent="0.25">
      <c r="C133" s="99"/>
      <c r="D133" s="99"/>
    </row>
    <row r="134" spans="3:4" x14ac:dyDescent="0.25">
      <c r="C134" s="99"/>
      <c r="D134" s="99"/>
    </row>
    <row r="135" spans="3:4" x14ac:dyDescent="0.25">
      <c r="C135" s="99"/>
      <c r="D135" s="99"/>
    </row>
    <row r="136" spans="3:4" x14ac:dyDescent="0.25">
      <c r="C136" s="99"/>
      <c r="D136" s="99"/>
    </row>
    <row r="137" spans="3:4" x14ac:dyDescent="0.25">
      <c r="C137" s="99"/>
      <c r="D137" s="99"/>
    </row>
    <row r="138" spans="3:4" x14ac:dyDescent="0.25">
      <c r="C138" s="99"/>
      <c r="D138" s="99"/>
    </row>
    <row r="139" spans="3:4" x14ac:dyDescent="0.25">
      <c r="C139" s="99"/>
      <c r="D139" s="99"/>
    </row>
    <row r="140" spans="3:4" x14ac:dyDescent="0.25">
      <c r="C140" s="99"/>
      <c r="D140" s="99"/>
    </row>
    <row r="141" spans="3:4" x14ac:dyDescent="0.25">
      <c r="C141" s="99"/>
      <c r="D141" s="99"/>
    </row>
    <row r="142" spans="3:4" x14ac:dyDescent="0.25">
      <c r="C142" s="99"/>
      <c r="D142" s="99"/>
    </row>
    <row r="143" spans="3:4" x14ac:dyDescent="0.25">
      <c r="C143" s="99"/>
      <c r="D143" s="99"/>
    </row>
    <row r="144" spans="3:4" x14ac:dyDescent="0.25">
      <c r="C144" s="99"/>
      <c r="D144" s="99"/>
    </row>
    <row r="145" spans="3:4" x14ac:dyDescent="0.25">
      <c r="C145" s="99"/>
      <c r="D145" s="99"/>
    </row>
    <row r="146" spans="3:4" x14ac:dyDescent="0.25">
      <c r="C146" s="99"/>
      <c r="D146" s="99"/>
    </row>
    <row r="147" spans="3:4" x14ac:dyDescent="0.25">
      <c r="C147" s="99"/>
      <c r="D147" s="99"/>
    </row>
    <row r="148" spans="3:4" x14ac:dyDescent="0.25">
      <c r="C148" s="99"/>
      <c r="D148" s="99"/>
    </row>
    <row r="149" spans="3:4" x14ac:dyDescent="0.25">
      <c r="C149" s="99"/>
      <c r="D149" s="99"/>
    </row>
    <row r="150" spans="3:4" x14ac:dyDescent="0.25">
      <c r="C150" s="99"/>
      <c r="D150" s="99"/>
    </row>
    <row r="151" spans="3:4" x14ac:dyDescent="0.25">
      <c r="C151" s="99"/>
      <c r="D151" s="99"/>
    </row>
    <row r="152" spans="3:4" x14ac:dyDescent="0.25">
      <c r="C152" s="99"/>
      <c r="D152" s="99"/>
    </row>
    <row r="153" spans="3:4" x14ac:dyDescent="0.25">
      <c r="C153" s="99"/>
      <c r="D153" s="99"/>
    </row>
    <row r="154" spans="3:4" x14ac:dyDescent="0.25">
      <c r="C154" s="99"/>
      <c r="D154" s="99"/>
    </row>
    <row r="155" spans="3:4" x14ac:dyDescent="0.25">
      <c r="C155" s="99"/>
      <c r="D155" s="99"/>
    </row>
    <row r="156" spans="3:4" x14ac:dyDescent="0.25">
      <c r="C156" s="99"/>
      <c r="D156" s="99"/>
    </row>
    <row r="157" spans="3:4" x14ac:dyDescent="0.25">
      <c r="C157" s="99"/>
      <c r="D157" s="99"/>
    </row>
    <row r="158" spans="3:4" x14ac:dyDescent="0.25">
      <c r="C158" s="99"/>
      <c r="D158" s="99"/>
    </row>
    <row r="159" spans="3:4" x14ac:dyDescent="0.25">
      <c r="C159" s="99"/>
      <c r="D159" s="99"/>
    </row>
    <row r="160" spans="3:4" x14ac:dyDescent="0.25">
      <c r="C160" s="99"/>
      <c r="D160" s="99"/>
    </row>
    <row r="161" spans="3:4" x14ac:dyDescent="0.25">
      <c r="C161" s="99"/>
      <c r="D161" s="99"/>
    </row>
    <row r="162" spans="3:4" x14ac:dyDescent="0.25">
      <c r="C162" s="99"/>
      <c r="D162" s="99"/>
    </row>
    <row r="163" spans="3:4" x14ac:dyDescent="0.25">
      <c r="C163" s="99"/>
      <c r="D163" s="99"/>
    </row>
    <row r="164" spans="3:4" x14ac:dyDescent="0.25">
      <c r="C164" s="99"/>
      <c r="D164" s="99"/>
    </row>
    <row r="165" spans="3:4" x14ac:dyDescent="0.25">
      <c r="C165" s="99"/>
      <c r="D165" s="99"/>
    </row>
    <row r="166" spans="3:4" x14ac:dyDescent="0.25">
      <c r="C166" s="99"/>
      <c r="D166" s="99"/>
    </row>
    <row r="167" spans="3:4" x14ac:dyDescent="0.25">
      <c r="C167" s="99"/>
      <c r="D167" s="99"/>
    </row>
    <row r="168" spans="3:4" x14ac:dyDescent="0.25">
      <c r="C168" s="99"/>
      <c r="D168" s="99"/>
    </row>
    <row r="169" spans="3:4" x14ac:dyDescent="0.25">
      <c r="C169" s="99"/>
      <c r="D169" s="99"/>
    </row>
    <row r="170" spans="3:4" x14ac:dyDescent="0.25">
      <c r="C170" s="99"/>
      <c r="D170" s="99"/>
    </row>
    <row r="171" spans="3:4" x14ac:dyDescent="0.25">
      <c r="C171" s="99"/>
      <c r="D171" s="99"/>
    </row>
    <row r="172" spans="3:4" x14ac:dyDescent="0.25">
      <c r="C172" s="99"/>
      <c r="D172" s="99"/>
    </row>
    <row r="173" spans="3:4" x14ac:dyDescent="0.25">
      <c r="C173" s="99"/>
      <c r="D173" s="99"/>
    </row>
    <row r="174" spans="3:4" x14ac:dyDescent="0.25">
      <c r="C174" s="99"/>
      <c r="D174" s="99"/>
    </row>
    <row r="175" spans="3:4" x14ac:dyDescent="0.25">
      <c r="C175" s="99"/>
      <c r="D175" s="99"/>
    </row>
    <row r="176" spans="3:4" x14ac:dyDescent="0.25">
      <c r="C176" s="99"/>
      <c r="D176" s="99"/>
    </row>
    <row r="177" spans="3:4" x14ac:dyDescent="0.25">
      <c r="C177" s="99"/>
      <c r="D177" s="99"/>
    </row>
    <row r="178" spans="3:4" x14ac:dyDescent="0.25">
      <c r="C178" s="99"/>
      <c r="D178" s="99"/>
    </row>
    <row r="179" spans="3:4" x14ac:dyDescent="0.25">
      <c r="C179" s="99"/>
      <c r="D179" s="99"/>
    </row>
    <row r="180" spans="3:4" x14ac:dyDescent="0.25">
      <c r="C180" s="99"/>
      <c r="D180" s="99"/>
    </row>
    <row r="181" spans="3:4" x14ac:dyDescent="0.25">
      <c r="C181" s="99"/>
      <c r="D181" s="99"/>
    </row>
    <row r="182" spans="3:4" x14ac:dyDescent="0.25">
      <c r="C182" s="99"/>
      <c r="D182" s="99"/>
    </row>
    <row r="183" spans="3:4" x14ac:dyDescent="0.25">
      <c r="C183" s="99"/>
      <c r="D183" s="99"/>
    </row>
    <row r="184" spans="3:4" x14ac:dyDescent="0.25">
      <c r="C184" s="99"/>
      <c r="D184" s="99"/>
    </row>
    <row r="185" spans="3:4" x14ac:dyDescent="0.25">
      <c r="C185" s="99"/>
      <c r="D185" s="99"/>
    </row>
    <row r="186" spans="3:4" x14ac:dyDescent="0.25">
      <c r="C186" s="99"/>
      <c r="D186" s="99"/>
    </row>
    <row r="187" spans="3:4" x14ac:dyDescent="0.25">
      <c r="C187" s="99"/>
      <c r="D187" s="99"/>
    </row>
    <row r="188" spans="3:4" x14ac:dyDescent="0.25">
      <c r="C188" s="99"/>
      <c r="D188" s="99"/>
    </row>
    <row r="189" spans="3:4" x14ac:dyDescent="0.25">
      <c r="C189" s="99"/>
      <c r="D189" s="99"/>
    </row>
    <row r="190" spans="3:4" x14ac:dyDescent="0.25">
      <c r="C190" s="99"/>
      <c r="D190" s="99"/>
    </row>
    <row r="191" spans="3:4" x14ac:dyDescent="0.25">
      <c r="C191" s="99"/>
      <c r="D191" s="99"/>
    </row>
    <row r="192" spans="3:4" x14ac:dyDescent="0.25">
      <c r="C192" s="99"/>
      <c r="D192" s="99"/>
    </row>
    <row r="193" spans="3:4" x14ac:dyDescent="0.25">
      <c r="C193" s="99"/>
      <c r="D193" s="99"/>
    </row>
    <row r="194" spans="3:4" x14ac:dyDescent="0.25">
      <c r="C194" s="99"/>
      <c r="D194" s="99"/>
    </row>
    <row r="195" spans="3:4" x14ac:dyDescent="0.25">
      <c r="C195" s="99"/>
      <c r="D195" s="99"/>
    </row>
    <row r="196" spans="3:4" x14ac:dyDescent="0.25">
      <c r="C196" s="99"/>
      <c r="D196" s="99"/>
    </row>
    <row r="197" spans="3:4" x14ac:dyDescent="0.25">
      <c r="C197" s="99"/>
      <c r="D197" s="99"/>
    </row>
    <row r="198" spans="3:4" x14ac:dyDescent="0.25">
      <c r="C198" s="99"/>
      <c r="D198" s="99"/>
    </row>
    <row r="199" spans="3:4" x14ac:dyDescent="0.25">
      <c r="C199" s="99"/>
      <c r="D199" s="99"/>
    </row>
    <row r="200" spans="3:4" x14ac:dyDescent="0.25">
      <c r="C200" s="99"/>
      <c r="D200" s="99"/>
    </row>
    <row r="201" spans="3:4" x14ac:dyDescent="0.25">
      <c r="C201" s="99"/>
      <c r="D201" s="99"/>
    </row>
    <row r="202" spans="3:4" x14ac:dyDescent="0.25">
      <c r="C202" s="99"/>
      <c r="D202" s="99"/>
    </row>
    <row r="203" spans="3:4" x14ac:dyDescent="0.25">
      <c r="C203" s="99"/>
      <c r="D203" s="99"/>
    </row>
    <row r="204" spans="3:4" x14ac:dyDescent="0.25">
      <c r="C204" s="99"/>
      <c r="D204" s="99"/>
    </row>
    <row r="205" spans="3:4" x14ac:dyDescent="0.25">
      <c r="C205" s="99"/>
      <c r="D205" s="99"/>
    </row>
    <row r="206" spans="3:4" x14ac:dyDescent="0.25">
      <c r="C206" s="99"/>
      <c r="D206" s="99"/>
    </row>
    <row r="207" spans="3:4" x14ac:dyDescent="0.25">
      <c r="C207" s="99"/>
      <c r="D207" s="99"/>
    </row>
    <row r="208" spans="3:4" x14ac:dyDescent="0.25">
      <c r="C208" s="99"/>
      <c r="D208" s="99"/>
    </row>
    <row r="209" spans="3:4" x14ac:dyDescent="0.25">
      <c r="C209" s="99"/>
      <c r="D209" s="99"/>
    </row>
    <row r="210" spans="3:4" x14ac:dyDescent="0.25">
      <c r="C210" s="99"/>
      <c r="D210" s="99"/>
    </row>
    <row r="211" spans="3:4" x14ac:dyDescent="0.25">
      <c r="C211" s="99"/>
      <c r="D211" s="99"/>
    </row>
    <row r="212" spans="3:4" x14ac:dyDescent="0.25">
      <c r="C212" s="99"/>
      <c r="D212" s="99"/>
    </row>
    <row r="213" spans="3:4" x14ac:dyDescent="0.25">
      <c r="C213" s="99"/>
      <c r="D213" s="99"/>
    </row>
    <row r="214" spans="3:4" x14ac:dyDescent="0.25">
      <c r="C214" s="99"/>
      <c r="D214" s="99"/>
    </row>
    <row r="215" spans="3:4" x14ac:dyDescent="0.25">
      <c r="C215" s="99"/>
      <c r="D215" s="99"/>
    </row>
    <row r="216" spans="3:4" x14ac:dyDescent="0.25">
      <c r="C216" s="99"/>
      <c r="D216" s="99"/>
    </row>
    <row r="217" spans="3:4" x14ac:dyDescent="0.25">
      <c r="C217" s="99"/>
      <c r="D217" s="99"/>
    </row>
    <row r="218" spans="3:4" x14ac:dyDescent="0.25">
      <c r="C218" s="99"/>
      <c r="D218" s="99"/>
    </row>
    <row r="219" spans="3:4" x14ac:dyDescent="0.25">
      <c r="C219" s="99"/>
      <c r="D219" s="99"/>
    </row>
    <row r="220" spans="3:4" x14ac:dyDescent="0.25">
      <c r="C220" s="99"/>
      <c r="D220" s="99"/>
    </row>
    <row r="221" spans="3:4" x14ac:dyDescent="0.25">
      <c r="C221" s="99"/>
      <c r="D221" s="99"/>
    </row>
    <row r="222" spans="3:4" x14ac:dyDescent="0.25">
      <c r="C222" s="99"/>
      <c r="D222" s="99"/>
    </row>
    <row r="223" spans="3:4" x14ac:dyDescent="0.25">
      <c r="C223" s="99"/>
      <c r="D223" s="99"/>
    </row>
    <row r="224" spans="3:4" x14ac:dyDescent="0.25">
      <c r="C224" s="99"/>
      <c r="D224" s="99"/>
    </row>
    <row r="225" spans="3:4" x14ac:dyDescent="0.25">
      <c r="C225" s="99"/>
      <c r="D225" s="99"/>
    </row>
    <row r="226" spans="3:4" x14ac:dyDescent="0.25">
      <c r="C226" s="99"/>
      <c r="D226" s="99"/>
    </row>
    <row r="227" spans="3:4" x14ac:dyDescent="0.25">
      <c r="C227" s="99"/>
      <c r="D227" s="99"/>
    </row>
    <row r="228" spans="3:4" x14ac:dyDescent="0.25">
      <c r="C228" s="99"/>
      <c r="D228" s="99"/>
    </row>
    <row r="229" spans="3:4" x14ac:dyDescent="0.25">
      <c r="C229" s="99"/>
      <c r="D229" s="99"/>
    </row>
    <row r="230" spans="3:4" x14ac:dyDescent="0.25">
      <c r="C230" s="99"/>
      <c r="D230" s="99"/>
    </row>
    <row r="231" spans="3:4" x14ac:dyDescent="0.25">
      <c r="C231" s="99"/>
      <c r="D231" s="99"/>
    </row>
    <row r="232" spans="3:4" x14ac:dyDescent="0.25">
      <c r="C232" s="99"/>
      <c r="D232" s="99"/>
    </row>
    <row r="233" spans="3:4" x14ac:dyDescent="0.25">
      <c r="C233" s="99"/>
      <c r="D233" s="99"/>
    </row>
    <row r="234" spans="3:4" x14ac:dyDescent="0.25">
      <c r="C234" s="99"/>
      <c r="D234" s="99"/>
    </row>
    <row r="235" spans="3:4" x14ac:dyDescent="0.25">
      <c r="C235" s="99"/>
      <c r="D235" s="99"/>
    </row>
    <row r="236" spans="3:4" x14ac:dyDescent="0.25">
      <c r="C236" s="99"/>
      <c r="D236" s="99"/>
    </row>
    <row r="237" spans="3:4" x14ac:dyDescent="0.25">
      <c r="C237" s="99"/>
      <c r="D237" s="99"/>
    </row>
    <row r="238" spans="3:4" x14ac:dyDescent="0.25">
      <c r="C238" s="99"/>
      <c r="D238" s="99"/>
    </row>
    <row r="239" spans="3:4" x14ac:dyDescent="0.25">
      <c r="C239" s="99"/>
      <c r="D239" s="99"/>
    </row>
    <row r="240" spans="3:4" x14ac:dyDescent="0.25">
      <c r="C240" s="99"/>
      <c r="D240" s="99"/>
    </row>
    <row r="241" spans="3:4" x14ac:dyDescent="0.25">
      <c r="C241" s="99"/>
      <c r="D241" s="99"/>
    </row>
    <row r="242" spans="3:4" x14ac:dyDescent="0.25">
      <c r="C242" s="99"/>
      <c r="D242" s="99"/>
    </row>
    <row r="243" spans="3:4" x14ac:dyDescent="0.25">
      <c r="C243" s="99"/>
      <c r="D243" s="99"/>
    </row>
    <row r="244" spans="3:4" x14ac:dyDescent="0.25">
      <c r="C244" s="99"/>
      <c r="D244" s="99"/>
    </row>
    <row r="245" spans="3:4" x14ac:dyDescent="0.25">
      <c r="C245" s="99"/>
      <c r="D245" s="99"/>
    </row>
    <row r="246" spans="3:4" x14ac:dyDescent="0.25">
      <c r="C246" s="99"/>
      <c r="D246" s="99"/>
    </row>
    <row r="247" spans="3:4" x14ac:dyDescent="0.25">
      <c r="C247" s="99"/>
      <c r="D247" s="99"/>
    </row>
    <row r="248" spans="3:4" x14ac:dyDescent="0.25">
      <c r="C248" s="99"/>
      <c r="D248" s="99"/>
    </row>
    <row r="249" spans="3:4" x14ac:dyDescent="0.25">
      <c r="C249" s="99"/>
      <c r="D249" s="99"/>
    </row>
    <row r="250" spans="3:4" x14ac:dyDescent="0.25">
      <c r="C250" s="99"/>
      <c r="D250" s="99"/>
    </row>
    <row r="251" spans="3:4" x14ac:dyDescent="0.25">
      <c r="C251" s="99"/>
      <c r="D251" s="99"/>
    </row>
    <row r="252" spans="3:4" x14ac:dyDescent="0.25">
      <c r="C252" s="99"/>
      <c r="D252" s="99"/>
    </row>
    <row r="253" spans="3:4" x14ac:dyDescent="0.25">
      <c r="C253" s="99"/>
      <c r="D253" s="99"/>
    </row>
    <row r="254" spans="3:4" x14ac:dyDescent="0.25">
      <c r="C254" s="99"/>
      <c r="D254" s="99"/>
    </row>
    <row r="255" spans="3:4" x14ac:dyDescent="0.25">
      <c r="C255" s="99"/>
      <c r="D255" s="99"/>
    </row>
    <row r="256" spans="3:4" x14ac:dyDescent="0.25">
      <c r="C256" s="99"/>
      <c r="D256" s="99"/>
    </row>
    <row r="257" spans="3:4" x14ac:dyDescent="0.25">
      <c r="C257" s="99"/>
      <c r="D257" s="99"/>
    </row>
    <row r="258" spans="3:4" x14ac:dyDescent="0.25">
      <c r="C258" s="99"/>
      <c r="D258" s="99"/>
    </row>
    <row r="259" spans="3:4" x14ac:dyDescent="0.25">
      <c r="C259" s="99"/>
      <c r="D259" s="99"/>
    </row>
    <row r="260" spans="3:4" x14ac:dyDescent="0.25">
      <c r="C260" s="99"/>
      <c r="D260" s="99"/>
    </row>
    <row r="261" spans="3:4" x14ac:dyDescent="0.25">
      <c r="C261" s="99"/>
      <c r="D261" s="99"/>
    </row>
    <row r="262" spans="3:4" x14ac:dyDescent="0.25">
      <c r="C262" s="99"/>
      <c r="D262" s="99"/>
    </row>
    <row r="263" spans="3:4" x14ac:dyDescent="0.25">
      <c r="C263" s="99"/>
      <c r="D263" s="99"/>
    </row>
    <row r="264" spans="3:4" x14ac:dyDescent="0.25">
      <c r="C264" s="99"/>
      <c r="D264" s="99"/>
    </row>
    <row r="265" spans="3:4" x14ac:dyDescent="0.25">
      <c r="C265" s="99"/>
      <c r="D265" s="99"/>
    </row>
    <row r="266" spans="3:4" x14ac:dyDescent="0.25">
      <c r="C266" s="99"/>
      <c r="D266" s="99"/>
    </row>
    <row r="267" spans="3:4" x14ac:dyDescent="0.25">
      <c r="C267" s="99"/>
      <c r="D267" s="99"/>
    </row>
    <row r="268" spans="3:4" x14ac:dyDescent="0.25">
      <c r="C268" s="99"/>
      <c r="D268" s="99"/>
    </row>
    <row r="269" spans="3:4" x14ac:dyDescent="0.25">
      <c r="C269" s="99"/>
      <c r="D269" s="99"/>
    </row>
    <row r="270" spans="3:4" x14ac:dyDescent="0.25">
      <c r="C270" s="99"/>
      <c r="D270" s="99"/>
    </row>
    <row r="271" spans="3:4" x14ac:dyDescent="0.25">
      <c r="C271" s="99"/>
      <c r="D271" s="99"/>
    </row>
    <row r="272" spans="3:4" x14ac:dyDescent="0.25">
      <c r="C272" s="99"/>
      <c r="D272" s="99"/>
    </row>
    <row r="273" spans="3:4" x14ac:dyDescent="0.25">
      <c r="C273" s="99"/>
      <c r="D273" s="99"/>
    </row>
    <row r="274" spans="3:4" x14ac:dyDescent="0.25">
      <c r="C274" s="99"/>
      <c r="D274" s="99"/>
    </row>
    <row r="275" spans="3:4" x14ac:dyDescent="0.25">
      <c r="C275" s="99"/>
      <c r="D275" s="99"/>
    </row>
    <row r="276" spans="3:4" x14ac:dyDescent="0.25">
      <c r="C276" s="99"/>
      <c r="D276" s="99"/>
    </row>
    <row r="277" spans="3:4" x14ac:dyDescent="0.25">
      <c r="C277" s="99"/>
      <c r="D277" s="99"/>
    </row>
    <row r="278" spans="3:4" x14ac:dyDescent="0.25">
      <c r="C278" s="99"/>
      <c r="D278" s="99"/>
    </row>
    <row r="279" spans="3:4" x14ac:dyDescent="0.25">
      <c r="C279" s="99"/>
      <c r="D279" s="99"/>
    </row>
    <row r="280" spans="3:4" x14ac:dyDescent="0.25">
      <c r="C280" s="99"/>
      <c r="D280" s="99"/>
    </row>
    <row r="281" spans="3:4" x14ac:dyDescent="0.25">
      <c r="C281" s="99"/>
      <c r="D281" s="99"/>
    </row>
    <row r="282" spans="3:4" x14ac:dyDescent="0.25">
      <c r="C282" s="99"/>
      <c r="D282" s="99"/>
    </row>
    <row r="283" spans="3:4" x14ac:dyDescent="0.25">
      <c r="C283" s="99"/>
      <c r="D283" s="99"/>
    </row>
    <row r="284" spans="3:4" x14ac:dyDescent="0.25">
      <c r="C284" s="99"/>
      <c r="D284" s="99"/>
    </row>
    <row r="285" spans="3:4" x14ac:dyDescent="0.25">
      <c r="C285" s="99"/>
      <c r="D285" s="99"/>
    </row>
    <row r="286" spans="3:4" x14ac:dyDescent="0.25">
      <c r="C286" s="99"/>
      <c r="D286" s="99"/>
    </row>
    <row r="287" spans="3:4" x14ac:dyDescent="0.25">
      <c r="C287" s="99"/>
      <c r="D287" s="99"/>
    </row>
    <row r="288" spans="3:4" x14ac:dyDescent="0.25">
      <c r="C288" s="99"/>
      <c r="D288" s="99"/>
    </row>
    <row r="289" spans="3:4" x14ac:dyDescent="0.25">
      <c r="C289" s="99"/>
      <c r="D289" s="99"/>
    </row>
    <row r="290" spans="3:4" x14ac:dyDescent="0.25">
      <c r="C290" s="99"/>
      <c r="D290" s="99"/>
    </row>
    <row r="291" spans="3:4" x14ac:dyDescent="0.25">
      <c r="C291" s="99"/>
      <c r="D291" s="99"/>
    </row>
    <row r="292" spans="3:4" x14ac:dyDescent="0.25">
      <c r="C292" s="99"/>
      <c r="D292" s="99"/>
    </row>
    <row r="293" spans="3:4" x14ac:dyDescent="0.25">
      <c r="C293" s="99"/>
      <c r="D293" s="99"/>
    </row>
    <row r="294" spans="3:4" x14ac:dyDescent="0.25">
      <c r="C294" s="99"/>
      <c r="D294" s="99"/>
    </row>
    <row r="295" spans="3:4" x14ac:dyDescent="0.25">
      <c r="C295" s="99"/>
      <c r="D295" s="99"/>
    </row>
    <row r="296" spans="3:4" x14ac:dyDescent="0.25">
      <c r="C296" s="99"/>
      <c r="D296" s="99"/>
    </row>
    <row r="297" spans="3:4" x14ac:dyDescent="0.25">
      <c r="C297" s="99"/>
      <c r="D297" s="99"/>
    </row>
    <row r="298" spans="3:4" x14ac:dyDescent="0.25">
      <c r="C298" s="99"/>
      <c r="D298" s="99"/>
    </row>
    <row r="299" spans="3:4" x14ac:dyDescent="0.25">
      <c r="C299" s="99"/>
      <c r="D299" s="99"/>
    </row>
    <row r="300" spans="3:4" x14ac:dyDescent="0.25">
      <c r="C300" s="99"/>
      <c r="D300" s="99"/>
    </row>
    <row r="301" spans="3:4" x14ac:dyDescent="0.25">
      <c r="C301" s="99"/>
      <c r="D301" s="99"/>
    </row>
    <row r="302" spans="3:4" x14ac:dyDescent="0.25">
      <c r="C302" s="99"/>
      <c r="D302" s="99"/>
    </row>
    <row r="303" spans="3:4" x14ac:dyDescent="0.25">
      <c r="C303" s="99"/>
      <c r="D303" s="99"/>
    </row>
    <row r="304" spans="3:4" x14ac:dyDescent="0.25">
      <c r="C304" s="99"/>
      <c r="D304" s="99"/>
    </row>
    <row r="305" spans="3:4" x14ac:dyDescent="0.25">
      <c r="C305" s="99"/>
      <c r="D305" s="99"/>
    </row>
    <row r="306" spans="3:4" x14ac:dyDescent="0.25">
      <c r="C306" s="99"/>
      <c r="D306" s="99"/>
    </row>
    <row r="307" spans="3:4" x14ac:dyDescent="0.25">
      <c r="C307" s="99"/>
      <c r="D307" s="99"/>
    </row>
    <row r="308" spans="3:4" x14ac:dyDescent="0.25">
      <c r="C308" s="99"/>
      <c r="D308" s="99"/>
    </row>
    <row r="309" spans="3:4" x14ac:dyDescent="0.25">
      <c r="C309" s="99"/>
      <c r="D309" s="99"/>
    </row>
    <row r="310" spans="3:4" x14ac:dyDescent="0.25">
      <c r="C310" s="99"/>
      <c r="D310" s="99"/>
    </row>
    <row r="311" spans="3:4" x14ac:dyDescent="0.25">
      <c r="C311" s="99"/>
      <c r="D311" s="99"/>
    </row>
    <row r="312" spans="3:4" x14ac:dyDescent="0.25">
      <c r="C312" s="99"/>
      <c r="D312" s="99"/>
    </row>
    <row r="313" spans="3:4" x14ac:dyDescent="0.25">
      <c r="C313" s="99"/>
      <c r="D313" s="99"/>
    </row>
    <row r="314" spans="3:4" x14ac:dyDescent="0.25">
      <c r="C314" s="99"/>
      <c r="D314" s="99"/>
    </row>
    <row r="315" spans="3:4" x14ac:dyDescent="0.25">
      <c r="C315" s="99"/>
      <c r="D315" s="99"/>
    </row>
    <row r="316" spans="3:4" x14ac:dyDescent="0.25">
      <c r="C316" s="99"/>
      <c r="D316" s="99"/>
    </row>
    <row r="317" spans="3:4" x14ac:dyDescent="0.25">
      <c r="C317" s="99"/>
      <c r="D317" s="99"/>
    </row>
    <row r="318" spans="3:4" x14ac:dyDescent="0.25">
      <c r="C318" s="99"/>
      <c r="D318" s="99"/>
    </row>
    <row r="319" spans="3:4" x14ac:dyDescent="0.25">
      <c r="C319" s="99"/>
      <c r="D319" s="99"/>
    </row>
    <row r="320" spans="3:4" x14ac:dyDescent="0.25">
      <c r="C320" s="99"/>
      <c r="D320" s="99"/>
    </row>
    <row r="321" spans="3:4" x14ac:dyDescent="0.25">
      <c r="C321" s="99"/>
      <c r="D321" s="99"/>
    </row>
    <row r="322" spans="3:4" x14ac:dyDescent="0.25">
      <c r="C322" s="99"/>
      <c r="D322" s="99"/>
    </row>
    <row r="323" spans="3:4" x14ac:dyDescent="0.25">
      <c r="C323" s="99"/>
      <c r="D323" s="99"/>
    </row>
    <row r="324" spans="3:4" x14ac:dyDescent="0.25">
      <c r="C324" s="99"/>
      <c r="D324" s="99"/>
    </row>
    <row r="325" spans="3:4" x14ac:dyDescent="0.25">
      <c r="C325" s="99"/>
      <c r="D325" s="99"/>
    </row>
    <row r="326" spans="3:4" x14ac:dyDescent="0.25">
      <c r="C326" s="99"/>
      <c r="D326" s="99"/>
    </row>
    <row r="327" spans="3:4" x14ac:dyDescent="0.25">
      <c r="C327" s="99"/>
      <c r="D327" s="99"/>
    </row>
    <row r="328" spans="3:4" x14ac:dyDescent="0.25">
      <c r="C328" s="99"/>
      <c r="D328" s="99"/>
    </row>
    <row r="329" spans="3:4" x14ac:dyDescent="0.25">
      <c r="C329" s="99"/>
      <c r="D329" s="99"/>
    </row>
    <row r="330" spans="3:4" x14ac:dyDescent="0.25">
      <c r="C330" s="99"/>
      <c r="D330" s="99"/>
    </row>
    <row r="331" spans="3:4" x14ac:dyDescent="0.25">
      <c r="C331" s="99"/>
      <c r="D331" s="99"/>
    </row>
    <row r="332" spans="3:4" x14ac:dyDescent="0.25">
      <c r="C332" s="99"/>
      <c r="D332" s="99"/>
    </row>
    <row r="333" spans="3:4" x14ac:dyDescent="0.25">
      <c r="C333" s="99"/>
      <c r="D333" s="99"/>
    </row>
    <row r="334" spans="3:4" x14ac:dyDescent="0.25">
      <c r="C334" s="99"/>
      <c r="D334" s="99"/>
    </row>
    <row r="335" spans="3:4" x14ac:dyDescent="0.25">
      <c r="C335" s="99"/>
      <c r="D335" s="99"/>
    </row>
    <row r="336" spans="3:4" x14ac:dyDescent="0.25">
      <c r="C336" s="99"/>
      <c r="D336" s="99"/>
    </row>
    <row r="337" spans="3:4" x14ac:dyDescent="0.25">
      <c r="C337" s="99"/>
      <c r="D337" s="99"/>
    </row>
    <row r="338" spans="3:4" x14ac:dyDescent="0.25">
      <c r="C338" s="99"/>
      <c r="D338" s="99"/>
    </row>
    <row r="339" spans="3:4" x14ac:dyDescent="0.25">
      <c r="C339" s="99"/>
      <c r="D339" s="99"/>
    </row>
    <row r="340" spans="3:4" x14ac:dyDescent="0.25">
      <c r="C340" s="99"/>
      <c r="D340" s="99"/>
    </row>
    <row r="341" spans="3:4" x14ac:dyDescent="0.25">
      <c r="C341" s="99"/>
      <c r="D341" s="99"/>
    </row>
    <row r="342" spans="3:4" x14ac:dyDescent="0.25">
      <c r="C342" s="99"/>
      <c r="D342" s="99"/>
    </row>
    <row r="343" spans="3:4" x14ac:dyDescent="0.25">
      <c r="C343" s="99"/>
      <c r="D343" s="99"/>
    </row>
    <row r="344" spans="3:4" x14ac:dyDescent="0.25">
      <c r="C344" s="99"/>
      <c r="D344" s="99"/>
    </row>
    <row r="345" spans="3:4" x14ac:dyDescent="0.25">
      <c r="C345" s="99"/>
      <c r="D345" s="99"/>
    </row>
    <row r="346" spans="3:4" x14ac:dyDescent="0.25">
      <c r="C346" s="99"/>
      <c r="D346" s="99"/>
    </row>
    <row r="347" spans="3:4" x14ac:dyDescent="0.25">
      <c r="C347" s="99"/>
      <c r="D347" s="99"/>
    </row>
    <row r="348" spans="3:4" x14ac:dyDescent="0.25">
      <c r="C348" s="99"/>
      <c r="D348" s="99"/>
    </row>
    <row r="349" spans="3:4" x14ac:dyDescent="0.25">
      <c r="C349" s="99"/>
      <c r="D349" s="99"/>
    </row>
    <row r="350" spans="3:4" x14ac:dyDescent="0.25">
      <c r="C350" s="99"/>
      <c r="D350" s="99"/>
    </row>
    <row r="351" spans="3:4" x14ac:dyDescent="0.25">
      <c r="C351" s="99"/>
      <c r="D351" s="99"/>
    </row>
    <row r="352" spans="3:4" x14ac:dyDescent="0.25">
      <c r="C352" s="99"/>
      <c r="D352" s="99"/>
    </row>
    <row r="353" spans="3:4" x14ac:dyDescent="0.25">
      <c r="C353" s="99"/>
      <c r="D353" s="99"/>
    </row>
    <row r="354" spans="3:4" x14ac:dyDescent="0.25">
      <c r="C354" s="99"/>
      <c r="D354" s="99"/>
    </row>
    <row r="355" spans="3:4" x14ac:dyDescent="0.25">
      <c r="C355" s="99"/>
      <c r="D355" s="99"/>
    </row>
    <row r="356" spans="3:4" x14ac:dyDescent="0.25">
      <c r="C356" s="99"/>
      <c r="D356" s="99"/>
    </row>
    <row r="357" spans="3:4" x14ac:dyDescent="0.25">
      <c r="C357" s="99"/>
      <c r="D357" s="99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B1675-2911-432C-BFBE-F5F319CA721D}">
  <sheetPr codeName="Sheet12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04" bestFit="1" customWidth="1"/>
    <col min="2" max="2" width="8.625" style="100" bestFit="1" customWidth="1"/>
    <col min="3" max="3" width="8.625" bestFit="1" customWidth="1"/>
    <col min="4" max="4" width="8.25" bestFit="1" customWidth="1"/>
  </cols>
  <sheetData>
    <row r="1" spans="1:5" ht="17.25" x14ac:dyDescent="0.25">
      <c r="A1" s="101" t="s">
        <v>529</v>
      </c>
      <c r="B1" s="149" t="s">
        <v>530</v>
      </c>
      <c r="C1" s="149" t="s">
        <v>531</v>
      </c>
      <c r="D1" s="96" t="s">
        <v>532</v>
      </c>
      <c r="E1" s="178" t="s">
        <v>533</v>
      </c>
    </row>
    <row r="2" spans="1:5" x14ac:dyDescent="0.25">
      <c r="A2" s="102" t="s">
        <v>553</v>
      </c>
      <c r="B2" s="121">
        <v>11</v>
      </c>
      <c r="C2" s="121">
        <v>20</v>
      </c>
      <c r="D2" s="97">
        <v>10</v>
      </c>
      <c r="E2" s="178"/>
    </row>
    <row r="3" spans="1:5" ht="18.75" x14ac:dyDescent="0.25">
      <c r="A3" s="103" t="s">
        <v>534</v>
      </c>
      <c r="B3" s="98" t="s">
        <v>535</v>
      </c>
      <c r="C3" s="98" t="s">
        <v>536</v>
      </c>
      <c r="D3" s="98" t="s">
        <v>537</v>
      </c>
    </row>
    <row r="4" spans="1:5" x14ac:dyDescent="0.25">
      <c r="A4" s="122">
        <v>11</v>
      </c>
      <c r="B4" s="99">
        <v>7.1499289294935569</v>
      </c>
      <c r="C4" s="122">
        <v>15.701245666991817</v>
      </c>
      <c r="D4" s="122">
        <v>4.9679501824968995</v>
      </c>
    </row>
    <row r="5" spans="1:5" x14ac:dyDescent="0.25">
      <c r="A5" s="122">
        <v>11.9</v>
      </c>
      <c r="B5" s="99">
        <v>6.8583502431336187</v>
      </c>
      <c r="C5" s="99"/>
      <c r="D5" s="99"/>
    </row>
    <row r="6" spans="1:5" x14ac:dyDescent="0.25">
      <c r="A6" s="122">
        <v>12.8</v>
      </c>
      <c r="B6" s="99">
        <v>6.6196805664853189</v>
      </c>
      <c r="C6" s="99"/>
      <c r="D6" s="99"/>
    </row>
    <row r="7" spans="1:5" x14ac:dyDescent="0.25">
      <c r="A7" s="122">
        <v>13.7</v>
      </c>
      <c r="B7" s="99">
        <v>6.4391335068168205</v>
      </c>
      <c r="C7" s="99"/>
      <c r="D7" s="99"/>
    </row>
    <row r="8" spans="1:5" x14ac:dyDescent="0.25">
      <c r="A8" s="122">
        <v>14.6</v>
      </c>
      <c r="B8" s="99">
        <v>6.3207397759528341</v>
      </c>
      <c r="C8" s="99"/>
      <c r="D8" s="99"/>
    </row>
    <row r="9" spans="1:5" x14ac:dyDescent="0.25">
      <c r="A9" s="122">
        <v>15.5</v>
      </c>
      <c r="B9" s="99">
        <v>6.2674556956795913</v>
      </c>
      <c r="C9" s="99"/>
      <c r="D9" s="99"/>
    </row>
    <row r="10" spans="1:5" x14ac:dyDescent="0.25">
      <c r="A10" s="122">
        <v>16.399999999999999</v>
      </c>
      <c r="B10" s="99">
        <v>6.2813158107556726</v>
      </c>
      <c r="C10" s="99"/>
      <c r="D10" s="99"/>
    </row>
    <row r="11" spans="1:5" x14ac:dyDescent="0.25">
      <c r="A11" s="122">
        <v>17.3</v>
      </c>
      <c r="B11" s="99">
        <v>6.3636032528695763</v>
      </c>
      <c r="C11" s="99"/>
      <c r="D11" s="99"/>
    </row>
    <row r="12" spans="1:5" x14ac:dyDescent="0.25">
      <c r="A12" s="122">
        <v>18.2</v>
      </c>
      <c r="B12" s="99">
        <v>6.5150162505474718</v>
      </c>
      <c r="C12" s="99"/>
      <c r="D12" s="99"/>
    </row>
    <row r="13" spans="1:5" x14ac:dyDescent="0.25">
      <c r="A13" s="122">
        <v>19.100000000000001</v>
      </c>
      <c r="B13" s="99">
        <v>6.7358164700500724</v>
      </c>
      <c r="C13" s="99"/>
      <c r="D13" s="99"/>
    </row>
    <row r="14" spans="1:5" x14ac:dyDescent="0.25">
      <c r="A14" s="122">
        <v>20</v>
      </c>
      <c r="B14" s="99">
        <v>7.0259520158533313</v>
      </c>
      <c r="C14" s="99"/>
      <c r="D14" s="99"/>
    </row>
    <row r="15" spans="1:5" x14ac:dyDescent="0.25">
      <c r="A15" s="122"/>
      <c r="B15" s="99"/>
      <c r="C15" s="99"/>
      <c r="D15" s="99"/>
    </row>
    <row r="16" spans="1:5" x14ac:dyDescent="0.25">
      <c r="A16" s="122"/>
      <c r="B16" s="99"/>
      <c r="C16" s="99"/>
      <c r="D16" s="99"/>
    </row>
    <row r="17" spans="1:4" x14ac:dyDescent="0.25">
      <c r="A17" s="122"/>
      <c r="B17" s="99"/>
      <c r="C17" s="99"/>
      <c r="D17" s="99"/>
    </row>
    <row r="18" spans="1:4" x14ac:dyDescent="0.25">
      <c r="A18" s="122"/>
      <c r="B18" s="99"/>
      <c r="C18" s="99"/>
      <c r="D18" s="99"/>
    </row>
    <row r="19" spans="1:4" x14ac:dyDescent="0.25">
      <c r="A19" s="122"/>
      <c r="B19" s="99"/>
      <c r="C19" s="99"/>
      <c r="D19" s="99"/>
    </row>
    <row r="20" spans="1:4" x14ac:dyDescent="0.25">
      <c r="A20" s="122"/>
      <c r="B20" s="99"/>
      <c r="C20" s="99"/>
      <c r="D20" s="99"/>
    </row>
    <row r="21" spans="1:4" x14ac:dyDescent="0.25">
      <c r="A21" s="122"/>
      <c r="B21" s="99"/>
      <c r="C21" s="99"/>
      <c r="D21" s="99"/>
    </row>
    <row r="22" spans="1:4" x14ac:dyDescent="0.25">
      <c r="A22" s="122"/>
      <c r="B22" s="99"/>
      <c r="C22" s="99"/>
      <c r="D22" s="99"/>
    </row>
    <row r="23" spans="1:4" x14ac:dyDescent="0.25">
      <c r="A23" s="122"/>
      <c r="B23" s="99"/>
      <c r="C23" s="99"/>
      <c r="D23" s="99"/>
    </row>
    <row r="24" spans="1:4" x14ac:dyDescent="0.25">
      <c r="A24" s="122"/>
      <c r="B24" s="99"/>
      <c r="C24" s="99"/>
      <c r="D24" s="99"/>
    </row>
    <row r="25" spans="1:4" x14ac:dyDescent="0.25">
      <c r="B25" s="99"/>
      <c r="C25" s="99"/>
      <c r="D25" s="99"/>
    </row>
    <row r="26" spans="1:4" x14ac:dyDescent="0.25">
      <c r="B26" s="99"/>
      <c r="C26" s="99"/>
      <c r="D26" s="99"/>
    </row>
    <row r="27" spans="1:4" x14ac:dyDescent="0.25">
      <c r="B27" s="99"/>
      <c r="C27" s="99"/>
      <c r="D27" s="99"/>
    </row>
    <row r="28" spans="1:4" x14ac:dyDescent="0.25">
      <c r="B28" s="99"/>
      <c r="C28" s="99"/>
      <c r="D28" s="99"/>
    </row>
    <row r="29" spans="1:4" x14ac:dyDescent="0.25">
      <c r="B29" s="99"/>
      <c r="C29" s="99"/>
      <c r="D29" s="99"/>
    </row>
    <row r="30" spans="1:4" x14ac:dyDescent="0.25">
      <c r="B30" s="99"/>
      <c r="C30" s="99"/>
      <c r="D30" s="99"/>
    </row>
    <row r="31" spans="1:4" x14ac:dyDescent="0.25">
      <c r="B31" s="99"/>
      <c r="C31" s="99"/>
      <c r="D31" s="99"/>
    </row>
    <row r="32" spans="1:4" x14ac:dyDescent="0.25">
      <c r="B32" s="99"/>
      <c r="C32" s="99"/>
      <c r="D32" s="99"/>
    </row>
    <row r="33" spans="2:4" x14ac:dyDescent="0.25">
      <c r="B33" s="99"/>
      <c r="C33" s="99"/>
      <c r="D33" s="99"/>
    </row>
    <row r="34" spans="2:4" x14ac:dyDescent="0.25">
      <c r="B34" s="99"/>
      <c r="C34" s="99"/>
      <c r="D34" s="99"/>
    </row>
    <row r="35" spans="2:4" x14ac:dyDescent="0.25">
      <c r="C35" s="99"/>
      <c r="D35" s="99"/>
    </row>
    <row r="36" spans="2:4" x14ac:dyDescent="0.25">
      <c r="C36" s="99"/>
      <c r="D36" s="99"/>
    </row>
    <row r="37" spans="2:4" x14ac:dyDescent="0.25">
      <c r="C37" s="99"/>
      <c r="D37" s="99"/>
    </row>
    <row r="38" spans="2:4" x14ac:dyDescent="0.25">
      <c r="C38" s="99"/>
      <c r="D38" s="99"/>
    </row>
    <row r="39" spans="2:4" x14ac:dyDescent="0.25">
      <c r="C39" s="99"/>
      <c r="D39" s="99"/>
    </row>
    <row r="40" spans="2:4" x14ac:dyDescent="0.25">
      <c r="C40" s="99"/>
      <c r="D40" s="99"/>
    </row>
    <row r="41" spans="2:4" x14ac:dyDescent="0.25">
      <c r="C41" s="99"/>
      <c r="D41" s="99"/>
    </row>
    <row r="42" spans="2:4" x14ac:dyDescent="0.25">
      <c r="C42" s="99"/>
      <c r="D42" s="99"/>
    </row>
    <row r="43" spans="2:4" x14ac:dyDescent="0.25">
      <c r="C43" s="99"/>
      <c r="D43" s="99"/>
    </row>
    <row r="44" spans="2:4" x14ac:dyDescent="0.25">
      <c r="C44" s="99"/>
      <c r="D44" s="99"/>
    </row>
    <row r="45" spans="2:4" x14ac:dyDescent="0.25">
      <c r="C45" s="99"/>
      <c r="D45" s="99"/>
    </row>
    <row r="46" spans="2:4" x14ac:dyDescent="0.25">
      <c r="C46" s="99"/>
      <c r="D46" s="99"/>
    </row>
    <row r="47" spans="2:4" x14ac:dyDescent="0.25">
      <c r="C47" s="99"/>
      <c r="D47" s="99"/>
    </row>
    <row r="48" spans="2:4" x14ac:dyDescent="0.25">
      <c r="C48" s="99"/>
      <c r="D48" s="99"/>
    </row>
    <row r="49" spans="3:4" x14ac:dyDescent="0.25">
      <c r="C49" s="99"/>
      <c r="D49" s="99"/>
    </row>
    <row r="50" spans="3:4" x14ac:dyDescent="0.25">
      <c r="C50" s="99"/>
      <c r="D50" s="99"/>
    </row>
    <row r="51" spans="3:4" x14ac:dyDescent="0.25">
      <c r="C51" s="99"/>
      <c r="D51" s="99"/>
    </row>
    <row r="52" spans="3:4" x14ac:dyDescent="0.25">
      <c r="C52" s="99"/>
      <c r="D52" s="99"/>
    </row>
    <row r="53" spans="3:4" x14ac:dyDescent="0.25">
      <c r="C53" s="99"/>
      <c r="D53" s="99"/>
    </row>
    <row r="54" spans="3:4" x14ac:dyDescent="0.25">
      <c r="C54" s="99"/>
      <c r="D54" s="99"/>
    </row>
    <row r="55" spans="3:4" x14ac:dyDescent="0.25">
      <c r="C55" s="99"/>
      <c r="D55" s="99"/>
    </row>
    <row r="56" spans="3:4" x14ac:dyDescent="0.25">
      <c r="C56" s="99"/>
      <c r="D56" s="99"/>
    </row>
    <row r="57" spans="3:4" x14ac:dyDescent="0.25">
      <c r="C57" s="99"/>
      <c r="D57" s="99"/>
    </row>
    <row r="58" spans="3:4" x14ac:dyDescent="0.25">
      <c r="C58" s="99"/>
      <c r="D58" s="99"/>
    </row>
    <row r="59" spans="3:4" x14ac:dyDescent="0.25">
      <c r="C59" s="99"/>
      <c r="D59" s="99"/>
    </row>
    <row r="60" spans="3:4" x14ac:dyDescent="0.25">
      <c r="C60" s="99"/>
      <c r="D60" s="99"/>
    </row>
    <row r="61" spans="3:4" x14ac:dyDescent="0.25">
      <c r="C61" s="99"/>
      <c r="D61" s="99"/>
    </row>
    <row r="62" spans="3:4" x14ac:dyDescent="0.25">
      <c r="C62" s="99"/>
      <c r="D62" s="99"/>
    </row>
    <row r="63" spans="3:4" x14ac:dyDescent="0.25">
      <c r="C63" s="99"/>
      <c r="D63" s="99"/>
    </row>
    <row r="64" spans="3:4" x14ac:dyDescent="0.25">
      <c r="C64" s="99"/>
      <c r="D64" s="99"/>
    </row>
    <row r="65" spans="3:4" x14ac:dyDescent="0.25">
      <c r="C65" s="99"/>
      <c r="D65" s="99"/>
    </row>
    <row r="66" spans="3:4" x14ac:dyDescent="0.25">
      <c r="C66" s="99"/>
      <c r="D66" s="99"/>
    </row>
    <row r="67" spans="3:4" x14ac:dyDescent="0.25">
      <c r="C67" s="99"/>
      <c r="D67" s="99"/>
    </row>
    <row r="68" spans="3:4" x14ac:dyDescent="0.25">
      <c r="C68" s="99"/>
      <c r="D68" s="99"/>
    </row>
    <row r="69" spans="3:4" x14ac:dyDescent="0.25">
      <c r="C69" s="99"/>
      <c r="D69" s="99"/>
    </row>
    <row r="70" spans="3:4" x14ac:dyDescent="0.25">
      <c r="C70" s="99"/>
      <c r="D70" s="99"/>
    </row>
    <row r="71" spans="3:4" x14ac:dyDescent="0.25">
      <c r="C71" s="99"/>
      <c r="D71" s="99"/>
    </row>
    <row r="72" spans="3:4" x14ac:dyDescent="0.25">
      <c r="C72" s="99"/>
      <c r="D72" s="99"/>
    </row>
    <row r="73" spans="3:4" x14ac:dyDescent="0.25">
      <c r="C73" s="99"/>
      <c r="D73" s="99"/>
    </row>
    <row r="74" spans="3:4" x14ac:dyDescent="0.25">
      <c r="C74" s="99"/>
      <c r="D74" s="99"/>
    </row>
    <row r="75" spans="3:4" x14ac:dyDescent="0.25">
      <c r="C75" s="99"/>
      <c r="D75" s="99"/>
    </row>
    <row r="76" spans="3:4" x14ac:dyDescent="0.25">
      <c r="C76" s="99"/>
      <c r="D76" s="99"/>
    </row>
    <row r="77" spans="3:4" x14ac:dyDescent="0.25">
      <c r="C77" s="99"/>
      <c r="D77" s="99"/>
    </row>
    <row r="78" spans="3:4" x14ac:dyDescent="0.25">
      <c r="C78" s="99"/>
      <c r="D78" s="99"/>
    </row>
    <row r="79" spans="3:4" x14ac:dyDescent="0.25">
      <c r="C79" s="99"/>
      <c r="D79" s="99"/>
    </row>
    <row r="80" spans="3:4" x14ac:dyDescent="0.25">
      <c r="C80" s="99"/>
      <c r="D80" s="99"/>
    </row>
    <row r="81" spans="3:4" x14ac:dyDescent="0.25">
      <c r="C81" s="99"/>
      <c r="D81" s="99"/>
    </row>
    <row r="82" spans="3:4" x14ac:dyDescent="0.25">
      <c r="C82" s="99"/>
      <c r="D82" s="99"/>
    </row>
    <row r="83" spans="3:4" x14ac:dyDescent="0.25">
      <c r="C83" s="99"/>
      <c r="D83" s="99"/>
    </row>
    <row r="84" spans="3:4" x14ac:dyDescent="0.25">
      <c r="C84" s="99"/>
      <c r="D84" s="99"/>
    </row>
    <row r="85" spans="3:4" x14ac:dyDescent="0.25">
      <c r="C85" s="99"/>
      <c r="D85" s="99"/>
    </row>
    <row r="86" spans="3:4" x14ac:dyDescent="0.25">
      <c r="C86" s="99"/>
      <c r="D86" s="99"/>
    </row>
    <row r="87" spans="3:4" x14ac:dyDescent="0.25">
      <c r="C87" s="99"/>
      <c r="D87" s="99"/>
    </row>
    <row r="88" spans="3:4" x14ac:dyDescent="0.25">
      <c r="C88" s="99"/>
      <c r="D88" s="99"/>
    </row>
    <row r="89" spans="3:4" x14ac:dyDescent="0.25">
      <c r="C89" s="99"/>
      <c r="D89" s="99"/>
    </row>
    <row r="90" spans="3:4" x14ac:dyDescent="0.25">
      <c r="C90" s="99"/>
      <c r="D90" s="99"/>
    </row>
    <row r="91" spans="3:4" x14ac:dyDescent="0.25">
      <c r="C91" s="99"/>
      <c r="D91" s="99"/>
    </row>
    <row r="92" spans="3:4" x14ac:dyDescent="0.25">
      <c r="C92" s="99"/>
      <c r="D92" s="99"/>
    </row>
    <row r="93" spans="3:4" x14ac:dyDescent="0.25">
      <c r="C93" s="99"/>
      <c r="D93" s="99"/>
    </row>
    <row r="94" spans="3:4" x14ac:dyDescent="0.25">
      <c r="C94" s="99"/>
      <c r="D94" s="99"/>
    </row>
    <row r="95" spans="3:4" x14ac:dyDescent="0.25">
      <c r="C95" s="99"/>
      <c r="D95" s="99"/>
    </row>
    <row r="96" spans="3:4" x14ac:dyDescent="0.25">
      <c r="C96" s="99"/>
      <c r="D96" s="99"/>
    </row>
    <row r="97" spans="3:4" x14ac:dyDescent="0.25">
      <c r="C97" s="99"/>
      <c r="D97" s="99"/>
    </row>
    <row r="98" spans="3:4" x14ac:dyDescent="0.25">
      <c r="C98" s="99"/>
      <c r="D98" s="99"/>
    </row>
    <row r="99" spans="3:4" x14ac:dyDescent="0.25">
      <c r="C99" s="99"/>
      <c r="D99" s="99"/>
    </row>
    <row r="100" spans="3:4" x14ac:dyDescent="0.25">
      <c r="C100" s="99"/>
      <c r="D100" s="99"/>
    </row>
    <row r="101" spans="3:4" x14ac:dyDescent="0.25">
      <c r="C101" s="99"/>
      <c r="D101" s="99"/>
    </row>
    <row r="102" spans="3:4" x14ac:dyDescent="0.25">
      <c r="C102" s="99"/>
      <c r="D102" s="99"/>
    </row>
    <row r="103" spans="3:4" x14ac:dyDescent="0.25">
      <c r="C103" s="99"/>
      <c r="D103" s="99"/>
    </row>
    <row r="104" spans="3:4" x14ac:dyDescent="0.25">
      <c r="C104" s="99"/>
      <c r="D104" s="99"/>
    </row>
    <row r="105" spans="3:4" x14ac:dyDescent="0.25">
      <c r="C105" s="99"/>
      <c r="D105" s="99"/>
    </row>
    <row r="106" spans="3:4" x14ac:dyDescent="0.25">
      <c r="C106" s="99"/>
      <c r="D106" s="99"/>
    </row>
    <row r="107" spans="3:4" x14ac:dyDescent="0.25">
      <c r="C107" s="99"/>
      <c r="D107" s="99"/>
    </row>
    <row r="108" spans="3:4" x14ac:dyDescent="0.25">
      <c r="C108" s="99"/>
      <c r="D108" s="99"/>
    </row>
    <row r="109" spans="3:4" x14ac:dyDescent="0.25">
      <c r="C109" s="99"/>
      <c r="D109" s="99"/>
    </row>
    <row r="110" spans="3:4" x14ac:dyDescent="0.25">
      <c r="C110" s="99"/>
      <c r="D110" s="99"/>
    </row>
    <row r="111" spans="3:4" x14ac:dyDescent="0.25">
      <c r="C111" s="99"/>
      <c r="D111" s="99"/>
    </row>
    <row r="112" spans="3:4" x14ac:dyDescent="0.25">
      <c r="C112" s="99"/>
      <c r="D112" s="99"/>
    </row>
    <row r="113" spans="3:4" x14ac:dyDescent="0.25">
      <c r="C113" s="99"/>
      <c r="D113" s="99"/>
    </row>
    <row r="114" spans="3:4" x14ac:dyDescent="0.25">
      <c r="C114" s="99"/>
      <c r="D114" s="99"/>
    </row>
    <row r="115" spans="3:4" x14ac:dyDescent="0.25">
      <c r="C115" s="99"/>
      <c r="D115" s="99"/>
    </row>
    <row r="116" spans="3:4" x14ac:dyDescent="0.25">
      <c r="C116" s="99"/>
      <c r="D116" s="99"/>
    </row>
    <row r="117" spans="3:4" x14ac:dyDescent="0.25">
      <c r="C117" s="99"/>
      <c r="D117" s="99"/>
    </row>
    <row r="118" spans="3:4" x14ac:dyDescent="0.25">
      <c r="C118" s="99"/>
      <c r="D118" s="99"/>
    </row>
    <row r="119" spans="3:4" x14ac:dyDescent="0.25">
      <c r="C119" s="99"/>
      <c r="D119" s="99"/>
    </row>
    <row r="120" spans="3:4" x14ac:dyDescent="0.25">
      <c r="C120" s="99"/>
      <c r="D120" s="99"/>
    </row>
    <row r="121" spans="3:4" x14ac:dyDescent="0.25">
      <c r="C121" s="99"/>
      <c r="D121" s="99"/>
    </row>
    <row r="122" spans="3:4" x14ac:dyDescent="0.25">
      <c r="C122" s="99"/>
      <c r="D122" s="99"/>
    </row>
    <row r="123" spans="3:4" x14ac:dyDescent="0.25">
      <c r="C123" s="99"/>
      <c r="D123" s="99"/>
    </row>
    <row r="124" spans="3:4" x14ac:dyDescent="0.25">
      <c r="C124" s="99"/>
      <c r="D124" s="99"/>
    </row>
    <row r="125" spans="3:4" x14ac:dyDescent="0.25">
      <c r="C125" s="99"/>
      <c r="D125" s="99"/>
    </row>
    <row r="126" spans="3:4" x14ac:dyDescent="0.25">
      <c r="C126" s="99"/>
      <c r="D126" s="99"/>
    </row>
    <row r="127" spans="3:4" x14ac:dyDescent="0.25">
      <c r="C127" s="99"/>
      <c r="D127" s="99"/>
    </row>
    <row r="128" spans="3:4" x14ac:dyDescent="0.25">
      <c r="C128" s="99"/>
      <c r="D128" s="99"/>
    </row>
    <row r="129" spans="3:4" x14ac:dyDescent="0.25">
      <c r="C129" s="99"/>
      <c r="D129" s="99"/>
    </row>
    <row r="130" spans="3:4" x14ac:dyDescent="0.25">
      <c r="C130" s="99"/>
      <c r="D130" s="99"/>
    </row>
    <row r="131" spans="3:4" x14ac:dyDescent="0.25">
      <c r="C131" s="99"/>
      <c r="D131" s="99"/>
    </row>
    <row r="132" spans="3:4" x14ac:dyDescent="0.25">
      <c r="C132" s="99"/>
      <c r="D132" s="99"/>
    </row>
    <row r="133" spans="3:4" x14ac:dyDescent="0.25">
      <c r="C133" s="99"/>
      <c r="D133" s="99"/>
    </row>
    <row r="134" spans="3:4" x14ac:dyDescent="0.25">
      <c r="C134" s="99"/>
      <c r="D134" s="99"/>
    </row>
    <row r="135" spans="3:4" x14ac:dyDescent="0.25">
      <c r="C135" s="99"/>
      <c r="D135" s="99"/>
    </row>
    <row r="136" spans="3:4" x14ac:dyDescent="0.25">
      <c r="C136" s="99"/>
      <c r="D136" s="99"/>
    </row>
    <row r="137" spans="3:4" x14ac:dyDescent="0.25">
      <c r="C137" s="99"/>
      <c r="D137" s="99"/>
    </row>
    <row r="138" spans="3:4" x14ac:dyDescent="0.25">
      <c r="C138" s="99"/>
      <c r="D138" s="99"/>
    </row>
    <row r="139" spans="3:4" x14ac:dyDescent="0.25">
      <c r="C139" s="99"/>
      <c r="D139" s="99"/>
    </row>
    <row r="140" spans="3:4" x14ac:dyDescent="0.25">
      <c r="C140" s="99"/>
      <c r="D140" s="99"/>
    </row>
    <row r="141" spans="3:4" x14ac:dyDescent="0.25">
      <c r="C141" s="99"/>
      <c r="D141" s="99"/>
    </row>
    <row r="142" spans="3:4" x14ac:dyDescent="0.25">
      <c r="C142" s="99"/>
      <c r="D142" s="99"/>
    </row>
    <row r="143" spans="3:4" x14ac:dyDescent="0.25">
      <c r="C143" s="99"/>
      <c r="D143" s="99"/>
    </row>
    <row r="144" spans="3:4" x14ac:dyDescent="0.25">
      <c r="C144" s="99"/>
      <c r="D144" s="99"/>
    </row>
    <row r="145" spans="3:4" x14ac:dyDescent="0.25">
      <c r="C145" s="99"/>
      <c r="D145" s="99"/>
    </row>
    <row r="146" spans="3:4" x14ac:dyDescent="0.25">
      <c r="C146" s="99"/>
      <c r="D146" s="99"/>
    </row>
    <row r="147" spans="3:4" x14ac:dyDescent="0.25">
      <c r="C147" s="99"/>
      <c r="D147" s="99"/>
    </row>
    <row r="148" spans="3:4" x14ac:dyDescent="0.25">
      <c r="C148" s="99"/>
      <c r="D148" s="99"/>
    </row>
    <row r="149" spans="3:4" x14ac:dyDescent="0.25">
      <c r="C149" s="99"/>
      <c r="D149" s="99"/>
    </row>
    <row r="150" spans="3:4" x14ac:dyDescent="0.25">
      <c r="C150" s="99"/>
      <c r="D150" s="99"/>
    </row>
    <row r="151" spans="3:4" x14ac:dyDescent="0.25">
      <c r="C151" s="99"/>
      <c r="D151" s="99"/>
    </row>
    <row r="152" spans="3:4" x14ac:dyDescent="0.25">
      <c r="C152" s="99"/>
      <c r="D152" s="99"/>
    </row>
    <row r="153" spans="3:4" x14ac:dyDescent="0.25">
      <c r="C153" s="99"/>
      <c r="D153" s="99"/>
    </row>
    <row r="154" spans="3:4" x14ac:dyDescent="0.25">
      <c r="C154" s="99"/>
      <c r="D154" s="99"/>
    </row>
    <row r="155" spans="3:4" x14ac:dyDescent="0.25">
      <c r="C155" s="99"/>
      <c r="D155" s="99"/>
    </row>
    <row r="156" spans="3:4" x14ac:dyDescent="0.25">
      <c r="C156" s="99"/>
      <c r="D156" s="99"/>
    </row>
    <row r="157" spans="3:4" x14ac:dyDescent="0.25">
      <c r="C157" s="99"/>
      <c r="D157" s="99"/>
    </row>
    <row r="158" spans="3:4" x14ac:dyDescent="0.25">
      <c r="C158" s="99"/>
      <c r="D158" s="99"/>
    </row>
    <row r="159" spans="3:4" x14ac:dyDescent="0.25">
      <c r="C159" s="99"/>
      <c r="D159" s="99"/>
    </row>
    <row r="160" spans="3:4" x14ac:dyDescent="0.25">
      <c r="C160" s="99"/>
      <c r="D160" s="99"/>
    </row>
    <row r="161" spans="3:4" x14ac:dyDescent="0.25">
      <c r="C161" s="99"/>
      <c r="D161" s="99"/>
    </row>
    <row r="162" spans="3:4" x14ac:dyDescent="0.25">
      <c r="C162" s="99"/>
      <c r="D162" s="99"/>
    </row>
    <row r="163" spans="3:4" x14ac:dyDescent="0.25">
      <c r="C163" s="99"/>
      <c r="D163" s="99"/>
    </row>
    <row r="164" spans="3:4" x14ac:dyDescent="0.25">
      <c r="C164" s="99"/>
      <c r="D164" s="99"/>
    </row>
    <row r="165" spans="3:4" x14ac:dyDescent="0.25">
      <c r="C165" s="99"/>
      <c r="D165" s="99"/>
    </row>
    <row r="166" spans="3:4" x14ac:dyDescent="0.25">
      <c r="C166" s="99"/>
      <c r="D166" s="99"/>
    </row>
    <row r="167" spans="3:4" x14ac:dyDescent="0.25">
      <c r="C167" s="99"/>
      <c r="D167" s="99"/>
    </row>
    <row r="168" spans="3:4" x14ac:dyDescent="0.25">
      <c r="C168" s="99"/>
      <c r="D168" s="99"/>
    </row>
    <row r="169" spans="3:4" x14ac:dyDescent="0.25">
      <c r="C169" s="99"/>
      <c r="D169" s="99"/>
    </row>
    <row r="170" spans="3:4" x14ac:dyDescent="0.25">
      <c r="C170" s="99"/>
      <c r="D170" s="99"/>
    </row>
    <row r="171" spans="3:4" x14ac:dyDescent="0.25">
      <c r="C171" s="99"/>
      <c r="D171" s="99"/>
    </row>
    <row r="172" spans="3:4" x14ac:dyDescent="0.25">
      <c r="C172" s="99"/>
      <c r="D172" s="99"/>
    </row>
    <row r="173" spans="3:4" x14ac:dyDescent="0.25">
      <c r="C173" s="99"/>
      <c r="D173" s="99"/>
    </row>
    <row r="174" spans="3:4" x14ac:dyDescent="0.25">
      <c r="C174" s="99"/>
      <c r="D174" s="99"/>
    </row>
    <row r="175" spans="3:4" x14ac:dyDescent="0.25">
      <c r="C175" s="99"/>
      <c r="D175" s="99"/>
    </row>
    <row r="176" spans="3:4" x14ac:dyDescent="0.25">
      <c r="C176" s="99"/>
      <c r="D176" s="99"/>
    </row>
    <row r="177" spans="3:4" x14ac:dyDescent="0.25">
      <c r="C177" s="99"/>
      <c r="D177" s="99"/>
    </row>
    <row r="178" spans="3:4" x14ac:dyDescent="0.25">
      <c r="C178" s="99"/>
      <c r="D178" s="99"/>
    </row>
    <row r="179" spans="3:4" x14ac:dyDescent="0.25">
      <c r="C179" s="99"/>
      <c r="D179" s="99"/>
    </row>
    <row r="180" spans="3:4" x14ac:dyDescent="0.25">
      <c r="C180" s="99"/>
      <c r="D180" s="99"/>
    </row>
    <row r="181" spans="3:4" x14ac:dyDescent="0.25">
      <c r="C181" s="99"/>
      <c r="D181" s="99"/>
    </row>
    <row r="182" spans="3:4" x14ac:dyDescent="0.25">
      <c r="C182" s="99"/>
      <c r="D182" s="99"/>
    </row>
    <row r="183" spans="3:4" x14ac:dyDescent="0.25">
      <c r="C183" s="99"/>
      <c r="D183" s="99"/>
    </row>
    <row r="184" spans="3:4" x14ac:dyDescent="0.25">
      <c r="C184" s="99"/>
      <c r="D184" s="99"/>
    </row>
    <row r="185" spans="3:4" x14ac:dyDescent="0.25">
      <c r="C185" s="99"/>
      <c r="D185" s="99"/>
    </row>
    <row r="186" spans="3:4" x14ac:dyDescent="0.25">
      <c r="C186" s="99"/>
      <c r="D186" s="99"/>
    </row>
    <row r="187" spans="3:4" x14ac:dyDescent="0.25">
      <c r="C187" s="99"/>
      <c r="D187" s="99"/>
    </row>
    <row r="188" spans="3:4" x14ac:dyDescent="0.25">
      <c r="C188" s="99"/>
      <c r="D188" s="99"/>
    </row>
    <row r="189" spans="3:4" x14ac:dyDescent="0.25">
      <c r="C189" s="99"/>
      <c r="D189" s="99"/>
    </row>
    <row r="190" spans="3:4" x14ac:dyDescent="0.25">
      <c r="C190" s="99"/>
      <c r="D190" s="99"/>
    </row>
    <row r="191" spans="3:4" x14ac:dyDescent="0.25">
      <c r="C191" s="99"/>
      <c r="D191" s="99"/>
    </row>
    <row r="192" spans="3:4" x14ac:dyDescent="0.25">
      <c r="C192" s="99"/>
      <c r="D192" s="99"/>
    </row>
    <row r="193" spans="3:4" x14ac:dyDescent="0.25">
      <c r="C193" s="99"/>
      <c r="D193" s="99"/>
    </row>
    <row r="194" spans="3:4" x14ac:dyDescent="0.25">
      <c r="C194" s="99"/>
      <c r="D194" s="99"/>
    </row>
    <row r="195" spans="3:4" x14ac:dyDescent="0.25">
      <c r="C195" s="99"/>
      <c r="D195" s="99"/>
    </row>
    <row r="196" spans="3:4" x14ac:dyDescent="0.25">
      <c r="C196" s="99"/>
      <c r="D196" s="99"/>
    </row>
    <row r="197" spans="3:4" x14ac:dyDescent="0.25">
      <c r="C197" s="99"/>
      <c r="D197" s="99"/>
    </row>
    <row r="198" spans="3:4" x14ac:dyDescent="0.25">
      <c r="C198" s="99"/>
      <c r="D198" s="99"/>
    </row>
    <row r="199" spans="3:4" x14ac:dyDescent="0.25">
      <c r="C199" s="99"/>
      <c r="D199" s="99"/>
    </row>
    <row r="200" spans="3:4" x14ac:dyDescent="0.25">
      <c r="C200" s="99"/>
      <c r="D200" s="99"/>
    </row>
    <row r="201" spans="3:4" x14ac:dyDescent="0.25">
      <c r="C201" s="99"/>
      <c r="D201" s="99"/>
    </row>
    <row r="202" spans="3:4" x14ac:dyDescent="0.25">
      <c r="C202" s="99"/>
      <c r="D202" s="99"/>
    </row>
    <row r="203" spans="3:4" x14ac:dyDescent="0.25">
      <c r="C203" s="99"/>
      <c r="D203" s="99"/>
    </row>
    <row r="204" spans="3:4" x14ac:dyDescent="0.25">
      <c r="C204" s="99"/>
      <c r="D204" s="99"/>
    </row>
    <row r="205" spans="3:4" x14ac:dyDescent="0.25">
      <c r="C205" s="99"/>
      <c r="D205" s="99"/>
    </row>
    <row r="206" spans="3:4" x14ac:dyDescent="0.25">
      <c r="C206" s="99"/>
      <c r="D206" s="99"/>
    </row>
    <row r="207" spans="3:4" x14ac:dyDescent="0.25">
      <c r="C207" s="99"/>
      <c r="D207" s="99"/>
    </row>
    <row r="208" spans="3:4" x14ac:dyDescent="0.25">
      <c r="C208" s="99"/>
      <c r="D208" s="99"/>
    </row>
    <row r="209" spans="3:4" x14ac:dyDescent="0.25">
      <c r="C209" s="99"/>
      <c r="D209" s="99"/>
    </row>
    <row r="210" spans="3:4" x14ac:dyDescent="0.25">
      <c r="C210" s="99"/>
      <c r="D210" s="99"/>
    </row>
    <row r="211" spans="3:4" x14ac:dyDescent="0.25">
      <c r="C211" s="99"/>
      <c r="D211" s="99"/>
    </row>
    <row r="212" spans="3:4" x14ac:dyDescent="0.25">
      <c r="C212" s="99"/>
      <c r="D212" s="99"/>
    </row>
    <row r="213" spans="3:4" x14ac:dyDescent="0.25">
      <c r="C213" s="99"/>
      <c r="D213" s="99"/>
    </row>
    <row r="214" spans="3:4" x14ac:dyDescent="0.25">
      <c r="C214" s="99"/>
      <c r="D214" s="99"/>
    </row>
    <row r="215" spans="3:4" x14ac:dyDescent="0.25">
      <c r="C215" s="99"/>
      <c r="D215" s="99"/>
    </row>
    <row r="216" spans="3:4" x14ac:dyDescent="0.25">
      <c r="C216" s="99"/>
      <c r="D216" s="99"/>
    </row>
    <row r="217" spans="3:4" x14ac:dyDescent="0.25">
      <c r="C217" s="99"/>
      <c r="D217" s="99"/>
    </row>
    <row r="218" spans="3:4" x14ac:dyDescent="0.25">
      <c r="C218" s="99"/>
      <c r="D218" s="99"/>
    </row>
    <row r="219" spans="3:4" x14ac:dyDescent="0.25">
      <c r="C219" s="99"/>
      <c r="D219" s="99"/>
    </row>
    <row r="220" spans="3:4" x14ac:dyDescent="0.25">
      <c r="C220" s="99"/>
      <c r="D220" s="99"/>
    </row>
    <row r="221" spans="3:4" x14ac:dyDescent="0.25">
      <c r="C221" s="99"/>
      <c r="D221" s="99"/>
    </row>
    <row r="222" spans="3:4" x14ac:dyDescent="0.25">
      <c r="C222" s="99"/>
      <c r="D222" s="99"/>
    </row>
    <row r="223" spans="3:4" x14ac:dyDescent="0.25">
      <c r="C223" s="99"/>
      <c r="D223" s="99"/>
    </row>
    <row r="224" spans="3:4" x14ac:dyDescent="0.25">
      <c r="C224" s="99"/>
      <c r="D224" s="99"/>
    </row>
    <row r="225" spans="3:4" x14ac:dyDescent="0.25">
      <c r="C225" s="99"/>
      <c r="D225" s="99"/>
    </row>
    <row r="226" spans="3:4" x14ac:dyDescent="0.25">
      <c r="C226" s="99"/>
      <c r="D226" s="99"/>
    </row>
    <row r="227" spans="3:4" x14ac:dyDescent="0.25">
      <c r="C227" s="99"/>
      <c r="D227" s="99"/>
    </row>
    <row r="228" spans="3:4" x14ac:dyDescent="0.25">
      <c r="C228" s="99"/>
      <c r="D228" s="99"/>
    </row>
    <row r="229" spans="3:4" x14ac:dyDescent="0.25">
      <c r="C229" s="99"/>
      <c r="D229" s="99"/>
    </row>
    <row r="230" spans="3:4" x14ac:dyDescent="0.25">
      <c r="C230" s="99"/>
      <c r="D230" s="99"/>
    </row>
    <row r="231" spans="3:4" x14ac:dyDescent="0.25">
      <c r="C231" s="99"/>
      <c r="D231" s="99"/>
    </row>
    <row r="232" spans="3:4" x14ac:dyDescent="0.25">
      <c r="C232" s="99"/>
      <c r="D232" s="99"/>
    </row>
    <row r="233" spans="3:4" x14ac:dyDescent="0.25">
      <c r="C233" s="99"/>
      <c r="D233" s="99"/>
    </row>
    <row r="234" spans="3:4" x14ac:dyDescent="0.25">
      <c r="C234" s="99"/>
      <c r="D234" s="99"/>
    </row>
    <row r="235" spans="3:4" x14ac:dyDescent="0.25">
      <c r="C235" s="99"/>
      <c r="D235" s="99"/>
    </row>
    <row r="236" spans="3:4" x14ac:dyDescent="0.25">
      <c r="C236" s="99"/>
      <c r="D236" s="99"/>
    </row>
    <row r="237" spans="3:4" x14ac:dyDescent="0.25">
      <c r="C237" s="99"/>
      <c r="D237" s="99"/>
    </row>
    <row r="238" spans="3:4" x14ac:dyDescent="0.25">
      <c r="C238" s="99"/>
      <c r="D238" s="99"/>
    </row>
    <row r="239" spans="3:4" x14ac:dyDescent="0.25">
      <c r="C239" s="99"/>
      <c r="D239" s="99"/>
    </row>
    <row r="240" spans="3:4" x14ac:dyDescent="0.25">
      <c r="C240" s="99"/>
      <c r="D240" s="99"/>
    </row>
    <row r="241" spans="3:4" x14ac:dyDescent="0.25">
      <c r="C241" s="99"/>
      <c r="D241" s="99"/>
    </row>
    <row r="242" spans="3:4" x14ac:dyDescent="0.25">
      <c r="C242" s="99"/>
      <c r="D242" s="99"/>
    </row>
    <row r="243" spans="3:4" x14ac:dyDescent="0.25">
      <c r="C243" s="99"/>
      <c r="D243" s="99"/>
    </row>
    <row r="244" spans="3:4" x14ac:dyDescent="0.25">
      <c r="C244" s="99"/>
      <c r="D244" s="99"/>
    </row>
    <row r="245" spans="3:4" x14ac:dyDescent="0.25">
      <c r="C245" s="99"/>
      <c r="D245" s="99"/>
    </row>
    <row r="246" spans="3:4" x14ac:dyDescent="0.25">
      <c r="C246" s="99"/>
      <c r="D246" s="99"/>
    </row>
    <row r="247" spans="3:4" x14ac:dyDescent="0.25">
      <c r="C247" s="99"/>
      <c r="D247" s="99"/>
    </row>
    <row r="248" spans="3:4" x14ac:dyDescent="0.25">
      <c r="C248" s="99"/>
      <c r="D248" s="99"/>
    </row>
    <row r="249" spans="3:4" x14ac:dyDescent="0.25">
      <c r="C249" s="99"/>
      <c r="D249" s="99"/>
    </row>
    <row r="250" spans="3:4" x14ac:dyDescent="0.25">
      <c r="C250" s="99"/>
      <c r="D250" s="99"/>
    </row>
    <row r="251" spans="3:4" x14ac:dyDescent="0.25">
      <c r="C251" s="99"/>
      <c r="D251" s="99"/>
    </row>
    <row r="252" spans="3:4" x14ac:dyDescent="0.25">
      <c r="C252" s="99"/>
      <c r="D252" s="99"/>
    </row>
    <row r="253" spans="3:4" x14ac:dyDescent="0.25">
      <c r="C253" s="99"/>
      <c r="D253" s="99"/>
    </row>
    <row r="254" spans="3:4" x14ac:dyDescent="0.25">
      <c r="C254" s="99"/>
      <c r="D254" s="99"/>
    </row>
    <row r="255" spans="3:4" x14ac:dyDescent="0.25">
      <c r="C255" s="99"/>
      <c r="D255" s="99"/>
    </row>
    <row r="256" spans="3:4" x14ac:dyDescent="0.25">
      <c r="C256" s="99"/>
      <c r="D256" s="99"/>
    </row>
    <row r="257" spans="3:4" x14ac:dyDescent="0.25">
      <c r="C257" s="99"/>
      <c r="D257" s="99"/>
    </row>
    <row r="258" spans="3:4" x14ac:dyDescent="0.25">
      <c r="C258" s="99"/>
      <c r="D258" s="99"/>
    </row>
    <row r="259" spans="3:4" x14ac:dyDescent="0.25">
      <c r="C259" s="99"/>
      <c r="D259" s="99"/>
    </row>
    <row r="260" spans="3:4" x14ac:dyDescent="0.25">
      <c r="C260" s="99"/>
      <c r="D260" s="99"/>
    </row>
    <row r="261" spans="3:4" x14ac:dyDescent="0.25">
      <c r="C261" s="99"/>
      <c r="D261" s="99"/>
    </row>
    <row r="262" spans="3:4" x14ac:dyDescent="0.25">
      <c r="C262" s="99"/>
      <c r="D262" s="99"/>
    </row>
    <row r="263" spans="3:4" x14ac:dyDescent="0.25">
      <c r="C263" s="99"/>
      <c r="D263" s="99"/>
    </row>
    <row r="264" spans="3:4" x14ac:dyDescent="0.25">
      <c r="C264" s="99"/>
      <c r="D264" s="99"/>
    </row>
    <row r="265" spans="3:4" x14ac:dyDescent="0.25">
      <c r="C265" s="99"/>
      <c r="D265" s="99"/>
    </row>
    <row r="266" spans="3:4" x14ac:dyDescent="0.25">
      <c r="C266" s="99"/>
      <c r="D266" s="99"/>
    </row>
    <row r="267" spans="3:4" x14ac:dyDescent="0.25">
      <c r="C267" s="99"/>
      <c r="D267" s="99"/>
    </row>
    <row r="268" spans="3:4" x14ac:dyDescent="0.25">
      <c r="C268" s="99"/>
      <c r="D268" s="99"/>
    </row>
    <row r="269" spans="3:4" x14ac:dyDescent="0.25">
      <c r="C269" s="99"/>
      <c r="D269" s="99"/>
    </row>
    <row r="270" spans="3:4" x14ac:dyDescent="0.25">
      <c r="C270" s="99"/>
      <c r="D270" s="99"/>
    </row>
    <row r="271" spans="3:4" x14ac:dyDescent="0.25">
      <c r="C271" s="99"/>
      <c r="D271" s="99"/>
    </row>
    <row r="272" spans="3:4" x14ac:dyDescent="0.25">
      <c r="C272" s="99"/>
      <c r="D272" s="99"/>
    </row>
    <row r="273" spans="3:4" x14ac:dyDescent="0.25">
      <c r="C273" s="99"/>
      <c r="D273" s="99"/>
    </row>
    <row r="274" spans="3:4" x14ac:dyDescent="0.25">
      <c r="C274" s="99"/>
      <c r="D274" s="99"/>
    </row>
    <row r="275" spans="3:4" x14ac:dyDescent="0.25">
      <c r="C275" s="99"/>
      <c r="D275" s="99"/>
    </row>
    <row r="276" spans="3:4" x14ac:dyDescent="0.25">
      <c r="C276" s="99"/>
      <c r="D276" s="99"/>
    </row>
    <row r="277" spans="3:4" x14ac:dyDescent="0.25">
      <c r="C277" s="99"/>
      <c r="D277" s="99"/>
    </row>
    <row r="278" spans="3:4" x14ac:dyDescent="0.25">
      <c r="C278" s="99"/>
      <c r="D278" s="99"/>
    </row>
    <row r="279" spans="3:4" x14ac:dyDescent="0.25">
      <c r="C279" s="99"/>
      <c r="D279" s="99"/>
    </row>
    <row r="280" spans="3:4" x14ac:dyDescent="0.25">
      <c r="C280" s="99"/>
      <c r="D280" s="99"/>
    </row>
    <row r="281" spans="3:4" x14ac:dyDescent="0.25">
      <c r="C281" s="99"/>
      <c r="D281" s="99"/>
    </row>
    <row r="282" spans="3:4" x14ac:dyDescent="0.25">
      <c r="C282" s="99"/>
      <c r="D282" s="99"/>
    </row>
    <row r="283" spans="3:4" x14ac:dyDescent="0.25">
      <c r="C283" s="99"/>
      <c r="D283" s="99"/>
    </row>
    <row r="284" spans="3:4" x14ac:dyDescent="0.25">
      <c r="C284" s="99"/>
      <c r="D284" s="99"/>
    </row>
    <row r="285" spans="3:4" x14ac:dyDescent="0.25">
      <c r="C285" s="99"/>
      <c r="D285" s="99"/>
    </row>
    <row r="286" spans="3:4" x14ac:dyDescent="0.25">
      <c r="C286" s="99"/>
      <c r="D286" s="99"/>
    </row>
    <row r="287" spans="3:4" x14ac:dyDescent="0.25">
      <c r="C287" s="99"/>
      <c r="D287" s="99"/>
    </row>
    <row r="288" spans="3:4" x14ac:dyDescent="0.25">
      <c r="C288" s="99"/>
      <c r="D288" s="99"/>
    </row>
    <row r="289" spans="3:4" x14ac:dyDescent="0.25">
      <c r="C289" s="99"/>
      <c r="D289" s="99"/>
    </row>
    <row r="290" spans="3:4" x14ac:dyDescent="0.25">
      <c r="C290" s="99"/>
      <c r="D290" s="99"/>
    </row>
    <row r="291" spans="3:4" x14ac:dyDescent="0.25">
      <c r="C291" s="99"/>
      <c r="D291" s="99"/>
    </row>
    <row r="292" spans="3:4" x14ac:dyDescent="0.25">
      <c r="C292" s="99"/>
      <c r="D292" s="99"/>
    </row>
    <row r="293" spans="3:4" x14ac:dyDescent="0.25">
      <c r="C293" s="99"/>
      <c r="D293" s="99"/>
    </row>
    <row r="294" spans="3:4" x14ac:dyDescent="0.25">
      <c r="C294" s="99"/>
      <c r="D294" s="99"/>
    </row>
    <row r="295" spans="3:4" x14ac:dyDescent="0.25">
      <c r="C295" s="99"/>
      <c r="D295" s="99"/>
    </row>
    <row r="296" spans="3:4" x14ac:dyDescent="0.25">
      <c r="C296" s="99"/>
      <c r="D296" s="99"/>
    </row>
    <row r="297" spans="3:4" x14ac:dyDescent="0.25">
      <c r="C297" s="99"/>
      <c r="D297" s="99"/>
    </row>
    <row r="298" spans="3:4" x14ac:dyDescent="0.25">
      <c r="C298" s="99"/>
      <c r="D298" s="99"/>
    </row>
    <row r="299" spans="3:4" x14ac:dyDescent="0.25">
      <c r="C299" s="99"/>
      <c r="D299" s="99"/>
    </row>
    <row r="300" spans="3:4" x14ac:dyDescent="0.25">
      <c r="C300" s="99"/>
      <c r="D300" s="99"/>
    </row>
    <row r="301" spans="3:4" x14ac:dyDescent="0.25">
      <c r="C301" s="99"/>
      <c r="D301" s="99"/>
    </row>
    <row r="302" spans="3:4" x14ac:dyDescent="0.25">
      <c r="C302" s="99"/>
      <c r="D302" s="99"/>
    </row>
    <row r="303" spans="3:4" x14ac:dyDescent="0.25">
      <c r="C303" s="99"/>
      <c r="D303" s="99"/>
    </row>
    <row r="304" spans="3:4" x14ac:dyDescent="0.25">
      <c r="C304" s="99"/>
      <c r="D304" s="99"/>
    </row>
    <row r="305" spans="3:4" x14ac:dyDescent="0.25">
      <c r="C305" s="99"/>
      <c r="D305" s="99"/>
    </row>
    <row r="306" spans="3:4" x14ac:dyDescent="0.25">
      <c r="C306" s="99"/>
      <c r="D306" s="99"/>
    </row>
    <row r="307" spans="3:4" x14ac:dyDescent="0.25">
      <c r="C307" s="99"/>
      <c r="D307" s="99"/>
    </row>
    <row r="308" spans="3:4" x14ac:dyDescent="0.25">
      <c r="C308" s="99"/>
      <c r="D308" s="99"/>
    </row>
    <row r="309" spans="3:4" x14ac:dyDescent="0.25">
      <c r="C309" s="99"/>
      <c r="D309" s="99"/>
    </row>
    <row r="310" spans="3:4" x14ac:dyDescent="0.25">
      <c r="C310" s="99"/>
      <c r="D310" s="99"/>
    </row>
    <row r="311" spans="3:4" x14ac:dyDescent="0.25">
      <c r="C311" s="99"/>
      <c r="D311" s="99"/>
    </row>
    <row r="312" spans="3:4" x14ac:dyDescent="0.25">
      <c r="C312" s="99"/>
      <c r="D312" s="99"/>
    </row>
    <row r="313" spans="3:4" x14ac:dyDescent="0.25">
      <c r="C313" s="99"/>
      <c r="D313" s="99"/>
    </row>
    <row r="314" spans="3:4" x14ac:dyDescent="0.25">
      <c r="C314" s="99"/>
      <c r="D314" s="99"/>
    </row>
    <row r="315" spans="3:4" x14ac:dyDescent="0.25">
      <c r="C315" s="99"/>
      <c r="D315" s="99"/>
    </row>
    <row r="316" spans="3:4" x14ac:dyDescent="0.25">
      <c r="C316" s="99"/>
      <c r="D316" s="99"/>
    </row>
    <row r="317" spans="3:4" x14ac:dyDescent="0.25">
      <c r="C317" s="99"/>
      <c r="D317" s="99"/>
    </row>
    <row r="318" spans="3:4" x14ac:dyDescent="0.25">
      <c r="C318" s="99"/>
      <c r="D318" s="99"/>
    </row>
    <row r="319" spans="3:4" x14ac:dyDescent="0.25">
      <c r="C319" s="99"/>
      <c r="D319" s="99"/>
    </row>
    <row r="320" spans="3:4" x14ac:dyDescent="0.25">
      <c r="C320" s="99"/>
      <c r="D320" s="99"/>
    </row>
    <row r="321" spans="3:4" x14ac:dyDescent="0.25">
      <c r="C321" s="99"/>
      <c r="D321" s="99"/>
    </row>
    <row r="322" spans="3:4" x14ac:dyDescent="0.25">
      <c r="C322" s="99"/>
      <c r="D322" s="99"/>
    </row>
    <row r="323" spans="3:4" x14ac:dyDescent="0.25">
      <c r="C323" s="99"/>
      <c r="D323" s="99"/>
    </row>
    <row r="324" spans="3:4" x14ac:dyDescent="0.25">
      <c r="C324" s="99"/>
      <c r="D324" s="99"/>
    </row>
    <row r="325" spans="3:4" x14ac:dyDescent="0.25">
      <c r="C325" s="99"/>
      <c r="D325" s="99"/>
    </row>
    <row r="326" spans="3:4" x14ac:dyDescent="0.25">
      <c r="C326" s="99"/>
      <c r="D326" s="99"/>
    </row>
    <row r="327" spans="3:4" x14ac:dyDescent="0.25">
      <c r="C327" s="99"/>
      <c r="D327" s="99"/>
    </row>
    <row r="328" spans="3:4" x14ac:dyDescent="0.25">
      <c r="C328" s="99"/>
      <c r="D328" s="99"/>
    </row>
    <row r="329" spans="3:4" x14ac:dyDescent="0.25">
      <c r="C329" s="99"/>
      <c r="D329" s="99"/>
    </row>
    <row r="330" spans="3:4" x14ac:dyDescent="0.25">
      <c r="C330" s="99"/>
      <c r="D330" s="99"/>
    </row>
    <row r="331" spans="3:4" x14ac:dyDescent="0.25">
      <c r="C331" s="99"/>
      <c r="D331" s="99"/>
    </row>
    <row r="332" spans="3:4" x14ac:dyDescent="0.25">
      <c r="C332" s="99"/>
      <c r="D332" s="99"/>
    </row>
    <row r="333" spans="3:4" x14ac:dyDescent="0.25">
      <c r="C333" s="99"/>
      <c r="D333" s="99"/>
    </row>
    <row r="334" spans="3:4" x14ac:dyDescent="0.25">
      <c r="C334" s="99"/>
      <c r="D334" s="99"/>
    </row>
    <row r="335" spans="3:4" x14ac:dyDescent="0.25">
      <c r="C335" s="99"/>
      <c r="D335" s="99"/>
    </row>
    <row r="336" spans="3:4" x14ac:dyDescent="0.25">
      <c r="C336" s="99"/>
      <c r="D336" s="99"/>
    </row>
    <row r="337" spans="3:4" x14ac:dyDescent="0.25">
      <c r="C337" s="99"/>
      <c r="D337" s="99"/>
    </row>
    <row r="338" spans="3:4" x14ac:dyDescent="0.25">
      <c r="C338" s="99"/>
      <c r="D338" s="99"/>
    </row>
    <row r="339" spans="3:4" x14ac:dyDescent="0.25">
      <c r="C339" s="99"/>
      <c r="D339" s="99"/>
    </row>
    <row r="340" spans="3:4" x14ac:dyDescent="0.25">
      <c r="C340" s="99"/>
      <c r="D340" s="99"/>
    </row>
    <row r="341" spans="3:4" x14ac:dyDescent="0.25">
      <c r="C341" s="99"/>
      <c r="D341" s="99"/>
    </row>
    <row r="342" spans="3:4" x14ac:dyDescent="0.25">
      <c r="C342" s="99"/>
      <c r="D342" s="99"/>
    </row>
    <row r="343" spans="3:4" x14ac:dyDescent="0.25">
      <c r="C343" s="99"/>
      <c r="D343" s="99"/>
    </row>
    <row r="344" spans="3:4" x14ac:dyDescent="0.25">
      <c r="C344" s="99"/>
      <c r="D344" s="99"/>
    </row>
    <row r="345" spans="3:4" x14ac:dyDescent="0.25">
      <c r="C345" s="99"/>
      <c r="D345" s="99"/>
    </row>
    <row r="346" spans="3:4" x14ac:dyDescent="0.25">
      <c r="C346" s="99"/>
      <c r="D346" s="99"/>
    </row>
    <row r="347" spans="3:4" x14ac:dyDescent="0.25">
      <c r="C347" s="99"/>
      <c r="D347" s="99"/>
    </row>
    <row r="348" spans="3:4" x14ac:dyDescent="0.25">
      <c r="C348" s="99"/>
      <c r="D348" s="99"/>
    </row>
    <row r="349" spans="3:4" x14ac:dyDescent="0.25">
      <c r="C349" s="99"/>
      <c r="D349" s="99"/>
    </row>
    <row r="350" spans="3:4" x14ac:dyDescent="0.25">
      <c r="C350" s="99"/>
      <c r="D350" s="99"/>
    </row>
    <row r="351" spans="3:4" x14ac:dyDescent="0.25">
      <c r="C351" s="99"/>
      <c r="D351" s="99"/>
    </row>
    <row r="352" spans="3:4" x14ac:dyDescent="0.25">
      <c r="C352" s="99"/>
      <c r="D352" s="99"/>
    </row>
    <row r="353" spans="3:4" x14ac:dyDescent="0.25">
      <c r="C353" s="99"/>
      <c r="D353" s="99"/>
    </row>
    <row r="354" spans="3:4" x14ac:dyDescent="0.25">
      <c r="C354" s="99"/>
      <c r="D354" s="99"/>
    </row>
    <row r="355" spans="3:4" x14ac:dyDescent="0.25">
      <c r="C355" s="99"/>
      <c r="D355" s="99"/>
    </row>
    <row r="356" spans="3:4" x14ac:dyDescent="0.25">
      <c r="C356" s="99"/>
      <c r="D356" s="99"/>
    </row>
    <row r="357" spans="3:4" x14ac:dyDescent="0.25">
      <c r="C357" s="99"/>
      <c r="D357" s="99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AQ495"/>
  <sheetViews>
    <sheetView workbookViewId="0"/>
  </sheetViews>
  <sheetFormatPr defaultRowHeight="15.75" x14ac:dyDescent="0.25"/>
  <cols>
    <col min="1" max="1" width="4.375" customWidth="1"/>
    <col min="2" max="2" width="8.625" style="1" customWidth="1"/>
    <col min="3" max="3" width="8.25" style="1" customWidth="1"/>
    <col min="4" max="4" width="1.375" style="1" customWidth="1"/>
    <col min="5" max="5" width="3" style="1" customWidth="1"/>
    <col min="6" max="6" width="23.875" style="1" customWidth="1"/>
    <col min="7" max="7" width="12.5" style="1" customWidth="1"/>
    <col min="8" max="8" width="2.75" style="1" customWidth="1"/>
    <col min="9" max="9" width="5.5" style="1" customWidth="1"/>
    <col min="10" max="10" width="8.375" style="1" customWidth="1"/>
    <col min="11" max="11" width="1.25" style="1" customWidth="1"/>
    <col min="12" max="12" width="6.625" style="1" customWidth="1"/>
    <col min="13" max="14" width="4.125" style="1" customWidth="1"/>
    <col min="15" max="15" width="5.5" style="1" customWidth="1"/>
    <col min="16" max="16" width="6.625" style="1" customWidth="1"/>
    <col min="17" max="17" width="7.125" style="1" customWidth="1"/>
    <col min="18" max="18" width="6.625" style="1" customWidth="1"/>
    <col min="19" max="20" width="4.125" style="1" customWidth="1"/>
    <col min="21" max="21" width="28.875" style="1" bestFit="1" customWidth="1"/>
    <col min="22" max="22" width="8.625" style="1" bestFit="1" customWidth="1"/>
    <col min="23" max="23" width="28.875" style="1" bestFit="1" customWidth="1"/>
    <col min="24" max="24" width="8.625" style="1" bestFit="1" customWidth="1"/>
    <col min="25" max="25" width="13.125" style="1" customWidth="1"/>
    <col min="26" max="26" width="6.5" style="1" bestFit="1" customWidth="1"/>
    <col min="27" max="27" width="8.625" style="1" bestFit="1" customWidth="1"/>
    <col min="28" max="28" width="6.25" style="1" bestFit="1" customWidth="1"/>
    <col min="29" max="29" width="13.125" style="1" bestFit="1" customWidth="1"/>
    <col min="30" max="30" width="34.625" style="1" customWidth="1"/>
    <col min="31" max="31" width="8.625" style="1" customWidth="1"/>
    <col min="32" max="32" width="34.625" style="1" customWidth="1"/>
    <col min="33" max="33" width="8.625" style="1" customWidth="1"/>
    <col min="34" max="34" width="34.625" style="1" customWidth="1"/>
    <col min="35" max="35" width="8.625" style="1" customWidth="1"/>
    <col min="36" max="36" width="34.625" style="1" customWidth="1"/>
    <col min="37" max="37" width="8.625" style="1" customWidth="1"/>
    <col min="38" max="38" width="34.625" style="1" customWidth="1"/>
    <col min="39" max="39" width="8.625" style="1" customWidth="1"/>
    <col min="40" max="40" width="34.625" style="1" customWidth="1"/>
    <col min="41" max="41" width="8.625" style="1" customWidth="1"/>
    <col min="42" max="42" width="34.625" style="1" customWidth="1"/>
    <col min="43" max="43" width="8.625" style="1" customWidth="1"/>
    <col min="44" max="44" width="22.875" bestFit="1" customWidth="1"/>
    <col min="45" max="45" width="18.625" bestFit="1" customWidth="1"/>
    <col min="46" max="46" width="8.125" customWidth="1"/>
    <col min="47" max="47" width="18.625" bestFit="1" customWidth="1"/>
    <col min="48" max="48" width="10.375" bestFit="1" customWidth="1"/>
    <col min="49" max="49" width="1.875" bestFit="1" customWidth="1"/>
    <col min="50" max="50" width="5.375" bestFit="1" customWidth="1"/>
    <col min="51" max="51" width="8.125" bestFit="1" customWidth="1"/>
    <col min="52" max="52" width="5" customWidth="1"/>
    <col min="53" max="53" width="7.375" customWidth="1"/>
    <col min="54" max="54" width="16.875" customWidth="1"/>
    <col min="55" max="55" width="7.5" customWidth="1"/>
    <col min="56" max="56" width="4" customWidth="1"/>
    <col min="57" max="57" width="6.125" customWidth="1"/>
    <col min="58" max="58" width="3.75" customWidth="1"/>
    <col min="59" max="59" width="8.625" customWidth="1"/>
    <col min="60" max="60" width="13" customWidth="1"/>
    <col min="61" max="61" width="3.75" bestFit="1" customWidth="1"/>
    <col min="62" max="62" width="8.625" bestFit="1" customWidth="1"/>
    <col min="63" max="63" width="13" bestFit="1" customWidth="1"/>
    <col min="64" max="64" width="1.375" bestFit="1" customWidth="1"/>
    <col min="65" max="65" width="16.875" bestFit="1" customWidth="1"/>
    <col min="66" max="66" width="7.5" bestFit="1" customWidth="1"/>
    <col min="67" max="67" width="4" bestFit="1" customWidth="1"/>
    <col min="68" max="68" width="6.125" bestFit="1" customWidth="1"/>
    <col min="69" max="69" width="3.75" bestFit="1" customWidth="1"/>
    <col min="70" max="70" width="8.625" bestFit="1" customWidth="1"/>
    <col min="71" max="71" width="13" bestFit="1" customWidth="1"/>
    <col min="72" max="72" width="8.125" bestFit="1" customWidth="1"/>
    <col min="73" max="73" width="25.375" customWidth="1"/>
    <col min="74" max="74" width="7.375" customWidth="1"/>
    <col min="75" max="75" width="25.375" customWidth="1"/>
    <col min="76" max="76" width="7.375" customWidth="1"/>
    <col min="77" max="77" width="16.875" customWidth="1"/>
    <col min="78" max="78" width="7.5" customWidth="1"/>
    <col min="79" max="79" width="4" customWidth="1"/>
    <col min="80" max="80" width="6.125" customWidth="1"/>
    <col min="81" max="81" width="3.75" customWidth="1"/>
    <col min="82" max="82" width="8.625" customWidth="1"/>
    <col min="83" max="83" width="13" customWidth="1"/>
    <col min="84" max="84" width="3.75" bestFit="1" customWidth="1"/>
    <col min="85" max="85" width="8.625" bestFit="1" customWidth="1"/>
    <col min="86" max="86" width="13" bestFit="1" customWidth="1"/>
    <col min="87" max="87" width="1.375" bestFit="1" customWidth="1"/>
    <col min="88" max="88" width="16.875" bestFit="1" customWidth="1"/>
    <col min="89" max="89" width="7.5" bestFit="1" customWidth="1"/>
    <col min="90" max="90" width="4" bestFit="1" customWidth="1"/>
    <col min="91" max="91" width="6.125" bestFit="1" customWidth="1"/>
    <col min="92" max="92" width="3.75" bestFit="1" customWidth="1"/>
    <col min="93" max="93" width="8.625" bestFit="1" customWidth="1"/>
    <col min="94" max="94" width="13" bestFit="1" customWidth="1"/>
  </cols>
  <sheetData>
    <row r="1" spans="1:43" x14ac:dyDescent="0.25">
      <c r="A1" t="s">
        <v>538</v>
      </c>
      <c r="B1" s="1" t="s">
        <v>539</v>
      </c>
      <c r="C1" s="1" t="s">
        <v>540</v>
      </c>
      <c r="D1" s="90" t="s">
        <v>539</v>
      </c>
      <c r="E1" s="90" t="s">
        <v>541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</row>
    <row r="2" spans="1:43" x14ac:dyDescent="0.25">
      <c r="A2">
        <v>8.1014399999999997E-3</v>
      </c>
      <c r="B2" s="1">
        <v>0.87060899999999997</v>
      </c>
      <c r="C2" s="1">
        <v>9.4995599999999999E-2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</row>
    <row r="3" spans="1:43" x14ac:dyDescent="0.25">
      <c r="A3">
        <v>8.1824500000000008E-3</v>
      </c>
      <c r="B3" s="1">
        <v>0.93369100000000005</v>
      </c>
      <c r="C3" s="1">
        <v>8.9944399999999994E-2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</row>
    <row r="4" spans="1:43" x14ac:dyDescent="0.25">
      <c r="A4">
        <v>8.2642700000000006E-3</v>
      </c>
      <c r="B4" s="1">
        <v>0.92239199999999999</v>
      </c>
      <c r="C4" s="1">
        <v>8.6988700000000002E-2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43" x14ac:dyDescent="0.25">
      <c r="A5">
        <v>8.3469200000000007E-3</v>
      </c>
      <c r="B5" s="1">
        <v>0.85600699999999996</v>
      </c>
      <c r="C5" s="1">
        <v>7.8268199999999996E-2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</row>
    <row r="6" spans="1:43" x14ac:dyDescent="0.25">
      <c r="A6">
        <v>8.4303899999999994E-3</v>
      </c>
      <c r="B6" s="1">
        <v>0.96596899999999997</v>
      </c>
      <c r="C6" s="1">
        <v>8.3901600000000007E-2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</row>
    <row r="7" spans="1:43" x14ac:dyDescent="0.25">
      <c r="A7">
        <v>8.5146900000000001E-3</v>
      </c>
      <c r="B7" s="1">
        <v>0.94897299999999996</v>
      </c>
      <c r="C7" s="1">
        <v>7.8782599999999994E-2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</row>
    <row r="8" spans="1:43" x14ac:dyDescent="0.25">
      <c r="A8">
        <v>8.5998399999999992E-3</v>
      </c>
      <c r="B8" s="1">
        <v>0.94125099999999995</v>
      </c>
      <c r="C8" s="1">
        <v>7.6468700000000001E-2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</row>
    <row r="9" spans="1:43" x14ac:dyDescent="0.25">
      <c r="A9">
        <v>8.6858400000000002E-3</v>
      </c>
      <c r="B9" s="1">
        <v>1.00413</v>
      </c>
      <c r="C9" s="1">
        <v>7.6343999999999995E-2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</row>
    <row r="10" spans="1:43" x14ac:dyDescent="0.25">
      <c r="A10">
        <v>8.7726899999999997E-3</v>
      </c>
      <c r="B10" s="1">
        <v>0.96939399999999998</v>
      </c>
      <c r="C10" s="1">
        <v>7.0968100000000006E-2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</row>
    <row r="11" spans="1:43" x14ac:dyDescent="0.25">
      <c r="A11">
        <v>8.8604200000000008E-3</v>
      </c>
      <c r="B11" s="1">
        <v>0.89254</v>
      </c>
      <c r="C11" s="1">
        <v>6.6977200000000001E-2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</row>
    <row r="12" spans="1:43" x14ac:dyDescent="0.25">
      <c r="A12">
        <v>8.9490300000000002E-3</v>
      </c>
      <c r="B12" s="1">
        <v>0.99098699999999995</v>
      </c>
      <c r="C12" s="1">
        <v>6.7374299999999998E-2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</row>
    <row r="13" spans="1:43" x14ac:dyDescent="0.25">
      <c r="A13">
        <v>9.0385199999999995E-3</v>
      </c>
      <c r="B13" s="1">
        <v>0.91620299999999999</v>
      </c>
      <c r="C13" s="1">
        <v>6.3344499999999998E-2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</row>
    <row r="14" spans="1:43" x14ac:dyDescent="0.25">
      <c r="A14">
        <v>9.1289000000000006E-3</v>
      </c>
      <c r="B14" s="1">
        <v>0.84638199999999997</v>
      </c>
      <c r="C14" s="1">
        <v>5.9125400000000002E-2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</row>
    <row r="15" spans="1:43" x14ac:dyDescent="0.25">
      <c r="A15">
        <v>9.1289000000000006E-3</v>
      </c>
      <c r="B15" s="1">
        <v>0.98587999999999998</v>
      </c>
      <c r="C15" s="1">
        <v>6.7591100000000001E-2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43" x14ac:dyDescent="0.25">
      <c r="A16">
        <v>9.2201899999999996E-3</v>
      </c>
      <c r="B16" s="1">
        <v>0.91935800000000001</v>
      </c>
      <c r="C16" s="1">
        <v>6.0068400000000001E-2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x14ac:dyDescent="0.25">
      <c r="A17">
        <v>9.2201899999999996E-3</v>
      </c>
      <c r="B17" s="1">
        <v>0.98205900000000002</v>
      </c>
      <c r="C17" s="1">
        <v>6.3896300000000003E-2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x14ac:dyDescent="0.25">
      <c r="A18">
        <v>9.3123900000000003E-3</v>
      </c>
      <c r="B18" s="1">
        <v>0.90060099999999998</v>
      </c>
      <c r="C18" s="1">
        <v>5.6889599999999999E-2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x14ac:dyDescent="0.25">
      <c r="A19">
        <v>9.3123900000000003E-3</v>
      </c>
      <c r="B19" s="1">
        <v>1.07809</v>
      </c>
      <c r="C19" s="1">
        <v>6.2779500000000002E-2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x14ac:dyDescent="0.25">
      <c r="A20">
        <v>9.4055200000000005E-3</v>
      </c>
      <c r="B20" s="1">
        <v>1.0486899999999999</v>
      </c>
      <c r="C20" s="1">
        <v>5.9915200000000002E-2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x14ac:dyDescent="0.25">
      <c r="A21">
        <v>9.4055200000000005E-3</v>
      </c>
      <c r="B21" s="1">
        <v>0.92053399999999996</v>
      </c>
      <c r="C21" s="1">
        <v>5.5930599999999997E-2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x14ac:dyDescent="0.25">
      <c r="A22">
        <v>9.4995700000000006E-3</v>
      </c>
      <c r="B22" s="1">
        <v>0.97183299999999995</v>
      </c>
      <c r="C22" s="1">
        <v>5.6221399999999998E-2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x14ac:dyDescent="0.25">
      <c r="A23">
        <v>9.4995700000000006E-3</v>
      </c>
      <c r="B23" s="1">
        <v>0.96221999999999996</v>
      </c>
      <c r="C23" s="1">
        <v>5.6945999999999997E-2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x14ac:dyDescent="0.25">
      <c r="A24">
        <v>9.5945700000000002E-3</v>
      </c>
      <c r="B24" s="1">
        <v>0.94296400000000002</v>
      </c>
      <c r="C24" s="1">
        <v>5.4299800000000002E-2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x14ac:dyDescent="0.25">
      <c r="A25">
        <v>9.5945700000000002E-3</v>
      </c>
      <c r="B25" s="1">
        <v>0.97215600000000002</v>
      </c>
      <c r="C25" s="1">
        <v>5.3712999999999997E-2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x14ac:dyDescent="0.25">
      <c r="A26">
        <v>9.6905099999999994E-3</v>
      </c>
      <c r="B26" s="1">
        <v>0.87193399999999999</v>
      </c>
      <c r="C26" s="1">
        <v>5.1193700000000002E-2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x14ac:dyDescent="0.25">
      <c r="A27">
        <v>9.6905099999999994E-3</v>
      </c>
      <c r="B27" s="1">
        <v>1.0396000000000001</v>
      </c>
      <c r="C27" s="1">
        <v>5.5015500000000002E-2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x14ac:dyDescent="0.25">
      <c r="A28">
        <v>9.7874199999999998E-3</v>
      </c>
      <c r="B28" s="1">
        <v>0.99751000000000001</v>
      </c>
      <c r="C28" s="1">
        <v>5.1527299999999998E-2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x14ac:dyDescent="0.25">
      <c r="A29">
        <v>9.7874199999999998E-3</v>
      </c>
      <c r="B29" s="1">
        <v>0.99588900000000002</v>
      </c>
      <c r="C29" s="1">
        <v>5.1670399999999998E-2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x14ac:dyDescent="0.25">
      <c r="A30">
        <v>9.8852899999999997E-3</v>
      </c>
      <c r="B30" s="1">
        <v>0.92620400000000003</v>
      </c>
      <c r="C30" s="1">
        <v>4.8777899999999999E-2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x14ac:dyDescent="0.25">
      <c r="A31">
        <v>9.9841400000000007E-3</v>
      </c>
      <c r="B31" s="1">
        <v>0.98811800000000005</v>
      </c>
      <c r="C31" s="1">
        <v>4.9579600000000001E-2</v>
      </c>
      <c r="D31" s="90"/>
      <c r="E31" s="90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x14ac:dyDescent="0.25">
      <c r="A32">
        <v>1.0083999999999999E-2</v>
      </c>
      <c r="B32" s="1">
        <v>0.86850000000000005</v>
      </c>
      <c r="C32" s="1">
        <v>4.4122599999999998E-2</v>
      </c>
      <c r="D32" s="90"/>
      <c r="E32" s="90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x14ac:dyDescent="0.25">
      <c r="A33">
        <v>1.0184800000000001E-2</v>
      </c>
      <c r="B33" s="1">
        <v>0.87057700000000005</v>
      </c>
      <c r="C33" s="1">
        <v>4.3301800000000001E-2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x14ac:dyDescent="0.25">
      <c r="A34">
        <v>1.0286699999999999E-2</v>
      </c>
      <c r="B34" s="1">
        <v>0.71285699999999996</v>
      </c>
      <c r="C34" s="1">
        <v>3.7654899999999998E-2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 x14ac:dyDescent="0.25">
      <c r="A35">
        <v>1.0389499999999999E-2</v>
      </c>
      <c r="B35" s="1">
        <v>0.58623899999999995</v>
      </c>
      <c r="C35" s="1">
        <v>3.3150399999999997E-2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 x14ac:dyDescent="0.25">
      <c r="A36">
        <v>1.04934E-2</v>
      </c>
      <c r="B36" s="1">
        <v>0.333812</v>
      </c>
      <c r="C36" s="1">
        <v>2.4603099999999999E-2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</row>
    <row r="37" spans="1:43" x14ac:dyDescent="0.25">
      <c r="A37">
        <v>1.0598399999999999E-2</v>
      </c>
      <c r="B37" s="1">
        <v>0.143764</v>
      </c>
      <c r="C37" s="1">
        <v>1.5668600000000001E-2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</row>
    <row r="38" spans="1:43" x14ac:dyDescent="0.25">
      <c r="A38">
        <v>1.0598399999999999E-2</v>
      </c>
      <c r="B38" s="1">
        <v>0.14727699999999999</v>
      </c>
      <c r="C38" s="1">
        <v>1.0863899999999999E-2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x14ac:dyDescent="0.25">
      <c r="A39">
        <v>1.0704399999999999E-2</v>
      </c>
      <c r="B39" s="1">
        <v>4.2909799999999998E-2</v>
      </c>
      <c r="C39" s="1">
        <v>9.1633800000000005E-3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 x14ac:dyDescent="0.25">
      <c r="A40">
        <v>1.0704399999999999E-2</v>
      </c>
      <c r="B40" s="1">
        <v>4.9715700000000002E-2</v>
      </c>
      <c r="C40" s="1">
        <v>5.9391699999999997E-3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 x14ac:dyDescent="0.25">
      <c r="A41">
        <v>1.0811400000000001E-2</v>
      </c>
      <c r="B41" s="1">
        <v>2.7946200000000001E-2</v>
      </c>
      <c r="C41" s="1">
        <v>6.7049299999999996E-3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 x14ac:dyDescent="0.25">
      <c r="A42">
        <v>1.0811400000000001E-2</v>
      </c>
      <c r="B42" s="1">
        <v>2.2219699999999998E-2</v>
      </c>
      <c r="C42" s="1">
        <v>4.02294E-3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 x14ac:dyDescent="0.25">
      <c r="A43">
        <v>1.09195E-2</v>
      </c>
      <c r="B43" s="1">
        <v>1.8523499999999998E-2</v>
      </c>
      <c r="C43" s="1">
        <v>5.3566899999999999E-3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  <row r="44" spans="1:43" x14ac:dyDescent="0.25">
      <c r="A44">
        <v>1.09195E-2</v>
      </c>
      <c r="B44" s="1">
        <v>1.3532600000000001E-2</v>
      </c>
      <c r="C44" s="1">
        <v>3.0064699999999998E-3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</row>
    <row r="45" spans="1:43" x14ac:dyDescent="0.25">
      <c r="A45">
        <v>1.1028700000000001E-2</v>
      </c>
      <c r="B45" s="1">
        <v>1.01032E-2</v>
      </c>
      <c r="C45" s="1">
        <v>4.7662700000000004E-3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1:43" x14ac:dyDescent="0.25">
      <c r="A46">
        <v>1.1028700000000001E-2</v>
      </c>
      <c r="B46" s="1">
        <v>1.5554500000000001E-2</v>
      </c>
      <c r="C46" s="1">
        <v>3.0909100000000001E-3</v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</row>
    <row r="47" spans="1:43" x14ac:dyDescent="0.25">
      <c r="A47">
        <v>1.1139E-2</v>
      </c>
      <c r="B47" s="1">
        <v>1.9100200000000001E-2</v>
      </c>
      <c r="C47" s="1">
        <v>5.0477999999999999E-3</v>
      </c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</row>
    <row r="48" spans="1:43" x14ac:dyDescent="0.25">
      <c r="A48">
        <v>1.1139E-2</v>
      </c>
      <c r="B48" s="1">
        <v>1.9517199999999998E-2</v>
      </c>
      <c r="C48" s="1">
        <v>3.3811399999999999E-3</v>
      </c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</row>
    <row r="49" spans="1:43" x14ac:dyDescent="0.25">
      <c r="A49">
        <v>1.1250400000000001E-2</v>
      </c>
      <c r="B49" s="1">
        <v>2.8750499999999998E-2</v>
      </c>
      <c r="C49" s="1">
        <v>6.0989599999999996E-3</v>
      </c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</row>
    <row r="50" spans="1:43" x14ac:dyDescent="0.25">
      <c r="A50">
        <v>1.1250400000000001E-2</v>
      </c>
      <c r="B50" s="1">
        <v>1.7954100000000001E-2</v>
      </c>
      <c r="C50" s="1">
        <v>3.4744799999999998E-3</v>
      </c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</row>
    <row r="51" spans="1:43" x14ac:dyDescent="0.25">
      <c r="A51">
        <v>1.13629E-2</v>
      </c>
      <c r="B51" s="1">
        <v>1.9360800000000001E-2</v>
      </c>
      <c r="C51" s="1">
        <v>3.1789499999999998E-3</v>
      </c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</row>
    <row r="52" spans="1:43" x14ac:dyDescent="0.25">
      <c r="A52">
        <v>1.1476500000000001E-2</v>
      </c>
      <c r="B52" s="1">
        <v>2.3687300000000001E-2</v>
      </c>
      <c r="C52" s="1">
        <v>3.4961100000000002E-3</v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</row>
    <row r="53" spans="1:43" x14ac:dyDescent="0.25">
      <c r="A53">
        <v>1.1591300000000001E-2</v>
      </c>
      <c r="B53" s="1">
        <v>3.69115E-2</v>
      </c>
      <c r="C53" s="1">
        <v>4.0645799999999999E-3</v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</row>
    <row r="54" spans="1:43" x14ac:dyDescent="0.25">
      <c r="A54">
        <v>1.1707199999999999E-2</v>
      </c>
      <c r="B54" s="1">
        <v>2.7948400000000002E-2</v>
      </c>
      <c r="C54" s="1">
        <v>3.37273E-3</v>
      </c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</row>
    <row r="55" spans="1:43" x14ac:dyDescent="0.25">
      <c r="A55">
        <v>1.1824299999999999E-2</v>
      </c>
      <c r="B55" s="1">
        <v>3.5183600000000002E-2</v>
      </c>
      <c r="C55" s="1">
        <v>3.9483799999999996E-3</v>
      </c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:43" x14ac:dyDescent="0.25">
      <c r="A56">
        <v>1.19425E-2</v>
      </c>
      <c r="B56" s="1">
        <v>3.9602199999999997E-2</v>
      </c>
      <c r="C56" s="1">
        <v>3.9186000000000004E-3</v>
      </c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:43" x14ac:dyDescent="0.25">
      <c r="A57">
        <v>1.20619E-2</v>
      </c>
      <c r="B57" s="1">
        <v>4.1427600000000002E-2</v>
      </c>
      <c r="C57" s="1">
        <v>3.72902E-3</v>
      </c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:43" x14ac:dyDescent="0.25">
      <c r="A58">
        <v>1.21826E-2</v>
      </c>
      <c r="B58" s="1">
        <v>4.0355799999999997E-2</v>
      </c>
      <c r="C58" s="1">
        <v>3.7104E-3</v>
      </c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:43" x14ac:dyDescent="0.25">
      <c r="A59">
        <v>1.23044E-2</v>
      </c>
      <c r="B59" s="1">
        <v>3.8682099999999997E-2</v>
      </c>
      <c r="C59" s="1">
        <v>3.4085700000000001E-3</v>
      </c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:43" x14ac:dyDescent="0.25">
      <c r="A60">
        <v>1.24274E-2</v>
      </c>
      <c r="B60" s="1">
        <v>4.5439100000000003E-2</v>
      </c>
      <c r="C60" s="1">
        <v>3.55201E-3</v>
      </c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:43" x14ac:dyDescent="0.25">
      <c r="A61">
        <v>1.2551700000000001E-2</v>
      </c>
      <c r="B61" s="1">
        <v>4.1107499999999998E-2</v>
      </c>
      <c r="C61" s="1">
        <v>3.49702E-3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:43" x14ac:dyDescent="0.25">
      <c r="A62">
        <v>1.26772E-2</v>
      </c>
      <c r="B62" s="1">
        <v>4.4341600000000002E-2</v>
      </c>
      <c r="C62" s="1">
        <v>3.4183999999999998E-3</v>
      </c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:43" x14ac:dyDescent="0.25">
      <c r="A63">
        <v>1.2803999999999999E-2</v>
      </c>
      <c r="B63" s="1">
        <v>4.5586099999999997E-2</v>
      </c>
      <c r="C63" s="1">
        <v>3.3774600000000001E-3</v>
      </c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:43" x14ac:dyDescent="0.25">
      <c r="A64">
        <v>1.2803999999999999E-2</v>
      </c>
      <c r="B64" s="1">
        <v>4.70642E-2</v>
      </c>
      <c r="C64" s="1">
        <v>4.4012699999999997E-3</v>
      </c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:43" x14ac:dyDescent="0.25">
      <c r="A65">
        <v>1.2932000000000001E-2</v>
      </c>
      <c r="B65" s="1">
        <v>4.1923599999999998E-2</v>
      </c>
      <c r="C65" s="1">
        <v>3.11306E-3</v>
      </c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:43" x14ac:dyDescent="0.25">
      <c r="A66">
        <v>1.2932000000000001E-2</v>
      </c>
      <c r="B66" s="1">
        <v>5.00455E-2</v>
      </c>
      <c r="C66" s="1">
        <v>4.3425599999999996E-3</v>
      </c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:43" x14ac:dyDescent="0.25">
      <c r="A67">
        <v>1.30613E-2</v>
      </c>
      <c r="B67" s="1">
        <v>3.4489100000000002E-2</v>
      </c>
      <c r="C67" s="1">
        <v>2.7690499999999999E-3</v>
      </c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:43" x14ac:dyDescent="0.25">
      <c r="A68">
        <v>1.30613E-2</v>
      </c>
      <c r="B68" s="1">
        <v>5.1570900000000003E-2</v>
      </c>
      <c r="C68" s="1">
        <v>4.5205599999999999E-3</v>
      </c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:43" x14ac:dyDescent="0.25">
      <c r="A69">
        <v>1.3192000000000001E-2</v>
      </c>
      <c r="B69" s="1">
        <v>4.5546799999999998E-2</v>
      </c>
      <c r="C69" s="1">
        <v>3.0709499999999998E-3</v>
      </c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:43" x14ac:dyDescent="0.25">
      <c r="A70">
        <v>1.3192000000000001E-2</v>
      </c>
      <c r="B70" s="1">
        <v>3.9808099999999999E-2</v>
      </c>
      <c r="C70" s="1">
        <v>3.8328400000000001E-3</v>
      </c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:43" x14ac:dyDescent="0.25">
      <c r="A71">
        <v>1.33239E-2</v>
      </c>
      <c r="B71" s="1">
        <v>4.82304E-2</v>
      </c>
      <c r="C71" s="1">
        <v>3.1705599999999998E-3</v>
      </c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:43" x14ac:dyDescent="0.25">
      <c r="A72">
        <v>1.33239E-2</v>
      </c>
      <c r="B72" s="1">
        <v>4.0075399999999997E-2</v>
      </c>
      <c r="C72" s="1">
        <v>3.6911800000000001E-3</v>
      </c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:43" x14ac:dyDescent="0.25">
      <c r="A73">
        <v>1.34571E-2</v>
      </c>
      <c r="B73" s="1">
        <v>3.8589900000000003E-2</v>
      </c>
      <c r="C73" s="1">
        <v>2.7121100000000002E-3</v>
      </c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:43" x14ac:dyDescent="0.25">
      <c r="A74">
        <v>1.34571E-2</v>
      </c>
      <c r="B74" s="1">
        <v>4.6542800000000002E-2</v>
      </c>
      <c r="C74" s="1">
        <v>3.82666E-3</v>
      </c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:43" x14ac:dyDescent="0.25">
      <c r="A75">
        <v>1.35917E-2</v>
      </c>
      <c r="B75" s="1">
        <v>4.0152599999999997E-2</v>
      </c>
      <c r="C75" s="1">
        <v>2.7218099999999999E-3</v>
      </c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:43" x14ac:dyDescent="0.25">
      <c r="A76">
        <v>1.35917E-2</v>
      </c>
      <c r="B76" s="1">
        <v>4.1790899999999999E-2</v>
      </c>
      <c r="C76" s="1">
        <v>3.5674700000000001E-3</v>
      </c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:43" x14ac:dyDescent="0.25">
      <c r="A77">
        <v>1.37276E-2</v>
      </c>
      <c r="B77" s="1">
        <v>3.8451399999999997E-2</v>
      </c>
      <c r="C77" s="1">
        <v>2.5535100000000002E-3</v>
      </c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:43" x14ac:dyDescent="0.25">
      <c r="A78">
        <v>1.37276E-2</v>
      </c>
      <c r="B78" s="1">
        <v>4.4782200000000001E-2</v>
      </c>
      <c r="C78" s="1">
        <v>3.6474900000000002E-3</v>
      </c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:43" x14ac:dyDescent="0.25">
      <c r="A79">
        <v>1.3864899999999999E-2</v>
      </c>
      <c r="B79" s="1">
        <v>3.6279400000000003E-2</v>
      </c>
      <c r="C79" s="1">
        <v>2.4256099999999999E-3</v>
      </c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:43" x14ac:dyDescent="0.25">
      <c r="A80">
        <v>1.3864899999999999E-2</v>
      </c>
      <c r="B80" s="1">
        <v>4.2000000000000003E-2</v>
      </c>
      <c r="C80" s="1">
        <v>3.2755499999999999E-3</v>
      </c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:43" x14ac:dyDescent="0.25">
      <c r="A81">
        <v>1.40035E-2</v>
      </c>
      <c r="B81" s="1">
        <v>3.8064399999999998E-2</v>
      </c>
      <c r="C81" s="1">
        <v>2.4739300000000001E-3</v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1:43" x14ac:dyDescent="0.25">
      <c r="A82">
        <v>1.40035E-2</v>
      </c>
      <c r="B82" s="1">
        <v>4.0027399999999998E-2</v>
      </c>
      <c r="C82" s="1">
        <v>3.1899900000000002E-3</v>
      </c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</row>
    <row r="83" spans="1:43" x14ac:dyDescent="0.25">
      <c r="A83">
        <v>1.4143599999999999E-2</v>
      </c>
      <c r="B83" s="1">
        <v>3.84047E-2</v>
      </c>
      <c r="C83" s="1">
        <v>3.0837899999999999E-3</v>
      </c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:43" x14ac:dyDescent="0.25">
      <c r="A84">
        <v>1.4285000000000001E-2</v>
      </c>
      <c r="B84" s="1">
        <v>3.7621799999999997E-2</v>
      </c>
      <c r="C84" s="1">
        <v>2.9154799999999998E-3</v>
      </c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:43" x14ac:dyDescent="0.25">
      <c r="A85">
        <v>1.44279E-2</v>
      </c>
      <c r="B85" s="1">
        <v>3.4907199999999999E-2</v>
      </c>
      <c r="C85" s="1">
        <v>2.8830599999999998E-3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:43" x14ac:dyDescent="0.25">
      <c r="A86">
        <v>1.4572099999999999E-2</v>
      </c>
      <c r="B86" s="1">
        <v>3.1414200000000003E-2</v>
      </c>
      <c r="C86" s="1">
        <v>2.4754099999999999E-3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</row>
    <row r="87" spans="1:43" x14ac:dyDescent="0.25">
      <c r="A87">
        <v>1.4717900000000001E-2</v>
      </c>
      <c r="B87" s="1">
        <v>3.4111700000000002E-2</v>
      </c>
      <c r="C87" s="1">
        <v>2.6556000000000001E-3</v>
      </c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</row>
    <row r="88" spans="1:43" x14ac:dyDescent="0.25">
      <c r="A88">
        <v>1.4865E-2</v>
      </c>
      <c r="B88" s="1">
        <v>3.01634E-2</v>
      </c>
      <c r="C88" s="1">
        <v>2.4233499999999999E-3</v>
      </c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</row>
    <row r="89" spans="1:43" x14ac:dyDescent="0.25">
      <c r="A89">
        <v>1.50137E-2</v>
      </c>
      <c r="B89" s="1">
        <v>2.6478399999999999E-2</v>
      </c>
      <c r="C89" s="1">
        <v>2.2075799999999998E-3</v>
      </c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</row>
    <row r="90" spans="1:43" x14ac:dyDescent="0.25">
      <c r="A90">
        <v>1.51638E-2</v>
      </c>
      <c r="B90" s="1">
        <v>2.29736E-2</v>
      </c>
      <c r="C90" s="1">
        <v>2.0192999999999999E-3</v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</row>
    <row r="91" spans="1:43" x14ac:dyDescent="0.25">
      <c r="A91">
        <v>1.5315499999999999E-2</v>
      </c>
      <c r="B91" s="1">
        <v>2.1909499999999998E-2</v>
      </c>
      <c r="C91" s="1">
        <v>1.8554299999999999E-3</v>
      </c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</row>
    <row r="92" spans="1:43" x14ac:dyDescent="0.25">
      <c r="A92">
        <v>1.5468600000000001E-2</v>
      </c>
      <c r="B92" s="1">
        <v>1.94825E-2</v>
      </c>
      <c r="C92" s="1">
        <v>1.72171E-3</v>
      </c>
      <c r="D92" s="90"/>
      <c r="E92" s="90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</row>
    <row r="93" spans="1:43" x14ac:dyDescent="0.25">
      <c r="A93">
        <v>1.56233E-2</v>
      </c>
      <c r="B93" s="1">
        <v>2.24841E-2</v>
      </c>
      <c r="C93" s="1">
        <v>1.88528E-3</v>
      </c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</row>
    <row r="94" spans="1:43" x14ac:dyDescent="0.25">
      <c r="A94">
        <v>1.5779499999999998E-2</v>
      </c>
      <c r="B94" s="1">
        <v>2.1654E-2</v>
      </c>
      <c r="C94" s="1">
        <v>1.8553300000000001E-3</v>
      </c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</row>
    <row r="95" spans="1:43" x14ac:dyDescent="0.25">
      <c r="A95">
        <v>1.5937300000000001E-2</v>
      </c>
      <c r="B95" s="1">
        <v>1.8250300000000001E-2</v>
      </c>
      <c r="C95" s="1">
        <v>1.6020299999999999E-3</v>
      </c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</row>
    <row r="96" spans="1:43" x14ac:dyDescent="0.25">
      <c r="A96">
        <v>1.6096699999999999E-2</v>
      </c>
      <c r="B96" s="1">
        <v>1.6536200000000001E-2</v>
      </c>
      <c r="C96" s="1">
        <v>1.48445E-3</v>
      </c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</row>
    <row r="97" spans="1:43" x14ac:dyDescent="0.25">
      <c r="A97">
        <v>1.62577E-2</v>
      </c>
      <c r="B97" s="1">
        <v>1.3865000000000001E-2</v>
      </c>
      <c r="C97" s="1">
        <v>1.29104E-3</v>
      </c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:43" x14ac:dyDescent="0.25">
      <c r="A98">
        <v>1.62577E-2</v>
      </c>
      <c r="B98" s="1">
        <v>1.35453E-2</v>
      </c>
      <c r="C98" s="1">
        <v>1.39091E-3</v>
      </c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:43" x14ac:dyDescent="0.25">
      <c r="A99">
        <v>1.6420199999999999E-2</v>
      </c>
      <c r="B99" s="1">
        <v>1.0977900000000001E-2</v>
      </c>
      <c r="C99" s="1">
        <v>1.1139100000000001E-3</v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:43" x14ac:dyDescent="0.25">
      <c r="A100">
        <v>1.6420199999999999E-2</v>
      </c>
      <c r="B100" s="1">
        <v>1.2688100000000001E-2</v>
      </c>
      <c r="C100" s="1">
        <v>1.3223899999999999E-3</v>
      </c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25">
      <c r="A101">
        <v>1.6584399999999999E-2</v>
      </c>
      <c r="B101" s="1">
        <v>1.0823599999999999E-2</v>
      </c>
      <c r="C101" s="1">
        <v>1.09296E-3</v>
      </c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25">
      <c r="A102">
        <v>1.6584399999999999E-2</v>
      </c>
      <c r="B102" s="1">
        <v>1.4242899999999999E-2</v>
      </c>
      <c r="C102" s="1">
        <v>1.39313E-3</v>
      </c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25">
      <c r="A103">
        <v>1.6750299999999999E-2</v>
      </c>
      <c r="B103" s="1">
        <v>1.1080599999999999E-2</v>
      </c>
      <c r="C103" s="1">
        <v>1.08062E-3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25">
      <c r="A104">
        <v>1.6750299999999999E-2</v>
      </c>
      <c r="B104" s="1">
        <v>9.5944700000000008E-3</v>
      </c>
      <c r="C104" s="1">
        <v>1.0665799999999999E-3</v>
      </c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25">
      <c r="A105">
        <v>1.69178E-2</v>
      </c>
      <c r="B105" s="1">
        <v>8.4824400000000008E-3</v>
      </c>
      <c r="C105" s="1">
        <v>9.3175199999999999E-4</v>
      </c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25">
      <c r="A106">
        <v>1.69178E-2</v>
      </c>
      <c r="B106" s="1">
        <v>1.0444800000000001E-2</v>
      </c>
      <c r="C106" s="1">
        <v>1.13459E-3</v>
      </c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25">
      <c r="A107">
        <v>1.7087000000000001E-2</v>
      </c>
      <c r="B107" s="1">
        <v>7.8965300000000006E-3</v>
      </c>
      <c r="C107" s="1">
        <v>8.9370599999999997E-4</v>
      </c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25">
      <c r="A108">
        <v>1.7087000000000001E-2</v>
      </c>
      <c r="B108" s="1">
        <v>8.6835300000000001E-3</v>
      </c>
      <c r="C108" s="1">
        <v>9.9229900000000009E-4</v>
      </c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25">
      <c r="A109">
        <v>1.72578E-2</v>
      </c>
      <c r="B109" s="1">
        <v>7.6711599999999998E-3</v>
      </c>
      <c r="C109" s="1">
        <v>8.6669399999999999E-4</v>
      </c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25">
      <c r="A110">
        <v>1.72578E-2</v>
      </c>
      <c r="B110" s="1">
        <v>7.7160600000000003E-3</v>
      </c>
      <c r="C110" s="1">
        <v>9.19406E-4</v>
      </c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:43" x14ac:dyDescent="0.25">
      <c r="A111">
        <v>1.7430399999999999E-2</v>
      </c>
      <c r="B111" s="1">
        <v>6.5631500000000002E-3</v>
      </c>
      <c r="C111" s="1">
        <v>7.62139E-4</v>
      </c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:43" x14ac:dyDescent="0.25">
      <c r="A112">
        <v>1.7430399999999999E-2</v>
      </c>
      <c r="B112" s="1">
        <v>5.7277200000000004E-3</v>
      </c>
      <c r="C112" s="1">
        <v>7.7876300000000002E-4</v>
      </c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:43" x14ac:dyDescent="0.25">
      <c r="A113">
        <v>1.7604700000000001E-2</v>
      </c>
      <c r="B113" s="1">
        <v>5.8738100000000001E-3</v>
      </c>
      <c r="C113" s="1">
        <v>7.0765800000000001E-4</v>
      </c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1:43" x14ac:dyDescent="0.25">
      <c r="A114">
        <v>1.7604700000000001E-2</v>
      </c>
      <c r="B114" s="1">
        <v>6.6058200000000001E-3</v>
      </c>
      <c r="C114" s="1">
        <v>8.0316999999999997E-4</v>
      </c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1:43" x14ac:dyDescent="0.25">
      <c r="A115">
        <v>1.7780799999999999E-2</v>
      </c>
      <c r="B115" s="1">
        <v>3.9177999999999999E-3</v>
      </c>
      <c r="C115" s="1">
        <v>5.94942E-4</v>
      </c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1:43" x14ac:dyDescent="0.25">
      <c r="A116">
        <v>1.7780799999999999E-2</v>
      </c>
      <c r="B116" s="1">
        <v>5.6679399999999998E-3</v>
      </c>
      <c r="C116" s="1">
        <v>7.5233099999999996E-4</v>
      </c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1:43" x14ac:dyDescent="0.25">
      <c r="A117">
        <v>1.7958600000000002E-2</v>
      </c>
      <c r="B117" s="1">
        <v>4.3996399999999998E-3</v>
      </c>
      <c r="C117" s="1">
        <v>5.9860100000000004E-4</v>
      </c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1:43" x14ac:dyDescent="0.25">
      <c r="A118">
        <v>1.7958600000000002E-2</v>
      </c>
      <c r="B118" s="1">
        <v>4.2577500000000002E-3</v>
      </c>
      <c r="C118" s="1">
        <v>6.1737399999999996E-4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1:43" x14ac:dyDescent="0.25">
      <c r="A119">
        <v>1.81382E-2</v>
      </c>
      <c r="B119" s="1">
        <v>3.1638700000000001E-3</v>
      </c>
      <c r="C119" s="1">
        <v>5.1001599999999996E-4</v>
      </c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:43" x14ac:dyDescent="0.25">
      <c r="A120">
        <v>1.81382E-2</v>
      </c>
      <c r="B120" s="1">
        <v>3.4842699999999998E-3</v>
      </c>
      <c r="C120" s="1">
        <v>5.8007600000000001E-4</v>
      </c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1:43" x14ac:dyDescent="0.25">
      <c r="A121">
        <v>1.8319499999999999E-2</v>
      </c>
      <c r="B121" s="1">
        <v>2.6028000000000002E-3</v>
      </c>
      <c r="C121" s="1">
        <v>4.7384700000000001E-4</v>
      </c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1:43" x14ac:dyDescent="0.25">
      <c r="A122">
        <v>1.8319499999999999E-2</v>
      </c>
      <c r="B122" s="1">
        <v>3.8282199999999998E-3</v>
      </c>
      <c r="C122" s="1">
        <v>5.9616599999999997E-4</v>
      </c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1:43" x14ac:dyDescent="0.25">
      <c r="A123">
        <v>1.85027E-2</v>
      </c>
      <c r="B123" s="1">
        <v>3.3782999999999999E-3</v>
      </c>
      <c r="C123" s="1">
        <v>5.5182199999999999E-4</v>
      </c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1:43" x14ac:dyDescent="0.25">
      <c r="A124">
        <v>1.8687800000000001E-2</v>
      </c>
      <c r="B124" s="1">
        <v>2.0820600000000002E-3</v>
      </c>
      <c r="C124" s="1">
        <v>4.2814699999999998E-4</v>
      </c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1:43" x14ac:dyDescent="0.25">
      <c r="A125">
        <v>1.8874599999999998E-2</v>
      </c>
      <c r="B125" s="1">
        <v>1.8206299999999999E-3</v>
      </c>
      <c r="C125" s="1">
        <v>3.8175500000000001E-4</v>
      </c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1:43" x14ac:dyDescent="0.25">
      <c r="A126">
        <v>1.9063400000000001E-2</v>
      </c>
      <c r="B126" s="1">
        <v>1.25081E-3</v>
      </c>
      <c r="C126" s="1">
        <v>3.6223800000000002E-4</v>
      </c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1:43" x14ac:dyDescent="0.25">
      <c r="A127">
        <v>1.9254E-2</v>
      </c>
      <c r="B127" s="1">
        <v>2.1406099999999998E-3</v>
      </c>
      <c r="C127" s="1">
        <v>3.7331000000000002E-4</v>
      </c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1:43" x14ac:dyDescent="0.25">
      <c r="A128">
        <v>1.9446600000000001E-2</v>
      </c>
      <c r="B128" s="1">
        <v>1.62272E-3</v>
      </c>
      <c r="C128" s="1">
        <v>3.3524200000000003E-4</v>
      </c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 x14ac:dyDescent="0.25">
      <c r="A129">
        <v>1.9640999999999999E-2</v>
      </c>
      <c r="B129" s="1">
        <v>1.47718E-3</v>
      </c>
      <c r="C129" s="1">
        <v>3.32138E-4</v>
      </c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 x14ac:dyDescent="0.25">
      <c r="A130">
        <v>1.9837400000000002E-2</v>
      </c>
      <c r="B130" s="1">
        <v>1.7201600000000001E-3</v>
      </c>
      <c r="C130" s="1">
        <v>3.2541699999999999E-4</v>
      </c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 x14ac:dyDescent="0.25">
      <c r="A131">
        <v>2.0035799999999999E-2</v>
      </c>
      <c r="B131" s="1">
        <v>1.5614100000000001E-3</v>
      </c>
      <c r="C131" s="1">
        <v>3.3492400000000001E-4</v>
      </c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 x14ac:dyDescent="0.25">
      <c r="A132">
        <v>2.0236199999999999E-2</v>
      </c>
      <c r="B132" s="1">
        <v>1.78166E-3</v>
      </c>
      <c r="C132" s="1">
        <v>3.3859599999999998E-4</v>
      </c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 x14ac:dyDescent="0.25">
      <c r="A133">
        <v>2.0438499999999998E-2</v>
      </c>
      <c r="B133" s="1">
        <v>1.57745E-3</v>
      </c>
      <c r="C133" s="1">
        <v>2.9159800000000001E-4</v>
      </c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 x14ac:dyDescent="0.25">
      <c r="A134">
        <v>2.0642899999999999E-2</v>
      </c>
      <c r="B134" s="1">
        <v>2.2112400000000002E-3</v>
      </c>
      <c r="C134" s="1">
        <v>3.4717E-4</v>
      </c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 x14ac:dyDescent="0.25">
      <c r="A135">
        <v>2.0849300000000001E-2</v>
      </c>
      <c r="B135" s="1">
        <v>1.87955E-3</v>
      </c>
      <c r="C135" s="1">
        <v>2.8877999999999998E-4</v>
      </c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 x14ac:dyDescent="0.25">
      <c r="A136">
        <v>2.1057800000000002E-2</v>
      </c>
      <c r="B136" s="1">
        <v>2.37076E-3</v>
      </c>
      <c r="C136" s="1">
        <v>3.3420999999999999E-4</v>
      </c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 x14ac:dyDescent="0.25">
      <c r="A137">
        <v>2.12684E-2</v>
      </c>
      <c r="B137" s="1">
        <v>2.7067800000000002E-3</v>
      </c>
      <c r="C137" s="1">
        <v>3.6319800000000001E-4</v>
      </c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 x14ac:dyDescent="0.25">
      <c r="A138">
        <v>2.14811E-2</v>
      </c>
      <c r="B138" s="1">
        <v>1.9618299999999999E-3</v>
      </c>
      <c r="C138" s="1">
        <v>2.9460499999999998E-4</v>
      </c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 x14ac:dyDescent="0.25">
      <c r="A139">
        <v>2.1695900000000001E-2</v>
      </c>
      <c r="B139" s="1">
        <v>3.26684E-3</v>
      </c>
      <c r="C139" s="1">
        <v>3.7441599999999997E-4</v>
      </c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1:43" x14ac:dyDescent="0.25">
      <c r="A140">
        <v>2.1912899999999999E-2</v>
      </c>
      <c r="B140" s="1">
        <v>3.0053300000000001E-3</v>
      </c>
      <c r="C140" s="1">
        <v>3.5324199999999998E-4</v>
      </c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1:43" x14ac:dyDescent="0.25">
      <c r="A141">
        <v>2.2131999999999999E-2</v>
      </c>
      <c r="B141" s="1">
        <v>3.4399299999999999E-3</v>
      </c>
      <c r="C141" s="1">
        <v>3.7431999999999998E-4</v>
      </c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1:43" x14ac:dyDescent="0.25">
      <c r="A142">
        <v>2.23533E-2</v>
      </c>
      <c r="B142" s="1">
        <v>3.1819499999999998E-3</v>
      </c>
      <c r="C142" s="1">
        <v>3.6448900000000001E-4</v>
      </c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1:43" x14ac:dyDescent="0.25">
      <c r="A143">
        <v>2.25769E-2</v>
      </c>
      <c r="B143" s="1">
        <v>4.1400300000000003E-3</v>
      </c>
      <c r="C143" s="1">
        <v>3.75936E-4</v>
      </c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1:43" x14ac:dyDescent="0.25">
      <c r="A144">
        <v>2.25769E-2</v>
      </c>
      <c r="B144" s="1">
        <v>4.6908499999999999E-3</v>
      </c>
      <c r="C144" s="1">
        <v>4.22519E-4</v>
      </c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1:43" x14ac:dyDescent="0.25">
      <c r="A145">
        <v>2.2802599999999999E-2</v>
      </c>
      <c r="B145" s="1">
        <v>4.2173599999999999E-3</v>
      </c>
      <c r="C145" s="1">
        <v>3.9308399999999998E-4</v>
      </c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1:43" x14ac:dyDescent="0.25">
      <c r="A146">
        <v>2.2802599999999999E-2</v>
      </c>
      <c r="B146" s="1">
        <v>4.7591700000000001E-3</v>
      </c>
      <c r="C146" s="1">
        <v>4.1106500000000001E-4</v>
      </c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1:43" x14ac:dyDescent="0.25">
      <c r="A147">
        <v>2.3030700000000001E-2</v>
      </c>
      <c r="B147" s="1">
        <v>3.5063E-3</v>
      </c>
      <c r="C147" s="1">
        <v>3.4777799999999998E-4</v>
      </c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1:43" x14ac:dyDescent="0.25">
      <c r="A148">
        <v>2.3030700000000001E-2</v>
      </c>
      <c r="B148" s="1">
        <v>5.5110000000000003E-3</v>
      </c>
      <c r="C148" s="1">
        <v>4.3302800000000002E-4</v>
      </c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1:43" x14ac:dyDescent="0.25">
      <c r="A149">
        <v>2.3261E-2</v>
      </c>
      <c r="B149" s="1">
        <v>3.7337899999999999E-3</v>
      </c>
      <c r="C149" s="1">
        <v>3.5483800000000001E-4</v>
      </c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1:43" x14ac:dyDescent="0.25">
      <c r="A150">
        <v>2.3261E-2</v>
      </c>
      <c r="B150" s="1">
        <v>4.6094200000000004E-3</v>
      </c>
      <c r="C150" s="1">
        <v>3.7620200000000001E-4</v>
      </c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1:43" x14ac:dyDescent="0.25">
      <c r="A151">
        <v>2.34936E-2</v>
      </c>
      <c r="B151" s="1">
        <v>3.9507800000000001E-3</v>
      </c>
      <c r="C151" s="1">
        <v>3.6701399999999998E-4</v>
      </c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1:43" x14ac:dyDescent="0.25">
      <c r="A152">
        <v>2.34936E-2</v>
      </c>
      <c r="B152" s="1">
        <v>5.0715400000000002E-3</v>
      </c>
      <c r="C152" s="1">
        <v>3.9446499999999998E-4</v>
      </c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1:43" x14ac:dyDescent="0.25">
      <c r="A153">
        <v>2.37285E-2</v>
      </c>
      <c r="B153" s="1">
        <v>3.9604899999999997E-3</v>
      </c>
      <c r="C153" s="1">
        <v>3.7425400000000003E-4</v>
      </c>
      <c r="D153" s="90"/>
      <c r="E153" s="90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1:43" x14ac:dyDescent="0.25">
      <c r="A154">
        <v>2.37285E-2</v>
      </c>
      <c r="B154" s="1">
        <v>4.7625999999999996E-3</v>
      </c>
      <c r="C154" s="1">
        <v>3.8493400000000002E-4</v>
      </c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1:43" x14ac:dyDescent="0.25">
      <c r="A155">
        <v>2.3965799999999999E-2</v>
      </c>
      <c r="B155" s="1">
        <v>4.1470099999999996E-3</v>
      </c>
      <c r="C155" s="1">
        <v>3.5764999999999999E-4</v>
      </c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1:43" x14ac:dyDescent="0.25">
      <c r="A156">
        <v>2.3965799999999999E-2</v>
      </c>
      <c r="B156" s="1">
        <v>4.8207600000000003E-3</v>
      </c>
      <c r="C156" s="1">
        <v>3.7315200000000002E-4</v>
      </c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1:43" x14ac:dyDescent="0.25">
      <c r="A157">
        <v>2.4205399999999998E-2</v>
      </c>
      <c r="B157" s="1">
        <v>3.8064599999999998E-3</v>
      </c>
      <c r="C157" s="1">
        <v>3.4985799999999998E-4</v>
      </c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1:43" x14ac:dyDescent="0.25">
      <c r="A158">
        <v>2.4205399999999998E-2</v>
      </c>
      <c r="B158" s="1">
        <v>4.6096100000000001E-3</v>
      </c>
      <c r="C158" s="1">
        <v>3.5938000000000002E-4</v>
      </c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1:43" x14ac:dyDescent="0.25">
      <c r="A159">
        <v>2.44475E-2</v>
      </c>
      <c r="B159" s="1">
        <v>4.4412599999999998E-3</v>
      </c>
      <c r="C159" s="1">
        <v>3.6425699999999999E-4</v>
      </c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1:43" x14ac:dyDescent="0.25">
      <c r="A160">
        <v>2.44475E-2</v>
      </c>
      <c r="B160" s="1">
        <v>4.62364E-3</v>
      </c>
      <c r="C160" s="1">
        <v>3.6957100000000002E-4</v>
      </c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1:43" x14ac:dyDescent="0.25">
      <c r="A161">
        <v>2.4691999999999999E-2</v>
      </c>
      <c r="B161" s="1">
        <v>3.5037900000000001E-3</v>
      </c>
      <c r="C161" s="1">
        <v>3.2881499999999999E-4</v>
      </c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1:43" x14ac:dyDescent="0.25">
      <c r="A162">
        <v>2.4691999999999999E-2</v>
      </c>
      <c r="B162" s="1">
        <v>4.0783299999999998E-3</v>
      </c>
      <c r="C162" s="1">
        <v>3.3322199999999999E-4</v>
      </c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1:43" x14ac:dyDescent="0.25">
      <c r="A163">
        <v>2.49389E-2</v>
      </c>
      <c r="B163" s="1">
        <v>3.9718100000000001E-3</v>
      </c>
      <c r="C163" s="1">
        <v>3.4426999999999998E-4</v>
      </c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1:43" x14ac:dyDescent="0.25">
      <c r="A164">
        <v>2.49389E-2</v>
      </c>
      <c r="B164" s="1">
        <v>4.8559199999999997E-3</v>
      </c>
      <c r="C164" s="1">
        <v>3.6538500000000003E-4</v>
      </c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1:43" x14ac:dyDescent="0.25">
      <c r="A165">
        <v>2.51883E-2</v>
      </c>
      <c r="B165" s="1">
        <v>3.8763399999999998E-3</v>
      </c>
      <c r="C165" s="1">
        <v>3.35998E-4</v>
      </c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1:43" x14ac:dyDescent="0.25">
      <c r="A166">
        <v>2.51883E-2</v>
      </c>
      <c r="B166" s="1">
        <v>4.4679799999999999E-3</v>
      </c>
      <c r="C166" s="1">
        <v>3.4046499999999997E-4</v>
      </c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1:43" x14ac:dyDescent="0.25">
      <c r="A167">
        <v>2.54402E-2</v>
      </c>
      <c r="B167" s="1">
        <v>3.1336799999999998E-3</v>
      </c>
      <c r="C167" s="1">
        <v>3.0454800000000003E-4</v>
      </c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1:43" x14ac:dyDescent="0.25">
      <c r="A168">
        <v>2.54402E-2</v>
      </c>
      <c r="B168" s="1">
        <v>3.8386000000000002E-3</v>
      </c>
      <c r="C168" s="1">
        <v>2.96748E-4</v>
      </c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1:43" x14ac:dyDescent="0.25">
      <c r="A169">
        <v>2.5694600000000001E-2</v>
      </c>
      <c r="B169" s="1">
        <v>3.5970899999999998E-3</v>
      </c>
      <c r="C169" s="1">
        <v>3.1212299999999998E-4</v>
      </c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1:43" x14ac:dyDescent="0.25">
      <c r="A170">
        <v>2.5694600000000001E-2</v>
      </c>
      <c r="B170" s="1">
        <v>3.1534699999999998E-3</v>
      </c>
      <c r="C170" s="1">
        <v>2.7502199999999998E-4</v>
      </c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1:43" x14ac:dyDescent="0.25">
      <c r="A171">
        <v>2.5951499999999999E-2</v>
      </c>
      <c r="B171" s="1">
        <v>2.5503499999999998E-3</v>
      </c>
      <c r="C171" s="1">
        <v>2.6214000000000001E-4</v>
      </c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1:43" x14ac:dyDescent="0.25">
      <c r="A172">
        <v>2.5951499999999999E-2</v>
      </c>
      <c r="B172" s="1">
        <v>3.1661599999999999E-3</v>
      </c>
      <c r="C172" s="1">
        <v>2.5259499999999999E-4</v>
      </c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1:43" x14ac:dyDescent="0.25">
      <c r="A173">
        <v>2.6211000000000002E-2</v>
      </c>
      <c r="B173" s="1">
        <v>2.8300199999999999E-3</v>
      </c>
      <c r="C173" s="1">
        <v>2.7038000000000002E-4</v>
      </c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1:43" x14ac:dyDescent="0.25">
      <c r="A174">
        <v>2.6211000000000002E-2</v>
      </c>
      <c r="B174" s="1">
        <v>3.2330499999999999E-3</v>
      </c>
      <c r="C174" s="1">
        <v>2.5893299999999998E-4</v>
      </c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1:43" x14ac:dyDescent="0.25">
      <c r="A175">
        <v>2.6473099999999999E-2</v>
      </c>
      <c r="B175" s="1">
        <v>2.4745600000000002E-3</v>
      </c>
      <c r="C175" s="1">
        <v>2.3215000000000001E-4</v>
      </c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1:43" x14ac:dyDescent="0.25">
      <c r="A176">
        <v>2.6737899999999998E-2</v>
      </c>
      <c r="B176" s="1">
        <v>2.6138799999999998E-3</v>
      </c>
      <c r="C176" s="1">
        <v>2.31439E-4</v>
      </c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1:43" x14ac:dyDescent="0.25">
      <c r="A177">
        <v>2.7005299999999999E-2</v>
      </c>
      <c r="B177" s="1">
        <v>2.1263499999999999E-3</v>
      </c>
      <c r="C177" s="1">
        <v>1.9761299999999999E-4</v>
      </c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1:43" x14ac:dyDescent="0.25">
      <c r="A178">
        <v>2.7275299999999999E-2</v>
      </c>
      <c r="B178" s="1">
        <v>2.3969299999999998E-3</v>
      </c>
      <c r="C178" s="1">
        <v>2.21368E-4</v>
      </c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1:43" x14ac:dyDescent="0.25">
      <c r="A179">
        <v>2.7548099999999999E-2</v>
      </c>
      <c r="B179" s="1">
        <v>1.7040099999999999E-3</v>
      </c>
      <c r="C179" s="1">
        <v>1.8104300000000001E-4</v>
      </c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  <row r="180" spans="1:43" x14ac:dyDescent="0.25">
      <c r="A180">
        <v>2.7823500000000001E-2</v>
      </c>
      <c r="B180" s="1">
        <v>1.80496E-3</v>
      </c>
      <c r="C180" s="1">
        <v>1.8330399999999999E-4</v>
      </c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</row>
    <row r="181" spans="1:43" x14ac:dyDescent="0.25">
      <c r="A181">
        <v>2.81018E-2</v>
      </c>
      <c r="B181" s="1">
        <v>1.1095600000000001E-3</v>
      </c>
      <c r="C181" s="1">
        <v>1.5311400000000001E-4</v>
      </c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</row>
    <row r="182" spans="1:43" x14ac:dyDescent="0.25">
      <c r="A182">
        <v>2.83828E-2</v>
      </c>
      <c r="B182" s="1">
        <v>1.01122E-3</v>
      </c>
      <c r="C182" s="1">
        <v>1.5161299999999999E-4</v>
      </c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</row>
    <row r="183" spans="1:43" x14ac:dyDescent="0.25">
      <c r="A183">
        <v>2.86666E-2</v>
      </c>
      <c r="B183" s="1">
        <v>7.74733E-4</v>
      </c>
      <c r="C183" s="1">
        <v>1.2231500000000001E-4</v>
      </c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</row>
    <row r="184" spans="1:43" x14ac:dyDescent="0.25">
      <c r="A184">
        <v>2.8953300000000001E-2</v>
      </c>
      <c r="B184" s="1">
        <v>8.5291100000000003E-4</v>
      </c>
      <c r="C184" s="1">
        <v>1.3021899999999999E-4</v>
      </c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</row>
    <row r="185" spans="1:43" x14ac:dyDescent="0.25">
      <c r="A185">
        <v>2.9242799999999999E-2</v>
      </c>
      <c r="B185" s="1">
        <v>7.2049199999999999E-4</v>
      </c>
      <c r="C185" s="1">
        <v>1.26506E-4</v>
      </c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</row>
    <row r="186" spans="1:43" x14ac:dyDescent="0.25">
      <c r="A186">
        <v>2.9535200000000001E-2</v>
      </c>
      <c r="B186" s="1">
        <v>8.0383799999999997E-4</v>
      </c>
      <c r="C186" s="1">
        <v>1.15734E-4</v>
      </c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</row>
    <row r="187" spans="1:43" x14ac:dyDescent="0.25">
      <c r="A187">
        <v>2.9830599999999999E-2</v>
      </c>
      <c r="B187" s="1">
        <v>7.1945699999999995E-4</v>
      </c>
      <c r="C187" s="1">
        <v>1.12664E-4</v>
      </c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</row>
    <row r="188" spans="1:43" x14ac:dyDescent="0.25">
      <c r="A188">
        <v>3.01289E-2</v>
      </c>
      <c r="B188" s="1">
        <v>8.5641700000000005E-4</v>
      </c>
      <c r="C188" s="1">
        <v>1.3307299999999999E-4</v>
      </c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</row>
    <row r="189" spans="1:43" x14ac:dyDescent="0.25">
      <c r="A189">
        <v>3.0430200000000001E-2</v>
      </c>
      <c r="B189" s="1">
        <v>9.7114100000000002E-4</v>
      </c>
      <c r="C189" s="1">
        <v>1.3230499999999999E-4</v>
      </c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</row>
    <row r="190" spans="1:43" x14ac:dyDescent="0.25">
      <c r="A190">
        <v>3.0734500000000001E-2</v>
      </c>
      <c r="B190" s="1">
        <v>1.1551599999999999E-3</v>
      </c>
      <c r="C190" s="1">
        <v>1.43053E-4</v>
      </c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</row>
    <row r="191" spans="1:43" x14ac:dyDescent="0.25">
      <c r="A191">
        <v>3.1041800000000001E-2</v>
      </c>
      <c r="B191" s="1">
        <v>1.2021E-3</v>
      </c>
      <c r="C191" s="1">
        <v>1.4671500000000001E-4</v>
      </c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</row>
    <row r="192" spans="1:43" x14ac:dyDescent="0.25">
      <c r="A192">
        <v>3.13523E-2</v>
      </c>
      <c r="B192" s="1">
        <v>1.4858600000000001E-3</v>
      </c>
      <c r="C192" s="1">
        <v>1.61569E-4</v>
      </c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</row>
    <row r="193" spans="1:43" x14ac:dyDescent="0.25">
      <c r="A193">
        <v>3.1665800000000001E-2</v>
      </c>
      <c r="B193" s="1">
        <v>2.0533999999999999E-3</v>
      </c>
      <c r="C193" s="1">
        <v>1.8743899999999999E-4</v>
      </c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</row>
    <row r="194" spans="1:43" x14ac:dyDescent="0.25">
      <c r="A194">
        <v>3.1982400000000001E-2</v>
      </c>
      <c r="B194" s="1">
        <v>2.02586E-3</v>
      </c>
      <c r="C194" s="1">
        <v>1.8253799999999999E-4</v>
      </c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</row>
    <row r="195" spans="1:43" x14ac:dyDescent="0.25">
      <c r="A195">
        <v>3.2302299999999999E-2</v>
      </c>
      <c r="B195" s="1">
        <v>2.3612500000000001E-3</v>
      </c>
      <c r="C195" s="1">
        <v>2.04312E-4</v>
      </c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</row>
    <row r="196" spans="1:43" x14ac:dyDescent="0.25">
      <c r="A196">
        <v>3.2625300000000003E-2</v>
      </c>
      <c r="B196" s="1">
        <v>2.9838600000000001E-3</v>
      </c>
      <c r="C196" s="1">
        <v>2.4025500000000001E-4</v>
      </c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</row>
    <row r="197" spans="1:43" x14ac:dyDescent="0.25">
      <c r="A197">
        <v>3.2951500000000002E-2</v>
      </c>
      <c r="B197" s="1">
        <v>2.98401E-3</v>
      </c>
      <c r="C197" s="1">
        <v>2.3914199999999999E-4</v>
      </c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</row>
    <row r="198" spans="1:43" x14ac:dyDescent="0.25">
      <c r="A198">
        <v>3.3281100000000001E-2</v>
      </c>
      <c r="B198" s="1">
        <v>3.6628099999999999E-3</v>
      </c>
      <c r="C198" s="1">
        <v>2.6194499999999997E-4</v>
      </c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</row>
    <row r="199" spans="1:43" x14ac:dyDescent="0.25">
      <c r="A199">
        <v>3.3613900000000002E-2</v>
      </c>
      <c r="B199" s="1">
        <v>4.1263000000000003E-3</v>
      </c>
      <c r="C199" s="1">
        <v>2.7952100000000002E-4</v>
      </c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</row>
    <row r="200" spans="1:43" x14ac:dyDescent="0.25">
      <c r="A200">
        <v>3.3950000000000001E-2</v>
      </c>
      <c r="B200" s="1">
        <v>3.7848600000000001E-3</v>
      </c>
      <c r="C200" s="1">
        <v>2.5456799999999999E-4</v>
      </c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</row>
    <row r="201" spans="1:43" x14ac:dyDescent="0.25">
      <c r="A201">
        <v>3.4289500000000001E-2</v>
      </c>
      <c r="B201" s="1">
        <v>4.2943599999999997E-3</v>
      </c>
      <c r="C201" s="1">
        <v>2.7635099999999998E-4</v>
      </c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</row>
    <row r="202" spans="1:43" x14ac:dyDescent="0.25">
      <c r="A202">
        <v>3.4632400000000001E-2</v>
      </c>
      <c r="B202" s="1">
        <v>5.0805199999999998E-3</v>
      </c>
      <c r="C202" s="1">
        <v>3.1388599999999998E-4</v>
      </c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</row>
    <row r="203" spans="1:43" x14ac:dyDescent="0.25">
      <c r="A203">
        <v>3.4978700000000001E-2</v>
      </c>
      <c r="B203" s="1">
        <v>4.8885899999999999E-3</v>
      </c>
      <c r="C203" s="1">
        <v>2.9853799999999999E-4</v>
      </c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</row>
    <row r="204" spans="1:43" x14ac:dyDescent="0.25">
      <c r="A204">
        <v>3.5328499999999999E-2</v>
      </c>
      <c r="B204" s="1">
        <v>5.2063999999999999E-3</v>
      </c>
      <c r="C204" s="1">
        <v>3.02694E-4</v>
      </c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</row>
    <row r="205" spans="1:43" x14ac:dyDescent="0.25">
      <c r="A205">
        <v>3.56818E-2</v>
      </c>
      <c r="B205" s="1">
        <v>4.9153399999999998E-3</v>
      </c>
      <c r="C205" s="1">
        <v>2.9042500000000003E-4</v>
      </c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</row>
    <row r="206" spans="1:43" x14ac:dyDescent="0.25">
      <c r="A206">
        <v>3.6038599999999997E-2</v>
      </c>
      <c r="B206" s="1">
        <v>5.1671699999999996E-3</v>
      </c>
      <c r="C206" s="1">
        <v>3.01131E-4</v>
      </c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</row>
    <row r="207" spans="1:43" x14ac:dyDescent="0.25">
      <c r="A207">
        <v>3.6399000000000001E-2</v>
      </c>
      <c r="B207" s="1">
        <v>5.8335799999999997E-3</v>
      </c>
      <c r="C207" s="1">
        <v>3.2649699999999997E-4</v>
      </c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</row>
    <row r="208" spans="1:43" x14ac:dyDescent="0.25">
      <c r="A208">
        <v>3.6762999999999997E-2</v>
      </c>
      <c r="B208" s="1">
        <v>5.4453499999999998E-3</v>
      </c>
      <c r="C208" s="1">
        <v>3.0678500000000001E-4</v>
      </c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</row>
    <row r="209" spans="1:43" x14ac:dyDescent="0.25">
      <c r="A209">
        <v>3.71306E-2</v>
      </c>
      <c r="B209" s="1">
        <v>6.1756900000000002E-3</v>
      </c>
      <c r="C209" s="1">
        <v>3.39451E-4</v>
      </c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</row>
    <row r="210" spans="1:43" x14ac:dyDescent="0.25">
      <c r="A210">
        <v>3.7501899999999998E-2</v>
      </c>
      <c r="B210" s="1">
        <v>6.2941000000000004E-3</v>
      </c>
      <c r="C210" s="1">
        <v>3.4313699999999998E-4</v>
      </c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</row>
    <row r="211" spans="1:43" x14ac:dyDescent="0.25">
      <c r="A211">
        <v>3.7876899999999998E-2</v>
      </c>
      <c r="B211" s="1">
        <v>5.5266200000000003E-3</v>
      </c>
      <c r="C211" s="1">
        <v>3.0705899999999999E-4</v>
      </c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</row>
    <row r="212" spans="1:43" x14ac:dyDescent="0.25">
      <c r="A212">
        <v>3.8255699999999997E-2</v>
      </c>
      <c r="B212" s="1">
        <v>5.6977900000000003E-3</v>
      </c>
      <c r="C212" s="1">
        <v>3.1337100000000001E-4</v>
      </c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</row>
    <row r="213" spans="1:43" x14ac:dyDescent="0.25">
      <c r="A213">
        <v>3.86383E-2</v>
      </c>
      <c r="B213" s="1">
        <v>5.7987000000000004E-3</v>
      </c>
      <c r="C213" s="1">
        <v>3.22505E-4</v>
      </c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</row>
    <row r="214" spans="1:43" x14ac:dyDescent="0.25">
      <c r="A214">
        <v>3.9024700000000002E-2</v>
      </c>
      <c r="B214" s="1">
        <v>5.2590199999999997E-3</v>
      </c>
      <c r="C214" s="1">
        <v>2.9866700000000002E-4</v>
      </c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</row>
    <row r="215" spans="1:43" x14ac:dyDescent="0.25">
      <c r="A215">
        <v>3.9414900000000003E-2</v>
      </c>
      <c r="B215" s="1">
        <v>4.9677999999999996E-3</v>
      </c>
      <c r="C215" s="1">
        <v>2.8440900000000001E-4</v>
      </c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</row>
    <row r="216" spans="1:43" x14ac:dyDescent="0.25">
      <c r="A216">
        <v>3.9808999999999997E-2</v>
      </c>
      <c r="B216" s="1">
        <v>4.9814899999999999E-3</v>
      </c>
      <c r="C216" s="1">
        <v>2.8712300000000002E-4</v>
      </c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</row>
    <row r="217" spans="1:43" x14ac:dyDescent="0.25">
      <c r="A217">
        <v>4.0207100000000003E-2</v>
      </c>
      <c r="B217" s="1">
        <v>4.3517299999999998E-3</v>
      </c>
      <c r="C217" s="1">
        <v>2.60163E-4</v>
      </c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</row>
    <row r="218" spans="1:43" x14ac:dyDescent="0.25">
      <c r="A218">
        <v>4.0609199999999998E-2</v>
      </c>
      <c r="B218" s="1">
        <v>4.50169E-3</v>
      </c>
      <c r="C218" s="1">
        <v>2.75443E-4</v>
      </c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</row>
    <row r="219" spans="1:43" x14ac:dyDescent="0.25">
      <c r="A219">
        <v>4.1015299999999998E-2</v>
      </c>
      <c r="B219" s="1">
        <v>3.8016399999999998E-3</v>
      </c>
      <c r="C219" s="1">
        <v>2.4331400000000001E-4</v>
      </c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</row>
    <row r="220" spans="1:43" x14ac:dyDescent="0.25">
      <c r="A220">
        <v>4.1425499999999997E-2</v>
      </c>
      <c r="B220" s="1">
        <v>3.4243400000000001E-3</v>
      </c>
      <c r="C220" s="1">
        <v>2.31404E-4</v>
      </c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</row>
    <row r="221" spans="1:43" x14ac:dyDescent="0.25">
      <c r="A221">
        <v>4.1839700000000001E-2</v>
      </c>
      <c r="B221" s="1">
        <v>3.6749600000000001E-3</v>
      </c>
      <c r="C221" s="1">
        <v>2.5287999999999998E-4</v>
      </c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</row>
    <row r="222" spans="1:43" x14ac:dyDescent="0.25">
      <c r="A222">
        <v>4.22581E-2</v>
      </c>
      <c r="B222" s="1">
        <v>3.3558899999999998E-3</v>
      </c>
      <c r="C222" s="1">
        <v>2.3048799999999999E-4</v>
      </c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</row>
    <row r="223" spans="1:43" x14ac:dyDescent="0.25">
      <c r="A223">
        <v>4.2680700000000002E-2</v>
      </c>
      <c r="B223" s="1">
        <v>3.2044600000000001E-3</v>
      </c>
      <c r="C223" s="1">
        <v>2.23656E-4</v>
      </c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</row>
    <row r="224" spans="1:43" x14ac:dyDescent="0.25">
      <c r="A224">
        <v>4.31075E-2</v>
      </c>
      <c r="B224" s="1">
        <v>2.49482E-3</v>
      </c>
      <c r="C224" s="1">
        <v>1.9389400000000001E-4</v>
      </c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</row>
    <row r="225" spans="1:43" x14ac:dyDescent="0.25">
      <c r="A225">
        <v>4.31075E-2</v>
      </c>
      <c r="B225" s="1">
        <v>2.88945E-3</v>
      </c>
      <c r="C225" s="1">
        <v>1.2649699999999999E-4</v>
      </c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</row>
    <row r="226" spans="1:43" x14ac:dyDescent="0.25">
      <c r="A226">
        <v>4.3538599999999997E-2</v>
      </c>
      <c r="B226" s="1">
        <v>2.2413400000000001E-3</v>
      </c>
      <c r="C226" s="1">
        <v>1.86102E-4</v>
      </c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</row>
    <row r="227" spans="1:43" x14ac:dyDescent="0.25">
      <c r="A227">
        <v>4.3538599999999997E-2</v>
      </c>
      <c r="B227" s="1">
        <v>2.2513500000000001E-3</v>
      </c>
      <c r="C227" s="1">
        <v>1.02582E-4</v>
      </c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</row>
    <row r="228" spans="1:43" x14ac:dyDescent="0.25">
      <c r="A228">
        <v>4.3973999999999999E-2</v>
      </c>
      <c r="B228" s="1">
        <v>2.1197299999999998E-3</v>
      </c>
      <c r="C228" s="1">
        <v>1.75787E-4</v>
      </c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</row>
    <row r="229" spans="1:43" x14ac:dyDescent="0.25">
      <c r="A229">
        <v>4.3973999999999999E-2</v>
      </c>
      <c r="B229" s="1">
        <v>2.1170999999999998E-3</v>
      </c>
      <c r="C229" s="1">
        <v>9.9808499999999998E-5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</row>
    <row r="230" spans="1:43" x14ac:dyDescent="0.25">
      <c r="A230">
        <v>4.44137E-2</v>
      </c>
      <c r="B230" s="1">
        <v>1.54137E-3</v>
      </c>
      <c r="C230" s="1">
        <v>1.563E-4</v>
      </c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</row>
    <row r="231" spans="1:43" x14ac:dyDescent="0.25">
      <c r="A231">
        <v>4.44137E-2</v>
      </c>
      <c r="B231" s="1">
        <v>1.9666100000000001E-3</v>
      </c>
      <c r="C231" s="1">
        <v>9.5554800000000002E-5</v>
      </c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</row>
    <row r="232" spans="1:43" x14ac:dyDescent="0.25">
      <c r="A232">
        <v>4.4857800000000003E-2</v>
      </c>
      <c r="B232" s="1">
        <v>1.4864100000000001E-3</v>
      </c>
      <c r="C232" s="1">
        <v>1.5132000000000001E-4</v>
      </c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</row>
    <row r="233" spans="1:43" x14ac:dyDescent="0.25">
      <c r="A233">
        <v>4.4857800000000003E-2</v>
      </c>
      <c r="B233" s="1">
        <v>1.4274800000000001E-3</v>
      </c>
      <c r="C233" s="1">
        <v>7.3915899999999995E-5</v>
      </c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</row>
    <row r="234" spans="1:43" x14ac:dyDescent="0.25">
      <c r="A234">
        <v>4.5306399999999997E-2</v>
      </c>
      <c r="B234" s="1">
        <v>1.22291E-3</v>
      </c>
      <c r="C234" s="1">
        <v>1.3223299999999999E-4</v>
      </c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</row>
    <row r="235" spans="1:43" x14ac:dyDescent="0.25">
      <c r="A235">
        <v>4.5306399999999997E-2</v>
      </c>
      <c r="B235" s="1">
        <v>1.13192E-3</v>
      </c>
      <c r="C235" s="1">
        <v>6.4085500000000002E-5</v>
      </c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</row>
    <row r="236" spans="1:43" x14ac:dyDescent="0.25">
      <c r="A236">
        <v>4.5759500000000002E-2</v>
      </c>
      <c r="B236" s="1">
        <v>9.25266E-4</v>
      </c>
      <c r="C236" s="1">
        <v>1.156E-4</v>
      </c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</row>
    <row r="237" spans="1:43" x14ac:dyDescent="0.25">
      <c r="A237">
        <v>4.5759500000000002E-2</v>
      </c>
      <c r="B237" s="1">
        <v>8.9501800000000003E-4</v>
      </c>
      <c r="C237" s="1">
        <v>5.6815599999999999E-5</v>
      </c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</row>
    <row r="238" spans="1:43" x14ac:dyDescent="0.25">
      <c r="A238">
        <v>4.6217099999999997E-2</v>
      </c>
      <c r="B238" s="1">
        <v>5.9019599999999997E-4</v>
      </c>
      <c r="C238" s="1">
        <v>1.06727E-4</v>
      </c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</row>
    <row r="239" spans="1:43" x14ac:dyDescent="0.25">
      <c r="A239">
        <v>4.6217099999999997E-2</v>
      </c>
      <c r="B239" s="1">
        <v>7.4846099999999996E-4</v>
      </c>
      <c r="C239" s="1">
        <v>4.98786E-5</v>
      </c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</row>
    <row r="240" spans="1:43" x14ac:dyDescent="0.25">
      <c r="A240">
        <v>4.6679199999999997E-2</v>
      </c>
      <c r="B240" s="1">
        <v>7.6920000000000005E-4</v>
      </c>
      <c r="C240" s="1">
        <v>1.1155899999999999E-4</v>
      </c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</row>
    <row r="241" spans="1:43" x14ac:dyDescent="0.25">
      <c r="A241">
        <v>4.6679199999999997E-2</v>
      </c>
      <c r="B241" s="1">
        <v>5.7106699999999997E-4</v>
      </c>
      <c r="C241" s="1">
        <v>4.2930699999999999E-5</v>
      </c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</row>
    <row r="242" spans="1:43" x14ac:dyDescent="0.25">
      <c r="A242">
        <v>4.7146E-2</v>
      </c>
      <c r="B242" s="1">
        <v>6.0804499999999998E-4</v>
      </c>
      <c r="C242" s="1">
        <v>9.4653499999999998E-5</v>
      </c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</row>
    <row r="243" spans="1:43" x14ac:dyDescent="0.25">
      <c r="A243">
        <v>4.7146E-2</v>
      </c>
      <c r="B243" s="1">
        <v>4.5646800000000002E-4</v>
      </c>
      <c r="C243" s="1">
        <v>3.6939700000000001E-5</v>
      </c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</row>
    <row r="244" spans="1:43" x14ac:dyDescent="0.25">
      <c r="A244">
        <v>4.76175E-2</v>
      </c>
      <c r="B244" s="1">
        <v>4.0860700000000001E-4</v>
      </c>
      <c r="C244" s="1">
        <v>8.4245800000000006E-5</v>
      </c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</row>
    <row r="245" spans="1:43" x14ac:dyDescent="0.25">
      <c r="A245">
        <v>4.76175E-2</v>
      </c>
      <c r="B245" s="1">
        <v>3.2424E-4</v>
      </c>
      <c r="C245" s="1">
        <v>3.0590699999999998E-5</v>
      </c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</row>
    <row r="246" spans="1:43" x14ac:dyDescent="0.25">
      <c r="A246">
        <v>4.8093700000000003E-2</v>
      </c>
      <c r="B246" s="1">
        <v>2.5542700000000002E-4</v>
      </c>
      <c r="C246" s="1">
        <v>7.1346699999999999E-5</v>
      </c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</row>
    <row r="247" spans="1:43" x14ac:dyDescent="0.25">
      <c r="A247">
        <v>4.8093700000000003E-2</v>
      </c>
      <c r="B247" s="1">
        <v>2.6579000000000001E-4</v>
      </c>
      <c r="C247" s="1">
        <v>2.8303999999999999E-5</v>
      </c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</row>
    <row r="248" spans="1:43" x14ac:dyDescent="0.25">
      <c r="A248">
        <v>4.8574600000000002E-2</v>
      </c>
      <c r="B248" s="1">
        <v>2.3093199999999999E-4</v>
      </c>
      <c r="C248" s="1">
        <v>6.1357299999999996E-5</v>
      </c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</row>
    <row r="249" spans="1:43" x14ac:dyDescent="0.25">
      <c r="A249">
        <v>4.8574600000000002E-2</v>
      </c>
      <c r="B249" s="1">
        <v>1.6092499999999999E-4</v>
      </c>
      <c r="C249" s="1">
        <v>2.2152300000000001E-5</v>
      </c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</row>
    <row r="250" spans="1:43" x14ac:dyDescent="0.25">
      <c r="A250">
        <v>4.9060399999999997E-2</v>
      </c>
      <c r="B250" s="1">
        <v>1.36582E-4</v>
      </c>
      <c r="C250" s="1">
        <v>2.00486E-5</v>
      </c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</row>
    <row r="251" spans="1:43" x14ac:dyDescent="0.25">
      <c r="A251">
        <v>4.9550999999999998E-2</v>
      </c>
      <c r="B251" s="1">
        <v>7.9308300000000001E-5</v>
      </c>
      <c r="C251" s="1">
        <v>1.66572E-5</v>
      </c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</row>
    <row r="252" spans="1:43" x14ac:dyDescent="0.25">
      <c r="A252">
        <v>5.0046500000000001E-2</v>
      </c>
      <c r="B252" s="1">
        <v>4.84415E-5</v>
      </c>
      <c r="C252" s="1">
        <v>1.24211E-5</v>
      </c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</row>
    <row r="253" spans="1:43" x14ac:dyDescent="0.25">
      <c r="A253">
        <v>5.0546899999999999E-2</v>
      </c>
      <c r="B253" s="1">
        <v>3.7891600000000002E-5</v>
      </c>
      <c r="C253" s="1">
        <v>1.2668500000000001E-5</v>
      </c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</row>
    <row r="254" spans="1:43" x14ac:dyDescent="0.25">
      <c r="A254">
        <v>5.1052399999999998E-2</v>
      </c>
      <c r="B254" s="1">
        <v>2.6267100000000001E-5</v>
      </c>
      <c r="C254" s="1">
        <v>1.08039E-5</v>
      </c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</row>
    <row r="255" spans="1:43" x14ac:dyDescent="0.25">
      <c r="A255">
        <v>5.1562900000000002E-2</v>
      </c>
      <c r="B255" s="1">
        <v>1.3469799999999999E-5</v>
      </c>
      <c r="C255" s="1">
        <v>8.6551400000000006E-6</v>
      </c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</row>
    <row r="256" spans="1:43" x14ac:dyDescent="0.25">
      <c r="A256">
        <v>5.2078600000000003E-2</v>
      </c>
      <c r="B256" s="1">
        <v>2.3469099999999999E-5</v>
      </c>
      <c r="C256" s="1">
        <v>1.1168E-5</v>
      </c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</row>
    <row r="257" spans="1:43" x14ac:dyDescent="0.25">
      <c r="A257">
        <v>5.2599300000000002E-2</v>
      </c>
      <c r="B257" s="1">
        <v>3.0989199999999998E-5</v>
      </c>
      <c r="C257" s="1">
        <v>1.15554E-5</v>
      </c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</row>
    <row r="258" spans="1:43" x14ac:dyDescent="0.25">
      <c r="A258">
        <v>5.31253E-2</v>
      </c>
      <c r="B258" s="1">
        <v>4.5132400000000002E-5</v>
      </c>
      <c r="C258" s="1">
        <v>1.22819E-5</v>
      </c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</row>
    <row r="259" spans="1:43" x14ac:dyDescent="0.25">
      <c r="A259">
        <v>5.3656599999999999E-2</v>
      </c>
      <c r="B259" s="1">
        <v>5.20446E-5</v>
      </c>
      <c r="C259" s="1">
        <v>1.44922E-5</v>
      </c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</row>
    <row r="260" spans="1:43" x14ac:dyDescent="0.25">
      <c r="A260">
        <v>5.4193199999999997E-2</v>
      </c>
      <c r="B260" s="1">
        <v>6.1610600000000003E-5</v>
      </c>
      <c r="C260" s="1">
        <v>1.36565E-5</v>
      </c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</row>
    <row r="261" spans="1:43" x14ac:dyDescent="0.25">
      <c r="A261">
        <v>5.4735100000000002E-2</v>
      </c>
      <c r="B261" s="1">
        <v>6.0553500000000002E-5</v>
      </c>
      <c r="C261" s="1">
        <v>1.34254E-5</v>
      </c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</row>
    <row r="262" spans="1:43" x14ac:dyDescent="0.25">
      <c r="A262">
        <v>5.5282400000000002E-2</v>
      </c>
      <c r="B262" s="1">
        <v>4.6063499999999997E-5</v>
      </c>
      <c r="C262" s="1">
        <v>1.20338E-5</v>
      </c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</row>
    <row r="263" spans="1:43" x14ac:dyDescent="0.25">
      <c r="A263">
        <v>5.5835299999999997E-2</v>
      </c>
      <c r="B263" s="1">
        <v>3.12744E-5</v>
      </c>
      <c r="C263" s="1">
        <v>1.2492399999999999E-5</v>
      </c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</row>
    <row r="264" spans="1:43" x14ac:dyDescent="0.25">
      <c r="A264">
        <v>5.6393600000000002E-2</v>
      </c>
      <c r="B264" s="1">
        <v>3.3130299999999997E-5</v>
      </c>
      <c r="C264" s="1">
        <v>1.02005E-5</v>
      </c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</row>
    <row r="265" spans="1:43" x14ac:dyDescent="0.25">
      <c r="A265">
        <v>5.6957500000000001E-2</v>
      </c>
      <c r="B265" s="1">
        <v>4.1559900000000002E-5</v>
      </c>
      <c r="C265" s="1">
        <v>1.10835E-5</v>
      </c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</row>
    <row r="266" spans="1:43" x14ac:dyDescent="0.25">
      <c r="A266">
        <v>5.7527099999999998E-2</v>
      </c>
      <c r="B266" s="1">
        <v>2.7682799999999999E-5</v>
      </c>
      <c r="C266" s="1">
        <v>9.6044900000000003E-6</v>
      </c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</row>
    <row r="267" spans="1:43" x14ac:dyDescent="0.25">
      <c r="A267">
        <v>5.8102399999999998E-2</v>
      </c>
      <c r="B267" s="1">
        <v>2.7388900000000001E-5</v>
      </c>
      <c r="C267" s="1">
        <v>9.2795800000000004E-6</v>
      </c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</row>
    <row r="268" spans="1:43" x14ac:dyDescent="0.25">
      <c r="A268">
        <v>5.8683399999999997E-2</v>
      </c>
      <c r="B268" s="1">
        <v>2.91682E-5</v>
      </c>
      <c r="C268" s="1">
        <v>9.1566300000000001E-6</v>
      </c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</row>
    <row r="269" spans="1:43" x14ac:dyDescent="0.25">
      <c r="A269">
        <v>5.9270299999999998E-2</v>
      </c>
      <c r="B269" s="1">
        <v>3.6584700000000002E-5</v>
      </c>
      <c r="C269" s="1">
        <v>9.8963399999999998E-6</v>
      </c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</row>
    <row r="270" spans="1:43" x14ac:dyDescent="0.25">
      <c r="A270">
        <v>5.9863E-2</v>
      </c>
      <c r="B270" s="1">
        <v>2.09725E-5</v>
      </c>
      <c r="C270" s="1">
        <v>8.1500699999999997E-6</v>
      </c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</row>
    <row r="271" spans="1:43" x14ac:dyDescent="0.25">
      <c r="A271">
        <v>6.0461599999999997E-2</v>
      </c>
      <c r="B271" s="1">
        <v>3.7879600000000002E-5</v>
      </c>
      <c r="C271" s="1">
        <v>1.0966E-5</v>
      </c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</row>
    <row r="272" spans="1:43" x14ac:dyDescent="0.25">
      <c r="A272">
        <v>6.1066200000000001E-2</v>
      </c>
      <c r="B272" s="1">
        <v>1.5828000000000002E-5</v>
      </c>
      <c r="C272" s="1">
        <v>7.9013300000000005E-6</v>
      </c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</row>
    <row r="273" spans="1:43" x14ac:dyDescent="0.25">
      <c r="A273">
        <v>6.16769E-2</v>
      </c>
      <c r="B273" s="1">
        <v>3.0574599999999997E-5</v>
      </c>
      <c r="C273" s="1">
        <v>1.0215699999999999E-5</v>
      </c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</row>
    <row r="274" spans="1:43" x14ac:dyDescent="0.25">
      <c r="A274">
        <v>6.2293599999999998E-2</v>
      </c>
      <c r="B274" s="1">
        <v>3.7245600000000001E-5</v>
      </c>
      <c r="C274" s="1">
        <v>1.0312000000000001E-5</v>
      </c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</row>
    <row r="275" spans="1:43" x14ac:dyDescent="0.25">
      <c r="A275">
        <v>6.2916600000000003E-2</v>
      </c>
      <c r="B275" s="1">
        <v>3.0255599999999999E-5</v>
      </c>
      <c r="C275" s="1">
        <v>9.7217299999999992E-6</v>
      </c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</row>
    <row r="276" spans="1:43" x14ac:dyDescent="0.25">
      <c r="A276">
        <v>6.3545699999999997E-2</v>
      </c>
      <c r="B276" s="1">
        <v>3.1587000000000001E-5</v>
      </c>
      <c r="C276" s="1">
        <v>9.9859899999999999E-6</v>
      </c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</row>
    <row r="277" spans="1:43" x14ac:dyDescent="0.25">
      <c r="A277">
        <v>6.4181199999999994E-2</v>
      </c>
      <c r="B277" s="1">
        <v>3.33914E-5</v>
      </c>
      <c r="C277" s="1">
        <v>1.0514E-5</v>
      </c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</row>
    <row r="278" spans="1:43" x14ac:dyDescent="0.25">
      <c r="A278">
        <v>6.4823000000000006E-2</v>
      </c>
      <c r="B278" s="1">
        <v>4.8638699999999999E-5</v>
      </c>
      <c r="C278" s="1">
        <v>1.09336E-5</v>
      </c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</row>
    <row r="279" spans="1:43" x14ac:dyDescent="0.25">
      <c r="A279">
        <v>6.5471199999999993E-2</v>
      </c>
      <c r="B279" s="1">
        <v>4.4499300000000003E-5</v>
      </c>
      <c r="C279" s="1">
        <v>1.11359E-5</v>
      </c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</row>
    <row r="280" spans="1:43" x14ac:dyDescent="0.25">
      <c r="A280">
        <v>6.6125900000000001E-2</v>
      </c>
      <c r="B280" s="1">
        <v>3.5414699999999998E-5</v>
      </c>
      <c r="C280" s="1">
        <v>9.3043800000000005E-6</v>
      </c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</row>
    <row r="281" spans="1:43" x14ac:dyDescent="0.25">
      <c r="A281">
        <v>6.6787200000000005E-2</v>
      </c>
      <c r="B281" s="1">
        <v>2.4999800000000001E-5</v>
      </c>
      <c r="C281" s="1">
        <v>9.1729100000000006E-6</v>
      </c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</row>
    <row r="282" spans="1:43" x14ac:dyDescent="0.25">
      <c r="A282">
        <v>6.7455100000000004E-2</v>
      </c>
      <c r="B282" s="1">
        <v>5.7511199999999999E-5</v>
      </c>
      <c r="C282" s="1">
        <v>1.2179400000000001E-5</v>
      </c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</row>
    <row r="283" spans="1:43" x14ac:dyDescent="0.25">
      <c r="A283">
        <v>6.8129599999999998E-2</v>
      </c>
      <c r="B283" s="1">
        <v>5.8454700000000001E-5</v>
      </c>
      <c r="C283" s="1">
        <v>1.12653E-5</v>
      </c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</row>
    <row r="284" spans="1:43" x14ac:dyDescent="0.25">
      <c r="A284">
        <v>6.8810899999999994E-2</v>
      </c>
      <c r="B284" s="1">
        <v>7.5428999999999999E-5</v>
      </c>
      <c r="C284" s="1">
        <v>1.2908800000000001E-5</v>
      </c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</row>
    <row r="285" spans="1:43" x14ac:dyDescent="0.25">
      <c r="A285">
        <v>6.9499000000000005E-2</v>
      </c>
      <c r="B285" s="1">
        <v>6.4694200000000001E-5</v>
      </c>
      <c r="C285" s="1">
        <v>1.19085E-5</v>
      </c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</row>
    <row r="286" spans="1:43" x14ac:dyDescent="0.25">
      <c r="A286">
        <v>7.0194000000000006E-2</v>
      </c>
      <c r="B286" s="1">
        <v>9.4349400000000002E-5</v>
      </c>
      <c r="C286" s="1">
        <v>1.3978199999999999E-5</v>
      </c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</row>
    <row r="287" spans="1:43" x14ac:dyDescent="0.25">
      <c r="A287">
        <v>7.0896000000000001E-2</v>
      </c>
      <c r="B287" s="1">
        <v>1.3586199999999999E-4</v>
      </c>
      <c r="C287" s="1">
        <v>1.7020400000000001E-5</v>
      </c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</row>
    <row r="288" spans="1:43" x14ac:dyDescent="0.25">
      <c r="A288">
        <v>7.1604899999999999E-2</v>
      </c>
      <c r="B288" s="1">
        <v>1.9468E-4</v>
      </c>
      <c r="C288" s="1">
        <v>1.9851300000000001E-5</v>
      </c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</row>
    <row r="289" spans="1:43" x14ac:dyDescent="0.25">
      <c r="A289">
        <v>7.2320999999999996E-2</v>
      </c>
      <c r="B289" s="1">
        <v>2.6661000000000002E-4</v>
      </c>
      <c r="C289" s="1">
        <v>2.2716000000000001E-5</v>
      </c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</row>
    <row r="290" spans="1:43" x14ac:dyDescent="0.25">
      <c r="A290">
        <v>7.3044200000000004E-2</v>
      </c>
      <c r="B290" s="1">
        <v>2.8464099999999997E-4</v>
      </c>
      <c r="C290" s="1">
        <v>2.42576E-5</v>
      </c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</row>
    <row r="291" spans="1:43" x14ac:dyDescent="0.25">
      <c r="A291">
        <v>7.3774599999999996E-2</v>
      </c>
      <c r="B291" s="1">
        <v>3.75175E-4</v>
      </c>
      <c r="C291" s="1">
        <v>2.7646900000000001E-5</v>
      </c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</row>
    <row r="292" spans="1:43" x14ac:dyDescent="0.25">
      <c r="A292">
        <v>7.4512400000000006E-2</v>
      </c>
      <c r="B292" s="1">
        <v>4.1662600000000002E-4</v>
      </c>
      <c r="C292" s="1">
        <v>2.9170600000000002E-5</v>
      </c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</row>
    <row r="293" spans="1:43" x14ac:dyDescent="0.25">
      <c r="A293">
        <v>7.5257500000000005E-2</v>
      </c>
      <c r="B293" s="1">
        <v>4.1563499999999997E-4</v>
      </c>
      <c r="C293" s="1">
        <v>2.8971000000000001E-5</v>
      </c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</row>
    <row r="294" spans="1:43" x14ac:dyDescent="0.25">
      <c r="A294">
        <v>7.5257500000000005E-2</v>
      </c>
      <c r="B294" s="1">
        <v>6.0041000000000001E-4</v>
      </c>
      <c r="C294" s="1">
        <v>2.88223E-5</v>
      </c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</row>
    <row r="295" spans="1:43" x14ac:dyDescent="0.25">
      <c r="A295">
        <v>7.6010099999999997E-2</v>
      </c>
      <c r="B295" s="1">
        <v>5.2177199999999999E-4</v>
      </c>
      <c r="C295" s="1">
        <v>3.3911000000000001E-5</v>
      </c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</row>
    <row r="296" spans="1:43" x14ac:dyDescent="0.25">
      <c r="A296">
        <v>7.6010099999999997E-2</v>
      </c>
      <c r="B296" s="1">
        <v>5.8925000000000004E-4</v>
      </c>
      <c r="C296" s="1">
        <v>2.7482800000000001E-5</v>
      </c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</row>
    <row r="297" spans="1:43" x14ac:dyDescent="0.25">
      <c r="A297">
        <v>7.6770199999999997E-2</v>
      </c>
      <c r="B297" s="1">
        <v>5.8202999999999998E-4</v>
      </c>
      <c r="C297" s="1">
        <v>3.4796099999999997E-5</v>
      </c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</row>
    <row r="298" spans="1:43" x14ac:dyDescent="0.25">
      <c r="A298">
        <v>7.6770199999999997E-2</v>
      </c>
      <c r="B298" s="1">
        <v>6.8747399999999998E-4</v>
      </c>
      <c r="C298" s="1">
        <v>3.08292E-5</v>
      </c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</row>
    <row r="299" spans="1:43" x14ac:dyDescent="0.25">
      <c r="A299">
        <v>7.7537900000000007E-2</v>
      </c>
      <c r="B299" s="1">
        <v>5.69912E-4</v>
      </c>
      <c r="C299" s="1">
        <v>3.4421500000000002E-5</v>
      </c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</row>
    <row r="300" spans="1:43" x14ac:dyDescent="0.25">
      <c r="A300">
        <v>7.7537900000000007E-2</v>
      </c>
      <c r="B300" s="1">
        <v>7.28095E-4</v>
      </c>
      <c r="C300" s="1">
        <v>3.1986400000000003E-5</v>
      </c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</row>
    <row r="301" spans="1:43" x14ac:dyDescent="0.25">
      <c r="A301">
        <v>7.8313199999999999E-2</v>
      </c>
      <c r="B301" s="1">
        <v>5.9238499999999996E-4</v>
      </c>
      <c r="C301" s="1">
        <v>3.5423399999999997E-5</v>
      </c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</row>
    <row r="302" spans="1:43" x14ac:dyDescent="0.25">
      <c r="A302">
        <v>7.8313199999999999E-2</v>
      </c>
      <c r="B302" s="1">
        <v>6.4489799999999998E-4</v>
      </c>
      <c r="C302" s="1">
        <v>2.7809100000000001E-5</v>
      </c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</row>
    <row r="303" spans="1:43" x14ac:dyDescent="0.25">
      <c r="A303">
        <v>7.9096399999999997E-2</v>
      </c>
      <c r="B303" s="1">
        <v>5.8611799999999995E-4</v>
      </c>
      <c r="C303" s="1">
        <v>3.5378800000000001E-5</v>
      </c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</row>
    <row r="304" spans="1:43" x14ac:dyDescent="0.25">
      <c r="A304">
        <v>7.9096399999999997E-2</v>
      </c>
      <c r="B304" s="1">
        <v>6.4252899999999997E-4</v>
      </c>
      <c r="C304" s="1">
        <v>2.7662500000000002E-5</v>
      </c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</row>
    <row r="305" spans="1:43" x14ac:dyDescent="0.25">
      <c r="A305">
        <v>7.9887299999999994E-2</v>
      </c>
      <c r="B305" s="1">
        <v>5.1091199999999998E-4</v>
      </c>
      <c r="C305" s="1">
        <v>3.2004300000000001E-5</v>
      </c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</row>
    <row r="306" spans="1:43" x14ac:dyDescent="0.25">
      <c r="A306">
        <v>7.9887299999999994E-2</v>
      </c>
      <c r="B306" s="1">
        <v>6.8470599999999999E-4</v>
      </c>
      <c r="C306" s="1">
        <v>2.96877E-5</v>
      </c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</row>
    <row r="307" spans="1:43" x14ac:dyDescent="0.25">
      <c r="A307">
        <v>8.06862E-2</v>
      </c>
      <c r="B307" s="1">
        <v>4.4124499999999999E-4</v>
      </c>
      <c r="C307" s="1">
        <v>2.96598E-5</v>
      </c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</row>
    <row r="308" spans="1:43" x14ac:dyDescent="0.25">
      <c r="A308">
        <v>8.06862E-2</v>
      </c>
      <c r="B308" s="1">
        <v>5.7230499999999995E-4</v>
      </c>
      <c r="C308" s="1">
        <v>2.5286299999999999E-5</v>
      </c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</row>
    <row r="309" spans="1:43" x14ac:dyDescent="0.25">
      <c r="A309">
        <v>8.1493099999999999E-2</v>
      </c>
      <c r="B309" s="1">
        <v>4.2996100000000003E-4</v>
      </c>
      <c r="C309" s="1">
        <v>2.96412E-5</v>
      </c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</row>
    <row r="310" spans="1:43" x14ac:dyDescent="0.25">
      <c r="A310">
        <v>8.1493099999999999E-2</v>
      </c>
      <c r="B310" s="1">
        <v>4.9904699999999997E-4</v>
      </c>
      <c r="C310" s="1">
        <v>2.27249E-5</v>
      </c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</row>
    <row r="311" spans="1:43" x14ac:dyDescent="0.25">
      <c r="A311">
        <v>8.2308000000000006E-2</v>
      </c>
      <c r="B311" s="1">
        <v>3.1611600000000002E-4</v>
      </c>
      <c r="C311" s="1">
        <v>2.42886E-5</v>
      </c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</row>
    <row r="312" spans="1:43" x14ac:dyDescent="0.25">
      <c r="A312">
        <v>8.2308000000000006E-2</v>
      </c>
      <c r="B312" s="1">
        <v>4.0841899999999998E-4</v>
      </c>
      <c r="C312" s="1">
        <v>2.0004699999999998E-5</v>
      </c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</row>
    <row r="313" spans="1:43" x14ac:dyDescent="0.25">
      <c r="A313">
        <v>8.3131099999999999E-2</v>
      </c>
      <c r="B313" s="1">
        <v>2.17801E-4</v>
      </c>
      <c r="C313" s="1">
        <v>2.0293600000000002E-5</v>
      </c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</row>
    <row r="314" spans="1:43" x14ac:dyDescent="0.25">
      <c r="A314">
        <v>8.3131099999999999E-2</v>
      </c>
      <c r="B314" s="1">
        <v>3.1742400000000002E-4</v>
      </c>
      <c r="C314" s="1">
        <v>1.6544800000000001E-5</v>
      </c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</row>
    <row r="315" spans="1:43" x14ac:dyDescent="0.25">
      <c r="A315">
        <v>8.3962400000000006E-2</v>
      </c>
      <c r="B315" s="1">
        <v>1.74847E-4</v>
      </c>
      <c r="C315" s="1">
        <v>1.8490599999999999E-5</v>
      </c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</row>
    <row r="316" spans="1:43" x14ac:dyDescent="0.25">
      <c r="A316">
        <v>8.3962400000000006E-2</v>
      </c>
      <c r="B316" s="1">
        <v>2.0386100000000001E-4</v>
      </c>
      <c r="C316" s="1">
        <v>1.2602199999999999E-5</v>
      </c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</row>
    <row r="317" spans="1:43" x14ac:dyDescent="0.25">
      <c r="A317">
        <v>8.4802000000000002E-2</v>
      </c>
      <c r="B317" s="1">
        <v>1.4117000000000001E-4</v>
      </c>
      <c r="C317" s="1">
        <v>1.6328600000000002E-5</v>
      </c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</row>
    <row r="318" spans="1:43" x14ac:dyDescent="0.25">
      <c r="A318">
        <v>8.4802000000000002E-2</v>
      </c>
      <c r="B318" s="1">
        <v>1.9496300000000001E-4</v>
      </c>
      <c r="C318" s="1">
        <v>1.2446000000000001E-5</v>
      </c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</row>
    <row r="319" spans="1:43" x14ac:dyDescent="0.25">
      <c r="A319">
        <v>8.5650000000000004E-2</v>
      </c>
      <c r="B319" s="1">
        <v>9.4007999999999998E-5</v>
      </c>
      <c r="C319" s="1">
        <v>1.37444E-5</v>
      </c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</row>
    <row r="320" spans="1:43" x14ac:dyDescent="0.25">
      <c r="A320">
        <v>8.5650000000000004E-2</v>
      </c>
      <c r="B320" s="1">
        <v>1.19707E-4</v>
      </c>
      <c r="C320" s="1">
        <v>9.2238199999999994E-6</v>
      </c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</row>
    <row r="321" spans="1:43" x14ac:dyDescent="0.25">
      <c r="A321">
        <v>8.65065E-2</v>
      </c>
      <c r="B321" s="1">
        <v>5.8939800000000001E-5</v>
      </c>
      <c r="C321" s="1">
        <v>1.08718E-5</v>
      </c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</row>
    <row r="322" spans="1:43" x14ac:dyDescent="0.25">
      <c r="A322">
        <v>8.65065E-2</v>
      </c>
      <c r="B322" s="1">
        <v>7.4456799999999995E-5</v>
      </c>
      <c r="C322" s="1">
        <v>7.3634599999999996E-6</v>
      </c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</row>
    <row r="323" spans="1:43" x14ac:dyDescent="0.25">
      <c r="A323">
        <v>8.7371599999999994E-2</v>
      </c>
      <c r="B323" s="1">
        <v>6.3060300000000003E-5</v>
      </c>
      <c r="C323" s="1">
        <v>1.16841E-5</v>
      </c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</row>
    <row r="324" spans="1:43" x14ac:dyDescent="0.25">
      <c r="A324">
        <v>8.7371599999999994E-2</v>
      </c>
      <c r="B324" s="1">
        <v>4.68655E-5</v>
      </c>
      <c r="C324" s="1">
        <v>6.0098700000000003E-6</v>
      </c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</row>
    <row r="325" spans="1:43" x14ac:dyDescent="0.25">
      <c r="A325">
        <v>8.8245299999999999E-2</v>
      </c>
      <c r="B325" s="1">
        <v>4.3028699999999997E-5</v>
      </c>
      <c r="C325" s="1">
        <v>9.4395800000000005E-6</v>
      </c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</row>
    <row r="326" spans="1:43" x14ac:dyDescent="0.25">
      <c r="A326">
        <v>8.8245299999999999E-2</v>
      </c>
      <c r="B326" s="1">
        <v>3.8870199999999999E-5</v>
      </c>
      <c r="C326" s="1">
        <v>5.3209899999999997E-6</v>
      </c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</row>
    <row r="327" spans="1:43" x14ac:dyDescent="0.25">
      <c r="A327">
        <v>8.9127799999999993E-2</v>
      </c>
      <c r="B327" s="1">
        <v>3.1063899999999999E-5</v>
      </c>
      <c r="C327" s="1">
        <v>8.8692899999999992E-6</v>
      </c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</row>
    <row r="328" spans="1:43" x14ac:dyDescent="0.25">
      <c r="A328">
        <v>8.9127799999999993E-2</v>
      </c>
      <c r="B328" s="1">
        <v>3.4257900000000003E-5</v>
      </c>
      <c r="C328" s="1">
        <v>5.1227299999999997E-6</v>
      </c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</row>
    <row r="329" spans="1:43" x14ac:dyDescent="0.25">
      <c r="A329">
        <v>9.0019100000000005E-2</v>
      </c>
      <c r="B329" s="1">
        <v>2.5289100000000002E-5</v>
      </c>
      <c r="C329" s="1">
        <v>7.6747999999999998E-6</v>
      </c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</row>
    <row r="330" spans="1:43" x14ac:dyDescent="0.25">
      <c r="A330">
        <v>9.0019100000000005E-2</v>
      </c>
      <c r="B330" s="1">
        <v>3.6321700000000002E-5</v>
      </c>
      <c r="C330" s="1">
        <v>5.2943700000000001E-6</v>
      </c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</row>
    <row r="331" spans="1:43" x14ac:dyDescent="0.25">
      <c r="A331">
        <v>9.0919200000000006E-2</v>
      </c>
      <c r="B331" s="1">
        <v>3.7773700000000001E-5</v>
      </c>
      <c r="C331" s="1">
        <v>9.4644099999999994E-6</v>
      </c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</row>
    <row r="332" spans="1:43" x14ac:dyDescent="0.25">
      <c r="A332">
        <v>9.0919200000000006E-2</v>
      </c>
      <c r="B332" s="1">
        <v>5.1180800000000003E-5</v>
      </c>
      <c r="C332" s="1">
        <v>5.7449300000000002E-6</v>
      </c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</row>
    <row r="333" spans="1:43" x14ac:dyDescent="0.25">
      <c r="A333">
        <v>9.1828400000000004E-2</v>
      </c>
      <c r="B333" s="1">
        <v>3.9337600000000001E-5</v>
      </c>
      <c r="C333" s="1">
        <v>9.3830399999999992E-6</v>
      </c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</row>
    <row r="334" spans="1:43" x14ac:dyDescent="0.25">
      <c r="A334">
        <v>9.1828400000000004E-2</v>
      </c>
      <c r="B334" s="1">
        <v>4.5782999999999999E-5</v>
      </c>
      <c r="C334" s="1">
        <v>5.7087199999999998E-6</v>
      </c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</row>
    <row r="335" spans="1:43" x14ac:dyDescent="0.25">
      <c r="A335">
        <v>9.2746700000000001E-2</v>
      </c>
      <c r="B335" s="1">
        <v>3.1238899999999997E-5</v>
      </c>
      <c r="C335" s="1">
        <v>8.6349799999999998E-6</v>
      </c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</row>
    <row r="336" spans="1:43" x14ac:dyDescent="0.25">
      <c r="A336">
        <v>9.2746700000000001E-2</v>
      </c>
      <c r="B336" s="1">
        <v>4.5626E-5</v>
      </c>
      <c r="C336" s="1">
        <v>5.8849600000000001E-6</v>
      </c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</row>
    <row r="337" spans="1:43" x14ac:dyDescent="0.25">
      <c r="A337">
        <v>9.3674199999999999E-2</v>
      </c>
      <c r="B337" s="1">
        <v>2.21113E-5</v>
      </c>
      <c r="C337" s="1">
        <v>8.2753500000000003E-6</v>
      </c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</row>
    <row r="338" spans="1:43" x14ac:dyDescent="0.25">
      <c r="A338">
        <v>9.3674199999999999E-2</v>
      </c>
      <c r="B338" s="1">
        <v>3.3946799999999998E-5</v>
      </c>
      <c r="C338" s="1">
        <v>5.2162299999999997E-6</v>
      </c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</row>
    <row r="339" spans="1:43" x14ac:dyDescent="0.25">
      <c r="A339">
        <v>9.4610899999999998E-2</v>
      </c>
      <c r="B339" s="1">
        <v>3.2518599999999997E-5</v>
      </c>
      <c r="C339" s="1">
        <v>5.09382E-6</v>
      </c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</row>
    <row r="340" spans="1:43" x14ac:dyDescent="0.25">
      <c r="A340">
        <v>9.5557000000000003E-2</v>
      </c>
      <c r="B340" s="1">
        <v>2.5730800000000001E-5</v>
      </c>
      <c r="C340" s="1">
        <v>4.4330800000000003E-6</v>
      </c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</row>
    <row r="341" spans="1:43" x14ac:dyDescent="0.25">
      <c r="A341">
        <v>9.6512600000000004E-2</v>
      </c>
      <c r="B341" s="1">
        <v>1.2853100000000001E-5</v>
      </c>
      <c r="C341" s="1">
        <v>3.8729900000000002E-6</v>
      </c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</row>
    <row r="342" spans="1:43" x14ac:dyDescent="0.25">
      <c r="A342">
        <v>9.74777E-2</v>
      </c>
      <c r="B342" s="1">
        <v>2.1802900000000001E-5</v>
      </c>
      <c r="C342" s="1">
        <v>3.7601300000000002E-6</v>
      </c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</row>
    <row r="343" spans="1:43" x14ac:dyDescent="0.25">
      <c r="A343">
        <v>9.8452499999999998E-2</v>
      </c>
      <c r="B343" s="1">
        <v>1.07119E-5</v>
      </c>
      <c r="C343" s="1">
        <v>3.2902799999999999E-6</v>
      </c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</row>
    <row r="344" spans="1:43" x14ac:dyDescent="0.25">
      <c r="A344">
        <v>9.9436999999999998E-2</v>
      </c>
      <c r="B344" s="1">
        <v>1.38686E-5</v>
      </c>
      <c r="C344" s="1">
        <v>3.0908000000000001E-6</v>
      </c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</row>
    <row r="345" spans="1:43" x14ac:dyDescent="0.25">
      <c r="A345">
        <v>0.10043100000000001</v>
      </c>
      <c r="B345" s="1">
        <v>1.51507E-5</v>
      </c>
      <c r="C345" s="1">
        <v>3.3596899999999999E-6</v>
      </c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</row>
    <row r="346" spans="1:43" x14ac:dyDescent="0.25">
      <c r="A346">
        <v>0.101436</v>
      </c>
      <c r="B346" s="1">
        <v>1.6486799999999999E-5</v>
      </c>
      <c r="C346" s="1">
        <v>3.3147300000000002E-6</v>
      </c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</row>
    <row r="347" spans="1:43" x14ac:dyDescent="0.25">
      <c r="A347">
        <v>0.10245</v>
      </c>
      <c r="B347" s="1">
        <v>1.7337500000000001E-5</v>
      </c>
      <c r="C347" s="1">
        <v>3.6030200000000002E-6</v>
      </c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</row>
    <row r="348" spans="1:43" x14ac:dyDescent="0.25">
      <c r="A348">
        <v>0.103475</v>
      </c>
      <c r="B348" s="1">
        <v>1.4696699999999999E-5</v>
      </c>
      <c r="C348" s="1">
        <v>3.21702E-6</v>
      </c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</row>
    <row r="349" spans="1:43" x14ac:dyDescent="0.25">
      <c r="A349">
        <v>0.104509</v>
      </c>
      <c r="B349" s="1">
        <v>1.48869E-5</v>
      </c>
      <c r="C349" s="1">
        <v>3.5239100000000001E-6</v>
      </c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</row>
    <row r="350" spans="1:43" x14ac:dyDescent="0.25">
      <c r="A350">
        <v>0.105554</v>
      </c>
      <c r="B350" s="1">
        <v>1.53388E-5</v>
      </c>
      <c r="C350" s="1">
        <v>3.3547299999999998E-6</v>
      </c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</row>
    <row r="351" spans="1:43" x14ac:dyDescent="0.25">
      <c r="A351">
        <v>0.10661</v>
      </c>
      <c r="B351" s="1">
        <v>8.4008400000000004E-6</v>
      </c>
      <c r="C351" s="1">
        <v>2.9827100000000001E-6</v>
      </c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</row>
    <row r="352" spans="1:43" x14ac:dyDescent="0.25">
      <c r="A352">
        <v>0.10767599999999999</v>
      </c>
      <c r="B352" s="1">
        <v>1.73802E-5</v>
      </c>
      <c r="C352" s="1">
        <v>3.65283E-6</v>
      </c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</row>
    <row r="353" spans="1:25" x14ac:dyDescent="0.25">
      <c r="A353">
        <v>0.108753</v>
      </c>
      <c r="B353" s="1">
        <v>2.2256399999999999E-5</v>
      </c>
      <c r="C353" s="1">
        <v>3.9342000000000004E-6</v>
      </c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</row>
    <row r="354" spans="1:25" x14ac:dyDescent="0.25">
      <c r="A354">
        <v>0.10983999999999999</v>
      </c>
      <c r="B354" s="1">
        <v>1.49791E-5</v>
      </c>
      <c r="C354" s="1">
        <v>3.4133399999999998E-6</v>
      </c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</row>
    <row r="355" spans="1:25" x14ac:dyDescent="0.25">
      <c r="A355">
        <v>0.110939</v>
      </c>
      <c r="B355" s="1">
        <v>2.5896300000000001E-5</v>
      </c>
      <c r="C355" s="1">
        <v>4.1546199999999997E-6</v>
      </c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</row>
    <row r="356" spans="1:25" x14ac:dyDescent="0.25">
      <c r="A356">
        <v>0.11204799999999999</v>
      </c>
      <c r="B356" s="1">
        <v>3.5452199999999999E-5</v>
      </c>
      <c r="C356" s="1">
        <v>4.7664800000000003E-6</v>
      </c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</row>
    <row r="357" spans="1:25" x14ac:dyDescent="0.25">
      <c r="A357">
        <v>0.11316900000000001</v>
      </c>
      <c r="B357" s="1">
        <v>4.0086200000000003E-5</v>
      </c>
      <c r="C357" s="1">
        <v>4.7505100000000004E-6</v>
      </c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</row>
    <row r="358" spans="1:25" x14ac:dyDescent="0.25">
      <c r="A358">
        <v>0.1143</v>
      </c>
      <c r="B358" s="1">
        <v>4.6959699999999997E-5</v>
      </c>
      <c r="C358" s="1">
        <v>5.3452000000000001E-6</v>
      </c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</row>
    <row r="359" spans="1:25" x14ac:dyDescent="0.25">
      <c r="A359">
        <v>0.115443</v>
      </c>
      <c r="B359" s="1">
        <v>4.3709499999999999E-5</v>
      </c>
      <c r="C359" s="1">
        <v>4.9514499999999998E-6</v>
      </c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</row>
    <row r="360" spans="1:25" x14ac:dyDescent="0.25">
      <c r="A360">
        <v>0.11659799999999999</v>
      </c>
      <c r="B360" s="1">
        <v>4.7676500000000003E-5</v>
      </c>
      <c r="C360" s="1">
        <v>5.0637000000000003E-6</v>
      </c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</row>
    <row r="361" spans="1:25" x14ac:dyDescent="0.25">
      <c r="A361">
        <v>0.11776399999999999</v>
      </c>
      <c r="B361" s="1">
        <v>3.7789700000000002E-5</v>
      </c>
      <c r="C361" s="1">
        <v>4.6071100000000002E-6</v>
      </c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</row>
    <row r="362" spans="1:25" x14ac:dyDescent="0.25">
      <c r="A362">
        <v>0.11894100000000001</v>
      </c>
      <c r="B362" s="1">
        <v>3.7299399999999997E-5</v>
      </c>
      <c r="C362" s="1">
        <v>4.54992E-6</v>
      </c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</row>
    <row r="363" spans="1:25" x14ac:dyDescent="0.25">
      <c r="A363">
        <v>0.120131</v>
      </c>
      <c r="B363" s="1">
        <v>3.0617999999999997E-5</v>
      </c>
      <c r="C363" s="1">
        <v>4.0733200000000002E-6</v>
      </c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</row>
    <row r="364" spans="1:25" x14ac:dyDescent="0.25">
      <c r="A364">
        <v>0.121332</v>
      </c>
      <c r="B364" s="1">
        <v>2.9084299999999999E-5</v>
      </c>
      <c r="C364" s="1">
        <v>4.0509399999999999E-6</v>
      </c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</row>
    <row r="365" spans="1:25" x14ac:dyDescent="0.25">
      <c r="A365">
        <v>0.122545</v>
      </c>
      <c r="B365" s="1">
        <v>1.7195100000000001E-5</v>
      </c>
      <c r="C365" s="1">
        <v>3.16909E-6</v>
      </c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</row>
    <row r="366" spans="1:25" x14ac:dyDescent="0.25">
      <c r="A366">
        <v>0.12377100000000001</v>
      </c>
      <c r="B366" s="1">
        <v>1.8798900000000001E-5</v>
      </c>
      <c r="C366" s="1">
        <v>3.21251E-6</v>
      </c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1:25" x14ac:dyDescent="0.25">
      <c r="A367">
        <v>0.12500900000000001</v>
      </c>
      <c r="B367" s="1">
        <v>1.4265499999999999E-5</v>
      </c>
      <c r="C367" s="1">
        <v>2.9622900000000001E-6</v>
      </c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1:25" x14ac:dyDescent="0.25">
      <c r="A368">
        <v>0.12625900000000001</v>
      </c>
      <c r="B368" s="1">
        <v>7.7902700000000002E-6</v>
      </c>
      <c r="C368" s="1">
        <v>2.3153999999999999E-6</v>
      </c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</row>
    <row r="369" spans="1:20" x14ac:dyDescent="0.25">
      <c r="A369">
        <v>0.127521</v>
      </c>
      <c r="B369" s="1">
        <v>3.5744999999999998E-6</v>
      </c>
      <c r="C369" s="1">
        <v>2.0973799999999999E-6</v>
      </c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</row>
    <row r="370" spans="1:20" x14ac:dyDescent="0.25">
      <c r="A370">
        <v>0.12879599999999999</v>
      </c>
      <c r="B370" s="1">
        <v>6.1722199999999997E-6</v>
      </c>
      <c r="C370" s="1">
        <v>1.8647300000000001E-6</v>
      </c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</row>
    <row r="371" spans="1:20" x14ac:dyDescent="0.25">
      <c r="A371">
        <v>0.13008400000000001</v>
      </c>
      <c r="B371" s="1">
        <v>8.8534299999999994E-6</v>
      </c>
      <c r="C371" s="1">
        <v>2.4309700000000001E-6</v>
      </c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</row>
    <row r="372" spans="1:20" x14ac:dyDescent="0.25">
      <c r="A372">
        <v>0.131385</v>
      </c>
      <c r="B372" s="1">
        <v>5.8138299999999997E-6</v>
      </c>
      <c r="C372" s="1">
        <v>2.1178100000000001E-6</v>
      </c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</row>
    <row r="373" spans="1:20" x14ac:dyDescent="0.25">
      <c r="A373">
        <v>0.13269900000000001</v>
      </c>
      <c r="B373" s="1">
        <v>8.0841999999999996E-6</v>
      </c>
      <c r="C373" s="1">
        <v>2.2625899999999999E-6</v>
      </c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</row>
    <row r="374" spans="1:20" x14ac:dyDescent="0.25">
      <c r="A374">
        <v>0.13402600000000001</v>
      </c>
      <c r="B374" s="1">
        <v>1.08547E-5</v>
      </c>
      <c r="C374" s="1">
        <v>2.4559500000000002E-6</v>
      </c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</row>
    <row r="375" spans="1:20" x14ac:dyDescent="0.25">
      <c r="A375">
        <v>0.13536599999999999</v>
      </c>
      <c r="B375" s="1">
        <v>3.4588199999999999E-6</v>
      </c>
      <c r="C375" s="1">
        <v>1.80462E-6</v>
      </c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</row>
    <row r="376" spans="1:20" x14ac:dyDescent="0.25">
      <c r="A376">
        <v>0.13672000000000001</v>
      </c>
      <c r="B376" s="1">
        <v>0</v>
      </c>
      <c r="C376" s="1">
        <v>0</v>
      </c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</row>
    <row r="377" spans="1:20" x14ac:dyDescent="0.25">
      <c r="A377">
        <v>0.13808699999999999</v>
      </c>
      <c r="B377" s="1">
        <v>2.5656200000000002E-6</v>
      </c>
      <c r="C377" s="1">
        <v>1.65793E-6</v>
      </c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</row>
    <row r="378" spans="1:20" x14ac:dyDescent="0.25">
      <c r="A378">
        <v>0.13946800000000001</v>
      </c>
      <c r="B378" s="1">
        <v>6.1057300000000002E-6</v>
      </c>
      <c r="C378" s="1">
        <v>1.9034000000000001E-6</v>
      </c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</row>
    <row r="379" spans="1:20" x14ac:dyDescent="0.25">
      <c r="A379">
        <v>0.14086299999999999</v>
      </c>
      <c r="B379" s="1">
        <v>3.06218E-6</v>
      </c>
      <c r="C379" s="1">
        <v>1.83361E-6</v>
      </c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</row>
    <row r="380" spans="1:20" x14ac:dyDescent="0.25">
      <c r="A380">
        <v>0.14227100000000001</v>
      </c>
      <c r="B380" s="1">
        <v>0</v>
      </c>
      <c r="C380" s="1">
        <v>0</v>
      </c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</row>
    <row r="381" spans="1:20" x14ac:dyDescent="0.25">
      <c r="A381">
        <v>0.14369399999999999</v>
      </c>
      <c r="B381" s="1">
        <v>2.65537E-6</v>
      </c>
      <c r="C381" s="1">
        <v>1.6117899999999999E-6</v>
      </c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</row>
    <row r="382" spans="1:20" x14ac:dyDescent="0.25">
      <c r="A382">
        <v>0.14513100000000001</v>
      </c>
      <c r="B382" s="1">
        <v>2.7813599999999999E-6</v>
      </c>
      <c r="C382" s="1">
        <v>1.6715199999999999E-6</v>
      </c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</row>
    <row r="383" spans="1:20" x14ac:dyDescent="0.25">
      <c r="A383">
        <v>0.14658199999999999</v>
      </c>
      <c r="B383" s="1">
        <v>0</v>
      </c>
      <c r="C383" s="1">
        <v>0</v>
      </c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</row>
    <row r="384" spans="1:20" x14ac:dyDescent="0.25">
      <c r="A384">
        <v>0.14804800000000001</v>
      </c>
      <c r="B384" s="1">
        <v>5.6665400000000001E-6</v>
      </c>
      <c r="C384" s="1">
        <v>1.86629E-6</v>
      </c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</row>
    <row r="385" spans="1:20" x14ac:dyDescent="0.25">
      <c r="A385">
        <v>0.149529</v>
      </c>
      <c r="B385" s="1">
        <v>3.6947200000000001E-6</v>
      </c>
      <c r="C385" s="1">
        <v>1.8456599999999999E-6</v>
      </c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</row>
    <row r="386" spans="1:20" x14ac:dyDescent="0.25">
      <c r="A386">
        <v>0.15102399999999999</v>
      </c>
      <c r="B386" s="1">
        <v>0</v>
      </c>
      <c r="C386" s="1">
        <v>0</v>
      </c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</row>
    <row r="387" spans="1:20" x14ac:dyDescent="0.25">
      <c r="A387">
        <v>0.152534</v>
      </c>
      <c r="B387" s="1">
        <v>2.46903E-6</v>
      </c>
      <c r="C387" s="1">
        <v>1.67213E-6</v>
      </c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</row>
    <row r="388" spans="1:20" x14ac:dyDescent="0.25">
      <c r="A388">
        <v>0.15406</v>
      </c>
      <c r="B388" s="1">
        <v>1.6452999999999999E-6</v>
      </c>
      <c r="C388" s="1">
        <v>1.62234E-6</v>
      </c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</row>
    <row r="389" spans="1:20" x14ac:dyDescent="0.25">
      <c r="A389">
        <v>0.15559999999999999</v>
      </c>
      <c r="B389" s="1">
        <v>4.0375900000000003E-6</v>
      </c>
      <c r="C389" s="1">
        <v>1.6664499999999999E-6</v>
      </c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</row>
    <row r="390" spans="1:20" x14ac:dyDescent="0.25">
      <c r="A390">
        <v>0.15715599999999999</v>
      </c>
      <c r="B390" s="1">
        <v>5.8513899999999997E-6</v>
      </c>
      <c r="C390" s="1">
        <v>1.9547300000000001E-6</v>
      </c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</row>
    <row r="391" spans="1:20" x14ac:dyDescent="0.25">
      <c r="A391">
        <v>0.15872800000000001</v>
      </c>
      <c r="B391" s="1">
        <v>4.7599599999999999E-6</v>
      </c>
      <c r="C391" s="1">
        <v>1.8867699999999999E-6</v>
      </c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</row>
    <row r="392" spans="1:20" x14ac:dyDescent="0.25">
      <c r="A392">
        <v>0.16031500000000001</v>
      </c>
      <c r="B392" s="1">
        <v>3.26179E-6</v>
      </c>
      <c r="C392" s="1">
        <v>1.6025300000000001E-6</v>
      </c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</row>
    <row r="393" spans="1:20" x14ac:dyDescent="0.25">
      <c r="A393">
        <v>0.16191800000000001</v>
      </c>
      <c r="B393" s="1">
        <v>1.7227700000000001E-6</v>
      </c>
      <c r="C393" s="1">
        <v>1.3570300000000001E-6</v>
      </c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</row>
    <row r="394" spans="1:20" x14ac:dyDescent="0.25"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</row>
    <row r="395" spans="1:20" x14ac:dyDescent="0.25"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</row>
    <row r="396" spans="1:20" x14ac:dyDescent="0.25"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</row>
    <row r="397" spans="1:20" x14ac:dyDescent="0.25"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</row>
    <row r="398" spans="1:20" x14ac:dyDescent="0.25"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</row>
    <row r="399" spans="1:20" x14ac:dyDescent="0.25"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</row>
    <row r="400" spans="1:20" x14ac:dyDescent="0.25"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</row>
    <row r="401" spans="6:20" x14ac:dyDescent="0.25"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</row>
    <row r="402" spans="6:20" x14ac:dyDescent="0.25"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</row>
    <row r="403" spans="6:20" x14ac:dyDescent="0.25"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</row>
    <row r="404" spans="6:20" x14ac:dyDescent="0.25"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</row>
    <row r="405" spans="6:20" x14ac:dyDescent="0.25"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</row>
    <row r="406" spans="6:20" x14ac:dyDescent="0.25"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</row>
    <row r="407" spans="6:20" x14ac:dyDescent="0.25"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</row>
    <row r="408" spans="6:20" x14ac:dyDescent="0.25"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</row>
    <row r="409" spans="6:20" x14ac:dyDescent="0.25"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</row>
    <row r="410" spans="6:20" x14ac:dyDescent="0.25"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</row>
    <row r="411" spans="6:20" x14ac:dyDescent="0.25"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</row>
    <row r="412" spans="6:20" x14ac:dyDescent="0.25"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</row>
    <row r="413" spans="6:20" x14ac:dyDescent="0.25"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</row>
    <row r="414" spans="6:20" x14ac:dyDescent="0.25"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</row>
    <row r="415" spans="6:20" x14ac:dyDescent="0.25"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</row>
    <row r="416" spans="6:20" x14ac:dyDescent="0.25"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</row>
    <row r="417" spans="6:20" x14ac:dyDescent="0.25"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</row>
    <row r="418" spans="6:20" x14ac:dyDescent="0.25"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</row>
    <row r="419" spans="6:20" x14ac:dyDescent="0.25"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</row>
    <row r="420" spans="6:20" x14ac:dyDescent="0.25"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</row>
    <row r="421" spans="6:20" x14ac:dyDescent="0.25"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</row>
    <row r="422" spans="6:20" x14ac:dyDescent="0.25"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</row>
    <row r="423" spans="6:20" x14ac:dyDescent="0.25"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</row>
    <row r="424" spans="6:20" x14ac:dyDescent="0.25"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</row>
    <row r="425" spans="6:20" x14ac:dyDescent="0.25"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</row>
    <row r="426" spans="6:20" x14ac:dyDescent="0.25"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</row>
    <row r="427" spans="6:20" x14ac:dyDescent="0.25"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</row>
    <row r="428" spans="6:20" x14ac:dyDescent="0.25"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</row>
    <row r="429" spans="6:20" x14ac:dyDescent="0.25"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</row>
    <row r="430" spans="6:20" x14ac:dyDescent="0.25"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</row>
    <row r="431" spans="6:20" x14ac:dyDescent="0.25"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</row>
    <row r="432" spans="6:20" x14ac:dyDescent="0.25"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</row>
    <row r="433" spans="6:20" x14ac:dyDescent="0.25"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</row>
    <row r="434" spans="6:20" x14ac:dyDescent="0.25"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</row>
    <row r="435" spans="6:20" x14ac:dyDescent="0.25"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</row>
    <row r="436" spans="6:20" x14ac:dyDescent="0.25"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</row>
    <row r="437" spans="6:20" x14ac:dyDescent="0.25"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</row>
    <row r="438" spans="6:20" x14ac:dyDescent="0.25"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</row>
    <row r="439" spans="6:20" x14ac:dyDescent="0.25"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</row>
    <row r="440" spans="6:20" x14ac:dyDescent="0.25"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</row>
    <row r="441" spans="6:20" x14ac:dyDescent="0.25">
      <c r="O441"/>
      <c r="P441"/>
      <c r="Q441"/>
      <c r="R441"/>
      <c r="S441"/>
      <c r="T441"/>
    </row>
    <row r="442" spans="6:20" x14ac:dyDescent="0.25">
      <c r="O442"/>
      <c r="P442"/>
      <c r="Q442"/>
      <c r="R442"/>
      <c r="S442"/>
      <c r="T442"/>
    </row>
    <row r="443" spans="6:20" x14ac:dyDescent="0.25">
      <c r="O443"/>
      <c r="P443"/>
      <c r="Q443"/>
      <c r="R443"/>
      <c r="S443"/>
      <c r="T443"/>
    </row>
    <row r="444" spans="6:20" x14ac:dyDescent="0.25">
      <c r="O444"/>
      <c r="P444"/>
      <c r="Q444"/>
      <c r="R444"/>
      <c r="S444"/>
      <c r="T444"/>
    </row>
    <row r="445" spans="6:20" x14ac:dyDescent="0.25">
      <c r="O445"/>
      <c r="P445"/>
      <c r="Q445"/>
      <c r="R445"/>
      <c r="S445"/>
      <c r="T445"/>
    </row>
    <row r="446" spans="6:20" x14ac:dyDescent="0.25">
      <c r="O446"/>
      <c r="P446"/>
      <c r="Q446"/>
      <c r="R446"/>
      <c r="S446"/>
      <c r="T446"/>
    </row>
    <row r="447" spans="6:20" x14ac:dyDescent="0.25">
      <c r="O447"/>
      <c r="P447"/>
      <c r="Q447"/>
      <c r="R447"/>
      <c r="S447"/>
      <c r="T447"/>
    </row>
    <row r="448" spans="6:20" x14ac:dyDescent="0.25">
      <c r="O448"/>
      <c r="P448"/>
      <c r="Q448"/>
      <c r="R448"/>
      <c r="S448"/>
      <c r="T448"/>
    </row>
    <row r="449" spans="15:20" x14ac:dyDescent="0.25">
      <c r="O449"/>
      <c r="P449"/>
      <c r="Q449"/>
      <c r="R449"/>
      <c r="S449"/>
      <c r="T449"/>
    </row>
    <row r="450" spans="15:20" x14ac:dyDescent="0.25">
      <c r="O450"/>
      <c r="P450"/>
      <c r="Q450"/>
      <c r="R450"/>
      <c r="S450"/>
      <c r="T450"/>
    </row>
    <row r="451" spans="15:20" x14ac:dyDescent="0.25">
      <c r="O451"/>
      <c r="P451"/>
      <c r="Q451"/>
      <c r="R451"/>
      <c r="S451"/>
      <c r="T451"/>
    </row>
    <row r="452" spans="15:20" x14ac:dyDescent="0.25">
      <c r="O452"/>
      <c r="P452"/>
      <c r="Q452"/>
      <c r="R452"/>
      <c r="S452"/>
      <c r="T452"/>
    </row>
    <row r="453" spans="15:20" x14ac:dyDescent="0.25">
      <c r="O453"/>
      <c r="P453"/>
      <c r="Q453"/>
      <c r="R453"/>
      <c r="S453"/>
      <c r="T453"/>
    </row>
    <row r="454" spans="15:20" x14ac:dyDescent="0.25">
      <c r="O454"/>
      <c r="P454"/>
      <c r="Q454"/>
      <c r="R454"/>
      <c r="S454"/>
      <c r="T454"/>
    </row>
    <row r="455" spans="15:20" x14ac:dyDescent="0.25">
      <c r="O455"/>
      <c r="P455"/>
      <c r="Q455"/>
      <c r="R455"/>
      <c r="S455"/>
      <c r="T455"/>
    </row>
    <row r="456" spans="15:20" x14ac:dyDescent="0.25">
      <c r="O456"/>
      <c r="P456"/>
      <c r="Q456"/>
      <c r="R456"/>
      <c r="S456"/>
      <c r="T456"/>
    </row>
    <row r="457" spans="15:20" x14ac:dyDescent="0.25">
      <c r="O457"/>
      <c r="P457"/>
      <c r="Q457"/>
      <c r="R457"/>
      <c r="S457"/>
      <c r="T457"/>
    </row>
    <row r="458" spans="15:20" x14ac:dyDescent="0.25">
      <c r="O458"/>
      <c r="P458"/>
      <c r="Q458"/>
      <c r="R458"/>
      <c r="S458"/>
      <c r="T458"/>
    </row>
    <row r="459" spans="15:20" x14ac:dyDescent="0.25">
      <c r="O459"/>
      <c r="P459"/>
      <c r="Q459"/>
      <c r="R459"/>
      <c r="S459"/>
      <c r="T459"/>
    </row>
    <row r="460" spans="15:20" x14ac:dyDescent="0.25">
      <c r="O460"/>
      <c r="P460"/>
      <c r="Q460"/>
      <c r="R460"/>
      <c r="S460"/>
      <c r="T460"/>
    </row>
    <row r="461" spans="15:20" x14ac:dyDescent="0.25">
      <c r="O461"/>
      <c r="P461"/>
      <c r="Q461"/>
      <c r="R461"/>
      <c r="S461"/>
      <c r="T461"/>
    </row>
    <row r="462" spans="15:20" x14ac:dyDescent="0.25">
      <c r="O462"/>
      <c r="P462"/>
      <c r="Q462"/>
      <c r="R462"/>
      <c r="S462"/>
      <c r="T462"/>
    </row>
    <row r="463" spans="15:20" x14ac:dyDescent="0.25">
      <c r="O463"/>
      <c r="P463"/>
      <c r="Q463"/>
      <c r="R463"/>
      <c r="S463"/>
      <c r="T463"/>
    </row>
    <row r="464" spans="15:20" x14ac:dyDescent="0.25">
      <c r="O464"/>
      <c r="P464"/>
      <c r="Q464"/>
      <c r="R464"/>
      <c r="S464"/>
      <c r="T464"/>
    </row>
    <row r="465" spans="15:20" x14ac:dyDescent="0.25">
      <c r="O465"/>
      <c r="P465"/>
      <c r="Q465"/>
      <c r="R465"/>
      <c r="S465"/>
      <c r="T465"/>
    </row>
    <row r="466" spans="15:20" x14ac:dyDescent="0.25">
      <c r="O466"/>
      <c r="P466"/>
      <c r="Q466"/>
      <c r="R466"/>
      <c r="S466"/>
      <c r="T466"/>
    </row>
    <row r="467" spans="15:20" x14ac:dyDescent="0.25">
      <c r="O467"/>
      <c r="P467"/>
      <c r="Q467"/>
      <c r="R467"/>
      <c r="S467"/>
      <c r="T467"/>
    </row>
    <row r="468" spans="15:20" x14ac:dyDescent="0.25">
      <c r="O468"/>
      <c r="P468"/>
      <c r="Q468"/>
      <c r="R468"/>
      <c r="S468"/>
      <c r="T468"/>
    </row>
    <row r="469" spans="15:20" x14ac:dyDescent="0.25">
      <c r="O469"/>
      <c r="P469"/>
      <c r="Q469"/>
      <c r="R469"/>
      <c r="S469"/>
      <c r="T469"/>
    </row>
    <row r="470" spans="15:20" x14ac:dyDescent="0.25">
      <c r="O470"/>
      <c r="P470"/>
      <c r="Q470"/>
      <c r="R470"/>
      <c r="S470"/>
      <c r="T470"/>
    </row>
    <row r="471" spans="15:20" x14ac:dyDescent="0.25">
      <c r="O471"/>
      <c r="P471"/>
      <c r="Q471"/>
      <c r="R471"/>
      <c r="S471"/>
      <c r="T471"/>
    </row>
    <row r="472" spans="15:20" x14ac:dyDescent="0.25">
      <c r="O472"/>
      <c r="P472"/>
      <c r="Q472"/>
      <c r="R472"/>
      <c r="S472"/>
      <c r="T472"/>
    </row>
    <row r="473" spans="15:20" x14ac:dyDescent="0.25">
      <c r="O473"/>
      <c r="P473"/>
      <c r="Q473"/>
      <c r="R473"/>
      <c r="S473"/>
      <c r="T473"/>
    </row>
    <row r="474" spans="15:20" x14ac:dyDescent="0.25">
      <c r="O474"/>
      <c r="P474"/>
      <c r="Q474"/>
      <c r="R474"/>
      <c r="S474"/>
      <c r="T474"/>
    </row>
    <row r="475" spans="15:20" x14ac:dyDescent="0.25">
      <c r="O475"/>
      <c r="P475"/>
      <c r="Q475"/>
      <c r="R475"/>
      <c r="S475"/>
      <c r="T475"/>
    </row>
    <row r="476" spans="15:20" x14ac:dyDescent="0.25">
      <c r="O476"/>
      <c r="P476"/>
      <c r="Q476"/>
      <c r="R476"/>
      <c r="S476"/>
      <c r="T476"/>
    </row>
    <row r="477" spans="15:20" x14ac:dyDescent="0.25">
      <c r="O477"/>
      <c r="P477"/>
      <c r="Q477"/>
      <c r="R477"/>
      <c r="S477"/>
      <c r="T477"/>
    </row>
    <row r="478" spans="15:20" x14ac:dyDescent="0.25">
      <c r="O478"/>
      <c r="P478"/>
      <c r="Q478"/>
      <c r="R478"/>
      <c r="S478"/>
      <c r="T478"/>
    </row>
    <row r="479" spans="15:20" x14ac:dyDescent="0.25">
      <c r="O479"/>
      <c r="P479"/>
      <c r="Q479"/>
      <c r="R479"/>
      <c r="S479"/>
      <c r="T479"/>
    </row>
    <row r="480" spans="15:20" x14ac:dyDescent="0.25">
      <c r="O480"/>
      <c r="P480"/>
      <c r="Q480"/>
      <c r="R480"/>
      <c r="S480"/>
      <c r="T480"/>
    </row>
    <row r="481" spans="15:20" x14ac:dyDescent="0.25">
      <c r="O481"/>
      <c r="P481"/>
      <c r="Q481"/>
      <c r="R481"/>
      <c r="S481"/>
      <c r="T481"/>
    </row>
    <row r="482" spans="15:20" x14ac:dyDescent="0.25">
      <c r="O482"/>
      <c r="P482"/>
      <c r="Q482"/>
      <c r="R482"/>
      <c r="S482"/>
      <c r="T482"/>
    </row>
    <row r="483" spans="15:20" x14ac:dyDescent="0.25">
      <c r="O483"/>
      <c r="P483"/>
      <c r="Q483"/>
      <c r="R483"/>
      <c r="S483"/>
      <c r="T483"/>
    </row>
    <row r="484" spans="15:20" x14ac:dyDescent="0.25">
      <c r="O484"/>
      <c r="P484"/>
      <c r="Q484"/>
      <c r="R484"/>
      <c r="S484"/>
      <c r="T484"/>
    </row>
    <row r="485" spans="15:20" x14ac:dyDescent="0.25">
      <c r="O485"/>
      <c r="P485"/>
      <c r="Q485"/>
      <c r="R485"/>
      <c r="S485"/>
      <c r="T485"/>
    </row>
    <row r="486" spans="15:20" x14ac:dyDescent="0.25">
      <c r="O486"/>
      <c r="P486"/>
      <c r="Q486"/>
      <c r="R486"/>
      <c r="S486"/>
      <c r="T486"/>
    </row>
    <row r="487" spans="15:20" x14ac:dyDescent="0.25">
      <c r="O487"/>
      <c r="P487"/>
      <c r="Q487"/>
      <c r="R487"/>
      <c r="S487"/>
      <c r="T487"/>
    </row>
    <row r="488" spans="15:20" x14ac:dyDescent="0.25">
      <c r="O488"/>
      <c r="P488"/>
      <c r="Q488"/>
      <c r="R488"/>
      <c r="S488"/>
      <c r="T488"/>
    </row>
    <row r="489" spans="15:20" x14ac:dyDescent="0.25">
      <c r="O489"/>
      <c r="P489"/>
      <c r="Q489"/>
      <c r="R489"/>
      <c r="S489"/>
      <c r="T489"/>
    </row>
    <row r="490" spans="15:20" x14ac:dyDescent="0.25">
      <c r="O490"/>
      <c r="P490"/>
      <c r="Q490"/>
      <c r="R490"/>
      <c r="S490"/>
      <c r="T490"/>
    </row>
    <row r="491" spans="15:20" x14ac:dyDescent="0.25">
      <c r="O491"/>
      <c r="P491"/>
      <c r="Q491"/>
      <c r="R491"/>
      <c r="S491"/>
      <c r="T491"/>
    </row>
    <row r="492" spans="15:20" x14ac:dyDescent="0.25">
      <c r="O492"/>
      <c r="P492"/>
      <c r="Q492"/>
      <c r="R492"/>
      <c r="S492"/>
      <c r="T492"/>
    </row>
    <row r="493" spans="15:20" x14ac:dyDescent="0.25">
      <c r="O493"/>
      <c r="P493"/>
      <c r="Q493"/>
      <c r="R493"/>
      <c r="S493"/>
      <c r="T493"/>
    </row>
    <row r="494" spans="15:20" x14ac:dyDescent="0.25">
      <c r="O494"/>
      <c r="P494"/>
      <c r="Q494"/>
      <c r="R494"/>
      <c r="S494"/>
      <c r="T494"/>
    </row>
    <row r="495" spans="15:20" x14ac:dyDescent="0.25">
      <c r="O495"/>
      <c r="P495"/>
      <c r="Q495"/>
      <c r="R495"/>
      <c r="S495"/>
      <c r="T495"/>
    </row>
  </sheetData>
  <phoneticPr fontId="27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F17"/>
  <sheetViews>
    <sheetView workbookViewId="0">
      <selection activeCell="A16" sqref="A16:F16"/>
    </sheetView>
  </sheetViews>
  <sheetFormatPr defaultRowHeight="15.75" x14ac:dyDescent="0.25"/>
  <cols>
    <col min="1" max="1" width="15.5" style="53" bestFit="1" customWidth="1"/>
    <col min="2" max="2" width="28.375" style="53" customWidth="1"/>
    <col min="3" max="3" width="9.25" style="54" bestFit="1" customWidth="1"/>
    <col min="4" max="4" width="9.875" style="18" customWidth="1"/>
    <col min="5" max="5" width="13" style="18" customWidth="1"/>
    <col min="6" max="6" width="10.25" style="18" customWidth="1"/>
    <col min="8" max="8" width="18.75" customWidth="1"/>
  </cols>
  <sheetData>
    <row r="1" spans="1:6" s="14" customFormat="1" ht="20.25" x14ac:dyDescent="0.35">
      <c r="A1" s="51" t="s">
        <v>481</v>
      </c>
      <c r="B1" s="51" t="s">
        <v>484</v>
      </c>
      <c r="C1" s="52" t="s">
        <v>485</v>
      </c>
      <c r="D1" s="41" t="s">
        <v>486</v>
      </c>
      <c r="E1" s="42" t="s">
        <v>487</v>
      </c>
      <c r="F1" s="42" t="s">
        <v>488</v>
      </c>
    </row>
    <row r="2" spans="1:6" x14ac:dyDescent="0.25">
      <c r="A2" s="53" t="s">
        <v>52</v>
      </c>
      <c r="B2" s="53" t="s">
        <v>500</v>
      </c>
      <c r="C2" s="54">
        <v>4.9942497018034215E-2</v>
      </c>
      <c r="D2" s="18">
        <v>2.072048823249142E-6</v>
      </c>
      <c r="E2" s="18">
        <v>4.7498147887006942E-11</v>
      </c>
      <c r="F2" s="18">
        <v>1.9976998807213682E-12</v>
      </c>
    </row>
    <row r="3" spans="1:6" x14ac:dyDescent="0.25">
      <c r="A3" s="53" t="s">
        <v>501</v>
      </c>
      <c r="B3" s="53" t="s">
        <v>502</v>
      </c>
      <c r="C3" s="54">
        <v>2.655102913739529E-2</v>
      </c>
      <c r="D3" s="18">
        <v>4.1832340803477697E-6</v>
      </c>
      <c r="E3" s="18">
        <v>2.5307649463664093E-11</v>
      </c>
      <c r="F3" s="18">
        <v>1.486857631694136E-12</v>
      </c>
    </row>
    <row r="4" spans="1:6" x14ac:dyDescent="0.25">
      <c r="A4" s="53" t="s">
        <v>503</v>
      </c>
      <c r="D4" s="18">
        <f>0.9*D3</f>
        <v>3.764910672312993E-6</v>
      </c>
      <c r="E4" s="18">
        <f>0.9*E3</f>
        <v>2.2776884517297683E-11</v>
      </c>
      <c r="F4" s="18">
        <f>0.9*F3</f>
        <v>1.3381718685247225E-12</v>
      </c>
    </row>
    <row r="5" spans="1:6" x14ac:dyDescent="0.25">
      <c r="A5" s="53" t="s">
        <v>508</v>
      </c>
      <c r="B5" s="53" t="s">
        <v>507</v>
      </c>
      <c r="C5" s="54">
        <v>3.285999295857293E-3</v>
      </c>
      <c r="D5" s="18">
        <v>1.5527929795992151E-6</v>
      </c>
      <c r="E5" s="18">
        <v>5.27581990394992E-11</v>
      </c>
      <c r="F5" s="18">
        <v>1.8461973007862922E-8</v>
      </c>
    </row>
    <row r="6" spans="1:6" x14ac:dyDescent="0.25">
      <c r="A6" s="53" t="s">
        <v>509</v>
      </c>
      <c r="C6" s="54">
        <v>4.9939999999999998E-2</v>
      </c>
      <c r="D6" s="18">
        <f>C6*(14.2*0.0000282)</f>
        <v>1.99979736E-5</v>
      </c>
      <c r="E6" s="18">
        <f>60.6*2.33*0.00000001/1.54</f>
        <v>9.1687012987012986E-7</v>
      </c>
    </row>
    <row r="7" spans="1:6" x14ac:dyDescent="0.25">
      <c r="A7" s="53" t="s">
        <v>510</v>
      </c>
      <c r="C7" s="54">
        <v>1.0360928628347291E-2</v>
      </c>
      <c r="D7" s="18">
        <f>C7*33*0.0000282</f>
        <v>9.6418801815399894E-6</v>
      </c>
      <c r="E7" s="18">
        <f>0.00000001*1*(36*4.6+8*0.435+14*7.52)/58/1.54</f>
        <v>3.0716524854455891E-8</v>
      </c>
    </row>
    <row r="8" spans="1:6" x14ac:dyDescent="0.25">
      <c r="A8" s="53" t="s">
        <v>512</v>
      </c>
      <c r="B8" s="53" t="s">
        <v>511</v>
      </c>
      <c r="C8" s="54">
        <v>1.0360928628347291E-2</v>
      </c>
      <c r="D8" s="18">
        <v>-6.3496959147850051E-8</v>
      </c>
      <c r="E8" s="18">
        <v>2.6341998353038914E-10</v>
      </c>
      <c r="F8" s="18">
        <v>6.6577566007892881E-8</v>
      </c>
    </row>
    <row r="9" spans="1:6" x14ac:dyDescent="0.25">
      <c r="A9" s="53" t="s">
        <v>513</v>
      </c>
      <c r="C9" s="54">
        <v>3.285999295857293E-3</v>
      </c>
      <c r="D9" s="18">
        <v>8.8000000000000004E-6</v>
      </c>
      <c r="E9" s="18">
        <f>0.00000001*1*(96*4.6+7*0.435+48*11.5+32*89.1)/183/1.54</f>
        <v>1.3653555460932508E-7</v>
      </c>
    </row>
    <row r="10" spans="1:6" x14ac:dyDescent="0.25">
      <c r="A10" s="53" t="s">
        <v>517</v>
      </c>
      <c r="C10" s="54">
        <v>2.655102913739529E-2</v>
      </c>
      <c r="D10" s="18">
        <f>C10*(14+2*8)*0.0000282</f>
        <v>2.2462170650236417E-5</v>
      </c>
      <c r="E10" s="18">
        <f>0.00000001*2.65*(28*60.6+32*11.5)/60/1.54</f>
        <v>5.9217748917748919E-7</v>
      </c>
    </row>
    <row r="11" spans="1:6" x14ac:dyDescent="0.25">
      <c r="A11" s="53" t="s">
        <v>518</v>
      </c>
      <c r="B11" s="53" t="s">
        <v>519</v>
      </c>
      <c r="C11" s="54">
        <v>6.005397758637196E-4</v>
      </c>
      <c r="D11" s="18">
        <v>1.2822583229318904E-5</v>
      </c>
      <c r="E11" s="18">
        <v>2.5888974143657558E-10</v>
      </c>
      <c r="F11" s="18">
        <v>2.2610807797407942E-8</v>
      </c>
    </row>
    <row r="12" spans="1:6" x14ac:dyDescent="0.25">
      <c r="A12" s="53" t="s">
        <v>520</v>
      </c>
      <c r="C12" s="54">
        <v>6.005397758637196E-4</v>
      </c>
      <c r="D12" s="18">
        <v>2.436978399659457E-5</v>
      </c>
      <c r="E12" s="18">
        <v>1.1018671326910043E-7</v>
      </c>
    </row>
    <row r="13" spans="1:6" x14ac:dyDescent="0.25">
      <c r="A13" s="53" t="s">
        <v>169</v>
      </c>
      <c r="B13" s="53" t="s">
        <v>522</v>
      </c>
      <c r="C13" s="54">
        <v>6.4002501563477157E-2</v>
      </c>
      <c r="D13" s="18">
        <v>4.2992227838059625E-6</v>
      </c>
      <c r="E13" s="18">
        <v>8.8279312501347805E-10</v>
      </c>
      <c r="F13" s="18">
        <v>2.5601000625390861E-11</v>
      </c>
    </row>
    <row r="14" spans="1:6" x14ac:dyDescent="0.25">
      <c r="A14" s="53" t="s">
        <v>106</v>
      </c>
      <c r="B14" s="53" t="s">
        <v>523</v>
      </c>
      <c r="C14" s="54">
        <v>9.1274275979557049E-2</v>
      </c>
      <c r="D14" s="18">
        <v>9.3902183164896167E-6</v>
      </c>
      <c r="E14" s="18">
        <v>2.2793186826930543E-9</v>
      </c>
      <c r="F14" s="18">
        <v>4.7462623509369665E-9</v>
      </c>
    </row>
    <row r="15" spans="1:6" x14ac:dyDescent="0.25">
      <c r="A15" s="53" t="s">
        <v>544</v>
      </c>
      <c r="B15" s="53" t="s">
        <v>545</v>
      </c>
      <c r="C15" s="54">
        <v>6.5404355365112736E-3</v>
      </c>
      <c r="D15" s="18">
        <v>5.1157766512658035E-6</v>
      </c>
      <c r="E15" s="18">
        <v>6.3636473457023485E-13</v>
      </c>
      <c r="F15" s="18">
        <v>8.0483983538093133E-10</v>
      </c>
    </row>
    <row r="16" spans="1:6" x14ac:dyDescent="0.25">
      <c r="A16" s="53" t="s">
        <v>547</v>
      </c>
      <c r="B16" s="53" t="s">
        <v>548</v>
      </c>
      <c r="C16" s="54">
        <v>5.4164357333602049E-3</v>
      </c>
      <c r="D16" s="18">
        <v>1.15860846168802E-6</v>
      </c>
      <c r="E16" s="18">
        <v>1.4805095044947011E-10</v>
      </c>
      <c r="F16" s="18">
        <v>3.9152532372650772E-8</v>
      </c>
    </row>
    <row r="17" spans="1:6" x14ac:dyDescent="0.25">
      <c r="A17" s="53" t="s">
        <v>546</v>
      </c>
      <c r="B17" s="53" t="s">
        <v>549</v>
      </c>
      <c r="C17" s="54">
        <v>6.992665831883303E-3</v>
      </c>
      <c r="D17" s="18">
        <v>1.1018936434248805E-6</v>
      </c>
      <c r="E17" s="18">
        <v>7.8170847990927675E-11</v>
      </c>
      <c r="F17" s="18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2" customWidth="1"/>
    <col min="2" max="2" width="9" style="2" customWidth="1"/>
    <col min="3" max="3" width="12" style="2" customWidth="1"/>
    <col min="4" max="4" width="14.625" style="2" customWidth="1"/>
    <col min="5" max="5" width="8" style="2" customWidth="1"/>
    <col min="6" max="6" width="8.375" style="2" customWidth="1"/>
    <col min="7" max="7" width="8" style="2" customWidth="1"/>
    <col min="8" max="8" width="12" style="2" customWidth="1"/>
    <col min="9" max="9" width="8.625" style="2" customWidth="1"/>
    <col min="10" max="10" width="11.75" style="12" customWidth="1"/>
    <col min="11" max="11" width="12.375" style="12" customWidth="1"/>
    <col min="12" max="12" width="12" style="8" customWidth="1"/>
    <col min="13" max="13" width="9.875" style="8" customWidth="1"/>
    <col min="14" max="16384" width="8.75" style="2"/>
  </cols>
  <sheetData>
    <row r="1" spans="1:13" ht="15.75" customHeight="1" x14ac:dyDescent="0.2">
      <c r="A1" s="179" t="s">
        <v>1</v>
      </c>
      <c r="B1" s="179"/>
      <c r="C1" s="179"/>
      <c r="D1" s="179"/>
      <c r="E1" s="179"/>
      <c r="F1" s="179"/>
      <c r="G1" s="179"/>
      <c r="H1" s="179"/>
      <c r="I1" s="3"/>
      <c r="J1" s="10"/>
      <c r="K1" s="10"/>
      <c r="L1" s="7"/>
      <c r="M1" s="7"/>
    </row>
    <row r="2" spans="1:13" ht="15.75" customHeight="1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4" t="s">
        <v>9</v>
      </c>
      <c r="I2" s="4" t="s">
        <v>480</v>
      </c>
      <c r="J2" s="11" t="s">
        <v>10</v>
      </c>
      <c r="K2" s="11" t="s">
        <v>11</v>
      </c>
      <c r="L2" s="9" t="s">
        <v>482</v>
      </c>
      <c r="M2" s="9" t="s">
        <v>483</v>
      </c>
    </row>
    <row r="3" spans="1:13" ht="15.75" customHeight="1" x14ac:dyDescent="0.2">
      <c r="A3" s="5" t="s">
        <v>12</v>
      </c>
      <c r="B3" s="5" t="s">
        <v>13</v>
      </c>
      <c r="C3" s="5">
        <v>-3.7389999999999999</v>
      </c>
      <c r="D3" s="5" t="s">
        <v>13</v>
      </c>
      <c r="E3" s="5">
        <v>1.7567999999999999</v>
      </c>
      <c r="F3" s="5">
        <v>80.260000000000005</v>
      </c>
      <c r="G3" s="5">
        <v>82.02</v>
      </c>
      <c r="H3" s="5">
        <v>0.33260000000000001</v>
      </c>
      <c r="I3" s="5">
        <v>1.0079</v>
      </c>
      <c r="J3" s="12">
        <v>8.9900000000000003E-5</v>
      </c>
      <c r="K3" s="13">
        <v>5.3712999999999997E-2</v>
      </c>
      <c r="L3" s="8">
        <f>(H3*10^-8/1.798)*6.02*10^23/I3</f>
        <v>1104871073579897.6</v>
      </c>
      <c r="M3" s="8">
        <f t="shared" ref="M3:M13" si="0">F3*10^-8*6.02*10^23/I3</f>
        <v>4.7937811290802656E+17</v>
      </c>
    </row>
    <row r="4" spans="1:13" ht="15.75" customHeight="1" x14ac:dyDescent="0.2">
      <c r="A4" s="6" t="s">
        <v>14</v>
      </c>
      <c r="B4" s="6">
        <v>99.984999999999999</v>
      </c>
      <c r="C4" s="6">
        <v>-3.7406000000000001</v>
      </c>
      <c r="D4" s="6">
        <v>25.274000000000001</v>
      </c>
      <c r="E4" s="6">
        <v>1.7583</v>
      </c>
      <c r="F4" s="6">
        <v>80.27</v>
      </c>
      <c r="G4" s="6">
        <v>82.03</v>
      </c>
      <c r="H4" s="6">
        <v>0.33260000000000001</v>
      </c>
      <c r="I4" s="6">
        <v>1.0079</v>
      </c>
      <c r="L4" s="8">
        <f t="shared" ref="L4:L67" si="1">(H4*10^-8/1.798)*6.02*10^23/I4</f>
        <v>1104871073579897.6</v>
      </c>
      <c r="M4" s="8">
        <f t="shared" si="0"/>
        <v>4.7943784105566022E+17</v>
      </c>
    </row>
    <row r="5" spans="1:13" ht="15.75" customHeight="1" x14ac:dyDescent="0.2">
      <c r="A5" s="6" t="s">
        <v>15</v>
      </c>
      <c r="B5" s="6">
        <v>1.4999999999999999E-2</v>
      </c>
      <c r="C5" s="6">
        <v>6.6710000000000003</v>
      </c>
      <c r="D5" s="6">
        <v>4.04</v>
      </c>
      <c r="E5" s="6">
        <v>5.5919999999999996</v>
      </c>
      <c r="F5" s="6">
        <v>2.0499999999999998</v>
      </c>
      <c r="G5" s="6">
        <v>7.64</v>
      </c>
      <c r="H5" s="6">
        <v>5.1900000000000004E-4</v>
      </c>
      <c r="I5" s="6">
        <v>2</v>
      </c>
      <c r="L5" s="8">
        <f t="shared" si="1"/>
        <v>868848720800.88977</v>
      </c>
      <c r="M5" s="8">
        <f t="shared" si="0"/>
        <v>6170499999999999</v>
      </c>
    </row>
    <row r="6" spans="1:13" ht="15.75" customHeight="1" x14ac:dyDescent="0.2">
      <c r="A6" s="6" t="s">
        <v>16</v>
      </c>
      <c r="B6" s="6" t="s">
        <v>17</v>
      </c>
      <c r="C6" s="6">
        <v>4.7919999999999998</v>
      </c>
      <c r="D6" s="6">
        <v>-1.04</v>
      </c>
      <c r="E6" s="6">
        <v>2.89</v>
      </c>
      <c r="F6" s="6">
        <v>0.14000000000000001</v>
      </c>
      <c r="G6" s="6">
        <v>3.03</v>
      </c>
      <c r="H6" s="6">
        <v>0</v>
      </c>
      <c r="I6" s="6">
        <v>3</v>
      </c>
      <c r="L6" s="8">
        <f t="shared" si="1"/>
        <v>0</v>
      </c>
      <c r="M6" s="8">
        <f t="shared" si="0"/>
        <v>280933333333333.28</v>
      </c>
    </row>
    <row r="7" spans="1:13" ht="15.75" customHeight="1" x14ac:dyDescent="0.2">
      <c r="A7" s="6" t="s">
        <v>18</v>
      </c>
      <c r="B7" s="6" t="s">
        <v>13</v>
      </c>
      <c r="C7" s="6">
        <v>3.26</v>
      </c>
      <c r="D7" s="6" t="s">
        <v>13</v>
      </c>
      <c r="E7" s="6">
        <v>1.34</v>
      </c>
      <c r="F7" s="6">
        <v>0</v>
      </c>
      <c r="G7" s="6">
        <v>1.34</v>
      </c>
      <c r="H7" s="6">
        <v>7.4700000000000001E-3</v>
      </c>
      <c r="I7" s="6">
        <v>4.0026000000000002</v>
      </c>
      <c r="J7" s="13">
        <v>1.7870000000000001E-4</v>
      </c>
      <c r="K7" s="13">
        <v>2.6886E-2</v>
      </c>
      <c r="L7" s="8">
        <f t="shared" si="1"/>
        <v>6248635828313.374</v>
      </c>
      <c r="M7" s="8">
        <f t="shared" si="0"/>
        <v>0</v>
      </c>
    </row>
    <row r="8" spans="1:13" ht="15.75" customHeight="1" x14ac:dyDescent="0.2">
      <c r="A8" s="6" t="s">
        <v>19</v>
      </c>
      <c r="B8" s="6">
        <v>1.3999999999999999E-4</v>
      </c>
      <c r="C8" s="6">
        <v>5.74</v>
      </c>
      <c r="D8" s="6" t="s">
        <v>20</v>
      </c>
      <c r="E8" s="6">
        <v>4.42</v>
      </c>
      <c r="F8" s="6">
        <v>1.6</v>
      </c>
      <c r="G8" s="6">
        <v>6</v>
      </c>
      <c r="H8" s="6">
        <v>5333</v>
      </c>
      <c r="I8" s="6">
        <v>3</v>
      </c>
      <c r="L8" s="8">
        <f t="shared" si="1"/>
        <v>5.951920652576937E+18</v>
      </c>
      <c r="M8" s="8">
        <f t="shared" si="0"/>
        <v>3210666666666666.5</v>
      </c>
    </row>
    <row r="9" spans="1:13" ht="15.75" customHeight="1" x14ac:dyDescent="0.2">
      <c r="A9" s="6" t="s">
        <v>21</v>
      </c>
      <c r="B9" s="6">
        <v>99.999859999999998</v>
      </c>
      <c r="C9" s="6">
        <v>3.26</v>
      </c>
      <c r="D9" s="6">
        <v>0</v>
      </c>
      <c r="E9" s="6">
        <v>1.34</v>
      </c>
      <c r="F9" s="6">
        <v>0</v>
      </c>
      <c r="G9" s="6">
        <v>1.34</v>
      </c>
      <c r="H9" s="6">
        <v>0</v>
      </c>
      <c r="I9" s="6">
        <f>I7</f>
        <v>4.0026000000000002</v>
      </c>
      <c r="L9" s="8">
        <f t="shared" si="1"/>
        <v>0</v>
      </c>
      <c r="M9" s="8">
        <f t="shared" si="0"/>
        <v>0</v>
      </c>
    </row>
    <row r="10" spans="1:13" ht="15.75" customHeight="1" x14ac:dyDescent="0.2">
      <c r="A10" s="6" t="s">
        <v>22</v>
      </c>
      <c r="B10" s="6" t="s">
        <v>13</v>
      </c>
      <c r="C10" s="6">
        <v>-1.9</v>
      </c>
      <c r="D10" s="6" t="s">
        <v>13</v>
      </c>
      <c r="E10" s="6">
        <v>0.45400000000000001</v>
      </c>
      <c r="F10" s="6">
        <v>0.92</v>
      </c>
      <c r="G10" s="6">
        <v>1.37</v>
      </c>
      <c r="H10" s="6">
        <v>70.5</v>
      </c>
      <c r="I10" s="6">
        <v>6.9409999999999998</v>
      </c>
      <c r="J10" s="13">
        <v>0.53400000000000003</v>
      </c>
      <c r="K10" s="13">
        <v>46.33</v>
      </c>
      <c r="L10" s="8">
        <f t="shared" si="1"/>
        <v>3.40074349847491E+16</v>
      </c>
      <c r="M10" s="8">
        <f t="shared" si="0"/>
        <v>797925370984008.13</v>
      </c>
    </row>
    <row r="11" spans="1:13" ht="15.75" customHeight="1" x14ac:dyDescent="0.2">
      <c r="A11" s="6" t="s">
        <v>23</v>
      </c>
      <c r="B11" s="6">
        <v>7.5</v>
      </c>
      <c r="C11" s="6">
        <v>2</v>
      </c>
      <c r="D11" s="6">
        <v>-1.89</v>
      </c>
      <c r="E11" s="6">
        <v>0.51</v>
      </c>
      <c r="F11" s="6">
        <v>0.46</v>
      </c>
      <c r="G11" s="6">
        <v>0.97</v>
      </c>
      <c r="H11" s="6">
        <v>940</v>
      </c>
      <c r="I11" s="6">
        <v>6</v>
      </c>
      <c r="L11" s="8">
        <f t="shared" si="1"/>
        <v>5.2454579162031878E+17</v>
      </c>
      <c r="M11" s="8">
        <f t="shared" si="0"/>
        <v>461533333333333.31</v>
      </c>
    </row>
    <row r="12" spans="1:13" ht="15.75" customHeight="1" x14ac:dyDescent="0.2">
      <c r="A12" s="6" t="s">
        <v>24</v>
      </c>
      <c r="B12" s="6">
        <v>92.5</v>
      </c>
      <c r="C12" s="6">
        <v>-2.2200000000000002</v>
      </c>
      <c r="D12" s="6">
        <v>-2.4900000000000002</v>
      </c>
      <c r="E12" s="6">
        <v>0.61899999999999999</v>
      </c>
      <c r="F12" s="6">
        <v>0.78</v>
      </c>
      <c r="G12" s="6">
        <v>1.4</v>
      </c>
      <c r="H12" s="6">
        <v>4.5400000000000003E-2</v>
      </c>
      <c r="I12" s="6">
        <v>7</v>
      </c>
      <c r="L12" s="8">
        <f t="shared" si="1"/>
        <v>21715239154616.238</v>
      </c>
      <c r="M12" s="8">
        <f t="shared" si="0"/>
        <v>670800000000000</v>
      </c>
    </row>
    <row r="13" spans="1:13" ht="15.75" customHeight="1" x14ac:dyDescent="0.2">
      <c r="A13" s="6" t="s">
        <v>25</v>
      </c>
      <c r="B13" s="6">
        <v>100</v>
      </c>
      <c r="C13" s="6">
        <v>7.79</v>
      </c>
      <c r="D13" s="6">
        <v>0.12</v>
      </c>
      <c r="E13" s="6">
        <v>7.63</v>
      </c>
      <c r="F13" s="6">
        <v>1.8E-3</v>
      </c>
      <c r="G13" s="6">
        <v>7.63</v>
      </c>
      <c r="H13" s="6">
        <v>7.6E-3</v>
      </c>
      <c r="I13" s="6">
        <v>9.0122</v>
      </c>
      <c r="J13" s="13">
        <v>1.85</v>
      </c>
      <c r="K13" s="13">
        <v>123.62</v>
      </c>
      <c r="L13" s="8">
        <f t="shared" si="1"/>
        <v>2823511591838.2192</v>
      </c>
      <c r="M13" s="8">
        <f t="shared" si="0"/>
        <v>1202370120503.3176</v>
      </c>
    </row>
    <row r="14" spans="1:13" ht="15.75" customHeight="1" x14ac:dyDescent="0.2">
      <c r="A14" s="6" t="s">
        <v>26</v>
      </c>
      <c r="B14" s="6" t="s">
        <v>13</v>
      </c>
      <c r="C14" s="6">
        <v>5.3</v>
      </c>
      <c r="D14" s="6" t="s">
        <v>13</v>
      </c>
      <c r="E14" s="6">
        <v>3.54</v>
      </c>
      <c r="F14" s="6">
        <v>1.7</v>
      </c>
      <c r="G14" s="6">
        <v>5.24</v>
      </c>
      <c r="H14" s="6">
        <v>767</v>
      </c>
      <c r="I14" s="6">
        <v>10.81</v>
      </c>
      <c r="J14" s="13">
        <v>2.34</v>
      </c>
      <c r="K14" s="13">
        <v>130.36000000000001</v>
      </c>
      <c r="L14" s="8">
        <f t="shared" si="1"/>
        <v>2.375617270294159E+17</v>
      </c>
      <c r="M14" s="8">
        <f t="shared" ref="M14:M77" si="2">F14*10^-8*6.02*10^23/I14</f>
        <v>946716003700277.25</v>
      </c>
    </row>
    <row r="15" spans="1:13" ht="15.75" customHeight="1" x14ac:dyDescent="0.2">
      <c r="A15" s="6" t="s">
        <v>27</v>
      </c>
      <c r="B15" s="6">
        <v>20</v>
      </c>
      <c r="C15" s="6">
        <v>-0.1</v>
      </c>
      <c r="D15" s="6" t="s">
        <v>28</v>
      </c>
      <c r="E15" s="6">
        <v>0.14399999999999999</v>
      </c>
      <c r="F15" s="6">
        <v>3</v>
      </c>
      <c r="G15" s="6">
        <v>3.1</v>
      </c>
      <c r="H15" s="6">
        <v>3835</v>
      </c>
      <c r="I15" s="6">
        <v>10</v>
      </c>
      <c r="J15" s="12">
        <v>2.34</v>
      </c>
      <c r="K15" s="12">
        <v>130.36000000000001</v>
      </c>
      <c r="L15" s="8">
        <f t="shared" si="1"/>
        <v>1.2840211345939935E+18</v>
      </c>
      <c r="M15" s="8">
        <f t="shared" si="2"/>
        <v>1806000000000000</v>
      </c>
    </row>
    <row r="16" spans="1:13" ht="15.75" customHeight="1" x14ac:dyDescent="0.2">
      <c r="A16" s="6" t="s">
        <v>29</v>
      </c>
      <c r="B16" s="6">
        <v>80</v>
      </c>
      <c r="C16" s="6">
        <v>6.65</v>
      </c>
      <c r="D16" s="6">
        <v>-1.3</v>
      </c>
      <c r="E16" s="6">
        <v>5.56</v>
      </c>
      <c r="F16" s="6">
        <v>0.21</v>
      </c>
      <c r="G16" s="6">
        <v>5.77</v>
      </c>
      <c r="H16" s="6">
        <v>5.4999999999999997E-3</v>
      </c>
      <c r="I16" s="6">
        <v>11</v>
      </c>
      <c r="L16" s="8">
        <f t="shared" si="1"/>
        <v>1674082313681.8687</v>
      </c>
      <c r="M16" s="8">
        <f t="shared" si="2"/>
        <v>114927272727272.7</v>
      </c>
    </row>
    <row r="17" spans="1:13" ht="15.75" customHeight="1" x14ac:dyDescent="0.2">
      <c r="A17" s="6" t="s">
        <v>30</v>
      </c>
      <c r="B17" s="6" t="s">
        <v>13</v>
      </c>
      <c r="C17" s="6">
        <v>6.6459999999999999</v>
      </c>
      <c r="D17" s="6" t="s">
        <v>13</v>
      </c>
      <c r="E17" s="6">
        <v>5.5510000000000002</v>
      </c>
      <c r="F17" s="6">
        <v>1E-3</v>
      </c>
      <c r="G17" s="6">
        <v>5.5510000000000002</v>
      </c>
      <c r="H17" s="6">
        <v>3.5000000000000001E-3</v>
      </c>
      <c r="I17" s="6">
        <v>12.010999999999999</v>
      </c>
      <c r="J17" s="13">
        <v>2.25</v>
      </c>
      <c r="K17" s="13">
        <v>112.81</v>
      </c>
      <c r="L17" s="8">
        <f t="shared" si="1"/>
        <v>975653667119.56384</v>
      </c>
      <c r="M17" s="8">
        <f t="shared" si="2"/>
        <v>501207226708.85016</v>
      </c>
    </row>
    <row r="18" spans="1:13" ht="15.75" customHeight="1" x14ac:dyDescent="0.2">
      <c r="A18" s="6" t="s">
        <v>31</v>
      </c>
      <c r="B18" s="6">
        <v>98.9</v>
      </c>
      <c r="C18" s="6">
        <v>6.6510999999999996</v>
      </c>
      <c r="D18" s="6">
        <v>0</v>
      </c>
      <c r="E18" s="6">
        <v>5.5590000000000002</v>
      </c>
      <c r="F18" s="6">
        <v>0</v>
      </c>
      <c r="G18" s="6">
        <v>5.5590000000000002</v>
      </c>
      <c r="H18" s="6">
        <v>3.5300000000000002E-3</v>
      </c>
      <c r="I18" s="6">
        <v>12</v>
      </c>
      <c r="L18" s="8">
        <f t="shared" si="1"/>
        <v>984918427882.83252</v>
      </c>
      <c r="M18" s="8">
        <f t="shared" si="2"/>
        <v>0</v>
      </c>
    </row>
    <row r="19" spans="1:13" ht="15.75" customHeight="1" x14ac:dyDescent="0.2">
      <c r="A19" s="6" t="s">
        <v>32</v>
      </c>
      <c r="B19" s="6">
        <v>1.1000000000000001</v>
      </c>
      <c r="C19" s="6">
        <v>6.19</v>
      </c>
      <c r="D19" s="6">
        <v>-0.52</v>
      </c>
      <c r="E19" s="6">
        <v>4.8099999999999996</v>
      </c>
      <c r="F19" s="6">
        <v>3.4000000000000002E-2</v>
      </c>
      <c r="G19" s="6">
        <v>4.84</v>
      </c>
      <c r="H19" s="6">
        <v>1.3699999999999999E-3</v>
      </c>
      <c r="I19" s="6">
        <v>13</v>
      </c>
      <c r="L19" s="8">
        <f t="shared" si="1"/>
        <v>352845041499.10144</v>
      </c>
      <c r="M19" s="8">
        <f t="shared" si="2"/>
        <v>15744615384615.383</v>
      </c>
    </row>
    <row r="20" spans="1:13" ht="15.75" customHeight="1" x14ac:dyDescent="0.2">
      <c r="A20" s="6" t="s">
        <v>33</v>
      </c>
      <c r="B20" s="6" t="s">
        <v>13</v>
      </c>
      <c r="C20" s="6">
        <v>9.36</v>
      </c>
      <c r="D20" s="6" t="s">
        <v>13</v>
      </c>
      <c r="E20" s="6">
        <v>11.01</v>
      </c>
      <c r="F20" s="6">
        <v>0.5</v>
      </c>
      <c r="G20" s="6">
        <v>11.51</v>
      </c>
      <c r="H20" s="6">
        <v>1.9</v>
      </c>
      <c r="I20" s="6">
        <v>14.0067</v>
      </c>
      <c r="J20" s="13">
        <v>1.2509999999999999E-3</v>
      </c>
      <c r="K20" s="13">
        <v>5.3784999999999999E-2</v>
      </c>
      <c r="L20" s="8">
        <f t="shared" si="1"/>
        <v>454176415000756.75</v>
      </c>
      <c r="M20" s="8">
        <f t="shared" si="2"/>
        <v>214897156360884.41</v>
      </c>
    </row>
    <row r="21" spans="1:13" ht="15.75" customHeight="1" x14ac:dyDescent="0.2">
      <c r="A21" s="6" t="s">
        <v>34</v>
      </c>
      <c r="B21" s="6">
        <v>99.63</v>
      </c>
      <c r="C21" s="6">
        <v>9.3699999999999992</v>
      </c>
      <c r="D21" s="6">
        <v>2</v>
      </c>
      <c r="E21" s="6">
        <v>11.03</v>
      </c>
      <c r="F21" s="6">
        <v>0.5</v>
      </c>
      <c r="G21" s="6">
        <v>11.53</v>
      </c>
      <c r="H21" s="6">
        <v>1.91</v>
      </c>
      <c r="I21" s="6">
        <v>14</v>
      </c>
      <c r="L21" s="8">
        <f t="shared" si="1"/>
        <v>456785317018909.69</v>
      </c>
      <c r="M21" s="8">
        <f t="shared" si="2"/>
        <v>214999999999999.97</v>
      </c>
    </row>
    <row r="22" spans="1:13" ht="15.75" customHeight="1" x14ac:dyDescent="0.2">
      <c r="A22" s="6" t="s">
        <v>35</v>
      </c>
      <c r="B22" s="6">
        <v>0.37</v>
      </c>
      <c r="C22" s="6">
        <v>6.44</v>
      </c>
      <c r="D22" s="6">
        <v>-0.02</v>
      </c>
      <c r="E22" s="6">
        <v>5.21</v>
      </c>
      <c r="F22" s="6">
        <v>5.0000000000000002E-5</v>
      </c>
      <c r="G22" s="6">
        <v>5.21</v>
      </c>
      <c r="H22" s="6">
        <v>2.4000000000000001E-5</v>
      </c>
      <c r="I22" s="6">
        <v>15</v>
      </c>
      <c r="L22" s="8">
        <f t="shared" si="1"/>
        <v>5357063403.7819796</v>
      </c>
      <c r="M22" s="8">
        <f t="shared" si="2"/>
        <v>20066666666.666664</v>
      </c>
    </row>
    <row r="23" spans="1:13" ht="15.75" customHeight="1" x14ac:dyDescent="0.2">
      <c r="A23" s="6" t="s">
        <v>36</v>
      </c>
      <c r="B23" s="6" t="s">
        <v>13</v>
      </c>
      <c r="C23" s="6">
        <v>5.8029999999999999</v>
      </c>
      <c r="D23" s="6" t="s">
        <v>13</v>
      </c>
      <c r="E23" s="6">
        <v>4.2320000000000002</v>
      </c>
      <c r="F23" s="6">
        <v>8.0000000000000004E-4</v>
      </c>
      <c r="G23" s="6">
        <v>4.2320000000000002</v>
      </c>
      <c r="H23" s="6">
        <v>1.9000000000000001E-4</v>
      </c>
      <c r="I23" s="6">
        <v>15.9994</v>
      </c>
      <c r="J23" s="13">
        <v>1.4289999999999999E-3</v>
      </c>
      <c r="K23" s="13">
        <v>5.3786E-2</v>
      </c>
      <c r="L23" s="8">
        <f t="shared" si="1"/>
        <v>39760945985.418839</v>
      </c>
      <c r="M23" s="8">
        <f t="shared" si="2"/>
        <v>301011287923.29706</v>
      </c>
    </row>
    <row r="24" spans="1:13" ht="15.75" customHeight="1" x14ac:dyDescent="0.2">
      <c r="A24" s="6" t="s">
        <v>37</v>
      </c>
      <c r="B24" s="6">
        <v>99.762</v>
      </c>
      <c r="C24" s="6">
        <v>5.8029999999999999</v>
      </c>
      <c r="D24" s="6">
        <v>0</v>
      </c>
      <c r="E24" s="6">
        <v>4.2320000000000002</v>
      </c>
      <c r="F24" s="6">
        <v>0</v>
      </c>
      <c r="G24" s="6">
        <v>4.2320000000000002</v>
      </c>
      <c r="H24" s="6">
        <v>1E-4</v>
      </c>
      <c r="I24" s="6">
        <v>16</v>
      </c>
      <c r="L24" s="8">
        <f t="shared" si="1"/>
        <v>20926028921.023357</v>
      </c>
      <c r="M24" s="8">
        <f t="shared" si="2"/>
        <v>0</v>
      </c>
    </row>
    <row r="25" spans="1:13" ht="15.75" customHeight="1" x14ac:dyDescent="0.2">
      <c r="A25" s="6" t="s">
        <v>38</v>
      </c>
      <c r="B25" s="6">
        <v>3.7999999999999999E-2</v>
      </c>
      <c r="C25" s="6">
        <v>5.78</v>
      </c>
      <c r="D25" s="6">
        <v>0.18</v>
      </c>
      <c r="E25" s="6">
        <v>4.2</v>
      </c>
      <c r="F25" s="6">
        <v>4.0000000000000001E-3</v>
      </c>
      <c r="G25" s="6">
        <v>4.2</v>
      </c>
      <c r="H25" s="6">
        <v>0.23599999999999999</v>
      </c>
      <c r="I25" s="6">
        <v>17</v>
      </c>
      <c r="L25" s="8">
        <f t="shared" si="1"/>
        <v>46480403062226</v>
      </c>
      <c r="M25" s="8">
        <f t="shared" si="2"/>
        <v>1416470588235.2939</v>
      </c>
    </row>
    <row r="26" spans="1:13" ht="15.75" customHeight="1" x14ac:dyDescent="0.2">
      <c r="A26" s="6" t="s">
        <v>39</v>
      </c>
      <c r="B26" s="6">
        <v>0.2</v>
      </c>
      <c r="C26" s="6">
        <v>5.84</v>
      </c>
      <c r="D26" s="6">
        <v>0</v>
      </c>
      <c r="E26" s="6">
        <v>4.29</v>
      </c>
      <c r="F26" s="6">
        <v>0</v>
      </c>
      <c r="G26" s="6">
        <v>4.29</v>
      </c>
      <c r="H26" s="6">
        <v>1.6000000000000001E-4</v>
      </c>
      <c r="I26" s="6">
        <v>18</v>
      </c>
      <c r="L26" s="8">
        <f t="shared" si="1"/>
        <v>29761463354.344334</v>
      </c>
      <c r="M26" s="8">
        <f t="shared" si="2"/>
        <v>0</v>
      </c>
    </row>
    <row r="27" spans="1:13" ht="15.75" customHeight="1" x14ac:dyDescent="0.2">
      <c r="A27" s="6" t="s">
        <v>40</v>
      </c>
      <c r="B27" s="6">
        <v>100</v>
      </c>
      <c r="C27" s="6">
        <v>5.6539999999999999</v>
      </c>
      <c r="D27" s="6">
        <v>-8.2000000000000003E-2</v>
      </c>
      <c r="E27" s="6">
        <v>4.0170000000000003</v>
      </c>
      <c r="F27" s="6">
        <v>8.0000000000000004E-4</v>
      </c>
      <c r="G27" s="6">
        <v>4.0179999999999998</v>
      </c>
      <c r="H27" s="6">
        <v>9.5999999999999992E-3</v>
      </c>
      <c r="I27" s="6">
        <v>18.9984</v>
      </c>
      <c r="J27" s="13">
        <v>1.696E-3</v>
      </c>
      <c r="K27" s="13">
        <v>5.3759000000000001E-2</v>
      </c>
      <c r="L27" s="8">
        <f t="shared" si="1"/>
        <v>1691846704074.6519</v>
      </c>
      <c r="M27" s="8">
        <f t="shared" si="2"/>
        <v>253495031160.51874</v>
      </c>
    </row>
    <row r="28" spans="1:13" ht="15.75" customHeight="1" x14ac:dyDescent="0.2">
      <c r="A28" s="6" t="s">
        <v>41</v>
      </c>
      <c r="B28" s="6" t="s">
        <v>13</v>
      </c>
      <c r="C28" s="6">
        <v>4.5659999999999998</v>
      </c>
      <c r="D28" s="6" t="s">
        <v>13</v>
      </c>
      <c r="E28" s="6">
        <v>2.62</v>
      </c>
      <c r="F28" s="6">
        <v>8.0000000000000002E-3</v>
      </c>
      <c r="G28" s="6">
        <v>2.6280000000000001</v>
      </c>
      <c r="H28" s="6">
        <v>3.9E-2</v>
      </c>
      <c r="I28" s="6">
        <v>20.178999999999998</v>
      </c>
      <c r="J28" s="13">
        <v>9.01E-4</v>
      </c>
      <c r="K28" s="13">
        <v>2.6887999999999999E-2</v>
      </c>
      <c r="L28" s="8">
        <f t="shared" si="1"/>
        <v>6471005523920.2012</v>
      </c>
      <c r="M28" s="8">
        <f t="shared" si="2"/>
        <v>2386639575796.6201</v>
      </c>
    </row>
    <row r="29" spans="1:13" ht="15.75" customHeight="1" x14ac:dyDescent="0.2">
      <c r="A29" s="6" t="s">
        <v>42</v>
      </c>
      <c r="B29" s="6">
        <v>90.51</v>
      </c>
      <c r="C29" s="6">
        <v>4.6310000000000002</v>
      </c>
      <c r="D29" s="6">
        <v>0</v>
      </c>
      <c r="E29" s="6">
        <v>2.6949999999999998</v>
      </c>
      <c r="F29" s="6">
        <v>0</v>
      </c>
      <c r="G29" s="6">
        <v>2.6949999999999998</v>
      </c>
      <c r="H29" s="6">
        <v>3.5999999999999997E-2</v>
      </c>
      <c r="I29" s="6">
        <v>20</v>
      </c>
      <c r="L29" s="8">
        <f t="shared" si="1"/>
        <v>6026696329254.7266</v>
      </c>
      <c r="M29" s="8">
        <f t="shared" si="2"/>
        <v>0</v>
      </c>
    </row>
    <row r="30" spans="1:13" ht="15.75" customHeight="1" x14ac:dyDescent="0.2">
      <c r="A30" s="6" t="s">
        <v>43</v>
      </c>
      <c r="B30" s="6">
        <v>0.27</v>
      </c>
      <c r="C30" s="6">
        <v>6.66</v>
      </c>
      <c r="D30" s="6" t="s">
        <v>44</v>
      </c>
      <c r="E30" s="6">
        <v>5.6</v>
      </c>
      <c r="F30" s="6">
        <v>0.05</v>
      </c>
      <c r="G30" s="6">
        <v>5.7</v>
      </c>
      <c r="H30" s="6">
        <v>0.67</v>
      </c>
      <c r="I30" s="6">
        <v>21</v>
      </c>
      <c r="L30" s="8">
        <f t="shared" si="1"/>
        <v>106822395253985.89</v>
      </c>
      <c r="M30" s="8">
        <f t="shared" si="2"/>
        <v>14333333333333.334</v>
      </c>
    </row>
    <row r="31" spans="1:13" ht="15.75" customHeight="1" x14ac:dyDescent="0.2">
      <c r="A31" s="6" t="s">
        <v>45</v>
      </c>
      <c r="B31" s="6">
        <v>9.2200000000000006</v>
      </c>
      <c r="C31" s="6">
        <v>3.87</v>
      </c>
      <c r="D31" s="6">
        <v>0</v>
      </c>
      <c r="E31" s="6">
        <v>1.88</v>
      </c>
      <c r="F31" s="6">
        <v>0</v>
      </c>
      <c r="G31" s="6">
        <v>1.88</v>
      </c>
      <c r="H31" s="6">
        <v>4.5999999999999999E-2</v>
      </c>
      <c r="I31" s="6">
        <v>22</v>
      </c>
      <c r="L31" s="8">
        <f t="shared" si="1"/>
        <v>7000707857215.0869</v>
      </c>
      <c r="M31" s="8">
        <f t="shared" si="2"/>
        <v>0</v>
      </c>
    </row>
    <row r="32" spans="1:13" ht="15.75" customHeight="1" x14ac:dyDescent="0.2">
      <c r="A32" s="6" t="s">
        <v>46</v>
      </c>
      <c r="B32" s="6">
        <v>100</v>
      </c>
      <c r="C32" s="6">
        <v>3.63</v>
      </c>
      <c r="D32" s="6">
        <v>3.59</v>
      </c>
      <c r="E32" s="6">
        <v>1.66</v>
      </c>
      <c r="F32" s="6">
        <v>1.62</v>
      </c>
      <c r="G32" s="6">
        <v>3.28</v>
      </c>
      <c r="H32" s="6">
        <v>0.53</v>
      </c>
      <c r="I32" s="6">
        <v>22.989799999999999</v>
      </c>
      <c r="J32" s="13">
        <v>0.97</v>
      </c>
      <c r="K32" s="13">
        <v>25.405999999999999</v>
      </c>
      <c r="L32" s="8">
        <f t="shared" si="1"/>
        <v>77187589822563.938</v>
      </c>
      <c r="M32" s="8">
        <f t="shared" si="2"/>
        <v>424205517229380</v>
      </c>
    </row>
    <row r="33" spans="1:13" ht="15.75" customHeight="1" x14ac:dyDescent="0.2">
      <c r="A33" s="6" t="s">
        <v>47</v>
      </c>
      <c r="B33" s="6" t="s">
        <v>13</v>
      </c>
      <c r="C33" s="6">
        <v>5.375</v>
      </c>
      <c r="D33" s="6" t="s">
        <v>13</v>
      </c>
      <c r="E33" s="6">
        <v>3.6309999999999998</v>
      </c>
      <c r="F33" s="6">
        <v>0.08</v>
      </c>
      <c r="G33" s="6">
        <v>3.71</v>
      </c>
      <c r="H33" s="6">
        <v>6.3E-2</v>
      </c>
      <c r="I33" s="6">
        <v>24.305</v>
      </c>
      <c r="J33" s="13">
        <v>1.74</v>
      </c>
      <c r="K33" s="13">
        <v>43.112000000000002</v>
      </c>
      <c r="L33" s="8">
        <f t="shared" si="1"/>
        <v>8678641083065.8467</v>
      </c>
      <c r="M33" s="8">
        <f t="shared" si="2"/>
        <v>19814852910923.676</v>
      </c>
    </row>
    <row r="34" spans="1:13" ht="15.75" customHeight="1" x14ac:dyDescent="0.2">
      <c r="A34" s="6" t="s">
        <v>48</v>
      </c>
      <c r="B34" s="6">
        <v>78.989999999999995</v>
      </c>
      <c r="C34" s="6">
        <v>5.66</v>
      </c>
      <c r="D34" s="6">
        <v>0</v>
      </c>
      <c r="E34" s="6">
        <v>4.03</v>
      </c>
      <c r="F34" s="6">
        <v>0</v>
      </c>
      <c r="G34" s="6">
        <v>4.03</v>
      </c>
      <c r="H34" s="6">
        <v>0.05</v>
      </c>
      <c r="I34" s="6">
        <v>24</v>
      </c>
      <c r="L34" s="8">
        <f t="shared" si="1"/>
        <v>6975342973674.4521</v>
      </c>
      <c r="M34" s="8">
        <f t="shared" si="2"/>
        <v>0</v>
      </c>
    </row>
    <row r="35" spans="1:13" ht="15.75" customHeight="1" x14ac:dyDescent="0.2">
      <c r="A35" s="6" t="s">
        <v>49</v>
      </c>
      <c r="B35" s="6">
        <v>10</v>
      </c>
      <c r="C35" s="6">
        <v>3.62</v>
      </c>
      <c r="D35" s="6">
        <v>1.48</v>
      </c>
      <c r="E35" s="6">
        <v>1.65</v>
      </c>
      <c r="F35" s="6">
        <v>0.28000000000000003</v>
      </c>
      <c r="G35" s="6">
        <v>1.93</v>
      </c>
      <c r="H35" s="6">
        <v>0.19</v>
      </c>
      <c r="I35" s="6">
        <v>25</v>
      </c>
      <c r="L35" s="8">
        <f t="shared" si="1"/>
        <v>25446051167964.406</v>
      </c>
      <c r="M35" s="8">
        <f t="shared" si="2"/>
        <v>67423999999999.992</v>
      </c>
    </row>
    <row r="36" spans="1:13" ht="15.75" customHeight="1" x14ac:dyDescent="0.2">
      <c r="A36" s="6" t="s">
        <v>50</v>
      </c>
      <c r="B36" s="6">
        <v>11.01</v>
      </c>
      <c r="C36" s="6">
        <v>4.8899999999999997</v>
      </c>
      <c r="D36" s="6">
        <v>0</v>
      </c>
      <c r="E36" s="6">
        <v>3</v>
      </c>
      <c r="F36" s="6">
        <v>0</v>
      </c>
      <c r="G36" s="6">
        <v>3</v>
      </c>
      <c r="H36" s="6">
        <v>3.8199999999999998E-2</v>
      </c>
      <c r="I36" s="6">
        <v>26</v>
      </c>
      <c r="L36" s="8">
        <f t="shared" si="1"/>
        <v>4919226490972.874</v>
      </c>
      <c r="M36" s="8">
        <f t="shared" si="2"/>
        <v>0</v>
      </c>
    </row>
    <row r="37" spans="1:13" ht="15.75" customHeight="1" x14ac:dyDescent="0.2">
      <c r="A37" s="6" t="s">
        <v>51</v>
      </c>
      <c r="B37" s="6">
        <v>100</v>
      </c>
      <c r="C37" s="6">
        <v>3.4489999999999998</v>
      </c>
      <c r="D37" s="6">
        <v>0.25600000000000001</v>
      </c>
      <c r="E37" s="6">
        <v>1.4950000000000001</v>
      </c>
      <c r="F37" s="6">
        <v>8.2000000000000007E-3</v>
      </c>
      <c r="G37" s="6">
        <v>1.5029999999999999</v>
      </c>
      <c r="H37" s="6">
        <v>0.23100000000000001</v>
      </c>
      <c r="I37" s="6">
        <v>26.9815</v>
      </c>
      <c r="J37" s="13">
        <v>2.702</v>
      </c>
      <c r="K37" s="13">
        <v>60.305999999999997</v>
      </c>
      <c r="L37" s="8">
        <f t="shared" si="1"/>
        <v>28665049345700.691</v>
      </c>
      <c r="M37" s="8">
        <f t="shared" si="2"/>
        <v>1829549876767.4148</v>
      </c>
    </row>
    <row r="38" spans="1:13" ht="15.75" customHeight="1" x14ac:dyDescent="0.2">
      <c r="A38" s="6" t="s">
        <v>52</v>
      </c>
      <c r="B38" s="6" t="s">
        <v>13</v>
      </c>
      <c r="C38" s="6">
        <v>4.1490999999999998</v>
      </c>
      <c r="D38" s="6" t="s">
        <v>13</v>
      </c>
      <c r="E38" s="6">
        <v>2.1629999999999998</v>
      </c>
      <c r="F38" s="6">
        <v>4.0000000000000001E-3</v>
      </c>
      <c r="G38" s="6">
        <v>2.1669999999999998</v>
      </c>
      <c r="H38" s="6">
        <v>0.17100000000000001</v>
      </c>
      <c r="I38" s="6">
        <v>28.0855</v>
      </c>
      <c r="J38" s="13">
        <v>2.33</v>
      </c>
      <c r="K38" s="13">
        <v>49.959000000000003</v>
      </c>
      <c r="L38" s="8">
        <f t="shared" si="1"/>
        <v>20385471196140.32</v>
      </c>
      <c r="M38" s="8">
        <f t="shared" si="2"/>
        <v>857381923056.38123</v>
      </c>
    </row>
    <row r="39" spans="1:13" ht="15.75" customHeight="1" x14ac:dyDescent="0.2">
      <c r="A39" s="6" t="s">
        <v>53</v>
      </c>
      <c r="B39" s="6">
        <v>92.23</v>
      </c>
      <c r="C39" s="6">
        <v>4.1070000000000002</v>
      </c>
      <c r="D39" s="6">
        <v>0</v>
      </c>
      <c r="E39" s="6">
        <v>2.12</v>
      </c>
      <c r="F39" s="6">
        <v>0</v>
      </c>
      <c r="G39" s="6">
        <v>2.12</v>
      </c>
      <c r="H39" s="6">
        <v>0.17699999999999999</v>
      </c>
      <c r="I39" s="6">
        <v>28</v>
      </c>
      <c r="L39" s="8">
        <f t="shared" si="1"/>
        <v>21165183537263.621</v>
      </c>
      <c r="M39" s="8">
        <f t="shared" si="2"/>
        <v>0</v>
      </c>
    </row>
    <row r="40" spans="1:13" ht="15.75" customHeight="1" x14ac:dyDescent="0.2">
      <c r="A40" s="6" t="s">
        <v>54</v>
      </c>
      <c r="B40" s="6">
        <v>4.67</v>
      </c>
      <c r="C40" s="6">
        <v>4.7</v>
      </c>
      <c r="D40" s="6">
        <v>0.09</v>
      </c>
      <c r="E40" s="6">
        <v>2.78</v>
      </c>
      <c r="F40" s="6">
        <v>1E-3</v>
      </c>
      <c r="G40" s="6">
        <v>2.78</v>
      </c>
      <c r="H40" s="6">
        <v>0.10100000000000001</v>
      </c>
      <c r="I40" s="6">
        <v>29</v>
      </c>
      <c r="L40" s="8">
        <f t="shared" si="1"/>
        <v>11660849219439.223</v>
      </c>
      <c r="M40" s="8">
        <f t="shared" si="2"/>
        <v>207586206896.5517</v>
      </c>
    </row>
    <row r="41" spans="1:13" ht="15.75" customHeight="1" x14ac:dyDescent="0.2">
      <c r="A41" s="6" t="s">
        <v>55</v>
      </c>
      <c r="B41" s="6">
        <v>3.1</v>
      </c>
      <c r="C41" s="6">
        <v>4.58</v>
      </c>
      <c r="D41" s="6">
        <v>0</v>
      </c>
      <c r="E41" s="6">
        <v>2.64</v>
      </c>
      <c r="F41" s="6">
        <v>0</v>
      </c>
      <c r="G41" s="6">
        <v>2.64</v>
      </c>
      <c r="H41" s="6">
        <v>0.107</v>
      </c>
      <c r="I41" s="6">
        <v>30</v>
      </c>
      <c r="L41" s="8">
        <f t="shared" si="1"/>
        <v>11941787170930.662</v>
      </c>
      <c r="M41" s="8">
        <f t="shared" si="2"/>
        <v>0</v>
      </c>
    </row>
    <row r="42" spans="1:13" ht="15.75" customHeight="1" x14ac:dyDescent="0.2">
      <c r="A42" s="6" t="s">
        <v>56</v>
      </c>
      <c r="B42" s="6">
        <v>100</v>
      </c>
      <c r="C42" s="6">
        <v>5.13</v>
      </c>
      <c r="D42" s="6">
        <v>0.2</v>
      </c>
      <c r="E42" s="6">
        <v>3.3069999999999999</v>
      </c>
      <c r="F42" s="6">
        <v>5.0000000000000001E-3</v>
      </c>
      <c r="G42" s="6">
        <v>3.3119999999999998</v>
      </c>
      <c r="H42" s="6">
        <v>0.17199999999999999</v>
      </c>
      <c r="I42" s="6">
        <v>30.973800000000001</v>
      </c>
      <c r="J42" s="13">
        <v>2.2999999999999998</v>
      </c>
      <c r="K42" s="13">
        <v>44.716999999999999</v>
      </c>
      <c r="L42" s="8">
        <f t="shared" si="1"/>
        <v>18592627185123</v>
      </c>
      <c r="M42" s="8">
        <f t="shared" si="2"/>
        <v>971789060431.7196</v>
      </c>
    </row>
    <row r="43" spans="1:13" ht="15.75" customHeight="1" x14ac:dyDescent="0.2">
      <c r="A43" s="6" t="s">
        <v>57</v>
      </c>
      <c r="B43" s="6" t="s">
        <v>13</v>
      </c>
      <c r="C43" s="6">
        <v>2.847</v>
      </c>
      <c r="D43" s="6" t="s">
        <v>13</v>
      </c>
      <c r="E43" s="6">
        <v>1.0185999999999999</v>
      </c>
      <c r="F43" s="6">
        <v>7.0000000000000001E-3</v>
      </c>
      <c r="G43" s="6">
        <v>1.026</v>
      </c>
      <c r="H43" s="6">
        <v>0.53</v>
      </c>
      <c r="I43" s="6">
        <v>32.06</v>
      </c>
      <c r="J43" s="13">
        <v>2.0699999999999998</v>
      </c>
      <c r="K43" s="13">
        <v>38.881999999999998</v>
      </c>
      <c r="L43" s="8">
        <f t="shared" si="1"/>
        <v>55350195025039.938</v>
      </c>
      <c r="M43" s="8">
        <f t="shared" si="2"/>
        <v>1314410480349.345</v>
      </c>
    </row>
    <row r="44" spans="1:13" ht="15.75" customHeight="1" x14ac:dyDescent="0.2">
      <c r="A44" s="6" t="s">
        <v>58</v>
      </c>
      <c r="B44" s="6">
        <v>95.02</v>
      </c>
      <c r="C44" s="6">
        <v>2.8039999999999998</v>
      </c>
      <c r="D44" s="6">
        <v>0</v>
      </c>
      <c r="E44" s="6">
        <v>0.98799999999999999</v>
      </c>
      <c r="F44" s="6">
        <v>0</v>
      </c>
      <c r="G44" s="6">
        <v>0.98799999999999999</v>
      </c>
      <c r="H44" s="6">
        <v>0.54</v>
      </c>
      <c r="I44" s="6">
        <v>32</v>
      </c>
      <c r="L44" s="8">
        <f t="shared" si="1"/>
        <v>56500278086763.063</v>
      </c>
      <c r="M44" s="8">
        <f t="shared" si="2"/>
        <v>0</v>
      </c>
    </row>
    <row r="45" spans="1:13" ht="15.75" customHeight="1" x14ac:dyDescent="0.2">
      <c r="A45" s="6" t="s">
        <v>59</v>
      </c>
      <c r="B45" s="6">
        <v>0.75</v>
      </c>
      <c r="C45" s="6">
        <v>4.74</v>
      </c>
      <c r="D45" s="6">
        <v>1.5</v>
      </c>
      <c r="E45" s="6">
        <v>2.8</v>
      </c>
      <c r="F45" s="6">
        <v>0.3</v>
      </c>
      <c r="G45" s="6">
        <v>3.1</v>
      </c>
      <c r="H45" s="6">
        <v>0.54</v>
      </c>
      <c r="I45" s="6">
        <v>33</v>
      </c>
      <c r="L45" s="8">
        <f t="shared" si="1"/>
        <v>54788148447770.242</v>
      </c>
      <c r="M45" s="8">
        <f t="shared" si="2"/>
        <v>54727272727272.711</v>
      </c>
    </row>
    <row r="46" spans="1:13" ht="15.75" customHeight="1" x14ac:dyDescent="0.2">
      <c r="A46" s="6" t="s">
        <v>60</v>
      </c>
      <c r="B46" s="6">
        <v>4.21</v>
      </c>
      <c r="C46" s="6">
        <v>3.48</v>
      </c>
      <c r="D46" s="6">
        <v>0</v>
      </c>
      <c r="E46" s="6">
        <v>1.52</v>
      </c>
      <c r="F46" s="6">
        <v>0</v>
      </c>
      <c r="G46" s="6">
        <v>1.52</v>
      </c>
      <c r="H46" s="6">
        <v>0.22700000000000001</v>
      </c>
      <c r="I46" s="6">
        <v>34</v>
      </c>
      <c r="L46" s="8">
        <f t="shared" si="1"/>
        <v>22353922659163.777</v>
      </c>
      <c r="M46" s="8">
        <f t="shared" si="2"/>
        <v>0</v>
      </c>
    </row>
    <row r="47" spans="1:13" ht="15.75" customHeight="1" x14ac:dyDescent="0.2">
      <c r="A47" s="6" t="s">
        <v>61</v>
      </c>
      <c r="B47" s="6">
        <v>0.02</v>
      </c>
      <c r="C47" s="6">
        <v>3</v>
      </c>
      <c r="D47" s="6">
        <v>0</v>
      </c>
      <c r="E47" s="6">
        <v>1.1000000000000001</v>
      </c>
      <c r="F47" s="6">
        <v>0</v>
      </c>
      <c r="G47" s="6">
        <v>1.1000000000000001</v>
      </c>
      <c r="H47" s="6">
        <v>0.15</v>
      </c>
      <c r="I47" s="6">
        <v>36</v>
      </c>
      <c r="L47" s="8">
        <f t="shared" si="1"/>
        <v>13950685947348.902</v>
      </c>
      <c r="M47" s="8">
        <f t="shared" si="2"/>
        <v>0</v>
      </c>
    </row>
    <row r="48" spans="1:13" ht="15.75" customHeight="1" x14ac:dyDescent="0.2">
      <c r="A48" s="6" t="s">
        <v>62</v>
      </c>
      <c r="B48" s="6" t="s">
        <v>13</v>
      </c>
      <c r="C48" s="6">
        <v>9.577</v>
      </c>
      <c r="D48" s="6" t="s">
        <v>13</v>
      </c>
      <c r="E48" s="6">
        <v>11.525700000000001</v>
      </c>
      <c r="F48" s="6">
        <v>5.3</v>
      </c>
      <c r="G48" s="6">
        <v>16.8</v>
      </c>
      <c r="H48" s="6">
        <v>33.5</v>
      </c>
      <c r="I48" s="6">
        <v>35.453000000000003</v>
      </c>
      <c r="J48" s="13">
        <v>3.1700000000000001E-3</v>
      </c>
      <c r="K48" s="13">
        <v>5.3844999999999997E-2</v>
      </c>
      <c r="L48" s="8">
        <f t="shared" si="1"/>
        <v>3163724226911267.5</v>
      </c>
      <c r="M48" s="8">
        <f t="shared" si="2"/>
        <v>899952049191887.5</v>
      </c>
    </row>
    <row r="49" spans="1:13" ht="15.75" customHeight="1" x14ac:dyDescent="0.2">
      <c r="A49" s="6" t="s">
        <v>63</v>
      </c>
      <c r="B49" s="6">
        <v>75.77</v>
      </c>
      <c r="C49" s="6">
        <v>11.65</v>
      </c>
      <c r="D49" s="6">
        <v>6.1</v>
      </c>
      <c r="E49" s="6">
        <v>17.059999999999999</v>
      </c>
      <c r="F49" s="6">
        <v>4.7</v>
      </c>
      <c r="G49" s="6">
        <v>21.8</v>
      </c>
      <c r="H49" s="6">
        <v>44.1</v>
      </c>
      <c r="I49" s="6">
        <v>35</v>
      </c>
      <c r="L49" s="8">
        <f t="shared" si="1"/>
        <v>4218687430478308.5</v>
      </c>
      <c r="M49" s="8">
        <f t="shared" si="2"/>
        <v>808400000000000</v>
      </c>
    </row>
    <row r="50" spans="1:13" ht="15.75" customHeight="1" x14ac:dyDescent="0.2">
      <c r="A50" s="6" t="s">
        <v>64</v>
      </c>
      <c r="B50" s="6">
        <v>24.23</v>
      </c>
      <c r="C50" s="6">
        <v>3.08</v>
      </c>
      <c r="D50" s="6">
        <v>0.1</v>
      </c>
      <c r="E50" s="6">
        <v>1.19</v>
      </c>
      <c r="F50" s="6">
        <v>1E-3</v>
      </c>
      <c r="G50" s="6">
        <v>1.19</v>
      </c>
      <c r="H50" s="6">
        <v>0.433</v>
      </c>
      <c r="I50" s="6">
        <v>37</v>
      </c>
      <c r="L50" s="8">
        <f t="shared" si="1"/>
        <v>39182575233743.188</v>
      </c>
      <c r="M50" s="8">
        <f t="shared" si="2"/>
        <v>162702702702.70267</v>
      </c>
    </row>
    <row r="51" spans="1:13" ht="15.75" customHeight="1" x14ac:dyDescent="0.2">
      <c r="A51" s="6" t="s">
        <v>65</v>
      </c>
      <c r="B51" s="6" t="s">
        <v>13</v>
      </c>
      <c r="C51" s="6">
        <v>1.909</v>
      </c>
      <c r="D51" s="6" t="s">
        <v>13</v>
      </c>
      <c r="E51" s="6">
        <v>0.45800000000000002</v>
      </c>
      <c r="F51" s="6">
        <v>0.22500000000000001</v>
      </c>
      <c r="G51" s="6">
        <v>0.68300000000000005</v>
      </c>
      <c r="H51" s="6">
        <v>0.67500000000000004</v>
      </c>
      <c r="I51" s="6">
        <v>39.948</v>
      </c>
      <c r="J51" s="13">
        <v>1.784E-3</v>
      </c>
      <c r="K51" s="13">
        <v>2.6893E-2</v>
      </c>
      <c r="L51" s="8">
        <f t="shared" si="1"/>
        <v>56573824058038.516</v>
      </c>
      <c r="M51" s="8">
        <f t="shared" si="2"/>
        <v>33906578552117.754</v>
      </c>
    </row>
    <row r="52" spans="1:13" ht="15.75" customHeight="1" x14ac:dyDescent="0.2">
      <c r="A52" s="6" t="s">
        <v>66</v>
      </c>
      <c r="B52" s="6">
        <v>0.33700000000000002</v>
      </c>
      <c r="C52" s="6">
        <v>24.9</v>
      </c>
      <c r="D52" s="6">
        <v>0</v>
      </c>
      <c r="E52" s="6">
        <v>77.900000000000006</v>
      </c>
      <c r="F52" s="6">
        <v>0</v>
      </c>
      <c r="G52" s="6">
        <v>77.900000000000006</v>
      </c>
      <c r="H52" s="6">
        <v>5.2</v>
      </c>
      <c r="I52" s="6">
        <v>36</v>
      </c>
      <c r="L52" s="8">
        <f t="shared" si="1"/>
        <v>483623779508095.31</v>
      </c>
      <c r="M52" s="8">
        <f t="shared" si="2"/>
        <v>0</v>
      </c>
    </row>
    <row r="53" spans="1:13" ht="15.75" customHeight="1" x14ac:dyDescent="0.2">
      <c r="A53" s="6" t="s">
        <v>67</v>
      </c>
      <c r="B53" s="6">
        <v>6.3E-2</v>
      </c>
      <c r="C53" s="6">
        <v>3.5</v>
      </c>
      <c r="D53" s="6">
        <v>0</v>
      </c>
      <c r="E53" s="6" t="s">
        <v>68</v>
      </c>
      <c r="F53" s="6">
        <v>0</v>
      </c>
      <c r="G53" s="6" t="s">
        <v>68</v>
      </c>
      <c r="H53" s="6">
        <v>0.8</v>
      </c>
      <c r="I53" s="6">
        <v>38</v>
      </c>
      <c r="L53" s="8">
        <f t="shared" si="1"/>
        <v>70487676365552.359</v>
      </c>
      <c r="M53" s="8">
        <f t="shared" si="2"/>
        <v>0</v>
      </c>
    </row>
    <row r="54" spans="1:13" ht="15.75" customHeight="1" x14ac:dyDescent="0.2">
      <c r="A54" s="6" t="s">
        <v>69</v>
      </c>
      <c r="B54" s="6">
        <v>99.6</v>
      </c>
      <c r="C54" s="6">
        <v>1.83</v>
      </c>
      <c r="D54" s="6">
        <v>0</v>
      </c>
      <c r="E54" s="6">
        <v>0.42099999999999999</v>
      </c>
      <c r="F54" s="6">
        <v>0</v>
      </c>
      <c r="G54" s="6">
        <v>0.42099999999999999</v>
      </c>
      <c r="H54" s="6">
        <v>0.66</v>
      </c>
      <c r="I54" s="6">
        <v>40</v>
      </c>
      <c r="L54" s="8">
        <f t="shared" si="1"/>
        <v>55244716351501.656</v>
      </c>
      <c r="M54" s="8">
        <f t="shared" si="2"/>
        <v>0</v>
      </c>
    </row>
    <row r="55" spans="1:13" ht="15.75" customHeight="1" x14ac:dyDescent="0.2">
      <c r="A55" s="6" t="s">
        <v>70</v>
      </c>
      <c r="B55" s="6" t="s">
        <v>13</v>
      </c>
      <c r="C55" s="6">
        <v>3.67</v>
      </c>
      <c r="D55" s="6" t="s">
        <v>13</v>
      </c>
      <c r="E55" s="6">
        <v>1.69</v>
      </c>
      <c r="F55" s="6">
        <v>0.27</v>
      </c>
      <c r="G55" s="6">
        <v>1.96</v>
      </c>
      <c r="H55" s="6">
        <v>2.1</v>
      </c>
      <c r="I55" s="6">
        <v>39.096299999999999</v>
      </c>
      <c r="J55" s="13">
        <v>0.86</v>
      </c>
      <c r="K55" s="13">
        <v>13.246</v>
      </c>
      <c r="L55" s="8">
        <f t="shared" si="1"/>
        <v>179841716926252.56</v>
      </c>
      <c r="M55" s="8">
        <f t="shared" si="2"/>
        <v>41574266618580.273</v>
      </c>
    </row>
    <row r="56" spans="1:13" ht="15.75" customHeight="1" x14ac:dyDescent="0.2">
      <c r="A56" s="6" t="s">
        <v>71</v>
      </c>
      <c r="B56" s="6">
        <v>93.257999999999996</v>
      </c>
      <c r="C56" s="6">
        <v>3.74</v>
      </c>
      <c r="D56" s="6">
        <v>1.4</v>
      </c>
      <c r="E56" s="6">
        <v>1.76</v>
      </c>
      <c r="F56" s="6">
        <v>0.25</v>
      </c>
      <c r="G56" s="6">
        <v>2.0099999999999998</v>
      </c>
      <c r="H56" s="6">
        <v>2.1</v>
      </c>
      <c r="I56" s="6">
        <v>39</v>
      </c>
      <c r="L56" s="8">
        <f t="shared" si="1"/>
        <v>180285787627278.16</v>
      </c>
      <c r="M56" s="8">
        <f t="shared" si="2"/>
        <v>38589743589743.586</v>
      </c>
    </row>
    <row r="57" spans="1:13" ht="15.75" customHeight="1" x14ac:dyDescent="0.2">
      <c r="A57" s="6" t="s">
        <v>72</v>
      </c>
      <c r="B57" s="6">
        <v>1.2E-2</v>
      </c>
      <c r="C57" s="6">
        <v>3</v>
      </c>
      <c r="D57" s="6" t="s">
        <v>13</v>
      </c>
      <c r="E57" s="6">
        <v>1.1000000000000001</v>
      </c>
      <c r="F57" s="6">
        <v>0.5</v>
      </c>
      <c r="G57" s="6">
        <v>1.6</v>
      </c>
      <c r="H57" s="6">
        <v>35</v>
      </c>
      <c r="I57" s="6">
        <v>40</v>
      </c>
      <c r="L57" s="8">
        <f t="shared" si="1"/>
        <v>2929644048943269</v>
      </c>
      <c r="M57" s="8">
        <f t="shared" si="2"/>
        <v>75249999999999.984</v>
      </c>
    </row>
    <row r="58" spans="1:13" ht="15.75" customHeight="1" x14ac:dyDescent="0.2">
      <c r="A58" s="6" t="s">
        <v>73</v>
      </c>
      <c r="B58" s="6">
        <v>6.73</v>
      </c>
      <c r="C58" s="6">
        <v>2.69</v>
      </c>
      <c r="D58" s="6">
        <v>1.5</v>
      </c>
      <c r="E58" s="6">
        <v>0.91</v>
      </c>
      <c r="F58" s="6">
        <v>0.3</v>
      </c>
      <c r="G58" s="6">
        <v>1.2</v>
      </c>
      <c r="H58" s="6">
        <v>1.46</v>
      </c>
      <c r="I58" s="6">
        <v>41</v>
      </c>
      <c r="L58" s="8">
        <f t="shared" si="1"/>
        <v>119227325754903.81</v>
      </c>
      <c r="M58" s="8">
        <f t="shared" si="2"/>
        <v>44048780487804.867</v>
      </c>
    </row>
    <row r="59" spans="1:13" ht="15.75" customHeight="1" x14ac:dyDescent="0.2">
      <c r="A59" s="6" t="s">
        <v>74</v>
      </c>
      <c r="B59" s="6" t="s">
        <v>13</v>
      </c>
      <c r="C59" s="6">
        <v>4.7</v>
      </c>
      <c r="D59" s="6" t="s">
        <v>13</v>
      </c>
      <c r="E59" s="6">
        <v>2.78</v>
      </c>
      <c r="F59" s="6">
        <v>0.05</v>
      </c>
      <c r="G59" s="6">
        <v>2.83</v>
      </c>
      <c r="H59" s="6">
        <v>0.43</v>
      </c>
      <c r="I59" s="6">
        <v>40.08</v>
      </c>
      <c r="J59" s="13">
        <v>1.54</v>
      </c>
      <c r="K59" s="13">
        <v>23.138000000000002</v>
      </c>
      <c r="L59" s="8">
        <f t="shared" si="1"/>
        <v>35920927888383.406</v>
      </c>
      <c r="M59" s="8">
        <f t="shared" si="2"/>
        <v>7509980039920.1602</v>
      </c>
    </row>
    <row r="60" spans="1:13" ht="15.75" customHeight="1" x14ac:dyDescent="0.2">
      <c r="A60" s="6" t="s">
        <v>75</v>
      </c>
      <c r="B60" s="6">
        <v>96.941000000000003</v>
      </c>
      <c r="C60" s="6">
        <v>4.8</v>
      </c>
      <c r="D60" s="6">
        <v>0</v>
      </c>
      <c r="E60" s="6">
        <v>2.9</v>
      </c>
      <c r="F60" s="6">
        <v>0</v>
      </c>
      <c r="G60" s="6">
        <v>2.9</v>
      </c>
      <c r="H60" s="6">
        <v>0.41</v>
      </c>
      <c r="I60" s="6">
        <v>40</v>
      </c>
      <c r="L60" s="8">
        <f t="shared" si="1"/>
        <v>34318687430478.301</v>
      </c>
      <c r="M60" s="8">
        <f t="shared" si="2"/>
        <v>0</v>
      </c>
    </row>
    <row r="61" spans="1:13" ht="15.75" customHeight="1" x14ac:dyDescent="0.2">
      <c r="A61" s="6" t="s">
        <v>76</v>
      </c>
      <c r="B61" s="6">
        <v>0.64700000000000002</v>
      </c>
      <c r="C61" s="6">
        <v>3.36</v>
      </c>
      <c r="D61" s="6">
        <v>0</v>
      </c>
      <c r="E61" s="6">
        <v>1.42</v>
      </c>
      <c r="F61" s="6">
        <v>0</v>
      </c>
      <c r="G61" s="6">
        <v>1.42</v>
      </c>
      <c r="H61" s="6">
        <v>0.68</v>
      </c>
      <c r="I61" s="6">
        <v>42</v>
      </c>
      <c r="L61" s="8">
        <f t="shared" si="1"/>
        <v>54208379681127.18</v>
      </c>
      <c r="M61" s="8">
        <f t="shared" si="2"/>
        <v>0</v>
      </c>
    </row>
    <row r="62" spans="1:13" ht="15.75" customHeight="1" x14ac:dyDescent="0.2">
      <c r="A62" s="6" t="s">
        <v>77</v>
      </c>
      <c r="B62" s="6">
        <v>0.13500000000000001</v>
      </c>
      <c r="C62" s="6">
        <v>-1.56</v>
      </c>
      <c r="D62" s="6" t="s">
        <v>13</v>
      </c>
      <c r="E62" s="6">
        <v>0.31</v>
      </c>
      <c r="F62" s="6">
        <v>0.5</v>
      </c>
      <c r="G62" s="6">
        <v>0.8</v>
      </c>
      <c r="H62" s="6">
        <v>6.2</v>
      </c>
      <c r="I62" s="6">
        <v>43</v>
      </c>
      <c r="L62" s="8">
        <f t="shared" si="1"/>
        <v>482758620689655.06</v>
      </c>
      <c r="M62" s="8">
        <f t="shared" si="2"/>
        <v>69999999999999.992</v>
      </c>
    </row>
    <row r="63" spans="1:13" ht="15.75" customHeight="1" x14ac:dyDescent="0.2">
      <c r="A63" s="6" t="s">
        <v>78</v>
      </c>
      <c r="B63" s="6">
        <v>2.0859999999999999</v>
      </c>
      <c r="C63" s="6">
        <v>1.42</v>
      </c>
      <c r="D63" s="6">
        <v>0</v>
      </c>
      <c r="E63" s="6">
        <v>0.25</v>
      </c>
      <c r="F63" s="6">
        <v>0</v>
      </c>
      <c r="G63" s="6">
        <v>0.25</v>
      </c>
      <c r="H63" s="6">
        <v>0.88</v>
      </c>
      <c r="I63" s="6">
        <v>44</v>
      </c>
      <c r="L63" s="8">
        <f t="shared" si="1"/>
        <v>66963292547274.75</v>
      </c>
      <c r="M63" s="8">
        <f t="shared" si="2"/>
        <v>0</v>
      </c>
    </row>
    <row r="64" spans="1:13" ht="15.75" customHeight="1" x14ac:dyDescent="0.2">
      <c r="A64" s="6" t="s">
        <v>79</v>
      </c>
      <c r="B64" s="6">
        <v>4.0000000000000001E-3</v>
      </c>
      <c r="C64" s="6">
        <v>3.6</v>
      </c>
      <c r="D64" s="6">
        <v>0</v>
      </c>
      <c r="E64" s="6">
        <v>1.6</v>
      </c>
      <c r="F64" s="6">
        <v>0</v>
      </c>
      <c r="G64" s="6">
        <v>1.6</v>
      </c>
      <c r="H64" s="6">
        <v>0.74</v>
      </c>
      <c r="I64" s="6">
        <v>46</v>
      </c>
      <c r="L64" s="8">
        <f t="shared" si="1"/>
        <v>53861778788025.328</v>
      </c>
      <c r="M64" s="8">
        <f t="shared" si="2"/>
        <v>0</v>
      </c>
    </row>
    <row r="65" spans="1:13" ht="15.75" customHeight="1" x14ac:dyDescent="0.2">
      <c r="A65" s="6" t="s">
        <v>80</v>
      </c>
      <c r="B65" s="6">
        <v>0.187</v>
      </c>
      <c r="C65" s="6">
        <v>0.39</v>
      </c>
      <c r="D65" s="6">
        <v>0</v>
      </c>
      <c r="E65" s="6">
        <v>1.9E-2</v>
      </c>
      <c r="F65" s="6">
        <v>0</v>
      </c>
      <c r="G65" s="6">
        <v>1.9E-2</v>
      </c>
      <c r="H65" s="6">
        <v>1.0900000000000001</v>
      </c>
      <c r="I65" s="6">
        <v>48</v>
      </c>
      <c r="L65" s="8">
        <f t="shared" si="1"/>
        <v>76031238413051.547</v>
      </c>
      <c r="M65" s="8">
        <f t="shared" si="2"/>
        <v>0</v>
      </c>
    </row>
    <row r="66" spans="1:13" ht="15.75" customHeight="1" x14ac:dyDescent="0.2">
      <c r="A66" s="6" t="s">
        <v>81</v>
      </c>
      <c r="B66" s="6">
        <v>100</v>
      </c>
      <c r="C66" s="6">
        <v>12.29</v>
      </c>
      <c r="D66" s="6">
        <v>-6</v>
      </c>
      <c r="E66" s="6">
        <v>19</v>
      </c>
      <c r="F66" s="6">
        <v>4.5</v>
      </c>
      <c r="G66" s="6">
        <v>23.5</v>
      </c>
      <c r="H66" s="6">
        <v>27.5</v>
      </c>
      <c r="I66" s="6">
        <v>44.9559</v>
      </c>
      <c r="J66" s="13">
        <v>2.9889999999999999</v>
      </c>
      <c r="K66" s="13">
        <v>40.039000000000001</v>
      </c>
      <c r="L66" s="8">
        <f t="shared" si="1"/>
        <v>2048107751207355.8</v>
      </c>
      <c r="M66" s="8">
        <f t="shared" si="2"/>
        <v>602590538727953.25</v>
      </c>
    </row>
    <row r="67" spans="1:13" ht="15.75" customHeight="1" x14ac:dyDescent="0.2">
      <c r="A67" s="6" t="s">
        <v>82</v>
      </c>
      <c r="B67" s="6" t="s">
        <v>13</v>
      </c>
      <c r="C67" s="6">
        <v>-3.4380000000000002</v>
      </c>
      <c r="D67" s="6" t="s">
        <v>13</v>
      </c>
      <c r="E67" s="6">
        <v>1.4850000000000001</v>
      </c>
      <c r="F67" s="6">
        <v>2.87</v>
      </c>
      <c r="G67" s="6">
        <v>4.3499999999999996</v>
      </c>
      <c r="H67" s="6">
        <v>6.09</v>
      </c>
      <c r="I67" s="6">
        <v>47.9</v>
      </c>
      <c r="J67" s="13">
        <v>4.5</v>
      </c>
      <c r="K67" s="13">
        <v>56.573999999999998</v>
      </c>
      <c r="L67" s="8">
        <f t="shared" si="1"/>
        <v>425685231328708.88</v>
      </c>
      <c r="M67" s="8">
        <f t="shared" si="2"/>
        <v>360697286012526.13</v>
      </c>
    </row>
    <row r="68" spans="1:13" ht="15.75" customHeight="1" x14ac:dyDescent="0.2">
      <c r="A68" s="6" t="s">
        <v>83</v>
      </c>
      <c r="B68" s="6">
        <v>8.1999999999999993</v>
      </c>
      <c r="C68" s="6">
        <v>4.93</v>
      </c>
      <c r="D68" s="6">
        <v>0</v>
      </c>
      <c r="E68" s="6">
        <v>3.05</v>
      </c>
      <c r="F68" s="6">
        <v>0</v>
      </c>
      <c r="G68" s="6">
        <v>3.05</v>
      </c>
      <c r="H68" s="6">
        <v>0.59</v>
      </c>
      <c r="I68" s="6">
        <v>46</v>
      </c>
      <c r="L68" s="8">
        <f t="shared" ref="L68:L131" si="3">(H68*10^-8/1.798)*6.02*10^23/I68</f>
        <v>42943850655317.492</v>
      </c>
      <c r="M68" s="8">
        <f t="shared" si="2"/>
        <v>0</v>
      </c>
    </row>
    <row r="69" spans="1:13" ht="15.75" customHeight="1" x14ac:dyDescent="0.2">
      <c r="A69" s="6" t="s">
        <v>84</v>
      </c>
      <c r="B69" s="6">
        <v>7.4</v>
      </c>
      <c r="C69" s="6">
        <v>3.63</v>
      </c>
      <c r="D69" s="6">
        <v>-3.5</v>
      </c>
      <c r="E69" s="6">
        <v>1.66</v>
      </c>
      <c r="F69" s="6">
        <v>1.5</v>
      </c>
      <c r="G69" s="6">
        <v>3.2</v>
      </c>
      <c r="H69" s="6">
        <v>1.7</v>
      </c>
      <c r="I69" s="6">
        <v>47</v>
      </c>
      <c r="L69" s="8">
        <f t="shared" si="3"/>
        <v>121103826947199</v>
      </c>
      <c r="M69" s="8">
        <f t="shared" si="2"/>
        <v>192127659574468.09</v>
      </c>
    </row>
    <row r="70" spans="1:13" ht="15.75" customHeight="1" x14ac:dyDescent="0.2">
      <c r="A70" s="6" t="s">
        <v>85</v>
      </c>
      <c r="B70" s="6">
        <v>73.8</v>
      </c>
      <c r="C70" s="6">
        <v>-6.08</v>
      </c>
      <c r="D70" s="6">
        <v>0</v>
      </c>
      <c r="E70" s="6">
        <v>4.6500000000000004</v>
      </c>
      <c r="F70" s="6">
        <v>0</v>
      </c>
      <c r="G70" s="6">
        <v>4.6500000000000004</v>
      </c>
      <c r="H70" s="6">
        <v>7.84</v>
      </c>
      <c r="I70" s="6">
        <v>48</v>
      </c>
      <c r="L70" s="8">
        <f t="shared" si="3"/>
        <v>546866889136077</v>
      </c>
      <c r="M70" s="8">
        <f t="shared" si="2"/>
        <v>0</v>
      </c>
    </row>
    <row r="71" spans="1:13" ht="15.75" customHeight="1" x14ac:dyDescent="0.2">
      <c r="A71" s="6" t="s">
        <v>86</v>
      </c>
      <c r="B71" s="6">
        <v>5.4</v>
      </c>
      <c r="C71" s="6">
        <v>1.04</v>
      </c>
      <c r="D71" s="6">
        <v>5.0999999999999996</v>
      </c>
      <c r="E71" s="6">
        <v>0.14000000000000001</v>
      </c>
      <c r="F71" s="6">
        <v>3.3</v>
      </c>
      <c r="G71" s="6">
        <v>3.4</v>
      </c>
      <c r="H71" s="6">
        <v>2.2000000000000002</v>
      </c>
      <c r="I71" s="6">
        <v>49</v>
      </c>
      <c r="L71" s="8">
        <f t="shared" si="3"/>
        <v>150325758779596.38</v>
      </c>
      <c r="M71" s="8">
        <f t="shared" si="2"/>
        <v>405428571428571.38</v>
      </c>
    </row>
    <row r="72" spans="1:13" ht="15.75" customHeight="1" x14ac:dyDescent="0.2">
      <c r="A72" s="6" t="s">
        <v>87</v>
      </c>
      <c r="B72" s="6">
        <v>5.2</v>
      </c>
      <c r="C72" s="6">
        <v>6.18</v>
      </c>
      <c r="D72" s="6">
        <v>0</v>
      </c>
      <c r="E72" s="6">
        <v>4.8</v>
      </c>
      <c r="F72" s="6">
        <v>0</v>
      </c>
      <c r="G72" s="6">
        <v>4.8</v>
      </c>
      <c r="H72" s="6">
        <v>0.17899999999999999</v>
      </c>
      <c r="I72" s="6">
        <v>50</v>
      </c>
      <c r="L72" s="8">
        <f t="shared" si="3"/>
        <v>11986429365962.178</v>
      </c>
      <c r="M72" s="8">
        <f t="shared" si="2"/>
        <v>0</v>
      </c>
    </row>
    <row r="73" spans="1:13" ht="15.75" customHeight="1" x14ac:dyDescent="0.2">
      <c r="A73" s="6" t="s">
        <v>88</v>
      </c>
      <c r="B73" s="6" t="s">
        <v>13</v>
      </c>
      <c r="C73" s="6">
        <v>-0.38240000000000002</v>
      </c>
      <c r="D73" s="6" t="s">
        <v>13</v>
      </c>
      <c r="E73" s="6">
        <v>1.84E-2</v>
      </c>
      <c r="F73" s="6">
        <v>5.08</v>
      </c>
      <c r="G73" s="6">
        <v>5.0999999999999996</v>
      </c>
      <c r="H73" s="6">
        <v>5.08</v>
      </c>
      <c r="I73" s="6">
        <v>50.941499999999998</v>
      </c>
      <c r="J73" s="13">
        <v>5.96</v>
      </c>
      <c r="K73" s="13">
        <v>70.456000000000003</v>
      </c>
      <c r="L73" s="8">
        <f t="shared" si="3"/>
        <v>333886444392249.63</v>
      </c>
      <c r="M73" s="8">
        <f t="shared" si="2"/>
        <v>600327827017264.88</v>
      </c>
    </row>
    <row r="74" spans="1:13" ht="15.75" customHeight="1" x14ac:dyDescent="0.2">
      <c r="A74" s="6" t="s">
        <v>89</v>
      </c>
      <c r="B74" s="6">
        <v>0.25</v>
      </c>
      <c r="C74" s="6">
        <v>7.6</v>
      </c>
      <c r="D74" s="6" t="s">
        <v>13</v>
      </c>
      <c r="E74" s="6" t="s">
        <v>90</v>
      </c>
      <c r="F74" s="6">
        <v>0.5</v>
      </c>
      <c r="G74" s="6" t="s">
        <v>91</v>
      </c>
      <c r="H74" s="6">
        <v>60</v>
      </c>
      <c r="I74" s="6">
        <v>50</v>
      </c>
      <c r="L74" s="8">
        <f t="shared" si="3"/>
        <v>4017797552836484</v>
      </c>
      <c r="M74" s="8">
        <f t="shared" si="2"/>
        <v>60199999999999.992</v>
      </c>
    </row>
    <row r="75" spans="1:13" ht="15.75" customHeight="1" x14ac:dyDescent="0.2">
      <c r="A75" s="6" t="s">
        <v>92</v>
      </c>
      <c r="B75" s="6">
        <v>99.75</v>
      </c>
      <c r="C75" s="6">
        <v>-0.40200000000000002</v>
      </c>
      <c r="D75" s="6">
        <v>6.35</v>
      </c>
      <c r="E75" s="6">
        <v>2.0299999999999999E-2</v>
      </c>
      <c r="F75" s="6">
        <v>5.07</v>
      </c>
      <c r="G75" s="6">
        <v>5.09</v>
      </c>
      <c r="H75" s="6">
        <v>4.9000000000000004</v>
      </c>
      <c r="I75" s="6">
        <v>51</v>
      </c>
      <c r="L75" s="8">
        <f t="shared" si="3"/>
        <v>321686405374162.94</v>
      </c>
      <c r="M75" s="8">
        <f t="shared" si="2"/>
        <v>598458823529411.75</v>
      </c>
    </row>
    <row r="76" spans="1:13" ht="15.75" customHeight="1" x14ac:dyDescent="0.2">
      <c r="A76" s="6" t="s">
        <v>93</v>
      </c>
      <c r="B76" s="6" t="s">
        <v>13</v>
      </c>
      <c r="C76" s="6">
        <v>3.6349999999999998</v>
      </c>
      <c r="D76" s="6" t="s">
        <v>13</v>
      </c>
      <c r="E76" s="6">
        <v>1.66</v>
      </c>
      <c r="F76" s="6">
        <v>1.83</v>
      </c>
      <c r="G76" s="6">
        <v>3.49</v>
      </c>
      <c r="H76" s="6">
        <v>3.05</v>
      </c>
      <c r="I76" s="6">
        <v>51.996000000000002</v>
      </c>
      <c r="J76" s="13">
        <v>7.2</v>
      </c>
      <c r="K76" s="13">
        <v>83.388000000000005</v>
      </c>
      <c r="L76" s="8">
        <f t="shared" si="3"/>
        <v>196397840477332.81</v>
      </c>
      <c r="M76" s="8">
        <f t="shared" si="2"/>
        <v>211873990306946.69</v>
      </c>
    </row>
    <row r="77" spans="1:13" ht="15.75" customHeight="1" x14ac:dyDescent="0.2">
      <c r="A77" s="6" t="s">
        <v>94</v>
      </c>
      <c r="B77" s="6">
        <v>4.3499999999999996</v>
      </c>
      <c r="C77" s="6">
        <v>-4.5</v>
      </c>
      <c r="D77" s="6">
        <v>0</v>
      </c>
      <c r="E77" s="6">
        <v>2.54</v>
      </c>
      <c r="F77" s="6">
        <v>0</v>
      </c>
      <c r="G77" s="6">
        <v>2.54</v>
      </c>
      <c r="H77" s="6">
        <v>15.8</v>
      </c>
      <c r="I77" s="6">
        <v>50</v>
      </c>
      <c r="L77" s="8">
        <f t="shared" si="3"/>
        <v>1058020022246941</v>
      </c>
      <c r="M77" s="8">
        <f t="shared" si="2"/>
        <v>0</v>
      </c>
    </row>
    <row r="78" spans="1:13" ht="15.75" customHeight="1" x14ac:dyDescent="0.2">
      <c r="A78" s="6" t="s">
        <v>95</v>
      </c>
      <c r="B78" s="6">
        <v>83.79</v>
      </c>
      <c r="C78" s="6">
        <v>4.92</v>
      </c>
      <c r="D78" s="6">
        <v>0</v>
      </c>
      <c r="E78" s="6">
        <v>3.0419999999999998</v>
      </c>
      <c r="F78" s="6">
        <v>0</v>
      </c>
      <c r="G78" s="6">
        <v>3.0419999999999998</v>
      </c>
      <c r="H78" s="6">
        <v>0.76</v>
      </c>
      <c r="I78" s="6">
        <v>52</v>
      </c>
      <c r="L78" s="8">
        <f t="shared" si="3"/>
        <v>48934713784546.93</v>
      </c>
      <c r="M78" s="8">
        <f t="shared" ref="M78:M141" si="4">F78*10^-8*6.02*10^23/I78</f>
        <v>0</v>
      </c>
    </row>
    <row r="79" spans="1:13" ht="15.75" customHeight="1" x14ac:dyDescent="0.2">
      <c r="A79" s="6" t="s">
        <v>96</v>
      </c>
      <c r="B79" s="6">
        <v>9.5</v>
      </c>
      <c r="C79" s="6">
        <v>-4.2</v>
      </c>
      <c r="D79" s="6">
        <v>6.87</v>
      </c>
      <c r="E79" s="6">
        <v>2.2200000000000002</v>
      </c>
      <c r="F79" s="6">
        <v>5.93</v>
      </c>
      <c r="G79" s="6">
        <v>8.15</v>
      </c>
      <c r="H79" s="6">
        <v>18.100000000000001</v>
      </c>
      <c r="I79" s="6">
        <v>53</v>
      </c>
      <c r="L79" s="8">
        <f t="shared" si="3"/>
        <v>1143429806703465</v>
      </c>
      <c r="M79" s="8">
        <f t="shared" si="4"/>
        <v>673558490566037.63</v>
      </c>
    </row>
    <row r="80" spans="1:13" ht="15.75" customHeight="1" x14ac:dyDescent="0.2">
      <c r="A80" s="6" t="s">
        <v>97</v>
      </c>
      <c r="B80" s="6">
        <v>2.36</v>
      </c>
      <c r="C80" s="6">
        <v>4.55</v>
      </c>
      <c r="D80" s="6">
        <v>0</v>
      </c>
      <c r="E80" s="6">
        <v>2.6</v>
      </c>
      <c r="F80" s="6">
        <v>0</v>
      </c>
      <c r="G80" s="6">
        <v>2.6</v>
      </c>
      <c r="H80" s="6">
        <v>0.36</v>
      </c>
      <c r="I80" s="6">
        <v>54</v>
      </c>
      <c r="L80" s="8">
        <f t="shared" si="3"/>
        <v>22321097515758.246</v>
      </c>
      <c r="M80" s="8">
        <f t="shared" si="4"/>
        <v>0</v>
      </c>
    </row>
    <row r="81" spans="1:13" ht="15.75" customHeight="1" x14ac:dyDescent="0.2">
      <c r="A81" s="6" t="s">
        <v>98</v>
      </c>
      <c r="B81" s="6">
        <v>100</v>
      </c>
      <c r="C81" s="6">
        <v>-3.73</v>
      </c>
      <c r="D81" s="6">
        <v>1.79</v>
      </c>
      <c r="E81" s="6">
        <v>1.75</v>
      </c>
      <c r="F81" s="6">
        <v>0.4</v>
      </c>
      <c r="G81" s="6">
        <v>2.15</v>
      </c>
      <c r="H81" s="6">
        <v>13.3</v>
      </c>
      <c r="I81" s="6">
        <v>54.938000000000002</v>
      </c>
      <c r="J81" s="13">
        <v>7.2</v>
      </c>
      <c r="K81" s="13">
        <v>78.921999999999997</v>
      </c>
      <c r="L81" s="8">
        <f t="shared" si="3"/>
        <v>810560805707119</v>
      </c>
      <c r="M81" s="8">
        <f t="shared" si="4"/>
        <v>43831227929666.164</v>
      </c>
    </row>
    <row r="82" spans="1:13" ht="15.75" customHeight="1" x14ac:dyDescent="0.2">
      <c r="A82" s="6" t="s">
        <v>99</v>
      </c>
      <c r="B82" s="6" t="s">
        <v>13</v>
      </c>
      <c r="C82" s="6">
        <v>9.4499999999999993</v>
      </c>
      <c r="D82" s="6" t="s">
        <v>13</v>
      </c>
      <c r="E82" s="6">
        <v>11.22</v>
      </c>
      <c r="F82" s="6">
        <v>0.4</v>
      </c>
      <c r="G82" s="6">
        <v>11.62</v>
      </c>
      <c r="H82" s="6">
        <v>2.56</v>
      </c>
      <c r="I82" s="6">
        <v>55.847000000000001</v>
      </c>
      <c r="J82" s="13">
        <v>7.86</v>
      </c>
      <c r="K82" s="13">
        <v>84.754999999999995</v>
      </c>
      <c r="L82" s="8">
        <f t="shared" si="3"/>
        <v>153478278977405.53</v>
      </c>
      <c r="M82" s="8">
        <f t="shared" si="4"/>
        <v>43117804000214.875</v>
      </c>
    </row>
    <row r="83" spans="1:13" ht="15.75" customHeight="1" x14ac:dyDescent="0.2">
      <c r="A83" s="6" t="s">
        <v>100</v>
      </c>
      <c r="B83" s="6">
        <v>5.8</v>
      </c>
      <c r="C83" s="6">
        <v>4.2</v>
      </c>
      <c r="D83" s="6">
        <v>0</v>
      </c>
      <c r="E83" s="6">
        <v>2.2000000000000002</v>
      </c>
      <c r="F83" s="6">
        <v>0</v>
      </c>
      <c r="G83" s="6">
        <v>2.2000000000000002</v>
      </c>
      <c r="H83" s="6">
        <v>2.25</v>
      </c>
      <c r="I83" s="6">
        <v>54</v>
      </c>
      <c r="L83" s="8">
        <f t="shared" si="3"/>
        <v>139506859473489.03</v>
      </c>
      <c r="M83" s="8">
        <f t="shared" si="4"/>
        <v>0</v>
      </c>
    </row>
    <row r="84" spans="1:13" ht="15.75" customHeight="1" x14ac:dyDescent="0.2">
      <c r="A84" s="6" t="s">
        <v>101</v>
      </c>
      <c r="B84" s="6">
        <v>91.7</v>
      </c>
      <c r="C84" s="6">
        <v>9.94</v>
      </c>
      <c r="D84" s="6">
        <v>0</v>
      </c>
      <c r="E84" s="6">
        <v>12.42</v>
      </c>
      <c r="F84" s="6">
        <v>0</v>
      </c>
      <c r="G84" s="6">
        <v>12.42</v>
      </c>
      <c r="H84" s="6">
        <v>2.59</v>
      </c>
      <c r="I84" s="6">
        <v>56</v>
      </c>
      <c r="L84" s="8">
        <f t="shared" si="3"/>
        <v>154852614015572.84</v>
      </c>
      <c r="M84" s="8">
        <f t="shared" si="4"/>
        <v>0</v>
      </c>
    </row>
    <row r="85" spans="1:13" ht="15.75" customHeight="1" x14ac:dyDescent="0.2">
      <c r="A85" s="6" t="s">
        <v>102</v>
      </c>
      <c r="B85" s="6">
        <v>2.2000000000000002</v>
      </c>
      <c r="C85" s="6">
        <v>2.2999999999999998</v>
      </c>
      <c r="D85" s="6" t="s">
        <v>13</v>
      </c>
      <c r="E85" s="6">
        <v>0.66</v>
      </c>
      <c r="F85" s="6">
        <v>0.3</v>
      </c>
      <c r="G85" s="6">
        <v>1</v>
      </c>
      <c r="H85" s="6">
        <v>2.48</v>
      </c>
      <c r="I85" s="6">
        <v>57</v>
      </c>
      <c r="L85" s="8">
        <f t="shared" si="3"/>
        <v>145674531155474.88</v>
      </c>
      <c r="M85" s="8">
        <f t="shared" si="4"/>
        <v>31684210526315.781</v>
      </c>
    </row>
    <row r="86" spans="1:13" ht="15.75" customHeight="1" x14ac:dyDescent="0.2">
      <c r="A86" s="6" t="s">
        <v>103</v>
      </c>
      <c r="B86" s="6">
        <v>0.3</v>
      </c>
      <c r="C86" s="6">
        <v>15</v>
      </c>
      <c r="D86" s="6">
        <v>0</v>
      </c>
      <c r="E86" s="6">
        <v>28</v>
      </c>
      <c r="F86" s="6">
        <v>0</v>
      </c>
      <c r="G86" s="6" t="s">
        <v>104</v>
      </c>
      <c r="H86" s="6">
        <v>1.28</v>
      </c>
      <c r="I86" s="6">
        <v>58</v>
      </c>
      <c r="L86" s="8">
        <f t="shared" si="3"/>
        <v>73890529707337.641</v>
      </c>
      <c r="M86" s="8">
        <f t="shared" si="4"/>
        <v>0</v>
      </c>
    </row>
    <row r="87" spans="1:13" ht="15.75" customHeight="1" x14ac:dyDescent="0.2">
      <c r="A87" s="6" t="s">
        <v>105</v>
      </c>
      <c r="B87" s="6">
        <v>100</v>
      </c>
      <c r="C87" s="6">
        <v>2.4900000000000002</v>
      </c>
      <c r="D87" s="6">
        <v>-6.2</v>
      </c>
      <c r="E87" s="6">
        <v>0.77900000000000003</v>
      </c>
      <c r="F87" s="6">
        <v>4.8</v>
      </c>
      <c r="G87" s="6">
        <v>5.6</v>
      </c>
      <c r="H87" s="6">
        <v>37.18</v>
      </c>
      <c r="I87" s="6">
        <v>58.933199999999999</v>
      </c>
      <c r="J87" s="13">
        <v>8.9</v>
      </c>
      <c r="K87" s="13">
        <v>90.942999999999998</v>
      </c>
      <c r="L87" s="8">
        <f t="shared" si="3"/>
        <v>2112302757111165.3</v>
      </c>
      <c r="M87" s="8">
        <f t="shared" si="4"/>
        <v>490317851397853.69</v>
      </c>
    </row>
    <row r="88" spans="1:13" ht="15.75" customHeight="1" x14ac:dyDescent="0.2">
      <c r="A88" s="6" t="s">
        <v>106</v>
      </c>
      <c r="B88" s="6" t="s">
        <v>13</v>
      </c>
      <c r="C88" s="6">
        <v>10.3</v>
      </c>
      <c r="D88" s="6" t="s">
        <v>13</v>
      </c>
      <c r="E88" s="6">
        <v>13.3</v>
      </c>
      <c r="F88" s="6">
        <v>5.2</v>
      </c>
      <c r="G88" s="6">
        <v>18.5</v>
      </c>
      <c r="H88" s="6">
        <v>4.49</v>
      </c>
      <c r="I88" s="6">
        <v>58.7</v>
      </c>
      <c r="J88" s="13">
        <v>8.9</v>
      </c>
      <c r="K88" s="13">
        <v>91.305000000000007</v>
      </c>
      <c r="L88" s="8">
        <f t="shared" si="3"/>
        <v>256103222774500.5</v>
      </c>
      <c r="M88" s="8">
        <f t="shared" si="4"/>
        <v>533287904599659.19</v>
      </c>
    </row>
    <row r="89" spans="1:13" ht="15.75" customHeight="1" x14ac:dyDescent="0.2">
      <c r="A89" s="6" t="s">
        <v>107</v>
      </c>
      <c r="B89" s="6">
        <v>68.27</v>
      </c>
      <c r="C89" s="6">
        <v>14.4</v>
      </c>
      <c r="D89" s="6">
        <v>0</v>
      </c>
      <c r="E89" s="6">
        <v>26.1</v>
      </c>
      <c r="F89" s="6">
        <v>0</v>
      </c>
      <c r="G89" s="6">
        <v>26.1</v>
      </c>
      <c r="H89" s="6">
        <v>4.5999999999999996</v>
      </c>
      <c r="I89" s="6">
        <v>58</v>
      </c>
      <c r="L89" s="8">
        <f t="shared" si="3"/>
        <v>265544091135744.66</v>
      </c>
      <c r="M89" s="8">
        <f t="shared" si="4"/>
        <v>0</v>
      </c>
    </row>
    <row r="90" spans="1:13" ht="15.75" customHeight="1" x14ac:dyDescent="0.2">
      <c r="A90" s="6" t="s">
        <v>108</v>
      </c>
      <c r="B90" s="6">
        <v>26.1</v>
      </c>
      <c r="C90" s="6">
        <v>2.8</v>
      </c>
      <c r="D90" s="6">
        <v>0</v>
      </c>
      <c r="E90" s="6">
        <v>0.99</v>
      </c>
      <c r="F90" s="6">
        <v>0</v>
      </c>
      <c r="G90" s="6">
        <v>0.99</v>
      </c>
      <c r="H90" s="6">
        <v>2.9</v>
      </c>
      <c r="I90" s="6">
        <v>60</v>
      </c>
      <c r="L90" s="8">
        <f t="shared" si="3"/>
        <v>161827956989247.28</v>
      </c>
      <c r="M90" s="8">
        <f t="shared" si="4"/>
        <v>0</v>
      </c>
    </row>
    <row r="91" spans="1:13" ht="15.75" customHeight="1" x14ac:dyDescent="0.2">
      <c r="A91" s="6" t="s">
        <v>109</v>
      </c>
      <c r="B91" s="6">
        <v>1.1299999999999999</v>
      </c>
      <c r="C91" s="6">
        <v>7.6</v>
      </c>
      <c r="D91" s="6" t="s">
        <v>110</v>
      </c>
      <c r="E91" s="6">
        <v>7.26</v>
      </c>
      <c r="F91" s="6">
        <v>1.9</v>
      </c>
      <c r="G91" s="6">
        <v>9.1999999999999993</v>
      </c>
      <c r="H91" s="6">
        <v>2.5</v>
      </c>
      <c r="I91" s="6">
        <v>61</v>
      </c>
      <c r="L91" s="8">
        <f t="shared" si="3"/>
        <v>137219861777202.33</v>
      </c>
      <c r="M91" s="8">
        <f t="shared" si="4"/>
        <v>187508196721311.44</v>
      </c>
    </row>
    <row r="92" spans="1:13" ht="15.75" customHeight="1" x14ac:dyDescent="0.2">
      <c r="A92" s="6" t="s">
        <v>111</v>
      </c>
      <c r="B92" s="6">
        <v>3.59</v>
      </c>
      <c r="C92" s="6">
        <v>-8.6999999999999993</v>
      </c>
      <c r="D92" s="6">
        <v>0</v>
      </c>
      <c r="E92" s="6">
        <v>9.5</v>
      </c>
      <c r="F92" s="6">
        <v>0</v>
      </c>
      <c r="G92" s="6">
        <v>9.5</v>
      </c>
      <c r="H92" s="6">
        <v>14.5</v>
      </c>
      <c r="I92" s="6">
        <v>62</v>
      </c>
      <c r="L92" s="8">
        <f t="shared" si="3"/>
        <v>783038501560873.88</v>
      </c>
      <c r="M92" s="8">
        <f t="shared" si="4"/>
        <v>0</v>
      </c>
    </row>
    <row r="93" spans="1:13" ht="15.75" customHeight="1" x14ac:dyDescent="0.2">
      <c r="A93" s="6" t="s">
        <v>112</v>
      </c>
      <c r="B93" s="6">
        <v>0.91</v>
      </c>
      <c r="C93" s="6">
        <v>-0.37</v>
      </c>
      <c r="D93" s="6">
        <v>0</v>
      </c>
      <c r="E93" s="6">
        <v>1.7000000000000001E-2</v>
      </c>
      <c r="F93" s="6">
        <v>0</v>
      </c>
      <c r="G93" s="6">
        <v>1.7000000000000001E-2</v>
      </c>
      <c r="H93" s="6">
        <v>1.52</v>
      </c>
      <c r="I93" s="6">
        <v>64</v>
      </c>
      <c r="L93" s="8">
        <f t="shared" si="3"/>
        <v>79518909899888.766</v>
      </c>
      <c r="M93" s="8">
        <f t="shared" si="4"/>
        <v>0</v>
      </c>
    </row>
    <row r="94" spans="1:13" ht="15.75" customHeight="1" x14ac:dyDescent="0.2">
      <c r="A94" s="6" t="s">
        <v>113</v>
      </c>
      <c r="B94" s="6" t="s">
        <v>13</v>
      </c>
      <c r="C94" s="6">
        <v>7.718</v>
      </c>
      <c r="D94" s="6" t="s">
        <v>13</v>
      </c>
      <c r="E94" s="6">
        <v>7.4850000000000003</v>
      </c>
      <c r="F94" s="6">
        <v>0.55000000000000004</v>
      </c>
      <c r="G94" s="6">
        <v>8.0299999999999994</v>
      </c>
      <c r="H94" s="6">
        <v>3.78</v>
      </c>
      <c r="I94" s="6">
        <v>63.540599999999998</v>
      </c>
      <c r="J94" s="13">
        <v>8.92</v>
      </c>
      <c r="K94" s="13">
        <v>84.531000000000006</v>
      </c>
      <c r="L94" s="8">
        <f t="shared" si="3"/>
        <v>199180717390690.78</v>
      </c>
      <c r="M94" s="8">
        <f t="shared" si="4"/>
        <v>52108415721601.625</v>
      </c>
    </row>
    <row r="95" spans="1:13" ht="15.75" customHeight="1" x14ac:dyDescent="0.2">
      <c r="A95" s="6" t="s">
        <v>114</v>
      </c>
      <c r="B95" s="6">
        <v>69.17</v>
      </c>
      <c r="C95" s="6">
        <v>6.43</v>
      </c>
      <c r="D95" s="6">
        <v>0.22</v>
      </c>
      <c r="E95" s="6">
        <v>5.2</v>
      </c>
      <c r="F95" s="6">
        <v>6.0000000000000001E-3</v>
      </c>
      <c r="G95" s="6">
        <v>5.2</v>
      </c>
      <c r="H95" s="6">
        <v>4.5</v>
      </c>
      <c r="I95" s="6">
        <v>63</v>
      </c>
      <c r="L95" s="8">
        <f t="shared" si="3"/>
        <v>239154616240266.91</v>
      </c>
      <c r="M95" s="8">
        <f t="shared" si="4"/>
        <v>573333333333.33325</v>
      </c>
    </row>
    <row r="96" spans="1:13" ht="15.75" customHeight="1" x14ac:dyDescent="0.2">
      <c r="A96" s="6" t="s">
        <v>115</v>
      </c>
      <c r="B96" s="6">
        <v>30.83</v>
      </c>
      <c r="C96" s="6">
        <v>10.61</v>
      </c>
      <c r="D96" s="6">
        <v>1.79</v>
      </c>
      <c r="E96" s="6">
        <v>14.1</v>
      </c>
      <c r="F96" s="6">
        <v>0.4</v>
      </c>
      <c r="G96" s="6">
        <v>14.5</v>
      </c>
      <c r="H96" s="6">
        <v>2.17</v>
      </c>
      <c r="I96" s="6">
        <v>65</v>
      </c>
      <c r="L96" s="8">
        <f t="shared" si="3"/>
        <v>111777188328912.44</v>
      </c>
      <c r="M96" s="8">
        <f t="shared" si="4"/>
        <v>37046153846153.844</v>
      </c>
    </row>
    <row r="97" spans="1:13" ht="15.75" customHeight="1" x14ac:dyDescent="0.2">
      <c r="A97" s="6" t="s">
        <v>116</v>
      </c>
      <c r="B97" s="6" t="s">
        <v>13</v>
      </c>
      <c r="C97" s="6">
        <v>5.68</v>
      </c>
      <c r="D97" s="6" t="s">
        <v>13</v>
      </c>
      <c r="E97" s="6">
        <v>4.0540000000000003</v>
      </c>
      <c r="F97" s="6">
        <v>7.6999999999999999E-2</v>
      </c>
      <c r="G97" s="6">
        <v>4.1310000000000002</v>
      </c>
      <c r="H97" s="6">
        <v>1.1100000000000001</v>
      </c>
      <c r="I97" s="6">
        <v>65.38</v>
      </c>
      <c r="J97" s="13">
        <v>7.14</v>
      </c>
      <c r="K97" s="13">
        <v>65.765000000000001</v>
      </c>
      <c r="L97" s="8">
        <f t="shared" si="3"/>
        <v>56844030840834.336</v>
      </c>
      <c r="M97" s="8">
        <f t="shared" si="4"/>
        <v>7089935760171.3057</v>
      </c>
    </row>
    <row r="98" spans="1:13" ht="15.75" customHeight="1" x14ac:dyDescent="0.2">
      <c r="A98" s="6" t="s">
        <v>117</v>
      </c>
      <c r="B98" s="6">
        <v>48.6</v>
      </c>
      <c r="C98" s="6">
        <v>5.22</v>
      </c>
      <c r="D98" s="6">
        <v>0</v>
      </c>
      <c r="E98" s="6">
        <v>3.42</v>
      </c>
      <c r="F98" s="6">
        <v>0</v>
      </c>
      <c r="G98" s="6">
        <v>3.42</v>
      </c>
      <c r="H98" s="6">
        <v>0.93</v>
      </c>
      <c r="I98" s="6">
        <v>64</v>
      </c>
      <c r="L98" s="8">
        <f t="shared" si="3"/>
        <v>48653017241379.305</v>
      </c>
      <c r="M98" s="8">
        <f t="shared" si="4"/>
        <v>0</v>
      </c>
    </row>
    <row r="99" spans="1:13" ht="15.75" customHeight="1" x14ac:dyDescent="0.2">
      <c r="A99" s="6" t="s">
        <v>118</v>
      </c>
      <c r="B99" s="6">
        <v>27.9</v>
      </c>
      <c r="C99" s="6">
        <v>5.97</v>
      </c>
      <c r="D99" s="6">
        <v>0</v>
      </c>
      <c r="E99" s="6">
        <v>4.4800000000000004</v>
      </c>
      <c r="F99" s="6">
        <v>0</v>
      </c>
      <c r="G99" s="6">
        <v>4.4800000000000004</v>
      </c>
      <c r="H99" s="6">
        <v>0.62</v>
      </c>
      <c r="I99" s="6">
        <v>66</v>
      </c>
      <c r="L99" s="8">
        <f t="shared" si="3"/>
        <v>31452455590386.621</v>
      </c>
      <c r="M99" s="8">
        <f t="shared" si="4"/>
        <v>0</v>
      </c>
    </row>
    <row r="100" spans="1:13" ht="15.75" customHeight="1" x14ac:dyDescent="0.2">
      <c r="A100" s="6" t="s">
        <v>119</v>
      </c>
      <c r="B100" s="6">
        <v>4.0999999999999996</v>
      </c>
      <c r="C100" s="6">
        <v>7.56</v>
      </c>
      <c r="D100" s="6">
        <v>-1.5</v>
      </c>
      <c r="E100" s="6">
        <v>7.18</v>
      </c>
      <c r="F100" s="6">
        <v>0.28000000000000003</v>
      </c>
      <c r="G100" s="6">
        <v>7.46</v>
      </c>
      <c r="H100" s="6">
        <v>6.8</v>
      </c>
      <c r="I100" s="6">
        <v>67</v>
      </c>
      <c r="L100" s="8">
        <f t="shared" si="3"/>
        <v>339813723374230</v>
      </c>
      <c r="M100" s="8">
        <f t="shared" si="4"/>
        <v>25158208955223.875</v>
      </c>
    </row>
    <row r="101" spans="1:13" ht="15.75" customHeight="1" x14ac:dyDescent="0.2">
      <c r="A101" s="6" t="s">
        <v>120</v>
      </c>
      <c r="B101" s="6">
        <v>18.8</v>
      </c>
      <c r="C101" s="6">
        <v>6.03</v>
      </c>
      <c r="D101" s="6">
        <v>0</v>
      </c>
      <c r="E101" s="6">
        <v>4.57</v>
      </c>
      <c r="F101" s="6">
        <v>0</v>
      </c>
      <c r="G101" s="6">
        <v>4.57</v>
      </c>
      <c r="H101" s="6">
        <v>1.1000000000000001</v>
      </c>
      <c r="I101" s="6">
        <v>68</v>
      </c>
      <c r="L101" s="8">
        <f t="shared" si="3"/>
        <v>54161486619119.281</v>
      </c>
      <c r="M101" s="8">
        <f t="shared" si="4"/>
        <v>0</v>
      </c>
    </row>
    <row r="102" spans="1:13" ht="15.75" customHeight="1" x14ac:dyDescent="0.2">
      <c r="A102" s="6" t="s">
        <v>121</v>
      </c>
      <c r="B102" s="6">
        <v>0.6</v>
      </c>
      <c r="C102" s="6">
        <v>6</v>
      </c>
      <c r="D102" s="6">
        <v>0</v>
      </c>
      <c r="E102" s="6">
        <v>4.5</v>
      </c>
      <c r="F102" s="6">
        <v>0</v>
      </c>
      <c r="G102" s="6" t="s">
        <v>122</v>
      </c>
      <c r="H102" s="6">
        <v>9.1999999999999998E-2</v>
      </c>
      <c r="I102" s="6">
        <v>70</v>
      </c>
      <c r="L102" s="8">
        <f t="shared" si="3"/>
        <v>4400444938820.9111</v>
      </c>
      <c r="M102" s="8">
        <f t="shared" si="4"/>
        <v>0</v>
      </c>
    </row>
    <row r="103" spans="1:13" ht="15.75" customHeight="1" x14ac:dyDescent="0.2">
      <c r="A103" s="6" t="s">
        <v>123</v>
      </c>
      <c r="B103" s="6" t="s">
        <v>13</v>
      </c>
      <c r="C103" s="6">
        <v>7.2880000000000003</v>
      </c>
      <c r="D103" s="6" t="s">
        <v>13</v>
      </c>
      <c r="E103" s="6">
        <v>6.6749999999999998</v>
      </c>
      <c r="F103" s="6">
        <v>0.16</v>
      </c>
      <c r="G103" s="6">
        <v>6.83</v>
      </c>
      <c r="H103" s="6">
        <v>2.75</v>
      </c>
      <c r="I103" s="6">
        <v>69.72</v>
      </c>
      <c r="J103" s="13">
        <v>5.9039999999999999</v>
      </c>
      <c r="K103" s="13">
        <v>50.994999999999997</v>
      </c>
      <c r="L103" s="8">
        <f t="shared" si="3"/>
        <v>132063292100549.03</v>
      </c>
      <c r="M103" s="8">
        <f t="shared" si="4"/>
        <v>13815261044176.705</v>
      </c>
    </row>
    <row r="104" spans="1:13" ht="15.75" customHeight="1" x14ac:dyDescent="0.2">
      <c r="A104" s="6" t="s">
        <v>124</v>
      </c>
      <c r="B104" s="6">
        <v>60.1</v>
      </c>
      <c r="C104" s="6">
        <v>7.88</v>
      </c>
      <c r="D104" s="6">
        <v>-0.85</v>
      </c>
      <c r="E104" s="6">
        <v>7.8</v>
      </c>
      <c r="F104" s="6">
        <v>9.0999999999999998E-2</v>
      </c>
      <c r="G104" s="6">
        <v>7.89</v>
      </c>
      <c r="H104" s="6">
        <v>2.1800000000000002</v>
      </c>
      <c r="I104" s="6">
        <v>69</v>
      </c>
      <c r="L104" s="8">
        <f t="shared" si="3"/>
        <v>105782592574680.41</v>
      </c>
      <c r="M104" s="8">
        <f t="shared" si="4"/>
        <v>7939420289855.0713</v>
      </c>
    </row>
    <row r="105" spans="1:13" ht="15.75" customHeight="1" x14ac:dyDescent="0.2">
      <c r="A105" s="6" t="s">
        <v>125</v>
      </c>
      <c r="B105" s="6">
        <v>39.9</v>
      </c>
      <c r="C105" s="6">
        <v>6.4</v>
      </c>
      <c r="D105" s="6">
        <v>-0.82</v>
      </c>
      <c r="E105" s="6">
        <v>5.15</v>
      </c>
      <c r="F105" s="6">
        <v>8.4000000000000005E-2</v>
      </c>
      <c r="G105" s="6">
        <v>5.23</v>
      </c>
      <c r="H105" s="6">
        <v>3.61</v>
      </c>
      <c r="I105" s="6">
        <v>71</v>
      </c>
      <c r="L105" s="8">
        <f t="shared" si="3"/>
        <v>170237666264550.56</v>
      </c>
      <c r="M105" s="8">
        <f t="shared" si="4"/>
        <v>7122253521126.7607</v>
      </c>
    </row>
    <row r="106" spans="1:13" ht="15.75" customHeight="1" x14ac:dyDescent="0.2">
      <c r="A106" s="6" t="s">
        <v>126</v>
      </c>
      <c r="B106" s="6" t="s">
        <v>13</v>
      </c>
      <c r="C106" s="6">
        <v>8.1850000000000005</v>
      </c>
      <c r="D106" s="6" t="s">
        <v>13</v>
      </c>
      <c r="E106" s="6">
        <v>8.42</v>
      </c>
      <c r="F106" s="6">
        <v>0.18</v>
      </c>
      <c r="G106" s="6">
        <v>8.6</v>
      </c>
      <c r="H106" s="6">
        <v>2.2000000000000002</v>
      </c>
      <c r="I106" s="6">
        <v>72.59</v>
      </c>
      <c r="J106" s="13">
        <v>5.35</v>
      </c>
      <c r="K106" s="13">
        <v>44.383000000000003</v>
      </c>
      <c r="L106" s="8">
        <f t="shared" si="3"/>
        <v>101473511230200.05</v>
      </c>
      <c r="M106" s="8">
        <f t="shared" si="4"/>
        <v>14927675988428.154</v>
      </c>
    </row>
    <row r="107" spans="1:13" ht="15.75" customHeight="1" x14ac:dyDescent="0.2">
      <c r="A107" s="6" t="s">
        <v>127</v>
      </c>
      <c r="B107" s="6">
        <v>20.5</v>
      </c>
      <c r="C107" s="6">
        <v>10</v>
      </c>
      <c r="D107" s="6">
        <v>0</v>
      </c>
      <c r="E107" s="6">
        <v>12.6</v>
      </c>
      <c r="F107" s="6">
        <v>0</v>
      </c>
      <c r="G107" s="6">
        <v>12.6</v>
      </c>
      <c r="H107" s="6">
        <v>3</v>
      </c>
      <c r="I107" s="6">
        <v>70</v>
      </c>
      <c r="L107" s="8">
        <f t="shared" si="3"/>
        <v>143492769744160.16</v>
      </c>
      <c r="M107" s="8">
        <f t="shared" si="4"/>
        <v>0</v>
      </c>
    </row>
    <row r="108" spans="1:13" ht="15.75" customHeight="1" x14ac:dyDescent="0.2">
      <c r="A108" s="6" t="s">
        <v>128</v>
      </c>
      <c r="B108" s="6">
        <v>27.4</v>
      </c>
      <c r="C108" s="6">
        <v>8.51</v>
      </c>
      <c r="D108" s="6">
        <v>0</v>
      </c>
      <c r="E108" s="6">
        <v>9.1</v>
      </c>
      <c r="F108" s="6">
        <v>0</v>
      </c>
      <c r="G108" s="6">
        <v>9.1</v>
      </c>
      <c r="H108" s="6">
        <v>0.8</v>
      </c>
      <c r="I108" s="6">
        <v>72</v>
      </c>
      <c r="L108" s="8">
        <f t="shared" si="3"/>
        <v>37201829192930.406</v>
      </c>
      <c r="M108" s="8">
        <f t="shared" si="4"/>
        <v>0</v>
      </c>
    </row>
    <row r="109" spans="1:13" ht="15.75" customHeight="1" x14ac:dyDescent="0.2">
      <c r="A109" s="6" t="s">
        <v>129</v>
      </c>
      <c r="B109" s="6">
        <v>7.8</v>
      </c>
      <c r="C109" s="6">
        <v>5.0199999999999996</v>
      </c>
      <c r="D109" s="6">
        <v>3.4</v>
      </c>
      <c r="E109" s="6">
        <v>3.17</v>
      </c>
      <c r="F109" s="6">
        <v>1.5</v>
      </c>
      <c r="G109" s="6">
        <v>4.7</v>
      </c>
      <c r="H109" s="6">
        <v>15.1</v>
      </c>
      <c r="I109" s="6">
        <v>73</v>
      </c>
      <c r="L109" s="8">
        <f t="shared" si="3"/>
        <v>692565559906745.63</v>
      </c>
      <c r="M109" s="8">
        <f t="shared" si="4"/>
        <v>123698630136986.3</v>
      </c>
    </row>
    <row r="110" spans="1:13" ht="15.75" customHeight="1" x14ac:dyDescent="0.2">
      <c r="A110" s="6" t="s">
        <v>130</v>
      </c>
      <c r="B110" s="6">
        <v>36.5</v>
      </c>
      <c r="C110" s="6">
        <v>7.58</v>
      </c>
      <c r="D110" s="6">
        <v>0</v>
      </c>
      <c r="E110" s="6">
        <v>7.2</v>
      </c>
      <c r="F110" s="6">
        <v>0</v>
      </c>
      <c r="G110" s="6">
        <v>7.2</v>
      </c>
      <c r="H110" s="6">
        <v>0.4</v>
      </c>
      <c r="I110" s="6">
        <v>74</v>
      </c>
      <c r="L110" s="8">
        <f t="shared" si="3"/>
        <v>18098187174939.117</v>
      </c>
      <c r="M110" s="8">
        <f t="shared" si="4"/>
        <v>0</v>
      </c>
    </row>
    <row r="111" spans="1:13" ht="15.75" customHeight="1" x14ac:dyDescent="0.2">
      <c r="A111" s="6" t="s">
        <v>131</v>
      </c>
      <c r="B111" s="6">
        <v>7.8</v>
      </c>
      <c r="C111" s="6">
        <v>8.1999999999999993</v>
      </c>
      <c r="D111" s="6">
        <v>0</v>
      </c>
      <c r="E111" s="6" t="s">
        <v>132</v>
      </c>
      <c r="F111" s="6">
        <v>0</v>
      </c>
      <c r="G111" s="6" t="s">
        <v>132</v>
      </c>
      <c r="H111" s="6">
        <v>0.16</v>
      </c>
      <c r="I111" s="6">
        <v>76</v>
      </c>
      <c r="L111" s="8">
        <f t="shared" si="3"/>
        <v>7048767636555.2363</v>
      </c>
      <c r="M111" s="8">
        <f t="shared" si="4"/>
        <v>0</v>
      </c>
    </row>
    <row r="112" spans="1:13" ht="15.75" customHeight="1" x14ac:dyDescent="0.2">
      <c r="A112" s="6" t="s">
        <v>133</v>
      </c>
      <c r="B112" s="6">
        <v>100</v>
      </c>
      <c r="C112" s="6">
        <v>6.58</v>
      </c>
      <c r="D112" s="6">
        <v>-0.69</v>
      </c>
      <c r="E112" s="6">
        <v>5.44</v>
      </c>
      <c r="F112" s="6">
        <v>0.06</v>
      </c>
      <c r="G112" s="6">
        <v>5.5</v>
      </c>
      <c r="H112" s="6">
        <v>4.5</v>
      </c>
      <c r="I112" s="6">
        <v>74.921599999999998</v>
      </c>
      <c r="J112" s="13">
        <v>5.7270000000000003</v>
      </c>
      <c r="K112" s="13">
        <v>46.031999999999996</v>
      </c>
      <c r="L112" s="8">
        <f t="shared" si="3"/>
        <v>201100094273705</v>
      </c>
      <c r="M112" s="8">
        <f t="shared" si="4"/>
        <v>4821039593388.2881</v>
      </c>
    </row>
    <row r="113" spans="1:13" ht="15.75" customHeight="1" x14ac:dyDescent="0.2">
      <c r="A113" s="6" t="s">
        <v>134</v>
      </c>
      <c r="B113" s="6" t="s">
        <v>13</v>
      </c>
      <c r="C113" s="6">
        <v>7.97</v>
      </c>
      <c r="D113" s="6" t="s">
        <v>13</v>
      </c>
      <c r="E113" s="6">
        <v>7.98</v>
      </c>
      <c r="F113" s="6">
        <v>0.32</v>
      </c>
      <c r="G113" s="6">
        <v>8.3000000000000007</v>
      </c>
      <c r="H113" s="6">
        <v>11.7</v>
      </c>
      <c r="I113" s="6">
        <v>78.959999999999994</v>
      </c>
      <c r="J113" s="13">
        <v>4.8099999999999996</v>
      </c>
      <c r="K113" s="13">
        <v>36.683999999999997</v>
      </c>
      <c r="L113" s="8">
        <f t="shared" si="3"/>
        <v>496118618796298.44</v>
      </c>
      <c r="M113" s="8">
        <f t="shared" si="4"/>
        <v>24397163120567.375</v>
      </c>
    </row>
    <row r="114" spans="1:13" ht="15.75" customHeight="1" x14ac:dyDescent="0.2">
      <c r="A114" s="6" t="s">
        <v>135</v>
      </c>
      <c r="B114" s="6">
        <v>0.9</v>
      </c>
      <c r="C114" s="6">
        <v>0.8</v>
      </c>
      <c r="D114" s="6">
        <v>0</v>
      </c>
      <c r="E114" s="6">
        <v>0.1</v>
      </c>
      <c r="F114" s="6">
        <v>0</v>
      </c>
      <c r="G114" s="6">
        <v>0.1</v>
      </c>
      <c r="H114" s="6">
        <v>51.8</v>
      </c>
      <c r="I114" s="6">
        <v>74</v>
      </c>
      <c r="L114" s="8">
        <f t="shared" si="3"/>
        <v>2343715239154615.5</v>
      </c>
      <c r="M114" s="8">
        <f t="shared" si="4"/>
        <v>0</v>
      </c>
    </row>
    <row r="115" spans="1:13" ht="15.75" customHeight="1" x14ac:dyDescent="0.2">
      <c r="A115" s="6" t="s">
        <v>136</v>
      </c>
      <c r="B115" s="6">
        <v>9</v>
      </c>
      <c r="C115" s="6">
        <v>12.2</v>
      </c>
      <c r="D115" s="6">
        <v>0</v>
      </c>
      <c r="E115" s="6">
        <v>18.7</v>
      </c>
      <c r="F115" s="6">
        <v>0</v>
      </c>
      <c r="G115" s="6">
        <v>18.7</v>
      </c>
      <c r="H115" s="6">
        <v>85</v>
      </c>
      <c r="I115" s="6">
        <v>76</v>
      </c>
      <c r="L115" s="8">
        <f t="shared" si="3"/>
        <v>3744657806919969</v>
      </c>
      <c r="M115" s="8">
        <f t="shared" si="4"/>
        <v>0</v>
      </c>
    </row>
    <row r="116" spans="1:13" ht="15.75" customHeight="1" x14ac:dyDescent="0.2">
      <c r="A116" s="6" t="s">
        <v>137</v>
      </c>
      <c r="B116" s="6">
        <v>7.6</v>
      </c>
      <c r="C116" s="6">
        <v>8.25</v>
      </c>
      <c r="D116" s="6" t="s">
        <v>138</v>
      </c>
      <c r="E116" s="6">
        <v>8.6</v>
      </c>
      <c r="F116" s="6">
        <v>0.05</v>
      </c>
      <c r="G116" s="6">
        <v>8.65</v>
      </c>
      <c r="H116" s="6">
        <v>42</v>
      </c>
      <c r="I116" s="6">
        <v>77</v>
      </c>
      <c r="L116" s="8">
        <f t="shared" si="3"/>
        <v>1826271614925674.5</v>
      </c>
      <c r="M116" s="8">
        <f t="shared" si="4"/>
        <v>3909090909090.9092</v>
      </c>
    </row>
    <row r="117" spans="1:13" ht="15.75" customHeight="1" x14ac:dyDescent="0.2">
      <c r="A117" s="6" t="s">
        <v>139</v>
      </c>
      <c r="B117" s="6">
        <v>23.5</v>
      </c>
      <c r="C117" s="6">
        <v>8.24</v>
      </c>
      <c r="D117" s="6">
        <v>0</v>
      </c>
      <c r="E117" s="6">
        <v>8.5</v>
      </c>
      <c r="F117" s="6">
        <v>0</v>
      </c>
      <c r="G117" s="6">
        <v>8.5</v>
      </c>
      <c r="H117" s="6">
        <v>0.43</v>
      </c>
      <c r="I117" s="6">
        <v>78</v>
      </c>
      <c r="L117" s="8">
        <f t="shared" si="3"/>
        <v>18457830638030.855</v>
      </c>
      <c r="M117" s="8">
        <f t="shared" si="4"/>
        <v>0</v>
      </c>
    </row>
    <row r="118" spans="1:13" ht="15.75" customHeight="1" x14ac:dyDescent="0.2">
      <c r="A118" s="6" t="s">
        <v>140</v>
      </c>
      <c r="B118" s="6">
        <v>49.6</v>
      </c>
      <c r="C118" s="6">
        <v>7.48</v>
      </c>
      <c r="D118" s="6">
        <v>0</v>
      </c>
      <c r="E118" s="6">
        <v>7.03</v>
      </c>
      <c r="F118" s="6">
        <v>0</v>
      </c>
      <c r="G118" s="6">
        <v>7.03</v>
      </c>
      <c r="H118" s="6">
        <v>0.61</v>
      </c>
      <c r="I118" s="6">
        <v>80</v>
      </c>
      <c r="L118" s="8">
        <f t="shared" si="3"/>
        <v>25529755283648.496</v>
      </c>
      <c r="M118" s="8">
        <f t="shared" si="4"/>
        <v>0</v>
      </c>
    </row>
    <row r="119" spans="1:13" ht="15.75" customHeight="1" x14ac:dyDescent="0.2">
      <c r="A119" s="6" t="s">
        <v>141</v>
      </c>
      <c r="B119" s="6">
        <v>9.4</v>
      </c>
      <c r="C119" s="6">
        <v>6.34</v>
      </c>
      <c r="D119" s="6">
        <v>0</v>
      </c>
      <c r="E119" s="6">
        <v>5.05</v>
      </c>
      <c r="F119" s="6">
        <v>0</v>
      </c>
      <c r="G119" s="6">
        <v>5.05</v>
      </c>
      <c r="H119" s="6">
        <v>4.3999999999999997E-2</v>
      </c>
      <c r="I119" s="6">
        <v>82</v>
      </c>
      <c r="L119" s="8">
        <f t="shared" si="3"/>
        <v>1796576141512.2493</v>
      </c>
      <c r="M119" s="8">
        <f t="shared" si="4"/>
        <v>0</v>
      </c>
    </row>
    <row r="120" spans="1:13" ht="15.75" customHeight="1" x14ac:dyDescent="0.2">
      <c r="A120" s="6" t="s">
        <v>142</v>
      </c>
      <c r="B120" s="6" t="s">
        <v>13</v>
      </c>
      <c r="C120" s="6">
        <v>6.7949999999999999</v>
      </c>
      <c r="D120" s="6" t="s">
        <v>13</v>
      </c>
      <c r="E120" s="6">
        <v>5.8</v>
      </c>
      <c r="F120" s="6">
        <v>0.1</v>
      </c>
      <c r="G120" s="6">
        <v>5.9</v>
      </c>
      <c r="H120" s="6">
        <v>6.9</v>
      </c>
      <c r="I120" s="6">
        <v>79.903999999999996</v>
      </c>
      <c r="J120" s="13">
        <v>3.1199999999999999E-3</v>
      </c>
      <c r="K120" s="13">
        <v>2.3514E-2</v>
      </c>
      <c r="L120" s="8">
        <f t="shared" si="3"/>
        <v>289126150490711.19</v>
      </c>
      <c r="M120" s="8">
        <f t="shared" si="4"/>
        <v>7534040849018.8232</v>
      </c>
    </row>
    <row r="121" spans="1:13" ht="15.75" customHeight="1" x14ac:dyDescent="0.2">
      <c r="A121" s="6" t="s">
        <v>143</v>
      </c>
      <c r="B121" s="6">
        <v>50.69</v>
      </c>
      <c r="C121" s="6">
        <v>6.8</v>
      </c>
      <c r="D121" s="6">
        <v>-1.1000000000000001</v>
      </c>
      <c r="E121" s="6">
        <v>5.81</v>
      </c>
      <c r="F121" s="6">
        <v>0.15</v>
      </c>
      <c r="G121" s="6">
        <v>5.96</v>
      </c>
      <c r="H121" s="6">
        <v>11</v>
      </c>
      <c r="I121" s="6">
        <v>79</v>
      </c>
      <c r="L121" s="8">
        <f t="shared" si="3"/>
        <v>466200137987355.88</v>
      </c>
      <c r="M121" s="8">
        <f t="shared" si="4"/>
        <v>11430379746835.439</v>
      </c>
    </row>
    <row r="122" spans="1:13" ht="15.75" customHeight="1" x14ac:dyDescent="0.2">
      <c r="A122" s="6" t="s">
        <v>144</v>
      </c>
      <c r="B122" s="6">
        <v>49.31</v>
      </c>
      <c r="C122" s="6">
        <v>6.79</v>
      </c>
      <c r="D122" s="6">
        <v>0.6</v>
      </c>
      <c r="E122" s="6">
        <v>5.79</v>
      </c>
      <c r="F122" s="6">
        <v>0.05</v>
      </c>
      <c r="G122" s="6">
        <v>5.84</v>
      </c>
      <c r="H122" s="6">
        <v>2.7</v>
      </c>
      <c r="I122" s="6">
        <v>81</v>
      </c>
      <c r="L122" s="8">
        <f t="shared" si="3"/>
        <v>111605487578791.23</v>
      </c>
      <c r="M122" s="8">
        <f t="shared" si="4"/>
        <v>3716049382716.0493</v>
      </c>
    </row>
    <row r="123" spans="1:13" ht="15.75" customHeight="1" x14ac:dyDescent="0.2">
      <c r="A123" s="6" t="s">
        <v>145</v>
      </c>
      <c r="B123" s="6" t="s">
        <v>13</v>
      </c>
      <c r="C123" s="6">
        <v>7.81</v>
      </c>
      <c r="D123" s="6" t="s">
        <v>13</v>
      </c>
      <c r="E123" s="6">
        <v>7.67</v>
      </c>
      <c r="F123" s="6">
        <v>0.01</v>
      </c>
      <c r="G123" s="6">
        <v>7.68</v>
      </c>
      <c r="H123" s="6">
        <v>25</v>
      </c>
      <c r="I123" s="6">
        <v>83.8</v>
      </c>
      <c r="J123" s="13">
        <v>3.7399999999999998E-3</v>
      </c>
      <c r="K123" s="13">
        <v>2.6876000000000001E-2</v>
      </c>
      <c r="L123" s="8">
        <f t="shared" si="3"/>
        <v>998855795752904.63</v>
      </c>
      <c r="M123" s="8">
        <f t="shared" si="4"/>
        <v>718377088305.48914</v>
      </c>
    </row>
    <row r="124" spans="1:13" ht="15.75" customHeight="1" x14ac:dyDescent="0.2">
      <c r="A124" s="6" t="s">
        <v>146</v>
      </c>
      <c r="B124" s="6">
        <v>0.35</v>
      </c>
      <c r="C124" s="6" t="s">
        <v>13</v>
      </c>
      <c r="D124" s="6">
        <v>0</v>
      </c>
      <c r="E124" s="6" t="s">
        <v>13</v>
      </c>
      <c r="F124" s="6">
        <v>0</v>
      </c>
      <c r="G124" s="6" t="s">
        <v>13</v>
      </c>
      <c r="H124" s="6">
        <v>6.4</v>
      </c>
      <c r="I124" s="6">
        <v>78</v>
      </c>
      <c r="L124" s="8">
        <f t="shared" si="3"/>
        <v>274721200193947.66</v>
      </c>
      <c r="M124" s="8">
        <f t="shared" si="4"/>
        <v>0</v>
      </c>
    </row>
    <row r="125" spans="1:13" ht="15.75" customHeight="1" x14ac:dyDescent="0.2">
      <c r="A125" s="6" t="s">
        <v>147</v>
      </c>
      <c r="B125" s="6">
        <v>2.25</v>
      </c>
      <c r="C125" s="6" t="s">
        <v>13</v>
      </c>
      <c r="D125" s="6">
        <v>0</v>
      </c>
      <c r="E125" s="6" t="s">
        <v>13</v>
      </c>
      <c r="F125" s="6">
        <v>0</v>
      </c>
      <c r="G125" s="6" t="s">
        <v>13</v>
      </c>
      <c r="H125" s="6">
        <v>11.8</v>
      </c>
      <c r="I125" s="6">
        <v>80</v>
      </c>
      <c r="L125" s="8">
        <f t="shared" si="3"/>
        <v>493854282536151.19</v>
      </c>
      <c r="M125" s="8">
        <f t="shared" si="4"/>
        <v>0</v>
      </c>
    </row>
    <row r="126" spans="1:13" ht="15.75" customHeight="1" x14ac:dyDescent="0.2">
      <c r="A126" s="6" t="s">
        <v>148</v>
      </c>
      <c r="B126" s="6">
        <v>11.6</v>
      </c>
      <c r="C126" s="6" t="s">
        <v>13</v>
      </c>
      <c r="D126" s="6">
        <v>0</v>
      </c>
      <c r="E126" s="6" t="s">
        <v>13</v>
      </c>
      <c r="F126" s="6">
        <v>0</v>
      </c>
      <c r="G126" s="6" t="s">
        <v>13</v>
      </c>
      <c r="H126" s="6">
        <v>29</v>
      </c>
      <c r="I126" s="6">
        <v>82</v>
      </c>
      <c r="L126" s="8">
        <f t="shared" si="3"/>
        <v>1184107002360346</v>
      </c>
      <c r="M126" s="8">
        <f t="shared" si="4"/>
        <v>0</v>
      </c>
    </row>
    <row r="127" spans="1:13" ht="15.75" customHeight="1" x14ac:dyDescent="0.2">
      <c r="A127" s="6" t="s">
        <v>149</v>
      </c>
      <c r="B127" s="6">
        <v>11.5</v>
      </c>
      <c r="C127" s="6" t="s">
        <v>13</v>
      </c>
      <c r="D127" s="6" t="s">
        <v>13</v>
      </c>
      <c r="E127" s="6" t="s">
        <v>13</v>
      </c>
      <c r="F127" s="6" t="s">
        <v>13</v>
      </c>
      <c r="G127" s="6" t="s">
        <v>13</v>
      </c>
      <c r="H127" s="6">
        <v>185</v>
      </c>
      <c r="I127" s="6">
        <v>83</v>
      </c>
      <c r="L127" s="8">
        <f t="shared" si="3"/>
        <v>7462776579063751</v>
      </c>
    </row>
    <row r="128" spans="1:13" ht="15.75" customHeight="1" x14ac:dyDescent="0.2">
      <c r="A128" s="6" t="s">
        <v>150</v>
      </c>
      <c r="B128" s="6">
        <v>57</v>
      </c>
      <c r="C128" s="6" t="s">
        <v>13</v>
      </c>
      <c r="D128" s="6">
        <v>0</v>
      </c>
      <c r="E128" s="6" t="s">
        <v>13</v>
      </c>
      <c r="F128" s="6">
        <v>0</v>
      </c>
      <c r="G128" s="6">
        <v>6.6</v>
      </c>
      <c r="H128" s="6">
        <v>0.113</v>
      </c>
      <c r="I128" s="6">
        <v>84</v>
      </c>
      <c r="L128" s="8">
        <f t="shared" si="3"/>
        <v>4504078605858.3604</v>
      </c>
      <c r="M128" s="8">
        <f t="shared" si="4"/>
        <v>0</v>
      </c>
    </row>
    <row r="129" spans="1:13" ht="15.75" customHeight="1" x14ac:dyDescent="0.2">
      <c r="A129" s="6" t="s">
        <v>151</v>
      </c>
      <c r="B129" s="6">
        <v>17.3</v>
      </c>
      <c r="C129" s="6">
        <v>8.1</v>
      </c>
      <c r="D129" s="6">
        <v>0</v>
      </c>
      <c r="E129" s="6">
        <v>8.1999999999999993</v>
      </c>
      <c r="F129" s="6">
        <v>0</v>
      </c>
      <c r="G129" s="6">
        <v>8.1999999999999993</v>
      </c>
      <c r="H129" s="6">
        <v>3.0000000000000001E-3</v>
      </c>
      <c r="I129" s="6">
        <v>86</v>
      </c>
      <c r="L129" s="8">
        <f t="shared" si="3"/>
        <v>116796440489.43266</v>
      </c>
      <c r="M129" s="8">
        <f t="shared" si="4"/>
        <v>0</v>
      </c>
    </row>
    <row r="130" spans="1:13" ht="15.75" customHeight="1" x14ac:dyDescent="0.2">
      <c r="A130" s="6" t="s">
        <v>152</v>
      </c>
      <c r="B130" s="6" t="s">
        <v>13</v>
      </c>
      <c r="C130" s="6">
        <v>7.09</v>
      </c>
      <c r="D130" s="6" t="s">
        <v>13</v>
      </c>
      <c r="E130" s="6">
        <v>6.32</v>
      </c>
      <c r="F130" s="6">
        <v>0.5</v>
      </c>
      <c r="G130" s="6">
        <v>6.8</v>
      </c>
      <c r="H130" s="6">
        <v>0.38</v>
      </c>
      <c r="I130" s="6">
        <v>85.467799999999997</v>
      </c>
      <c r="J130" s="13">
        <v>1.532</v>
      </c>
      <c r="K130" s="13">
        <v>10.794</v>
      </c>
      <c r="L130" s="8">
        <f t="shared" si="3"/>
        <v>14886337993937.135</v>
      </c>
      <c r="M130" s="8">
        <f t="shared" si="4"/>
        <v>35217941727761.797</v>
      </c>
    </row>
    <row r="131" spans="1:13" ht="15.75" customHeight="1" x14ac:dyDescent="0.2">
      <c r="A131" s="6" t="s">
        <v>153</v>
      </c>
      <c r="B131" s="6">
        <v>72.17</v>
      </c>
      <c r="C131" s="6">
        <v>7.03</v>
      </c>
      <c r="D131" s="6" t="s">
        <v>13</v>
      </c>
      <c r="E131" s="6">
        <v>6.2</v>
      </c>
      <c r="F131" s="6">
        <v>0.5</v>
      </c>
      <c r="G131" s="6">
        <v>6.7</v>
      </c>
      <c r="H131" s="6">
        <v>0.48</v>
      </c>
      <c r="I131" s="6">
        <v>85</v>
      </c>
      <c r="L131" s="8">
        <f t="shared" si="3"/>
        <v>18907282601583.457</v>
      </c>
      <c r="M131" s="8">
        <f t="shared" si="4"/>
        <v>35411764705882.344</v>
      </c>
    </row>
    <row r="132" spans="1:13" ht="15.75" customHeight="1" x14ac:dyDescent="0.2">
      <c r="A132" s="6" t="s">
        <v>154</v>
      </c>
      <c r="B132" s="6">
        <v>27.83</v>
      </c>
      <c r="C132" s="6">
        <v>7.23</v>
      </c>
      <c r="D132" s="6" t="s">
        <v>13</v>
      </c>
      <c r="E132" s="6">
        <v>6.6</v>
      </c>
      <c r="F132" s="6">
        <v>0.5</v>
      </c>
      <c r="G132" s="6">
        <v>7.1</v>
      </c>
      <c r="H132" s="6">
        <v>0.12</v>
      </c>
      <c r="I132" s="6">
        <v>87</v>
      </c>
      <c r="L132" s="8">
        <f t="shared" ref="L132:L195" si="5">(H132*10^-8/1.798)*6.02*10^23/I132</f>
        <v>4618158106708.6025</v>
      </c>
      <c r="M132" s="8">
        <f t="shared" si="4"/>
        <v>34597701149425.281</v>
      </c>
    </row>
    <row r="133" spans="1:13" ht="15.75" customHeight="1" x14ac:dyDescent="0.2">
      <c r="A133" s="6" t="s">
        <v>155</v>
      </c>
      <c r="B133" s="6" t="s">
        <v>13</v>
      </c>
      <c r="C133" s="6">
        <v>7.02</v>
      </c>
      <c r="D133" s="6" t="s">
        <v>13</v>
      </c>
      <c r="E133" s="6">
        <v>6.19</v>
      </c>
      <c r="F133" s="6">
        <v>0.06</v>
      </c>
      <c r="G133" s="6">
        <v>6.25</v>
      </c>
      <c r="H133" s="6">
        <v>1.28</v>
      </c>
      <c r="I133" s="6">
        <v>87.62</v>
      </c>
      <c r="J133" s="13">
        <v>2.6</v>
      </c>
      <c r="K133" s="13">
        <v>17.869</v>
      </c>
      <c r="L133" s="8">
        <f t="shared" si="5"/>
        <v>48911786384679.109</v>
      </c>
      <c r="M133" s="8">
        <f t="shared" si="4"/>
        <v>4122346496233.7358</v>
      </c>
    </row>
    <row r="134" spans="1:13" ht="15.75" customHeight="1" x14ac:dyDescent="0.2">
      <c r="A134" s="6" t="s">
        <v>156</v>
      </c>
      <c r="B134" s="6">
        <v>0.56000000000000005</v>
      </c>
      <c r="C134" s="6">
        <v>7</v>
      </c>
      <c r="D134" s="6">
        <v>0</v>
      </c>
      <c r="E134" s="6" t="s">
        <v>157</v>
      </c>
      <c r="F134" s="6">
        <v>0</v>
      </c>
      <c r="G134" s="6" t="s">
        <v>157</v>
      </c>
      <c r="H134" s="6">
        <v>0.87</v>
      </c>
      <c r="I134" s="6">
        <v>84</v>
      </c>
      <c r="L134" s="8">
        <f t="shared" si="5"/>
        <v>34677419354838.703</v>
      </c>
      <c r="M134" s="8">
        <f t="shared" si="4"/>
        <v>0</v>
      </c>
    </row>
    <row r="135" spans="1:13" ht="15.75" customHeight="1" x14ac:dyDescent="0.2">
      <c r="A135" s="6" t="s">
        <v>158</v>
      </c>
      <c r="B135" s="6">
        <v>9.86</v>
      </c>
      <c r="C135" s="6">
        <v>5.67</v>
      </c>
      <c r="D135" s="6">
        <v>0</v>
      </c>
      <c r="E135" s="6">
        <v>4.04</v>
      </c>
      <c r="F135" s="6">
        <v>0</v>
      </c>
      <c r="G135" s="6">
        <v>4.04</v>
      </c>
      <c r="H135" s="6">
        <v>1.04</v>
      </c>
      <c r="I135" s="6">
        <v>86</v>
      </c>
      <c r="L135" s="8">
        <f t="shared" si="5"/>
        <v>40489432703003.328</v>
      </c>
      <c r="M135" s="8">
        <f t="shared" si="4"/>
        <v>0</v>
      </c>
    </row>
    <row r="136" spans="1:13" ht="15.75" customHeight="1" x14ac:dyDescent="0.2">
      <c r="A136" s="6" t="s">
        <v>159</v>
      </c>
      <c r="B136" s="6">
        <v>7</v>
      </c>
      <c r="C136" s="6">
        <v>7.4</v>
      </c>
      <c r="D136" s="6" t="s">
        <v>13</v>
      </c>
      <c r="E136" s="6">
        <v>6.88</v>
      </c>
      <c r="F136" s="6">
        <v>0.5</v>
      </c>
      <c r="G136" s="6">
        <v>7.4</v>
      </c>
      <c r="H136" s="6">
        <v>16</v>
      </c>
      <c r="I136" s="6">
        <v>87</v>
      </c>
      <c r="L136" s="8">
        <f t="shared" si="5"/>
        <v>615754414227813.63</v>
      </c>
      <c r="M136" s="8">
        <f t="shared" si="4"/>
        <v>34597701149425.281</v>
      </c>
    </row>
    <row r="137" spans="1:13" ht="15.75" customHeight="1" x14ac:dyDescent="0.2">
      <c r="A137" s="6" t="s">
        <v>160</v>
      </c>
      <c r="B137" s="6">
        <v>82.58</v>
      </c>
      <c r="C137" s="6">
        <v>7.15</v>
      </c>
      <c r="D137" s="6">
        <v>0</v>
      </c>
      <c r="E137" s="6">
        <v>6.42</v>
      </c>
      <c r="F137" s="6">
        <v>0</v>
      </c>
      <c r="G137" s="6">
        <v>6.42</v>
      </c>
      <c r="H137" s="6">
        <v>5.8000000000000003E-2</v>
      </c>
      <c r="I137" s="6">
        <v>88</v>
      </c>
      <c r="L137" s="8">
        <f t="shared" si="5"/>
        <v>2206744868035.1909</v>
      </c>
      <c r="M137" s="8">
        <f t="shared" si="4"/>
        <v>0</v>
      </c>
    </row>
    <row r="138" spans="1:13" ht="15.75" customHeight="1" x14ac:dyDescent="0.2">
      <c r="A138" s="6" t="s">
        <v>161</v>
      </c>
      <c r="B138" s="6">
        <v>100</v>
      </c>
      <c r="C138" s="6">
        <v>7.75</v>
      </c>
      <c r="D138" s="6">
        <v>1.1000000000000001</v>
      </c>
      <c r="E138" s="6">
        <v>7.55</v>
      </c>
      <c r="F138" s="6">
        <v>0.15</v>
      </c>
      <c r="G138" s="6">
        <v>7.7</v>
      </c>
      <c r="H138" s="6">
        <v>1.28</v>
      </c>
      <c r="I138" s="6">
        <v>88.905900000000003</v>
      </c>
      <c r="J138" s="13">
        <v>4.47</v>
      </c>
      <c r="K138" s="13">
        <v>30.277000000000001</v>
      </c>
      <c r="L138" s="8">
        <f t="shared" si="5"/>
        <v>48204345527412.508</v>
      </c>
      <c r="M138" s="8">
        <f t="shared" si="4"/>
        <v>10156806241205.586</v>
      </c>
    </row>
    <row r="139" spans="1:13" ht="15.75" customHeight="1" x14ac:dyDescent="0.2">
      <c r="A139" s="6" t="s">
        <v>162</v>
      </c>
      <c r="B139" s="6" t="s">
        <v>13</v>
      </c>
      <c r="C139" s="6">
        <v>7.16</v>
      </c>
      <c r="D139" s="6" t="s">
        <v>13</v>
      </c>
      <c r="E139" s="6">
        <v>6.44</v>
      </c>
      <c r="F139" s="6">
        <v>0.02</v>
      </c>
      <c r="G139" s="6">
        <v>6.46</v>
      </c>
      <c r="H139" s="6">
        <v>0.185</v>
      </c>
      <c r="I139" s="6">
        <v>91.22</v>
      </c>
      <c r="J139" s="13">
        <v>6.49</v>
      </c>
      <c r="K139" s="13">
        <v>42.844999999999999</v>
      </c>
      <c r="L139" s="8">
        <f t="shared" si="5"/>
        <v>6790292217302.0313</v>
      </c>
      <c r="M139" s="8">
        <f t="shared" si="4"/>
        <v>1319885989914.4922</v>
      </c>
    </row>
    <row r="140" spans="1:13" ht="15.75" customHeight="1" x14ac:dyDescent="0.2">
      <c r="A140" s="6" t="s">
        <v>163</v>
      </c>
      <c r="B140" s="6">
        <v>51.45</v>
      </c>
      <c r="C140" s="6">
        <v>6.4</v>
      </c>
      <c r="D140" s="6">
        <v>0</v>
      </c>
      <c r="E140" s="6">
        <v>5.0999999999999996</v>
      </c>
      <c r="F140" s="6">
        <v>0</v>
      </c>
      <c r="G140" s="6">
        <v>5.0999999999999996</v>
      </c>
      <c r="H140" s="6">
        <v>1.0999999999999999E-2</v>
      </c>
      <c r="I140" s="6">
        <v>90</v>
      </c>
      <c r="L140" s="8">
        <f t="shared" si="5"/>
        <v>409220121122.23456</v>
      </c>
      <c r="M140" s="8">
        <f t="shared" si="4"/>
        <v>0</v>
      </c>
    </row>
    <row r="141" spans="1:13" ht="15.75" customHeight="1" x14ac:dyDescent="0.2">
      <c r="A141" s="6" t="s">
        <v>164</v>
      </c>
      <c r="B141" s="6">
        <v>11.32</v>
      </c>
      <c r="C141" s="6">
        <v>8.6999999999999993</v>
      </c>
      <c r="D141" s="6">
        <v>-1.08</v>
      </c>
      <c r="E141" s="6">
        <v>9.5</v>
      </c>
      <c r="F141" s="6">
        <v>0.15</v>
      </c>
      <c r="G141" s="6">
        <v>9.6999999999999993</v>
      </c>
      <c r="H141" s="6">
        <v>1.17</v>
      </c>
      <c r="I141" s="6">
        <v>91</v>
      </c>
      <c r="L141" s="8">
        <f t="shared" si="5"/>
        <v>43047830923248.047</v>
      </c>
      <c r="M141" s="8">
        <f t="shared" si="4"/>
        <v>9923076923076.9199</v>
      </c>
    </row>
    <row r="142" spans="1:13" ht="15.75" customHeight="1" x14ac:dyDescent="0.2">
      <c r="A142" s="6" t="s">
        <v>165</v>
      </c>
      <c r="B142" s="6">
        <v>17.190000000000001</v>
      </c>
      <c r="C142" s="6">
        <v>7.4</v>
      </c>
      <c r="D142" s="6">
        <v>0</v>
      </c>
      <c r="E142" s="6">
        <v>6.9</v>
      </c>
      <c r="F142" s="6">
        <v>0</v>
      </c>
      <c r="G142" s="6">
        <v>6.9</v>
      </c>
      <c r="H142" s="6">
        <v>0.22</v>
      </c>
      <c r="I142" s="6">
        <v>92</v>
      </c>
      <c r="L142" s="8">
        <f t="shared" si="5"/>
        <v>8006480630652.416</v>
      </c>
      <c r="M142" s="8">
        <f t="shared" ref="M142:M205" si="6">F142*10^-8*6.02*10^23/I142</f>
        <v>0</v>
      </c>
    </row>
    <row r="143" spans="1:13" ht="15.75" customHeight="1" x14ac:dyDescent="0.2">
      <c r="A143" s="6" t="s">
        <v>166</v>
      </c>
      <c r="B143" s="6">
        <v>17.28</v>
      </c>
      <c r="C143" s="6">
        <v>8.1999999999999993</v>
      </c>
      <c r="D143" s="6">
        <v>0</v>
      </c>
      <c r="E143" s="6">
        <v>8.4</v>
      </c>
      <c r="F143" s="6">
        <v>0</v>
      </c>
      <c r="G143" s="6">
        <v>8.4</v>
      </c>
      <c r="H143" s="6">
        <v>4.99E-2</v>
      </c>
      <c r="I143" s="6">
        <v>94</v>
      </c>
      <c r="L143" s="8">
        <f t="shared" si="5"/>
        <v>1777376754313.303</v>
      </c>
      <c r="M143" s="8">
        <f t="shared" si="6"/>
        <v>0</v>
      </c>
    </row>
    <row r="144" spans="1:13" ht="15.75" customHeight="1" x14ac:dyDescent="0.2">
      <c r="A144" s="6" t="s">
        <v>167</v>
      </c>
      <c r="B144" s="6">
        <v>2.76</v>
      </c>
      <c r="C144" s="6">
        <v>5.5</v>
      </c>
      <c r="D144" s="6">
        <v>0</v>
      </c>
      <c r="E144" s="6">
        <v>3.8</v>
      </c>
      <c r="F144" s="6">
        <v>0</v>
      </c>
      <c r="G144" s="6">
        <v>3.8</v>
      </c>
      <c r="H144" s="6">
        <v>2.29E-2</v>
      </c>
      <c r="I144" s="6">
        <v>96</v>
      </c>
      <c r="L144" s="8">
        <f t="shared" si="5"/>
        <v>798676770485.72473</v>
      </c>
      <c r="M144" s="8">
        <f t="shared" si="6"/>
        <v>0</v>
      </c>
    </row>
    <row r="145" spans="1:13" ht="15.75" customHeight="1" x14ac:dyDescent="0.2">
      <c r="A145" s="6" t="s">
        <v>168</v>
      </c>
      <c r="B145" s="6">
        <v>100</v>
      </c>
      <c r="C145" s="6">
        <v>7.0540000000000003</v>
      </c>
      <c r="D145" s="6">
        <v>-0.13900000000000001</v>
      </c>
      <c r="E145" s="6">
        <v>6.2530000000000001</v>
      </c>
      <c r="F145" s="6">
        <v>2.3999999999999998E-3</v>
      </c>
      <c r="G145" s="6">
        <v>6.2549999999999999</v>
      </c>
      <c r="H145" s="6">
        <v>1.1499999999999999</v>
      </c>
      <c r="I145" s="6">
        <v>92.906400000000005</v>
      </c>
      <c r="J145" s="13">
        <v>8.57</v>
      </c>
      <c r="K145" s="13">
        <v>55.548999999999999</v>
      </c>
      <c r="L145" s="8">
        <f t="shared" si="5"/>
        <v>41443746840565.313</v>
      </c>
      <c r="M145" s="8">
        <f t="shared" si="6"/>
        <v>155511353362.09341</v>
      </c>
    </row>
    <row r="146" spans="1:13" ht="15.75" customHeight="1" x14ac:dyDescent="0.2">
      <c r="A146" s="6" t="s">
        <v>169</v>
      </c>
      <c r="B146" s="6" t="s">
        <v>13</v>
      </c>
      <c r="C146" s="6">
        <v>6.7149999999999999</v>
      </c>
      <c r="D146" s="6" t="s">
        <v>13</v>
      </c>
      <c r="E146" s="6">
        <v>5.67</v>
      </c>
      <c r="F146" s="6">
        <v>0.04</v>
      </c>
      <c r="G146" s="6">
        <v>5.71</v>
      </c>
      <c r="H146" s="6">
        <v>2.48</v>
      </c>
      <c r="I146" s="6">
        <v>95.94</v>
      </c>
      <c r="J146" s="13">
        <v>10.199999999999999</v>
      </c>
      <c r="K146" s="13">
        <v>64.024000000000001</v>
      </c>
      <c r="L146" s="8">
        <f t="shared" si="5"/>
        <v>86548345589556.688</v>
      </c>
      <c r="M146" s="8">
        <f t="shared" si="6"/>
        <v>2509902022097.1436</v>
      </c>
    </row>
    <row r="147" spans="1:13" ht="15.75" customHeight="1" x14ac:dyDescent="0.2">
      <c r="A147" s="6" t="s">
        <v>170</v>
      </c>
      <c r="B147" s="6">
        <v>14.84</v>
      </c>
      <c r="C147" s="6">
        <v>6.91</v>
      </c>
      <c r="D147" s="6">
        <v>0</v>
      </c>
      <c r="E147" s="6">
        <v>6</v>
      </c>
      <c r="F147" s="6">
        <v>0</v>
      </c>
      <c r="G147" s="6">
        <v>6</v>
      </c>
      <c r="H147" s="6">
        <v>1.9E-2</v>
      </c>
      <c r="I147" s="6">
        <v>92</v>
      </c>
      <c r="L147" s="8">
        <f t="shared" si="5"/>
        <v>691468781738.16309</v>
      </c>
      <c r="M147" s="8">
        <f t="shared" si="6"/>
        <v>0</v>
      </c>
    </row>
    <row r="148" spans="1:13" ht="15.75" customHeight="1" x14ac:dyDescent="0.2">
      <c r="A148" s="6" t="s">
        <v>171</v>
      </c>
      <c r="B148" s="6">
        <v>9.25</v>
      </c>
      <c r="C148" s="6">
        <v>6.8</v>
      </c>
      <c r="D148" s="6">
        <v>0</v>
      </c>
      <c r="E148" s="6">
        <v>5.81</v>
      </c>
      <c r="F148" s="6">
        <v>0</v>
      </c>
      <c r="G148" s="6">
        <v>5.81</v>
      </c>
      <c r="H148" s="6">
        <v>1.4999999999999999E-2</v>
      </c>
      <c r="I148" s="6">
        <v>94</v>
      </c>
      <c r="L148" s="8">
        <f t="shared" si="5"/>
        <v>534281589472.93677</v>
      </c>
      <c r="M148" s="8">
        <f t="shared" si="6"/>
        <v>0</v>
      </c>
    </row>
    <row r="149" spans="1:13" ht="15.75" customHeight="1" x14ac:dyDescent="0.2">
      <c r="A149" s="6" t="s">
        <v>172</v>
      </c>
      <c r="B149" s="6">
        <v>15.92</v>
      </c>
      <c r="C149" s="6">
        <v>6.91</v>
      </c>
      <c r="D149" s="6" t="s">
        <v>13</v>
      </c>
      <c r="E149" s="6">
        <v>6</v>
      </c>
      <c r="F149" s="6">
        <v>0.5</v>
      </c>
      <c r="G149" s="6">
        <v>6.5</v>
      </c>
      <c r="H149" s="6">
        <v>13.1</v>
      </c>
      <c r="I149" s="6">
        <v>95</v>
      </c>
      <c r="L149" s="8">
        <f t="shared" si="5"/>
        <v>461694280194367.94</v>
      </c>
      <c r="M149" s="8">
        <f t="shared" si="6"/>
        <v>31684210526315.785</v>
      </c>
    </row>
    <row r="150" spans="1:13" ht="15.75" customHeight="1" x14ac:dyDescent="0.2">
      <c r="A150" s="6" t="s">
        <v>173</v>
      </c>
      <c r="B150" s="6">
        <v>16.68</v>
      </c>
      <c r="C150" s="6">
        <v>6.2</v>
      </c>
      <c r="D150" s="6">
        <v>0</v>
      </c>
      <c r="E150" s="6">
        <v>4.83</v>
      </c>
      <c r="F150" s="6">
        <v>0</v>
      </c>
      <c r="G150" s="6">
        <v>4.83</v>
      </c>
      <c r="H150" s="6">
        <v>0.5</v>
      </c>
      <c r="I150" s="6">
        <v>96</v>
      </c>
      <c r="L150" s="8">
        <f t="shared" si="5"/>
        <v>17438357434186.127</v>
      </c>
      <c r="M150" s="8">
        <f t="shared" si="6"/>
        <v>0</v>
      </c>
    </row>
    <row r="151" spans="1:13" ht="15.75" customHeight="1" x14ac:dyDescent="0.2">
      <c r="A151" s="6" t="s">
        <v>174</v>
      </c>
      <c r="B151" s="6">
        <v>9.5500000000000007</v>
      </c>
      <c r="C151" s="6">
        <v>7.24</v>
      </c>
      <c r="D151" s="6" t="s">
        <v>13</v>
      </c>
      <c r="E151" s="6">
        <v>6.59</v>
      </c>
      <c r="F151" s="6">
        <v>0.5</v>
      </c>
      <c r="G151" s="6">
        <v>7.1</v>
      </c>
      <c r="H151" s="6">
        <v>2.5</v>
      </c>
      <c r="I151" s="6">
        <v>97</v>
      </c>
      <c r="L151" s="8">
        <f t="shared" si="5"/>
        <v>86292902767106.625</v>
      </c>
      <c r="M151" s="8">
        <f t="shared" si="6"/>
        <v>31030927835051.543</v>
      </c>
    </row>
    <row r="152" spans="1:13" ht="15.75" customHeight="1" x14ac:dyDescent="0.2">
      <c r="A152" s="6" t="s">
        <v>175</v>
      </c>
      <c r="B152" s="6">
        <v>24.13</v>
      </c>
      <c r="C152" s="6">
        <v>6.58</v>
      </c>
      <c r="D152" s="6">
        <v>0</v>
      </c>
      <c r="E152" s="6">
        <v>5.44</v>
      </c>
      <c r="F152" s="6">
        <v>0</v>
      </c>
      <c r="G152" s="6">
        <v>5.44</v>
      </c>
      <c r="H152" s="6">
        <v>0.127</v>
      </c>
      <c r="I152" s="6">
        <v>98</v>
      </c>
      <c r="L152" s="8">
        <f t="shared" si="5"/>
        <v>4338948037501.9854</v>
      </c>
      <c r="M152" s="8">
        <f t="shared" si="6"/>
        <v>0</v>
      </c>
    </row>
    <row r="153" spans="1:13" ht="15.75" customHeight="1" x14ac:dyDescent="0.2">
      <c r="A153" s="6" t="s">
        <v>176</v>
      </c>
      <c r="B153" s="6">
        <v>9.6300000000000008</v>
      </c>
      <c r="C153" s="6">
        <v>6.73</v>
      </c>
      <c r="D153" s="6">
        <v>0</v>
      </c>
      <c r="E153" s="6">
        <v>5.69</v>
      </c>
      <c r="F153" s="6">
        <v>0</v>
      </c>
      <c r="G153" s="6">
        <v>5.69</v>
      </c>
      <c r="H153" s="6">
        <v>0.4</v>
      </c>
      <c r="I153" s="6">
        <v>100</v>
      </c>
      <c r="L153" s="8">
        <f t="shared" si="5"/>
        <v>13392658509454.947</v>
      </c>
      <c r="M153" s="8">
        <f t="shared" si="6"/>
        <v>0</v>
      </c>
    </row>
    <row r="154" spans="1:13" ht="15.75" customHeight="1" x14ac:dyDescent="0.2">
      <c r="A154" s="6" t="s">
        <v>177</v>
      </c>
      <c r="B154" s="6" t="s">
        <v>178</v>
      </c>
      <c r="C154" s="6">
        <v>6.8</v>
      </c>
      <c r="D154" s="6" t="s">
        <v>13</v>
      </c>
      <c r="E154" s="6">
        <v>5.8</v>
      </c>
      <c r="F154" s="6">
        <v>0.5</v>
      </c>
      <c r="G154" s="6">
        <v>6.3</v>
      </c>
      <c r="H154" s="6">
        <v>20</v>
      </c>
      <c r="I154" s="6">
        <v>98</v>
      </c>
      <c r="J154" s="13">
        <v>11.5</v>
      </c>
      <c r="K154" s="13">
        <v>70.665999999999997</v>
      </c>
      <c r="L154" s="8">
        <f t="shared" si="5"/>
        <v>683298903543619.75</v>
      </c>
      <c r="M154" s="8">
        <f t="shared" si="6"/>
        <v>30714285714285.711</v>
      </c>
    </row>
    <row r="155" spans="1:13" ht="15.75" customHeight="1" x14ac:dyDescent="0.2">
      <c r="A155" s="6" t="s">
        <v>179</v>
      </c>
      <c r="B155" s="6" t="s">
        <v>13</v>
      </c>
      <c r="C155" s="6">
        <v>7.03</v>
      </c>
      <c r="D155" s="6" t="s">
        <v>13</v>
      </c>
      <c r="E155" s="6">
        <v>6.21</v>
      </c>
      <c r="F155" s="6">
        <v>0.4</v>
      </c>
      <c r="G155" s="6">
        <v>6.6</v>
      </c>
      <c r="H155" s="6">
        <v>2.56</v>
      </c>
      <c r="I155" s="6">
        <v>101.07</v>
      </c>
      <c r="J155" s="13">
        <v>12.3</v>
      </c>
      <c r="K155" s="13">
        <v>73.286000000000001</v>
      </c>
      <c r="L155" s="8">
        <f t="shared" si="5"/>
        <v>84805594598309.766</v>
      </c>
      <c r="M155" s="8">
        <f t="shared" si="6"/>
        <v>23825071732462.652</v>
      </c>
    </row>
    <row r="156" spans="1:13" ht="15.75" customHeight="1" x14ac:dyDescent="0.2">
      <c r="A156" s="6" t="s">
        <v>180</v>
      </c>
      <c r="B156" s="6">
        <v>5.5</v>
      </c>
      <c r="C156" s="6" t="s">
        <v>13</v>
      </c>
      <c r="D156" s="6">
        <v>0</v>
      </c>
      <c r="E156" s="6" t="s">
        <v>13</v>
      </c>
      <c r="F156" s="6">
        <v>0</v>
      </c>
      <c r="G156" s="6" t="s">
        <v>13</v>
      </c>
      <c r="H156" s="6">
        <v>0.28000000000000003</v>
      </c>
      <c r="I156" s="6">
        <v>96</v>
      </c>
      <c r="L156" s="8">
        <f t="shared" si="5"/>
        <v>9765480163144.2324</v>
      </c>
      <c r="M156" s="8">
        <f t="shared" si="6"/>
        <v>0</v>
      </c>
    </row>
    <row r="157" spans="1:13" ht="15.75" customHeight="1" x14ac:dyDescent="0.2">
      <c r="A157" s="6" t="s">
        <v>181</v>
      </c>
      <c r="B157" s="6">
        <v>1.9</v>
      </c>
      <c r="C157" s="6" t="s">
        <v>13</v>
      </c>
      <c r="D157" s="6">
        <v>0</v>
      </c>
      <c r="E157" s="6" t="s">
        <v>13</v>
      </c>
      <c r="F157" s="6">
        <v>0</v>
      </c>
      <c r="G157" s="6" t="s">
        <v>13</v>
      </c>
      <c r="H157" s="6" t="s">
        <v>182</v>
      </c>
      <c r="I157" s="6"/>
      <c r="L157" s="8" t="e">
        <f t="shared" si="5"/>
        <v>#VALUE!</v>
      </c>
    </row>
    <row r="158" spans="1:13" ht="15.75" customHeight="1" x14ac:dyDescent="0.2">
      <c r="A158" s="6" t="s">
        <v>183</v>
      </c>
      <c r="B158" s="6">
        <v>12.7</v>
      </c>
      <c r="C158" s="6" t="s">
        <v>13</v>
      </c>
      <c r="D158" s="6" t="s">
        <v>13</v>
      </c>
      <c r="E158" s="6" t="s">
        <v>13</v>
      </c>
      <c r="F158" s="6" t="s">
        <v>13</v>
      </c>
      <c r="G158" s="6" t="s">
        <v>13</v>
      </c>
      <c r="H158" s="6">
        <v>6.9</v>
      </c>
      <c r="I158" s="6">
        <v>99</v>
      </c>
      <c r="L158" s="8">
        <f t="shared" si="5"/>
        <v>233356928573836.25</v>
      </c>
    </row>
    <row r="159" spans="1:13" ht="15.75" customHeight="1" x14ac:dyDescent="0.2">
      <c r="A159" s="6" t="s">
        <v>184</v>
      </c>
      <c r="B159" s="6">
        <v>12.6</v>
      </c>
      <c r="C159" s="6" t="s">
        <v>13</v>
      </c>
      <c r="D159" s="6">
        <v>0</v>
      </c>
      <c r="E159" s="6" t="s">
        <v>13</v>
      </c>
      <c r="F159" s="6">
        <v>0</v>
      </c>
      <c r="G159" s="6" t="s">
        <v>13</v>
      </c>
      <c r="H159" s="6">
        <v>4.8</v>
      </c>
      <c r="I159" s="6">
        <v>100</v>
      </c>
      <c r="L159" s="8">
        <f t="shared" si="5"/>
        <v>160711902113459.38</v>
      </c>
      <c r="M159" s="8">
        <f t="shared" si="6"/>
        <v>0</v>
      </c>
    </row>
    <row r="160" spans="1:13" ht="15.75" customHeight="1" x14ac:dyDescent="0.2">
      <c r="A160" s="6" t="s">
        <v>185</v>
      </c>
      <c r="B160" s="6">
        <v>17</v>
      </c>
      <c r="C160" s="6" t="s">
        <v>13</v>
      </c>
      <c r="D160" s="6" t="s">
        <v>13</v>
      </c>
      <c r="E160" s="6" t="s">
        <v>13</v>
      </c>
      <c r="F160" s="6" t="s">
        <v>13</v>
      </c>
      <c r="G160" s="6" t="s">
        <v>13</v>
      </c>
      <c r="H160" s="6">
        <v>3.3</v>
      </c>
      <c r="I160" s="6">
        <v>101</v>
      </c>
      <c r="L160" s="8">
        <f t="shared" si="5"/>
        <v>109395477923765.64</v>
      </c>
    </row>
    <row r="161" spans="1:13" ht="15.75" customHeight="1" x14ac:dyDescent="0.2">
      <c r="A161" s="6" t="s">
        <v>186</v>
      </c>
      <c r="B161" s="6">
        <v>31.6</v>
      </c>
      <c r="C161" s="6" t="s">
        <v>13</v>
      </c>
      <c r="D161" s="6">
        <v>0</v>
      </c>
      <c r="E161" s="6" t="s">
        <v>13</v>
      </c>
      <c r="F161" s="6">
        <v>0</v>
      </c>
      <c r="G161" s="6">
        <v>144.80000000000001</v>
      </c>
      <c r="H161" s="6">
        <v>1.17</v>
      </c>
      <c r="I161" s="6">
        <v>102</v>
      </c>
      <c r="L161" s="8">
        <f t="shared" si="5"/>
        <v>38405417784466.391</v>
      </c>
      <c r="M161" s="8">
        <f t="shared" si="6"/>
        <v>0</v>
      </c>
    </row>
    <row r="162" spans="1:13" ht="15.75" customHeight="1" x14ac:dyDescent="0.2">
      <c r="A162" s="6" t="s">
        <v>187</v>
      </c>
      <c r="B162" s="6">
        <v>18.7</v>
      </c>
      <c r="C162" s="6" t="s">
        <v>13</v>
      </c>
      <c r="D162" s="6">
        <v>0</v>
      </c>
      <c r="E162" s="6" t="s">
        <v>13</v>
      </c>
      <c r="F162" s="6">
        <v>0</v>
      </c>
      <c r="G162" s="6">
        <v>4.4829999999999997</v>
      </c>
      <c r="H162" s="6">
        <v>0.31</v>
      </c>
      <c r="I162" s="6">
        <v>104</v>
      </c>
      <c r="L162" s="8">
        <f t="shared" si="5"/>
        <v>9980106100795.7539</v>
      </c>
      <c r="M162" s="8">
        <f t="shared" si="6"/>
        <v>0</v>
      </c>
    </row>
    <row r="163" spans="1:13" ht="15.75" customHeight="1" x14ac:dyDescent="0.2">
      <c r="A163" s="6" t="s">
        <v>188</v>
      </c>
      <c r="B163" s="6">
        <v>100</v>
      </c>
      <c r="C163" s="6">
        <v>5.88</v>
      </c>
      <c r="D163" s="6" t="s">
        <v>13</v>
      </c>
      <c r="E163" s="6">
        <v>4.34</v>
      </c>
      <c r="F163" s="6">
        <v>0.3</v>
      </c>
      <c r="G163" s="6">
        <v>4.5999999999999996</v>
      </c>
      <c r="H163" s="6">
        <v>144.80000000000001</v>
      </c>
      <c r="I163" s="6">
        <v>102.90600000000001</v>
      </c>
      <c r="J163" s="13">
        <v>12.4</v>
      </c>
      <c r="K163" s="13">
        <v>72.563999999999993</v>
      </c>
      <c r="L163" s="8">
        <f t="shared" si="5"/>
        <v>4711233922631033</v>
      </c>
      <c r="M163" s="8">
        <f t="shared" si="6"/>
        <v>17549997084718.086</v>
      </c>
    </row>
    <row r="164" spans="1:13" ht="15.75" customHeight="1" x14ac:dyDescent="0.2">
      <c r="A164" s="6" t="s">
        <v>189</v>
      </c>
      <c r="B164" s="6" t="s">
        <v>13</v>
      </c>
      <c r="C164" s="6">
        <v>5.91</v>
      </c>
      <c r="D164" s="6" t="s">
        <v>13</v>
      </c>
      <c r="E164" s="6">
        <v>4.3899999999999997</v>
      </c>
      <c r="F164" s="6">
        <v>9.2999999999999999E-2</v>
      </c>
      <c r="G164" s="6">
        <v>4.4800000000000004</v>
      </c>
      <c r="H164" s="6">
        <v>6.9</v>
      </c>
      <c r="I164" s="6">
        <v>106.4</v>
      </c>
      <c r="J164" s="13">
        <v>12.02</v>
      </c>
      <c r="K164" s="13">
        <v>68.03</v>
      </c>
      <c r="L164" s="8">
        <f t="shared" si="5"/>
        <v>217127217376031.84</v>
      </c>
      <c r="M164" s="8">
        <f t="shared" si="6"/>
        <v>5261842105263.1563</v>
      </c>
    </row>
    <row r="165" spans="1:13" ht="15.75" customHeight="1" x14ac:dyDescent="0.2">
      <c r="A165" s="6" t="s">
        <v>190</v>
      </c>
      <c r="B165" s="6">
        <v>1.02</v>
      </c>
      <c r="C165" s="6">
        <v>7.7</v>
      </c>
      <c r="D165" s="6">
        <v>0</v>
      </c>
      <c r="E165" s="6" t="s">
        <v>191</v>
      </c>
      <c r="F165" s="6">
        <v>0</v>
      </c>
      <c r="G165" s="6" t="s">
        <v>191</v>
      </c>
      <c r="H165" s="6">
        <v>3.4</v>
      </c>
      <c r="I165" s="6">
        <v>102</v>
      </c>
      <c r="L165" s="8">
        <f t="shared" si="5"/>
        <v>111605487578791.23</v>
      </c>
      <c r="M165" s="8">
        <f t="shared" si="6"/>
        <v>0</v>
      </c>
    </row>
    <row r="166" spans="1:13" ht="15.75" customHeight="1" x14ac:dyDescent="0.2">
      <c r="A166" s="6" t="s">
        <v>192</v>
      </c>
      <c r="B166" s="6">
        <v>11.14</v>
      </c>
      <c r="C166" s="6">
        <v>7.7</v>
      </c>
      <c r="D166" s="6">
        <v>0</v>
      </c>
      <c r="E166" s="6" t="s">
        <v>191</v>
      </c>
      <c r="F166" s="6">
        <v>0</v>
      </c>
      <c r="G166" s="6" t="s">
        <v>191</v>
      </c>
      <c r="H166" s="6">
        <v>0.6</v>
      </c>
      <c r="I166" s="6">
        <v>104</v>
      </c>
      <c r="L166" s="8">
        <f t="shared" si="5"/>
        <v>19316334388636.941</v>
      </c>
      <c r="M166" s="8">
        <f t="shared" si="6"/>
        <v>0</v>
      </c>
    </row>
    <row r="167" spans="1:13" ht="15.75" customHeight="1" x14ac:dyDescent="0.2">
      <c r="A167" s="6" t="s">
        <v>193</v>
      </c>
      <c r="B167" s="6">
        <v>22.33</v>
      </c>
      <c r="C167" s="6">
        <v>5.5</v>
      </c>
      <c r="D167" s="6" t="s">
        <v>194</v>
      </c>
      <c r="E167" s="6">
        <v>3.8</v>
      </c>
      <c r="F167" s="6">
        <v>0.8</v>
      </c>
      <c r="G167" s="6" t="s">
        <v>195</v>
      </c>
      <c r="H167" s="6">
        <v>20</v>
      </c>
      <c r="I167" s="6">
        <v>105</v>
      </c>
      <c r="L167" s="8">
        <f t="shared" si="5"/>
        <v>637745643307378.5</v>
      </c>
      <c r="M167" s="8">
        <f t="shared" si="6"/>
        <v>45866666666666.664</v>
      </c>
    </row>
    <row r="168" spans="1:13" ht="15.75" customHeight="1" x14ac:dyDescent="0.2">
      <c r="A168" s="6" t="s">
        <v>196</v>
      </c>
      <c r="B168" s="6">
        <v>27.33</v>
      </c>
      <c r="C168" s="6">
        <v>6.4</v>
      </c>
      <c r="D168" s="6">
        <v>0</v>
      </c>
      <c r="E168" s="6">
        <v>5.0999999999999996</v>
      </c>
      <c r="F168" s="6">
        <v>0</v>
      </c>
      <c r="G168" s="6">
        <v>5.0999999999999996</v>
      </c>
      <c r="H168" s="6">
        <v>0.30399999999999999</v>
      </c>
      <c r="I168" s="6">
        <v>106</v>
      </c>
      <c r="L168" s="8">
        <f t="shared" si="5"/>
        <v>9602283459609.207</v>
      </c>
      <c r="M168" s="8">
        <f t="shared" si="6"/>
        <v>0</v>
      </c>
    </row>
    <row r="169" spans="1:13" ht="15.75" customHeight="1" x14ac:dyDescent="0.2">
      <c r="A169" s="6" t="s">
        <v>197</v>
      </c>
      <c r="B169" s="6">
        <v>26.46</v>
      </c>
      <c r="C169" s="6">
        <v>4.0999999999999996</v>
      </c>
      <c r="D169" s="6">
        <v>0</v>
      </c>
      <c r="E169" s="6">
        <v>2.1</v>
      </c>
      <c r="F169" s="6">
        <v>0</v>
      </c>
      <c r="G169" s="6">
        <v>2.1</v>
      </c>
      <c r="H169" s="6">
        <v>8.5500000000000007</v>
      </c>
      <c r="I169" s="6">
        <v>108</v>
      </c>
      <c r="L169" s="8">
        <f t="shared" si="5"/>
        <v>265063032999629.19</v>
      </c>
      <c r="M169" s="8">
        <f t="shared" si="6"/>
        <v>0</v>
      </c>
    </row>
    <row r="170" spans="1:13" ht="15.75" customHeight="1" x14ac:dyDescent="0.2">
      <c r="A170" s="6" t="s">
        <v>198</v>
      </c>
      <c r="B170" s="6">
        <v>11.72</v>
      </c>
      <c r="C170" s="6">
        <v>7.7</v>
      </c>
      <c r="D170" s="6">
        <v>0</v>
      </c>
      <c r="E170" s="6" t="s">
        <v>191</v>
      </c>
      <c r="F170" s="6">
        <v>0</v>
      </c>
      <c r="G170" s="6" t="s">
        <v>191</v>
      </c>
      <c r="H170" s="6">
        <v>0.22600000000000001</v>
      </c>
      <c r="I170" s="6">
        <v>110</v>
      </c>
      <c r="L170" s="8">
        <f t="shared" si="5"/>
        <v>6878956416220.041</v>
      </c>
      <c r="M170" s="8">
        <f t="shared" si="6"/>
        <v>0</v>
      </c>
    </row>
    <row r="171" spans="1:13" ht="15.75" customHeight="1" x14ac:dyDescent="0.2">
      <c r="A171" s="6" t="s">
        <v>199</v>
      </c>
      <c r="B171" s="6" t="s">
        <v>13</v>
      </c>
      <c r="C171" s="6">
        <v>5.9219999999999997</v>
      </c>
      <c r="D171" s="6" t="s">
        <v>13</v>
      </c>
      <c r="E171" s="6">
        <v>4.407</v>
      </c>
      <c r="F171" s="6">
        <v>0.57999999999999996</v>
      </c>
      <c r="G171" s="6">
        <v>4.99</v>
      </c>
      <c r="H171" s="6">
        <v>63.3</v>
      </c>
      <c r="I171" s="6">
        <v>107.86799999999999</v>
      </c>
      <c r="J171" s="13">
        <v>10.5</v>
      </c>
      <c r="K171" s="13">
        <v>58.619</v>
      </c>
      <c r="L171" s="8">
        <f t="shared" si="5"/>
        <v>1964797909594361.5</v>
      </c>
      <c r="M171" s="8">
        <f t="shared" si="6"/>
        <v>32369191975377.305</v>
      </c>
    </row>
    <row r="172" spans="1:13" ht="15.75" customHeight="1" x14ac:dyDescent="0.2">
      <c r="A172" s="6" t="s">
        <v>200</v>
      </c>
      <c r="B172" s="6">
        <v>51.83</v>
      </c>
      <c r="C172" s="6">
        <v>7.5549999999999997</v>
      </c>
      <c r="D172" s="6">
        <v>1</v>
      </c>
      <c r="E172" s="6">
        <v>7.17</v>
      </c>
      <c r="F172" s="6">
        <v>0.13</v>
      </c>
      <c r="G172" s="6">
        <v>7.3</v>
      </c>
      <c r="H172" s="6">
        <v>37.6</v>
      </c>
      <c r="I172" s="6">
        <v>107</v>
      </c>
      <c r="L172" s="8">
        <f t="shared" si="5"/>
        <v>1176551308307257.3</v>
      </c>
      <c r="M172" s="8">
        <f t="shared" si="6"/>
        <v>7314018691588.7852</v>
      </c>
    </row>
    <row r="173" spans="1:13" ht="15.75" customHeight="1" x14ac:dyDescent="0.2">
      <c r="A173" s="6" t="s">
        <v>201</v>
      </c>
      <c r="B173" s="6">
        <v>48.17</v>
      </c>
      <c r="C173" s="6">
        <v>4.165</v>
      </c>
      <c r="D173" s="6">
        <v>-1.6</v>
      </c>
      <c r="E173" s="6">
        <v>2.1800000000000002</v>
      </c>
      <c r="F173" s="6">
        <v>0.32</v>
      </c>
      <c r="G173" s="6">
        <v>2.5</v>
      </c>
      <c r="H173" s="6">
        <v>91</v>
      </c>
      <c r="I173" s="6">
        <v>109</v>
      </c>
      <c r="L173" s="8">
        <f t="shared" si="5"/>
        <v>2795256707248624</v>
      </c>
      <c r="M173" s="8">
        <f t="shared" si="6"/>
        <v>17673394495412.84</v>
      </c>
    </row>
    <row r="174" spans="1:13" ht="15.75" customHeight="1" x14ac:dyDescent="0.2">
      <c r="A174" s="6" t="s">
        <v>202</v>
      </c>
      <c r="B174" s="6" t="s">
        <v>13</v>
      </c>
      <c r="C174" s="6">
        <v>4.87</v>
      </c>
      <c r="D174" s="6" t="s">
        <v>13</v>
      </c>
      <c r="E174" s="6">
        <v>3.04</v>
      </c>
      <c r="F174" s="6">
        <v>3.46</v>
      </c>
      <c r="G174" s="6">
        <v>6.5</v>
      </c>
      <c r="H174" s="6">
        <v>2520</v>
      </c>
      <c r="I174" s="6">
        <v>112.41</v>
      </c>
      <c r="J174" s="13">
        <v>8.6419999999999995</v>
      </c>
      <c r="K174" s="13">
        <v>46.296999999999997</v>
      </c>
      <c r="L174" s="8">
        <f t="shared" si="5"/>
        <v>7.5058934800788352E+16</v>
      </c>
      <c r="M174" s="8">
        <f t="shared" si="6"/>
        <v>185296681789876.31</v>
      </c>
    </row>
    <row r="175" spans="1:13" ht="15.75" customHeight="1" x14ac:dyDescent="0.2">
      <c r="A175" s="6" t="s">
        <v>203</v>
      </c>
      <c r="B175" s="6">
        <v>1.25</v>
      </c>
      <c r="C175" s="6">
        <v>5</v>
      </c>
      <c r="D175" s="6">
        <v>0</v>
      </c>
      <c r="E175" s="6">
        <v>3.1</v>
      </c>
      <c r="F175" s="6">
        <v>0</v>
      </c>
      <c r="G175" s="6" t="s">
        <v>204</v>
      </c>
      <c r="H175" s="6">
        <v>1</v>
      </c>
      <c r="I175" s="6">
        <v>106</v>
      </c>
      <c r="L175" s="8">
        <f t="shared" si="5"/>
        <v>31586458748714.496</v>
      </c>
      <c r="M175" s="8">
        <f t="shared" si="6"/>
        <v>0</v>
      </c>
    </row>
    <row r="176" spans="1:13" ht="15.75" customHeight="1" x14ac:dyDescent="0.2">
      <c r="A176" s="6" t="s">
        <v>205</v>
      </c>
      <c r="B176" s="6">
        <v>0.89</v>
      </c>
      <c r="C176" s="6">
        <v>5.4</v>
      </c>
      <c r="D176" s="6">
        <v>0</v>
      </c>
      <c r="E176" s="6">
        <v>3.7</v>
      </c>
      <c r="F176" s="6">
        <v>0</v>
      </c>
      <c r="G176" s="6">
        <v>3.7</v>
      </c>
      <c r="H176" s="6">
        <v>1.1000000000000001</v>
      </c>
      <c r="I176" s="6">
        <v>108</v>
      </c>
      <c r="L176" s="8">
        <f t="shared" si="5"/>
        <v>34101676760186.215</v>
      </c>
      <c r="M176" s="8">
        <f t="shared" si="6"/>
        <v>0</v>
      </c>
    </row>
    <row r="177" spans="1:13" ht="15.75" customHeight="1" x14ac:dyDescent="0.2">
      <c r="A177" s="6" t="s">
        <v>206</v>
      </c>
      <c r="B177" s="6">
        <v>12.51</v>
      </c>
      <c r="C177" s="6">
        <v>5.9</v>
      </c>
      <c r="D177" s="6">
        <v>0</v>
      </c>
      <c r="E177" s="6">
        <v>4.4000000000000004</v>
      </c>
      <c r="F177" s="6">
        <v>0</v>
      </c>
      <c r="G177" s="6">
        <v>4.4000000000000004</v>
      </c>
      <c r="H177" s="6">
        <v>11</v>
      </c>
      <c r="I177" s="6">
        <v>110</v>
      </c>
      <c r="L177" s="8">
        <f t="shared" si="5"/>
        <v>334816462736373.75</v>
      </c>
      <c r="M177" s="8">
        <f t="shared" si="6"/>
        <v>0</v>
      </c>
    </row>
    <row r="178" spans="1:13" ht="15.75" customHeight="1" x14ac:dyDescent="0.2">
      <c r="A178" s="6" t="s">
        <v>207</v>
      </c>
      <c r="B178" s="6">
        <v>12.81</v>
      </c>
      <c r="C178" s="6">
        <v>6.5</v>
      </c>
      <c r="D178" s="6" t="s">
        <v>13</v>
      </c>
      <c r="E178" s="6">
        <v>5.3</v>
      </c>
      <c r="F178" s="6">
        <v>0.3</v>
      </c>
      <c r="G178" s="6">
        <v>5.6</v>
      </c>
      <c r="H178" s="6">
        <v>24</v>
      </c>
      <c r="I178" s="6">
        <v>111</v>
      </c>
      <c r="L178" s="8">
        <f t="shared" si="5"/>
        <v>723927486997564.88</v>
      </c>
      <c r="M178" s="8">
        <f t="shared" si="6"/>
        <v>16270270270270.266</v>
      </c>
    </row>
    <row r="179" spans="1:13" ht="15.75" customHeight="1" x14ac:dyDescent="0.2">
      <c r="A179" s="6" t="s">
        <v>208</v>
      </c>
      <c r="B179" s="6">
        <v>24.13</v>
      </c>
      <c r="C179" s="6">
        <v>6.4</v>
      </c>
      <c r="D179" s="6">
        <v>0</v>
      </c>
      <c r="E179" s="6">
        <v>5.0999999999999996</v>
      </c>
      <c r="F179" s="6">
        <v>0</v>
      </c>
      <c r="G179" s="6">
        <v>5.0999999999999996</v>
      </c>
      <c r="H179" s="6">
        <v>2.2000000000000002</v>
      </c>
      <c r="I179" s="6">
        <v>112</v>
      </c>
      <c r="L179" s="8">
        <f t="shared" si="5"/>
        <v>65767519466073.414</v>
      </c>
      <c r="M179" s="8">
        <f t="shared" si="6"/>
        <v>0</v>
      </c>
    </row>
    <row r="180" spans="1:13" ht="15.75" customHeight="1" x14ac:dyDescent="0.2">
      <c r="A180" s="6" t="s">
        <v>209</v>
      </c>
      <c r="B180" s="6">
        <v>12.22</v>
      </c>
      <c r="C180" s="6">
        <v>-8</v>
      </c>
      <c r="D180" s="6" t="s">
        <v>13</v>
      </c>
      <c r="E180" s="6">
        <v>12.1</v>
      </c>
      <c r="F180" s="6">
        <v>0.3</v>
      </c>
      <c r="G180" s="6">
        <v>12.4</v>
      </c>
      <c r="H180" s="6">
        <v>20600</v>
      </c>
      <c r="I180" s="6">
        <v>113</v>
      </c>
      <c r="L180" s="8">
        <f t="shared" si="5"/>
        <v>6.1037337454595558E+17</v>
      </c>
      <c r="M180" s="8">
        <f t="shared" si="6"/>
        <v>15982300884955.748</v>
      </c>
    </row>
    <row r="181" spans="1:13" ht="15.75" customHeight="1" x14ac:dyDescent="0.2">
      <c r="A181" s="6" t="s">
        <v>210</v>
      </c>
      <c r="B181" s="6">
        <v>28.72</v>
      </c>
      <c r="C181" s="6">
        <v>7.5</v>
      </c>
      <c r="D181" s="6">
        <v>0</v>
      </c>
      <c r="E181" s="6">
        <v>7.1</v>
      </c>
      <c r="F181" s="6">
        <v>0</v>
      </c>
      <c r="G181" s="6">
        <v>7.1</v>
      </c>
      <c r="H181" s="6">
        <v>0.34</v>
      </c>
      <c r="I181" s="6">
        <v>114</v>
      </c>
      <c r="L181" s="8">
        <f t="shared" si="5"/>
        <v>9985754151786.5859</v>
      </c>
      <c r="M181" s="8">
        <f t="shared" si="6"/>
        <v>0</v>
      </c>
    </row>
    <row r="182" spans="1:13" ht="15.75" customHeight="1" x14ac:dyDescent="0.2">
      <c r="A182" s="6" t="s">
        <v>211</v>
      </c>
      <c r="B182" s="6">
        <v>7.47</v>
      </c>
      <c r="C182" s="6">
        <v>6.3</v>
      </c>
      <c r="D182" s="6">
        <v>0</v>
      </c>
      <c r="E182" s="6">
        <v>5</v>
      </c>
      <c r="F182" s="6">
        <v>0</v>
      </c>
      <c r="G182" s="6">
        <v>5</v>
      </c>
      <c r="H182" s="6">
        <v>7.4999999999999997E-2</v>
      </c>
      <c r="I182" s="6">
        <v>116</v>
      </c>
      <c r="L182" s="8">
        <f t="shared" si="5"/>
        <v>2164761612519.6572</v>
      </c>
      <c r="M182" s="8">
        <f t="shared" si="6"/>
        <v>0</v>
      </c>
    </row>
    <row r="183" spans="1:13" ht="15.75" customHeight="1" x14ac:dyDescent="0.2">
      <c r="A183" s="6" t="s">
        <v>212</v>
      </c>
      <c r="B183" s="6" t="s">
        <v>13</v>
      </c>
      <c r="C183" s="6">
        <v>4.0650000000000004</v>
      </c>
      <c r="D183" s="6" t="s">
        <v>13</v>
      </c>
      <c r="E183" s="6">
        <v>2.08</v>
      </c>
      <c r="F183" s="6">
        <v>0.54</v>
      </c>
      <c r="G183" s="6">
        <v>2.62</v>
      </c>
      <c r="H183" s="6">
        <v>193.8</v>
      </c>
      <c r="I183" s="6">
        <v>114.82</v>
      </c>
      <c r="J183" s="13">
        <v>7.3</v>
      </c>
      <c r="K183" s="13">
        <v>38.286999999999999</v>
      </c>
      <c r="L183" s="8">
        <f t="shared" si="5"/>
        <v>5651230663500195</v>
      </c>
      <c r="M183" s="8">
        <f t="shared" si="6"/>
        <v>28312140742031.008</v>
      </c>
    </row>
    <row r="184" spans="1:13" ht="15.75" customHeight="1" x14ac:dyDescent="0.2">
      <c r="A184" s="6" t="s">
        <v>213</v>
      </c>
      <c r="B184" s="6">
        <v>4.3</v>
      </c>
      <c r="C184" s="6">
        <v>5.39</v>
      </c>
      <c r="D184" s="6" t="s">
        <v>214</v>
      </c>
      <c r="E184" s="6">
        <v>3.65</v>
      </c>
      <c r="F184" s="6">
        <v>3.6999999999999998E-5</v>
      </c>
      <c r="G184" s="6">
        <v>3.65</v>
      </c>
      <c r="H184" s="6">
        <v>12</v>
      </c>
      <c r="I184" s="6">
        <v>113</v>
      </c>
      <c r="L184" s="8">
        <f t="shared" si="5"/>
        <v>355557305560750.88</v>
      </c>
      <c r="M184" s="8">
        <f t="shared" si="6"/>
        <v>1971150442.4778755</v>
      </c>
    </row>
    <row r="185" spans="1:13" ht="15.75" customHeight="1" x14ac:dyDescent="0.2">
      <c r="A185" s="6" t="s">
        <v>215</v>
      </c>
      <c r="B185" s="6">
        <v>95.7</v>
      </c>
      <c r="C185" s="6">
        <v>4.01</v>
      </c>
      <c r="D185" s="6">
        <v>-2.1</v>
      </c>
      <c r="E185" s="6">
        <v>2.02</v>
      </c>
      <c r="F185" s="6">
        <v>0.55000000000000004</v>
      </c>
      <c r="G185" s="6">
        <v>2.57</v>
      </c>
      <c r="H185" s="6">
        <v>202</v>
      </c>
      <c r="I185" s="6">
        <v>115</v>
      </c>
      <c r="L185" s="8">
        <f t="shared" si="5"/>
        <v>5881123954151956</v>
      </c>
      <c r="M185" s="8">
        <f t="shared" si="6"/>
        <v>28791304347826.086</v>
      </c>
    </row>
    <row r="186" spans="1:13" ht="15.75" customHeight="1" x14ac:dyDescent="0.2">
      <c r="A186" s="6" t="s">
        <v>216</v>
      </c>
      <c r="B186" s="6" t="s">
        <v>13</v>
      </c>
      <c r="C186" s="6">
        <v>6.2249999999999996</v>
      </c>
      <c r="D186" s="6" t="s">
        <v>13</v>
      </c>
      <c r="E186" s="6">
        <v>4.8710000000000004</v>
      </c>
      <c r="F186" s="6">
        <v>2.1999999999999999E-2</v>
      </c>
      <c r="G186" s="6">
        <v>4.8920000000000003</v>
      </c>
      <c r="H186" s="6">
        <v>0.626</v>
      </c>
      <c r="I186" s="6">
        <v>118.69</v>
      </c>
      <c r="J186" s="13">
        <v>7.28</v>
      </c>
      <c r="K186" s="13">
        <v>36.936999999999998</v>
      </c>
      <c r="L186" s="8">
        <f t="shared" si="5"/>
        <v>17659036622543.594</v>
      </c>
      <c r="M186" s="8">
        <f t="shared" si="6"/>
        <v>1115848007414.2725</v>
      </c>
    </row>
    <row r="187" spans="1:13" ht="15.75" customHeight="1" x14ac:dyDescent="0.2">
      <c r="A187" s="6" t="s">
        <v>217</v>
      </c>
      <c r="B187" s="6">
        <v>1</v>
      </c>
      <c r="C187" s="6">
        <v>6</v>
      </c>
      <c r="D187" s="6">
        <v>0</v>
      </c>
      <c r="E187" s="6" t="s">
        <v>122</v>
      </c>
      <c r="F187" s="6">
        <v>0</v>
      </c>
      <c r="G187" s="6" t="s">
        <v>122</v>
      </c>
      <c r="H187" s="6">
        <v>1</v>
      </c>
      <c r="I187" s="6">
        <v>112</v>
      </c>
      <c r="L187" s="8">
        <f t="shared" si="5"/>
        <v>29894327030033.363</v>
      </c>
      <c r="M187" s="8">
        <f t="shared" si="6"/>
        <v>0</v>
      </c>
    </row>
    <row r="188" spans="1:13" ht="15.75" customHeight="1" x14ac:dyDescent="0.2">
      <c r="A188" s="6" t="s">
        <v>218</v>
      </c>
      <c r="B188" s="6">
        <v>0.7</v>
      </c>
      <c r="C188" s="6">
        <v>6.2</v>
      </c>
      <c r="D188" s="6">
        <v>0</v>
      </c>
      <c r="E188" s="6">
        <v>4.8</v>
      </c>
      <c r="F188" s="6">
        <v>0</v>
      </c>
      <c r="G188" s="6">
        <v>4.8</v>
      </c>
      <c r="H188" s="6">
        <v>0.114</v>
      </c>
      <c r="I188" s="6">
        <v>114</v>
      </c>
      <c r="L188" s="8">
        <f t="shared" si="5"/>
        <v>3348164627363.7373</v>
      </c>
      <c r="M188" s="8">
        <f t="shared" si="6"/>
        <v>0</v>
      </c>
    </row>
    <row r="189" spans="1:13" ht="15.75" customHeight="1" x14ac:dyDescent="0.2">
      <c r="A189" s="6" t="s">
        <v>219</v>
      </c>
      <c r="B189" s="6">
        <v>0.4</v>
      </c>
      <c r="C189" s="6">
        <v>6</v>
      </c>
      <c r="D189" s="6" t="s">
        <v>13</v>
      </c>
      <c r="E189" s="6" t="s">
        <v>122</v>
      </c>
      <c r="F189" s="6">
        <v>0.3</v>
      </c>
      <c r="G189" s="6" t="s">
        <v>220</v>
      </c>
      <c r="H189" s="6">
        <v>30</v>
      </c>
      <c r="I189" s="6">
        <v>115</v>
      </c>
      <c r="L189" s="8">
        <f t="shared" si="5"/>
        <v>873434250616626.88</v>
      </c>
      <c r="M189" s="8">
        <f t="shared" si="6"/>
        <v>15704347826086.953</v>
      </c>
    </row>
    <row r="190" spans="1:13" ht="15.75" customHeight="1" x14ac:dyDescent="0.2">
      <c r="A190" s="6" t="s">
        <v>221</v>
      </c>
      <c r="B190" s="6">
        <v>14.7</v>
      </c>
      <c r="C190" s="6">
        <v>5.93</v>
      </c>
      <c r="D190" s="6">
        <v>0</v>
      </c>
      <c r="E190" s="6">
        <v>4.42</v>
      </c>
      <c r="F190" s="6">
        <v>0</v>
      </c>
      <c r="G190" s="6">
        <v>4.42</v>
      </c>
      <c r="H190" s="6">
        <v>0.14000000000000001</v>
      </c>
      <c r="I190" s="6">
        <v>116</v>
      </c>
      <c r="L190" s="8">
        <f t="shared" si="5"/>
        <v>4040888343370.0273</v>
      </c>
      <c r="M190" s="8">
        <f t="shared" si="6"/>
        <v>0</v>
      </c>
    </row>
    <row r="191" spans="1:13" ht="15.75" customHeight="1" x14ac:dyDescent="0.2">
      <c r="A191" s="6" t="s">
        <v>222</v>
      </c>
      <c r="B191" s="6">
        <v>7.7</v>
      </c>
      <c r="C191" s="6">
        <v>6.48</v>
      </c>
      <c r="D191" s="6" t="s">
        <v>13</v>
      </c>
      <c r="E191" s="6">
        <v>5.28</v>
      </c>
      <c r="F191" s="6">
        <v>0.3</v>
      </c>
      <c r="G191" s="6">
        <v>5.6</v>
      </c>
      <c r="H191" s="6">
        <v>2.2999999999999998</v>
      </c>
      <c r="I191" s="6">
        <v>117</v>
      </c>
      <c r="L191" s="8">
        <f t="shared" si="5"/>
        <v>65818620879799.961</v>
      </c>
      <c r="M191" s="8">
        <f t="shared" si="6"/>
        <v>15435897435897.432</v>
      </c>
    </row>
    <row r="192" spans="1:13" ht="15.75" customHeight="1" x14ac:dyDescent="0.2">
      <c r="A192" s="6" t="s">
        <v>223</v>
      </c>
      <c r="B192" s="6">
        <v>24.3</v>
      </c>
      <c r="C192" s="6">
        <v>6.07</v>
      </c>
      <c r="D192" s="6">
        <v>0</v>
      </c>
      <c r="E192" s="6">
        <v>4.63</v>
      </c>
      <c r="F192" s="6">
        <v>0</v>
      </c>
      <c r="G192" s="6">
        <v>4.63</v>
      </c>
      <c r="H192" s="6">
        <v>0.22</v>
      </c>
      <c r="I192" s="6">
        <v>118</v>
      </c>
      <c r="L192" s="8">
        <f t="shared" si="5"/>
        <v>6242340830678.1543</v>
      </c>
      <c r="M192" s="8">
        <f t="shared" si="6"/>
        <v>0</v>
      </c>
    </row>
    <row r="193" spans="1:13" ht="15.75" customHeight="1" x14ac:dyDescent="0.2">
      <c r="A193" s="6" t="s">
        <v>224</v>
      </c>
      <c r="B193" s="6">
        <v>8.6</v>
      </c>
      <c r="C193" s="6">
        <v>6.12</v>
      </c>
      <c r="D193" s="6" t="s">
        <v>13</v>
      </c>
      <c r="E193" s="6">
        <v>4.71</v>
      </c>
      <c r="F193" s="6">
        <v>0.3</v>
      </c>
      <c r="G193" s="6">
        <v>5</v>
      </c>
      <c r="H193" s="6">
        <v>2.2000000000000002</v>
      </c>
      <c r="I193" s="6">
        <v>119</v>
      </c>
      <c r="L193" s="8">
        <f t="shared" si="5"/>
        <v>61898841850422.031</v>
      </c>
      <c r="M193" s="8">
        <f t="shared" si="6"/>
        <v>15176470588235.289</v>
      </c>
    </row>
    <row r="194" spans="1:13" ht="15.75" customHeight="1" x14ac:dyDescent="0.2">
      <c r="A194" s="6" t="s">
        <v>225</v>
      </c>
      <c r="B194" s="6">
        <v>32.4</v>
      </c>
      <c r="C194" s="6">
        <v>6.49</v>
      </c>
      <c r="D194" s="6">
        <v>0</v>
      </c>
      <c r="E194" s="6">
        <v>5.29</v>
      </c>
      <c r="F194" s="6">
        <v>0</v>
      </c>
      <c r="G194" s="6">
        <v>5.29</v>
      </c>
      <c r="H194" s="6">
        <v>0.14000000000000001</v>
      </c>
      <c r="I194" s="6">
        <v>120</v>
      </c>
      <c r="L194" s="8">
        <f t="shared" si="5"/>
        <v>3906192065257.6934</v>
      </c>
      <c r="M194" s="8">
        <f t="shared" si="6"/>
        <v>0</v>
      </c>
    </row>
    <row r="195" spans="1:13" ht="15.75" customHeight="1" x14ac:dyDescent="0.2">
      <c r="A195" s="6" t="s">
        <v>226</v>
      </c>
      <c r="B195" s="6">
        <v>4.5999999999999996</v>
      </c>
      <c r="C195" s="6">
        <v>5.74</v>
      </c>
      <c r="D195" s="6">
        <v>0</v>
      </c>
      <c r="E195" s="6">
        <v>4.1399999999999997</v>
      </c>
      <c r="F195" s="6">
        <v>0</v>
      </c>
      <c r="G195" s="6">
        <v>4.1399999999999997</v>
      </c>
      <c r="H195" s="6">
        <v>0.18</v>
      </c>
      <c r="I195" s="6">
        <v>122</v>
      </c>
      <c r="L195" s="8">
        <f t="shared" si="5"/>
        <v>4939915023979.2842</v>
      </c>
      <c r="M195" s="8">
        <f t="shared" si="6"/>
        <v>0</v>
      </c>
    </row>
    <row r="196" spans="1:13" ht="15.75" customHeight="1" x14ac:dyDescent="0.2">
      <c r="A196" s="6" t="s">
        <v>227</v>
      </c>
      <c r="B196" s="6">
        <v>5.6</v>
      </c>
      <c r="C196" s="6">
        <v>5.97</v>
      </c>
      <c r="D196" s="6">
        <v>0</v>
      </c>
      <c r="E196" s="6">
        <v>4.4800000000000004</v>
      </c>
      <c r="F196" s="6">
        <v>0</v>
      </c>
      <c r="G196" s="6">
        <v>4.4800000000000004</v>
      </c>
      <c r="H196" s="6">
        <v>0.13300000000000001</v>
      </c>
      <c r="I196" s="6">
        <v>124</v>
      </c>
      <c r="L196" s="8">
        <f t="shared" ref="L196:L259" si="7">(H196*10^-8/1.798)*6.02*10^23/I196</f>
        <v>3591176576124.0088</v>
      </c>
      <c r="M196" s="8">
        <f t="shared" si="6"/>
        <v>0</v>
      </c>
    </row>
    <row r="197" spans="1:13" ht="15.75" customHeight="1" x14ac:dyDescent="0.2">
      <c r="A197" s="6" t="s">
        <v>228</v>
      </c>
      <c r="B197" s="6" t="s">
        <v>13</v>
      </c>
      <c r="C197" s="6">
        <v>5.57</v>
      </c>
      <c r="D197" s="6" t="s">
        <v>13</v>
      </c>
      <c r="E197" s="6">
        <v>3.9</v>
      </c>
      <c r="F197" s="6">
        <v>7.0000000000000001E-3</v>
      </c>
      <c r="G197" s="6">
        <v>3.9</v>
      </c>
      <c r="H197" s="6">
        <v>4.91</v>
      </c>
      <c r="I197" s="6">
        <v>121.75</v>
      </c>
      <c r="J197" s="13">
        <v>6.6840000000000002</v>
      </c>
      <c r="K197" s="13">
        <v>33.06</v>
      </c>
      <c r="L197" s="8">
        <f t="shared" si="7"/>
        <v>135026598113806.55</v>
      </c>
      <c r="M197" s="8">
        <f t="shared" si="6"/>
        <v>346119096509.24023</v>
      </c>
    </row>
    <row r="198" spans="1:13" ht="15.75" customHeight="1" x14ac:dyDescent="0.2">
      <c r="A198" s="6" t="s">
        <v>229</v>
      </c>
      <c r="B198" s="6">
        <v>57.3</v>
      </c>
      <c r="C198" s="6">
        <v>5.71</v>
      </c>
      <c r="D198" s="6">
        <v>-0.05</v>
      </c>
      <c r="E198" s="6">
        <v>4.0999999999999996</v>
      </c>
      <c r="F198" s="6">
        <v>2.9999999999999997E-4</v>
      </c>
      <c r="G198" s="6">
        <v>4.0999999999999996</v>
      </c>
      <c r="H198" s="6">
        <v>5.75</v>
      </c>
      <c r="I198" s="6">
        <v>121</v>
      </c>
      <c r="L198" s="8">
        <f t="shared" si="7"/>
        <v>159106996754888.31</v>
      </c>
      <c r="M198" s="8">
        <f t="shared" si="6"/>
        <v>14925619834.710739</v>
      </c>
    </row>
    <row r="199" spans="1:13" ht="15.75" customHeight="1" x14ac:dyDescent="0.2">
      <c r="A199" s="6" t="s">
        <v>230</v>
      </c>
      <c r="B199" s="6">
        <v>42.7</v>
      </c>
      <c r="C199" s="6">
        <v>5.38</v>
      </c>
      <c r="D199" s="6">
        <v>-0.1</v>
      </c>
      <c r="E199" s="6">
        <v>3.64</v>
      </c>
      <c r="F199" s="6">
        <v>1E-3</v>
      </c>
      <c r="G199" s="6">
        <v>3.64</v>
      </c>
      <c r="H199" s="6">
        <v>3.8</v>
      </c>
      <c r="I199" s="6">
        <v>123</v>
      </c>
      <c r="L199" s="8">
        <f t="shared" si="7"/>
        <v>103439232390099.19</v>
      </c>
      <c r="M199" s="8">
        <f t="shared" si="6"/>
        <v>48943089430.894302</v>
      </c>
    </row>
    <row r="200" spans="1:13" ht="15.75" customHeight="1" x14ac:dyDescent="0.2">
      <c r="A200" s="6" t="s">
        <v>231</v>
      </c>
      <c r="B200" s="6" t="s">
        <v>13</v>
      </c>
      <c r="C200" s="6">
        <v>5.8</v>
      </c>
      <c r="D200" s="6" t="s">
        <v>13</v>
      </c>
      <c r="E200" s="6">
        <v>4.2300000000000004</v>
      </c>
      <c r="F200" s="6">
        <v>0.09</v>
      </c>
      <c r="G200" s="6">
        <v>4.32</v>
      </c>
      <c r="H200" s="6">
        <v>4.7</v>
      </c>
      <c r="I200" s="6">
        <v>127.6</v>
      </c>
      <c r="J200" s="13">
        <v>6</v>
      </c>
      <c r="K200" s="13">
        <v>28.317</v>
      </c>
      <c r="L200" s="8">
        <f t="shared" si="7"/>
        <v>123325813076877.48</v>
      </c>
      <c r="M200" s="8">
        <f t="shared" si="6"/>
        <v>4246081504702.1934</v>
      </c>
    </row>
    <row r="201" spans="1:13" ht="15.75" customHeight="1" x14ac:dyDescent="0.2">
      <c r="A201" s="6" t="s">
        <v>232</v>
      </c>
      <c r="B201" s="6">
        <v>9.6000000000000002E-2</v>
      </c>
      <c r="C201" s="6">
        <v>5.3</v>
      </c>
      <c r="D201" s="6">
        <v>0</v>
      </c>
      <c r="E201" s="6">
        <v>3.5</v>
      </c>
      <c r="F201" s="6">
        <v>0</v>
      </c>
      <c r="G201" s="6">
        <v>3.5</v>
      </c>
      <c r="H201" s="6">
        <v>2.2999999999999998</v>
      </c>
      <c r="I201" s="6">
        <v>120</v>
      </c>
      <c r="L201" s="8">
        <f t="shared" si="7"/>
        <v>64173155357804.961</v>
      </c>
      <c r="M201" s="8">
        <f t="shared" si="6"/>
        <v>0</v>
      </c>
    </row>
    <row r="202" spans="1:13" ht="15.75" customHeight="1" x14ac:dyDescent="0.2">
      <c r="A202" s="6" t="s">
        <v>233</v>
      </c>
      <c r="B202" s="6">
        <v>2.6</v>
      </c>
      <c r="C202" s="6">
        <v>3.8</v>
      </c>
      <c r="D202" s="6">
        <v>0</v>
      </c>
      <c r="E202" s="6">
        <v>1.8</v>
      </c>
      <c r="F202" s="6">
        <v>0</v>
      </c>
      <c r="G202" s="6">
        <v>1.8</v>
      </c>
      <c r="H202" s="6">
        <v>3.4</v>
      </c>
      <c r="I202" s="6">
        <v>122</v>
      </c>
      <c r="L202" s="8">
        <f t="shared" si="7"/>
        <v>93309506008497.594</v>
      </c>
      <c r="M202" s="8">
        <f t="shared" si="6"/>
        <v>0</v>
      </c>
    </row>
    <row r="203" spans="1:13" ht="15.75" customHeight="1" x14ac:dyDescent="0.2">
      <c r="A203" s="6" t="s">
        <v>234</v>
      </c>
      <c r="B203" s="6">
        <v>0.90800000000000003</v>
      </c>
      <c r="C203" s="6">
        <v>-0.05</v>
      </c>
      <c r="D203" s="6">
        <v>-2.04</v>
      </c>
      <c r="E203" s="6">
        <v>2E-3</v>
      </c>
      <c r="F203" s="6">
        <v>0.52</v>
      </c>
      <c r="G203" s="6">
        <v>0.52</v>
      </c>
      <c r="H203" s="6">
        <v>418</v>
      </c>
      <c r="I203" s="6">
        <v>123</v>
      </c>
      <c r="L203" s="8">
        <f t="shared" si="7"/>
        <v>1.137831556291091E+16</v>
      </c>
      <c r="M203" s="8">
        <f t="shared" si="6"/>
        <v>25450406504065.039</v>
      </c>
    </row>
    <row r="204" spans="1:13" ht="15.75" customHeight="1" x14ac:dyDescent="0.2">
      <c r="A204" s="6" t="s">
        <v>235</v>
      </c>
      <c r="B204" s="6">
        <v>4.8159999999999998</v>
      </c>
      <c r="C204" s="6">
        <v>7.96</v>
      </c>
      <c r="D204" s="6">
        <v>0</v>
      </c>
      <c r="E204" s="6">
        <v>8</v>
      </c>
      <c r="F204" s="6">
        <v>0</v>
      </c>
      <c r="G204" s="6">
        <v>8</v>
      </c>
      <c r="H204" s="6">
        <v>6.8</v>
      </c>
      <c r="I204" s="6">
        <v>124</v>
      </c>
      <c r="L204" s="8">
        <f t="shared" si="7"/>
        <v>183609027952204.94</v>
      </c>
      <c r="M204" s="8">
        <f t="shared" si="6"/>
        <v>0</v>
      </c>
    </row>
    <row r="205" spans="1:13" ht="15.75" customHeight="1" x14ac:dyDescent="0.2">
      <c r="A205" s="6" t="s">
        <v>236</v>
      </c>
      <c r="B205" s="6">
        <v>7.14</v>
      </c>
      <c r="C205" s="6">
        <v>5.0199999999999996</v>
      </c>
      <c r="D205" s="6">
        <v>-0.26</v>
      </c>
      <c r="E205" s="6">
        <v>3.17</v>
      </c>
      <c r="F205" s="6">
        <v>8.0000000000000002E-3</v>
      </c>
      <c r="G205" s="6">
        <v>3.18</v>
      </c>
      <c r="H205" s="6">
        <v>1.55</v>
      </c>
      <c r="I205" s="6">
        <v>125</v>
      </c>
      <c r="L205" s="8">
        <f t="shared" si="7"/>
        <v>41517241379310.336</v>
      </c>
      <c r="M205" s="8">
        <f t="shared" si="6"/>
        <v>385279999999.99994</v>
      </c>
    </row>
    <row r="206" spans="1:13" ht="15.75" customHeight="1" x14ac:dyDescent="0.2">
      <c r="A206" s="6" t="s">
        <v>237</v>
      </c>
      <c r="B206" s="6">
        <v>18.95</v>
      </c>
      <c r="C206" s="6">
        <v>5.56</v>
      </c>
      <c r="D206" s="6">
        <v>0</v>
      </c>
      <c r="E206" s="6">
        <v>3.88</v>
      </c>
      <c r="F206" s="6">
        <v>0</v>
      </c>
      <c r="G206" s="6">
        <v>3.88</v>
      </c>
      <c r="H206" s="6">
        <v>1.04</v>
      </c>
      <c r="I206" s="6">
        <v>126</v>
      </c>
      <c r="L206" s="8">
        <f t="shared" si="7"/>
        <v>27635644543319.734</v>
      </c>
      <c r="M206" s="8">
        <f t="shared" ref="M206:M269" si="8">F206*10^-8*6.02*10^23/I206</f>
        <v>0</v>
      </c>
    </row>
    <row r="207" spans="1:13" ht="15.75" customHeight="1" x14ac:dyDescent="0.2">
      <c r="A207" s="6" t="s">
        <v>238</v>
      </c>
      <c r="B207" s="6">
        <v>31.69</v>
      </c>
      <c r="C207" s="6">
        <v>5.89</v>
      </c>
      <c r="D207" s="6">
        <v>0</v>
      </c>
      <c r="E207" s="6">
        <v>4.3600000000000003</v>
      </c>
      <c r="F207" s="6">
        <v>0</v>
      </c>
      <c r="G207" s="6">
        <v>4.3600000000000003</v>
      </c>
      <c r="H207" s="6">
        <v>0.215</v>
      </c>
      <c r="I207" s="6">
        <v>128</v>
      </c>
      <c r="L207" s="8">
        <f t="shared" si="7"/>
        <v>5623870272525.0264</v>
      </c>
      <c r="M207" s="8">
        <f t="shared" si="8"/>
        <v>0</v>
      </c>
    </row>
    <row r="208" spans="1:13" ht="15.75" customHeight="1" x14ac:dyDescent="0.2">
      <c r="A208" s="6" t="s">
        <v>239</v>
      </c>
      <c r="B208" s="6">
        <v>33.799999999999997</v>
      </c>
      <c r="C208" s="6">
        <v>6.02</v>
      </c>
      <c r="D208" s="6">
        <v>0</v>
      </c>
      <c r="E208" s="6">
        <v>4.55</v>
      </c>
      <c r="F208" s="6">
        <v>0</v>
      </c>
      <c r="G208" s="6">
        <v>4.55</v>
      </c>
      <c r="H208" s="6">
        <v>0.28999999999999998</v>
      </c>
      <c r="I208" s="6">
        <v>130</v>
      </c>
      <c r="L208" s="8">
        <f t="shared" si="7"/>
        <v>7468982630272.9512</v>
      </c>
      <c r="M208" s="8">
        <f t="shared" si="8"/>
        <v>0</v>
      </c>
    </row>
    <row r="209" spans="1:13" ht="15.75" customHeight="1" x14ac:dyDescent="0.2">
      <c r="A209" s="6" t="s">
        <v>240</v>
      </c>
      <c r="B209" s="6">
        <v>100</v>
      </c>
      <c r="C209" s="6">
        <v>5.28</v>
      </c>
      <c r="D209" s="6">
        <v>1.58</v>
      </c>
      <c r="E209" s="6">
        <v>3.5</v>
      </c>
      <c r="F209" s="6">
        <v>0.31</v>
      </c>
      <c r="G209" s="6">
        <v>3.81</v>
      </c>
      <c r="H209" s="6">
        <v>6.15</v>
      </c>
      <c r="I209" s="6">
        <v>126.91</v>
      </c>
      <c r="J209" s="13">
        <v>4.9199999999999999E-3</v>
      </c>
      <c r="K209" s="13">
        <v>2.3345999999999999E-2</v>
      </c>
      <c r="L209" s="8">
        <f t="shared" si="7"/>
        <v>162250511845299.69</v>
      </c>
      <c r="M209" s="8">
        <f t="shared" si="8"/>
        <v>14704908990623.275</v>
      </c>
    </row>
    <row r="210" spans="1:13" ht="15.75" customHeight="1" x14ac:dyDescent="0.2">
      <c r="A210" s="6" t="s">
        <v>241</v>
      </c>
      <c r="B210" s="6" t="s">
        <v>13</v>
      </c>
      <c r="C210" s="6">
        <v>4.92</v>
      </c>
      <c r="D210" s="6">
        <v>3.04</v>
      </c>
      <c r="E210" s="6">
        <v>2.96</v>
      </c>
      <c r="F210" s="6">
        <v>0</v>
      </c>
      <c r="G210" s="6" t="s">
        <v>13</v>
      </c>
      <c r="H210" s="6">
        <v>23.9</v>
      </c>
      <c r="I210" s="6">
        <v>131.30000000000001</v>
      </c>
      <c r="J210" s="13">
        <v>5.8900000000000003E-3</v>
      </c>
      <c r="K210" s="13">
        <v>2.7014E-2</v>
      </c>
      <c r="L210" s="8">
        <f t="shared" si="7"/>
        <v>609452662558974.13</v>
      </c>
      <c r="M210" s="8">
        <f t="shared" si="8"/>
        <v>0</v>
      </c>
    </row>
    <row r="211" spans="1:13" ht="15.75" customHeight="1" x14ac:dyDescent="0.2">
      <c r="A211" s="6" t="s">
        <v>242</v>
      </c>
      <c r="B211" s="6">
        <v>0.1</v>
      </c>
      <c r="C211" s="6" t="s">
        <v>13</v>
      </c>
      <c r="D211" s="6">
        <v>0</v>
      </c>
      <c r="E211" s="6" t="s">
        <v>13</v>
      </c>
      <c r="F211" s="6">
        <v>0</v>
      </c>
      <c r="G211" s="6" t="s">
        <v>13</v>
      </c>
      <c r="H211" s="6">
        <v>165</v>
      </c>
      <c r="I211" s="6">
        <v>124</v>
      </c>
      <c r="L211" s="8">
        <f t="shared" si="7"/>
        <v>4455219060604973</v>
      </c>
      <c r="M211" s="8">
        <f t="shared" si="8"/>
        <v>0</v>
      </c>
    </row>
    <row r="212" spans="1:13" ht="15.75" customHeight="1" x14ac:dyDescent="0.2">
      <c r="A212" s="6" t="s">
        <v>243</v>
      </c>
      <c r="B212" s="6">
        <v>0.09</v>
      </c>
      <c r="C212" s="6" t="s">
        <v>13</v>
      </c>
      <c r="D212" s="6">
        <v>0</v>
      </c>
      <c r="E212" s="6" t="s">
        <v>13</v>
      </c>
      <c r="F212" s="6">
        <v>0</v>
      </c>
      <c r="G212" s="6" t="s">
        <v>13</v>
      </c>
      <c r="H212" s="6">
        <v>3.5</v>
      </c>
      <c r="I212" s="6">
        <v>126</v>
      </c>
      <c r="L212" s="8">
        <f t="shared" si="7"/>
        <v>93004572982326.031</v>
      </c>
      <c r="M212" s="8">
        <f t="shared" si="8"/>
        <v>0</v>
      </c>
    </row>
    <row r="213" spans="1:13" ht="15.75" customHeight="1" x14ac:dyDescent="0.2">
      <c r="A213" s="6" t="s">
        <v>244</v>
      </c>
      <c r="B213" s="6">
        <v>1.91</v>
      </c>
      <c r="C213" s="6" t="s">
        <v>13</v>
      </c>
      <c r="D213" s="6">
        <v>0</v>
      </c>
      <c r="E213" s="6" t="s">
        <v>13</v>
      </c>
      <c r="F213" s="6">
        <v>0</v>
      </c>
      <c r="G213" s="6" t="s">
        <v>13</v>
      </c>
      <c r="H213" s="6" t="s">
        <v>245</v>
      </c>
      <c r="I213" s="6"/>
      <c r="L213" s="8" t="e">
        <f t="shared" si="7"/>
        <v>#VALUE!</v>
      </c>
    </row>
    <row r="214" spans="1:13" ht="15.75" customHeight="1" x14ac:dyDescent="0.2">
      <c r="A214" s="6" t="s">
        <v>246</v>
      </c>
      <c r="B214" s="6">
        <v>26.4</v>
      </c>
      <c r="C214" s="6" t="s">
        <v>13</v>
      </c>
      <c r="D214" s="6" t="s">
        <v>13</v>
      </c>
      <c r="E214" s="6" t="s">
        <v>13</v>
      </c>
      <c r="F214" s="6" t="s">
        <v>13</v>
      </c>
      <c r="G214" s="6" t="s">
        <v>13</v>
      </c>
      <c r="H214" s="6">
        <v>21</v>
      </c>
      <c r="I214" s="6">
        <v>129</v>
      </c>
      <c r="L214" s="8">
        <f t="shared" si="7"/>
        <v>545050055617352.5</v>
      </c>
    </row>
    <row r="215" spans="1:13" ht="15.75" customHeight="1" x14ac:dyDescent="0.2">
      <c r="A215" s="6" t="s">
        <v>247</v>
      </c>
      <c r="B215" s="6">
        <v>4.0999999999999996</v>
      </c>
      <c r="C215" s="6" t="s">
        <v>13</v>
      </c>
      <c r="D215" s="6">
        <v>0</v>
      </c>
      <c r="E215" s="6" t="s">
        <v>13</v>
      </c>
      <c r="F215" s="6">
        <v>0</v>
      </c>
      <c r="G215" s="6" t="s">
        <v>13</v>
      </c>
      <c r="H215" s="6" t="s">
        <v>248</v>
      </c>
      <c r="I215" s="6"/>
      <c r="L215" s="8" t="e">
        <f t="shared" si="7"/>
        <v>#VALUE!</v>
      </c>
    </row>
    <row r="216" spans="1:13" ht="15.75" customHeight="1" x14ac:dyDescent="0.2">
      <c r="A216" s="6" t="s">
        <v>249</v>
      </c>
      <c r="B216" s="6">
        <v>21.2</v>
      </c>
      <c r="C216" s="6" t="s">
        <v>13</v>
      </c>
      <c r="D216" s="6" t="s">
        <v>13</v>
      </c>
      <c r="E216" s="6" t="s">
        <v>13</v>
      </c>
      <c r="F216" s="6" t="s">
        <v>13</v>
      </c>
      <c r="G216" s="6" t="s">
        <v>13</v>
      </c>
      <c r="H216" s="6">
        <v>85</v>
      </c>
      <c r="I216" s="6">
        <v>131</v>
      </c>
      <c r="L216" s="8">
        <f t="shared" si="7"/>
        <v>2172473231495554.5</v>
      </c>
    </row>
    <row r="217" spans="1:13" ht="15.75" customHeight="1" x14ac:dyDescent="0.2">
      <c r="A217" s="6" t="s">
        <v>250</v>
      </c>
      <c r="B217" s="6">
        <v>26.9</v>
      </c>
      <c r="C217" s="6" t="s">
        <v>13</v>
      </c>
      <c r="D217" s="6">
        <v>0</v>
      </c>
      <c r="E217" s="6" t="s">
        <v>13</v>
      </c>
      <c r="F217" s="6">
        <v>0</v>
      </c>
      <c r="G217" s="6" t="s">
        <v>13</v>
      </c>
      <c r="H217" s="6">
        <v>0.45</v>
      </c>
      <c r="I217" s="6">
        <v>132</v>
      </c>
      <c r="L217" s="8">
        <f t="shared" si="7"/>
        <v>11414197593285.469</v>
      </c>
      <c r="M217" s="8">
        <f t="shared" si="8"/>
        <v>0</v>
      </c>
    </row>
    <row r="218" spans="1:13" ht="15.75" customHeight="1" x14ac:dyDescent="0.2">
      <c r="A218" s="6" t="s">
        <v>251</v>
      </c>
      <c r="B218" s="6">
        <v>10.4</v>
      </c>
      <c r="C218" s="6" t="s">
        <v>13</v>
      </c>
      <c r="D218" s="6">
        <v>0</v>
      </c>
      <c r="E218" s="6" t="s">
        <v>13</v>
      </c>
      <c r="F218" s="6">
        <v>0</v>
      </c>
      <c r="G218" s="6" t="s">
        <v>13</v>
      </c>
      <c r="H218" s="6">
        <v>0.26500000000000001</v>
      </c>
      <c r="I218" s="6">
        <v>134</v>
      </c>
      <c r="L218" s="8">
        <f t="shared" si="7"/>
        <v>6621370345159.6289</v>
      </c>
      <c r="M218" s="8">
        <f t="shared" si="8"/>
        <v>0</v>
      </c>
    </row>
    <row r="219" spans="1:13" ht="15.75" customHeight="1" x14ac:dyDescent="0.2">
      <c r="A219" s="6" t="s">
        <v>252</v>
      </c>
      <c r="B219" s="6">
        <v>8.9</v>
      </c>
      <c r="C219" s="6" t="s">
        <v>13</v>
      </c>
      <c r="D219" s="6">
        <v>0</v>
      </c>
      <c r="E219" s="6" t="s">
        <v>13</v>
      </c>
      <c r="F219" s="6">
        <v>0</v>
      </c>
      <c r="G219" s="6" t="s">
        <v>13</v>
      </c>
      <c r="H219" s="6">
        <v>0.26</v>
      </c>
      <c r="I219" s="6">
        <v>136</v>
      </c>
      <c r="L219" s="8">
        <f t="shared" si="7"/>
        <v>6400902964077.7324</v>
      </c>
      <c r="M219" s="8">
        <f t="shared" si="8"/>
        <v>0</v>
      </c>
    </row>
    <row r="220" spans="1:13" ht="15.75" customHeight="1" x14ac:dyDescent="0.2">
      <c r="A220" s="6" t="s">
        <v>253</v>
      </c>
      <c r="B220" s="6">
        <v>100</v>
      </c>
      <c r="C220" s="6">
        <v>5.42</v>
      </c>
      <c r="D220" s="6">
        <v>1.29</v>
      </c>
      <c r="E220" s="6">
        <v>3.69</v>
      </c>
      <c r="F220" s="6">
        <v>0.21</v>
      </c>
      <c r="G220" s="6">
        <v>3.9</v>
      </c>
      <c r="H220" s="6">
        <v>29</v>
      </c>
      <c r="I220" s="6">
        <v>132.905</v>
      </c>
      <c r="J220" s="13">
        <v>1.88</v>
      </c>
      <c r="K220" s="13">
        <v>8.5183999999999997</v>
      </c>
      <c r="L220" s="8">
        <f t="shared" si="7"/>
        <v>730572771479992.25</v>
      </c>
      <c r="M220" s="8">
        <f t="shared" si="8"/>
        <v>9512057484669.498</v>
      </c>
    </row>
    <row r="221" spans="1:13" ht="15.75" customHeight="1" x14ac:dyDescent="0.2">
      <c r="A221" s="6" t="s">
        <v>254</v>
      </c>
      <c r="B221" s="6" t="s">
        <v>13</v>
      </c>
      <c r="C221" s="6">
        <v>5.07</v>
      </c>
      <c r="D221" s="6" t="s">
        <v>13</v>
      </c>
      <c r="E221" s="6">
        <v>3.23</v>
      </c>
      <c r="F221" s="6">
        <v>0.15</v>
      </c>
      <c r="G221" s="6">
        <v>3.38</v>
      </c>
      <c r="H221" s="6">
        <v>1.1000000000000001</v>
      </c>
      <c r="I221" s="6">
        <v>137.33000000000001</v>
      </c>
      <c r="J221" s="13">
        <v>3.5</v>
      </c>
      <c r="K221" s="13">
        <v>15.348000000000001</v>
      </c>
      <c r="L221" s="8">
        <f t="shared" si="7"/>
        <v>26818474405447.539</v>
      </c>
      <c r="M221" s="8">
        <f t="shared" si="8"/>
        <v>6575402315590.1816</v>
      </c>
    </row>
    <row r="222" spans="1:13" ht="15.75" customHeight="1" x14ac:dyDescent="0.2">
      <c r="A222" s="6" t="s">
        <v>255</v>
      </c>
      <c r="B222" s="6">
        <v>0.11</v>
      </c>
      <c r="C222" s="6">
        <v>-3.6</v>
      </c>
      <c r="D222" s="6">
        <v>0</v>
      </c>
      <c r="E222" s="6">
        <v>1.6</v>
      </c>
      <c r="F222" s="6">
        <v>0</v>
      </c>
      <c r="G222" s="6">
        <v>1.6</v>
      </c>
      <c r="H222" s="6">
        <v>30</v>
      </c>
      <c r="I222" s="6">
        <v>130</v>
      </c>
      <c r="L222" s="8">
        <f t="shared" si="7"/>
        <v>772653375545477.63</v>
      </c>
      <c r="M222" s="8">
        <f t="shared" si="8"/>
        <v>0</v>
      </c>
    </row>
    <row r="223" spans="1:13" ht="15.75" customHeight="1" x14ac:dyDescent="0.2">
      <c r="A223" s="6" t="s">
        <v>256</v>
      </c>
      <c r="B223" s="6">
        <v>0.1</v>
      </c>
      <c r="C223" s="6">
        <v>7.8</v>
      </c>
      <c r="D223" s="6">
        <v>0</v>
      </c>
      <c r="E223" s="6">
        <v>7.6</v>
      </c>
      <c r="F223" s="6">
        <v>0</v>
      </c>
      <c r="G223" s="6">
        <v>7.6</v>
      </c>
      <c r="H223" s="6">
        <v>7</v>
      </c>
      <c r="I223" s="6">
        <v>132</v>
      </c>
      <c r="L223" s="8">
        <f t="shared" si="7"/>
        <v>177554184784440.59</v>
      </c>
      <c r="M223" s="8">
        <f t="shared" si="8"/>
        <v>0</v>
      </c>
    </row>
    <row r="224" spans="1:13" ht="15.75" customHeight="1" x14ac:dyDescent="0.2">
      <c r="A224" s="6" t="s">
        <v>257</v>
      </c>
      <c r="B224" s="6">
        <v>2.42</v>
      </c>
      <c r="C224" s="6">
        <v>5.7</v>
      </c>
      <c r="D224" s="6">
        <v>0</v>
      </c>
      <c r="E224" s="6">
        <v>4.08</v>
      </c>
      <c r="F224" s="6">
        <v>0</v>
      </c>
      <c r="G224" s="6">
        <v>4.08</v>
      </c>
      <c r="H224" s="6">
        <v>2</v>
      </c>
      <c r="I224" s="6">
        <v>134</v>
      </c>
      <c r="L224" s="8">
        <f t="shared" si="7"/>
        <v>49972606378563.234</v>
      </c>
      <c r="M224" s="8">
        <f t="shared" si="8"/>
        <v>0</v>
      </c>
    </row>
    <row r="225" spans="1:13" ht="15.75" customHeight="1" x14ac:dyDescent="0.2">
      <c r="A225" s="6" t="s">
        <v>258</v>
      </c>
      <c r="B225" s="6">
        <v>6.59</v>
      </c>
      <c r="C225" s="6">
        <v>4.67</v>
      </c>
      <c r="D225" s="6" t="s">
        <v>13</v>
      </c>
      <c r="E225" s="6">
        <v>2.74</v>
      </c>
      <c r="F225" s="6">
        <v>0.5</v>
      </c>
      <c r="G225" s="6">
        <v>3.2</v>
      </c>
      <c r="H225" s="6">
        <v>5.8</v>
      </c>
      <c r="I225" s="6">
        <v>135</v>
      </c>
      <c r="L225" s="8">
        <f t="shared" si="7"/>
        <v>143847072879330.91</v>
      </c>
      <c r="M225" s="8">
        <f t="shared" si="8"/>
        <v>22296296296296.293</v>
      </c>
    </row>
    <row r="226" spans="1:13" ht="15.75" customHeight="1" x14ac:dyDescent="0.2">
      <c r="A226" s="6" t="s">
        <v>259</v>
      </c>
      <c r="B226" s="6">
        <v>7.85</v>
      </c>
      <c r="C226" s="6">
        <v>4.91</v>
      </c>
      <c r="D226" s="6">
        <v>0</v>
      </c>
      <c r="E226" s="6">
        <v>3.03</v>
      </c>
      <c r="F226" s="6">
        <v>0</v>
      </c>
      <c r="G226" s="6">
        <v>3.03</v>
      </c>
      <c r="H226" s="6">
        <v>0.68</v>
      </c>
      <c r="I226" s="6">
        <v>136</v>
      </c>
      <c r="L226" s="8">
        <f t="shared" si="7"/>
        <v>16740823136818.688</v>
      </c>
      <c r="M226" s="8">
        <f t="shared" si="8"/>
        <v>0</v>
      </c>
    </row>
    <row r="227" spans="1:13" ht="15.75" customHeight="1" x14ac:dyDescent="0.2">
      <c r="A227" s="6" t="s">
        <v>260</v>
      </c>
      <c r="B227" s="6">
        <v>11.23</v>
      </c>
      <c r="C227" s="6">
        <v>6.83</v>
      </c>
      <c r="D227" s="6" t="s">
        <v>13</v>
      </c>
      <c r="E227" s="6">
        <v>5.86</v>
      </c>
      <c r="F227" s="6">
        <v>0.5</v>
      </c>
      <c r="G227" s="6">
        <v>6.4</v>
      </c>
      <c r="H227" s="6">
        <v>3.6</v>
      </c>
      <c r="I227" s="6">
        <v>137</v>
      </c>
      <c r="L227" s="8">
        <f t="shared" si="7"/>
        <v>87980968310287.984</v>
      </c>
      <c r="M227" s="8">
        <f t="shared" si="8"/>
        <v>21970802919708.027</v>
      </c>
    </row>
    <row r="228" spans="1:13" ht="15.75" customHeight="1" x14ac:dyDescent="0.2">
      <c r="A228" s="6" t="s">
        <v>261</v>
      </c>
      <c r="B228" s="6">
        <v>71.7</v>
      </c>
      <c r="C228" s="6">
        <v>4.84</v>
      </c>
      <c r="D228" s="6">
        <v>0</v>
      </c>
      <c r="E228" s="6">
        <v>2.94</v>
      </c>
      <c r="F228" s="6">
        <v>0</v>
      </c>
      <c r="G228" s="6">
        <v>2.94</v>
      </c>
      <c r="H228" s="6">
        <v>0.27</v>
      </c>
      <c r="I228" s="6">
        <v>138</v>
      </c>
      <c r="L228" s="8">
        <f t="shared" si="7"/>
        <v>6550756879624.7031</v>
      </c>
      <c r="M228" s="8">
        <f t="shared" si="8"/>
        <v>0</v>
      </c>
    </row>
    <row r="229" spans="1:13" ht="15.75" customHeight="1" x14ac:dyDescent="0.2">
      <c r="A229" s="6" t="s">
        <v>262</v>
      </c>
      <c r="B229" s="6" t="s">
        <v>13</v>
      </c>
      <c r="C229" s="6">
        <v>8.24</v>
      </c>
      <c r="D229" s="6" t="s">
        <v>13</v>
      </c>
      <c r="E229" s="6">
        <v>8.5299999999999994</v>
      </c>
      <c r="F229" s="6">
        <v>1.1299999999999999</v>
      </c>
      <c r="G229" s="6">
        <v>9.66</v>
      </c>
      <c r="H229" s="6">
        <v>8.9700000000000006</v>
      </c>
      <c r="I229" s="6">
        <v>138.90600000000001</v>
      </c>
      <c r="J229" s="13">
        <v>6.14</v>
      </c>
      <c r="K229" s="13">
        <v>26.619</v>
      </c>
      <c r="L229" s="8">
        <f t="shared" si="7"/>
        <v>216211227070484.53</v>
      </c>
      <c r="M229" s="8">
        <f t="shared" si="8"/>
        <v>48972686565015.172</v>
      </c>
    </row>
    <row r="230" spans="1:13" ht="15.75" customHeight="1" x14ac:dyDescent="0.2">
      <c r="A230" s="6" t="s">
        <v>263</v>
      </c>
      <c r="B230" s="6">
        <v>0.09</v>
      </c>
      <c r="C230" s="6">
        <v>8</v>
      </c>
      <c r="D230" s="6" t="s">
        <v>13</v>
      </c>
      <c r="E230" s="6" t="s">
        <v>264</v>
      </c>
      <c r="F230" s="6">
        <v>0.5</v>
      </c>
      <c r="G230" s="6" t="s">
        <v>265</v>
      </c>
      <c r="H230" s="6">
        <v>57</v>
      </c>
      <c r="I230" s="6">
        <v>138</v>
      </c>
      <c r="L230" s="8">
        <f t="shared" si="7"/>
        <v>1382937563476326.3</v>
      </c>
      <c r="M230" s="8">
        <f t="shared" si="8"/>
        <v>21811594202898.547</v>
      </c>
    </row>
    <row r="231" spans="1:13" ht="15.75" customHeight="1" x14ac:dyDescent="0.2">
      <c r="A231" s="6" t="s">
        <v>266</v>
      </c>
      <c r="B231" s="6">
        <v>99.91</v>
      </c>
      <c r="C231" s="6">
        <v>8.24</v>
      </c>
      <c r="D231" s="6">
        <v>3</v>
      </c>
      <c r="E231" s="6">
        <v>8.5299999999999994</v>
      </c>
      <c r="F231" s="6">
        <v>1.1299999999999999</v>
      </c>
      <c r="G231" s="6">
        <v>9.66</v>
      </c>
      <c r="H231" s="6">
        <v>8.93</v>
      </c>
      <c r="I231" s="6">
        <v>139</v>
      </c>
      <c r="L231" s="8">
        <f t="shared" si="7"/>
        <v>215101511671641.53</v>
      </c>
      <c r="M231" s="8">
        <f t="shared" si="8"/>
        <v>48939568345323.727</v>
      </c>
    </row>
    <row r="232" spans="1:13" ht="15.75" customHeight="1" x14ac:dyDescent="0.2">
      <c r="A232" s="6" t="s">
        <v>267</v>
      </c>
      <c r="B232" s="6" t="s">
        <v>13</v>
      </c>
      <c r="C232" s="6">
        <v>4.84</v>
      </c>
      <c r="D232" s="6" t="s">
        <v>13</v>
      </c>
      <c r="E232" s="6">
        <v>2.94</v>
      </c>
      <c r="F232" s="6">
        <v>1E-3</v>
      </c>
      <c r="G232" s="6">
        <v>2.94</v>
      </c>
      <c r="H232" s="6">
        <v>0.63</v>
      </c>
      <c r="I232" s="6">
        <v>140.12</v>
      </c>
      <c r="J232" s="13">
        <v>6.66</v>
      </c>
      <c r="K232" s="13">
        <v>28.623000000000001</v>
      </c>
      <c r="L232" s="8">
        <f t="shared" si="7"/>
        <v>15053837533822.111</v>
      </c>
      <c r="M232" s="8">
        <f t="shared" si="8"/>
        <v>42963174421.924057</v>
      </c>
    </row>
    <row r="233" spans="1:13" ht="15.75" customHeight="1" x14ac:dyDescent="0.2">
      <c r="A233" s="6" t="s">
        <v>268</v>
      </c>
      <c r="B233" s="6">
        <v>0.19</v>
      </c>
      <c r="C233" s="6">
        <v>5.8</v>
      </c>
      <c r="D233" s="6">
        <v>0</v>
      </c>
      <c r="E233" s="6">
        <v>4.2300000000000004</v>
      </c>
      <c r="F233" s="6">
        <v>0</v>
      </c>
      <c r="G233" s="6">
        <v>4.2300000000000004</v>
      </c>
      <c r="H233" s="6">
        <v>7.3</v>
      </c>
      <c r="I233" s="6">
        <v>136</v>
      </c>
      <c r="L233" s="8">
        <f t="shared" si="7"/>
        <v>179717660145259.44</v>
      </c>
      <c r="M233" s="8">
        <f t="shared" si="8"/>
        <v>0</v>
      </c>
    </row>
    <row r="234" spans="1:13" ht="15.75" customHeight="1" x14ac:dyDescent="0.2">
      <c r="A234" s="6" t="s">
        <v>269</v>
      </c>
      <c r="B234" s="6">
        <v>0.25</v>
      </c>
      <c r="C234" s="6">
        <v>6.7</v>
      </c>
      <c r="D234" s="6">
        <v>0</v>
      </c>
      <c r="E234" s="6">
        <v>5.64</v>
      </c>
      <c r="F234" s="6">
        <v>0</v>
      </c>
      <c r="G234" s="6">
        <v>5.64</v>
      </c>
      <c r="H234" s="6">
        <v>1.1000000000000001</v>
      </c>
      <c r="I234" s="6">
        <v>138</v>
      </c>
      <c r="L234" s="8">
        <f t="shared" si="7"/>
        <v>26688268768841.383</v>
      </c>
      <c r="M234" s="8">
        <f t="shared" si="8"/>
        <v>0</v>
      </c>
    </row>
    <row r="235" spans="1:13" ht="15.75" customHeight="1" x14ac:dyDescent="0.2">
      <c r="A235" s="6" t="s">
        <v>270</v>
      </c>
      <c r="B235" s="6">
        <v>88.48</v>
      </c>
      <c r="C235" s="6">
        <v>4.84</v>
      </c>
      <c r="D235" s="6">
        <v>0</v>
      </c>
      <c r="E235" s="6">
        <v>2.94</v>
      </c>
      <c r="F235" s="6">
        <v>0</v>
      </c>
      <c r="G235" s="6">
        <v>2.94</v>
      </c>
      <c r="H235" s="6">
        <v>0.56999999999999995</v>
      </c>
      <c r="I235" s="6">
        <v>140</v>
      </c>
      <c r="L235" s="8">
        <f t="shared" si="7"/>
        <v>13631813125695.215</v>
      </c>
      <c r="M235" s="8">
        <f t="shared" si="8"/>
        <v>0</v>
      </c>
    </row>
    <row r="236" spans="1:13" ht="15.75" customHeight="1" x14ac:dyDescent="0.2">
      <c r="A236" s="6" t="s">
        <v>271</v>
      </c>
      <c r="B236" s="6">
        <v>11.08</v>
      </c>
      <c r="C236" s="6">
        <v>4.75</v>
      </c>
      <c r="D236" s="6">
        <v>0</v>
      </c>
      <c r="E236" s="6">
        <v>2.84</v>
      </c>
      <c r="F236" s="6">
        <v>0</v>
      </c>
      <c r="G236" s="6">
        <v>2.84</v>
      </c>
      <c r="H236" s="6">
        <v>0.95</v>
      </c>
      <c r="I236" s="6">
        <v>142</v>
      </c>
      <c r="L236" s="8">
        <f t="shared" si="7"/>
        <v>22399692929546.125</v>
      </c>
      <c r="M236" s="8">
        <f t="shared" si="8"/>
        <v>0</v>
      </c>
    </row>
    <row r="237" spans="1:13" ht="15.75" customHeight="1" x14ac:dyDescent="0.2">
      <c r="A237" s="6" t="s">
        <v>272</v>
      </c>
      <c r="B237" s="6">
        <v>100</v>
      </c>
      <c r="C237" s="6">
        <v>4.58</v>
      </c>
      <c r="D237" s="6">
        <v>-0.35</v>
      </c>
      <c r="E237" s="6">
        <v>2.64</v>
      </c>
      <c r="F237" s="6">
        <v>1.4999999999999999E-2</v>
      </c>
      <c r="G237" s="6">
        <v>2.66</v>
      </c>
      <c r="H237" s="6">
        <v>11.5</v>
      </c>
      <c r="I237" s="6">
        <v>140.90700000000001</v>
      </c>
      <c r="J237" s="13">
        <v>6.7729999999999997</v>
      </c>
      <c r="K237" s="13">
        <v>28.946000000000002</v>
      </c>
      <c r="L237" s="8">
        <f t="shared" si="7"/>
        <v>273257490505673.72</v>
      </c>
      <c r="M237" s="8">
        <f t="shared" si="8"/>
        <v>640848219038.08875</v>
      </c>
    </row>
    <row r="238" spans="1:13" ht="15.75" customHeight="1" x14ac:dyDescent="0.2">
      <c r="A238" s="6" t="s">
        <v>273</v>
      </c>
      <c r="B238" s="6" t="s">
        <v>13</v>
      </c>
      <c r="C238" s="6">
        <v>7.69</v>
      </c>
      <c r="D238" s="6" t="s">
        <v>13</v>
      </c>
      <c r="E238" s="6">
        <v>7.43</v>
      </c>
      <c r="F238" s="6">
        <v>9.1999999999999993</v>
      </c>
      <c r="G238" s="6">
        <v>16.600000000000001</v>
      </c>
      <c r="H238" s="6">
        <v>50.5</v>
      </c>
      <c r="I238" s="6">
        <v>144.24</v>
      </c>
      <c r="J238" s="13">
        <v>7.0039999999999996</v>
      </c>
      <c r="K238" s="13">
        <v>29.242000000000001</v>
      </c>
      <c r="L238" s="8">
        <f t="shared" si="7"/>
        <v>1172229018870415.5</v>
      </c>
      <c r="M238" s="8">
        <f t="shared" si="8"/>
        <v>383971159179145.81</v>
      </c>
    </row>
    <row r="239" spans="1:13" ht="15.75" customHeight="1" x14ac:dyDescent="0.2">
      <c r="A239" s="6" t="s">
        <v>274</v>
      </c>
      <c r="B239" s="6">
        <v>27.16</v>
      </c>
      <c r="C239" s="6">
        <v>7.7</v>
      </c>
      <c r="D239" s="6">
        <v>0</v>
      </c>
      <c r="E239" s="6">
        <v>7.5</v>
      </c>
      <c r="F239" s="6">
        <v>0</v>
      </c>
      <c r="G239" s="6">
        <v>7.5</v>
      </c>
      <c r="H239" s="6">
        <v>18.7</v>
      </c>
      <c r="I239" s="6">
        <v>142</v>
      </c>
      <c r="L239" s="8">
        <f t="shared" si="7"/>
        <v>440920271350013.25</v>
      </c>
      <c r="M239" s="8">
        <f t="shared" si="8"/>
        <v>0</v>
      </c>
    </row>
    <row r="240" spans="1:13" ht="15.75" customHeight="1" x14ac:dyDescent="0.2">
      <c r="A240" s="6" t="s">
        <v>275</v>
      </c>
      <c r="B240" s="6">
        <v>12.18</v>
      </c>
      <c r="C240" s="6">
        <v>14</v>
      </c>
      <c r="D240" s="6" t="s">
        <v>276</v>
      </c>
      <c r="E240" s="6" t="s">
        <v>277</v>
      </c>
      <c r="F240" s="6">
        <v>55</v>
      </c>
      <c r="G240" s="6" t="s">
        <v>278</v>
      </c>
      <c r="H240" s="6">
        <v>337</v>
      </c>
      <c r="I240" s="6">
        <v>143</v>
      </c>
      <c r="L240" s="8">
        <f t="shared" si="7"/>
        <v>7890429926025030</v>
      </c>
      <c r="M240" s="8">
        <f t="shared" si="8"/>
        <v>2315384615384615</v>
      </c>
    </row>
    <row r="241" spans="1:13" ht="15.75" customHeight="1" x14ac:dyDescent="0.2">
      <c r="A241" s="6" t="s">
        <v>279</v>
      </c>
      <c r="B241" s="6">
        <v>23.8</v>
      </c>
      <c r="C241" s="6">
        <v>2.8</v>
      </c>
      <c r="D241" s="6">
        <v>0</v>
      </c>
      <c r="E241" s="6">
        <v>1</v>
      </c>
      <c r="F241" s="6">
        <v>0</v>
      </c>
      <c r="G241" s="6">
        <v>1</v>
      </c>
      <c r="H241" s="6">
        <v>3.6</v>
      </c>
      <c r="I241" s="6">
        <v>144</v>
      </c>
      <c r="L241" s="8">
        <f t="shared" si="7"/>
        <v>83704115684093.438</v>
      </c>
      <c r="M241" s="8">
        <f t="shared" si="8"/>
        <v>0</v>
      </c>
    </row>
    <row r="242" spans="1:13" ht="15.75" customHeight="1" x14ac:dyDescent="0.2">
      <c r="A242" s="6" t="s">
        <v>280</v>
      </c>
      <c r="B242" s="6">
        <v>8.2899999999999991</v>
      </c>
      <c r="C242" s="6">
        <v>14</v>
      </c>
      <c r="D242" s="6" t="s">
        <v>13</v>
      </c>
      <c r="E242" s="6" t="s">
        <v>277</v>
      </c>
      <c r="F242" s="6">
        <v>5</v>
      </c>
      <c r="G242" s="6" t="s">
        <v>281</v>
      </c>
      <c r="H242" s="6">
        <v>42</v>
      </c>
      <c r="I242" s="6">
        <v>145</v>
      </c>
      <c r="L242" s="8">
        <f t="shared" si="7"/>
        <v>969813202408806.5</v>
      </c>
      <c r="M242" s="8">
        <f t="shared" si="8"/>
        <v>207586206896551.66</v>
      </c>
    </row>
    <row r="243" spans="1:13" ht="15.75" customHeight="1" x14ac:dyDescent="0.2">
      <c r="A243" s="6" t="s">
        <v>282</v>
      </c>
      <c r="B243" s="6">
        <v>17.190000000000001</v>
      </c>
      <c r="C243" s="6">
        <v>8.6999999999999993</v>
      </c>
      <c r="D243" s="6">
        <v>0</v>
      </c>
      <c r="E243" s="6">
        <v>9.5</v>
      </c>
      <c r="F243" s="6">
        <v>0</v>
      </c>
      <c r="G243" s="6">
        <v>9.5</v>
      </c>
      <c r="H243" s="6">
        <v>1.4</v>
      </c>
      <c r="I243" s="6">
        <v>146</v>
      </c>
      <c r="L243" s="8">
        <f t="shared" si="7"/>
        <v>32105688207597.48</v>
      </c>
      <c r="M243" s="8">
        <f t="shared" si="8"/>
        <v>0</v>
      </c>
    </row>
    <row r="244" spans="1:13" ht="15.75" customHeight="1" x14ac:dyDescent="0.2">
      <c r="A244" s="6" t="s">
        <v>283</v>
      </c>
      <c r="B244" s="6">
        <v>5.75</v>
      </c>
      <c r="C244" s="6">
        <v>5.7</v>
      </c>
      <c r="D244" s="6">
        <v>0</v>
      </c>
      <c r="E244" s="6">
        <v>4.0999999999999996</v>
      </c>
      <c r="F244" s="6">
        <v>0</v>
      </c>
      <c r="G244" s="6">
        <v>4.0999999999999996</v>
      </c>
      <c r="H244" s="6">
        <v>2.5</v>
      </c>
      <c r="I244" s="6">
        <v>148</v>
      </c>
      <c r="L244" s="8">
        <f t="shared" si="7"/>
        <v>56556834921684.742</v>
      </c>
      <c r="M244" s="8">
        <f t="shared" si="8"/>
        <v>0</v>
      </c>
    </row>
    <row r="245" spans="1:13" ht="15.75" customHeight="1" x14ac:dyDescent="0.2">
      <c r="A245" s="6" t="s">
        <v>284</v>
      </c>
      <c r="B245" s="6">
        <v>5.63</v>
      </c>
      <c r="C245" s="6">
        <v>5.3</v>
      </c>
      <c r="D245" s="6">
        <v>0</v>
      </c>
      <c r="E245" s="6">
        <v>3.5</v>
      </c>
      <c r="F245" s="6">
        <v>0</v>
      </c>
      <c r="G245" s="6">
        <v>3.5</v>
      </c>
      <c r="H245" s="6">
        <v>1.2</v>
      </c>
      <c r="I245" s="6">
        <v>150</v>
      </c>
      <c r="L245" s="8">
        <f t="shared" si="7"/>
        <v>26785317018909.895</v>
      </c>
      <c r="M245" s="8">
        <f t="shared" si="8"/>
        <v>0</v>
      </c>
    </row>
    <row r="246" spans="1:13" ht="15.75" customHeight="1" x14ac:dyDescent="0.2">
      <c r="A246" s="6" t="s">
        <v>285</v>
      </c>
      <c r="B246" s="6" t="s">
        <v>286</v>
      </c>
      <c r="C246" s="6">
        <v>12.6</v>
      </c>
      <c r="D246" s="6" t="s">
        <v>287</v>
      </c>
      <c r="E246" s="6" t="s">
        <v>288</v>
      </c>
      <c r="F246" s="6">
        <v>1.3</v>
      </c>
      <c r="G246" s="6" t="s">
        <v>289</v>
      </c>
      <c r="H246" s="6">
        <v>168.4</v>
      </c>
      <c r="I246" s="6">
        <v>145</v>
      </c>
      <c r="J246" s="12">
        <v>6.4749999999999996</v>
      </c>
      <c r="K246" s="12">
        <v>26.890999999999998</v>
      </c>
      <c r="L246" s="8">
        <f t="shared" si="7"/>
        <v>3888489125848644</v>
      </c>
      <c r="M246" s="8">
        <f t="shared" si="8"/>
        <v>53972413793103.438</v>
      </c>
    </row>
    <row r="247" spans="1:13" ht="15.75" customHeight="1" x14ac:dyDescent="0.2">
      <c r="A247" s="6" t="s">
        <v>290</v>
      </c>
      <c r="B247" s="6" t="s">
        <v>13</v>
      </c>
      <c r="C247" s="6">
        <v>0.8</v>
      </c>
      <c r="D247" s="6" t="s">
        <v>13</v>
      </c>
      <c r="E247" s="6">
        <v>0.42199999999999999</v>
      </c>
      <c r="F247" s="6">
        <v>39</v>
      </c>
      <c r="G247" s="6" t="s">
        <v>291</v>
      </c>
      <c r="H247" s="6">
        <v>5922</v>
      </c>
      <c r="I247" s="6">
        <v>150.35</v>
      </c>
      <c r="J247" s="12">
        <v>7.52</v>
      </c>
      <c r="K247" s="12">
        <v>30.12</v>
      </c>
      <c r="L247" s="8">
        <f t="shared" si="7"/>
        <v>1.3187782456433688E+17</v>
      </c>
      <c r="M247" s="8">
        <f t="shared" si="8"/>
        <v>1561556368473561.5</v>
      </c>
    </row>
    <row r="248" spans="1:13" ht="15.75" customHeight="1" x14ac:dyDescent="0.2">
      <c r="A248" s="6" t="s">
        <v>292</v>
      </c>
      <c r="B248" s="6">
        <v>3.1</v>
      </c>
      <c r="C248" s="6">
        <v>-3</v>
      </c>
      <c r="D248" s="6">
        <v>0</v>
      </c>
      <c r="E248" s="6" t="s">
        <v>293</v>
      </c>
      <c r="F248" s="6">
        <v>0</v>
      </c>
      <c r="G248" s="6" t="s">
        <v>293</v>
      </c>
      <c r="H248" s="6">
        <v>0.7</v>
      </c>
      <c r="I248" s="6">
        <v>144</v>
      </c>
      <c r="L248" s="8">
        <f t="shared" si="7"/>
        <v>16275800271907.055</v>
      </c>
      <c r="M248" s="8">
        <f t="shared" si="8"/>
        <v>0</v>
      </c>
    </row>
    <row r="249" spans="1:13" ht="15.75" customHeight="1" x14ac:dyDescent="0.2">
      <c r="A249" s="6" t="s">
        <v>294</v>
      </c>
      <c r="B249" s="6">
        <v>15.1</v>
      </c>
      <c r="C249" s="6">
        <v>14</v>
      </c>
      <c r="D249" s="6" t="s">
        <v>295</v>
      </c>
      <c r="E249" s="6" t="s">
        <v>296</v>
      </c>
      <c r="F249" s="6">
        <v>143</v>
      </c>
      <c r="G249" s="6" t="s">
        <v>297</v>
      </c>
      <c r="H249" s="6">
        <v>57</v>
      </c>
      <c r="I249" s="6">
        <v>147</v>
      </c>
      <c r="L249" s="8">
        <f t="shared" si="7"/>
        <v>1298267916732877.8</v>
      </c>
      <c r="M249" s="8">
        <f t="shared" si="8"/>
        <v>5856190476190475</v>
      </c>
    </row>
    <row r="250" spans="1:13" ht="15.75" customHeight="1" x14ac:dyDescent="0.2">
      <c r="A250" s="6" t="s">
        <v>298</v>
      </c>
      <c r="B250" s="6">
        <v>11.3</v>
      </c>
      <c r="C250" s="6">
        <v>-3</v>
      </c>
      <c r="D250" s="6">
        <v>0</v>
      </c>
      <c r="E250" s="6" t="s">
        <v>293</v>
      </c>
      <c r="F250" s="6">
        <v>0</v>
      </c>
      <c r="G250" s="6" t="s">
        <v>293</v>
      </c>
      <c r="H250" s="6">
        <v>2.4</v>
      </c>
      <c r="I250" s="6">
        <v>148</v>
      </c>
      <c r="L250" s="8">
        <f t="shared" si="7"/>
        <v>54294561524817.352</v>
      </c>
      <c r="M250" s="8">
        <f t="shared" si="8"/>
        <v>0</v>
      </c>
    </row>
    <row r="251" spans="1:13" ht="15.75" customHeight="1" x14ac:dyDescent="0.2">
      <c r="A251" s="6" t="s">
        <v>299</v>
      </c>
      <c r="B251" s="6">
        <v>13.9</v>
      </c>
      <c r="C251" s="6">
        <v>-19.2</v>
      </c>
      <c r="D251" s="6" t="s">
        <v>300</v>
      </c>
      <c r="E251" s="6">
        <v>63.5</v>
      </c>
      <c r="F251" s="6">
        <v>137</v>
      </c>
      <c r="G251" s="6" t="s">
        <v>301</v>
      </c>
      <c r="H251" s="6">
        <v>42080</v>
      </c>
      <c r="I251" s="6">
        <v>149</v>
      </c>
      <c r="L251" s="8">
        <f t="shared" si="7"/>
        <v>9.455756209360137E+17</v>
      </c>
      <c r="M251" s="8">
        <f t="shared" si="8"/>
        <v>5535167785234898</v>
      </c>
    </row>
    <row r="252" spans="1:13" ht="15.75" customHeight="1" x14ac:dyDescent="0.2">
      <c r="A252" s="6" t="s">
        <v>302</v>
      </c>
      <c r="B252" s="6">
        <v>7.4</v>
      </c>
      <c r="C252" s="6">
        <v>14</v>
      </c>
      <c r="D252" s="6">
        <v>0</v>
      </c>
      <c r="E252" s="6" t="s">
        <v>296</v>
      </c>
      <c r="F252" s="6">
        <v>0</v>
      </c>
      <c r="G252" s="6" t="s">
        <v>296</v>
      </c>
      <c r="H252" s="6">
        <v>104</v>
      </c>
      <c r="I252" s="6">
        <v>150</v>
      </c>
      <c r="L252" s="8">
        <f t="shared" si="7"/>
        <v>2321394141638857.5</v>
      </c>
      <c r="M252" s="8">
        <f t="shared" si="8"/>
        <v>0</v>
      </c>
    </row>
    <row r="253" spans="1:13" ht="15.75" customHeight="1" x14ac:dyDescent="0.2">
      <c r="A253" s="6" t="s">
        <v>303</v>
      </c>
      <c r="B253" s="6">
        <v>26.6</v>
      </c>
      <c r="C253" s="6">
        <v>-5</v>
      </c>
      <c r="D253" s="6">
        <v>0</v>
      </c>
      <c r="E253" s="6">
        <v>3.1</v>
      </c>
      <c r="F253" s="6">
        <v>0</v>
      </c>
      <c r="G253" s="6">
        <v>3.1</v>
      </c>
      <c r="H253" s="6">
        <v>206</v>
      </c>
      <c r="I253" s="6">
        <v>152</v>
      </c>
      <c r="L253" s="8">
        <f t="shared" si="7"/>
        <v>4537644166032433</v>
      </c>
      <c r="M253" s="8">
        <f t="shared" si="8"/>
        <v>0</v>
      </c>
    </row>
    <row r="254" spans="1:13" ht="15.75" customHeight="1" x14ac:dyDescent="0.2">
      <c r="A254" s="6" t="s">
        <v>304</v>
      </c>
      <c r="B254" s="6">
        <v>22.6</v>
      </c>
      <c r="C254" s="6">
        <v>9.3000000000000007</v>
      </c>
      <c r="D254" s="6">
        <v>0</v>
      </c>
      <c r="E254" s="6" t="s">
        <v>305</v>
      </c>
      <c r="F254" s="6">
        <v>0</v>
      </c>
      <c r="G254" s="6" t="s">
        <v>305</v>
      </c>
      <c r="H254" s="6">
        <v>8.4</v>
      </c>
      <c r="I254" s="6">
        <v>154</v>
      </c>
      <c r="L254" s="8">
        <f t="shared" si="7"/>
        <v>182627161492567.47</v>
      </c>
      <c r="M254" s="8">
        <f t="shared" si="8"/>
        <v>0</v>
      </c>
    </row>
    <row r="255" spans="1:13" ht="15.75" customHeight="1" x14ac:dyDescent="0.2">
      <c r="A255" s="6" t="s">
        <v>306</v>
      </c>
      <c r="B255" s="6" t="s">
        <v>13</v>
      </c>
      <c r="C255" s="6">
        <v>7.22</v>
      </c>
      <c r="D255" s="6" t="s">
        <v>13</v>
      </c>
      <c r="E255" s="6">
        <v>6.57</v>
      </c>
      <c r="F255" s="6">
        <v>2.5</v>
      </c>
      <c r="G255" s="6">
        <v>9.1999999999999993</v>
      </c>
      <c r="H255" s="6">
        <v>4530</v>
      </c>
      <c r="I255" s="6">
        <v>151.96</v>
      </c>
      <c r="J255" s="13">
        <v>5.24</v>
      </c>
      <c r="K255" s="13">
        <v>20.765999999999998</v>
      </c>
      <c r="L255" s="8">
        <f t="shared" si="7"/>
        <v>9.9810382745181152E+16</v>
      </c>
      <c r="M255" s="8">
        <f t="shared" si="8"/>
        <v>99039220847591.438</v>
      </c>
    </row>
    <row r="256" spans="1:13" ht="15.75" customHeight="1" x14ac:dyDescent="0.2">
      <c r="A256" s="6" t="s">
        <v>307</v>
      </c>
      <c r="B256" s="6">
        <v>47.8</v>
      </c>
      <c r="C256" s="6">
        <v>6.13</v>
      </c>
      <c r="D256" s="6" t="s">
        <v>308</v>
      </c>
      <c r="E256" s="6">
        <v>5.5</v>
      </c>
      <c r="F256" s="6">
        <v>3.1</v>
      </c>
      <c r="G256" s="6">
        <v>8.6</v>
      </c>
      <c r="H256" s="6">
        <v>9100</v>
      </c>
      <c r="I256" s="6">
        <v>151</v>
      </c>
      <c r="L256" s="8">
        <f t="shared" si="7"/>
        <v>2.0177680866894045E+17</v>
      </c>
      <c r="M256" s="8">
        <f t="shared" si="8"/>
        <v>123589403973509.91</v>
      </c>
    </row>
    <row r="257" spans="1:13" ht="15.75" customHeight="1" x14ac:dyDescent="0.2">
      <c r="A257" s="6" t="s">
        <v>309</v>
      </c>
      <c r="B257" s="6">
        <v>52.2</v>
      </c>
      <c r="C257" s="6">
        <v>8.2200000000000006</v>
      </c>
      <c r="D257" s="6" t="s">
        <v>310</v>
      </c>
      <c r="E257" s="6">
        <v>8.5</v>
      </c>
      <c r="F257" s="6">
        <v>1.3</v>
      </c>
      <c r="G257" s="6">
        <v>9.8000000000000007</v>
      </c>
      <c r="H257" s="6">
        <v>312</v>
      </c>
      <c r="I257" s="6">
        <v>153</v>
      </c>
      <c r="L257" s="8">
        <f t="shared" si="7"/>
        <v>6827629828349581</v>
      </c>
      <c r="M257" s="8">
        <f t="shared" si="8"/>
        <v>51150326797385.617</v>
      </c>
    </row>
    <row r="258" spans="1:13" ht="15.75" customHeight="1" x14ac:dyDescent="0.2">
      <c r="A258" s="6" t="s">
        <v>311</v>
      </c>
      <c r="B258" s="6" t="s">
        <v>13</v>
      </c>
      <c r="C258" s="6">
        <v>6.5</v>
      </c>
      <c r="D258" s="6" t="s">
        <v>13</v>
      </c>
      <c r="E258" s="6">
        <v>29.3</v>
      </c>
      <c r="F258" s="6">
        <v>151</v>
      </c>
      <c r="G258" s="6" t="s">
        <v>312</v>
      </c>
      <c r="H258" s="6">
        <v>49700</v>
      </c>
      <c r="I258" s="6">
        <v>157.25</v>
      </c>
      <c r="J258" s="12">
        <v>7.9004000000000003</v>
      </c>
      <c r="K258" s="12">
        <v>30.254999999999999</v>
      </c>
      <c r="L258" s="8">
        <f t="shared" si="7"/>
        <v>1.0582116501111462E+18</v>
      </c>
      <c r="M258" s="8">
        <f t="shared" si="8"/>
        <v>5780731319554848</v>
      </c>
    </row>
    <row r="259" spans="1:13" ht="15.75" customHeight="1" x14ac:dyDescent="0.2">
      <c r="A259" s="6" t="s">
        <v>313</v>
      </c>
      <c r="B259" s="6">
        <v>0.2</v>
      </c>
      <c r="C259" s="6">
        <v>10</v>
      </c>
      <c r="D259" s="6">
        <v>0</v>
      </c>
      <c r="E259" s="6" t="s">
        <v>314</v>
      </c>
      <c r="F259" s="6">
        <v>0</v>
      </c>
      <c r="G259" s="6" t="s">
        <v>314</v>
      </c>
      <c r="H259" s="6">
        <v>735</v>
      </c>
      <c r="I259" s="6">
        <v>152</v>
      </c>
      <c r="L259" s="8">
        <f t="shared" si="7"/>
        <v>1.6190138165212806E+16</v>
      </c>
      <c r="M259" s="8">
        <f t="shared" si="8"/>
        <v>0</v>
      </c>
    </row>
    <row r="260" spans="1:13" ht="15.75" customHeight="1" x14ac:dyDescent="0.2">
      <c r="A260" s="6" t="s">
        <v>315</v>
      </c>
      <c r="B260" s="6">
        <v>2.1</v>
      </c>
      <c r="C260" s="6">
        <v>10</v>
      </c>
      <c r="D260" s="6">
        <v>0</v>
      </c>
      <c r="E260" s="6" t="s">
        <v>314</v>
      </c>
      <c r="F260" s="6">
        <v>0</v>
      </c>
      <c r="G260" s="6" t="s">
        <v>314</v>
      </c>
      <c r="H260" s="6">
        <v>85</v>
      </c>
      <c r="I260" s="6">
        <v>154</v>
      </c>
      <c r="L260" s="8">
        <f t="shared" ref="L260:L323" si="9">(H260*10^-8/1.798)*6.02*10^23/I260</f>
        <v>1848012943674789.8</v>
      </c>
      <c r="M260" s="8">
        <f t="shared" si="8"/>
        <v>0</v>
      </c>
    </row>
    <row r="261" spans="1:13" ht="15.75" customHeight="1" x14ac:dyDescent="0.2">
      <c r="A261" s="6" t="s">
        <v>316</v>
      </c>
      <c r="B261" s="6">
        <v>14.8</v>
      </c>
      <c r="C261" s="6">
        <v>6</v>
      </c>
      <c r="D261" s="6" t="s">
        <v>317</v>
      </c>
      <c r="E261" s="6">
        <v>40.799999999999997</v>
      </c>
      <c r="F261" s="6">
        <v>25</v>
      </c>
      <c r="G261" s="6" t="s">
        <v>318</v>
      </c>
      <c r="H261" s="6">
        <v>61100</v>
      </c>
      <c r="I261" s="6">
        <v>155</v>
      </c>
      <c r="L261" s="8">
        <f t="shared" si="9"/>
        <v>1.319824895044673E+18</v>
      </c>
      <c r="M261" s="8">
        <f t="shared" si="8"/>
        <v>970967741935483.63</v>
      </c>
    </row>
    <row r="262" spans="1:13" ht="15.75" customHeight="1" x14ac:dyDescent="0.2">
      <c r="A262" s="6" t="s">
        <v>319</v>
      </c>
      <c r="B262" s="6">
        <v>20.6</v>
      </c>
      <c r="C262" s="6">
        <v>6.3</v>
      </c>
      <c r="D262" s="6">
        <v>0</v>
      </c>
      <c r="E262" s="6">
        <v>5</v>
      </c>
      <c r="F262" s="6">
        <v>0</v>
      </c>
      <c r="G262" s="6">
        <v>5</v>
      </c>
      <c r="H262" s="6">
        <v>1.5</v>
      </c>
      <c r="I262" s="6">
        <v>156</v>
      </c>
      <c r="L262" s="8">
        <f t="shared" si="9"/>
        <v>32193890647728.242</v>
      </c>
      <c r="M262" s="8">
        <f t="shared" si="8"/>
        <v>0</v>
      </c>
    </row>
    <row r="263" spans="1:13" ht="15.75" customHeight="1" x14ac:dyDescent="0.2">
      <c r="A263" s="6" t="s">
        <v>320</v>
      </c>
      <c r="B263" s="6">
        <v>15.7</v>
      </c>
      <c r="C263" s="6">
        <v>-1.1399999999999999</v>
      </c>
      <c r="D263" s="6" t="s">
        <v>321</v>
      </c>
      <c r="E263" s="6" t="s">
        <v>322</v>
      </c>
      <c r="F263" s="6">
        <v>394</v>
      </c>
      <c r="G263" s="6" t="s">
        <v>323</v>
      </c>
      <c r="H263" s="6">
        <v>259000</v>
      </c>
      <c r="I263" s="6">
        <v>157</v>
      </c>
      <c r="L263" s="8">
        <f t="shared" si="9"/>
        <v>5.5234053406828534E+18</v>
      </c>
      <c r="M263" s="8">
        <f t="shared" si="8"/>
        <v>1.5107515923566878E+16</v>
      </c>
    </row>
    <row r="264" spans="1:13" ht="15.75" customHeight="1" x14ac:dyDescent="0.2">
      <c r="A264" s="6" t="s">
        <v>324</v>
      </c>
      <c r="B264" s="6">
        <v>24.8</v>
      </c>
      <c r="C264" s="6">
        <v>9</v>
      </c>
      <c r="D264" s="6">
        <v>0</v>
      </c>
      <c r="E264" s="6" t="s">
        <v>325</v>
      </c>
      <c r="F264" s="6">
        <v>0</v>
      </c>
      <c r="G264" s="6" t="s">
        <v>325</v>
      </c>
      <c r="H264" s="6">
        <v>2.2000000000000002</v>
      </c>
      <c r="I264" s="6">
        <v>158</v>
      </c>
      <c r="L264" s="8">
        <f t="shared" si="9"/>
        <v>46620013798735.586</v>
      </c>
      <c r="M264" s="8">
        <f t="shared" si="8"/>
        <v>0</v>
      </c>
    </row>
    <row r="265" spans="1:13" ht="15.75" customHeight="1" x14ac:dyDescent="0.2">
      <c r="A265" s="6" t="s">
        <v>326</v>
      </c>
      <c r="B265" s="6">
        <v>21.8</v>
      </c>
      <c r="C265" s="6">
        <v>9.15</v>
      </c>
      <c r="D265" s="6">
        <v>0</v>
      </c>
      <c r="E265" s="6">
        <v>10.52</v>
      </c>
      <c r="F265" s="6">
        <v>0</v>
      </c>
      <c r="G265" s="6">
        <v>10.52</v>
      </c>
      <c r="H265" s="6">
        <v>0.77</v>
      </c>
      <c r="I265" s="6">
        <v>160</v>
      </c>
      <c r="L265" s="8">
        <f t="shared" si="9"/>
        <v>16113042269187.988</v>
      </c>
      <c r="M265" s="8">
        <f t="shared" si="8"/>
        <v>0</v>
      </c>
    </row>
    <row r="266" spans="1:13" ht="15.75" customHeight="1" x14ac:dyDescent="0.2">
      <c r="A266" s="6" t="s">
        <v>327</v>
      </c>
      <c r="B266" s="6">
        <v>100</v>
      </c>
      <c r="C266" s="6">
        <v>7.38</v>
      </c>
      <c r="D266" s="6">
        <v>-0.17</v>
      </c>
      <c r="E266" s="6">
        <v>6.84</v>
      </c>
      <c r="F266" s="6">
        <v>4.0000000000000001E-3</v>
      </c>
      <c r="G266" s="6">
        <v>6.84</v>
      </c>
      <c r="H266" s="6">
        <v>23.4</v>
      </c>
      <c r="I266" s="6">
        <v>158.92400000000001</v>
      </c>
      <c r="J266" s="13">
        <v>8.2294</v>
      </c>
      <c r="K266" s="13">
        <v>31.183</v>
      </c>
      <c r="L266" s="8">
        <f t="shared" si="9"/>
        <v>492984396820564.75</v>
      </c>
      <c r="M266" s="8">
        <f t="shared" si="8"/>
        <v>151518965039.89325</v>
      </c>
    </row>
    <row r="267" spans="1:13" ht="15.75" customHeight="1" x14ac:dyDescent="0.2">
      <c r="A267" s="6" t="s">
        <v>328</v>
      </c>
      <c r="B267" s="6" t="s">
        <v>13</v>
      </c>
      <c r="C267" s="6">
        <v>16.899999999999999</v>
      </c>
      <c r="D267" s="6" t="s">
        <v>13</v>
      </c>
      <c r="E267" s="6">
        <v>35.9</v>
      </c>
      <c r="F267" s="6">
        <v>54.4</v>
      </c>
      <c r="G267" s="6">
        <v>90.3</v>
      </c>
      <c r="H267" s="6">
        <v>994</v>
      </c>
      <c r="I267" s="6">
        <v>162.5</v>
      </c>
      <c r="J267" s="12">
        <v>8.5500000000000007</v>
      </c>
      <c r="K267" s="13">
        <v>31.684999999999999</v>
      </c>
      <c r="L267" s="8">
        <f t="shared" si="9"/>
        <v>2.0480465474458796E+16</v>
      </c>
      <c r="M267" s="8">
        <f t="shared" si="8"/>
        <v>2015310769230768.8</v>
      </c>
    </row>
    <row r="268" spans="1:13" ht="15.75" customHeight="1" x14ac:dyDescent="0.2">
      <c r="A268" s="6" t="s">
        <v>329</v>
      </c>
      <c r="B268" s="6">
        <v>0.06</v>
      </c>
      <c r="C268" s="6">
        <v>6.1</v>
      </c>
      <c r="D268" s="6">
        <v>0</v>
      </c>
      <c r="E268" s="6">
        <v>4.7</v>
      </c>
      <c r="F268" s="6">
        <v>0</v>
      </c>
      <c r="G268" s="6">
        <v>4.7</v>
      </c>
      <c r="H268" s="6">
        <v>33</v>
      </c>
      <c r="I268" s="6">
        <v>156</v>
      </c>
      <c r="L268" s="8">
        <f t="shared" si="9"/>
        <v>708265594250021.38</v>
      </c>
      <c r="M268" s="8">
        <f t="shared" si="8"/>
        <v>0</v>
      </c>
    </row>
    <row r="269" spans="1:13" ht="15.75" customHeight="1" x14ac:dyDescent="0.2">
      <c r="A269" s="6" t="s">
        <v>330</v>
      </c>
      <c r="B269" s="6">
        <v>0.1</v>
      </c>
      <c r="C269" s="6">
        <v>6</v>
      </c>
      <c r="D269" s="6">
        <v>0</v>
      </c>
      <c r="E269" s="6" t="s">
        <v>331</v>
      </c>
      <c r="F269" s="6">
        <v>0</v>
      </c>
      <c r="G269" s="6" t="s">
        <v>331</v>
      </c>
      <c r="H269" s="6">
        <v>43</v>
      </c>
      <c r="I269" s="6">
        <v>158</v>
      </c>
      <c r="L269" s="8">
        <f t="shared" si="9"/>
        <v>911209360611649.88</v>
      </c>
      <c r="M269" s="8">
        <f t="shared" si="8"/>
        <v>0</v>
      </c>
    </row>
    <row r="270" spans="1:13" ht="15.75" customHeight="1" x14ac:dyDescent="0.2">
      <c r="A270" s="6" t="s">
        <v>332</v>
      </c>
      <c r="B270" s="6">
        <v>2.34</v>
      </c>
      <c r="C270" s="6">
        <v>6.7</v>
      </c>
      <c r="D270" s="6">
        <v>0</v>
      </c>
      <c r="E270" s="6">
        <v>5.6</v>
      </c>
      <c r="F270" s="6">
        <v>0</v>
      </c>
      <c r="G270" s="6">
        <v>5.6</v>
      </c>
      <c r="H270" s="6">
        <v>56</v>
      </c>
      <c r="I270" s="6">
        <v>160</v>
      </c>
      <c r="L270" s="8">
        <f t="shared" si="9"/>
        <v>1171857619577308</v>
      </c>
      <c r="M270" s="8">
        <f t="shared" ref="M270:M333" si="10">F270*10^-8*6.02*10^23/I270</f>
        <v>0</v>
      </c>
    </row>
    <row r="271" spans="1:13" ht="15.75" customHeight="1" x14ac:dyDescent="0.2">
      <c r="A271" s="6" t="s">
        <v>333</v>
      </c>
      <c r="B271" s="6">
        <v>19</v>
      </c>
      <c r="C271" s="6">
        <v>10.3</v>
      </c>
      <c r="D271" s="6" t="s">
        <v>334</v>
      </c>
      <c r="E271" s="6">
        <v>13.3</v>
      </c>
      <c r="F271" s="6">
        <v>3</v>
      </c>
      <c r="G271" s="6" t="s">
        <v>335</v>
      </c>
      <c r="H271" s="6">
        <v>600</v>
      </c>
      <c r="I271" s="6">
        <v>161</v>
      </c>
      <c r="L271" s="8">
        <f t="shared" si="9"/>
        <v>1.24776321516661E+16</v>
      </c>
      <c r="M271" s="8">
        <f t="shared" si="10"/>
        <v>112173913043478.27</v>
      </c>
    </row>
    <row r="272" spans="1:13" ht="15.75" customHeight="1" x14ac:dyDescent="0.2">
      <c r="A272" s="6" t="s">
        <v>336</v>
      </c>
      <c r="B272" s="6">
        <v>25.5</v>
      </c>
      <c r="C272" s="6">
        <v>-1.4</v>
      </c>
      <c r="D272" s="6">
        <v>0</v>
      </c>
      <c r="E272" s="6">
        <v>0.25</v>
      </c>
      <c r="F272" s="6">
        <v>0</v>
      </c>
      <c r="G272" s="6">
        <v>0.25</v>
      </c>
      <c r="H272" s="6">
        <v>194</v>
      </c>
      <c r="I272" s="6">
        <v>162</v>
      </c>
      <c r="L272" s="8">
        <f t="shared" si="9"/>
        <v>4009530479682500</v>
      </c>
      <c r="M272" s="8">
        <f t="shared" si="10"/>
        <v>0</v>
      </c>
    </row>
    <row r="273" spans="1:13" ht="15.75" customHeight="1" x14ac:dyDescent="0.2">
      <c r="A273" s="6" t="s">
        <v>337</v>
      </c>
      <c r="B273" s="6">
        <v>24.9</v>
      </c>
      <c r="C273" s="6">
        <v>5</v>
      </c>
      <c r="D273" s="6">
        <v>1.3</v>
      </c>
      <c r="E273" s="6">
        <v>3.1</v>
      </c>
      <c r="F273" s="6">
        <v>0.21</v>
      </c>
      <c r="G273" s="6">
        <v>3.3</v>
      </c>
      <c r="H273" s="6">
        <v>124</v>
      </c>
      <c r="I273" s="6">
        <v>163</v>
      </c>
      <c r="L273" s="8">
        <f t="shared" si="9"/>
        <v>2547070023270573</v>
      </c>
      <c r="M273" s="8">
        <f t="shared" si="10"/>
        <v>7755828220858.8945</v>
      </c>
    </row>
    <row r="274" spans="1:13" ht="15.75" customHeight="1" x14ac:dyDescent="0.2">
      <c r="A274" s="6" t="s">
        <v>338</v>
      </c>
      <c r="B274" s="6">
        <v>28.1</v>
      </c>
      <c r="C274" s="6">
        <v>49.4</v>
      </c>
      <c r="D274" s="6">
        <v>0</v>
      </c>
      <c r="E274" s="6" t="s">
        <v>339</v>
      </c>
      <c r="F274" s="6">
        <v>0</v>
      </c>
      <c r="G274" s="6" t="s">
        <v>339</v>
      </c>
      <c r="H274" s="6">
        <v>2840</v>
      </c>
      <c r="I274" s="6">
        <v>164</v>
      </c>
      <c r="L274" s="8">
        <f t="shared" si="9"/>
        <v>5.7980411839713496E+16</v>
      </c>
      <c r="M274" s="8">
        <f t="shared" si="10"/>
        <v>0</v>
      </c>
    </row>
    <row r="275" spans="1:13" ht="15.75" customHeight="1" x14ac:dyDescent="0.2">
      <c r="A275" s="6" t="s">
        <v>340</v>
      </c>
      <c r="B275" s="6">
        <v>100</v>
      </c>
      <c r="C275" s="6">
        <v>8.01</v>
      </c>
      <c r="D275" s="6">
        <v>-1.7</v>
      </c>
      <c r="E275" s="6">
        <v>8.06</v>
      </c>
      <c r="F275" s="6">
        <v>0.36</v>
      </c>
      <c r="G275" s="6">
        <v>8.42</v>
      </c>
      <c r="H275" s="6">
        <v>64.7</v>
      </c>
      <c r="I275" s="6">
        <v>164.93</v>
      </c>
      <c r="J275" s="13">
        <v>8.7947000000000006</v>
      </c>
      <c r="K275" s="13">
        <v>32.112000000000002</v>
      </c>
      <c r="L275" s="8">
        <f t="shared" si="9"/>
        <v>1313443590556198</v>
      </c>
      <c r="M275" s="8">
        <f t="shared" si="10"/>
        <v>13140120050930.693</v>
      </c>
    </row>
    <row r="276" spans="1:13" ht="15.75" customHeight="1" x14ac:dyDescent="0.2">
      <c r="A276" s="6" t="s">
        <v>341</v>
      </c>
      <c r="B276" s="6" t="s">
        <v>13</v>
      </c>
      <c r="C276" s="6">
        <v>7.79</v>
      </c>
      <c r="D276" s="6" t="s">
        <v>13</v>
      </c>
      <c r="E276" s="6">
        <v>7.63</v>
      </c>
      <c r="F276" s="6">
        <v>1.1000000000000001</v>
      </c>
      <c r="G276" s="6">
        <v>8.6999999999999993</v>
      </c>
      <c r="H276" s="6">
        <v>159</v>
      </c>
      <c r="I276" s="6">
        <v>167.28</v>
      </c>
      <c r="J276" s="13">
        <v>9.0060000000000002</v>
      </c>
      <c r="K276" s="13">
        <v>32.420999999999999</v>
      </c>
      <c r="L276" s="8">
        <f t="shared" si="9"/>
        <v>3182437683828516.5</v>
      </c>
      <c r="M276" s="8">
        <f t="shared" si="10"/>
        <v>39586322333811.57</v>
      </c>
    </row>
    <row r="277" spans="1:13" ht="15.75" customHeight="1" x14ac:dyDescent="0.2">
      <c r="A277" s="6" t="s">
        <v>342</v>
      </c>
      <c r="B277" s="6">
        <v>0.14000000000000001</v>
      </c>
      <c r="C277" s="6">
        <v>8.8000000000000007</v>
      </c>
      <c r="D277" s="6">
        <v>0</v>
      </c>
      <c r="E277" s="6">
        <v>9.6999999999999993</v>
      </c>
      <c r="F277" s="6">
        <v>0</v>
      </c>
      <c r="G277" s="6">
        <v>9.6999999999999993</v>
      </c>
      <c r="H277" s="6">
        <v>19</v>
      </c>
      <c r="I277" s="6">
        <v>162</v>
      </c>
      <c r="L277" s="8">
        <f t="shared" si="9"/>
        <v>392685974814265.5</v>
      </c>
      <c r="M277" s="8">
        <f t="shared" si="10"/>
        <v>0</v>
      </c>
    </row>
    <row r="278" spans="1:13" ht="15.75" customHeight="1" x14ac:dyDescent="0.2">
      <c r="A278" s="6" t="s">
        <v>343</v>
      </c>
      <c r="B278" s="6">
        <v>1.56</v>
      </c>
      <c r="C278" s="6">
        <v>8.1999999999999993</v>
      </c>
      <c r="D278" s="6">
        <v>0</v>
      </c>
      <c r="E278" s="6">
        <v>8.4</v>
      </c>
      <c r="F278" s="6">
        <v>0</v>
      </c>
      <c r="G278" s="6">
        <v>8.4</v>
      </c>
      <c r="H278" s="6">
        <v>13</v>
      </c>
      <c r="I278" s="6">
        <v>164</v>
      </c>
      <c r="L278" s="8">
        <f t="shared" si="9"/>
        <v>265403293632491.31</v>
      </c>
      <c r="M278" s="8">
        <f t="shared" si="10"/>
        <v>0</v>
      </c>
    </row>
    <row r="279" spans="1:13" ht="15.75" customHeight="1" x14ac:dyDescent="0.2">
      <c r="A279" s="6" t="s">
        <v>344</v>
      </c>
      <c r="B279" s="6">
        <v>33.4</v>
      </c>
      <c r="C279" s="6">
        <v>10.6</v>
      </c>
      <c r="D279" s="6">
        <v>0</v>
      </c>
      <c r="E279" s="6">
        <v>14.1</v>
      </c>
      <c r="F279" s="6">
        <v>0</v>
      </c>
      <c r="G279" s="6">
        <v>14.1</v>
      </c>
      <c r="H279" s="6">
        <v>19.600000000000001</v>
      </c>
      <c r="I279" s="6">
        <v>166</v>
      </c>
      <c r="L279" s="8">
        <f t="shared" si="9"/>
        <v>395325462026079.75</v>
      </c>
      <c r="M279" s="8">
        <f t="shared" si="10"/>
        <v>0</v>
      </c>
    </row>
    <row r="280" spans="1:13" ht="15.75" customHeight="1" x14ac:dyDescent="0.2">
      <c r="A280" s="6" t="s">
        <v>345</v>
      </c>
      <c r="B280" s="6">
        <v>22.9</v>
      </c>
      <c r="C280" s="6">
        <v>3</v>
      </c>
      <c r="D280" s="6">
        <v>1</v>
      </c>
      <c r="E280" s="6">
        <v>1.1000000000000001</v>
      </c>
      <c r="F280" s="6">
        <v>0.13</v>
      </c>
      <c r="G280" s="6">
        <v>1.2</v>
      </c>
      <c r="H280" s="6">
        <v>659</v>
      </c>
      <c r="I280" s="6">
        <v>167</v>
      </c>
      <c r="L280" s="8">
        <f t="shared" si="9"/>
        <v>1.321221849959702E+16</v>
      </c>
      <c r="M280" s="8">
        <f t="shared" si="10"/>
        <v>4686227544910.1797</v>
      </c>
    </row>
    <row r="281" spans="1:13" ht="15.75" customHeight="1" x14ac:dyDescent="0.2">
      <c r="A281" s="6" t="s">
        <v>346</v>
      </c>
      <c r="B281" s="6">
        <v>27.1</v>
      </c>
      <c r="C281" s="6">
        <v>7.4</v>
      </c>
      <c r="D281" s="6">
        <v>0</v>
      </c>
      <c r="E281" s="6">
        <v>6.9</v>
      </c>
      <c r="F281" s="6">
        <v>0</v>
      </c>
      <c r="G281" s="6">
        <v>6.9</v>
      </c>
      <c r="H281" s="6">
        <v>2.74</v>
      </c>
      <c r="I281" s="6">
        <v>168</v>
      </c>
      <c r="L281" s="8">
        <f t="shared" si="9"/>
        <v>54606970708194.297</v>
      </c>
      <c r="M281" s="8">
        <f t="shared" si="10"/>
        <v>0</v>
      </c>
    </row>
    <row r="282" spans="1:13" ht="15.75" customHeight="1" x14ac:dyDescent="0.2">
      <c r="A282" s="6" t="s">
        <v>347</v>
      </c>
      <c r="B282" s="6">
        <v>14.9</v>
      </c>
      <c r="C282" s="6">
        <v>9.6</v>
      </c>
      <c r="D282" s="6">
        <v>0</v>
      </c>
      <c r="E282" s="6">
        <v>11.6</v>
      </c>
      <c r="F282" s="6">
        <v>0</v>
      </c>
      <c r="G282" s="6" t="s">
        <v>348</v>
      </c>
      <c r="H282" s="6">
        <v>5.8</v>
      </c>
      <c r="I282" s="6">
        <v>170</v>
      </c>
      <c r="L282" s="8">
        <f t="shared" si="9"/>
        <v>114231499051233.36</v>
      </c>
      <c r="M282" s="8">
        <f t="shared" si="10"/>
        <v>0</v>
      </c>
    </row>
    <row r="283" spans="1:13" ht="15.75" customHeight="1" x14ac:dyDescent="0.2">
      <c r="A283" s="6" t="s">
        <v>349</v>
      </c>
      <c r="B283" s="6">
        <v>100</v>
      </c>
      <c r="C283" s="6">
        <v>7.07</v>
      </c>
      <c r="D283" s="6">
        <v>0.9</v>
      </c>
      <c r="E283" s="6">
        <v>6.28</v>
      </c>
      <c r="F283" s="6">
        <v>0.1</v>
      </c>
      <c r="G283" s="6">
        <v>6.38</v>
      </c>
      <c r="H283" s="6">
        <v>100</v>
      </c>
      <c r="I283" s="6">
        <v>168.934</v>
      </c>
      <c r="J283" s="13">
        <v>9.32</v>
      </c>
      <c r="K283" s="13">
        <v>33.222999999999999</v>
      </c>
      <c r="L283" s="8">
        <f t="shared" si="9"/>
        <v>1981936512107531</v>
      </c>
      <c r="M283" s="8">
        <f t="shared" si="10"/>
        <v>3563521848769.3418</v>
      </c>
    </row>
    <row r="284" spans="1:13" ht="15.75" customHeight="1" x14ac:dyDescent="0.2">
      <c r="A284" s="6" t="s">
        <v>350</v>
      </c>
      <c r="B284" s="6" t="s">
        <v>13</v>
      </c>
      <c r="C284" s="6">
        <v>12.43</v>
      </c>
      <c r="D284" s="6" t="s">
        <v>13</v>
      </c>
      <c r="E284" s="6">
        <v>19.420000000000002</v>
      </c>
      <c r="F284" s="6">
        <v>4</v>
      </c>
      <c r="G284" s="6">
        <v>23.4</v>
      </c>
      <c r="H284" s="6">
        <v>34.799999999999997</v>
      </c>
      <c r="I284" s="6">
        <v>173.04</v>
      </c>
      <c r="J284" s="13">
        <v>6.9649999999999999</v>
      </c>
      <c r="K284" s="13">
        <v>24.239000000000001</v>
      </c>
      <c r="L284" s="8">
        <f t="shared" si="9"/>
        <v>673347948637644.75</v>
      </c>
      <c r="M284" s="8">
        <f t="shared" si="10"/>
        <v>139158576051779.92</v>
      </c>
    </row>
    <row r="285" spans="1:13" ht="15.75" customHeight="1" x14ac:dyDescent="0.2">
      <c r="A285" s="6" t="s">
        <v>351</v>
      </c>
      <c r="B285" s="6">
        <v>0.14000000000000001</v>
      </c>
      <c r="C285" s="6">
        <v>-4.07</v>
      </c>
      <c r="D285" s="6">
        <v>0</v>
      </c>
      <c r="E285" s="6">
        <v>2.13</v>
      </c>
      <c r="F285" s="6">
        <v>0</v>
      </c>
      <c r="G285" s="6">
        <v>2.13</v>
      </c>
      <c r="H285" s="6">
        <v>2230</v>
      </c>
      <c r="I285" s="6">
        <v>168</v>
      </c>
      <c r="L285" s="8">
        <f t="shared" si="9"/>
        <v>4.4442899517982936E+16</v>
      </c>
      <c r="M285" s="8">
        <f t="shared" si="10"/>
        <v>0</v>
      </c>
    </row>
    <row r="286" spans="1:13" ht="15.75" customHeight="1" x14ac:dyDescent="0.2">
      <c r="A286" s="6" t="s">
        <v>352</v>
      </c>
      <c r="B286" s="6">
        <v>3.06</v>
      </c>
      <c r="C286" s="6">
        <v>6.77</v>
      </c>
      <c r="D286" s="6">
        <v>0</v>
      </c>
      <c r="E286" s="6">
        <v>5.8</v>
      </c>
      <c r="F286" s="6">
        <v>0</v>
      </c>
      <c r="G286" s="6">
        <v>5.8</v>
      </c>
      <c r="H286" s="6">
        <v>11.4</v>
      </c>
      <c r="I286" s="6">
        <v>170</v>
      </c>
      <c r="L286" s="8">
        <f t="shared" si="9"/>
        <v>224523980893803.53</v>
      </c>
      <c r="M286" s="8">
        <f t="shared" si="10"/>
        <v>0</v>
      </c>
    </row>
    <row r="287" spans="1:13" ht="15.75" customHeight="1" x14ac:dyDescent="0.2">
      <c r="A287" s="6" t="s">
        <v>353</v>
      </c>
      <c r="B287" s="6">
        <v>14.3</v>
      </c>
      <c r="C287" s="6">
        <v>9.66</v>
      </c>
      <c r="D287" s="6">
        <v>-5.59</v>
      </c>
      <c r="E287" s="6">
        <v>11.7</v>
      </c>
      <c r="F287" s="6">
        <v>3.9</v>
      </c>
      <c r="G287" s="6">
        <v>15.6</v>
      </c>
      <c r="H287" s="6">
        <v>48.6</v>
      </c>
      <c r="I287" s="6">
        <v>171</v>
      </c>
      <c r="L287" s="8">
        <f t="shared" si="9"/>
        <v>951583630934956.88</v>
      </c>
      <c r="M287" s="8">
        <f t="shared" si="10"/>
        <v>137298245614035.06</v>
      </c>
    </row>
    <row r="288" spans="1:13" ht="15.75" customHeight="1" x14ac:dyDescent="0.2">
      <c r="A288" s="6" t="s">
        <v>354</v>
      </c>
      <c r="B288" s="6">
        <v>21.9</v>
      </c>
      <c r="C288" s="6">
        <v>9.43</v>
      </c>
      <c r="D288" s="6">
        <v>0</v>
      </c>
      <c r="E288" s="6">
        <v>11.2</v>
      </c>
      <c r="F288" s="6">
        <v>0</v>
      </c>
      <c r="G288" s="6">
        <v>11.2</v>
      </c>
      <c r="H288" s="6">
        <v>0.8</v>
      </c>
      <c r="I288" s="6">
        <v>172</v>
      </c>
      <c r="L288" s="8">
        <f t="shared" si="9"/>
        <v>15572858731924.357</v>
      </c>
      <c r="M288" s="8">
        <f t="shared" si="10"/>
        <v>0</v>
      </c>
    </row>
    <row r="289" spans="1:13" ht="15.75" customHeight="1" x14ac:dyDescent="0.2">
      <c r="A289" s="6" t="s">
        <v>355</v>
      </c>
      <c r="B289" s="6">
        <v>16.100000000000001</v>
      </c>
      <c r="C289" s="6">
        <v>9.56</v>
      </c>
      <c r="D289" s="6">
        <v>-5.3</v>
      </c>
      <c r="E289" s="6">
        <v>11.5</v>
      </c>
      <c r="F289" s="6">
        <v>3.5</v>
      </c>
      <c r="G289" s="6">
        <v>15</v>
      </c>
      <c r="H289" s="6">
        <v>17.100000000000001</v>
      </c>
      <c r="I289" s="6">
        <v>173</v>
      </c>
      <c r="L289" s="8">
        <f t="shared" si="9"/>
        <v>330945752184508.13</v>
      </c>
      <c r="M289" s="8">
        <f t="shared" si="10"/>
        <v>121791907514450.86</v>
      </c>
    </row>
    <row r="290" spans="1:13" ht="15.75" customHeight="1" x14ac:dyDescent="0.2">
      <c r="A290" s="6" t="s">
        <v>356</v>
      </c>
      <c r="B290" s="6">
        <v>31.8</v>
      </c>
      <c r="C290" s="6">
        <v>19.3</v>
      </c>
      <c r="D290" s="6">
        <v>0</v>
      </c>
      <c r="E290" s="6">
        <v>46.8</v>
      </c>
      <c r="F290" s="6">
        <v>0</v>
      </c>
      <c r="G290" s="6">
        <v>46.8</v>
      </c>
      <c r="H290" s="6">
        <v>69.400000000000006</v>
      </c>
      <c r="I290" s="6">
        <v>174</v>
      </c>
      <c r="L290" s="8">
        <f t="shared" si="9"/>
        <v>1335417385856570.8</v>
      </c>
      <c r="M290" s="8">
        <f t="shared" si="10"/>
        <v>0</v>
      </c>
    </row>
    <row r="291" spans="1:13" ht="15.75" customHeight="1" x14ac:dyDescent="0.2">
      <c r="A291" s="6" t="s">
        <v>357</v>
      </c>
      <c r="B291" s="6">
        <v>12.7</v>
      </c>
      <c r="C291" s="6">
        <v>8.7200000000000006</v>
      </c>
      <c r="D291" s="6">
        <v>0</v>
      </c>
      <c r="E291" s="6">
        <v>9.6</v>
      </c>
      <c r="F291" s="6">
        <v>0</v>
      </c>
      <c r="G291" s="6">
        <v>9.6</v>
      </c>
      <c r="H291" s="6">
        <v>2.85</v>
      </c>
      <c r="I291" s="6">
        <v>176</v>
      </c>
      <c r="L291" s="8">
        <f t="shared" si="9"/>
        <v>54217438568105.969</v>
      </c>
      <c r="M291" s="8">
        <f t="shared" si="10"/>
        <v>0</v>
      </c>
    </row>
    <row r="292" spans="1:13" ht="15.75" customHeight="1" x14ac:dyDescent="0.2">
      <c r="A292" s="6" t="s">
        <v>358</v>
      </c>
      <c r="B292" s="6" t="s">
        <v>13</v>
      </c>
      <c r="C292" s="6">
        <v>7.21</v>
      </c>
      <c r="D292" s="6" t="s">
        <v>13</v>
      </c>
      <c r="E292" s="6">
        <v>6.53</v>
      </c>
      <c r="F292" s="6">
        <v>0.7</v>
      </c>
      <c r="G292" s="6">
        <v>7.2</v>
      </c>
      <c r="H292" s="6">
        <v>74</v>
      </c>
      <c r="I292" s="6">
        <v>174.97</v>
      </c>
      <c r="J292" s="13">
        <v>9.8404000000000007</v>
      </c>
      <c r="K292" s="13">
        <v>33.868000000000002</v>
      </c>
      <c r="L292" s="8">
        <f t="shared" si="9"/>
        <v>1416038077527099.3</v>
      </c>
      <c r="M292" s="8">
        <f t="shared" si="10"/>
        <v>24084128707778.473</v>
      </c>
    </row>
    <row r="293" spans="1:13" ht="15.75" customHeight="1" x14ac:dyDescent="0.2">
      <c r="A293" s="6" t="s">
        <v>359</v>
      </c>
      <c r="B293" s="6">
        <v>97.39</v>
      </c>
      <c r="C293" s="6">
        <v>7.24</v>
      </c>
      <c r="D293" s="6" t="s">
        <v>360</v>
      </c>
      <c r="E293" s="6">
        <v>6.59</v>
      </c>
      <c r="F293" s="6">
        <v>0.6</v>
      </c>
      <c r="G293" s="6">
        <v>7.2</v>
      </c>
      <c r="H293" s="6">
        <v>21</v>
      </c>
      <c r="I293" s="6">
        <v>175</v>
      </c>
      <c r="L293" s="8">
        <f t="shared" si="9"/>
        <v>401779755283648.44</v>
      </c>
      <c r="M293" s="8">
        <f t="shared" si="10"/>
        <v>20639999999999.996</v>
      </c>
    </row>
    <row r="294" spans="1:13" ht="15.75" customHeight="1" x14ac:dyDescent="0.2">
      <c r="A294" s="6" t="s">
        <v>361</v>
      </c>
      <c r="B294" s="6">
        <v>2.61</v>
      </c>
      <c r="C294" s="6">
        <v>6.1</v>
      </c>
      <c r="D294" s="6" t="s">
        <v>362</v>
      </c>
      <c r="E294" s="6">
        <v>4.7</v>
      </c>
      <c r="F294" s="6">
        <v>1.2</v>
      </c>
      <c r="G294" s="6">
        <v>5.9</v>
      </c>
      <c r="H294" s="6">
        <v>2065</v>
      </c>
      <c r="I294" s="6">
        <v>176</v>
      </c>
      <c r="L294" s="8">
        <f t="shared" si="9"/>
        <v>3.928386338355748E+16</v>
      </c>
      <c r="M294" s="8">
        <f t="shared" si="10"/>
        <v>41045454545454.531</v>
      </c>
    </row>
    <row r="295" spans="1:13" ht="15.75" customHeight="1" x14ac:dyDescent="0.2">
      <c r="A295" s="6" t="s">
        <v>363</v>
      </c>
      <c r="B295" s="6" t="s">
        <v>13</v>
      </c>
      <c r="C295" s="6">
        <v>7.7</v>
      </c>
      <c r="D295" s="6" t="s">
        <v>13</v>
      </c>
      <c r="E295" s="6">
        <v>7.6</v>
      </c>
      <c r="F295" s="6">
        <v>2.6</v>
      </c>
      <c r="G295" s="6">
        <v>10.199999999999999</v>
      </c>
      <c r="H295" s="6">
        <v>104.1</v>
      </c>
      <c r="I295" s="6">
        <v>178.49</v>
      </c>
      <c r="J295" s="13">
        <v>13.31</v>
      </c>
      <c r="K295" s="13">
        <v>44.905999999999999</v>
      </c>
      <c r="L295" s="8">
        <f t="shared" si="9"/>
        <v>1952736499011513</v>
      </c>
      <c r="M295" s="8">
        <f t="shared" si="10"/>
        <v>87691187181354.688</v>
      </c>
    </row>
    <row r="296" spans="1:13" ht="15.75" customHeight="1" x14ac:dyDescent="0.2">
      <c r="A296" s="6" t="s">
        <v>364</v>
      </c>
      <c r="B296" s="6">
        <v>0.2</v>
      </c>
      <c r="C296" s="6">
        <v>10.9</v>
      </c>
      <c r="D296" s="6">
        <v>0</v>
      </c>
      <c r="E296" s="6" t="s">
        <v>365</v>
      </c>
      <c r="F296" s="6">
        <v>0</v>
      </c>
      <c r="G296" s="6" t="s">
        <v>365</v>
      </c>
      <c r="H296" s="6">
        <v>561</v>
      </c>
      <c r="I296" s="6">
        <v>174</v>
      </c>
      <c r="L296" s="8">
        <f t="shared" si="9"/>
        <v>1.0794944574431358E+16</v>
      </c>
      <c r="M296" s="8">
        <f t="shared" si="10"/>
        <v>0</v>
      </c>
    </row>
    <row r="297" spans="1:13" ht="15.75" customHeight="1" x14ac:dyDescent="0.2">
      <c r="A297" s="6" t="s">
        <v>366</v>
      </c>
      <c r="B297" s="6">
        <v>5.2</v>
      </c>
      <c r="C297" s="6">
        <v>6.61</v>
      </c>
      <c r="D297" s="6">
        <v>0</v>
      </c>
      <c r="E297" s="6">
        <v>5.5</v>
      </c>
      <c r="F297" s="6">
        <v>0</v>
      </c>
      <c r="G297" s="6">
        <v>5.5</v>
      </c>
      <c r="H297" s="6">
        <v>23.5</v>
      </c>
      <c r="I297" s="6">
        <v>176</v>
      </c>
      <c r="L297" s="8">
        <f t="shared" si="9"/>
        <v>447056072403680.75</v>
      </c>
      <c r="M297" s="8">
        <f t="shared" si="10"/>
        <v>0</v>
      </c>
    </row>
    <row r="298" spans="1:13" ht="15.75" customHeight="1" x14ac:dyDescent="0.2">
      <c r="A298" s="6" t="s">
        <v>367</v>
      </c>
      <c r="B298" s="6">
        <v>18.600000000000001</v>
      </c>
      <c r="C298" s="6">
        <v>0.8</v>
      </c>
      <c r="D298" s="6" t="s">
        <v>368</v>
      </c>
      <c r="E298" s="6">
        <v>0.1</v>
      </c>
      <c r="F298" s="6">
        <v>0.1</v>
      </c>
      <c r="G298" s="6">
        <v>0.2</v>
      </c>
      <c r="H298" s="6">
        <v>373</v>
      </c>
      <c r="I298" s="6">
        <v>177</v>
      </c>
      <c r="L298" s="8">
        <f t="shared" si="9"/>
        <v>7055736757099853</v>
      </c>
      <c r="M298" s="8">
        <f t="shared" si="10"/>
        <v>3401129943502.8247</v>
      </c>
    </row>
    <row r="299" spans="1:13" ht="15.75" customHeight="1" x14ac:dyDescent="0.2">
      <c r="A299" s="6" t="s">
        <v>369</v>
      </c>
      <c r="B299" s="6">
        <v>27.1</v>
      </c>
      <c r="C299" s="6">
        <v>5.9</v>
      </c>
      <c r="D299" s="6">
        <v>0</v>
      </c>
      <c r="E299" s="6">
        <v>4.4000000000000004</v>
      </c>
      <c r="F299" s="6">
        <v>0</v>
      </c>
      <c r="G299" s="6">
        <v>4.4000000000000004</v>
      </c>
      <c r="H299" s="6">
        <v>84</v>
      </c>
      <c r="I299" s="6">
        <v>178</v>
      </c>
      <c r="L299" s="8">
        <f t="shared" si="9"/>
        <v>1580032745497493.8</v>
      </c>
      <c r="M299" s="8">
        <f t="shared" si="10"/>
        <v>0</v>
      </c>
    </row>
    <row r="300" spans="1:13" ht="15.75" customHeight="1" x14ac:dyDescent="0.2">
      <c r="A300" s="6" t="s">
        <v>370</v>
      </c>
      <c r="B300" s="6">
        <v>13.7</v>
      </c>
      <c r="C300" s="6">
        <v>7.46</v>
      </c>
      <c r="D300" s="6" t="s">
        <v>371</v>
      </c>
      <c r="E300" s="6">
        <v>7</v>
      </c>
      <c r="F300" s="6">
        <v>0.14000000000000001</v>
      </c>
      <c r="G300" s="6">
        <v>7.1</v>
      </c>
      <c r="H300" s="6">
        <v>41</v>
      </c>
      <c r="I300" s="6">
        <v>179</v>
      </c>
      <c r="L300" s="8">
        <f t="shared" si="9"/>
        <v>766898043139179.88</v>
      </c>
      <c r="M300" s="8">
        <f t="shared" si="10"/>
        <v>4708379888268.1553</v>
      </c>
    </row>
    <row r="301" spans="1:13" ht="15.75" customHeight="1" x14ac:dyDescent="0.2">
      <c r="A301" s="6" t="s">
        <v>372</v>
      </c>
      <c r="B301" s="6">
        <v>35.200000000000003</v>
      </c>
      <c r="C301" s="6">
        <v>13.2</v>
      </c>
      <c r="D301" s="6">
        <v>0</v>
      </c>
      <c r="E301" s="6">
        <v>21.9</v>
      </c>
      <c r="F301" s="6">
        <v>0</v>
      </c>
      <c r="G301" s="6" t="s">
        <v>373</v>
      </c>
      <c r="H301" s="6">
        <v>13.04</v>
      </c>
      <c r="I301" s="6">
        <v>180</v>
      </c>
      <c r="L301" s="8">
        <f t="shared" si="9"/>
        <v>242555926337906.28</v>
      </c>
      <c r="M301" s="8">
        <f t="shared" si="10"/>
        <v>0</v>
      </c>
    </row>
    <row r="302" spans="1:13" ht="15.75" customHeight="1" x14ac:dyDescent="0.2">
      <c r="A302" s="6" t="s">
        <v>374</v>
      </c>
      <c r="B302" s="6" t="s">
        <v>13</v>
      </c>
      <c r="C302" s="6">
        <v>6.91</v>
      </c>
      <c r="D302" s="6" t="s">
        <v>13</v>
      </c>
      <c r="E302" s="6">
        <v>6</v>
      </c>
      <c r="F302" s="6">
        <v>0.01</v>
      </c>
      <c r="G302" s="6">
        <v>6.01</v>
      </c>
      <c r="H302" s="6">
        <v>20.6</v>
      </c>
      <c r="I302" s="6">
        <v>180.94800000000001</v>
      </c>
      <c r="J302" s="13">
        <v>16.600000000000001</v>
      </c>
      <c r="K302" s="13">
        <v>55.244999999999997</v>
      </c>
      <c r="L302" s="8">
        <f t="shared" si="9"/>
        <v>381171338305441.19</v>
      </c>
      <c r="M302" s="8">
        <f t="shared" si="10"/>
        <v>332692265181.15698</v>
      </c>
    </row>
    <row r="303" spans="1:13" ht="15.75" customHeight="1" x14ac:dyDescent="0.2">
      <c r="A303" s="6" t="s">
        <v>375</v>
      </c>
      <c r="B303" s="6">
        <v>1.2E-2</v>
      </c>
      <c r="C303" s="6">
        <v>7</v>
      </c>
      <c r="D303" s="6" t="s">
        <v>13</v>
      </c>
      <c r="E303" s="6">
        <v>6.2</v>
      </c>
      <c r="F303" s="6">
        <v>0.5</v>
      </c>
      <c r="G303" s="6" t="s">
        <v>376</v>
      </c>
      <c r="H303" s="6">
        <v>563</v>
      </c>
      <c r="I303" s="6">
        <v>180</v>
      </c>
      <c r="L303" s="8">
        <f t="shared" si="9"/>
        <v>1.047231491780991E+16</v>
      </c>
      <c r="M303" s="8">
        <f t="shared" si="10"/>
        <v>16722222222222.219</v>
      </c>
    </row>
    <row r="304" spans="1:13" ht="15.75" customHeight="1" x14ac:dyDescent="0.2">
      <c r="A304" s="6" t="s">
        <v>377</v>
      </c>
      <c r="B304" s="6">
        <v>99.988</v>
      </c>
      <c r="C304" s="6">
        <v>6.91</v>
      </c>
      <c r="D304" s="6">
        <v>-0.28999999999999998</v>
      </c>
      <c r="E304" s="6">
        <v>6</v>
      </c>
      <c r="F304" s="6">
        <v>1.0999999999999999E-2</v>
      </c>
      <c r="G304" s="6">
        <v>6.01</v>
      </c>
      <c r="H304" s="6">
        <v>20.5</v>
      </c>
      <c r="I304" s="6">
        <v>181</v>
      </c>
      <c r="L304" s="8">
        <f t="shared" si="9"/>
        <v>379212015806390.06</v>
      </c>
      <c r="M304" s="8">
        <f t="shared" si="10"/>
        <v>365856353591.16016</v>
      </c>
    </row>
    <row r="305" spans="1:13" ht="15.75" customHeight="1" x14ac:dyDescent="0.2">
      <c r="A305" s="6" t="s">
        <v>378</v>
      </c>
      <c r="B305" s="6" t="s">
        <v>13</v>
      </c>
      <c r="C305" s="6">
        <v>4.8600000000000003</v>
      </c>
      <c r="D305" s="6" t="s">
        <v>13</v>
      </c>
      <c r="E305" s="6">
        <v>2.97</v>
      </c>
      <c r="F305" s="6">
        <v>1.63</v>
      </c>
      <c r="G305" s="6">
        <v>4.5999999999999996</v>
      </c>
      <c r="H305" s="6">
        <v>18.3</v>
      </c>
      <c r="I305" s="6">
        <v>183.85</v>
      </c>
      <c r="J305" s="13">
        <v>19.350000000000001</v>
      </c>
      <c r="K305" s="13">
        <v>63.381</v>
      </c>
      <c r="L305" s="8">
        <f t="shared" si="9"/>
        <v>333268494320132.69</v>
      </c>
      <c r="M305" s="8">
        <f t="shared" si="10"/>
        <v>53372858308403.594</v>
      </c>
    </row>
    <row r="306" spans="1:13" ht="15.75" customHeight="1" x14ac:dyDescent="0.2">
      <c r="A306" s="6" t="s">
        <v>379</v>
      </c>
      <c r="B306" s="6">
        <v>0.1</v>
      </c>
      <c r="C306" s="6">
        <v>5</v>
      </c>
      <c r="D306" s="6">
        <v>0</v>
      </c>
      <c r="E306" s="6" t="s">
        <v>380</v>
      </c>
      <c r="F306" s="6">
        <v>0</v>
      </c>
      <c r="G306" s="6" t="s">
        <v>380</v>
      </c>
      <c r="H306" s="6">
        <v>30</v>
      </c>
      <c r="I306" s="6">
        <v>180</v>
      </c>
      <c r="L306" s="8">
        <f t="shared" si="9"/>
        <v>558027437893956.06</v>
      </c>
      <c r="M306" s="8">
        <f t="shared" si="10"/>
        <v>0</v>
      </c>
    </row>
    <row r="307" spans="1:13" ht="15.75" customHeight="1" x14ac:dyDescent="0.2">
      <c r="A307" s="6" t="s">
        <v>381</v>
      </c>
      <c r="B307" s="6">
        <v>26.3</v>
      </c>
      <c r="C307" s="6">
        <v>6.97</v>
      </c>
      <c r="D307" s="6">
        <v>0</v>
      </c>
      <c r="E307" s="6">
        <v>6.1</v>
      </c>
      <c r="F307" s="6">
        <v>0</v>
      </c>
      <c r="G307" s="6">
        <v>6.1</v>
      </c>
      <c r="H307" s="6">
        <v>20.7</v>
      </c>
      <c r="I307" s="6">
        <v>182</v>
      </c>
      <c r="L307" s="8">
        <f t="shared" si="9"/>
        <v>380807735090271.13</v>
      </c>
      <c r="M307" s="8">
        <f t="shared" si="10"/>
        <v>0</v>
      </c>
    </row>
    <row r="308" spans="1:13" ht="15.75" customHeight="1" x14ac:dyDescent="0.2">
      <c r="A308" s="6" t="s">
        <v>382</v>
      </c>
      <c r="B308" s="6">
        <v>14.3</v>
      </c>
      <c r="C308" s="6">
        <v>6.53</v>
      </c>
      <c r="D308" s="6" t="s">
        <v>13</v>
      </c>
      <c r="E308" s="6">
        <v>5.36</v>
      </c>
      <c r="F308" s="6">
        <v>0.3</v>
      </c>
      <c r="G308" s="6">
        <v>5.7</v>
      </c>
      <c r="H308" s="6">
        <v>10.1</v>
      </c>
      <c r="I308" s="6">
        <v>183</v>
      </c>
      <c r="L308" s="8">
        <f t="shared" si="9"/>
        <v>184789413859965.81</v>
      </c>
      <c r="M308" s="8">
        <f t="shared" si="10"/>
        <v>9868852459016.3906</v>
      </c>
    </row>
    <row r="309" spans="1:13" ht="15.75" customHeight="1" x14ac:dyDescent="0.2">
      <c r="A309" s="6" t="s">
        <v>383</v>
      </c>
      <c r="B309" s="6">
        <v>30.7</v>
      </c>
      <c r="C309" s="6">
        <v>7.48</v>
      </c>
      <c r="D309" s="6">
        <v>0</v>
      </c>
      <c r="E309" s="6">
        <v>7.03</v>
      </c>
      <c r="F309" s="6">
        <v>0</v>
      </c>
      <c r="G309" s="6">
        <v>7.03</v>
      </c>
      <c r="H309" s="6">
        <v>1.7</v>
      </c>
      <c r="I309" s="6">
        <v>184</v>
      </c>
      <c r="L309" s="8">
        <f t="shared" si="9"/>
        <v>30934129709338.875</v>
      </c>
      <c r="M309" s="8">
        <f t="shared" si="10"/>
        <v>0</v>
      </c>
    </row>
    <row r="310" spans="1:13" ht="15.75" customHeight="1" x14ac:dyDescent="0.2">
      <c r="A310" s="6" t="s">
        <v>384</v>
      </c>
      <c r="B310" s="6">
        <v>28.6</v>
      </c>
      <c r="C310" s="6">
        <v>-0.72</v>
      </c>
      <c r="D310" s="6">
        <v>0</v>
      </c>
      <c r="E310" s="6">
        <v>6.5000000000000002E-2</v>
      </c>
      <c r="F310" s="6">
        <v>0</v>
      </c>
      <c r="G310" s="6">
        <v>6.5000000000000002E-2</v>
      </c>
      <c r="H310" s="6">
        <v>37.9</v>
      </c>
      <c r="I310" s="6">
        <v>186</v>
      </c>
      <c r="L310" s="8">
        <f t="shared" si="9"/>
        <v>682233545038094.75</v>
      </c>
      <c r="M310" s="8">
        <f t="shared" si="10"/>
        <v>0</v>
      </c>
    </row>
    <row r="311" spans="1:13" ht="15.75" customHeight="1" x14ac:dyDescent="0.2">
      <c r="A311" s="6" t="s">
        <v>385</v>
      </c>
      <c r="B311" s="6" t="s">
        <v>13</v>
      </c>
      <c r="C311" s="6">
        <v>9.1999999999999993</v>
      </c>
      <c r="D311" s="6" t="s">
        <v>13</v>
      </c>
      <c r="E311" s="6">
        <v>10.6</v>
      </c>
      <c r="F311" s="6">
        <v>0.9</v>
      </c>
      <c r="G311" s="6">
        <v>11.5</v>
      </c>
      <c r="H311" s="6">
        <v>89.7</v>
      </c>
      <c r="I311" s="6">
        <v>186.2</v>
      </c>
      <c r="J311" s="13">
        <v>20.53</v>
      </c>
      <c r="K311" s="13">
        <v>66.397000000000006</v>
      </c>
      <c r="L311" s="8">
        <f t="shared" si="9"/>
        <v>1612945043364808</v>
      </c>
      <c r="M311" s="8">
        <f t="shared" si="10"/>
        <v>29097744360902.258</v>
      </c>
    </row>
    <row r="312" spans="1:13" ht="15.75" customHeight="1" x14ac:dyDescent="0.2">
      <c r="A312" s="6" t="s">
        <v>386</v>
      </c>
      <c r="B312" s="6">
        <v>37.4</v>
      </c>
      <c r="C312" s="6">
        <v>9</v>
      </c>
      <c r="D312" s="6" t="s">
        <v>387</v>
      </c>
      <c r="E312" s="6">
        <v>10.199999999999999</v>
      </c>
      <c r="F312" s="6">
        <v>0.5</v>
      </c>
      <c r="G312" s="6">
        <v>10.7</v>
      </c>
      <c r="H312" s="6">
        <v>112</v>
      </c>
      <c r="I312" s="6">
        <v>185</v>
      </c>
      <c r="L312" s="8">
        <f t="shared" si="9"/>
        <v>2026996963593181.5</v>
      </c>
      <c r="M312" s="8">
        <f t="shared" si="10"/>
        <v>16270270270270.268</v>
      </c>
    </row>
    <row r="313" spans="1:13" ht="15.75" customHeight="1" x14ac:dyDescent="0.2">
      <c r="A313" s="6" t="s">
        <v>388</v>
      </c>
      <c r="B313" s="6">
        <v>62.6</v>
      </c>
      <c r="C313" s="6">
        <v>9.3000000000000007</v>
      </c>
      <c r="D313" s="6" t="s">
        <v>389</v>
      </c>
      <c r="E313" s="6">
        <v>10.9</v>
      </c>
      <c r="F313" s="6">
        <v>1</v>
      </c>
      <c r="G313" s="6">
        <v>11.9</v>
      </c>
      <c r="H313" s="6">
        <v>76.400000000000006</v>
      </c>
      <c r="I313" s="6">
        <v>187</v>
      </c>
      <c r="L313" s="8">
        <f t="shared" si="9"/>
        <v>1367913248826682.3</v>
      </c>
      <c r="M313" s="8">
        <f t="shared" si="10"/>
        <v>32192513368983.953</v>
      </c>
    </row>
    <row r="314" spans="1:13" ht="15.75" customHeight="1" x14ac:dyDescent="0.2">
      <c r="A314" s="6" t="s">
        <v>390</v>
      </c>
      <c r="B314" s="6" t="s">
        <v>13</v>
      </c>
      <c r="C314" s="6">
        <v>10.7</v>
      </c>
      <c r="D314" s="6" t="s">
        <v>13</v>
      </c>
      <c r="E314" s="6">
        <v>14.4</v>
      </c>
      <c r="F314" s="6">
        <v>0.3</v>
      </c>
      <c r="G314" s="6">
        <v>14.7</v>
      </c>
      <c r="H314" s="6">
        <v>16</v>
      </c>
      <c r="I314" s="6">
        <v>190.2</v>
      </c>
      <c r="J314" s="13">
        <v>22.48</v>
      </c>
      <c r="K314" s="13">
        <v>71.174999999999997</v>
      </c>
      <c r="L314" s="8">
        <f t="shared" si="9"/>
        <v>281654227328179.75</v>
      </c>
      <c r="M314" s="8">
        <f t="shared" si="10"/>
        <v>9495268138801.2598</v>
      </c>
    </row>
    <row r="315" spans="1:13" ht="15.75" customHeight="1" x14ac:dyDescent="0.2">
      <c r="A315" s="6" t="s">
        <v>391</v>
      </c>
      <c r="B315" s="6">
        <v>0.02</v>
      </c>
      <c r="C315" s="6">
        <v>10</v>
      </c>
      <c r="D315" s="6">
        <v>0</v>
      </c>
      <c r="E315" s="6" t="s">
        <v>393</v>
      </c>
      <c r="F315" s="6">
        <v>0</v>
      </c>
      <c r="G315" s="6" t="s">
        <v>393</v>
      </c>
      <c r="H315" s="6">
        <v>3000</v>
      </c>
      <c r="I315" s="6">
        <v>184</v>
      </c>
      <c r="L315" s="8">
        <f t="shared" si="9"/>
        <v>5.45896406635392E+16</v>
      </c>
      <c r="M315" s="8">
        <f t="shared" si="10"/>
        <v>0</v>
      </c>
    </row>
    <row r="316" spans="1:13" ht="15.75" customHeight="1" x14ac:dyDescent="0.2">
      <c r="A316" s="6" t="s">
        <v>394</v>
      </c>
      <c r="B316" s="6">
        <v>1.58</v>
      </c>
      <c r="C316" s="6">
        <v>11.6</v>
      </c>
      <c r="D316" s="6">
        <v>0</v>
      </c>
      <c r="E316" s="6" t="s">
        <v>395</v>
      </c>
      <c r="F316" s="6">
        <v>0</v>
      </c>
      <c r="G316" s="6" t="s">
        <v>395</v>
      </c>
      <c r="H316" s="6">
        <v>80</v>
      </c>
      <c r="I316" s="6">
        <v>186</v>
      </c>
      <c r="L316" s="8">
        <f t="shared" si="9"/>
        <v>1440070807468274</v>
      </c>
      <c r="M316" s="8">
        <f t="shared" si="10"/>
        <v>0</v>
      </c>
    </row>
    <row r="317" spans="1:13" ht="15.75" customHeight="1" x14ac:dyDescent="0.2">
      <c r="A317" s="6" t="s">
        <v>396</v>
      </c>
      <c r="B317" s="6">
        <v>1.6</v>
      </c>
      <c r="C317" s="6">
        <v>10</v>
      </c>
      <c r="D317" s="6" t="s">
        <v>13</v>
      </c>
      <c r="E317" s="6" t="s">
        <v>393</v>
      </c>
      <c r="F317" s="6">
        <v>0.3</v>
      </c>
      <c r="G317" s="6" t="s">
        <v>393</v>
      </c>
      <c r="H317" s="6">
        <v>320</v>
      </c>
      <c r="I317" s="6">
        <v>187</v>
      </c>
      <c r="L317" s="8">
        <f t="shared" si="9"/>
        <v>5729479576237411</v>
      </c>
      <c r="M317" s="8">
        <f t="shared" si="10"/>
        <v>9657754010695.1836</v>
      </c>
    </row>
    <row r="318" spans="1:13" ht="15.75" customHeight="1" x14ac:dyDescent="0.2">
      <c r="A318" s="6" t="s">
        <v>397</v>
      </c>
      <c r="B318" s="6">
        <v>13.3</v>
      </c>
      <c r="C318" s="6">
        <v>7.6</v>
      </c>
      <c r="D318" s="6">
        <v>0</v>
      </c>
      <c r="E318" s="6">
        <v>7.3</v>
      </c>
      <c r="F318" s="6">
        <v>0</v>
      </c>
      <c r="G318" s="6">
        <v>7.3</v>
      </c>
      <c r="H318" s="6">
        <v>4.7</v>
      </c>
      <c r="I318" s="6">
        <v>188</v>
      </c>
      <c r="L318" s="8">
        <f t="shared" si="9"/>
        <v>83704115684093.438</v>
      </c>
      <c r="M318" s="8">
        <f t="shared" si="10"/>
        <v>0</v>
      </c>
    </row>
    <row r="319" spans="1:13" ht="15.75" customHeight="1" x14ac:dyDescent="0.2">
      <c r="A319" s="6" t="s">
        <v>398</v>
      </c>
      <c r="B319" s="6">
        <v>16.100000000000001</v>
      </c>
      <c r="C319" s="6">
        <v>10.7</v>
      </c>
      <c r="D319" s="6" t="s">
        <v>13</v>
      </c>
      <c r="E319" s="6">
        <v>14.4</v>
      </c>
      <c r="F319" s="6">
        <v>0.5</v>
      </c>
      <c r="G319" s="6">
        <v>14.9</v>
      </c>
      <c r="H319" s="6">
        <v>25</v>
      </c>
      <c r="I319" s="6">
        <v>189</v>
      </c>
      <c r="L319" s="8">
        <f t="shared" si="9"/>
        <v>442878918963457.19</v>
      </c>
      <c r="M319" s="8">
        <f t="shared" si="10"/>
        <v>15925925925925.924</v>
      </c>
    </row>
    <row r="320" spans="1:13" ht="15.75" customHeight="1" x14ac:dyDescent="0.2">
      <c r="A320" s="6" t="s">
        <v>399</v>
      </c>
      <c r="B320" s="6">
        <v>26.4</v>
      </c>
      <c r="C320" s="6">
        <v>11</v>
      </c>
      <c r="D320" s="6">
        <v>0</v>
      </c>
      <c r="E320" s="6">
        <v>15.2</v>
      </c>
      <c r="F320" s="6">
        <v>0</v>
      </c>
      <c r="G320" s="6">
        <v>15.2</v>
      </c>
      <c r="H320" s="6">
        <v>13.1</v>
      </c>
      <c r="I320" s="6">
        <v>190</v>
      </c>
      <c r="L320" s="8">
        <f t="shared" si="9"/>
        <v>230847140097183.97</v>
      </c>
      <c r="M320" s="8">
        <f t="shared" si="10"/>
        <v>0</v>
      </c>
    </row>
    <row r="321" spans="1:13" ht="15.75" customHeight="1" x14ac:dyDescent="0.2">
      <c r="A321" s="6" t="s">
        <v>400</v>
      </c>
      <c r="B321" s="6">
        <v>41</v>
      </c>
      <c r="C321" s="6">
        <v>11.5</v>
      </c>
      <c r="D321" s="6">
        <v>0</v>
      </c>
      <c r="E321" s="6">
        <v>16.600000000000001</v>
      </c>
      <c r="F321" s="6">
        <v>0</v>
      </c>
      <c r="G321" s="6" t="s">
        <v>401</v>
      </c>
      <c r="H321" s="6">
        <v>2</v>
      </c>
      <c r="I321" s="6">
        <v>192</v>
      </c>
      <c r="L321" s="8">
        <f t="shared" si="9"/>
        <v>34876714868372.254</v>
      </c>
      <c r="M321" s="8">
        <f t="shared" si="10"/>
        <v>0</v>
      </c>
    </row>
    <row r="322" spans="1:13" ht="15.75" customHeight="1" x14ac:dyDescent="0.2">
      <c r="A322" s="6" t="s">
        <v>402</v>
      </c>
      <c r="B322" s="6" t="s">
        <v>13</v>
      </c>
      <c r="C322" s="6">
        <v>10.6</v>
      </c>
      <c r="D322" s="6" t="s">
        <v>13</v>
      </c>
      <c r="E322" s="6">
        <v>14.1</v>
      </c>
      <c r="F322" s="6">
        <v>0</v>
      </c>
      <c r="G322" s="6">
        <v>14</v>
      </c>
      <c r="H322" s="6">
        <v>425</v>
      </c>
      <c r="I322" s="6">
        <v>192.2</v>
      </c>
      <c r="J322" s="12">
        <v>22.420999999999999</v>
      </c>
      <c r="K322" s="12">
        <v>70.248999999999995</v>
      </c>
      <c r="L322" s="8">
        <f t="shared" si="9"/>
        <v>7403589836782457</v>
      </c>
      <c r="M322" s="8">
        <f t="shared" si="10"/>
        <v>0</v>
      </c>
    </row>
    <row r="323" spans="1:13" ht="15.75" customHeight="1" x14ac:dyDescent="0.2">
      <c r="A323" s="6" t="s">
        <v>403</v>
      </c>
      <c r="B323" s="6">
        <v>37.299999999999997</v>
      </c>
      <c r="C323" s="6" t="s">
        <v>13</v>
      </c>
      <c r="D323" s="6" t="s">
        <v>13</v>
      </c>
      <c r="E323" s="6" t="s">
        <v>13</v>
      </c>
      <c r="F323" s="6" t="s">
        <v>13</v>
      </c>
      <c r="G323" s="6" t="s">
        <v>13</v>
      </c>
      <c r="H323" s="6">
        <v>954</v>
      </c>
      <c r="I323" s="6">
        <v>191</v>
      </c>
      <c r="L323" s="8">
        <f t="shared" si="9"/>
        <v>1.6723293479083796E+16</v>
      </c>
    </row>
    <row r="324" spans="1:13" ht="15.75" customHeight="1" x14ac:dyDescent="0.2">
      <c r="A324" s="6" t="s">
        <v>404</v>
      </c>
      <c r="B324" s="6">
        <v>62.7</v>
      </c>
      <c r="C324" s="6" t="s">
        <v>13</v>
      </c>
      <c r="D324" s="6" t="s">
        <v>13</v>
      </c>
      <c r="E324" s="6" t="s">
        <v>13</v>
      </c>
      <c r="F324" s="6" t="s">
        <v>13</v>
      </c>
      <c r="G324" s="6" t="s">
        <v>13</v>
      </c>
      <c r="H324" s="6">
        <v>111</v>
      </c>
      <c r="I324" s="6">
        <v>193</v>
      </c>
      <c r="L324" s="8">
        <f t="shared" ref="L324:L373" si="11">(H324*10^-8/1.798)*6.02*10^23/I324</f>
        <v>1925628360815413.5</v>
      </c>
    </row>
    <row r="325" spans="1:13" ht="15.75" customHeight="1" x14ac:dyDescent="0.2">
      <c r="A325" s="6" t="s">
        <v>405</v>
      </c>
      <c r="B325" s="6" t="s">
        <v>13</v>
      </c>
      <c r="C325" s="6">
        <v>9.6</v>
      </c>
      <c r="D325" s="6" t="s">
        <v>13</v>
      </c>
      <c r="E325" s="6">
        <v>11.58</v>
      </c>
      <c r="F325" s="6">
        <v>0.13</v>
      </c>
      <c r="G325" s="6">
        <v>11.71</v>
      </c>
      <c r="H325" s="6">
        <v>10.3</v>
      </c>
      <c r="I325" s="6">
        <v>195.09</v>
      </c>
      <c r="J325" s="13">
        <v>21.45</v>
      </c>
      <c r="K325" s="13">
        <v>66.210999999999999</v>
      </c>
      <c r="L325" s="8">
        <f t="shared" si="11"/>
        <v>176770186384983.78</v>
      </c>
      <c r="M325" s="8">
        <f t="shared" si="10"/>
        <v>4011481880157.876</v>
      </c>
    </row>
    <row r="326" spans="1:13" ht="15.75" customHeight="1" x14ac:dyDescent="0.2">
      <c r="A326" s="6" t="s">
        <v>406</v>
      </c>
      <c r="B326" s="6">
        <v>0.01</v>
      </c>
      <c r="C326" s="6">
        <v>9</v>
      </c>
      <c r="D326" s="6">
        <v>0</v>
      </c>
      <c r="E326" s="6" t="s">
        <v>392</v>
      </c>
      <c r="F326" s="6">
        <v>0</v>
      </c>
      <c r="G326" s="6" t="s">
        <v>392</v>
      </c>
      <c r="H326" s="6">
        <v>152</v>
      </c>
      <c r="I326" s="6">
        <v>190</v>
      </c>
      <c r="L326" s="8">
        <f t="shared" si="11"/>
        <v>2678531701890990</v>
      </c>
      <c r="M326" s="8">
        <f t="shared" si="10"/>
        <v>0</v>
      </c>
    </row>
    <row r="327" spans="1:13" ht="15.75" customHeight="1" x14ac:dyDescent="0.2">
      <c r="A327" s="6" t="s">
        <v>407</v>
      </c>
      <c r="B327" s="6">
        <v>0.79</v>
      </c>
      <c r="C327" s="6">
        <v>9.9</v>
      </c>
      <c r="D327" s="6">
        <v>0</v>
      </c>
      <c r="E327" s="6" t="s">
        <v>408</v>
      </c>
      <c r="F327" s="6">
        <v>0</v>
      </c>
      <c r="G327" s="6" t="s">
        <v>408</v>
      </c>
      <c r="H327" s="6">
        <v>10</v>
      </c>
      <c r="I327" s="6">
        <v>192</v>
      </c>
      <c r="L327" s="8">
        <f t="shared" si="11"/>
        <v>174383574341861.28</v>
      </c>
      <c r="M327" s="8">
        <f t="shared" si="10"/>
        <v>0</v>
      </c>
    </row>
    <row r="328" spans="1:13" ht="15.75" customHeight="1" x14ac:dyDescent="0.2">
      <c r="A328" s="6" t="s">
        <v>409</v>
      </c>
      <c r="B328" s="6">
        <v>32.9</v>
      </c>
      <c r="C328" s="6">
        <v>10.55</v>
      </c>
      <c r="D328" s="6">
        <v>0</v>
      </c>
      <c r="E328" s="6">
        <v>14</v>
      </c>
      <c r="F328" s="6">
        <v>0</v>
      </c>
      <c r="G328" s="6">
        <v>14</v>
      </c>
      <c r="H328" s="6">
        <v>1.44</v>
      </c>
      <c r="I328" s="6">
        <v>194</v>
      </c>
      <c r="L328" s="8">
        <f t="shared" si="11"/>
        <v>24852355996926.707</v>
      </c>
      <c r="M328" s="8">
        <f t="shared" si="10"/>
        <v>0</v>
      </c>
    </row>
    <row r="329" spans="1:13" ht="15.75" customHeight="1" x14ac:dyDescent="0.2">
      <c r="A329" s="6" t="s">
        <v>410</v>
      </c>
      <c r="B329" s="6">
        <v>33.799999999999997</v>
      </c>
      <c r="C329" s="6">
        <v>8.83</v>
      </c>
      <c r="D329" s="6">
        <v>-1</v>
      </c>
      <c r="E329" s="6">
        <v>9.8000000000000007</v>
      </c>
      <c r="F329" s="6">
        <v>0.13</v>
      </c>
      <c r="G329" s="6">
        <v>9.9</v>
      </c>
      <c r="H329" s="6">
        <v>27.5</v>
      </c>
      <c r="I329" s="6">
        <v>195</v>
      </c>
      <c r="L329" s="8">
        <f t="shared" si="11"/>
        <v>472177062833347.5</v>
      </c>
      <c r="M329" s="8">
        <f t="shared" si="10"/>
        <v>4013333333333.3335</v>
      </c>
    </row>
    <row r="330" spans="1:13" ht="15.75" customHeight="1" x14ac:dyDescent="0.2">
      <c r="A330" s="6" t="s">
        <v>411</v>
      </c>
      <c r="B330" s="6">
        <v>25.3</v>
      </c>
      <c r="C330" s="6">
        <v>9.89</v>
      </c>
      <c r="D330" s="6">
        <v>0</v>
      </c>
      <c r="E330" s="6">
        <v>12.3</v>
      </c>
      <c r="F330" s="6">
        <v>0</v>
      </c>
      <c r="G330" s="6">
        <v>12.3</v>
      </c>
      <c r="H330" s="6">
        <v>0.72</v>
      </c>
      <c r="I330" s="6">
        <v>196</v>
      </c>
      <c r="L330" s="8">
        <f t="shared" si="11"/>
        <v>12299380263785.156</v>
      </c>
      <c r="M330" s="8">
        <f t="shared" si="10"/>
        <v>0</v>
      </c>
    </row>
    <row r="331" spans="1:13" ht="15.75" customHeight="1" x14ac:dyDescent="0.2">
      <c r="A331" s="6" t="s">
        <v>412</v>
      </c>
      <c r="B331" s="6">
        <v>7.2</v>
      </c>
      <c r="C331" s="6">
        <v>7.8</v>
      </c>
      <c r="D331" s="6">
        <v>0</v>
      </c>
      <c r="E331" s="6">
        <v>7.6</v>
      </c>
      <c r="F331" s="6">
        <v>0</v>
      </c>
      <c r="G331" s="6">
        <v>7.6</v>
      </c>
      <c r="H331" s="6">
        <v>3.66</v>
      </c>
      <c r="I331" s="6">
        <v>198</v>
      </c>
      <c r="L331" s="8">
        <f t="shared" si="11"/>
        <v>61890315839147.875</v>
      </c>
      <c r="M331" s="8">
        <f t="shared" si="10"/>
        <v>0</v>
      </c>
    </row>
    <row r="332" spans="1:13" ht="15.75" customHeight="1" x14ac:dyDescent="0.2">
      <c r="A332" s="6" t="s">
        <v>413</v>
      </c>
      <c r="B332" s="6">
        <v>100</v>
      </c>
      <c r="C332" s="6">
        <v>7.63</v>
      </c>
      <c r="D332" s="6">
        <v>-1.84</v>
      </c>
      <c r="E332" s="6">
        <v>7.32</v>
      </c>
      <c r="F332" s="6">
        <v>0.43</v>
      </c>
      <c r="G332" s="6">
        <v>7.75</v>
      </c>
      <c r="H332" s="6">
        <v>98.65</v>
      </c>
      <c r="I332" s="6">
        <v>196.97</v>
      </c>
      <c r="J332" s="13">
        <v>18.88</v>
      </c>
      <c r="K332" s="13">
        <v>57.722000000000001</v>
      </c>
      <c r="L332" s="8">
        <f t="shared" si="11"/>
        <v>1676887041120133.3</v>
      </c>
      <c r="M332" s="8">
        <f t="shared" si="10"/>
        <v>13142102858303.289</v>
      </c>
    </row>
    <row r="333" spans="1:13" ht="15.75" customHeight="1" x14ac:dyDescent="0.2">
      <c r="A333" s="6" t="s">
        <v>414</v>
      </c>
      <c r="B333" s="6" t="s">
        <v>13</v>
      </c>
      <c r="C333" s="6">
        <v>12.692</v>
      </c>
      <c r="D333" s="6" t="s">
        <v>13</v>
      </c>
      <c r="E333" s="6">
        <v>20.239999999999998</v>
      </c>
      <c r="F333" s="6">
        <v>6.6</v>
      </c>
      <c r="G333" s="6">
        <v>26.8</v>
      </c>
      <c r="H333" s="6">
        <v>372.3</v>
      </c>
      <c r="I333" s="6">
        <v>200.59</v>
      </c>
      <c r="J333" s="13">
        <v>13.593999999999999</v>
      </c>
      <c r="K333" s="13">
        <v>40.811</v>
      </c>
      <c r="L333" s="8">
        <f t="shared" si="11"/>
        <v>6214276338638613</v>
      </c>
      <c r="M333" s="8">
        <f t="shared" si="10"/>
        <v>198075676753576.91</v>
      </c>
    </row>
    <row r="334" spans="1:13" ht="15.75" customHeight="1" x14ac:dyDescent="0.2">
      <c r="A334" s="6" t="s">
        <v>415</v>
      </c>
      <c r="B334" s="6">
        <v>0.2</v>
      </c>
      <c r="C334" s="6">
        <v>30.3</v>
      </c>
      <c r="D334" s="6">
        <v>0</v>
      </c>
      <c r="E334" s="6" t="s">
        <v>416</v>
      </c>
      <c r="F334" s="6">
        <v>0</v>
      </c>
      <c r="G334" s="6" t="s">
        <v>416</v>
      </c>
      <c r="H334" s="6">
        <v>3080</v>
      </c>
      <c r="I334" s="6">
        <v>196</v>
      </c>
      <c r="L334" s="8">
        <f t="shared" si="11"/>
        <v>5.261401557285872E+16</v>
      </c>
      <c r="M334" s="8">
        <f t="shared" ref="M334:M373" si="12">F334*10^-8*6.02*10^23/I334</f>
        <v>0</v>
      </c>
    </row>
    <row r="335" spans="1:13" ht="15.75" customHeight="1" x14ac:dyDescent="0.2">
      <c r="A335" s="6" t="s">
        <v>417</v>
      </c>
      <c r="B335" s="6">
        <v>10.1</v>
      </c>
      <c r="C335" s="6" t="s">
        <v>13</v>
      </c>
      <c r="D335" s="6">
        <v>0</v>
      </c>
      <c r="E335" s="6" t="s">
        <v>13</v>
      </c>
      <c r="F335" s="6">
        <v>0</v>
      </c>
      <c r="G335" s="6" t="s">
        <v>13</v>
      </c>
      <c r="H335" s="6">
        <v>2</v>
      </c>
      <c r="I335" s="6">
        <v>198</v>
      </c>
      <c r="L335" s="8">
        <f t="shared" si="11"/>
        <v>33819844720845.824</v>
      </c>
      <c r="M335" s="8">
        <f t="shared" si="12"/>
        <v>0</v>
      </c>
    </row>
    <row r="336" spans="1:13" ht="15.75" customHeight="1" x14ac:dyDescent="0.2">
      <c r="A336" s="6" t="s">
        <v>418</v>
      </c>
      <c r="B336" s="6">
        <v>17</v>
      </c>
      <c r="C336" s="6">
        <v>16.899999999999999</v>
      </c>
      <c r="D336" s="6" t="s">
        <v>419</v>
      </c>
      <c r="E336" s="6" t="s">
        <v>420</v>
      </c>
      <c r="F336" s="6">
        <v>30</v>
      </c>
      <c r="G336" s="6" t="s">
        <v>421</v>
      </c>
      <c r="H336" s="6">
        <v>2150</v>
      </c>
      <c r="I336" s="6">
        <v>199</v>
      </c>
      <c r="L336" s="8">
        <f t="shared" si="11"/>
        <v>3.6173637933829328E+16</v>
      </c>
      <c r="M336" s="8">
        <f t="shared" si="12"/>
        <v>907537688442210.88</v>
      </c>
    </row>
    <row r="337" spans="1:13" ht="15.75" customHeight="1" x14ac:dyDescent="0.2">
      <c r="A337" s="6" t="s">
        <v>422</v>
      </c>
      <c r="B337" s="6">
        <v>23.1</v>
      </c>
      <c r="C337" s="6" t="s">
        <v>13</v>
      </c>
      <c r="D337" s="6">
        <v>0</v>
      </c>
      <c r="E337" s="6" t="s">
        <v>13</v>
      </c>
      <c r="F337" s="6">
        <v>0</v>
      </c>
      <c r="G337" s="6" t="s">
        <v>13</v>
      </c>
      <c r="H337" s="6" t="s">
        <v>423</v>
      </c>
      <c r="I337" s="6"/>
    </row>
    <row r="338" spans="1:13" ht="15.75" customHeight="1" x14ac:dyDescent="0.2">
      <c r="A338" s="6" t="s">
        <v>424</v>
      </c>
      <c r="B338" s="6">
        <v>13.2</v>
      </c>
      <c r="C338" s="6" t="s">
        <v>13</v>
      </c>
      <c r="D338" s="6" t="s">
        <v>13</v>
      </c>
      <c r="E338" s="6" t="s">
        <v>13</v>
      </c>
      <c r="F338" s="6" t="s">
        <v>13</v>
      </c>
      <c r="G338" s="6" t="s">
        <v>13</v>
      </c>
      <c r="H338" s="6">
        <v>7.8</v>
      </c>
      <c r="I338" s="6">
        <v>201</v>
      </c>
      <c r="L338" s="8">
        <f t="shared" si="11"/>
        <v>129928776584264.42</v>
      </c>
    </row>
    <row r="339" spans="1:13" ht="15.75" customHeight="1" x14ac:dyDescent="0.2">
      <c r="A339" s="6" t="s">
        <v>425</v>
      </c>
      <c r="B339" s="6">
        <v>29.6</v>
      </c>
      <c r="C339" s="6" t="s">
        <v>13</v>
      </c>
      <c r="D339" s="6">
        <v>0</v>
      </c>
      <c r="E339" s="6" t="s">
        <v>13</v>
      </c>
      <c r="F339" s="6">
        <v>0</v>
      </c>
      <c r="G339" s="6">
        <v>9.8279999999999994</v>
      </c>
      <c r="H339" s="6">
        <v>4.8899999999999997</v>
      </c>
      <c r="I339" s="6">
        <v>202</v>
      </c>
      <c r="L339" s="8">
        <f t="shared" si="11"/>
        <v>81052104098062.75</v>
      </c>
      <c r="M339" s="8">
        <f t="shared" si="12"/>
        <v>0</v>
      </c>
    </row>
    <row r="340" spans="1:13" ht="15.75" customHeight="1" x14ac:dyDescent="0.2">
      <c r="A340" s="6" t="s">
        <v>426</v>
      </c>
      <c r="B340" s="6">
        <v>6.8</v>
      </c>
      <c r="C340" s="6" t="s">
        <v>13</v>
      </c>
      <c r="D340" s="6">
        <v>0</v>
      </c>
      <c r="E340" s="6" t="s">
        <v>13</v>
      </c>
      <c r="F340" s="6">
        <v>0</v>
      </c>
      <c r="G340" s="6" t="s">
        <v>13</v>
      </c>
      <c r="H340" s="6">
        <v>0.43</v>
      </c>
      <c r="I340" s="6">
        <v>204</v>
      </c>
      <c r="L340" s="8">
        <f t="shared" si="11"/>
        <v>7057405832188.2686</v>
      </c>
      <c r="M340" s="8">
        <f t="shared" si="12"/>
        <v>0</v>
      </c>
    </row>
    <row r="341" spans="1:13" ht="15.75" customHeight="1" x14ac:dyDescent="0.2">
      <c r="A341" s="6" t="s">
        <v>427</v>
      </c>
      <c r="B341" s="6" t="s">
        <v>13</v>
      </c>
      <c r="C341" s="6">
        <v>8.7759999999999998</v>
      </c>
      <c r="D341" s="6" t="s">
        <v>13</v>
      </c>
      <c r="E341" s="6">
        <v>9.6780000000000008</v>
      </c>
      <c r="F341" s="6">
        <v>0.21</v>
      </c>
      <c r="G341" s="6">
        <v>9.89</v>
      </c>
      <c r="H341" s="6">
        <v>3.43</v>
      </c>
      <c r="I341" s="6">
        <v>204.37</v>
      </c>
      <c r="J341" s="13">
        <v>11.85</v>
      </c>
      <c r="K341" s="13">
        <v>34.917000000000002</v>
      </c>
      <c r="L341" s="8">
        <f t="shared" si="11"/>
        <v>56193201897820.719</v>
      </c>
      <c r="M341" s="8">
        <f t="shared" si="12"/>
        <v>6185839408915.2012</v>
      </c>
    </row>
    <row r="342" spans="1:13" ht="15.75" customHeight="1" x14ac:dyDescent="0.2">
      <c r="A342" s="6" t="s">
        <v>428</v>
      </c>
      <c r="B342" s="6">
        <v>29.524000000000001</v>
      </c>
      <c r="C342" s="6">
        <v>6.99</v>
      </c>
      <c r="D342" s="6">
        <v>1.06</v>
      </c>
      <c r="E342" s="6">
        <v>6.14</v>
      </c>
      <c r="F342" s="6">
        <v>0.14000000000000001</v>
      </c>
      <c r="G342" s="6">
        <v>6.28</v>
      </c>
      <c r="H342" s="6">
        <v>11.4</v>
      </c>
      <c r="I342" s="6">
        <v>203</v>
      </c>
      <c r="L342" s="8">
        <f t="shared" si="11"/>
        <v>188025008630278.81</v>
      </c>
      <c r="M342" s="8">
        <f t="shared" si="12"/>
        <v>4151724137931.0337</v>
      </c>
    </row>
    <row r="343" spans="1:13" ht="15.75" customHeight="1" x14ac:dyDescent="0.2">
      <c r="A343" s="6" t="s">
        <v>429</v>
      </c>
      <c r="B343" s="6">
        <v>70.475999999999999</v>
      </c>
      <c r="C343" s="6">
        <v>9.52</v>
      </c>
      <c r="D343" s="6">
        <v>-0.24199999999999999</v>
      </c>
      <c r="E343" s="6">
        <v>11.39</v>
      </c>
      <c r="F343" s="6">
        <v>7.0000000000000001E-3</v>
      </c>
      <c r="G343" s="6">
        <v>11.4</v>
      </c>
      <c r="H343" s="6">
        <v>0.104</v>
      </c>
      <c r="I343" s="6">
        <v>205</v>
      </c>
      <c r="L343" s="8">
        <f t="shared" si="11"/>
        <v>1698581079247.9441</v>
      </c>
      <c r="M343" s="8">
        <f t="shared" si="12"/>
        <v>205560975609.7561</v>
      </c>
    </row>
    <row r="344" spans="1:13" ht="15.75" customHeight="1" x14ac:dyDescent="0.2">
      <c r="A344" s="6" t="s">
        <v>430</v>
      </c>
      <c r="B344" s="6" t="s">
        <v>13</v>
      </c>
      <c r="C344" s="6">
        <v>9.4049999999999994</v>
      </c>
      <c r="D344" s="6" t="s">
        <v>13</v>
      </c>
      <c r="E344" s="6">
        <v>11.115</v>
      </c>
      <c r="F344" s="6">
        <v>3.0000000000000001E-3</v>
      </c>
      <c r="G344" s="6">
        <v>11.118</v>
      </c>
      <c r="H344" s="6">
        <v>0.17100000000000001</v>
      </c>
      <c r="I344" s="6">
        <v>207.19</v>
      </c>
      <c r="J344" s="13">
        <v>11.343999999999999</v>
      </c>
      <c r="K344" s="13">
        <v>32.970999999999997</v>
      </c>
      <c r="L344" s="8">
        <f t="shared" si="11"/>
        <v>2763338729085.376</v>
      </c>
      <c r="M344" s="8">
        <f t="shared" si="12"/>
        <v>87166369033.254486</v>
      </c>
    </row>
    <row r="345" spans="1:13" ht="15.75" customHeight="1" x14ac:dyDescent="0.2">
      <c r="A345" s="6" t="s">
        <v>431</v>
      </c>
      <c r="B345" s="6">
        <v>1.4</v>
      </c>
      <c r="C345" s="6">
        <v>9.9</v>
      </c>
      <c r="D345" s="6">
        <v>0</v>
      </c>
      <c r="E345" s="6">
        <v>12.3</v>
      </c>
      <c r="F345" s="6">
        <v>0</v>
      </c>
      <c r="G345" s="6">
        <v>12.3</v>
      </c>
      <c r="H345" s="6">
        <v>0.65</v>
      </c>
      <c r="I345" s="6">
        <v>204</v>
      </c>
      <c r="L345" s="8">
        <f t="shared" si="11"/>
        <v>10668171606796.221</v>
      </c>
      <c r="M345" s="8">
        <f t="shared" si="12"/>
        <v>0</v>
      </c>
    </row>
    <row r="346" spans="1:13" ht="15.75" customHeight="1" x14ac:dyDescent="0.2">
      <c r="A346" s="6" t="s">
        <v>432</v>
      </c>
      <c r="B346" s="6">
        <v>24.1</v>
      </c>
      <c r="C346" s="6">
        <v>9.2200000000000006</v>
      </c>
      <c r="D346" s="6">
        <v>0</v>
      </c>
      <c r="E346" s="6">
        <v>10.68</v>
      </c>
      <c r="F346" s="6">
        <v>0</v>
      </c>
      <c r="G346" s="6">
        <v>10.68</v>
      </c>
      <c r="H346" s="6">
        <v>0.03</v>
      </c>
      <c r="I346" s="6">
        <v>206</v>
      </c>
      <c r="L346" s="8">
        <f t="shared" si="11"/>
        <v>487596790392.77722</v>
      </c>
      <c r="M346" s="8">
        <f t="shared" si="12"/>
        <v>0</v>
      </c>
    </row>
    <row r="347" spans="1:13" ht="15.75" customHeight="1" x14ac:dyDescent="0.2">
      <c r="A347" s="6" t="s">
        <v>433</v>
      </c>
      <c r="B347" s="6">
        <v>22.1</v>
      </c>
      <c r="C347" s="6">
        <v>9.2799999999999994</v>
      </c>
      <c r="D347" s="6">
        <v>0.14000000000000001</v>
      </c>
      <c r="E347" s="6">
        <v>10.82</v>
      </c>
      <c r="F347" s="6">
        <v>2E-3</v>
      </c>
      <c r="G347" s="6">
        <v>10.82</v>
      </c>
      <c r="H347" s="6">
        <v>0.69899999999999995</v>
      </c>
      <c r="I347" s="6">
        <v>207</v>
      </c>
      <c r="L347" s="8">
        <f t="shared" si="11"/>
        <v>11306121132981.896</v>
      </c>
      <c r="M347" s="8">
        <f t="shared" si="12"/>
        <v>58164251207.729462</v>
      </c>
    </row>
    <row r="348" spans="1:13" ht="15.75" customHeight="1" x14ac:dyDescent="0.2">
      <c r="A348" s="6" t="s">
        <v>434</v>
      </c>
      <c r="B348" s="6">
        <v>52.4</v>
      </c>
      <c r="C348" s="6">
        <v>9.5</v>
      </c>
      <c r="D348" s="6">
        <v>0</v>
      </c>
      <c r="E348" s="6">
        <v>11.34</v>
      </c>
      <c r="F348" s="6">
        <v>0</v>
      </c>
      <c r="G348" s="6">
        <v>11.34</v>
      </c>
      <c r="H348" s="6">
        <v>4.8000000000000001E-4</v>
      </c>
      <c r="I348" s="6">
        <v>208</v>
      </c>
      <c r="L348" s="8">
        <f t="shared" si="11"/>
        <v>7726533755.4547787</v>
      </c>
      <c r="M348" s="8">
        <f t="shared" si="12"/>
        <v>0</v>
      </c>
    </row>
    <row r="349" spans="1:13" ht="15.75" customHeight="1" x14ac:dyDescent="0.2">
      <c r="A349" s="6" t="s">
        <v>435</v>
      </c>
      <c r="B349" s="6">
        <v>100</v>
      </c>
      <c r="C349" s="6">
        <v>8.532</v>
      </c>
      <c r="D349" s="6" t="s">
        <v>13</v>
      </c>
      <c r="E349" s="6">
        <v>9.1479999999999997</v>
      </c>
      <c r="F349" s="6">
        <v>8.3999999999999995E-3</v>
      </c>
      <c r="G349" s="6">
        <v>9.1560000000000006</v>
      </c>
      <c r="H349" s="6">
        <v>3.3799999999999997E-2</v>
      </c>
      <c r="I349" s="6">
        <v>208.98</v>
      </c>
      <c r="J349" s="13">
        <v>9.8000000000000007</v>
      </c>
      <c r="K349" s="13">
        <v>28.24</v>
      </c>
      <c r="L349" s="8">
        <f t="shared" si="11"/>
        <v>541525334505.18854</v>
      </c>
      <c r="M349" s="8">
        <f t="shared" si="12"/>
        <v>241975308641.97528</v>
      </c>
    </row>
    <row r="350" spans="1:13" ht="15.75" customHeight="1" x14ac:dyDescent="0.2">
      <c r="A350" s="6" t="s">
        <v>436</v>
      </c>
      <c r="B350" s="6" t="s">
        <v>13</v>
      </c>
      <c r="C350" s="6" t="s">
        <v>13</v>
      </c>
      <c r="D350" s="6">
        <v>0.25900000000000001</v>
      </c>
      <c r="E350" s="6">
        <v>0</v>
      </c>
      <c r="F350" s="6" t="s">
        <v>13</v>
      </c>
      <c r="G350" s="6" t="s">
        <v>13</v>
      </c>
      <c r="H350" s="6" t="s">
        <v>13</v>
      </c>
      <c r="I350" s="6"/>
    </row>
    <row r="351" spans="1:13" ht="15.75" customHeight="1" x14ac:dyDescent="0.2">
      <c r="A351" s="6" t="s">
        <v>437</v>
      </c>
      <c r="B351" s="6" t="s">
        <v>13</v>
      </c>
      <c r="C351" s="6" t="s">
        <v>13</v>
      </c>
      <c r="D351" s="6" t="s">
        <v>13</v>
      </c>
      <c r="E351" s="6">
        <v>0</v>
      </c>
      <c r="F351" s="6" t="s">
        <v>13</v>
      </c>
      <c r="G351" s="6" t="s">
        <v>13</v>
      </c>
      <c r="H351" s="6" t="s">
        <v>13</v>
      </c>
      <c r="I351" s="6"/>
    </row>
    <row r="352" spans="1:13" ht="15.75" customHeight="1" x14ac:dyDescent="0.2">
      <c r="A352" s="6" t="s">
        <v>438</v>
      </c>
      <c r="B352" s="6" t="s">
        <v>13</v>
      </c>
      <c r="C352" s="6" t="s">
        <v>13</v>
      </c>
      <c r="D352" s="6" t="s">
        <v>13</v>
      </c>
      <c r="E352" s="6">
        <v>0</v>
      </c>
      <c r="F352" s="6" t="s">
        <v>13</v>
      </c>
      <c r="G352" s="6">
        <v>12.6</v>
      </c>
      <c r="H352" s="6" t="s">
        <v>13</v>
      </c>
      <c r="I352" s="6"/>
    </row>
    <row r="353" spans="1:13" ht="15.75" customHeight="1" x14ac:dyDescent="0.2">
      <c r="A353" s="6" t="s">
        <v>439</v>
      </c>
      <c r="B353" s="6" t="s">
        <v>13</v>
      </c>
      <c r="C353" s="6" t="s">
        <v>13</v>
      </c>
      <c r="D353" s="6" t="s">
        <v>13</v>
      </c>
      <c r="E353" s="6">
        <v>0</v>
      </c>
      <c r="F353" s="6" t="s">
        <v>13</v>
      </c>
      <c r="G353" s="6" t="s">
        <v>13</v>
      </c>
      <c r="H353" s="6" t="s">
        <v>13</v>
      </c>
      <c r="I353" s="6"/>
    </row>
    <row r="354" spans="1:13" ht="15.75" customHeight="1" x14ac:dyDescent="0.2">
      <c r="A354" s="6" t="s">
        <v>440</v>
      </c>
      <c r="B354" s="6" t="s">
        <v>441</v>
      </c>
      <c r="C354" s="6">
        <v>10</v>
      </c>
      <c r="D354" s="6">
        <v>0</v>
      </c>
      <c r="E354" s="6" t="s">
        <v>442</v>
      </c>
      <c r="F354" s="6">
        <v>0</v>
      </c>
      <c r="G354" s="6" t="s">
        <v>442</v>
      </c>
      <c r="H354" s="6">
        <v>12.8</v>
      </c>
      <c r="I354" s="6">
        <v>226.02539999999999</v>
      </c>
      <c r="L354" s="8">
        <f t="shared" si="11"/>
        <v>189609252899257.5</v>
      </c>
      <c r="M354" s="8">
        <f t="shared" si="12"/>
        <v>0</v>
      </c>
    </row>
    <row r="355" spans="1:13" ht="15.75" customHeight="1" x14ac:dyDescent="0.2">
      <c r="A355" s="6" t="s">
        <v>443</v>
      </c>
      <c r="B355" s="6" t="s">
        <v>13</v>
      </c>
      <c r="C355" s="6" t="s">
        <v>13</v>
      </c>
      <c r="D355" s="6" t="s">
        <v>13</v>
      </c>
      <c r="E355" s="6">
        <v>0</v>
      </c>
      <c r="F355" s="6" t="s">
        <v>13</v>
      </c>
      <c r="G355" s="6" t="s">
        <v>13</v>
      </c>
      <c r="H355" s="6" t="s">
        <v>13</v>
      </c>
      <c r="I355" s="6"/>
    </row>
    <row r="356" spans="1:13" ht="15.75" customHeight="1" x14ac:dyDescent="0.2">
      <c r="A356" s="6" t="s">
        <v>444</v>
      </c>
      <c r="B356" s="6">
        <v>100</v>
      </c>
      <c r="C356" s="6">
        <v>10.31</v>
      </c>
      <c r="D356" s="6">
        <v>0</v>
      </c>
      <c r="E356" s="6">
        <v>13.36</v>
      </c>
      <c r="F356" s="6">
        <v>0</v>
      </c>
      <c r="G356" s="6">
        <v>13.36</v>
      </c>
      <c r="H356" s="6">
        <v>7.37</v>
      </c>
      <c r="I356" s="6">
        <v>232.03809999999999</v>
      </c>
      <c r="L356" s="8">
        <f t="shared" si="11"/>
        <v>106344489563010.33</v>
      </c>
      <c r="M356" s="8">
        <f t="shared" si="12"/>
        <v>0</v>
      </c>
    </row>
    <row r="357" spans="1:13" ht="15.75" customHeight="1" x14ac:dyDescent="0.2">
      <c r="A357" s="6" t="s">
        <v>445</v>
      </c>
      <c r="B357" s="6" t="s">
        <v>446</v>
      </c>
      <c r="C357" s="6">
        <v>9.1</v>
      </c>
      <c r="D357" s="6" t="s">
        <v>13</v>
      </c>
      <c r="E357" s="6">
        <v>10.4</v>
      </c>
      <c r="F357" s="6">
        <v>0.1</v>
      </c>
      <c r="G357" s="6" t="s">
        <v>447</v>
      </c>
      <c r="H357" s="6">
        <v>200.6</v>
      </c>
      <c r="I357" s="6">
        <v>231.0359</v>
      </c>
      <c r="L357" s="8">
        <f t="shared" si="11"/>
        <v>2907088570430680.5</v>
      </c>
      <c r="M357" s="8">
        <f t="shared" si="12"/>
        <v>2605655657843.6514</v>
      </c>
    </row>
    <row r="358" spans="1:13" ht="15.75" customHeight="1" x14ac:dyDescent="0.2">
      <c r="A358" s="6" t="s">
        <v>448</v>
      </c>
      <c r="B358" s="6" t="s">
        <v>13</v>
      </c>
      <c r="C358" s="6">
        <v>8.4169999999999998</v>
      </c>
      <c r="D358" s="6" t="s">
        <v>13</v>
      </c>
      <c r="E358" s="6">
        <v>8.9030000000000005</v>
      </c>
      <c r="F358" s="6">
        <v>5.0000000000000001E-3</v>
      </c>
      <c r="G358" s="6">
        <v>8.9079999999999995</v>
      </c>
      <c r="H358" s="6">
        <v>7.57</v>
      </c>
      <c r="I358" s="6">
        <v>238.029</v>
      </c>
      <c r="L358" s="8">
        <f t="shared" si="11"/>
        <v>106481169223680.72</v>
      </c>
      <c r="M358" s="8">
        <f t="shared" si="12"/>
        <v>126455179831.02898</v>
      </c>
    </row>
    <row r="359" spans="1:13" ht="15.75" customHeight="1" x14ac:dyDescent="0.2">
      <c r="A359" s="6" t="s">
        <v>449</v>
      </c>
      <c r="B359" s="6" t="s">
        <v>450</v>
      </c>
      <c r="C359" s="6">
        <v>10.1</v>
      </c>
      <c r="D359" s="6" t="s">
        <v>451</v>
      </c>
      <c r="E359" s="6">
        <v>12.8</v>
      </c>
      <c r="F359" s="6">
        <v>0.1</v>
      </c>
      <c r="G359" s="6">
        <v>12.9</v>
      </c>
      <c r="H359" s="6">
        <v>574.70000000000005</v>
      </c>
      <c r="I359" s="6">
        <v>233</v>
      </c>
      <c r="L359" s="8">
        <f t="shared" si="11"/>
        <v>8258327087321630</v>
      </c>
      <c r="M359" s="8">
        <f t="shared" si="12"/>
        <v>2583690987124.4634</v>
      </c>
    </row>
    <row r="360" spans="1:13" ht="15.75" customHeight="1" x14ac:dyDescent="0.2">
      <c r="A360" s="6" t="s">
        <v>452</v>
      </c>
      <c r="B360" s="6">
        <v>5.0000000000000001E-3</v>
      </c>
      <c r="C360" s="6">
        <v>12.4</v>
      </c>
      <c r="D360" s="6">
        <v>0</v>
      </c>
      <c r="E360" s="6">
        <v>19.3</v>
      </c>
      <c r="F360" s="6">
        <v>0</v>
      </c>
      <c r="G360" s="6">
        <v>19.3</v>
      </c>
      <c r="H360" s="6">
        <v>100.1</v>
      </c>
      <c r="I360" s="6">
        <v>234</v>
      </c>
      <c r="L360" s="8">
        <f t="shared" si="11"/>
        <v>1432270423927820.8</v>
      </c>
      <c r="M360" s="8">
        <f t="shared" si="12"/>
        <v>0</v>
      </c>
    </row>
    <row r="361" spans="1:13" ht="15.75" customHeight="1" x14ac:dyDescent="0.2">
      <c r="A361" s="6" t="s">
        <v>453</v>
      </c>
      <c r="B361" s="6">
        <v>0.72</v>
      </c>
      <c r="C361" s="6">
        <v>10.47</v>
      </c>
      <c r="D361" s="6" t="s">
        <v>454</v>
      </c>
      <c r="E361" s="6">
        <v>13.78</v>
      </c>
      <c r="F361" s="6">
        <v>0.2</v>
      </c>
      <c r="G361" s="6">
        <v>14</v>
      </c>
      <c r="H361" s="6">
        <v>680.9</v>
      </c>
      <c r="I361" s="6">
        <v>235</v>
      </c>
      <c r="L361" s="8">
        <f t="shared" si="11"/>
        <v>9701128913923270</v>
      </c>
      <c r="M361" s="8">
        <f t="shared" si="12"/>
        <v>5123404255319.1494</v>
      </c>
    </row>
    <row r="362" spans="1:13" ht="15.75" customHeight="1" x14ac:dyDescent="0.2">
      <c r="A362" s="6" t="s">
        <v>455</v>
      </c>
      <c r="B362" s="6">
        <v>99.275000000000006</v>
      </c>
      <c r="C362" s="6">
        <v>8.4019999999999992</v>
      </c>
      <c r="D362" s="6">
        <v>0</v>
      </c>
      <c r="E362" s="6">
        <v>8.8710000000000004</v>
      </c>
      <c r="F362" s="6">
        <v>0</v>
      </c>
      <c r="G362" s="6">
        <v>8.8710000000000004</v>
      </c>
      <c r="H362" s="6">
        <v>2.68</v>
      </c>
      <c r="I362" s="6">
        <v>238</v>
      </c>
      <c r="L362" s="8">
        <f t="shared" si="11"/>
        <v>37702021854347.961</v>
      </c>
      <c r="M362" s="8">
        <f t="shared" si="12"/>
        <v>0</v>
      </c>
    </row>
    <row r="363" spans="1:13" ht="15.75" customHeight="1" x14ac:dyDescent="0.2">
      <c r="A363" s="6" t="s">
        <v>456</v>
      </c>
      <c r="B363" s="6" t="s">
        <v>457</v>
      </c>
      <c r="C363" s="6">
        <v>10.55</v>
      </c>
      <c r="D363" s="6" t="s">
        <v>13</v>
      </c>
      <c r="E363" s="6">
        <v>14</v>
      </c>
      <c r="F363" s="6">
        <v>0.5</v>
      </c>
      <c r="G363" s="6">
        <v>14.5</v>
      </c>
      <c r="H363" s="6">
        <v>175.9</v>
      </c>
      <c r="I363" s="6">
        <v>237.04820000000001</v>
      </c>
      <c r="L363" s="8">
        <f t="shared" si="11"/>
        <v>2484482725257062.5</v>
      </c>
      <c r="M363" s="8">
        <f t="shared" si="12"/>
        <v>12697839511120.521</v>
      </c>
    </row>
    <row r="364" spans="1:13" ht="15.75" customHeight="1" x14ac:dyDescent="0.2">
      <c r="A364" s="6" t="s">
        <v>458</v>
      </c>
      <c r="B364" s="6" t="s">
        <v>13</v>
      </c>
      <c r="C364" s="6" t="s">
        <v>13</v>
      </c>
      <c r="D364" s="6" t="s">
        <v>13</v>
      </c>
      <c r="E364" s="6" t="s">
        <v>13</v>
      </c>
      <c r="F364" s="6" t="s">
        <v>13</v>
      </c>
      <c r="G364" s="6" t="s">
        <v>13</v>
      </c>
      <c r="H364" s="6" t="s">
        <v>13</v>
      </c>
      <c r="I364" s="6"/>
    </row>
    <row r="365" spans="1:13" ht="15.75" customHeight="1" x14ac:dyDescent="0.2">
      <c r="A365" s="6" t="s">
        <v>459</v>
      </c>
      <c r="B365" s="6" t="s">
        <v>460</v>
      </c>
      <c r="C365" s="6">
        <v>14.1</v>
      </c>
      <c r="D365" s="6">
        <v>0</v>
      </c>
      <c r="E365" s="6" t="s">
        <v>461</v>
      </c>
      <c r="F365" s="6">
        <v>0</v>
      </c>
      <c r="G365" s="6" t="s">
        <v>461</v>
      </c>
      <c r="H365" s="6">
        <v>558</v>
      </c>
      <c r="I365" s="6">
        <v>238</v>
      </c>
      <c r="L365" s="8">
        <f t="shared" si="11"/>
        <v>7849898580121702</v>
      </c>
      <c r="M365" s="8">
        <f t="shared" si="12"/>
        <v>0</v>
      </c>
    </row>
    <row r="366" spans="1:13" ht="15.75" customHeight="1" x14ac:dyDescent="0.2">
      <c r="A366" s="6" t="s">
        <v>462</v>
      </c>
      <c r="B366" s="6" t="s">
        <v>463</v>
      </c>
      <c r="C366" s="6">
        <v>7.7</v>
      </c>
      <c r="D366" s="6" t="s">
        <v>464</v>
      </c>
      <c r="E366" s="6">
        <v>7.5</v>
      </c>
      <c r="F366" s="6">
        <v>0.2</v>
      </c>
      <c r="G366" s="6">
        <v>7.7</v>
      </c>
      <c r="H366" s="6">
        <v>1017.3</v>
      </c>
      <c r="I366" s="6">
        <v>239</v>
      </c>
      <c r="L366" s="8">
        <f t="shared" si="11"/>
        <v>1.425141370467418E+16</v>
      </c>
      <c r="M366" s="8">
        <f t="shared" si="12"/>
        <v>5037656903765.6904</v>
      </c>
    </row>
    <row r="367" spans="1:13" ht="15.75" customHeight="1" x14ac:dyDescent="0.2">
      <c r="A367" s="6" t="s">
        <v>465</v>
      </c>
      <c r="B367" s="6" t="s">
        <v>466</v>
      </c>
      <c r="C367" s="6">
        <v>3.5</v>
      </c>
      <c r="D367" s="6">
        <v>0</v>
      </c>
      <c r="E367" s="6">
        <v>1.54</v>
      </c>
      <c r="F367" s="6">
        <v>0</v>
      </c>
      <c r="G367" s="6">
        <v>1.54</v>
      </c>
      <c r="H367" s="6">
        <v>289.60000000000002</v>
      </c>
      <c r="I367" s="6">
        <v>240</v>
      </c>
      <c r="L367" s="8">
        <f t="shared" si="11"/>
        <v>4040118650352242.5</v>
      </c>
      <c r="M367" s="8">
        <f t="shared" si="12"/>
        <v>0</v>
      </c>
    </row>
    <row r="368" spans="1:13" ht="15.75" customHeight="1" x14ac:dyDescent="0.2">
      <c r="A368" s="6" t="s">
        <v>467</v>
      </c>
      <c r="B368" s="6" t="s">
        <v>468</v>
      </c>
      <c r="C368" s="6">
        <v>8.1</v>
      </c>
      <c r="D368" s="6">
        <v>0</v>
      </c>
      <c r="E368" s="6">
        <v>8.1999999999999993</v>
      </c>
      <c r="F368" s="6">
        <v>0</v>
      </c>
      <c r="G368" s="6">
        <v>8.1999999999999993</v>
      </c>
      <c r="H368" s="6">
        <v>18.5</v>
      </c>
      <c r="I368" s="6">
        <v>242</v>
      </c>
      <c r="L368" s="8">
        <f t="shared" si="11"/>
        <v>255954733910037.75</v>
      </c>
      <c r="M368" s="8">
        <f t="shared" si="12"/>
        <v>0</v>
      </c>
    </row>
    <row r="369" spans="1:13" ht="15.75" customHeight="1" x14ac:dyDescent="0.2">
      <c r="A369" s="6" t="s">
        <v>469</v>
      </c>
      <c r="B369" s="6" t="s">
        <v>470</v>
      </c>
      <c r="C369" s="6">
        <v>8.3000000000000007</v>
      </c>
      <c r="D369" s="6" t="s">
        <v>471</v>
      </c>
      <c r="E369" s="6">
        <v>8.6999999999999993</v>
      </c>
      <c r="F369" s="6">
        <v>0.3</v>
      </c>
      <c r="G369" s="6" t="s">
        <v>472</v>
      </c>
      <c r="H369" s="6">
        <v>75.3</v>
      </c>
      <c r="I369" s="6">
        <v>243</v>
      </c>
      <c r="L369" s="8">
        <f t="shared" si="11"/>
        <v>1037517680825059.1</v>
      </c>
      <c r="M369" s="8">
        <f t="shared" si="12"/>
        <v>7432098765432.0967</v>
      </c>
    </row>
    <row r="370" spans="1:13" ht="15.75" customHeight="1" x14ac:dyDescent="0.2">
      <c r="A370" s="6" t="s">
        <v>473</v>
      </c>
      <c r="B370" s="6" t="s">
        <v>13</v>
      </c>
      <c r="C370" s="6" t="s">
        <v>13</v>
      </c>
      <c r="D370" s="6" t="s">
        <v>13</v>
      </c>
      <c r="E370" s="6">
        <v>0</v>
      </c>
      <c r="F370" s="6" t="s">
        <v>13</v>
      </c>
      <c r="G370" s="6" t="s">
        <v>13</v>
      </c>
      <c r="H370" s="6" t="s">
        <v>13</v>
      </c>
      <c r="I370" s="6"/>
    </row>
    <row r="371" spans="1:13" ht="15.75" customHeight="1" x14ac:dyDescent="0.2">
      <c r="A371" s="6" t="s">
        <v>474</v>
      </c>
      <c r="B371" s="6" t="s">
        <v>475</v>
      </c>
      <c r="C371" s="6">
        <v>9.5</v>
      </c>
      <c r="D371" s="6">
        <v>0</v>
      </c>
      <c r="E371" s="6">
        <v>11.3</v>
      </c>
      <c r="F371" s="6">
        <v>0</v>
      </c>
      <c r="G371" s="6">
        <v>11.3</v>
      </c>
      <c r="H371" s="6">
        <v>16.2</v>
      </c>
      <c r="I371" s="6">
        <v>244</v>
      </c>
      <c r="L371" s="8">
        <f t="shared" si="11"/>
        <v>222296176079067.78</v>
      </c>
      <c r="M371" s="8">
        <f t="shared" si="12"/>
        <v>0</v>
      </c>
    </row>
    <row r="372" spans="1:13" ht="15.75" customHeight="1" x14ac:dyDescent="0.2">
      <c r="A372" s="6" t="s">
        <v>476</v>
      </c>
      <c r="B372" s="6" t="s">
        <v>477</v>
      </c>
      <c r="C372" s="6">
        <v>9.3000000000000007</v>
      </c>
      <c r="D372" s="6">
        <v>0</v>
      </c>
      <c r="E372" s="6">
        <v>10.9</v>
      </c>
      <c r="F372" s="6">
        <v>0</v>
      </c>
      <c r="G372" s="6">
        <v>10.9</v>
      </c>
      <c r="H372" s="6">
        <v>1.36</v>
      </c>
      <c r="I372" s="6">
        <v>246</v>
      </c>
      <c r="L372" s="8">
        <f t="shared" si="11"/>
        <v>18510178427701.965</v>
      </c>
      <c r="M372" s="8">
        <f t="shared" si="12"/>
        <v>0</v>
      </c>
    </row>
    <row r="373" spans="1:13" ht="15.75" customHeight="1" x14ac:dyDescent="0.2">
      <c r="A373" s="6" t="s">
        <v>478</v>
      </c>
      <c r="B373" s="6" t="s">
        <v>479</v>
      </c>
      <c r="C373" s="6">
        <v>7.7</v>
      </c>
      <c r="D373" s="6">
        <v>0</v>
      </c>
      <c r="E373" s="6">
        <v>7.5</v>
      </c>
      <c r="F373" s="6">
        <v>0</v>
      </c>
      <c r="G373" s="6">
        <v>7.5</v>
      </c>
      <c r="H373" s="6">
        <v>3</v>
      </c>
      <c r="I373" s="6">
        <v>248</v>
      </c>
      <c r="L373" s="8">
        <f t="shared" si="11"/>
        <v>40501991460045.211</v>
      </c>
      <c r="M373" s="8">
        <f t="shared" si="12"/>
        <v>0</v>
      </c>
    </row>
    <row r="374" spans="1:13" ht="15.75" customHeight="1" x14ac:dyDescent="0.2">
      <c r="A374" s="6"/>
      <c r="B374" s="6"/>
      <c r="C374" s="6"/>
      <c r="D374" s="6"/>
      <c r="E374" s="6"/>
      <c r="F374" s="6"/>
      <c r="G374" s="6"/>
      <c r="H374" s="6"/>
      <c r="I374" s="6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Reflectivity</vt:lpstr>
      <vt:lpstr>Uncertainties</vt:lpstr>
      <vt:lpstr>dMarker</vt:lpstr>
      <vt:lpstr>f_PMAA</vt:lpstr>
      <vt:lpstr>sigTop</vt:lpstr>
      <vt:lpstr>sigMarker</vt:lpstr>
      <vt:lpstr>dPGMA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2020-03-05T21:58:22Z</dcterms:modified>
</cp:coreProperties>
</file>