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Stuff\Data\LiqRef\2017\Eugenia\ElasticPaper\"/>
    </mc:Choice>
  </mc:AlternateContent>
  <xr:revisionPtr revIDLastSave="0" documentId="13_ncr:1_{5E3BB0EA-907D-40BB-957A-BA9FDC797526}" xr6:coauthVersionLast="44" xr6:coauthVersionMax="44" xr10:uidLastSave="{00000000-0000-0000-0000-000000000000}"/>
  <bookViews>
    <workbookView minimized="1" xWindow="825" yWindow="1500" windowWidth="17565" windowHeight="19410" tabRatio="749" activeTab="1" xr2:uid="{00000000-000D-0000-FFFF-FFFF00000000}"/>
  </bookViews>
  <sheets>
    <sheet name="Reflectivity" sheetId="1" r:id="rId1"/>
    <sheet name="Uncertainties" sheetId="41" r:id="rId2"/>
    <sheet name="density" sheetId="43" r:id="rId3"/>
    <sheet name="dMarker" sheetId="36" r:id="rId4"/>
    <sheet name="5×dBilayer" sheetId="25" r:id="rId5"/>
    <sheet name="sigMarker" sheetId="40" r:id="rId6"/>
    <sheet name="sigTop" sheetId="26" r:id="rId7"/>
    <sheet name="ScaledCombined" sheetId="18" r:id="rId8"/>
    <sheet name="ScatteringParameters" sheetId="7" r:id="rId9"/>
    <sheet name="AtomicParameters" sheetId="6" r:id="rId10"/>
  </sheets>
  <functionGroups builtInGroupCount="19"/>
  <definedNames>
    <definedName name="REF_L_2790_2008_01_10T13_3A40_3A12_04_3A00_CE_scaling" localSheetId="7">ScaledCombined!$A$1:$M$149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41" l="1"/>
  <c r="B6" i="41"/>
  <c r="AB4" i="1" l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" i="1"/>
  <c r="C4" i="1"/>
  <c r="C5" i="41"/>
  <c r="F4" i="1"/>
  <c r="F5" i="1"/>
  <c r="F7" i="1"/>
  <c r="B3" i="41"/>
  <c r="C3" i="41"/>
  <c r="C4" i="41" s="1"/>
  <c r="C2" i="41"/>
  <c r="B11" i="41"/>
  <c r="B15" i="41" s="1"/>
  <c r="C17" i="41" s="1"/>
  <c r="G8" i="1"/>
  <c r="B23" i="41"/>
  <c r="C12" i="41"/>
  <c r="B12" i="41"/>
  <c r="B16" i="41"/>
  <c r="H4" i="1"/>
  <c r="B17" i="41"/>
  <c r="B24" i="41"/>
  <c r="B26" i="41"/>
  <c r="B4" i="41"/>
  <c r="H8" i="1"/>
  <c r="H18" i="1"/>
  <c r="H6" i="1"/>
  <c r="B21" i="41"/>
  <c r="B19" i="41"/>
  <c r="B13" i="41"/>
  <c r="B18" i="41" s="1"/>
  <c r="C9" i="41"/>
  <c r="B9" i="41"/>
  <c r="C8" i="41"/>
  <c r="B8" i="41"/>
  <c r="B2" i="41"/>
  <c r="G9" i="1"/>
  <c r="G5" i="1"/>
  <c r="G6" i="1"/>
  <c r="C6" i="1"/>
  <c r="C5" i="1"/>
  <c r="C7" i="1"/>
  <c r="AC326" i="1"/>
  <c r="AC325" i="1"/>
  <c r="AC324" i="1"/>
  <c r="AC323" i="1"/>
  <c r="AC322" i="1"/>
  <c r="AC321" i="1"/>
  <c r="AC320" i="1"/>
  <c r="AC319" i="1"/>
  <c r="AC318" i="1"/>
  <c r="AC317" i="1"/>
  <c r="AC316" i="1"/>
  <c r="AC315" i="1"/>
  <c r="AC314" i="1"/>
  <c r="AC313" i="1"/>
  <c r="AC312" i="1"/>
  <c r="AC311" i="1"/>
  <c r="AC310" i="1"/>
  <c r="AC309" i="1"/>
  <c r="AC308" i="1"/>
  <c r="AC307" i="1"/>
  <c r="AC306" i="1"/>
  <c r="AC305" i="1"/>
  <c r="AC304" i="1"/>
  <c r="AC303" i="1"/>
  <c r="AC302" i="1"/>
  <c r="AC301" i="1"/>
  <c r="AC300" i="1"/>
  <c r="AC299" i="1"/>
  <c r="AC298" i="1"/>
  <c r="AC297" i="1"/>
  <c r="AC296" i="1"/>
  <c r="AC295" i="1"/>
  <c r="AC294" i="1"/>
  <c r="AC293" i="1"/>
  <c r="AC292" i="1"/>
  <c r="AC291" i="1"/>
  <c r="AC290" i="1"/>
  <c r="AC289" i="1"/>
  <c r="AC288" i="1"/>
  <c r="AC287" i="1"/>
  <c r="AC286" i="1"/>
  <c r="AC285" i="1"/>
  <c r="AC284" i="1"/>
  <c r="AC283" i="1"/>
  <c r="AC282" i="1"/>
  <c r="AC281" i="1"/>
  <c r="AC280" i="1"/>
  <c r="AC279" i="1"/>
  <c r="AC278" i="1"/>
  <c r="AC277" i="1"/>
  <c r="AC276" i="1"/>
  <c r="AC275" i="1"/>
  <c r="AC274" i="1"/>
  <c r="AC273" i="1"/>
  <c r="AC272" i="1"/>
  <c r="AC271" i="1"/>
  <c r="AC270" i="1"/>
  <c r="AC269" i="1"/>
  <c r="AC268" i="1"/>
  <c r="AC267" i="1"/>
  <c r="AC266" i="1"/>
  <c r="AC265" i="1"/>
  <c r="AC264" i="1"/>
  <c r="AC263" i="1"/>
  <c r="AC262" i="1"/>
  <c r="AC261" i="1"/>
  <c r="AC260" i="1"/>
  <c r="AC259" i="1"/>
  <c r="AC258" i="1"/>
  <c r="AC257" i="1"/>
  <c r="AC256" i="1"/>
  <c r="AC255" i="1"/>
  <c r="AC254" i="1"/>
  <c r="AC253" i="1"/>
  <c r="AC252" i="1"/>
  <c r="AC251" i="1"/>
  <c r="AC250" i="1"/>
  <c r="AC249" i="1"/>
  <c r="AC248" i="1"/>
  <c r="AC247" i="1"/>
  <c r="AC246" i="1"/>
  <c r="AC245" i="1"/>
  <c r="AC244" i="1"/>
  <c r="AC243" i="1"/>
  <c r="AC242" i="1"/>
  <c r="AC241" i="1"/>
  <c r="AC240" i="1"/>
  <c r="AC239" i="1"/>
  <c r="AC238" i="1"/>
  <c r="AC237" i="1"/>
  <c r="AC236" i="1"/>
  <c r="AC235" i="1"/>
  <c r="AC234" i="1"/>
  <c r="AC233" i="1"/>
  <c r="AC232" i="1"/>
  <c r="AC231" i="1"/>
  <c r="AC230" i="1"/>
  <c r="AC229" i="1"/>
  <c r="AC228" i="1"/>
  <c r="AC227" i="1"/>
  <c r="AC226" i="1"/>
  <c r="AC225" i="1"/>
  <c r="AC224" i="1"/>
  <c r="AC223" i="1"/>
  <c r="AC222" i="1"/>
  <c r="AC221" i="1"/>
  <c r="AC220" i="1"/>
  <c r="AC219" i="1"/>
  <c r="AC218" i="1"/>
  <c r="AC217" i="1"/>
  <c r="AC216" i="1"/>
  <c r="AC215" i="1"/>
  <c r="AC214" i="1"/>
  <c r="AC213" i="1"/>
  <c r="AC212" i="1"/>
  <c r="AC211" i="1"/>
  <c r="AC210" i="1"/>
  <c r="AC209" i="1"/>
  <c r="AC208" i="1"/>
  <c r="AC207" i="1"/>
  <c r="AC206" i="1"/>
  <c r="AC205" i="1"/>
  <c r="AC204" i="1"/>
  <c r="AC203" i="1"/>
  <c r="AC202" i="1"/>
  <c r="AC201" i="1"/>
  <c r="AC200" i="1"/>
  <c r="AC199" i="1"/>
  <c r="AC198" i="1"/>
  <c r="AC197" i="1"/>
  <c r="AC196" i="1"/>
  <c r="AC195" i="1"/>
  <c r="AC194" i="1"/>
  <c r="AC193" i="1"/>
  <c r="AC192" i="1"/>
  <c r="AC191" i="1"/>
  <c r="AC190" i="1"/>
  <c r="AC189" i="1"/>
  <c r="AC188" i="1"/>
  <c r="AC187" i="1"/>
  <c r="AC186" i="1"/>
  <c r="AC185" i="1"/>
  <c r="AC184" i="1"/>
  <c r="AC183" i="1"/>
  <c r="AC182" i="1"/>
  <c r="AC181" i="1"/>
  <c r="AC180" i="1"/>
  <c r="AC179" i="1"/>
  <c r="AC178" i="1"/>
  <c r="AC177" i="1"/>
  <c r="AC176" i="1"/>
  <c r="AC175" i="1"/>
  <c r="AC174" i="1"/>
  <c r="AC173" i="1"/>
  <c r="AC172" i="1"/>
  <c r="AC171" i="1"/>
  <c r="AC170" i="1"/>
  <c r="AC169" i="1"/>
  <c r="AC168" i="1"/>
  <c r="AC167" i="1"/>
  <c r="AC166" i="1"/>
  <c r="AC165" i="1"/>
  <c r="AC164" i="1"/>
  <c r="AC163" i="1"/>
  <c r="AC162" i="1"/>
  <c r="AC161" i="1"/>
  <c r="AC160" i="1"/>
  <c r="AC159" i="1"/>
  <c r="AC158" i="1"/>
  <c r="AC157" i="1"/>
  <c r="AC156" i="1"/>
  <c r="AC155" i="1"/>
  <c r="AC154" i="1"/>
  <c r="AC153" i="1"/>
  <c r="AC152" i="1"/>
  <c r="AC151" i="1"/>
  <c r="AC150" i="1"/>
  <c r="AC149" i="1"/>
  <c r="AC148" i="1"/>
  <c r="AC147" i="1"/>
  <c r="AC146" i="1"/>
  <c r="AC145" i="1"/>
  <c r="AC144" i="1"/>
  <c r="AC143" i="1"/>
  <c r="AC142" i="1"/>
  <c r="AC141" i="1"/>
  <c r="AC140" i="1"/>
  <c r="AC139" i="1"/>
  <c r="AC138" i="1"/>
  <c r="AC137" i="1"/>
  <c r="AC136" i="1"/>
  <c r="AC135" i="1"/>
  <c r="AC134" i="1"/>
  <c r="AC133" i="1"/>
  <c r="AC132" i="1"/>
  <c r="AC131" i="1"/>
  <c r="AC130" i="1"/>
  <c r="AC129" i="1"/>
  <c r="AC128" i="1"/>
  <c r="AC127" i="1"/>
  <c r="AC126" i="1"/>
  <c r="AC125" i="1"/>
  <c r="AC124" i="1"/>
  <c r="AC123" i="1"/>
  <c r="AC122" i="1"/>
  <c r="AC121" i="1"/>
  <c r="AC120" i="1"/>
  <c r="AC119" i="1"/>
  <c r="AC118" i="1"/>
  <c r="AC117" i="1"/>
  <c r="AC116" i="1"/>
  <c r="AA116" i="1"/>
  <c r="Z116" i="1"/>
  <c r="Y116" i="1"/>
  <c r="X116" i="1"/>
  <c r="AC115" i="1"/>
  <c r="AA115" i="1"/>
  <c r="Z115" i="1"/>
  <c r="Y115" i="1"/>
  <c r="X115" i="1"/>
  <c r="AC114" i="1"/>
  <c r="AA114" i="1"/>
  <c r="Z114" i="1"/>
  <c r="Y114" i="1"/>
  <c r="X114" i="1"/>
  <c r="AC113" i="1"/>
  <c r="AA113" i="1"/>
  <c r="Z113" i="1"/>
  <c r="Y113" i="1"/>
  <c r="X113" i="1"/>
  <c r="AC112" i="1"/>
  <c r="AA112" i="1"/>
  <c r="Z112" i="1"/>
  <c r="Y112" i="1"/>
  <c r="X112" i="1"/>
  <c r="AC111" i="1"/>
  <c r="AA111" i="1"/>
  <c r="Z111" i="1"/>
  <c r="Y111" i="1"/>
  <c r="X111" i="1"/>
  <c r="AC110" i="1"/>
  <c r="AA110" i="1"/>
  <c r="Z110" i="1"/>
  <c r="Y110" i="1"/>
  <c r="X110" i="1"/>
  <c r="AC109" i="1"/>
  <c r="AA109" i="1"/>
  <c r="Z109" i="1"/>
  <c r="Y109" i="1"/>
  <c r="X109" i="1"/>
  <c r="AC108" i="1"/>
  <c r="AA108" i="1"/>
  <c r="Z108" i="1"/>
  <c r="Y108" i="1"/>
  <c r="X108" i="1"/>
  <c r="AC107" i="1"/>
  <c r="AA107" i="1"/>
  <c r="Z107" i="1"/>
  <c r="Y107" i="1"/>
  <c r="X107" i="1"/>
  <c r="AC106" i="1"/>
  <c r="AA106" i="1"/>
  <c r="Z106" i="1"/>
  <c r="Y106" i="1"/>
  <c r="X106" i="1"/>
  <c r="AC105" i="1"/>
  <c r="AA105" i="1"/>
  <c r="Z105" i="1"/>
  <c r="Y105" i="1"/>
  <c r="X105" i="1"/>
  <c r="AC104" i="1"/>
  <c r="AA104" i="1"/>
  <c r="Z104" i="1"/>
  <c r="Y104" i="1"/>
  <c r="X104" i="1"/>
  <c r="AC103" i="1"/>
  <c r="AA103" i="1"/>
  <c r="Z103" i="1"/>
  <c r="Y103" i="1"/>
  <c r="X103" i="1"/>
  <c r="AC102" i="1"/>
  <c r="AA102" i="1"/>
  <c r="Z102" i="1"/>
  <c r="Y102" i="1"/>
  <c r="X102" i="1"/>
  <c r="AC101" i="1"/>
  <c r="AA101" i="1"/>
  <c r="Z101" i="1"/>
  <c r="Y101" i="1"/>
  <c r="X101" i="1"/>
  <c r="AC100" i="1"/>
  <c r="AA100" i="1"/>
  <c r="Z100" i="1"/>
  <c r="Y100" i="1"/>
  <c r="X100" i="1"/>
  <c r="AC99" i="1"/>
  <c r="AA99" i="1"/>
  <c r="Z99" i="1"/>
  <c r="Y99" i="1"/>
  <c r="X99" i="1"/>
  <c r="AC98" i="1"/>
  <c r="AA98" i="1"/>
  <c r="Z98" i="1"/>
  <c r="Y98" i="1"/>
  <c r="X98" i="1"/>
  <c r="AC97" i="1"/>
  <c r="AA97" i="1"/>
  <c r="Z97" i="1"/>
  <c r="Y97" i="1"/>
  <c r="X97" i="1"/>
  <c r="AC96" i="1"/>
  <c r="AA96" i="1"/>
  <c r="Z96" i="1"/>
  <c r="Y96" i="1"/>
  <c r="X96" i="1"/>
  <c r="AC95" i="1"/>
  <c r="AA95" i="1"/>
  <c r="Z95" i="1"/>
  <c r="Y95" i="1"/>
  <c r="X95" i="1"/>
  <c r="AC94" i="1"/>
  <c r="AA94" i="1"/>
  <c r="Z94" i="1"/>
  <c r="Y94" i="1"/>
  <c r="X94" i="1"/>
  <c r="AC93" i="1"/>
  <c r="AA93" i="1"/>
  <c r="Z93" i="1"/>
  <c r="Y93" i="1"/>
  <c r="X93" i="1"/>
  <c r="AC92" i="1"/>
  <c r="AA92" i="1"/>
  <c r="Z92" i="1"/>
  <c r="Y92" i="1"/>
  <c r="X92" i="1"/>
  <c r="AC91" i="1"/>
  <c r="AA91" i="1"/>
  <c r="Z91" i="1"/>
  <c r="Y91" i="1"/>
  <c r="X91" i="1"/>
  <c r="AC90" i="1"/>
  <c r="AA90" i="1"/>
  <c r="Z90" i="1"/>
  <c r="Y90" i="1"/>
  <c r="X90" i="1"/>
  <c r="AC89" i="1"/>
  <c r="AA89" i="1"/>
  <c r="Z89" i="1"/>
  <c r="Y89" i="1"/>
  <c r="X89" i="1"/>
  <c r="AC88" i="1"/>
  <c r="AA88" i="1"/>
  <c r="Z88" i="1"/>
  <c r="Y88" i="1"/>
  <c r="X88" i="1"/>
  <c r="AC87" i="1"/>
  <c r="AA87" i="1"/>
  <c r="Z87" i="1"/>
  <c r="Y87" i="1"/>
  <c r="X87" i="1"/>
  <c r="AC86" i="1"/>
  <c r="AA86" i="1"/>
  <c r="Z86" i="1"/>
  <c r="Y86" i="1"/>
  <c r="X86" i="1"/>
  <c r="AC85" i="1"/>
  <c r="AA85" i="1"/>
  <c r="Z85" i="1"/>
  <c r="Y85" i="1"/>
  <c r="X85" i="1"/>
  <c r="AC84" i="1"/>
  <c r="AA84" i="1"/>
  <c r="Z84" i="1"/>
  <c r="Y84" i="1"/>
  <c r="X84" i="1"/>
  <c r="AC83" i="1"/>
  <c r="AA83" i="1"/>
  <c r="Z83" i="1"/>
  <c r="Y83" i="1"/>
  <c r="X83" i="1"/>
  <c r="AC82" i="1"/>
  <c r="AA82" i="1"/>
  <c r="Z82" i="1"/>
  <c r="Y82" i="1"/>
  <c r="X82" i="1"/>
  <c r="AC81" i="1"/>
  <c r="AA81" i="1"/>
  <c r="Z81" i="1"/>
  <c r="Y81" i="1"/>
  <c r="X81" i="1"/>
  <c r="AC80" i="1"/>
  <c r="AA80" i="1"/>
  <c r="Z80" i="1"/>
  <c r="Y80" i="1"/>
  <c r="X80" i="1"/>
  <c r="AC79" i="1"/>
  <c r="AA79" i="1"/>
  <c r="Z79" i="1"/>
  <c r="Y79" i="1"/>
  <c r="X79" i="1"/>
  <c r="AC78" i="1"/>
  <c r="AA78" i="1"/>
  <c r="Z78" i="1"/>
  <c r="Y78" i="1"/>
  <c r="X78" i="1"/>
  <c r="AC77" i="1"/>
  <c r="AA77" i="1"/>
  <c r="Z77" i="1"/>
  <c r="Y77" i="1"/>
  <c r="X77" i="1"/>
  <c r="AC76" i="1"/>
  <c r="AA76" i="1"/>
  <c r="Z76" i="1"/>
  <c r="Y76" i="1"/>
  <c r="X76" i="1"/>
  <c r="AC75" i="1"/>
  <c r="AA75" i="1"/>
  <c r="Z75" i="1"/>
  <c r="Y75" i="1"/>
  <c r="X75" i="1"/>
  <c r="AC74" i="1"/>
  <c r="AA74" i="1"/>
  <c r="Z74" i="1"/>
  <c r="Y74" i="1"/>
  <c r="X74" i="1"/>
  <c r="AC73" i="1"/>
  <c r="AA73" i="1"/>
  <c r="Z73" i="1"/>
  <c r="Y73" i="1"/>
  <c r="X73" i="1"/>
  <c r="AC72" i="1"/>
  <c r="AA72" i="1"/>
  <c r="Z72" i="1"/>
  <c r="Y72" i="1"/>
  <c r="X72" i="1"/>
  <c r="AC71" i="1"/>
  <c r="AA71" i="1"/>
  <c r="Z71" i="1"/>
  <c r="Y71" i="1"/>
  <c r="X71" i="1"/>
  <c r="AC70" i="1"/>
  <c r="AA70" i="1"/>
  <c r="Z70" i="1"/>
  <c r="Y70" i="1"/>
  <c r="X70" i="1"/>
  <c r="AC69" i="1"/>
  <c r="AA69" i="1"/>
  <c r="Z69" i="1"/>
  <c r="Y69" i="1"/>
  <c r="X69" i="1"/>
  <c r="AC68" i="1"/>
  <c r="AA68" i="1"/>
  <c r="Z68" i="1"/>
  <c r="Y68" i="1"/>
  <c r="X68" i="1"/>
  <c r="AC67" i="1"/>
  <c r="AA67" i="1"/>
  <c r="Z67" i="1"/>
  <c r="Y67" i="1"/>
  <c r="X67" i="1"/>
  <c r="AC66" i="1"/>
  <c r="AA66" i="1"/>
  <c r="Z66" i="1"/>
  <c r="Y66" i="1"/>
  <c r="X66" i="1"/>
  <c r="AC65" i="1"/>
  <c r="AA65" i="1"/>
  <c r="Z65" i="1"/>
  <c r="Y65" i="1"/>
  <c r="X65" i="1"/>
  <c r="AC64" i="1"/>
  <c r="AA64" i="1"/>
  <c r="Z64" i="1"/>
  <c r="Y64" i="1"/>
  <c r="X64" i="1"/>
  <c r="AC63" i="1"/>
  <c r="AA63" i="1"/>
  <c r="Z63" i="1"/>
  <c r="Y63" i="1"/>
  <c r="X63" i="1"/>
  <c r="AC62" i="1"/>
  <c r="AA62" i="1"/>
  <c r="Z62" i="1"/>
  <c r="Y62" i="1"/>
  <c r="X62" i="1"/>
  <c r="AC61" i="1"/>
  <c r="AA61" i="1"/>
  <c r="Z61" i="1"/>
  <c r="Y61" i="1"/>
  <c r="X61" i="1"/>
  <c r="AC60" i="1"/>
  <c r="AA60" i="1"/>
  <c r="Z60" i="1"/>
  <c r="Y60" i="1"/>
  <c r="X60" i="1"/>
  <c r="AC59" i="1"/>
  <c r="AA59" i="1"/>
  <c r="Z59" i="1"/>
  <c r="Y59" i="1"/>
  <c r="X59" i="1"/>
  <c r="AC58" i="1"/>
  <c r="AA58" i="1"/>
  <c r="Z58" i="1"/>
  <c r="Y58" i="1"/>
  <c r="X58" i="1"/>
  <c r="AC57" i="1"/>
  <c r="AA57" i="1"/>
  <c r="Z57" i="1"/>
  <c r="Y57" i="1"/>
  <c r="X57" i="1"/>
  <c r="AC56" i="1"/>
  <c r="AA56" i="1"/>
  <c r="Z56" i="1"/>
  <c r="Y56" i="1"/>
  <c r="X56" i="1"/>
  <c r="AC55" i="1"/>
  <c r="AA55" i="1"/>
  <c r="Z55" i="1"/>
  <c r="Y55" i="1"/>
  <c r="X55" i="1"/>
  <c r="AC54" i="1"/>
  <c r="AA54" i="1"/>
  <c r="Z54" i="1"/>
  <c r="Y54" i="1"/>
  <c r="X54" i="1"/>
  <c r="AC53" i="1"/>
  <c r="AA53" i="1"/>
  <c r="Z53" i="1"/>
  <c r="Y53" i="1"/>
  <c r="X53" i="1"/>
  <c r="AC52" i="1"/>
  <c r="AA52" i="1"/>
  <c r="Z52" i="1"/>
  <c r="Y52" i="1"/>
  <c r="X52" i="1"/>
  <c r="AC51" i="1"/>
  <c r="AA51" i="1"/>
  <c r="Z51" i="1"/>
  <c r="Y51" i="1"/>
  <c r="X51" i="1"/>
  <c r="AC50" i="1"/>
  <c r="AA50" i="1"/>
  <c r="Z50" i="1"/>
  <c r="Y50" i="1"/>
  <c r="X50" i="1"/>
  <c r="AC49" i="1"/>
  <c r="AA49" i="1"/>
  <c r="Z49" i="1"/>
  <c r="Y49" i="1"/>
  <c r="X49" i="1"/>
  <c r="AC48" i="1"/>
  <c r="AA48" i="1"/>
  <c r="Z48" i="1"/>
  <c r="Y48" i="1"/>
  <c r="X48" i="1"/>
  <c r="AC47" i="1"/>
  <c r="AA47" i="1"/>
  <c r="Z47" i="1"/>
  <c r="Y47" i="1"/>
  <c r="X47" i="1"/>
  <c r="AC46" i="1"/>
  <c r="AA46" i="1"/>
  <c r="Z46" i="1"/>
  <c r="Y46" i="1"/>
  <c r="X46" i="1"/>
  <c r="AC45" i="1"/>
  <c r="AA45" i="1"/>
  <c r="Z45" i="1"/>
  <c r="Y45" i="1"/>
  <c r="X45" i="1"/>
  <c r="AC44" i="1"/>
  <c r="AA44" i="1"/>
  <c r="Z44" i="1"/>
  <c r="Y44" i="1"/>
  <c r="X44" i="1"/>
  <c r="AC43" i="1"/>
  <c r="AA43" i="1"/>
  <c r="Z43" i="1"/>
  <c r="Y43" i="1"/>
  <c r="X43" i="1"/>
  <c r="AC42" i="1"/>
  <c r="AA42" i="1"/>
  <c r="Z42" i="1"/>
  <c r="Y42" i="1"/>
  <c r="X42" i="1"/>
  <c r="AC41" i="1"/>
  <c r="AA41" i="1"/>
  <c r="Z41" i="1"/>
  <c r="Y41" i="1"/>
  <c r="X41" i="1"/>
  <c r="AC40" i="1"/>
  <c r="AA40" i="1"/>
  <c r="Z40" i="1"/>
  <c r="Y40" i="1"/>
  <c r="X40" i="1"/>
  <c r="AC39" i="1"/>
  <c r="AA39" i="1"/>
  <c r="Z39" i="1"/>
  <c r="Y39" i="1"/>
  <c r="X39" i="1"/>
  <c r="AC38" i="1"/>
  <c r="AA38" i="1"/>
  <c r="Z38" i="1"/>
  <c r="Y38" i="1"/>
  <c r="X38" i="1"/>
  <c r="AC37" i="1"/>
  <c r="AA37" i="1"/>
  <c r="Z37" i="1"/>
  <c r="Y37" i="1"/>
  <c r="X37" i="1"/>
  <c r="AC36" i="1"/>
  <c r="AA36" i="1"/>
  <c r="Z36" i="1"/>
  <c r="Y36" i="1"/>
  <c r="X36" i="1"/>
  <c r="AC35" i="1"/>
  <c r="AA35" i="1"/>
  <c r="Z35" i="1"/>
  <c r="Y35" i="1"/>
  <c r="X35" i="1"/>
  <c r="AC34" i="1"/>
  <c r="AA34" i="1"/>
  <c r="Z34" i="1"/>
  <c r="Y34" i="1"/>
  <c r="X34" i="1"/>
  <c r="AC33" i="1"/>
  <c r="AA33" i="1"/>
  <c r="Z33" i="1"/>
  <c r="Y33" i="1"/>
  <c r="X33" i="1"/>
  <c r="AC32" i="1"/>
  <c r="AA32" i="1"/>
  <c r="Z32" i="1"/>
  <c r="Y32" i="1"/>
  <c r="X32" i="1"/>
  <c r="AC31" i="1"/>
  <c r="AA31" i="1"/>
  <c r="Z31" i="1"/>
  <c r="Y31" i="1"/>
  <c r="X31" i="1"/>
  <c r="AC30" i="1"/>
  <c r="AA30" i="1"/>
  <c r="Z30" i="1"/>
  <c r="Y30" i="1"/>
  <c r="X30" i="1"/>
  <c r="AC29" i="1"/>
  <c r="AA29" i="1"/>
  <c r="Z29" i="1"/>
  <c r="Y29" i="1"/>
  <c r="X29" i="1"/>
  <c r="AC28" i="1"/>
  <c r="AA28" i="1"/>
  <c r="Z28" i="1"/>
  <c r="Y28" i="1"/>
  <c r="X28" i="1"/>
  <c r="AC27" i="1"/>
  <c r="AA27" i="1"/>
  <c r="Z27" i="1"/>
  <c r="Y27" i="1"/>
  <c r="X27" i="1"/>
  <c r="AC26" i="1"/>
  <c r="AA26" i="1"/>
  <c r="Z26" i="1"/>
  <c r="Y26" i="1"/>
  <c r="X26" i="1"/>
  <c r="AC25" i="1"/>
  <c r="AA25" i="1"/>
  <c r="Z25" i="1"/>
  <c r="Y25" i="1"/>
  <c r="X25" i="1"/>
  <c r="AC24" i="1"/>
  <c r="AA24" i="1"/>
  <c r="Z24" i="1"/>
  <c r="Y24" i="1"/>
  <c r="X24" i="1"/>
  <c r="AC23" i="1"/>
  <c r="AA23" i="1"/>
  <c r="Z23" i="1"/>
  <c r="Y23" i="1"/>
  <c r="X23" i="1"/>
  <c r="AC22" i="1"/>
  <c r="AA22" i="1"/>
  <c r="Z22" i="1"/>
  <c r="Y22" i="1"/>
  <c r="X22" i="1"/>
  <c r="AC21" i="1"/>
  <c r="AA21" i="1"/>
  <c r="Z21" i="1"/>
  <c r="Y21" i="1"/>
  <c r="X21" i="1"/>
  <c r="AC20" i="1"/>
  <c r="AA20" i="1"/>
  <c r="Z20" i="1"/>
  <c r="Y20" i="1"/>
  <c r="X20" i="1"/>
  <c r="AC19" i="1"/>
  <c r="AA19" i="1"/>
  <c r="Z19" i="1"/>
  <c r="Y19" i="1"/>
  <c r="X19" i="1"/>
  <c r="AC18" i="1"/>
  <c r="AA18" i="1"/>
  <c r="Z18" i="1"/>
  <c r="Y18" i="1"/>
  <c r="X18" i="1"/>
  <c r="AC17" i="1"/>
  <c r="AA17" i="1"/>
  <c r="Z17" i="1"/>
  <c r="Y17" i="1"/>
  <c r="X17" i="1"/>
  <c r="AC16" i="1"/>
  <c r="AA16" i="1"/>
  <c r="Z16" i="1"/>
  <c r="Y16" i="1"/>
  <c r="X16" i="1"/>
  <c r="AC15" i="1"/>
  <c r="AA15" i="1"/>
  <c r="Z15" i="1"/>
  <c r="Y15" i="1"/>
  <c r="X15" i="1"/>
  <c r="AC14" i="1"/>
  <c r="AA14" i="1"/>
  <c r="Z14" i="1"/>
  <c r="Y14" i="1"/>
  <c r="X14" i="1"/>
  <c r="AC13" i="1"/>
  <c r="AA13" i="1"/>
  <c r="Z13" i="1"/>
  <c r="Y13" i="1"/>
  <c r="X13" i="1"/>
  <c r="AC12" i="1"/>
  <c r="AA12" i="1"/>
  <c r="Z12" i="1"/>
  <c r="Y12" i="1"/>
  <c r="X12" i="1"/>
  <c r="AC11" i="1"/>
  <c r="AA11" i="1"/>
  <c r="Z11" i="1"/>
  <c r="Y11" i="1"/>
  <c r="X11" i="1"/>
  <c r="AC10" i="1"/>
  <c r="AA10" i="1"/>
  <c r="Z10" i="1"/>
  <c r="Y10" i="1"/>
  <c r="X10" i="1"/>
  <c r="AC9" i="1"/>
  <c r="AA9" i="1"/>
  <c r="Z9" i="1"/>
  <c r="Y9" i="1"/>
  <c r="X9" i="1"/>
  <c r="AC8" i="1"/>
  <c r="AA8" i="1"/>
  <c r="Z8" i="1"/>
  <c r="Y8" i="1"/>
  <c r="X8" i="1"/>
  <c r="AC7" i="1"/>
  <c r="AA7" i="1"/>
  <c r="Z7" i="1"/>
  <c r="Y7" i="1"/>
  <c r="X7" i="1"/>
  <c r="AC6" i="1"/>
  <c r="AA6" i="1"/>
  <c r="Z6" i="1"/>
  <c r="Y6" i="1"/>
  <c r="X6" i="1"/>
  <c r="AC5" i="1"/>
  <c r="AA5" i="1"/>
  <c r="Z5" i="1"/>
  <c r="Y5" i="1"/>
  <c r="X5" i="1"/>
  <c r="AC4" i="1"/>
  <c r="AA4" i="1"/>
  <c r="Z4" i="1"/>
  <c r="Y4" i="1"/>
  <c r="X4" i="1"/>
  <c r="AC3" i="1"/>
  <c r="AA3" i="1"/>
  <c r="Z3" i="1"/>
  <c r="Y3" i="1"/>
  <c r="X3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M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H12" i="1"/>
  <c r="B5" i="41"/>
  <c r="B20" i="41" l="1"/>
  <c r="C13" i="41"/>
  <c r="C21" i="41" s="1"/>
  <c r="B25" i="41"/>
  <c r="C26" i="4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Stuff\Data\LiqRef\2017\Eugenia\ElasticPaper\REFL_102983_UAB_0813_VK6_highQ_combin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<sst xmlns="http://schemas.openxmlformats.org/spreadsheetml/2006/main" count="1096" uniqueCount="647">
  <si>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</si>
  <si>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</si>
  <si>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</si>
  <si>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</si>
  <si>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</si>
  <si>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</si>
  <si>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</si>
  <si>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</si>
  <si>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</si>
  <si>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</si>
  <si>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</si>
  <si>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</si>
  <si>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</si>
  <si>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</si>
  <si>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</si>
  <si>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</si>
  <si>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</si>
  <si>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</si>
  <si>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</si>
  <si>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</si>
  <si>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</si>
  <si>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</si>
  <si>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</si>
  <si>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</si>
  <si>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</si>
  <si>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</si>
  <si>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</si>
  <si>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</si>
  <si>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</si>
  <si>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</si>
  <si>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</si>
  <si>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</si>
  <si>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</si>
  <si>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</si>
  <si>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</si>
  <si>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</si>
  <si>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</si>
  <si>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</si>
  <si>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</si>
  <si>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</si>
  <si>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</si>
  <si>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</si>
  <si>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</si>
  <si>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</si>
  <si>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</si>
  <si>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</si>
  <si>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</si>
  <si>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</si>
  <si>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</si>
  <si>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</si>
  <si>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</si>
  <si>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</si>
  <si>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</si>
  <si>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</si>
  <si>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</si>
  <si>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</si>
  <si>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</si>
  <si>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</si>
  <si>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</si>
  <si>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</si>
  <si>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</si>
  <si>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</si>
  <si>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</si>
  <si>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</si>
  <si>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</si>
  <si>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</si>
  <si>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</si>
  <si>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</si>
  <si>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</si>
  <si>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</si>
  <si>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</si>
  <si>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</si>
  <si>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</si>
  <si>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</si>
  <si>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</si>
  <si>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</si>
  <si>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</si>
  <si>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</si>
  <si>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</si>
  <si>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</si>
  <si>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</si>
  <si>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</si>
  <si>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</si>
  <si>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</si>
  <si>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</si>
  <si>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</si>
  <si>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</si>
  <si>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</si>
  <si>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</si>
  <si>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</si>
  <si>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</si>
  <si>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</si>
  <si>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</si>
  <si>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</si>
  <si>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</si>
  <si>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</si>
  <si>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</si>
  <si>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</si>
  <si>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</si>
  <si>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</si>
  <si>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</si>
  <si>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</si>
  <si>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</si>
  <si>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</si>
  <si>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</si>
  <si>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</si>
  <si>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</si>
  <si>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</si>
  <si>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</si>
  <si>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</si>
  <si>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</si>
  <si>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</si>
  <si>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</si>
  <si>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</si>
  <si>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</si>
  <si>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</si>
  <si>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</si>
  <si>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</si>
  <si>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</si>
  <si>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</si>
  <si>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</si>
  <si>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</si>
  <si>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</si>
  <si>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</si>
  <si>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</si>
  <si>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</si>
  <si>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</si>
  <si>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</si>
  <si>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</si>
  <si>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</si>
  <si>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</si>
  <si>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</si>
  <si>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</si>
  <si>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</si>
  <si>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</si>
  <si>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</si>
  <si>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</si>
  <si>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</si>
  <si>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</si>
  <si>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</si>
  <si>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</si>
  <si>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</si>
  <si>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</si>
  <si>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</si>
  <si>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</si>
  <si>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</si>
  <si>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</si>
  <si>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</si>
  <si>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</si>
  <si>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</si>
  <si>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</si>
  <si>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</si>
  <si>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</si>
  <si>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</si>
  <si>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</si>
  <si>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</si>
  <si>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</si>
  <si>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</si>
  <si>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</si>
  <si>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</si>
  <si>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</si>
  <si>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</si>
  <si>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</si>
  <si>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</si>
  <si>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</si>
  <si>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</si>
  <si>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</si>
  <si>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</si>
  <si>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</si>
  <si>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</si>
  <si>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</si>
  <si>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</si>
  <si>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</si>
  <si>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</si>
  <si>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</si>
  <si>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</si>
  <si>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</si>
  <si>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</si>
  <si>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</si>
  <si>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</si>
  <si>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</si>
  <si>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</si>
  <si>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</si>
  <si>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</si>
  <si>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</si>
  <si>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</si>
  <si>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</si>
  <si>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</si>
  <si>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</si>
  <si>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</si>
  <si>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</si>
  <si>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</si>
  <si>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</si>
  <si>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</si>
  <si>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</si>
  <si>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</si>
  <si>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</si>
  <si>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</si>
  <si>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</si>
  <si>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</si>
  <si>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</si>
  <si>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</si>
  <si>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</si>
  <si>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</si>
  <si>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</si>
  <si>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</si>
  <si>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</si>
  <si>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</si>
  <si>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</si>
  <si>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</si>
  <si>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</si>
  <si>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</si>
  <si>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</si>
  <si>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</si>
  <si>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</si>
  <si>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</si>
  <si>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</si>
  <si>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</si>
  <si>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</si>
  <si>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</si>
  <si>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</si>
  <si>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</si>
  <si>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</si>
  <si>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</si>
  <si>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</si>
  <si>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</si>
  <si>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</si>
  <si>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</si>
  <si>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</si>
  <si>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</si>
  <si>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</si>
  <si>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</si>
  <si>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</si>
  <si>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</si>
  <si>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</si>
  <si>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</si>
  <si>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</si>
  <si>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</si>
  <si>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</si>
  <si>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</si>
  <si>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</si>
  <si>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</si>
  <si>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</si>
  <si>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</si>
  <si>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</si>
  <si>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</si>
  <si>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</si>
  <si>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</si>
  <si>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</si>
  <si>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</si>
  <si>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</si>
  <si>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</si>
  <si>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</si>
  <si>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</si>
  <si>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</si>
  <si>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</si>
  <si>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</si>
  <si>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</si>
  <si>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</si>
  <si>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</si>
  <si>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</si>
  <si>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</si>
  <si>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</si>
  <si>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</si>
  <si>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</si>
  <si>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</si>
  <si>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</si>
  <si>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</si>
  <si>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</si>
  <si>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</si>
  <si>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</si>
  <si>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</si>
  <si>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</si>
  <si>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</si>
  <si>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</si>
  <si>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</si>
  <si>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</si>
  <si>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</si>
  <si>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</si>
  <si>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</si>
  <si>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</si>
  <si>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</si>
  <si>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</si>
  <si>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</si>
  <si>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</si>
  <si>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</si>
  <si>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</si>
  <si>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</si>
  <si>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</si>
  <si>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</si>
  <si>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</si>
  <si>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</si>
  <si>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</si>
  <si>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</si>
  <si>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</si>
  <si>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</si>
  <si>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</si>
  <si>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</si>
  <si>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</si>
  <si>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</si>
  <si>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</si>
  <si>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</si>
  <si>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</si>
  <si>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</si>
  <si>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</si>
  <si>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</si>
  <si>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</si>
  <si>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</si>
  <si>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</si>
  <si>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</si>
  <si>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</si>
  <si>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</si>
  <si>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</si>
  <si>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</si>
  <si>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</si>
  <si>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</si>
  <si>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</si>
  <si>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</si>
  <si>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</si>
  <si>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</si>
  <si>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</si>
  <si>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</si>
  <si>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</si>
  <si>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</si>
  <si>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</si>
  <si>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</si>
  <si>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</si>
  <si>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</si>
  <si>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</si>
  <si>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</si>
  <si>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</si>
  <si>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</si>
  <si>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</si>
  <si>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</si>
  <si>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</si>
  <si>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</si>
  <si>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</si>
  <si>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</si>
  <si>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</si>
  <si>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</si>
  <si>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</si>
  <si>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</si>
  <si>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</si>
  <si>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</si>
  <si>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</si>
  <si>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</si>
  <si>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</si>
  <si>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</si>
  <si>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</si>
  <si>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</si>
  <si>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</si>
  <si>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</si>
  <si>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</si>
  <si>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</si>
  <si>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</si>
  <si>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</si>
  <si>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</si>
  <si>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</si>
  <si>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</si>
  <si>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</si>
  <si>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</si>
  <si>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</si>
  <si>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</si>
  <si>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</si>
  <si>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</si>
  <si>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</si>
  <si>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</si>
  <si>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</si>
  <si>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</si>
  <si>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</si>
  <si>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</si>
  <si>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</si>
  <si>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</si>
  <si>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</si>
  <si>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</si>
  <si>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</si>
  <si>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</si>
  <si>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</si>
  <si>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</si>
  <si>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</si>
  <si>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</si>
  <si>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</si>
  <si>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</si>
  <si>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</si>
  <si>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</si>
  <si>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</si>
  <si>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</si>
  <si>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</si>
  <si>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</si>
  <si>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</si>
  <si>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</si>
  <si>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</si>
  <si>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</si>
  <si>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</si>
  <si>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</si>
  <si>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</si>
  <si>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</si>
  <si>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</si>
  <si>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</si>
  <si>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</si>
  <si>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</si>
  <si>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</si>
  <si>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</si>
  <si>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</si>
  <si>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</si>
  <si>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</si>
  <si>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</si>
  <si>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</si>
  <si>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</si>
  <si>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</si>
  <si>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</si>
  <si>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</si>
  <si>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</si>
  <si>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</si>
  <si>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</si>
  <si>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</si>
  <si>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</si>
  <si>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</si>
  <si>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</si>
  <si>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</si>
  <si>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</si>
  <si>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</si>
  <si>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</si>
  <si>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</si>
  <si>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</si>
  <si>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</si>
  <si>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</si>
  <si>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</si>
  <si>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</si>
  <si>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</si>
  <si>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</si>
  <si>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</si>
  <si>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</si>
  <si>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</si>
  <si>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</si>
  <si>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</si>
  <si>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</si>
  <si>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</si>
  <si>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</si>
  <si>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</si>
  <si>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</si>
  <si>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</si>
  <si>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</si>
  <si>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</si>
  <si>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</si>
  <si>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</si>
  <si>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</si>
  <si>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</si>
  <si>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</si>
  <si>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</si>
  <si>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</si>
  <si>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</si>
  <si>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</si>
  <si>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</si>
  <si>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</si>
  <si>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</si>
  <si>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</si>
  <si>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</si>
  <si>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</si>
  <si>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</si>
  <si>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</si>
  <si>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</si>
  <si>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</si>
  <si>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</si>
  <si>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</si>
  <si>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</si>
  <si>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</si>
  <si>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</si>
  <si>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</si>
  <si>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</si>
  <si>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</si>
  <si>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</si>
  <si>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</si>
  <si>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</si>
  <si>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</si>
  <si>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</si>
  <si>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</si>
  <si>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</si>
  <si>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</si>
  <si>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</si>
  <si>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</si>
  <si>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</si>
  <si>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</si>
  <si>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</si>
  <si>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</si>
  <si>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</si>
  <si>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</si>
  <si>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</si>
  <si>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</si>
  <si>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</si>
  <si>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</si>
  <si>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</si>
  <si>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</si>
  <si>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</si>
  <si>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</si>
  <si>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</si>
  <si>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</si>
  <si>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</si>
  <si>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</si>
  <si>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</si>
  <si>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</si>
  <si>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</si>
  <si>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</si>
  <si>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</si>
  <si>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</si>
  <si>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</si>
  <si>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</si>
  <si>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</si>
  <si>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</si>
  <si>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</si>
  <si>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</si>
  <si>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</si>
  <si>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</si>
  <si>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</si>
  <si>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</si>
  <si>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</si>
  <si>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</si>
  <si>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</si>
  <si>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</si>
  <si>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</si>
  <si>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</si>
  <si>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</si>
  <si>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</si>
  <si>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</si>
  <si>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</si>
  <si>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</si>
  <si>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</si>
  <si>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</si>
  <si>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</si>
  <si>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</si>
  <si>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</si>
  <si>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</si>
  <si>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</si>
  <si>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</si>
  <si>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</si>
  <si>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</si>
  <si>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</si>
  <si>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</si>
  <si>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PVPON/PMAA</t>
  </si>
  <si>
    <t>PGMA</t>
  </si>
  <si>
    <t>dPMAA</t>
  </si>
  <si>
    <t>C 4;2H 6;O 2;</t>
  </si>
  <si>
    <t>PMAA</t>
  </si>
  <si>
    <t>PVPON</t>
  </si>
  <si>
    <t>C 6;H 9;N 1;O 1;</t>
  </si>
  <si>
    <t>C 4;H 6;O 2;</t>
  </si>
  <si>
    <t>H10</t>
  </si>
  <si>
    <t>G4</t>
  </si>
  <si>
    <r>
      <t>Σ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</si>
  <si>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[Å]</t>
    </r>
  </si>
  <si>
    <r>
      <t>s</t>
    </r>
    <r>
      <rPr>
        <b/>
        <sz val="12"/>
        <rFont val="Times New Roman"/>
        <family val="1"/>
      </rPr>
      <t xml:space="preserve"> [Å]</t>
    </r>
  </si>
  <si>
    <r>
      <t>SiO</t>
    </r>
    <r>
      <rPr>
        <i/>
        <vertAlign val="subscript"/>
        <sz val="12"/>
        <rFont val="Times New Roman"/>
        <family val="1"/>
      </rPr>
      <t>x</t>
    </r>
  </si>
  <si>
    <r>
      <t>Q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</si>
  <si>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z</t>
    </r>
    <r>
      <rPr>
        <b/>
        <sz val="12"/>
        <rFont val="Times New Roman"/>
        <family val="1"/>
      </rPr>
      <t xml:space="preserve"> (nm)</t>
    </r>
  </si>
  <si>
    <r>
      <t>Nb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</si>
  <si>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delta_R</t>
  </si>
  <si>
    <t>Precision</t>
  </si>
  <si>
    <t>#</t>
  </si>
  <si>
    <t>Experiment</t>
  </si>
  <si>
    <t>IPTS-9336</t>
  </si>
  <si>
    <t>Run</t>
  </si>
  <si>
    <t>title:</t>
  </si>
  <si>
    <t>start</t>
  </si>
  <si>
    <t>time:</t>
  </si>
  <si>
    <t>Reduction</t>
  </si>
  <si>
    <t>Mon</t>
  </si>
  <si>
    <t>Aug</t>
  </si>
  <si>
    <t>Mantid</t>
  </si>
  <si>
    <t>version:</t>
  </si>
  <si>
    <t>3.12.1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</si>
  <si>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</si>
  <si>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</si>
  <si>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</si>
  <si>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</si>
  <si>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</si>
  <si>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</si>
  <si>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</si>
  <si>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</si>
  <si>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</si>
  <si>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</si>
  <si>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</si>
  <si>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</si>
  <si>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</si>
  <si>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13_08_2018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</si>
  <si>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</si>
  <si>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</si>
  <si>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</si>
  <si>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</si>
  <si>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</si>
  <si>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</si>
  <si>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</si>
  <si>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</si>
  <si>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</si>
  <si>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</si>
  <si>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</si>
  <si>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</si>
  <si>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</si>
  <si>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</si>
  <si>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</si>
  <si>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</si>
  <si>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</si>
  <si>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dQ0[1/Angstrom]</t>
  </si>
  <si>
    <t>=</t>
  </si>
  <si>
    <t>dQ/Q</t>
  </si>
  <si>
    <t>Q[1/Angstrom]</t>
  </si>
  <si>
    <t>UAB_0813_VK6-5.</t>
  </si>
  <si>
    <t>2013-10-26T16:00:29.987901666</t>
  </si>
  <si>
    <t>Cr 1;</t>
  </si>
  <si>
    <t>Cd 1;</t>
  </si>
  <si>
    <t>Gd 1;</t>
  </si>
  <si>
    <t>δp</t>
  </si>
  <si>
    <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</si>
  <si>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</si>
  <si>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</si>
  <si>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</si>
  <si>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 xml:space="preserve">d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</si>
  <si>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PVPON</t>
    </r>
    <r>
      <rPr>
        <b/>
        <sz val="12"/>
        <rFont val="Times New Roman"/>
        <family val="1"/>
      </rPr>
      <t xml:space="preserve"> 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</si>
  <si>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</si>
  <si>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</si>
  <si>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i/>
        <sz val="12"/>
        <rFont val="Times New Roman"/>
        <family val="1"/>
      </rPr>
      <t>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</si>
  <si>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</si>
  <si>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5×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</si>
  <si>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</si>
  <si>
    <t>H16</t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</si>
  <si>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</si>
  <si>
    <t>Air</t>
  </si>
  <si>
    <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</si>
  <si>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marker,rms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</si>
  <si>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top,rms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</si>
  <si>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</si>
  <si>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</si>
  <si>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HB</t>
    </r>
    <r>
      <rPr>
        <b/>
        <vertAlign val="superscript"/>
        <sz val="12"/>
        <rFont val="Times New Roman"/>
        <family val="1"/>
      </rPr>
      <t>p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</si>
  <si>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</si>
  <si>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</si>
  <si>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</si>
  <si>
    <r>
      <t>Σ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</si>
  <si>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dPMAA (bottom marker)</t>
  </si>
  <si>
    <r>
      <t>∂Σ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</si>
  <si>
    <r>
      <t>∂Σ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</si>
  <si>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∂Σ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</si>
  <si>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top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=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+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[(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ρ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p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]/5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</si>
  <si>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PVPON/dPMAA (top markers)</t>
  </si>
  <si>
    <t>F6</t>
  </si>
  <si>
    <t>G7</t>
  </si>
  <si>
    <r>
      <rPr>
        <b/>
        <sz val="12"/>
        <rFont val="Times New Roman"/>
        <family val="1"/>
      </rPr>
      <t>3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/2 (Å)</t>
    </r>
  </si>
  <si>
    <r>
      <rPr>
        <b/>
        <sz val="12"/>
        <rFont val="Times New Roman"/>
        <family val="1"/>
      </rPr>
      <t>4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 xml:space="preserve"> - 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marker</t>
    </r>
    <r>
      <rPr>
        <b/>
        <vertAlign val="superscript"/>
        <sz val="12"/>
        <rFont val="Times New Roman"/>
        <family val="1"/>
      </rPr>
      <t>HB</t>
    </r>
    <r>
      <rPr>
        <b/>
        <sz val="12"/>
        <rFont val="Times New Roman"/>
        <family val="1"/>
      </rPr>
      <t>/2 (Å)</t>
    </r>
  </si>
  <si>
    <r>
      <t>f</t>
    </r>
    <r>
      <rPr>
        <b/>
        <vertAlign val="subscript"/>
        <sz val="12"/>
        <rFont val="Times New Roman"/>
        <family val="1"/>
      </rPr>
      <t>PMAA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>d</t>
    </r>
    <r>
      <rPr>
        <b/>
        <vertAlign val="subscript"/>
        <sz val="12"/>
        <rFont val="Times New Roman"/>
        <family val="1"/>
      </rPr>
      <t>bilayer</t>
    </r>
    <r>
      <rPr>
        <b/>
        <vertAlign val="superscript"/>
        <sz val="12"/>
        <rFont val="Times New Roman"/>
        <family val="1"/>
      </rPr>
      <t>HB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</si>
</sst>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83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vertical="center"/>
    </xf>
    <xf numFmtId="11" fontId="16" fillId="0" borderId="0" xfId="0" applyNumberFormat="1" applyFont="1" applyFill="1" applyAlignment="1">
      <alignment horizontal="center"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NumberFormat="1" applyFill="1"/>
    <xf numFmtId="2" fontId="0" fillId="0" borderId="0" xfId="0" applyFill="1"/>
    <xf numFmtId="2" fontId="10" fillId="0" borderId="0" xfId="0" applyNumberFormat="1" applyFont="1" applyFill="1" applyAlignment="1">
      <alignment horizontal="right"/>
    </xf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4" fontId="0" fillId="0" borderId="0" xfId="0" applyNumberFormat="1" applyFill="1"/>
    <xf numFmtId="165" fontId="0" fillId="0" borderId="0" xfId="0" applyNumberFormat="1" applyFill="1"/>
    <xf numFmtId="165" fontId="0" fillId="0" borderId="0" xfId="0" applyNumberFormat="1" applyFill="1" applyAlignment="1">
      <alignment horizontal="right"/>
    </xf>
    <xf numFmtId="165" fontId="10" fillId="31" borderId="0" xfId="0" applyNumberFormat="1" applyFont="1" applyFill="1"/>
    <xf numFmtId="2" fontId="10" fillId="31" borderId="0" xfId="0" applyFont="1" applyFill="1"/>
    <xf numFmtId="166" fontId="10" fillId="31" borderId="0" xfId="0" applyNumberFormat="1" applyFont="1" applyFill="1"/>
    <xf numFmtId="11" fontId="10" fillId="31" borderId="0" xfId="0" applyNumberFormat="1" applyFont="1" applyFill="1"/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1" fontId="0" fillId="0" borderId="0" xfId="0" applyNumberFormat="1" applyFont="1" applyFill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2" borderId="0" xfId="0" applyFont="1" applyFill="1" applyAlignment="1">
      <alignment horizontal="center" vertical="center"/>
    </xf>
    <xf numFmtId="2" fontId="16" fillId="32" borderId="0" xfId="0" applyFont="1" applyFill="1" applyAlignment="1">
      <alignment horizontal="center" vertical="center"/>
    </xf>
    <xf numFmtId="1" fontId="0" fillId="33" borderId="0" xfId="0" applyNumberFormat="1" applyFill="1"/>
    <xf numFmtId="2" fontId="17" fillId="34" borderId="0" xfId="0" applyFont="1" applyFill="1" applyAlignment="1">
      <alignment horizontal="center" vertical="center"/>
    </xf>
    <xf numFmtId="2" fontId="0" fillId="35" borderId="0" xfId="0" applyNumberFormat="1" applyFill="1"/>
    <xf numFmtId="2" fontId="0" fillId="35" borderId="0" xfId="0" applyFill="1"/>
    <xf numFmtId="164" fontId="0" fillId="35" borderId="0" xfId="0" applyNumberFormat="1" applyFill="1"/>
    <xf numFmtId="11" fontId="0" fillId="33" borderId="0" xfId="0" applyNumberFormat="1" applyFill="1"/>
    <xf numFmtId="11" fontId="16" fillId="32" borderId="0" xfId="0" applyNumberFormat="1" applyFont="1" applyFill="1" applyAlignment="1">
      <alignment horizontal="center" vertical="center"/>
    </xf>
    <xf numFmtId="11" fontId="0" fillId="33" borderId="0" xfId="0" applyNumberFormat="1" applyFill="1" applyAlignment="1">
      <alignment horizontal="center" vertical="center"/>
    </xf>
    <xf numFmtId="11" fontId="17" fillId="34" borderId="0" xfId="0" applyNumberFormat="1" applyFont="1" applyFill="1" applyAlignment="1">
      <alignment horizontal="center" vertical="center"/>
    </xf>
    <xf numFmtId="11" fontId="0" fillId="35" borderId="0" xfId="0" applyNumberFormat="1" applyFill="1"/>
    <xf numFmtId="165" fontId="0" fillId="37" borderId="0" xfId="0" applyNumberFormat="1" applyFill="1"/>
    <xf numFmtId="11" fontId="0" fillId="37" borderId="0" xfId="0" applyNumberFormat="1" applyFill="1"/>
    <xf numFmtId="166" fontId="0" fillId="37" borderId="0" xfId="0" applyNumberFormat="1" applyFill="1"/>
    <xf numFmtId="11" fontId="0" fillId="38" borderId="0" xfId="0" applyNumberFormat="1" applyFill="1"/>
    <xf numFmtId="165" fontId="0" fillId="39" borderId="0" xfId="0" applyNumberFormat="1" applyFill="1"/>
    <xf numFmtId="11" fontId="10" fillId="39" borderId="0" xfId="0" applyNumberFormat="1" applyFont="1" applyFill="1"/>
    <xf numFmtId="11" fontId="0" fillId="39" borderId="0" xfId="0" applyNumberFormat="1" applyFill="1"/>
    <xf numFmtId="166" fontId="10" fillId="40" borderId="0" xfId="0" applyNumberFormat="1" applyFont="1" applyFill="1"/>
    <xf numFmtId="164" fontId="17" fillId="36" borderId="0" xfId="0" applyNumberFormat="1" applyFont="1" applyFill="1" applyAlignment="1">
      <alignment horizontal="center" vertical="center"/>
    </xf>
    <xf numFmtId="164" fontId="17" fillId="36" borderId="0" xfId="0" applyNumberFormat="1" applyFont="1" applyFill="1" applyAlignment="1">
      <alignment horizontal="center"/>
    </xf>
    <xf numFmtId="166" fontId="0" fillId="38" borderId="0" xfId="0" applyNumberFormat="1" applyFill="1"/>
    <xf numFmtId="2" fontId="10" fillId="37" borderId="0" xfId="0" applyFont="1" applyFill="1"/>
    <xf numFmtId="2" fontId="10" fillId="37" borderId="0" xfId="0" applyFont="1" applyFill="1" applyAlignment="1">
      <alignment horizontal="right"/>
    </xf>
    <xf numFmtId="166" fontId="0" fillId="33" borderId="0" xfId="0" applyNumberFormat="1" applyFill="1"/>
    <xf numFmtId="166" fontId="0" fillId="35" borderId="0" xfId="0" applyNumberFormat="1" applyFill="1"/>
    <xf numFmtId="166" fontId="0" fillId="40" borderId="0" xfId="0" applyNumberFormat="1" applyFill="1"/>
    <xf numFmtId="165" fontId="16" fillId="36" borderId="0" xfId="0" applyNumberFormat="1" applyFont="1" applyFill="1" applyAlignment="1">
      <alignment horizontal="center" vertical="center"/>
    </xf>
    <xf numFmtId="165" fontId="17" fillId="36" borderId="0" xfId="0" applyNumberFormat="1" applyFont="1" applyFill="1" applyAlignment="1">
      <alignment horizontal="center" vertical="center"/>
    </xf>
    <xf numFmtId="11" fontId="19" fillId="36" borderId="0" xfId="0" applyNumberFormat="1" applyFont="1" applyFill="1" applyAlignment="1">
      <alignment horizontal="center" vertical="center"/>
    </xf>
    <xf numFmtId="166" fontId="17" fillId="36" borderId="0" xfId="0" applyNumberFormat="1" applyFont="1" applyFill="1" applyAlignment="1">
      <alignment horizontal="center" vertical="center"/>
    </xf>
    <xf numFmtId="166" fontId="19" fillId="36" borderId="0" xfId="0" applyNumberFormat="1" applyFont="1" applyFill="1" applyAlignment="1">
      <alignment horizontal="center" vertical="center"/>
    </xf>
    <xf numFmtId="2" fontId="0" fillId="36" borderId="0" xfId="0" applyFill="1" applyAlignment="1">
      <alignment vertical="center"/>
    </xf>
    <xf numFmtId="164" fontId="48" fillId="29" borderId="0" xfId="0" applyNumberFormat="1" applyFont="1" applyFill="1"/>
    <xf numFmtId="166" fontId="10" fillId="41" borderId="0" xfId="0" applyNumberFormat="1" applyFont="1" applyFill="1"/>
    <xf numFmtId="165" fontId="0" fillId="31" borderId="0" xfId="0" applyNumberFormat="1" applyFont="1" applyFill="1"/>
    <xf numFmtId="165" fontId="16" fillId="0" borderId="0" xfId="0" applyNumberFormat="1" applyFont="1" applyFill="1" applyAlignment="1"/>
    <xf numFmtId="165" fontId="17" fillId="42" borderId="0" xfId="0" applyNumberFormat="1" applyFont="1" applyFill="1" applyAlignment="1">
      <alignment horizontal="right"/>
    </xf>
    <xf numFmtId="11" fontId="17" fillId="42" borderId="0" xfId="0" applyNumberFormat="1" applyFont="1" applyFill="1" applyAlignment="1">
      <alignment horizontal="right"/>
    </xf>
    <xf numFmtId="11" fontId="19" fillId="42" borderId="0" xfId="0" applyNumberFormat="1" applyFont="1" applyFill="1" applyAlignment="1">
      <alignment horizontal="right"/>
    </xf>
    <xf numFmtId="11" fontId="17" fillId="42" borderId="0" xfId="0" applyNumberFormat="1" applyFont="1" applyFill="1" applyAlignment="1">
      <alignment horizontal="center" vertical="center"/>
    </xf>
    <xf numFmtId="11" fontId="10" fillId="33" borderId="0" xfId="0" applyNumberFormat="1" applyFont="1" applyFill="1"/>
    <xf numFmtId="11" fontId="0" fillId="33" borderId="0" xfId="0" applyNumberFormat="1" applyFont="1" applyFill="1"/>
    <xf numFmtId="2" fontId="16" fillId="32" borderId="0" xfId="0" applyFont="1" applyFill="1" applyAlignment="1">
      <alignment horizontal="center" vertical="center"/>
    </xf>
    <xf numFmtId="164" fontId="0" fillId="38" borderId="0" xfId="0" applyNumberFormat="1" applyFill="1"/>
    <xf numFmtId="21" fontId="0" fillId="0" borderId="0" xfId="0" applyNumberFormat="1"/>
    <xf numFmtId="165" fontId="10" fillId="37" borderId="0" xfId="0" applyNumberFormat="1" applyFont="1" applyFill="1"/>
    <xf numFmtId="166" fontId="10" fillId="37" borderId="0" xfId="0" applyNumberFormat="1" applyFont="1" applyFill="1"/>
    <xf numFmtId="11" fontId="10" fillId="37" borderId="0" xfId="0" applyNumberFormat="1" applyFont="1" applyFill="1"/>
    <xf numFmtId="165" fontId="0" fillId="37" borderId="0" xfId="0" applyNumberFormat="1" applyFont="1" applyFill="1"/>
    <xf numFmtId="2" fontId="0" fillId="34" borderId="0" xfId="0" applyFill="1"/>
    <xf numFmtId="166" fontId="0" fillId="43" borderId="0" xfId="0" applyNumberFormat="1" applyFill="1"/>
    <xf numFmtId="2" fontId="16" fillId="32" borderId="0" xfId="0" applyFont="1" applyFill="1" applyAlignment="1">
      <alignment horizontal="center" vertical="center"/>
    </xf>
    <xf numFmtId="2" fontId="0" fillId="38" borderId="0" xfId="0" applyFill="1"/>
    <xf numFmtId="2" fontId="0" fillId="40" borderId="0" xfId="0" applyNumberFormat="1" applyFill="1"/>
    <xf numFmtId="2" fontId="17" fillId="36" borderId="0" xfId="0" applyFont="1" applyFill="1" applyAlignment="1">
      <alignment horizontal="center"/>
    </xf>
    <xf numFmtId="164" fontId="0" fillId="33" borderId="0" xfId="0" applyNumberFormat="1" applyFill="1"/>
    <xf numFmtId="2" fontId="17" fillId="36" borderId="0" xfId="0" applyFont="1" applyFill="1" applyAlignment="1">
      <alignment horizontal="center" vertical="center"/>
    </xf>
    <xf numFmtId="2" fontId="16" fillId="0" borderId="0" xfId="0" applyFont="1" applyFill="1" applyAlignment="1">
      <alignment horizontal="center" vertical="center"/>
    </xf>
    <xf numFmtId="1" fontId="0" fillId="0" borderId="0" xfId="0" applyNumberFormat="1" applyFill="1"/>
    <xf numFmtId="166" fontId="0" fillId="0" borderId="0" xfId="0" applyNumberFormat="1" applyFill="1"/>
    <xf numFmtId="2" fontId="0" fillId="43" borderId="0" xfId="0" applyFill="1"/>
    <xf numFmtId="11" fontId="0" fillId="43" borderId="0" xfId="0" applyNumberFormat="1" applyFill="1"/>
    <xf numFmtId="166" fontId="0" fillId="39" borderId="0" xfId="0" applyNumberFormat="1" applyFill="1"/>
    <xf numFmtId="2" fontId="0" fillId="43" borderId="0" xfId="0" applyNumberFormat="1" applyFill="1"/>
    <xf numFmtId="2" fontId="16" fillId="0" borderId="0" xfId="0" applyFont="1" applyFill="1" applyAlignment="1">
      <alignment horizontal="center"/>
    </xf>
    <xf numFmtId="2" fontId="16" fillId="28" borderId="0" xfId="0" applyFont="1" applyFill="1" applyAlignment="1">
      <alignment horizontal="center"/>
    </xf>
    <xf numFmtId="11" fontId="16" fillId="36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2" fontId="16" fillId="32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214.34199749417348</c:v>
                </c:pt>
                <c:pt idx="4">
                  <c:v>214.34199749417348</c:v>
                </c:pt>
                <c:pt idx="5">
                  <c:v>299.48580066537477</c:v>
                </c:pt>
                <c:pt idx="6">
                  <c:v>299.48580066537477</c:v>
                </c:pt>
                <c:pt idx="7">
                  <c:v>346.86653195141037</c:v>
                </c:pt>
                <c:pt idx="8">
                  <c:v>346.86653195141037</c:v>
                </c:pt>
                <c:pt idx="9">
                  <c:v>381.58091783306668</c:v>
                </c:pt>
                <c:pt idx="10">
                  <c:v>381.58091783306668</c:v>
                </c:pt>
                <c:pt idx="11">
                  <c:v>409.83100982793781</c:v>
                </c:pt>
                <c:pt idx="12">
                  <c:v>409.83100982793781</c:v>
                </c:pt>
                <c:pt idx="13">
                  <c:v>434.22512110542095</c:v>
                </c:pt>
                <c:pt idx="14">
                  <c:v>434.22512110542095</c:v>
                </c:pt>
                <c:pt idx="15">
                  <c:v>456.13940027601012</c:v>
                </c:pt>
                <c:pt idx="16">
                  <c:v>456.13940027601012</c:v>
                </c:pt>
                <c:pt idx="17">
                  <c:v>476.41011672730531</c:v>
                </c:pt>
                <c:pt idx="18">
                  <c:v>476.41011672730531</c:v>
                </c:pt>
                <c:pt idx="19">
                  <c:v>495.60321414189923</c:v>
                </c:pt>
                <c:pt idx="20">
                  <c:v>495.60321414189923</c:v>
                </c:pt>
                <c:pt idx="21">
                  <c:v>514.14007825128283</c:v>
                </c:pt>
                <c:pt idx="22">
                  <c:v>514.14007825128283</c:v>
                </c:pt>
                <c:pt idx="23">
                  <c:v>532.36555443918701</c:v>
                </c:pt>
                <c:pt idx="24">
                  <c:v>532.36555443918701</c:v>
                </c:pt>
                <c:pt idx="25">
                  <c:v>540.35388048926495</c:v>
                </c:pt>
                <c:pt idx="26">
                  <c:v>540.35388048926495</c:v>
                </c:pt>
                <c:pt idx="27">
                  <c:v>556.33053258942073</c:v>
                </c:pt>
                <c:pt idx="28">
                  <c:v>556.33053258942073</c:v>
                </c:pt>
                <c:pt idx="29">
                  <c:v>572.3071846895765</c:v>
                </c:pt>
                <c:pt idx="30">
                  <c:v>572.3071846895765</c:v>
                </c:pt>
                <c:pt idx="31">
                  <c:v>588.28383678973228</c:v>
                </c:pt>
                <c:pt idx="32">
                  <c:v>588.28383678973228</c:v>
                </c:pt>
                <c:pt idx="33">
                  <c:v>604.26048888988805</c:v>
                </c:pt>
                <c:pt idx="34">
                  <c:v>604.26048888988805</c:v>
                </c:pt>
                <c:pt idx="35">
                  <c:v>620.23714099004383</c:v>
                </c:pt>
                <c:pt idx="36">
                  <c:v>620.23714099004383</c:v>
                </c:pt>
                <c:pt idx="37">
                  <c:v>636.2137930901996</c:v>
                </c:pt>
                <c:pt idx="38">
                  <c:v>636.2137930901996</c:v>
                </c:pt>
                <c:pt idx="39">
                  <c:v>652.19044519035538</c:v>
                </c:pt>
                <c:pt idx="40">
                  <c:v>652.19044519035538</c:v>
                </c:pt>
                <c:pt idx="41">
                  <c:v>668.16709729051115</c:v>
                </c:pt>
                <c:pt idx="42">
                  <c:v>668.16709729051115</c:v>
                </c:pt>
                <c:pt idx="43">
                  <c:v>684.14374939066693</c:v>
                </c:pt>
                <c:pt idx="44">
                  <c:v>684.14374939066693</c:v>
                </c:pt>
                <c:pt idx="45">
                  <c:v>700.1204014908227</c:v>
                </c:pt>
                <c:pt idx="46">
                  <c:v>700.1204014908227</c:v>
                </c:pt>
                <c:pt idx="47">
                  <c:v>716.09705359097848</c:v>
                </c:pt>
                <c:pt idx="48">
                  <c:v>716.09705359097848</c:v>
                </c:pt>
                <c:pt idx="49">
                  <c:v>732.07370569113425</c:v>
                </c:pt>
                <c:pt idx="50">
                  <c:v>732.07370569113425</c:v>
                </c:pt>
                <c:pt idx="51">
                  <c:v>748.05035779129003</c:v>
                </c:pt>
                <c:pt idx="52">
                  <c:v>748.05035779129003</c:v>
                </c:pt>
                <c:pt idx="53">
                  <c:v>764.0270098914458</c:v>
                </c:pt>
                <c:pt idx="54">
                  <c:v>764.0270098914458</c:v>
                </c:pt>
                <c:pt idx="55">
                  <c:v>780.00366199160158</c:v>
                </c:pt>
                <c:pt idx="56">
                  <c:v>780.00366199160158</c:v>
                </c:pt>
                <c:pt idx="57">
                  <c:v>795.98031409175735</c:v>
                </c:pt>
                <c:pt idx="58">
                  <c:v>795.98031409175735</c:v>
                </c:pt>
                <c:pt idx="59">
                  <c:v>811.95696619191312</c:v>
                </c:pt>
                <c:pt idx="60">
                  <c:v>811.95696619191312</c:v>
                </c:pt>
                <c:pt idx="61">
                  <c:v>827.9336182920689</c:v>
                </c:pt>
                <c:pt idx="62">
                  <c:v>827.9336182920689</c:v>
                </c:pt>
                <c:pt idx="63">
                  <c:v>843.91027039222467</c:v>
                </c:pt>
                <c:pt idx="64">
                  <c:v>843.91027039222467</c:v>
                </c:pt>
                <c:pt idx="65">
                  <c:v>859.88692249238045</c:v>
                </c:pt>
                <c:pt idx="66">
                  <c:v>859.88692249238045</c:v>
                </c:pt>
                <c:pt idx="67">
                  <c:v>875.86357459253622</c:v>
                </c:pt>
                <c:pt idx="68">
                  <c:v>875.86357459253622</c:v>
                </c:pt>
                <c:pt idx="69">
                  <c:v>883.85190064261417</c:v>
                </c:pt>
                <c:pt idx="70">
                  <c:v>883.85190064261417</c:v>
                </c:pt>
                <c:pt idx="71">
                  <c:v>885.54297666628736</c:v>
                </c:pt>
                <c:pt idx="72">
                  <c:v>885.54297666628736</c:v>
                </c:pt>
                <c:pt idx="73">
                  <c:v>888.92512871363363</c:v>
                </c:pt>
                <c:pt idx="74">
                  <c:v>888.92512871363363</c:v>
                </c:pt>
                <c:pt idx="75">
                  <c:v>892.30728076097989</c:v>
                </c:pt>
                <c:pt idx="76">
                  <c:v>892.30728076097989</c:v>
                </c:pt>
                <c:pt idx="77">
                  <c:v>895.68943280832616</c:v>
                </c:pt>
                <c:pt idx="78">
                  <c:v>895.68943280832616</c:v>
                </c:pt>
                <c:pt idx="79">
                  <c:v>899.07158485567243</c:v>
                </c:pt>
                <c:pt idx="80">
                  <c:v>899.07158485567243</c:v>
                </c:pt>
                <c:pt idx="81">
                  <c:v>902.45373690301869</c:v>
                </c:pt>
                <c:pt idx="82">
                  <c:v>902.45373690301869</c:v>
                </c:pt>
                <c:pt idx="83">
                  <c:v>905.83588895036496</c:v>
                </c:pt>
                <c:pt idx="84">
                  <c:v>905.83588895036496</c:v>
                </c:pt>
                <c:pt idx="85">
                  <c:v>909.21804099771123</c:v>
                </c:pt>
                <c:pt idx="86">
                  <c:v>909.21804099771123</c:v>
                </c:pt>
                <c:pt idx="87">
                  <c:v>912.60019304505749</c:v>
                </c:pt>
                <c:pt idx="88">
                  <c:v>912.60019304505749</c:v>
                </c:pt>
                <c:pt idx="89">
                  <c:v>915.98234509240376</c:v>
                </c:pt>
                <c:pt idx="90">
                  <c:v>915.98234509240376</c:v>
                </c:pt>
                <c:pt idx="91">
                  <c:v>919.36449713975003</c:v>
                </c:pt>
                <c:pt idx="92">
                  <c:v>919.36449713975003</c:v>
                </c:pt>
                <c:pt idx="93">
                  <c:v>922.7466491870963</c:v>
                </c:pt>
                <c:pt idx="94">
                  <c:v>922.7466491870963</c:v>
                </c:pt>
                <c:pt idx="95">
                  <c:v>926.12880123444256</c:v>
                </c:pt>
                <c:pt idx="96">
                  <c:v>926.12880123444256</c:v>
                </c:pt>
                <c:pt idx="97">
                  <c:v>929.51095328178883</c:v>
                </c:pt>
                <c:pt idx="98">
                  <c:v>929.51095328178883</c:v>
                </c:pt>
                <c:pt idx="99">
                  <c:v>932.8931053291351</c:v>
                </c:pt>
                <c:pt idx="100">
                  <c:v>932.8931053291351</c:v>
                </c:pt>
                <c:pt idx="101">
                  <c:v>936.27525737648136</c:v>
                </c:pt>
                <c:pt idx="102">
                  <c:v>936.27525737648136</c:v>
                </c:pt>
                <c:pt idx="103">
                  <c:v>939.65740942382763</c:v>
                </c:pt>
                <c:pt idx="104">
                  <c:v>939.65740942382763</c:v>
                </c:pt>
                <c:pt idx="105">
                  <c:v>943.0395614711739</c:v>
                </c:pt>
                <c:pt idx="106">
                  <c:v>943.0395614711739</c:v>
                </c:pt>
                <c:pt idx="107">
                  <c:v>946.42171351852016</c:v>
                </c:pt>
                <c:pt idx="108">
                  <c:v>946.42171351852016</c:v>
                </c:pt>
                <c:pt idx="109">
                  <c:v>949.80386556586643</c:v>
                </c:pt>
                <c:pt idx="110">
                  <c:v>949.80386556586643</c:v>
                </c:pt>
                <c:pt idx="111">
                  <c:v>953.1860176132127</c:v>
                </c:pt>
                <c:pt idx="112">
                  <c:v>953.1860176132127</c:v>
                </c:pt>
                <c:pt idx="113">
                  <c:v>956.56816966055897</c:v>
                </c:pt>
                <c:pt idx="114">
                  <c:v>956.56816966055897</c:v>
                </c:pt>
                <c:pt idx="115">
                  <c:v>958.25924568423216</c:v>
                </c:pt>
                <c:pt idx="116">
                  <c:v>958.25924568423216</c:v>
                </c:pt>
                <c:pt idx="117">
                  <c:v>959.67008926693256</c:v>
                </c:pt>
                <c:pt idx="118">
                  <c:v>959.67008926693256</c:v>
                </c:pt>
                <c:pt idx="119">
                  <c:v>962.49177643233349</c:v>
                </c:pt>
                <c:pt idx="120">
                  <c:v>962.49177643233349</c:v>
                </c:pt>
                <c:pt idx="121">
                  <c:v>965.31346359773443</c:v>
                </c:pt>
                <c:pt idx="122">
                  <c:v>965.31346359773443</c:v>
                </c:pt>
                <c:pt idx="123">
                  <c:v>968.13515076313536</c:v>
                </c:pt>
                <c:pt idx="124">
                  <c:v>968.13515076313536</c:v>
                </c:pt>
                <c:pt idx="125">
                  <c:v>970.95683792853629</c:v>
                </c:pt>
                <c:pt idx="126">
                  <c:v>970.95683792853629</c:v>
                </c:pt>
                <c:pt idx="127">
                  <c:v>973.77852509393722</c:v>
                </c:pt>
                <c:pt idx="128">
                  <c:v>973.77852509393722</c:v>
                </c:pt>
                <c:pt idx="129">
                  <c:v>976.60021225933815</c:v>
                </c:pt>
                <c:pt idx="130">
                  <c:v>976.60021225933815</c:v>
                </c:pt>
                <c:pt idx="131">
                  <c:v>979.42189942473908</c:v>
                </c:pt>
                <c:pt idx="132">
                  <c:v>979.42189942473908</c:v>
                </c:pt>
                <c:pt idx="133">
                  <c:v>982.24358659014001</c:v>
                </c:pt>
                <c:pt idx="134">
                  <c:v>982.24358659014001</c:v>
                </c:pt>
                <c:pt idx="135">
                  <c:v>985.06527375554094</c:v>
                </c:pt>
                <c:pt idx="136">
                  <c:v>985.06527375554094</c:v>
                </c:pt>
                <c:pt idx="137">
                  <c:v>987.88696092094187</c:v>
                </c:pt>
                <c:pt idx="138">
                  <c:v>987.88696092094187</c:v>
                </c:pt>
                <c:pt idx="139">
                  <c:v>990.70864808634281</c:v>
                </c:pt>
                <c:pt idx="140">
                  <c:v>990.70864808634281</c:v>
                </c:pt>
                <c:pt idx="141">
                  <c:v>993.53033525174374</c:v>
                </c:pt>
                <c:pt idx="142">
                  <c:v>993.53033525174374</c:v>
                </c:pt>
                <c:pt idx="143">
                  <c:v>996.35202241714467</c:v>
                </c:pt>
                <c:pt idx="144">
                  <c:v>996.35202241714467</c:v>
                </c:pt>
                <c:pt idx="145">
                  <c:v>999.1737095825456</c:v>
                </c:pt>
                <c:pt idx="146">
                  <c:v>999.1737095825456</c:v>
                </c:pt>
                <c:pt idx="147">
                  <c:v>1001.9953967479465</c:v>
                </c:pt>
                <c:pt idx="148">
                  <c:v>1001.9953967479465</c:v>
                </c:pt>
                <c:pt idx="149">
                  <c:v>1004.8170839133475</c:v>
                </c:pt>
                <c:pt idx="150">
                  <c:v>1004.8170839133475</c:v>
                </c:pt>
                <c:pt idx="151">
                  <c:v>1007.6387710787484</c:v>
                </c:pt>
                <c:pt idx="152">
                  <c:v>1007.6387710787484</c:v>
                </c:pt>
                <c:pt idx="153">
                  <c:v>1010.4604582441493</c:v>
                </c:pt>
                <c:pt idx="154">
                  <c:v>1010.4604582441493</c:v>
                </c:pt>
                <c:pt idx="155">
                  <c:v>1013.2821454095503</c:v>
                </c:pt>
                <c:pt idx="156">
                  <c:v>1013.2821454095503</c:v>
                </c:pt>
                <c:pt idx="157">
                  <c:v>1016.1038325749512</c:v>
                </c:pt>
                <c:pt idx="158">
                  <c:v>1016.1038325749512</c:v>
                </c:pt>
                <c:pt idx="159">
                  <c:v>1018.9255197403521</c:v>
                </c:pt>
                <c:pt idx="160">
                  <c:v>1018.9255197403521</c:v>
                </c:pt>
                <c:pt idx="161">
                  <c:v>1020.3363633230525</c:v>
                </c:pt>
                <c:pt idx="162">
                  <c:v>1020.3363633230525</c:v>
                </c:pt>
                <c:pt idx="163">
                  <c:v>1021.8955698814663</c:v>
                </c:pt>
                <c:pt idx="164">
                  <c:v>1021.8955698814663</c:v>
                </c:pt>
                <c:pt idx="165">
                  <c:v>1023.481415968218</c:v>
                </c:pt>
                <c:pt idx="166">
                  <c:v>1023.481415968218</c:v>
                </c:pt>
                <c:pt idx="167">
                  <c:v>1025.1234034288786</c:v>
                </c:pt>
                <c:pt idx="168">
                  <c:v>1025.1234034288786</c:v>
                </c:pt>
                <c:pt idx="169">
                  <c:v>1026.8575822074602</c:v>
                </c:pt>
                <c:pt idx="170">
                  <c:v>1026.8575822074602</c:v>
                </c:pt>
                <c:pt idx="171">
                  <c:v>1028.7323693160884</c:v>
                </c:pt>
                <c:pt idx="172">
                  <c:v>1028.7323693160884</c:v>
                </c:pt>
                <c:pt idx="173">
                  <c:v>1030.8193083841479</c:v>
                </c:pt>
                <c:pt idx="174">
                  <c:v>1030.8193083841479</c:v>
                </c:pt>
                <c:pt idx="175">
                  <c:v>1033.2361302142094</c:v>
                </c:pt>
                <c:pt idx="176">
                  <c:v>1033.2361302142094</c:v>
                </c:pt>
                <c:pt idx="177">
                  <c:v>1036.205978440941</c:v>
                </c:pt>
                <c:pt idx="178">
                  <c:v>1036.205978440941</c:v>
                </c:pt>
                <c:pt idx="179">
                  <c:v>1040.2594443807036</c:v>
                </c:pt>
                <c:pt idx="180">
                  <c:v>1040.2594443807036</c:v>
                </c:pt>
                <c:pt idx="181">
                  <c:v>1047.5435764902907</c:v>
                </c:pt>
                <c:pt idx="182">
                  <c:v>1047.5435764902907</c:v>
                </c:pt>
                <c:pt idx="183">
                  <c:v>1057.32564147213</c:v>
                </c:pt>
                <c:pt idx="184">
                  <c:v>1057.32564147213</c:v>
                </c:pt>
                <c:pt idx="185">
                  <c:v>1115.8350880081846</c:v>
                </c:pt>
                <c:pt idx="186">
                  <c:v>1115.8350880081846</c:v>
                </c:pt>
                <c:pt idx="187">
                  <c:v>1119.5526242384246</c:v>
                </c:pt>
                <c:pt idx="188">
                  <c:v>1119.5526242384246</c:v>
                </c:pt>
                <c:pt idx="189">
                  <c:v>1122.3208562092323</c:v>
                </c:pt>
                <c:pt idx="190">
                  <c:v>1122.3208562092323</c:v>
                </c:pt>
                <c:pt idx="191">
                  <c:v>1123.861318935363</c:v>
                </c:pt>
                <c:pt idx="192">
                  <c:v>1123.861318935363</c:v>
                </c:pt>
                <c:pt idx="193">
                  <c:v>1124.9899679886748</c:v>
                </c:pt>
                <c:pt idx="194">
                  <c:v>1124.9899679886748</c:v>
                </c:pt>
                <c:pt idx="195">
                  <c:v>1125.908447137195</c:v>
                </c:pt>
                <c:pt idx="196">
                  <c:v>1125.908447137195</c:v>
                </c:pt>
                <c:pt idx="197">
                  <c:v>1126.701558981189</c:v>
                </c:pt>
                <c:pt idx="198">
                  <c:v>1126.701558981189</c:v>
                </c:pt>
                <c:pt idx="199">
                  <c:v>1127.4140454565143</c:v>
                </c:pt>
                <c:pt idx="200">
                  <c:v>1127.4140454565143</c:v>
                </c:pt>
                <c:pt idx="201">
                  <c:v>1128.0730957133935</c:v>
                </c:pt>
                <c:pt idx="202">
                  <c:v>1128.0730957133935</c:v>
                </c:pt>
                <c:pt idx="203">
                  <c:v>1128.6971099563921</c:v>
                </c:pt>
                <c:pt idx="204">
                  <c:v>1128.6971099563921</c:v>
                </c:pt>
                <c:pt idx="205">
                  <c:v>1129.299788459758</c:v>
                </c:pt>
                <c:pt idx="206">
                  <c:v>1129.299788459758</c:v>
                </c:pt>
                <c:pt idx="207">
                  <c:v>1129.8923429850133</c:v>
                </c:pt>
                <c:pt idx="208">
                  <c:v>1129.8923429850133</c:v>
                </c:pt>
                <c:pt idx="209">
                  <c:v>1130.1377975304679</c:v>
                </c:pt>
                <c:pt idx="210">
                  <c:v>1130.1377975304679</c:v>
                </c:pt>
                <c:pt idx="211">
                  <c:v>1130.628706621377</c:v>
                </c:pt>
                <c:pt idx="212">
                  <c:v>1130.628706621377</c:v>
                </c:pt>
                <c:pt idx="213">
                  <c:v>1131.1196157122861</c:v>
                </c:pt>
                <c:pt idx="214">
                  <c:v>1131.1196157122861</c:v>
                </c:pt>
                <c:pt idx="215">
                  <c:v>1131.6105248031952</c:v>
                </c:pt>
                <c:pt idx="216">
                  <c:v>1131.6105248031952</c:v>
                </c:pt>
                <c:pt idx="217">
                  <c:v>1132.1014338941043</c:v>
                </c:pt>
                <c:pt idx="218">
                  <c:v>1132.1014338941043</c:v>
                </c:pt>
                <c:pt idx="219">
                  <c:v>1132.5923429850134</c:v>
                </c:pt>
                <c:pt idx="220">
                  <c:v>1132.5923429850134</c:v>
                </c:pt>
                <c:pt idx="221">
                  <c:v>1133.0832520759225</c:v>
                </c:pt>
                <c:pt idx="222">
                  <c:v>1133.0832520759225</c:v>
                </c:pt>
                <c:pt idx="223">
                  <c:v>1133.5741611668316</c:v>
                </c:pt>
                <c:pt idx="224">
                  <c:v>1133.5741611668316</c:v>
                </c:pt>
                <c:pt idx="225">
                  <c:v>1134.0650702577407</c:v>
                </c:pt>
                <c:pt idx="226">
                  <c:v>1134.0650702577407</c:v>
                </c:pt>
                <c:pt idx="227">
                  <c:v>1134.5559793486498</c:v>
                </c:pt>
                <c:pt idx="228">
                  <c:v>1134.5559793486498</c:v>
                </c:pt>
                <c:pt idx="229">
                  <c:v>1135.0468884395589</c:v>
                </c:pt>
                <c:pt idx="230">
                  <c:v>1135.0468884395589</c:v>
                </c:pt>
                <c:pt idx="231">
                  <c:v>1135.537797530468</c:v>
                </c:pt>
                <c:pt idx="232">
                  <c:v>1135.537797530468</c:v>
                </c:pt>
                <c:pt idx="233">
                  <c:v>1136.0287066213771</c:v>
                </c:pt>
                <c:pt idx="234">
                  <c:v>1136.0287066213771</c:v>
                </c:pt>
                <c:pt idx="235">
                  <c:v>1136.5196157122862</c:v>
                </c:pt>
                <c:pt idx="236">
                  <c:v>1136.5196157122862</c:v>
                </c:pt>
                <c:pt idx="237">
                  <c:v>1137.0105248031953</c:v>
                </c:pt>
                <c:pt idx="238">
                  <c:v>1137.0105248031953</c:v>
                </c:pt>
                <c:pt idx="239">
                  <c:v>1137.5014338941044</c:v>
                </c:pt>
                <c:pt idx="240">
                  <c:v>1137.5014338941044</c:v>
                </c:pt>
                <c:pt idx="241">
                  <c:v>1137.9923429850135</c:v>
                </c:pt>
                <c:pt idx="242">
                  <c:v>1137.9923429850135</c:v>
                </c:pt>
                <c:pt idx="243">
                  <c:v>1138.4832520759226</c:v>
                </c:pt>
                <c:pt idx="244">
                  <c:v>1138.4832520759226</c:v>
                </c:pt>
                <c:pt idx="245">
                  <c:v>1138.9741611668317</c:v>
                </c:pt>
                <c:pt idx="246">
                  <c:v>1138.9741611668317</c:v>
                </c:pt>
                <c:pt idx="247">
                  <c:v>1139.4650702577408</c:v>
                </c:pt>
                <c:pt idx="248">
                  <c:v>1139.4650702577408</c:v>
                </c:pt>
                <c:pt idx="249">
                  <c:v>1139.9559793486499</c:v>
                </c:pt>
                <c:pt idx="250">
                  <c:v>1139.9559793486499</c:v>
                </c:pt>
                <c:pt idx="251">
                  <c:v>1140.446888439559</c:v>
                </c:pt>
                <c:pt idx="252">
                  <c:v>1140.446888439559</c:v>
                </c:pt>
                <c:pt idx="253">
                  <c:v>1140.6923429850135</c:v>
                </c:pt>
                <c:pt idx="254">
                  <c:v>1140.6923429850135</c:v>
                </c:pt>
                <c:pt idx="255">
                  <c:v>1141.0468884395589</c:v>
                </c:pt>
                <c:pt idx="256">
                  <c:v>1141.0468884395589</c:v>
                </c:pt>
                <c:pt idx="257">
                  <c:v>1141.7559793486498</c:v>
                </c:pt>
                <c:pt idx="258">
                  <c:v>1141.7559793486498</c:v>
                </c:pt>
                <c:pt idx="259">
                  <c:v>1142.4650702577408</c:v>
                </c:pt>
                <c:pt idx="260">
                  <c:v>1142.4650702577408</c:v>
                </c:pt>
                <c:pt idx="261">
                  <c:v>1143.1741611668317</c:v>
                </c:pt>
                <c:pt idx="262">
                  <c:v>1143.1741611668317</c:v>
                </c:pt>
                <c:pt idx="263">
                  <c:v>1143.8832520759227</c:v>
                </c:pt>
                <c:pt idx="264">
                  <c:v>1143.8832520759227</c:v>
                </c:pt>
                <c:pt idx="265">
                  <c:v>1144.5923429850136</c:v>
                </c:pt>
                <c:pt idx="266">
                  <c:v>1144.5923429850136</c:v>
                </c:pt>
                <c:pt idx="267">
                  <c:v>1145.3014338941045</c:v>
                </c:pt>
                <c:pt idx="268">
                  <c:v>1145.3014338941045</c:v>
                </c:pt>
                <c:pt idx="269">
                  <c:v>1146.0105248031955</c:v>
                </c:pt>
                <c:pt idx="270">
                  <c:v>1146.0105248031955</c:v>
                </c:pt>
                <c:pt idx="271">
                  <c:v>1146.7196157122864</c:v>
                </c:pt>
                <c:pt idx="272">
                  <c:v>1146.7196157122864</c:v>
                </c:pt>
                <c:pt idx="273">
                  <c:v>1147.4287066213774</c:v>
                </c:pt>
                <c:pt idx="274">
                  <c:v>1147.4287066213774</c:v>
                </c:pt>
                <c:pt idx="275">
                  <c:v>1148.1377975304683</c:v>
                </c:pt>
                <c:pt idx="276">
                  <c:v>1148.1377975304683</c:v>
                </c:pt>
                <c:pt idx="277">
                  <c:v>1148.8468884395593</c:v>
                </c:pt>
                <c:pt idx="278">
                  <c:v>1148.8468884395593</c:v>
                </c:pt>
                <c:pt idx="279">
                  <c:v>1149.5559793486502</c:v>
                </c:pt>
                <c:pt idx="280">
                  <c:v>1149.5559793486502</c:v>
                </c:pt>
                <c:pt idx="281">
                  <c:v>1150.2650702577412</c:v>
                </c:pt>
                <c:pt idx="282">
                  <c:v>1150.2650702577412</c:v>
                </c:pt>
                <c:pt idx="283">
                  <c:v>1150.9741611668321</c:v>
                </c:pt>
                <c:pt idx="284">
                  <c:v>1150.9741611668321</c:v>
                </c:pt>
                <c:pt idx="285">
                  <c:v>1151.6832520759231</c:v>
                </c:pt>
                <c:pt idx="286">
                  <c:v>1151.6832520759231</c:v>
                </c:pt>
                <c:pt idx="287">
                  <c:v>1152.392342985014</c:v>
                </c:pt>
                <c:pt idx="288">
                  <c:v>1152.392342985014</c:v>
                </c:pt>
                <c:pt idx="289">
                  <c:v>1153.101433894105</c:v>
                </c:pt>
                <c:pt idx="290">
                  <c:v>1153.101433894105</c:v>
                </c:pt>
                <c:pt idx="291">
                  <c:v>1153.8105248031959</c:v>
                </c:pt>
                <c:pt idx="292">
                  <c:v>1153.8105248031959</c:v>
                </c:pt>
                <c:pt idx="293">
                  <c:v>1154.5196157122868</c:v>
                </c:pt>
                <c:pt idx="294">
                  <c:v>1154.5196157122868</c:v>
                </c:pt>
                <c:pt idx="295">
                  <c:v>1155.2287066213778</c:v>
                </c:pt>
                <c:pt idx="296">
                  <c:v>1155.2287066213778</c:v>
                </c:pt>
                <c:pt idx="297">
                  <c:v>1155.9377975304687</c:v>
                </c:pt>
                <c:pt idx="298">
                  <c:v>1155.9377975304687</c:v>
                </c:pt>
                <c:pt idx="299">
                  <c:v>1156.2923429850141</c:v>
                </c:pt>
                <c:pt idx="300">
                  <c:v>1156.2923429850141</c:v>
                </c:pt>
                <c:pt idx="301">
                  <c:v>1156.5666737837435</c:v>
                </c:pt>
                <c:pt idx="302">
                  <c:v>1156.5666737837435</c:v>
                </c:pt>
                <c:pt idx="303">
                  <c:v>1156.8456916093758</c:v>
                </c:pt>
                <c:pt idx="304">
                  <c:v>1156.8456916093758</c:v>
                </c:pt>
                <c:pt idx="305">
                  <c:v>1157.1345870922455</c:v>
                </c:pt>
                <c:pt idx="306">
                  <c:v>1157.1345870922455</c:v>
                </c:pt>
                <c:pt idx="307">
                  <c:v>1157.4397029519118</c:v>
                </c:pt>
                <c:pt idx="308">
                  <c:v>1157.4397029519118</c:v>
                </c:pt>
                <c:pt idx="309">
                  <c:v>1157.7695578015994</c:v>
                </c:pt>
                <c:pt idx="310">
                  <c:v>1157.7695578015994</c:v>
                </c:pt>
                <c:pt idx="311">
                  <c:v>1158.1367392108559</c:v>
                </c:pt>
                <c:pt idx="312">
                  <c:v>1158.1367392108559</c:v>
                </c:pt>
                <c:pt idx="313">
                  <c:v>1158.5619610388746</c:v>
                </c:pt>
                <c:pt idx="314">
                  <c:v>1158.5619610388746</c:v>
                </c:pt>
                <c:pt idx="315">
                  <c:v>1159.0844837487414</c:v>
                </c:pt>
                <c:pt idx="316">
                  <c:v>1159.0844837487414</c:v>
                </c:pt>
                <c:pt idx="317">
                  <c:v>1159.7976609367649</c:v>
                </c:pt>
                <c:pt idx="318">
                  <c:v>1159.7976609367649</c:v>
                </c:pt>
                <c:pt idx="319">
                  <c:v>1161.0792498121389</c:v>
                </c:pt>
                <c:pt idx="320">
                  <c:v>1161.0792498121389</c:v>
                </c:pt>
                <c:pt idx="321">
                  <c:v>1162.8003314002131</c:v>
                </c:pt>
                <c:pt idx="322">
                  <c:v>1162.8003314002131</c:v>
                </c:pt>
                <c:pt idx="323">
                  <c:v>1262.8003314002131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4.9313328989804203E-9</c:v>
                </c:pt>
                <c:pt idx="3">
                  <c:v>4.9313328989804203E-9</c:v>
                </c:pt>
                <c:pt idx="4">
                  <c:v>4.0620815313435623E-8</c:v>
                </c:pt>
                <c:pt idx="5">
                  <c:v>4.0620815313435623E-8</c:v>
                </c:pt>
                <c:pt idx="6">
                  <c:v>9.2251010632700465E-8</c:v>
                </c:pt>
                <c:pt idx="7">
                  <c:v>9.2251010632700465E-8</c:v>
                </c:pt>
                <c:pt idx="8">
                  <c:v>1.5067327773992062E-7</c:v>
                </c:pt>
                <c:pt idx="9">
                  <c:v>1.5067327773992062E-7</c:v>
                </c:pt>
                <c:pt idx="10">
                  <c:v>2.1232922814793706E-7</c:v>
                </c:pt>
                <c:pt idx="11">
                  <c:v>2.1232922814793706E-7</c:v>
                </c:pt>
                <c:pt idx="12">
                  <c:v>2.7558985985297093E-7</c:v>
                </c:pt>
                <c:pt idx="13">
                  <c:v>2.7558985985297093E-7</c:v>
                </c:pt>
                <c:pt idx="14">
                  <c:v>3.3964309654895601E-7</c:v>
                </c:pt>
                <c:pt idx="15">
                  <c:v>3.3964309654895601E-7</c:v>
                </c:pt>
                <c:pt idx="16">
                  <c:v>4.0406948523399135E-7</c:v>
                </c:pt>
                <c:pt idx="17">
                  <c:v>4.0406948523399135E-7</c:v>
                </c:pt>
                <c:pt idx="18">
                  <c:v>4.686540738169969E-7</c:v>
                </c:pt>
                <c:pt idx="19">
                  <c:v>4.686540738169969E-7</c:v>
                </c:pt>
                <c:pt idx="20">
                  <c:v>5.3329346228700308E-7</c:v>
                </c:pt>
                <c:pt idx="21">
                  <c:v>5.3329346228700308E-7</c:v>
                </c:pt>
                <c:pt idx="22">
                  <c:v>5.9794549604094515E-7</c:v>
                </c:pt>
                <c:pt idx="23">
                  <c:v>5.9794549604094515E-7</c:v>
                </c:pt>
                <c:pt idx="24">
                  <c:v>6.4450837817573693E-7</c:v>
                </c:pt>
                <c:pt idx="25">
                  <c:v>6.4450837817573693E-7</c:v>
                </c:pt>
                <c:pt idx="26">
                  <c:v>6.8710276218615764E-7</c:v>
                </c:pt>
                <c:pt idx="27">
                  <c:v>6.8710276218615764E-7</c:v>
                </c:pt>
                <c:pt idx="28">
                  <c:v>7.4320966381665839E-7</c:v>
                </c:pt>
                <c:pt idx="29">
                  <c:v>7.4320966381665839E-7</c:v>
                </c:pt>
                <c:pt idx="30">
                  <c:v>7.9789722575045712E-7</c:v>
                </c:pt>
                <c:pt idx="31">
                  <c:v>7.9789722575045712E-7</c:v>
                </c:pt>
                <c:pt idx="32">
                  <c:v>8.5052278227868062E-7</c:v>
                </c:pt>
                <c:pt idx="33">
                  <c:v>8.5052278227868062E-7</c:v>
                </c:pt>
                <c:pt idx="34">
                  <c:v>9.0051934581281205E-7</c:v>
                </c:pt>
                <c:pt idx="35">
                  <c:v>9.0051934581281205E-7</c:v>
                </c:pt>
                <c:pt idx="36">
                  <c:v>9.4741352912104299E-7</c:v>
                </c:pt>
                <c:pt idx="37">
                  <c:v>9.4741352912104299E-7</c:v>
                </c:pt>
                <c:pt idx="38">
                  <c:v>9.9083788820318193E-7</c:v>
                </c:pt>
                <c:pt idx="39">
                  <c:v>9.9083788820318193E-7</c:v>
                </c:pt>
                <c:pt idx="40">
                  <c:v>1.030537267751744E-6</c:v>
                </c:pt>
                <c:pt idx="41">
                  <c:v>1.030537267751744E-6</c:v>
                </c:pt>
                <c:pt idx="42">
                  <c:v>1.0663691845795553E-6</c:v>
                </c:pt>
                <c:pt idx="43">
                  <c:v>1.0663691845795553E-6</c:v>
                </c:pt>
                <c:pt idx="44">
                  <c:v>1.0982987080827881E-6</c:v>
                </c:pt>
                <c:pt idx="45">
                  <c:v>1.0982987080827881E-6</c:v>
                </c:pt>
                <c:pt idx="46">
                  <c:v>1.1263886472584312E-6</c:v>
                </c:pt>
                <c:pt idx="47">
                  <c:v>1.1263886472584312E-6</c:v>
                </c:pt>
                <c:pt idx="48">
                  <c:v>1.1507860521357776E-6</c:v>
                </c:pt>
                <c:pt idx="49">
                  <c:v>1.1507860521357776E-6</c:v>
                </c:pt>
                <c:pt idx="50">
                  <c:v>1.1717055715278346E-6</c:v>
                </c:pt>
                <c:pt idx="51">
                  <c:v>1.1717055715278346E-6</c:v>
                </c:pt>
                <c:pt idx="52">
                  <c:v>1.1894055494683403E-6</c:v>
                </c:pt>
                <c:pt idx="53">
                  <c:v>1.1894055494683403E-6</c:v>
                </c:pt>
                <c:pt idx="54">
                  <c:v>1.2041270089767643E-6</c:v>
                </c:pt>
                <c:pt idx="55">
                  <c:v>1.2041270089767643E-6</c:v>
                </c:pt>
                <c:pt idx="56">
                  <c:v>1.2158721669630618E-6</c:v>
                </c:pt>
                <c:pt idx="57">
                  <c:v>1.2158721669630618E-6</c:v>
                </c:pt>
                <c:pt idx="58">
                  <c:v>1.2237135837179255E-6</c:v>
                </c:pt>
                <c:pt idx="59">
                  <c:v>1.2237135837179255E-6</c:v>
                </c:pt>
                <c:pt idx="60">
                  <c:v>1.2243412376315042E-6</c:v>
                </c:pt>
                <c:pt idx="61">
                  <c:v>1.2243412376315042E-6</c:v>
                </c:pt>
                <c:pt idx="62">
                  <c:v>1.2106219821656223E-6</c:v>
                </c:pt>
                <c:pt idx="63">
                  <c:v>1.2106219821656223E-6</c:v>
                </c:pt>
                <c:pt idx="64">
                  <c:v>1.1730718052692887E-6</c:v>
                </c:pt>
                <c:pt idx="65">
                  <c:v>1.1730718052692887E-6</c:v>
                </c:pt>
                <c:pt idx="66">
                  <c:v>1.1067694108894883E-6</c:v>
                </c:pt>
                <c:pt idx="67">
                  <c:v>1.1067694108894883E-6</c:v>
                </c:pt>
                <c:pt idx="68">
                  <c:v>1.042375606182979E-6</c:v>
                </c:pt>
                <c:pt idx="69">
                  <c:v>1.042375606182979E-6</c:v>
                </c:pt>
                <c:pt idx="70">
                  <c:v>1.0162598464807413E-6</c:v>
                </c:pt>
                <c:pt idx="71">
                  <c:v>1.0162598464807413E-6</c:v>
                </c:pt>
                <c:pt idx="72">
                  <c:v>1.0017847686349771E-6</c:v>
                </c:pt>
                <c:pt idx="73">
                  <c:v>1.0017847686349771E-6</c:v>
                </c:pt>
                <c:pt idx="74">
                  <c:v>9.8266224576062699E-7</c:v>
                </c:pt>
                <c:pt idx="75">
                  <c:v>9.8266224576062699E-7</c:v>
                </c:pt>
                <c:pt idx="76">
                  <c:v>9.6394372735653703E-7</c:v>
                </c:pt>
                <c:pt idx="77">
                  <c:v>9.6394372735653703E-7</c:v>
                </c:pt>
                <c:pt idx="78">
                  <c:v>9.4583454570182859E-7</c:v>
                </c:pt>
                <c:pt idx="79">
                  <c:v>9.4583454570182859E-7</c:v>
                </c:pt>
                <c:pt idx="80">
                  <c:v>9.2851914310725795E-7</c:v>
                </c:pt>
                <c:pt idx="81">
                  <c:v>9.2851914310725795E-7</c:v>
                </c:pt>
                <c:pt idx="82">
                  <c:v>9.1215639493476145E-7</c:v>
                </c:pt>
                <c:pt idx="83">
                  <c:v>9.1215639493476145E-7</c:v>
                </c:pt>
                <c:pt idx="84">
                  <c:v>8.9687766421599268E-7</c:v>
                </c:pt>
                <c:pt idx="85">
                  <c:v>8.9687766421599268E-7</c:v>
                </c:pt>
                <c:pt idx="86">
                  <c:v>8.8278984246628543E-7</c:v>
                </c:pt>
                <c:pt idx="87">
                  <c:v>8.8278984246628543E-7</c:v>
                </c:pt>
                <c:pt idx="88">
                  <c:v>8.6998801079190979E-7</c:v>
                </c:pt>
                <c:pt idx="89">
                  <c:v>8.6998801079190979E-7</c:v>
                </c:pt>
                <c:pt idx="90">
                  <c:v>8.5858625533531253E-7</c:v>
                </c:pt>
                <c:pt idx="91">
                  <c:v>8.5858625533531253E-7</c:v>
                </c:pt>
                <c:pt idx="92">
                  <c:v>8.4877973661593907E-7</c:v>
                </c:pt>
                <c:pt idx="93">
                  <c:v>8.4877973661593907E-7</c:v>
                </c:pt>
                <c:pt idx="94">
                  <c:v>8.4095287973411661E-7</c:v>
                </c:pt>
                <c:pt idx="95">
                  <c:v>8.4095287973411661E-7</c:v>
                </c:pt>
                <c:pt idx="96">
                  <c:v>8.3584056921686955E-7</c:v>
                </c:pt>
                <c:pt idx="97">
                  <c:v>8.3584056921686955E-7</c:v>
                </c:pt>
                <c:pt idx="98">
                  <c:v>8.3472314568865772E-7</c:v>
                </c:pt>
                <c:pt idx="99">
                  <c:v>8.3472314568865772E-7</c:v>
                </c:pt>
                <c:pt idx="100">
                  <c:v>8.3958941149791804E-7</c:v>
                </c:pt>
                <c:pt idx="101">
                  <c:v>8.3958941149791804E-7</c:v>
                </c:pt>
                <c:pt idx="102">
                  <c:v>8.531493306541746E-7</c:v>
                </c:pt>
                <c:pt idx="103">
                  <c:v>8.531493306541746E-7</c:v>
                </c:pt>
                <c:pt idx="104">
                  <c:v>8.7855683988094515E-7</c:v>
                </c:pt>
                <c:pt idx="105">
                  <c:v>8.7855683988094515E-7</c:v>
                </c:pt>
                <c:pt idx="106">
                  <c:v>9.187597677107201E-7</c:v>
                </c:pt>
                <c:pt idx="107">
                  <c:v>9.187597677107201E-7</c:v>
                </c:pt>
                <c:pt idx="108">
                  <c:v>9.755478528108807E-7</c:v>
                </c:pt>
                <c:pt idx="109">
                  <c:v>9.755478528108807E-7</c:v>
                </c:pt>
                <c:pt idx="110">
                  <c:v>1.0485741690972883E-6</c:v>
                </c:pt>
                <c:pt idx="111">
                  <c:v>1.0485741690972883E-6</c:v>
                </c:pt>
                <c:pt idx="112">
                  <c:v>1.1347640873582316E-6</c:v>
                </c:pt>
                <c:pt idx="113">
                  <c:v>1.1347640873582316E-6</c:v>
                </c:pt>
                <c:pt idx="114">
                  <c:v>1.2047242182367034E-6</c:v>
                </c:pt>
                <c:pt idx="115">
                  <c:v>1.2047242182367034E-6</c:v>
                </c:pt>
                <c:pt idx="116">
                  <c:v>1.2442537323189147E-6</c:v>
                </c:pt>
                <c:pt idx="117">
                  <c:v>1.2442537323189147E-6</c:v>
                </c:pt>
                <c:pt idx="118">
                  <c:v>1.3038442671786804E-6</c:v>
                </c:pt>
                <c:pt idx="119">
                  <c:v>1.3038442671786804E-6</c:v>
                </c:pt>
                <c:pt idx="120">
                  <c:v>1.3793152049873117E-6</c:v>
                </c:pt>
                <c:pt idx="121">
                  <c:v>1.3793152049873117E-6</c:v>
                </c:pt>
                <c:pt idx="122">
                  <c:v>1.4470170375721256E-6</c:v>
                </c:pt>
                <c:pt idx="123">
                  <c:v>1.4470170375721256E-6</c:v>
                </c:pt>
                <c:pt idx="124">
                  <c:v>1.5045345598100863E-6</c:v>
                </c:pt>
                <c:pt idx="125">
                  <c:v>1.5045345598100863E-6</c:v>
                </c:pt>
                <c:pt idx="126">
                  <c:v>1.5508083830839444E-6</c:v>
                </c:pt>
                <c:pt idx="127">
                  <c:v>1.5508083830839444E-6</c:v>
                </c:pt>
                <c:pt idx="128">
                  <c:v>1.5860480031949348E-6</c:v>
                </c:pt>
                <c:pt idx="129">
                  <c:v>1.5860480031949348E-6</c:v>
                </c:pt>
                <c:pt idx="130">
                  <c:v>1.6114145181787821E-6</c:v>
                </c:pt>
                <c:pt idx="131">
                  <c:v>1.6114145181787821E-6</c:v>
                </c:pt>
                <c:pt idx="132">
                  <c:v>1.6285877823251024E-6</c:v>
                </c:pt>
                <c:pt idx="133">
                  <c:v>1.6285877823251024E-6</c:v>
                </c:pt>
                <c:pt idx="134">
                  <c:v>1.6393331434442056E-6</c:v>
                </c:pt>
                <c:pt idx="135">
                  <c:v>1.6393331434442056E-6</c:v>
                </c:pt>
                <c:pt idx="136">
                  <c:v>1.6451475623414965E-6</c:v>
                </c:pt>
                <c:pt idx="137">
                  <c:v>1.6451475623414965E-6</c:v>
                </c:pt>
                <c:pt idx="138">
                  <c:v>1.6470176677284539E-6</c:v>
                </c:pt>
                <c:pt idx="139">
                  <c:v>1.6470176677284539E-6</c:v>
                </c:pt>
                <c:pt idx="140">
                  <c:v>1.6452861424389397E-6</c:v>
                </c:pt>
                <c:pt idx="141">
                  <c:v>1.6452861424389397E-6</c:v>
                </c:pt>
                <c:pt idx="142">
                  <c:v>1.6396098611416398E-6</c:v>
                </c:pt>
                <c:pt idx="143">
                  <c:v>1.6396098611416398E-6</c:v>
                </c:pt>
                <c:pt idx="144">
                  <c:v>1.6290014617673472E-6</c:v>
                </c:pt>
                <c:pt idx="145">
                  <c:v>1.6290014617673472E-6</c:v>
                </c:pt>
                <c:pt idx="146">
                  <c:v>1.6119627134496105E-6</c:v>
                </c:pt>
                <c:pt idx="147">
                  <c:v>1.6119627134496105E-6</c:v>
                </c:pt>
                <c:pt idx="148">
                  <c:v>1.5867263173724207E-6</c:v>
                </c:pt>
                <c:pt idx="149">
                  <c:v>1.5867263173724207E-6</c:v>
                </c:pt>
                <c:pt idx="150">
                  <c:v>1.5516098111714223E-6</c:v>
                </c:pt>
                <c:pt idx="151">
                  <c:v>1.5516098111714223E-6</c:v>
                </c:pt>
                <c:pt idx="152">
                  <c:v>1.5054490790612082E-6</c:v>
                </c:pt>
                <c:pt idx="153">
                  <c:v>1.5054490790612082E-6</c:v>
                </c:pt>
                <c:pt idx="154">
                  <c:v>1.4480316782297961E-6</c:v>
                </c:pt>
                <c:pt idx="155">
                  <c:v>1.4480316782297961E-6</c:v>
                </c:pt>
                <c:pt idx="156">
                  <c:v>1.3804147669519883E-6</c:v>
                </c:pt>
                <c:pt idx="157">
                  <c:v>1.3804147669519883E-6</c:v>
                </c:pt>
                <c:pt idx="158">
                  <c:v>1.3050126981088851E-6</c:v>
                </c:pt>
                <c:pt idx="159">
                  <c:v>1.3050126981088851E-6</c:v>
                </c:pt>
                <c:pt idx="160">
                  <c:v>1.2454638089312951E-6</c:v>
                </c:pt>
                <c:pt idx="161">
                  <c:v>1.2454638089312951E-6</c:v>
                </c:pt>
                <c:pt idx="162">
                  <c:v>1.2032927946059202E-6</c:v>
                </c:pt>
                <c:pt idx="163">
                  <c:v>1.2032927946059202E-6</c:v>
                </c:pt>
                <c:pt idx="164">
                  <c:v>1.15910501104361E-6</c:v>
                </c:pt>
                <c:pt idx="165">
                  <c:v>1.15910501104361E-6</c:v>
                </c:pt>
                <c:pt idx="166">
                  <c:v>1.114924759298749E-6</c:v>
                </c:pt>
                <c:pt idx="167">
                  <c:v>1.114924759298749E-6</c:v>
                </c:pt>
                <c:pt idx="168">
                  <c:v>1.0707810786627729E-6</c:v>
                </c:pt>
                <c:pt idx="169">
                  <c:v>1.0707810786627729E-6</c:v>
                </c:pt>
                <c:pt idx="170">
                  <c:v>1.0267448731064137E-6</c:v>
                </c:pt>
                <c:pt idx="171">
                  <c:v>1.0267448731064137E-6</c:v>
                </c:pt>
                <c:pt idx="172">
                  <c:v>9.8296333572423142E-7</c:v>
                </c:pt>
                <c:pt idx="173">
                  <c:v>9.8296333572423142E-7</c:v>
                </c:pt>
                <c:pt idx="174">
                  <c:v>9.3972354910566509E-7</c:v>
                </c:pt>
                <c:pt idx="175">
                  <c:v>9.3972354910566509E-7</c:v>
                </c:pt>
                <c:pt idx="176">
                  <c:v>8.9758122104499349E-7</c:v>
                </c:pt>
                <c:pt idx="177">
                  <c:v>8.9758122104499349E-7</c:v>
                </c:pt>
                <c:pt idx="178">
                  <c:v>8.5765113842097903E-7</c:v>
                </c:pt>
                <c:pt idx="179">
                  <c:v>8.5765113842097903E-7</c:v>
                </c:pt>
                <c:pt idx="180">
                  <c:v>8.2236977235247878E-7</c:v>
                </c:pt>
                <c:pt idx="181">
                  <c:v>8.2236977235247878E-7</c:v>
                </c:pt>
                <c:pt idx="182">
                  <c:v>7.9799130110672998E-7</c:v>
                </c:pt>
                <c:pt idx="183">
                  <c:v>7.9799130110672998E-7</c:v>
                </c:pt>
                <c:pt idx="184">
                  <c:v>7.9467580246160922E-7</c:v>
                </c:pt>
                <c:pt idx="185">
                  <c:v>7.9467580246160922E-7</c:v>
                </c:pt>
                <c:pt idx="186">
                  <c:v>7.9510839834535819E-7</c:v>
                </c:pt>
                <c:pt idx="187">
                  <c:v>7.9510839834535819E-7</c:v>
                </c:pt>
                <c:pt idx="188">
                  <c:v>7.9809068064398899E-7</c:v>
                </c:pt>
                <c:pt idx="189">
                  <c:v>7.9809068064398899E-7</c:v>
                </c:pt>
                <c:pt idx="190">
                  <c:v>8.0240394756775301E-7</c:v>
                </c:pt>
                <c:pt idx="191">
                  <c:v>8.0240394756775301E-7</c:v>
                </c:pt>
                <c:pt idx="192">
                  <c:v>8.0728421483596011E-7</c:v>
                </c:pt>
                <c:pt idx="193">
                  <c:v>8.0728421483596011E-7</c:v>
                </c:pt>
                <c:pt idx="194">
                  <c:v>8.1243446439933921E-7</c:v>
                </c:pt>
                <c:pt idx="195">
                  <c:v>8.1243446439933921E-7</c:v>
                </c:pt>
                <c:pt idx="196">
                  <c:v>8.1771868650429868E-7</c:v>
                </c:pt>
                <c:pt idx="197">
                  <c:v>8.1771868650429868E-7</c:v>
                </c:pt>
                <c:pt idx="198">
                  <c:v>8.2306907547826832E-7</c:v>
                </c:pt>
                <c:pt idx="199">
                  <c:v>8.2306907547826832E-7</c:v>
                </c:pt>
                <c:pt idx="200">
                  <c:v>8.284506089663807E-7</c:v>
                </c:pt>
                <c:pt idx="201">
                  <c:v>8.284506089663807E-7</c:v>
                </c:pt>
                <c:pt idx="202">
                  <c:v>8.3384534083721436E-7</c:v>
                </c:pt>
                <c:pt idx="203">
                  <c:v>8.3384534083721436E-7</c:v>
                </c:pt>
                <c:pt idx="204">
                  <c:v>8.3924463995592643E-7</c:v>
                </c:pt>
                <c:pt idx="205">
                  <c:v>8.3924463995592643E-7</c:v>
                </c:pt>
                <c:pt idx="206">
                  <c:v>8.4464498942138181E-7</c:v>
                </c:pt>
                <c:pt idx="207">
                  <c:v>8.4464498942138181E-7</c:v>
                </c:pt>
                <c:pt idx="208">
                  <c:v>8.7137328615240188E-7</c:v>
                </c:pt>
                <c:pt idx="209">
                  <c:v>8.7137328615240188E-7</c:v>
                </c:pt>
                <c:pt idx="210">
                  <c:v>8.8012149589645276E-7</c:v>
                </c:pt>
                <c:pt idx="211">
                  <c:v>8.8012149589645276E-7</c:v>
                </c:pt>
                <c:pt idx="212">
                  <c:v>8.9342000917771233E-7</c:v>
                </c:pt>
                <c:pt idx="213">
                  <c:v>8.9342000917771233E-7</c:v>
                </c:pt>
                <c:pt idx="214">
                  <c:v>9.0889759609518645E-7</c:v>
                </c:pt>
                <c:pt idx="215">
                  <c:v>9.0889759609518645E-7</c:v>
                </c:pt>
                <c:pt idx="216">
                  <c:v>9.2693520235352601E-7</c:v>
                </c:pt>
                <c:pt idx="217">
                  <c:v>9.2693520235352601E-7</c:v>
                </c:pt>
                <c:pt idx="218">
                  <c:v>9.4795320745453667E-7</c:v>
                </c:pt>
                <c:pt idx="219">
                  <c:v>9.4795320745453667E-7</c:v>
                </c:pt>
                <c:pt idx="220">
                  <c:v>9.7240322754448967E-7</c:v>
                </c:pt>
                <c:pt idx="221">
                  <c:v>9.7240322754448967E-7</c:v>
                </c:pt>
                <c:pt idx="222">
                  <c:v>1.0007561856963286E-6</c:v>
                </c:pt>
                <c:pt idx="223">
                  <c:v>1.0007561856963286E-6</c:v>
                </c:pt>
                <c:pt idx="224">
                  <c:v>1.0334866702466764E-6</c:v>
                </c:pt>
                <c:pt idx="225">
                  <c:v>1.0334866702466764E-6</c:v>
                </c:pt>
                <c:pt idx="226">
                  <c:v>1.0710538879537173E-6</c:v>
                </c:pt>
                <c:pt idx="227">
                  <c:v>1.0710538879537173E-6</c:v>
                </c:pt>
                <c:pt idx="228">
                  <c:v>1.1138798308252055E-6</c:v>
                </c:pt>
                <c:pt idx="229">
                  <c:v>1.1138798308252055E-6</c:v>
                </c:pt>
                <c:pt idx="230">
                  <c:v>1.1623255882575475E-6</c:v>
                </c:pt>
                <c:pt idx="231">
                  <c:v>1.1623255882575475E-6</c:v>
                </c:pt>
                <c:pt idx="232">
                  <c:v>1.2166670200102869E-6</c:v>
                </c:pt>
                <c:pt idx="233">
                  <c:v>1.2166670200102869E-6</c:v>
                </c:pt>
                <c:pt idx="234">
                  <c:v>1.2770712292155495E-6</c:v>
                </c:pt>
                <c:pt idx="235">
                  <c:v>1.2770712292155495E-6</c:v>
                </c:pt>
                <c:pt idx="236">
                  <c:v>1.3435754084930637E-6</c:v>
                </c:pt>
                <c:pt idx="237">
                  <c:v>1.3435754084930637E-6</c:v>
                </c:pt>
                <c:pt idx="238">
                  <c:v>1.4160696521265886E-6</c:v>
                </c:pt>
                <c:pt idx="239">
                  <c:v>1.4160696521265886E-6</c:v>
                </c:pt>
                <c:pt idx="240">
                  <c:v>1.494285217954214E-6</c:v>
                </c:pt>
                <c:pt idx="241">
                  <c:v>1.494285217954214E-6</c:v>
                </c:pt>
                <c:pt idx="242">
                  <c:v>1.5777894808055625E-6</c:v>
                </c:pt>
                <c:pt idx="243">
                  <c:v>1.5777894808055625E-6</c:v>
                </c:pt>
                <c:pt idx="244">
                  <c:v>1.6659884552627932E-6</c:v>
                </c:pt>
                <c:pt idx="245">
                  <c:v>1.6659884552627932E-6</c:v>
                </c:pt>
                <c:pt idx="246">
                  <c:v>1.7581373032977662E-6</c:v>
                </c:pt>
                <c:pt idx="247">
                  <c:v>1.7581373032977662E-6</c:v>
                </c:pt>
                <c:pt idx="248">
                  <c:v>1.8533587182406415E-6</c:v>
                </c:pt>
                <c:pt idx="249">
                  <c:v>1.8533587182406415E-6</c:v>
                </c:pt>
                <c:pt idx="250">
                  <c:v>1.9506685358349006E-6</c:v>
                </c:pt>
                <c:pt idx="251">
                  <c:v>1.9506685358349006E-6</c:v>
                </c:pt>
                <c:pt idx="252">
                  <c:v>2.0243859793178907E-6</c:v>
                </c:pt>
                <c:pt idx="253">
                  <c:v>2.0243859793178907E-6</c:v>
                </c:pt>
                <c:pt idx="254">
                  <c:v>2.0854383396729069E-6</c:v>
                </c:pt>
                <c:pt idx="255">
                  <c:v>2.0854383396729069E-6</c:v>
                </c:pt>
                <c:pt idx="256">
                  <c:v>2.191274855025782E-6</c:v>
                </c:pt>
                <c:pt idx="257">
                  <c:v>2.191274855025782E-6</c:v>
                </c:pt>
                <c:pt idx="258">
                  <c:v>2.3292357299318319E-6</c:v>
                </c:pt>
                <c:pt idx="259">
                  <c:v>2.3292357299318319E-6</c:v>
                </c:pt>
                <c:pt idx="260">
                  <c:v>2.46076982357098E-6</c:v>
                </c:pt>
                <c:pt idx="261">
                  <c:v>2.46076982357098E-6</c:v>
                </c:pt>
                <c:pt idx="262">
                  <c:v>2.5832203345857919E-6</c:v>
                </c:pt>
                <c:pt idx="263">
                  <c:v>2.5832203345857919E-6</c:v>
                </c:pt>
                <c:pt idx="264">
                  <c:v>2.694527418529598E-6</c:v>
                </c:pt>
                <c:pt idx="265">
                  <c:v>2.694527418529598E-6</c:v>
                </c:pt>
                <c:pt idx="266">
                  <c:v>2.7933202536467665E-6</c:v>
                </c:pt>
                <c:pt idx="267">
                  <c:v>2.7933202536467665E-6</c:v>
                </c:pt>
                <c:pt idx="268">
                  <c:v>2.8789388657415074E-6</c:v>
                </c:pt>
                <c:pt idx="269">
                  <c:v>2.8789388657415074E-6</c:v>
                </c:pt>
                <c:pt idx="270">
                  <c:v>2.9513902024218788E-6</c:v>
                </c:pt>
                <c:pt idx="271">
                  <c:v>2.9513902024218788E-6</c:v>
                </c:pt>
                <c:pt idx="272">
                  <c:v>3.0112498961795437E-6</c:v>
                </c:pt>
                <c:pt idx="273">
                  <c:v>3.0112498961795437E-6</c:v>
                </c:pt>
                <c:pt idx="274">
                  <c:v>3.05952321670441E-6</c:v>
                </c:pt>
                <c:pt idx="275">
                  <c:v>3.05952321670441E-6</c:v>
                </c:pt>
                <c:pt idx="276">
                  <c:v>3.0974726383744814E-6</c:v>
                </c:pt>
                <c:pt idx="277">
                  <c:v>3.0974726383744814E-6</c:v>
                </c:pt>
                <c:pt idx="278">
                  <c:v>3.1264020996727152E-6</c:v>
                </c:pt>
                <c:pt idx="279">
                  <c:v>3.1264020996727152E-6</c:v>
                </c:pt>
                <c:pt idx="280">
                  <c:v>3.147361264467086E-6</c:v>
                </c:pt>
                <c:pt idx="281">
                  <c:v>3.147361264467086E-6</c:v>
                </c:pt>
                <c:pt idx="282">
                  <c:v>3.1607150787407878E-6</c:v>
                </c:pt>
                <c:pt idx="283">
                  <c:v>3.1607150787407878E-6</c:v>
                </c:pt>
                <c:pt idx="284">
                  <c:v>3.1655596672769194E-6</c:v>
                </c:pt>
                <c:pt idx="285">
                  <c:v>3.1655596672769194E-6</c:v>
                </c:pt>
                <c:pt idx="286">
                  <c:v>3.159111088550914E-6</c:v>
                </c:pt>
                <c:pt idx="287">
                  <c:v>3.159111088550914E-6</c:v>
                </c:pt>
                <c:pt idx="288">
                  <c:v>3.1364448921633295E-6</c:v>
                </c:pt>
                <c:pt idx="289">
                  <c:v>3.1364448921633295E-6</c:v>
                </c:pt>
                <c:pt idx="290">
                  <c:v>3.0911615963209122E-6</c:v>
                </c:pt>
                <c:pt idx="291">
                  <c:v>3.0911615963209122E-6</c:v>
                </c:pt>
                <c:pt idx="292">
                  <c:v>3.0173897981178038E-6</c:v>
                </c:pt>
                <c:pt idx="293">
                  <c:v>3.0173897981178038E-6</c:v>
                </c:pt>
                <c:pt idx="294">
                  <c:v>2.9128157650509755E-6</c:v>
                </c:pt>
                <c:pt idx="295">
                  <c:v>2.9128157650509755E-6</c:v>
                </c:pt>
                <c:pt idx="296">
                  <c:v>2.7814302861147642E-6</c:v>
                </c:pt>
                <c:pt idx="297">
                  <c:v>2.7814302861147642E-6</c:v>
                </c:pt>
                <c:pt idx="298">
                  <c:v>2.6716898235778465E-6</c:v>
                </c:pt>
                <c:pt idx="299">
                  <c:v>2.6716898235778465E-6</c:v>
                </c:pt>
                <c:pt idx="300">
                  <c:v>2.6060210967765958E-6</c:v>
                </c:pt>
                <c:pt idx="301">
                  <c:v>2.6060210967765958E-6</c:v>
                </c:pt>
                <c:pt idx="302">
                  <c:v>2.5480645534610615E-6</c:v>
                </c:pt>
                <c:pt idx="303">
                  <c:v>2.5480645534610615E-6</c:v>
                </c:pt>
                <c:pt idx="304">
                  <c:v>2.4901193458592496E-6</c:v>
                </c:pt>
                <c:pt idx="305">
                  <c:v>2.4901193458592496E-6</c:v>
                </c:pt>
                <c:pt idx="306">
                  <c:v>2.4322232629614909E-6</c:v>
                </c:pt>
                <c:pt idx="307">
                  <c:v>2.4322232629614909E-6</c:v>
                </c:pt>
                <c:pt idx="308">
                  <c:v>2.3744689964723878E-6</c:v>
                </c:pt>
                <c:pt idx="309">
                  <c:v>2.3744689964723878E-6</c:v>
                </c:pt>
                <c:pt idx="310">
                  <c:v>2.3170492376261371E-6</c:v>
                </c:pt>
                <c:pt idx="311">
                  <c:v>2.3170492376261371E-6</c:v>
                </c:pt>
                <c:pt idx="312">
                  <c:v>2.260340000055443E-6</c:v>
                </c:pt>
                <c:pt idx="313">
                  <c:v>2.260340000055443E-6</c:v>
                </c:pt>
                <c:pt idx="314">
                  <c:v>2.2050692598636893E-6</c:v>
                </c:pt>
                <c:pt idx="315">
                  <c:v>2.2050692598636893E-6</c:v>
                </c:pt>
                <c:pt idx="316">
                  <c:v>2.1526973164368536E-6</c:v>
                </c:pt>
                <c:pt idx="317">
                  <c:v>2.1526973164368536E-6</c:v>
                </c:pt>
                <c:pt idx="318">
                  <c:v>2.1064140446251916E-6</c:v>
                </c:pt>
                <c:pt idx="319">
                  <c:v>2.1064140446251916E-6</c:v>
                </c:pt>
                <c:pt idx="320">
                  <c:v>2.0744206344668262E-6</c:v>
                </c:pt>
                <c:pt idx="321">
                  <c:v>2.0744206344668262E-6</c:v>
                </c:pt>
                <c:pt idx="322">
                  <c:v>2.0700000000000001E-6</c:v>
                </c:pt>
                <c:pt idx="323">
                  <c:v>2.0700000000000001E-6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4-43A8-9A46-6372932E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9664"/>
        <c:axId val="217897984"/>
      </c:scatterChart>
      <c:valAx>
        <c:axId val="21724966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17897984"/>
        <c:crosses val="autoZero"/>
        <c:crossBetween val="midCat"/>
      </c:valAx>
      <c:valAx>
        <c:axId val="21789798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217249664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1.69005895909E-2</c:v>
                </c:pt>
                <c:pt idx="1">
                  <c:v>1.7238601382699999E-2</c:v>
                </c:pt>
                <c:pt idx="2">
                  <c:v>1.7583373410300002E-2</c:v>
                </c:pt>
                <c:pt idx="3">
                  <c:v>1.7935040878500001E-2</c:v>
                </c:pt>
                <c:pt idx="4">
                  <c:v>1.8293741696099999E-2</c:v>
                </c:pt>
                <c:pt idx="5">
                  <c:v>1.8659616529999999E-2</c:v>
                </c:pt>
                <c:pt idx="6">
                  <c:v>1.9032808860599999E-2</c:v>
                </c:pt>
                <c:pt idx="7">
                  <c:v>1.94134650379E-2</c:v>
                </c:pt>
                <c:pt idx="8">
                  <c:v>1.98017343386E-2</c:v>
                </c:pt>
                <c:pt idx="9">
                  <c:v>2.0197769025399999E-2</c:v>
                </c:pt>
                <c:pt idx="10">
                  <c:v>2.0601724405899999E-2</c:v>
                </c:pt>
                <c:pt idx="11">
                  <c:v>2.1013758893999999E-2</c:v>
                </c:pt>
                <c:pt idx="12">
                  <c:v>2.1434034071900001E-2</c:v>
                </c:pt>
                <c:pt idx="13">
                  <c:v>2.1862714753300001E-2</c:v>
                </c:pt>
                <c:pt idx="14">
                  <c:v>2.2299969048399999E-2</c:v>
                </c:pt>
                <c:pt idx="15">
                  <c:v>2.27459684294E-2</c:v>
                </c:pt>
                <c:pt idx="16">
                  <c:v>2.3200887797899999E-2</c:v>
                </c:pt>
                <c:pt idx="17">
                  <c:v>2.3664905553899999E-2</c:v>
                </c:pt>
                <c:pt idx="18">
                  <c:v>2.4138203665E-2</c:v>
                </c:pt>
                <c:pt idx="19">
                  <c:v>2.4620967738300002E-2</c:v>
                </c:pt>
                <c:pt idx="20">
                  <c:v>2.5113387093100001E-2</c:v>
                </c:pt>
                <c:pt idx="21">
                  <c:v>2.5615654834900001E-2</c:v>
                </c:pt>
                <c:pt idx="22">
                  <c:v>2.61279679316E-2</c:v>
                </c:pt>
                <c:pt idx="23">
                  <c:v>2.66505272902E-2</c:v>
                </c:pt>
                <c:pt idx="24">
                  <c:v>2.7183537835999999E-2</c:v>
                </c:pt>
                <c:pt idx="25">
                  <c:v>2.77272085928E-2</c:v>
                </c:pt>
                <c:pt idx="26">
                  <c:v>2.8281752764600002E-2</c:v>
                </c:pt>
                <c:pt idx="27">
                  <c:v>2.8847387819900001E-2</c:v>
                </c:pt>
                <c:pt idx="28">
                  <c:v>2.94243355763E-2</c:v>
                </c:pt>
                <c:pt idx="29">
                  <c:v>3.0012822287800001E-2</c:v>
                </c:pt>
                <c:pt idx="30">
                  <c:v>3.0613078733599999E-2</c:v>
                </c:pt>
                <c:pt idx="31">
                  <c:v>3.1225340308300001E-2</c:v>
                </c:pt>
                <c:pt idx="32">
                  <c:v>3.1849847114399997E-2</c:v>
                </c:pt>
                <c:pt idx="33">
                  <c:v>3.24868440567E-2</c:v>
                </c:pt>
                <c:pt idx="34">
                  <c:v>3.31365809379E-2</c:v>
                </c:pt>
                <c:pt idx="35">
                  <c:v>3.37993125566E-2</c:v>
                </c:pt>
                <c:pt idx="36">
                  <c:v>3.4475298807699999E-2</c:v>
                </c:pt>
                <c:pt idx="37">
                  <c:v>3.5164804783900001E-2</c:v>
                </c:pt>
                <c:pt idx="38">
                  <c:v>3.5868100879599997E-2</c:v>
                </c:pt>
                <c:pt idx="39">
                  <c:v>3.6585462897200001E-2</c:v>
                </c:pt>
                <c:pt idx="40">
                  <c:v>3.7317172155099998E-2</c:v>
                </c:pt>
                <c:pt idx="41">
                  <c:v>3.8063515598200003E-2</c:v>
                </c:pt>
                <c:pt idx="42">
                  <c:v>3.8824785910199999E-2</c:v>
                </c:pt>
                <c:pt idx="43">
                  <c:v>3.9601281628400001E-2</c:v>
                </c:pt>
                <c:pt idx="44">
                  <c:v>4.0393307261000003E-2</c:v>
                </c:pt>
                <c:pt idx="45">
                  <c:v>4.1201173406199998E-2</c:v>
                </c:pt>
                <c:pt idx="46">
                  <c:v>4.2025196874300001E-2</c:v>
                </c:pt>
                <c:pt idx="47">
                  <c:v>4.2865700811800002E-2</c:v>
                </c:pt>
                <c:pt idx="48">
                  <c:v>4.3723014827999999E-2</c:v>
                </c:pt>
                <c:pt idx="49">
                  <c:v>4.4597475124600001E-2</c:v>
                </c:pt>
                <c:pt idx="50">
                  <c:v>4.5489424627099997E-2</c:v>
                </c:pt>
                <c:pt idx="51">
                  <c:v>4.6399213119599998E-2</c:v>
                </c:pt>
                <c:pt idx="52">
                  <c:v>4.7327197382000002E-2</c:v>
                </c:pt>
                <c:pt idx="53">
                  <c:v>4.8273741329600002E-2</c:v>
                </c:pt>
                <c:pt idx="54">
                  <c:v>4.92392161562E-2</c:v>
                </c:pt>
                <c:pt idx="55">
                  <c:v>5.0224000479399997E-2</c:v>
                </c:pt>
                <c:pt idx="56">
                  <c:v>5.1228480489E-2</c:v>
                </c:pt>
                <c:pt idx="57">
                  <c:v>5.2253050098700002E-2</c:v>
                </c:pt>
                <c:pt idx="58">
                  <c:v>5.3298111100699999E-2</c:v>
                </c:pt>
                <c:pt idx="59">
                  <c:v>5.4364073322699998E-2</c:v>
                </c:pt>
                <c:pt idx="60">
                  <c:v>5.5451354789199998E-2</c:v>
                </c:pt>
                <c:pt idx="61">
                  <c:v>5.6560381884999997E-2</c:v>
                </c:pt>
                <c:pt idx="62">
                  <c:v>5.7691589522700003E-2</c:v>
                </c:pt>
                <c:pt idx="63">
                  <c:v>5.8845421313099999E-2</c:v>
                </c:pt>
                <c:pt idx="64">
                  <c:v>6.0022329739399999E-2</c:v>
                </c:pt>
                <c:pt idx="65">
                  <c:v>6.1222776334200001E-2</c:v>
                </c:pt>
                <c:pt idx="66">
                  <c:v>6.24472318608E-2</c:v>
                </c:pt>
                <c:pt idx="67">
                  <c:v>6.3696176498099999E-2</c:v>
                </c:pt>
                <c:pt idx="68">
                  <c:v>6.4970100027999994E-2</c:v>
                </c:pt>
                <c:pt idx="69">
                  <c:v>6.6269502028600005E-2</c:v>
                </c:pt>
                <c:pt idx="70">
                  <c:v>6.7594892069199997E-2</c:v>
                </c:pt>
                <c:pt idx="71">
                  <c:v>6.8946789910500003E-2</c:v>
                </c:pt>
                <c:pt idx="72">
                  <c:v>7.0325725708699993E-2</c:v>
                </c:pt>
                <c:pt idx="73">
                  <c:v>7.1732240222900007E-2</c:v>
                </c:pt>
                <c:pt idx="74">
                  <c:v>7.31668850274E-2</c:v>
                </c:pt>
                <c:pt idx="75">
                  <c:v>7.46302227279E-2</c:v>
                </c:pt>
                <c:pt idx="76">
                  <c:v>7.6122827182500005E-2</c:v>
                </c:pt>
                <c:pt idx="77">
                  <c:v>7.7645283726099995E-2</c:v>
                </c:pt>
                <c:pt idx="78">
                  <c:v>7.9198189400700003E-2</c:v>
                </c:pt>
                <c:pt idx="79">
                  <c:v>8.0782153188699996E-2</c:v>
                </c:pt>
                <c:pt idx="80">
                  <c:v>8.2397796252399999E-2</c:v>
                </c:pt>
                <c:pt idx="81">
                  <c:v>8.4045752177500002E-2</c:v>
                </c:pt>
                <c:pt idx="82">
                  <c:v>8.5726667221000002E-2</c:v>
                </c:pt>
                <c:pt idx="83">
                  <c:v>8.7441200565500005E-2</c:v>
                </c:pt>
                <c:pt idx="84">
                  <c:v>8.9190024576800003E-2</c:v>
                </c:pt>
                <c:pt idx="85">
                  <c:v>9.0973825068299999E-2</c:v>
                </c:pt>
                <c:pt idx="86">
                  <c:v>9.2793301569700004E-2</c:v>
                </c:pt>
                <c:pt idx="87">
                  <c:v>9.4649167601099995E-2</c:v>
                </c:pt>
                <c:pt idx="88">
                  <c:v>9.6542150953099995E-2</c:v>
                </c:pt>
                <c:pt idx="89">
                  <c:v>9.8472993972199996E-2</c:v>
                </c:pt>
                <c:pt idx="90">
                  <c:v>0.100442453852</c:v>
                </c:pt>
                <c:pt idx="91">
                  <c:v>0.102451302929</c:v>
                </c:pt>
                <c:pt idx="92">
                  <c:v>0.104500328987</c:v>
                </c:pt>
                <c:pt idx="93">
                  <c:v>0.106590335567</c:v>
                </c:pt>
                <c:pt idx="94">
                  <c:v>0.10872214227800001</c:v>
                </c:pt>
                <c:pt idx="95">
                  <c:v>0.110896585124</c:v>
                </c:pt>
                <c:pt idx="96">
                  <c:v>0.113114516826</c:v>
                </c:pt>
                <c:pt idx="97">
                  <c:v>0.115376807163</c:v>
                </c:pt>
                <c:pt idx="98">
                  <c:v>0.117684343306</c:v>
                </c:pt>
                <c:pt idx="99">
                  <c:v>0.120038030172</c:v>
                </c:pt>
                <c:pt idx="100">
                  <c:v>0.12243879077600001</c:v>
                </c:pt>
                <c:pt idx="101">
                  <c:v>0.124887566591</c:v>
                </c:pt>
                <c:pt idx="102">
                  <c:v>0.12738531792300001</c:v>
                </c:pt>
                <c:pt idx="103">
                  <c:v>0.12993302428100001</c:v>
                </c:pt>
                <c:pt idx="104">
                  <c:v>0.132531684767</c:v>
                </c:pt>
                <c:pt idx="105">
                  <c:v>0.13518231846199999</c:v>
                </c:pt>
                <c:pt idx="106">
                  <c:v>0.137885964832</c:v>
                </c:pt>
                <c:pt idx="107">
                  <c:v>0.14064368412799999</c:v>
                </c:pt>
                <c:pt idx="108">
                  <c:v>0.143456557811</c:v>
                </c:pt>
                <c:pt idx="109">
                  <c:v>0.14632568896699999</c:v>
                </c:pt>
                <c:pt idx="110">
                  <c:v>0.14925220274600001</c:v>
                </c:pt>
                <c:pt idx="111">
                  <c:v>0.15223724680100001</c:v>
                </c:pt>
                <c:pt idx="112">
                  <c:v>0.155281991737</c:v>
                </c:pt>
                <c:pt idx="113">
                  <c:v>0.158387631572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3.368919005509573E-3</c:v>
                </c:pt>
                <c:pt idx="1">
                  <c:v>2.9250319944921031E-3</c:v>
                </c:pt>
                <c:pt idx="2">
                  <c:v>2.5775334195488543E-3</c:v>
                </c:pt>
                <c:pt idx="3">
                  <c:v>2.3060218781484785E-3</c:v>
                </c:pt>
                <c:pt idx="4">
                  <c:v>2.0927856115547728E-3</c:v>
                </c:pt>
                <c:pt idx="5">
                  <c:v>1.9228990628928993E-3</c:v>
                </c:pt>
                <c:pt idx="6">
                  <c:v>1.7848035810960517E-3</c:v>
                </c:pt>
                <c:pt idx="7">
                  <c:v>1.6699498308296306E-3</c:v>
                </c:pt>
                <c:pt idx="8">
                  <c:v>1.5723898359910199E-3</c:v>
                </c:pt>
                <c:pt idx="9">
                  <c:v>1.4883369499238445E-3</c:v>
                </c:pt>
                <c:pt idx="10">
                  <c:v>1.4157103262052398E-3</c:v>
                </c:pt>
                <c:pt idx="11">
                  <c:v>1.3536794546338425E-3</c:v>
                </c:pt>
                <c:pt idx="12">
                  <c:v>1.30222414977507E-3</c:v>
                </c:pt>
                <c:pt idx="13">
                  <c:v>1.2617258332014028E-3</c:v>
                </c:pt>
                <c:pt idx="14">
                  <c:v>1.2326065621375308E-3</c:v>
                </c:pt>
                <c:pt idx="15">
                  <c:v>1.2150323383043661E-3</c:v>
                </c:pt>
                <c:pt idx="16">
                  <c:v>1.2086960175015816E-3</c:v>
                </c:pt>
                <c:pt idx="17">
                  <c:v>1.212691968899572E-3</c:v>
                </c:pt>
                <c:pt idx="18">
                  <c:v>1.2254891145151031E-3</c:v>
                </c:pt>
                <c:pt idx="19">
                  <c:v>1.245001158973535E-3</c:v>
                </c:pt>
                <c:pt idx="20">
                  <c:v>1.2687432570190277E-3</c:v>
                </c:pt>
                <c:pt idx="21">
                  <c:v>1.2940541271522566E-3</c:v>
                </c:pt>
                <c:pt idx="22">
                  <c:v>1.3183531706985861E-3</c:v>
                </c:pt>
                <c:pt idx="23">
                  <c:v>1.3393951761813752E-3</c:v>
                </c:pt>
                <c:pt idx="24">
                  <c:v>1.3554823445605705E-3</c:v>
                </c:pt>
                <c:pt idx="25">
                  <c:v>1.3655960651160828E-3</c:v>
                </c:pt>
                <c:pt idx="26">
                  <c:v>1.3694200054604904E-3</c:v>
                </c:pt>
                <c:pt idx="27">
                  <c:v>1.3672417825672857E-3</c:v>
                </c:pt>
                <c:pt idx="28">
                  <c:v>1.3597418065917914E-3</c:v>
                </c:pt>
                <c:pt idx="29">
                  <c:v>1.3477024518565894E-3</c:v>
                </c:pt>
                <c:pt idx="30">
                  <c:v>1.3316943861115193E-3</c:v>
                </c:pt>
                <c:pt idx="31">
                  <c:v>1.311813807856997E-3</c:v>
                </c:pt>
                <c:pt idx="32">
                  <c:v>1.2875475317193519E-3</c:v>
                </c:pt>
                <c:pt idx="33">
                  <c:v>1.2578259308995763E-3</c:v>
                </c:pt>
                <c:pt idx="34">
                  <c:v>1.2212836596750905E-3</c:v>
                </c:pt>
                <c:pt idx="35">
                  <c:v>1.1766885319447059E-3</c:v>
                </c:pt>
                <c:pt idx="36">
                  <c:v>1.1234329606073369E-3</c:v>
                </c:pt>
                <c:pt idx="37">
                  <c:v>1.061932182850887E-3</c:v>
                </c:pt>
                <c:pt idx="38">
                  <c:v>9.9376557835984848E-4</c:v>
                </c:pt>
                <c:pt idx="39">
                  <c:v>9.214521244820486E-4</c:v>
                </c:pt>
                <c:pt idx="40">
                  <c:v>8.4786918825276896E-4</c:v>
                </c:pt>
                <c:pt idx="41">
                  <c:v>7.7547565479168623E-4</c:v>
                </c:pt>
                <c:pt idx="42">
                  <c:v>7.0562566731161849E-4</c:v>
                </c:pt>
                <c:pt idx="43">
                  <c:v>6.382856539905317E-4</c:v>
                </c:pt>
                <c:pt idx="44">
                  <c:v>5.7234604591551341E-4</c:v>
                </c:pt>
                <c:pt idx="45">
                  <c:v>5.064649826843371E-4</c:v>
                </c:pt>
                <c:pt idx="46">
                  <c:v>4.4009261338622023E-4</c:v>
                </c:pt>
                <c:pt idx="47">
                  <c:v>3.7415761955690943E-4</c:v>
                </c:pt>
                <c:pt idx="48">
                  <c:v>3.1098977092328491E-4</c:v>
                </c:pt>
                <c:pt idx="49">
                  <c:v>2.5342252425986144E-4</c:v>
                </c:pt>
                <c:pt idx="50">
                  <c:v>2.0350759733196551E-4</c:v>
                </c:pt>
                <c:pt idx="51">
                  <c:v>1.6158452210456088E-4</c:v>
                </c:pt>
                <c:pt idx="52">
                  <c:v>1.2632088636235653E-4</c:v>
                </c:pt>
                <c:pt idx="53">
                  <c:v>9.57573834901174E-5</c:v>
                </c:pt>
                <c:pt idx="54">
                  <c:v>6.8684871778010575E-5</c:v>
                </c:pt>
                <c:pt idx="55">
                  <c:v>4.5369682835638075E-5</c:v>
                </c:pt>
                <c:pt idx="56">
                  <c:v>2.7062790180703028E-5</c:v>
                </c:pt>
                <c:pt idx="57">
                  <c:v>1.4672317704207585E-5</c:v>
                </c:pt>
                <c:pt idx="58">
                  <c:v>7.7212821935082504E-6</c:v>
                </c:pt>
                <c:pt idx="59">
                  <c:v>4.5364951087529091E-6</c:v>
                </c:pt>
                <c:pt idx="60">
                  <c:v>3.5196807137761233E-6</c:v>
                </c:pt>
                <c:pt idx="61">
                  <c:v>4.2638293438739508E-6</c:v>
                </c:pt>
                <c:pt idx="62">
                  <c:v>7.3336353123826045E-6</c:v>
                </c:pt>
                <c:pt idx="63">
                  <c:v>1.2884984554834198E-5</c:v>
                </c:pt>
                <c:pt idx="64">
                  <c:v>1.9670075045240519E-5</c:v>
                </c:pt>
                <c:pt idx="65">
                  <c:v>2.5741297227171847E-5</c:v>
                </c:pt>
                <c:pt idx="66">
                  <c:v>3.0261928944273209E-5</c:v>
                </c:pt>
                <c:pt idx="67">
                  <c:v>3.4285208818049584E-5</c:v>
                </c:pt>
                <c:pt idx="68">
                  <c:v>3.927606558935805E-5</c:v>
                </c:pt>
                <c:pt idx="69">
                  <c:v>4.4900447150320745E-5</c:v>
                </c:pt>
                <c:pt idx="70">
                  <c:v>4.8901499625400024E-5</c:v>
                </c:pt>
                <c:pt idx="71">
                  <c:v>4.9587588611625659E-5</c:v>
                </c:pt>
                <c:pt idx="72">
                  <c:v>4.797123793566388E-5</c:v>
                </c:pt>
                <c:pt idx="73">
                  <c:v>4.6602771162062551E-5</c:v>
                </c:pt>
                <c:pt idx="74">
                  <c:v>4.6322104087058933E-5</c:v>
                </c:pt>
                <c:pt idx="75">
                  <c:v>4.5218958687616529E-5</c:v>
                </c:pt>
                <c:pt idx="76">
                  <c:v>4.139235732434327E-5</c:v>
                </c:pt>
                <c:pt idx="77">
                  <c:v>3.5794478667376599E-5</c:v>
                </c:pt>
                <c:pt idx="78">
                  <c:v>3.1055065061354118E-5</c:v>
                </c:pt>
                <c:pt idx="79">
                  <c:v>2.7985883680367898E-5</c:v>
                </c:pt>
                <c:pt idx="80">
                  <c:v>2.4853103935473249E-5</c:v>
                </c:pt>
                <c:pt idx="81">
                  <c:v>2.0531580990935073E-5</c:v>
                </c:pt>
                <c:pt idx="82">
                  <c:v>1.6455120747681921E-5</c:v>
                </c:pt>
                <c:pt idx="83">
                  <c:v>1.4207176371194167E-5</c:v>
                </c:pt>
                <c:pt idx="84">
                  <c:v>1.2935743737068477E-5</c:v>
                </c:pt>
                <c:pt idx="85">
                  <c:v>1.1182709110776043E-5</c:v>
                </c:pt>
                <c:pt idx="86">
                  <c:v>9.6479923492185971E-6</c:v>
                </c:pt>
                <c:pt idx="87">
                  <c:v>9.4951867887174074E-6</c:v>
                </c:pt>
                <c:pt idx="88">
                  <c:v>9.6936732367822527E-6</c:v>
                </c:pt>
                <c:pt idx="89">
                  <c:v>9.050139102817655E-6</c:v>
                </c:pt>
                <c:pt idx="90">
                  <c:v>8.516046260836949E-6</c:v>
                </c:pt>
                <c:pt idx="91">
                  <c:v>8.7040003419108343E-6</c:v>
                </c:pt>
                <c:pt idx="92">
                  <c:v>8.4523363005398229E-6</c:v>
                </c:pt>
                <c:pt idx="93">
                  <c:v>7.5234719977041182E-6</c:v>
                </c:pt>
                <c:pt idx="94">
                  <c:v>6.8328561332743856E-6</c:v>
                </c:pt>
                <c:pt idx="95">
                  <c:v>6.3015952322313023E-6</c:v>
                </c:pt>
                <c:pt idx="96">
                  <c:v>5.5337242679488888E-6</c:v>
                </c:pt>
                <c:pt idx="97">
                  <c:v>4.7979178981677047E-6</c:v>
                </c:pt>
                <c:pt idx="98">
                  <c:v>4.3826822856476477E-6</c:v>
                </c:pt>
                <c:pt idx="99">
                  <c:v>4.1841301858622465E-6</c:v>
                </c:pt>
                <c:pt idx="100">
                  <c:v>3.9247369748266876E-6</c:v>
                </c:pt>
                <c:pt idx="101">
                  <c:v>4.0034784582193954E-6</c:v>
                </c:pt>
                <c:pt idx="102">
                  <c:v>4.3845637705780263E-6</c:v>
                </c:pt>
                <c:pt idx="103">
                  <c:v>4.2576488500549026E-6</c:v>
                </c:pt>
                <c:pt idx="104">
                  <c:v>4.349069662958515E-6</c:v>
                </c:pt>
                <c:pt idx="105">
                  <c:v>4.6032576658575934E-6</c:v>
                </c:pt>
                <c:pt idx="106">
                  <c:v>4.022949218605585E-6</c:v>
                </c:pt>
                <c:pt idx="107">
                  <c:v>3.7198906663551664E-6</c:v>
                </c:pt>
                <c:pt idx="108">
                  <c:v>3.3824332082119884E-6</c:v>
                </c:pt>
                <c:pt idx="109">
                  <c:v>2.5652372299492964E-6</c:v>
                </c:pt>
                <c:pt idx="110">
                  <c:v>2.3388723881079488E-6</c:v>
                </c:pt>
                <c:pt idx="111">
                  <c:v>1.8232120980288538E-6</c:v>
                </c:pt>
                <c:pt idx="112">
                  <c:v>1.6016544357817032E-6</c:v>
                </c:pt>
                <c:pt idx="113">
                  <c:v>1.5926761104240388E-6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6-4794-BC90-A06B6E4B5F4F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3.9493077473668441E-4</c:v>
                  </c:pt>
                  <c:pt idx="1">
                    <c:v>3.327536372562446E-4</c:v>
                  </c:pt>
                  <c:pt idx="2">
                    <c:v>3.0959875316706128E-4</c:v>
                  </c:pt>
                  <c:pt idx="3">
                    <c:v>2.7731681147941779E-4</c:v>
                  </c:pt>
                  <c:pt idx="4">
                    <c:v>2.6124424239815173E-4</c:v>
                  </c:pt>
                  <c:pt idx="5">
                    <c:v>2.3574592946562601E-4</c:v>
                  </c:pt>
                  <c:pt idx="6">
                    <c:v>2.1446934738956393E-4</c:v>
                  </c:pt>
                  <c:pt idx="7">
                    <c:v>2.0267079784884698E-4</c:v>
                  </c:pt>
                  <c:pt idx="8">
                    <c:v>1.87838095766144E-4</c:v>
                  </c:pt>
                  <c:pt idx="9">
                    <c:v>1.6583575728175803E-4</c:v>
                  </c:pt>
                  <c:pt idx="10">
                    <c:v>1.6398097368285479E-4</c:v>
                  </c:pt>
                  <c:pt idx="11">
                    <c:v>1.590007566438047E-4</c:v>
                  </c:pt>
                  <c:pt idx="12">
                    <c:v>1.3907805008881696E-4</c:v>
                  </c:pt>
                  <c:pt idx="13">
                    <c:v>1.3327808436468288E-4</c:v>
                  </c:pt>
                  <c:pt idx="14">
                    <c:v>1.2951323322024747E-4</c:v>
                  </c:pt>
                  <c:pt idx="15">
                    <c:v>6.5704045417050796E-5</c:v>
                  </c:pt>
                  <c:pt idx="16">
                    <c:v>6.2634365861047225E-5</c:v>
                  </c:pt>
                  <c:pt idx="17">
                    <c:v>6.0536869617101884E-5</c:v>
                  </c:pt>
                  <c:pt idx="18">
                    <c:v>5.7692286599545361E-5</c:v>
                  </c:pt>
                  <c:pt idx="19">
                    <c:v>5.6577934664808668E-5</c:v>
                  </c:pt>
                  <c:pt idx="20">
                    <c:v>5.8447194213754885E-5</c:v>
                  </c:pt>
                  <c:pt idx="21">
                    <c:v>5.5827252088257339E-5</c:v>
                  </c:pt>
                  <c:pt idx="22">
                    <c:v>5.2465227716911998E-5</c:v>
                  </c:pt>
                  <c:pt idx="23">
                    <c:v>6.5422519481125147E-5</c:v>
                  </c:pt>
                  <c:pt idx="24">
                    <c:v>6.2554301341009367E-5</c:v>
                  </c:pt>
                  <c:pt idx="25">
                    <c:v>6.3758482037309532E-5</c:v>
                  </c:pt>
                  <c:pt idx="26">
                    <c:v>6.3180418464849728E-5</c:v>
                  </c:pt>
                  <c:pt idx="27">
                    <c:v>6.3251841227843496E-5</c:v>
                  </c:pt>
                  <c:pt idx="28">
                    <c:v>6.0798454649925072E-5</c:v>
                  </c:pt>
                  <c:pt idx="29">
                    <c:v>6.3841980734725582E-5</c:v>
                  </c:pt>
                  <c:pt idx="30">
                    <c:v>6.4695855305126071E-5</c:v>
                  </c:pt>
                  <c:pt idx="31">
                    <c:v>5.9948869072814889E-5</c:v>
                  </c:pt>
                  <c:pt idx="32">
                    <c:v>6.2100505990756149E-5</c:v>
                  </c:pt>
                  <c:pt idx="33">
                    <c:v>6.3941834839752697E-5</c:v>
                  </c:pt>
                  <c:pt idx="34">
                    <c:v>6.0136883933692499E-5</c:v>
                  </c:pt>
                  <c:pt idx="35">
                    <c:v>5.932074063167095E-5</c:v>
                  </c:pt>
                  <c:pt idx="36">
                    <c:v>5.6300174056388185E-5</c:v>
                  </c:pt>
                  <c:pt idx="37">
                    <c:v>5.2983804025349884E-5</c:v>
                  </c:pt>
                  <c:pt idx="38">
                    <c:v>5.5816022746811042E-5</c:v>
                  </c:pt>
                  <c:pt idx="39">
                    <c:v>5.1896616460505851E-5</c:v>
                  </c:pt>
                  <c:pt idx="40">
                    <c:v>4.2812032564473785E-5</c:v>
                  </c:pt>
                  <c:pt idx="41">
                    <c:v>4.4629471688148226E-5</c:v>
                  </c:pt>
                  <c:pt idx="42">
                    <c:v>4.1204936081135261E-5</c:v>
                  </c:pt>
                  <c:pt idx="43">
                    <c:v>4.0114441981069117E-5</c:v>
                  </c:pt>
                  <c:pt idx="44">
                    <c:v>3.6322719875892751E-5</c:v>
                  </c:pt>
                  <c:pt idx="45">
                    <c:v>3.4051291595233118E-5</c:v>
                  </c:pt>
                  <c:pt idx="46">
                    <c:v>3.2476965063080317E-5</c:v>
                  </c:pt>
                  <c:pt idx="47">
                    <c:v>3.0621711439946137E-5</c:v>
                  </c:pt>
                  <c:pt idx="48">
                    <c:v>1.111163075758111E-5</c:v>
                  </c:pt>
                  <c:pt idx="49">
                    <c:v>9.6042468775993961E-6</c:v>
                  </c:pt>
                  <c:pt idx="50">
                    <c:v>8.1191502313028987E-6</c:v>
                  </c:pt>
                  <c:pt idx="51">
                    <c:v>7.514712220216295E-6</c:v>
                  </c:pt>
                  <c:pt idx="52">
                    <c:v>6.1986102507521144E-6</c:v>
                  </c:pt>
                  <c:pt idx="53">
                    <c:v>5.7221925874399603E-6</c:v>
                  </c:pt>
                  <c:pt idx="54">
                    <c:v>4.7846556158286097E-6</c:v>
                  </c:pt>
                  <c:pt idx="55">
                    <c:v>3.8756643104232644E-6</c:v>
                  </c:pt>
                  <c:pt idx="56">
                    <c:v>3.3446191852782077E-6</c:v>
                  </c:pt>
                  <c:pt idx="57">
                    <c:v>2.7966637530442036E-6</c:v>
                  </c:pt>
                  <c:pt idx="58">
                    <c:v>2.5891283764435919E-6</c:v>
                  </c:pt>
                  <c:pt idx="59">
                    <c:v>2.1868310346897657E-6</c:v>
                  </c:pt>
                  <c:pt idx="60">
                    <c:v>2.0993242461130078E-6</c:v>
                  </c:pt>
                  <c:pt idx="61">
                    <c:v>2.2688226945660693E-6</c:v>
                  </c:pt>
                  <c:pt idx="62">
                    <c:v>2.3019358789839658E-6</c:v>
                  </c:pt>
                  <c:pt idx="63">
                    <c:v>2.7633313050849233E-6</c:v>
                  </c:pt>
                  <c:pt idx="64">
                    <c:v>3.0260216438070803E-6</c:v>
                  </c:pt>
                  <c:pt idx="65">
                    <c:v>3.6083008820121395E-6</c:v>
                  </c:pt>
                  <c:pt idx="66">
                    <c:v>3.7818348507449298E-6</c:v>
                  </c:pt>
                  <c:pt idx="67">
                    <c:v>3.7961593720035361E-6</c:v>
                  </c:pt>
                  <c:pt idx="68">
                    <c:v>3.9231953309847205E-6</c:v>
                  </c:pt>
                  <c:pt idx="69">
                    <c:v>4.2158602413250072E-6</c:v>
                  </c:pt>
                  <c:pt idx="70">
                    <c:v>4.1854593603012701E-6</c:v>
                  </c:pt>
                  <c:pt idx="71">
                    <c:v>4.3286017893932875E-6</c:v>
                  </c:pt>
                  <c:pt idx="72">
                    <c:v>4.0894135796934443E-6</c:v>
                  </c:pt>
                  <c:pt idx="73">
                    <c:v>3.9986399165672263E-6</c:v>
                  </c:pt>
                  <c:pt idx="74">
                    <c:v>4.1097101188469206E-6</c:v>
                  </c:pt>
                  <c:pt idx="75">
                    <c:v>3.6112970995218356E-6</c:v>
                  </c:pt>
                  <c:pt idx="76">
                    <c:v>2.1485711060624374E-6</c:v>
                  </c:pt>
                  <c:pt idx="77">
                    <c:v>1.842781610858114E-6</c:v>
                  </c:pt>
                  <c:pt idx="78">
                    <c:v>1.6891859552237328E-6</c:v>
                  </c:pt>
                  <c:pt idx="79">
                    <c:v>1.5553763697708221E-6</c:v>
                  </c:pt>
                  <c:pt idx="80">
                    <c:v>1.3090763022030587E-6</c:v>
                  </c:pt>
                  <c:pt idx="81">
                    <c:v>1.2077291452656711E-6</c:v>
                  </c:pt>
                  <c:pt idx="82">
                    <c:v>1.060171603830634E-6</c:v>
                  </c:pt>
                  <c:pt idx="83">
                    <c:v>9.6318098741415772E-7</c:v>
                  </c:pt>
                  <c:pt idx="84">
                    <c:v>8.1527754423753082E-7</c:v>
                  </c:pt>
                  <c:pt idx="85">
                    <c:v>7.5333032175584555E-7</c:v>
                  </c:pt>
                  <c:pt idx="86">
                    <c:v>7.5791234574622266E-7</c:v>
                  </c:pt>
                  <c:pt idx="87">
                    <c:v>7.8243243048705615E-7</c:v>
                  </c:pt>
                  <c:pt idx="88">
                    <c:v>7.6202852834737775E-7</c:v>
                  </c:pt>
                  <c:pt idx="89">
                    <c:v>8.1420188382065774E-7</c:v>
                  </c:pt>
                  <c:pt idx="90">
                    <c:v>7.8721605077487881E-7</c:v>
                  </c:pt>
                  <c:pt idx="91">
                    <c:v>8.0464511499390407E-7</c:v>
                  </c:pt>
                  <c:pt idx="92">
                    <c:v>8.5840022822213576E-7</c:v>
                  </c:pt>
                  <c:pt idx="93">
                    <c:v>9.0068387628378893E-7</c:v>
                  </c:pt>
                  <c:pt idx="94">
                    <c:v>8.6315127103080363E-7</c:v>
                  </c:pt>
                  <c:pt idx="95">
                    <c:v>8.0725925344177234E-7</c:v>
                  </c:pt>
                  <c:pt idx="96">
                    <c:v>8.7160340441306981E-7</c:v>
                  </c:pt>
                  <c:pt idx="97">
                    <c:v>7.6702230338040285E-7</c:v>
                  </c:pt>
                  <c:pt idx="98">
                    <c:v>7.0107658731116659E-7</c:v>
                  </c:pt>
                  <c:pt idx="99">
                    <c:v>7.0529079775413505E-7</c:v>
                  </c:pt>
                  <c:pt idx="100">
                    <c:v>6.9960140402169246E-7</c:v>
                  </c:pt>
                  <c:pt idx="101">
                    <c:v>6.224759047940141E-7</c:v>
                  </c:pt>
                  <c:pt idx="102">
                    <c:v>6.2312200451649518E-7</c:v>
                  </c:pt>
                  <c:pt idx="103">
                    <c:v>5.5802651814845009E-7</c:v>
                  </c:pt>
                  <c:pt idx="104">
                    <c:v>6.3602739494366605E-7</c:v>
                  </c:pt>
                  <c:pt idx="105">
                    <c:v>5.2529986300246678E-7</c:v>
                  </c:pt>
                  <c:pt idx="106">
                    <c:v>5.3404100144559181E-7</c:v>
                  </c:pt>
                  <c:pt idx="107">
                    <c:v>5.3317442535352255E-7</c:v>
                  </c:pt>
                  <c:pt idx="108">
                    <c:v>5.7521031817826853E-7</c:v>
                  </c:pt>
                  <c:pt idx="109">
                    <c:v>4.9032834186403956E-7</c:v>
                  </c:pt>
                  <c:pt idx="110">
                    <c:v>5.0732283949906498E-7</c:v>
                  </c:pt>
                  <c:pt idx="111">
                    <c:v>5.0746990542776297E-7</c:v>
                  </c:pt>
                  <c:pt idx="112">
                    <c:v>5.1367130690727853E-7</c:v>
                  </c:pt>
                  <c:pt idx="113">
                    <c:v>4.7122260887705417E-7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3.9493077473668441E-4</c:v>
                  </c:pt>
                  <c:pt idx="1">
                    <c:v>3.327536372562446E-4</c:v>
                  </c:pt>
                  <c:pt idx="2">
                    <c:v>3.0959875316706128E-4</c:v>
                  </c:pt>
                  <c:pt idx="3">
                    <c:v>2.7731681147941779E-4</c:v>
                  </c:pt>
                  <c:pt idx="4">
                    <c:v>2.6124424239815173E-4</c:v>
                  </c:pt>
                  <c:pt idx="5">
                    <c:v>2.3574592946562601E-4</c:v>
                  </c:pt>
                  <c:pt idx="6">
                    <c:v>2.1446934738956393E-4</c:v>
                  </c:pt>
                  <c:pt idx="7">
                    <c:v>2.0267079784884698E-4</c:v>
                  </c:pt>
                  <c:pt idx="8">
                    <c:v>1.87838095766144E-4</c:v>
                  </c:pt>
                  <c:pt idx="9">
                    <c:v>1.6583575728175803E-4</c:v>
                  </c:pt>
                  <c:pt idx="10">
                    <c:v>1.6398097368285479E-4</c:v>
                  </c:pt>
                  <c:pt idx="11">
                    <c:v>1.590007566438047E-4</c:v>
                  </c:pt>
                  <c:pt idx="12">
                    <c:v>1.3907805008881696E-4</c:v>
                  </c:pt>
                  <c:pt idx="13">
                    <c:v>1.3327808436468288E-4</c:v>
                  </c:pt>
                  <c:pt idx="14">
                    <c:v>1.2951323322024747E-4</c:v>
                  </c:pt>
                  <c:pt idx="15">
                    <c:v>6.5704045417050796E-5</c:v>
                  </c:pt>
                  <c:pt idx="16">
                    <c:v>6.2634365861047225E-5</c:v>
                  </c:pt>
                  <c:pt idx="17">
                    <c:v>6.0536869617101884E-5</c:v>
                  </c:pt>
                  <c:pt idx="18">
                    <c:v>5.7692286599545361E-5</c:v>
                  </c:pt>
                  <c:pt idx="19">
                    <c:v>5.6577934664808668E-5</c:v>
                  </c:pt>
                  <c:pt idx="20">
                    <c:v>5.8447194213754885E-5</c:v>
                  </c:pt>
                  <c:pt idx="21">
                    <c:v>5.5827252088257339E-5</c:v>
                  </c:pt>
                  <c:pt idx="22">
                    <c:v>5.2465227716911998E-5</c:v>
                  </c:pt>
                  <c:pt idx="23">
                    <c:v>6.5422519481125147E-5</c:v>
                  </c:pt>
                  <c:pt idx="24">
                    <c:v>6.2554301341009367E-5</c:v>
                  </c:pt>
                  <c:pt idx="25">
                    <c:v>6.3758482037309532E-5</c:v>
                  </c:pt>
                  <c:pt idx="26">
                    <c:v>6.3180418464849728E-5</c:v>
                  </c:pt>
                  <c:pt idx="27">
                    <c:v>6.3251841227843496E-5</c:v>
                  </c:pt>
                  <c:pt idx="28">
                    <c:v>6.0798454649925072E-5</c:v>
                  </c:pt>
                  <c:pt idx="29">
                    <c:v>6.3841980734725582E-5</c:v>
                  </c:pt>
                  <c:pt idx="30">
                    <c:v>6.4695855305126071E-5</c:v>
                  </c:pt>
                  <c:pt idx="31">
                    <c:v>5.9948869072814889E-5</c:v>
                  </c:pt>
                  <c:pt idx="32">
                    <c:v>6.2100505990756149E-5</c:v>
                  </c:pt>
                  <c:pt idx="33">
                    <c:v>6.3941834839752697E-5</c:v>
                  </c:pt>
                  <c:pt idx="34">
                    <c:v>6.0136883933692499E-5</c:v>
                  </c:pt>
                  <c:pt idx="35">
                    <c:v>5.932074063167095E-5</c:v>
                  </c:pt>
                  <c:pt idx="36">
                    <c:v>5.6300174056388185E-5</c:v>
                  </c:pt>
                  <c:pt idx="37">
                    <c:v>5.2983804025349884E-5</c:v>
                  </c:pt>
                  <c:pt idx="38">
                    <c:v>5.5816022746811042E-5</c:v>
                  </c:pt>
                  <c:pt idx="39">
                    <c:v>5.1896616460505851E-5</c:v>
                  </c:pt>
                  <c:pt idx="40">
                    <c:v>4.2812032564473785E-5</c:v>
                  </c:pt>
                  <c:pt idx="41">
                    <c:v>4.4629471688148226E-5</c:v>
                  </c:pt>
                  <c:pt idx="42">
                    <c:v>4.1204936081135261E-5</c:v>
                  </c:pt>
                  <c:pt idx="43">
                    <c:v>4.0114441981069117E-5</c:v>
                  </c:pt>
                  <c:pt idx="44">
                    <c:v>3.6322719875892751E-5</c:v>
                  </c:pt>
                  <c:pt idx="45">
                    <c:v>3.4051291595233118E-5</c:v>
                  </c:pt>
                  <c:pt idx="46">
                    <c:v>3.2476965063080317E-5</c:v>
                  </c:pt>
                  <c:pt idx="47">
                    <c:v>3.0621711439946137E-5</c:v>
                  </c:pt>
                  <c:pt idx="48">
                    <c:v>1.111163075758111E-5</c:v>
                  </c:pt>
                  <c:pt idx="49">
                    <c:v>9.6042468775993961E-6</c:v>
                  </c:pt>
                  <c:pt idx="50">
                    <c:v>8.1191502313028987E-6</c:v>
                  </c:pt>
                  <c:pt idx="51">
                    <c:v>7.514712220216295E-6</c:v>
                  </c:pt>
                  <c:pt idx="52">
                    <c:v>6.1986102507521144E-6</c:v>
                  </c:pt>
                  <c:pt idx="53">
                    <c:v>5.7221925874399603E-6</c:v>
                  </c:pt>
                  <c:pt idx="54">
                    <c:v>4.7846556158286097E-6</c:v>
                  </c:pt>
                  <c:pt idx="55">
                    <c:v>3.8756643104232644E-6</c:v>
                  </c:pt>
                  <c:pt idx="56">
                    <c:v>3.3446191852782077E-6</c:v>
                  </c:pt>
                  <c:pt idx="57">
                    <c:v>2.7966637530442036E-6</c:v>
                  </c:pt>
                  <c:pt idx="58">
                    <c:v>2.5891283764435919E-6</c:v>
                  </c:pt>
                  <c:pt idx="59">
                    <c:v>2.1868310346897657E-6</c:v>
                  </c:pt>
                  <c:pt idx="60">
                    <c:v>2.0993242461130078E-6</c:v>
                  </c:pt>
                  <c:pt idx="61">
                    <c:v>2.2688226945660693E-6</c:v>
                  </c:pt>
                  <c:pt idx="62">
                    <c:v>2.3019358789839658E-6</c:v>
                  </c:pt>
                  <c:pt idx="63">
                    <c:v>2.7633313050849233E-6</c:v>
                  </c:pt>
                  <c:pt idx="64">
                    <c:v>3.0260216438070803E-6</c:v>
                  </c:pt>
                  <c:pt idx="65">
                    <c:v>3.6083008820121395E-6</c:v>
                  </c:pt>
                  <c:pt idx="66">
                    <c:v>3.7818348507449298E-6</c:v>
                  </c:pt>
                  <c:pt idx="67">
                    <c:v>3.7961593720035361E-6</c:v>
                  </c:pt>
                  <c:pt idx="68">
                    <c:v>3.9231953309847205E-6</c:v>
                  </c:pt>
                  <c:pt idx="69">
                    <c:v>4.2158602413250072E-6</c:v>
                  </c:pt>
                  <c:pt idx="70">
                    <c:v>4.1854593603012701E-6</c:v>
                  </c:pt>
                  <c:pt idx="71">
                    <c:v>4.3286017893932875E-6</c:v>
                  </c:pt>
                  <c:pt idx="72">
                    <c:v>4.0894135796934443E-6</c:v>
                  </c:pt>
                  <c:pt idx="73">
                    <c:v>3.9986399165672263E-6</c:v>
                  </c:pt>
                  <c:pt idx="74">
                    <c:v>4.1097101188469206E-6</c:v>
                  </c:pt>
                  <c:pt idx="75">
                    <c:v>3.6112970995218356E-6</c:v>
                  </c:pt>
                  <c:pt idx="76">
                    <c:v>2.1485711060624374E-6</c:v>
                  </c:pt>
                  <c:pt idx="77">
                    <c:v>1.842781610858114E-6</c:v>
                  </c:pt>
                  <c:pt idx="78">
                    <c:v>1.6891859552237328E-6</c:v>
                  </c:pt>
                  <c:pt idx="79">
                    <c:v>1.5553763697708221E-6</c:v>
                  </c:pt>
                  <c:pt idx="80">
                    <c:v>1.3090763022030587E-6</c:v>
                  </c:pt>
                  <c:pt idx="81">
                    <c:v>1.2077291452656711E-6</c:v>
                  </c:pt>
                  <c:pt idx="82">
                    <c:v>1.060171603830634E-6</c:v>
                  </c:pt>
                  <c:pt idx="83">
                    <c:v>9.6318098741415772E-7</c:v>
                  </c:pt>
                  <c:pt idx="84">
                    <c:v>8.1527754423753082E-7</c:v>
                  </c:pt>
                  <c:pt idx="85">
                    <c:v>7.5333032175584555E-7</c:v>
                  </c:pt>
                  <c:pt idx="86">
                    <c:v>7.5791234574622266E-7</c:v>
                  </c:pt>
                  <c:pt idx="87">
                    <c:v>7.8243243048705615E-7</c:v>
                  </c:pt>
                  <c:pt idx="88">
                    <c:v>7.6202852834737775E-7</c:v>
                  </c:pt>
                  <c:pt idx="89">
                    <c:v>8.1420188382065774E-7</c:v>
                  </c:pt>
                  <c:pt idx="90">
                    <c:v>7.8721605077487881E-7</c:v>
                  </c:pt>
                  <c:pt idx="91">
                    <c:v>8.0464511499390407E-7</c:v>
                  </c:pt>
                  <c:pt idx="92">
                    <c:v>8.5840022822213576E-7</c:v>
                  </c:pt>
                  <c:pt idx="93">
                    <c:v>9.0068387628378893E-7</c:v>
                  </c:pt>
                  <c:pt idx="94">
                    <c:v>8.6315127103080363E-7</c:v>
                  </c:pt>
                  <c:pt idx="95">
                    <c:v>8.0725925344177234E-7</c:v>
                  </c:pt>
                  <c:pt idx="96">
                    <c:v>8.7160340441306981E-7</c:v>
                  </c:pt>
                  <c:pt idx="97">
                    <c:v>7.6702230338040285E-7</c:v>
                  </c:pt>
                  <c:pt idx="98">
                    <c:v>7.0107658731116659E-7</c:v>
                  </c:pt>
                  <c:pt idx="99">
                    <c:v>7.0529079775413505E-7</c:v>
                  </c:pt>
                  <c:pt idx="100">
                    <c:v>6.9960140402169246E-7</c:v>
                  </c:pt>
                  <c:pt idx="101">
                    <c:v>6.224759047940141E-7</c:v>
                  </c:pt>
                  <c:pt idx="102">
                    <c:v>6.2312200451649518E-7</c:v>
                  </c:pt>
                  <c:pt idx="103">
                    <c:v>5.5802651814845009E-7</c:v>
                  </c:pt>
                  <c:pt idx="104">
                    <c:v>6.3602739494366605E-7</c:v>
                  </c:pt>
                  <c:pt idx="105">
                    <c:v>5.2529986300246678E-7</c:v>
                  </c:pt>
                  <c:pt idx="106">
                    <c:v>5.3404100144559181E-7</c:v>
                  </c:pt>
                  <c:pt idx="107">
                    <c:v>5.3317442535352255E-7</c:v>
                  </c:pt>
                  <c:pt idx="108">
                    <c:v>5.7521031817826853E-7</c:v>
                  </c:pt>
                  <c:pt idx="109">
                    <c:v>4.9032834186403956E-7</c:v>
                  </c:pt>
                  <c:pt idx="110">
                    <c:v>5.0732283949906498E-7</c:v>
                  </c:pt>
                  <c:pt idx="111">
                    <c:v>5.0746990542776297E-7</c:v>
                  </c:pt>
                  <c:pt idx="112">
                    <c:v>5.1367130690727853E-7</c:v>
                  </c:pt>
                  <c:pt idx="113">
                    <c:v>4.7122260887705417E-7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1.69005895909E-2</c:v>
                </c:pt>
                <c:pt idx="1">
                  <c:v>1.7238601382699999E-2</c:v>
                </c:pt>
                <c:pt idx="2">
                  <c:v>1.7583373410300002E-2</c:v>
                </c:pt>
                <c:pt idx="3">
                  <c:v>1.7935040878500001E-2</c:v>
                </c:pt>
                <c:pt idx="4">
                  <c:v>1.8293741696099999E-2</c:v>
                </c:pt>
                <c:pt idx="5">
                  <c:v>1.8659616529999999E-2</c:v>
                </c:pt>
                <c:pt idx="6">
                  <c:v>1.9032808860599999E-2</c:v>
                </c:pt>
                <c:pt idx="7">
                  <c:v>1.94134650379E-2</c:v>
                </c:pt>
                <c:pt idx="8">
                  <c:v>1.98017343386E-2</c:v>
                </c:pt>
                <c:pt idx="9">
                  <c:v>2.0197769025399999E-2</c:v>
                </c:pt>
                <c:pt idx="10">
                  <c:v>2.0601724405899999E-2</c:v>
                </c:pt>
                <c:pt idx="11">
                  <c:v>2.1013758893999999E-2</c:v>
                </c:pt>
                <c:pt idx="12">
                  <c:v>2.1434034071900001E-2</c:v>
                </c:pt>
                <c:pt idx="13">
                  <c:v>2.1862714753300001E-2</c:v>
                </c:pt>
                <c:pt idx="14">
                  <c:v>2.2299969048399999E-2</c:v>
                </c:pt>
                <c:pt idx="15">
                  <c:v>2.27459684294E-2</c:v>
                </c:pt>
                <c:pt idx="16">
                  <c:v>2.3200887797899999E-2</c:v>
                </c:pt>
                <c:pt idx="17">
                  <c:v>2.3664905553899999E-2</c:v>
                </c:pt>
                <c:pt idx="18">
                  <c:v>2.4138203665E-2</c:v>
                </c:pt>
                <c:pt idx="19">
                  <c:v>2.4620967738300002E-2</c:v>
                </c:pt>
                <c:pt idx="20">
                  <c:v>2.5113387093100001E-2</c:v>
                </c:pt>
                <c:pt idx="21">
                  <c:v>2.5615654834900001E-2</c:v>
                </c:pt>
                <c:pt idx="22">
                  <c:v>2.61279679316E-2</c:v>
                </c:pt>
                <c:pt idx="23">
                  <c:v>2.66505272902E-2</c:v>
                </c:pt>
                <c:pt idx="24">
                  <c:v>2.7183537835999999E-2</c:v>
                </c:pt>
                <c:pt idx="25">
                  <c:v>2.77272085928E-2</c:v>
                </c:pt>
                <c:pt idx="26">
                  <c:v>2.8281752764600002E-2</c:v>
                </c:pt>
                <c:pt idx="27">
                  <c:v>2.8847387819900001E-2</c:v>
                </c:pt>
                <c:pt idx="28">
                  <c:v>2.94243355763E-2</c:v>
                </c:pt>
                <c:pt idx="29">
                  <c:v>3.0012822287800001E-2</c:v>
                </c:pt>
                <c:pt idx="30">
                  <c:v>3.0613078733599999E-2</c:v>
                </c:pt>
                <c:pt idx="31">
                  <c:v>3.1225340308300001E-2</c:v>
                </c:pt>
                <c:pt idx="32">
                  <c:v>3.1849847114399997E-2</c:v>
                </c:pt>
                <c:pt idx="33">
                  <c:v>3.24868440567E-2</c:v>
                </c:pt>
                <c:pt idx="34">
                  <c:v>3.31365809379E-2</c:v>
                </c:pt>
                <c:pt idx="35">
                  <c:v>3.37993125566E-2</c:v>
                </c:pt>
                <c:pt idx="36">
                  <c:v>3.4475298807699999E-2</c:v>
                </c:pt>
                <c:pt idx="37">
                  <c:v>3.5164804783900001E-2</c:v>
                </c:pt>
                <c:pt idx="38">
                  <c:v>3.5868100879599997E-2</c:v>
                </c:pt>
                <c:pt idx="39">
                  <c:v>3.6585462897200001E-2</c:v>
                </c:pt>
                <c:pt idx="40">
                  <c:v>3.7317172155099998E-2</c:v>
                </c:pt>
                <c:pt idx="41">
                  <c:v>3.8063515598200003E-2</c:v>
                </c:pt>
                <c:pt idx="42">
                  <c:v>3.8824785910199999E-2</c:v>
                </c:pt>
                <c:pt idx="43">
                  <c:v>3.9601281628400001E-2</c:v>
                </c:pt>
                <c:pt idx="44">
                  <c:v>4.0393307261000003E-2</c:v>
                </c:pt>
                <c:pt idx="45">
                  <c:v>4.1201173406199998E-2</c:v>
                </c:pt>
                <c:pt idx="46">
                  <c:v>4.2025196874300001E-2</c:v>
                </c:pt>
                <c:pt idx="47">
                  <c:v>4.2865700811800002E-2</c:v>
                </c:pt>
                <c:pt idx="48">
                  <c:v>4.3723014827999999E-2</c:v>
                </c:pt>
                <c:pt idx="49">
                  <c:v>4.4597475124600001E-2</c:v>
                </c:pt>
                <c:pt idx="50">
                  <c:v>4.5489424627099997E-2</c:v>
                </c:pt>
                <c:pt idx="51">
                  <c:v>4.6399213119599998E-2</c:v>
                </c:pt>
                <c:pt idx="52">
                  <c:v>4.7327197382000002E-2</c:v>
                </c:pt>
                <c:pt idx="53">
                  <c:v>4.8273741329600002E-2</c:v>
                </c:pt>
                <c:pt idx="54">
                  <c:v>4.92392161562E-2</c:v>
                </c:pt>
                <c:pt idx="55">
                  <c:v>5.0224000479399997E-2</c:v>
                </c:pt>
                <c:pt idx="56">
                  <c:v>5.1228480489E-2</c:v>
                </c:pt>
                <c:pt idx="57">
                  <c:v>5.2253050098700002E-2</c:v>
                </c:pt>
                <c:pt idx="58">
                  <c:v>5.3298111100699999E-2</c:v>
                </c:pt>
                <c:pt idx="59">
                  <c:v>5.4364073322699998E-2</c:v>
                </c:pt>
                <c:pt idx="60">
                  <c:v>5.5451354789199998E-2</c:v>
                </c:pt>
                <c:pt idx="61">
                  <c:v>5.6560381884999997E-2</c:v>
                </c:pt>
                <c:pt idx="62">
                  <c:v>5.7691589522700003E-2</c:v>
                </c:pt>
                <c:pt idx="63">
                  <c:v>5.8845421313099999E-2</c:v>
                </c:pt>
                <c:pt idx="64">
                  <c:v>6.0022329739399999E-2</c:v>
                </c:pt>
                <c:pt idx="65">
                  <c:v>6.1222776334200001E-2</c:v>
                </c:pt>
                <c:pt idx="66">
                  <c:v>6.24472318608E-2</c:v>
                </c:pt>
                <c:pt idx="67">
                  <c:v>6.3696176498099999E-2</c:v>
                </c:pt>
                <c:pt idx="68">
                  <c:v>6.4970100027999994E-2</c:v>
                </c:pt>
                <c:pt idx="69">
                  <c:v>6.6269502028600005E-2</c:v>
                </c:pt>
                <c:pt idx="70">
                  <c:v>6.7594892069199997E-2</c:v>
                </c:pt>
                <c:pt idx="71">
                  <c:v>6.8946789910500003E-2</c:v>
                </c:pt>
                <c:pt idx="72">
                  <c:v>7.0325725708699993E-2</c:v>
                </c:pt>
                <c:pt idx="73">
                  <c:v>7.1732240222900007E-2</c:v>
                </c:pt>
                <c:pt idx="74">
                  <c:v>7.31668850274E-2</c:v>
                </c:pt>
                <c:pt idx="75">
                  <c:v>7.46302227279E-2</c:v>
                </c:pt>
                <c:pt idx="76">
                  <c:v>7.6122827182500005E-2</c:v>
                </c:pt>
                <c:pt idx="77">
                  <c:v>7.7645283726099995E-2</c:v>
                </c:pt>
                <c:pt idx="78">
                  <c:v>7.9198189400700003E-2</c:v>
                </c:pt>
                <c:pt idx="79">
                  <c:v>8.0782153188699996E-2</c:v>
                </c:pt>
                <c:pt idx="80">
                  <c:v>8.2397796252399999E-2</c:v>
                </c:pt>
                <c:pt idx="81">
                  <c:v>8.4045752177500002E-2</c:v>
                </c:pt>
                <c:pt idx="82">
                  <c:v>8.5726667221000002E-2</c:v>
                </c:pt>
                <c:pt idx="83">
                  <c:v>8.7441200565500005E-2</c:v>
                </c:pt>
                <c:pt idx="84">
                  <c:v>8.9190024576800003E-2</c:v>
                </c:pt>
                <c:pt idx="85">
                  <c:v>9.0973825068299999E-2</c:v>
                </c:pt>
                <c:pt idx="86">
                  <c:v>9.2793301569700004E-2</c:v>
                </c:pt>
                <c:pt idx="87">
                  <c:v>9.4649167601099995E-2</c:v>
                </c:pt>
                <c:pt idx="88">
                  <c:v>9.6542150953099995E-2</c:v>
                </c:pt>
                <c:pt idx="89">
                  <c:v>9.8472993972199996E-2</c:v>
                </c:pt>
                <c:pt idx="90">
                  <c:v>0.100442453852</c:v>
                </c:pt>
                <c:pt idx="91">
                  <c:v>0.102451302929</c:v>
                </c:pt>
                <c:pt idx="92">
                  <c:v>0.104500328987</c:v>
                </c:pt>
                <c:pt idx="93">
                  <c:v>0.106590335567</c:v>
                </c:pt>
                <c:pt idx="94">
                  <c:v>0.10872214227800001</c:v>
                </c:pt>
                <c:pt idx="95">
                  <c:v>0.110896585124</c:v>
                </c:pt>
                <c:pt idx="96">
                  <c:v>0.113114516826</c:v>
                </c:pt>
                <c:pt idx="97">
                  <c:v>0.115376807163</c:v>
                </c:pt>
                <c:pt idx="98">
                  <c:v>0.117684343306</c:v>
                </c:pt>
                <c:pt idx="99">
                  <c:v>0.120038030172</c:v>
                </c:pt>
                <c:pt idx="100">
                  <c:v>0.12243879077600001</c:v>
                </c:pt>
                <c:pt idx="101">
                  <c:v>0.124887566591</c:v>
                </c:pt>
                <c:pt idx="102">
                  <c:v>0.12738531792300001</c:v>
                </c:pt>
                <c:pt idx="103">
                  <c:v>0.12993302428100001</c:v>
                </c:pt>
                <c:pt idx="104">
                  <c:v>0.132531684767</c:v>
                </c:pt>
                <c:pt idx="105">
                  <c:v>0.13518231846199999</c:v>
                </c:pt>
                <c:pt idx="106">
                  <c:v>0.137885964832</c:v>
                </c:pt>
                <c:pt idx="107">
                  <c:v>0.14064368412799999</c:v>
                </c:pt>
                <c:pt idx="108">
                  <c:v>0.143456557811</c:v>
                </c:pt>
                <c:pt idx="109">
                  <c:v>0.14632568896699999</c:v>
                </c:pt>
                <c:pt idx="110">
                  <c:v>0.14925220274600001</c:v>
                </c:pt>
                <c:pt idx="111">
                  <c:v>0.15223724680100001</c:v>
                </c:pt>
                <c:pt idx="112">
                  <c:v>0.155281991737</c:v>
                </c:pt>
                <c:pt idx="113">
                  <c:v>0.158387631572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3.7450891817514672E-3</c:v>
                </c:pt>
                <c:pt idx="1">
                  <c:v>2.6911093449968441E-3</c:v>
                </c:pt>
                <c:pt idx="2">
                  <c:v>2.6596506580426021E-3</c:v>
                </c:pt>
                <c:pt idx="3">
                  <c:v>2.382605887522616E-3</c:v>
                </c:pt>
                <c:pt idx="4">
                  <c:v>2.3543597541911408E-3</c:v>
                </c:pt>
                <c:pt idx="5">
                  <c:v>2.0970125479129837E-3</c:v>
                </c:pt>
                <c:pt idx="6">
                  <c:v>1.8454450200369832E-3</c:v>
                </c:pt>
                <c:pt idx="7">
                  <c:v>1.8826699235302959E-3</c:v>
                </c:pt>
                <c:pt idx="8">
                  <c:v>1.5011562370178737E-3</c:v>
                </c:pt>
                <c:pt idx="9">
                  <c:v>1.1435576634697435E-3</c:v>
                </c:pt>
                <c:pt idx="10">
                  <c:v>1.4275729512401387E-3</c:v>
                </c:pt>
                <c:pt idx="11">
                  <c:v>1.4367972926951056E-3</c:v>
                </c:pt>
                <c:pt idx="12">
                  <c:v>1.1864938835540991E-3</c:v>
                </c:pt>
                <c:pt idx="13">
                  <c:v>9.7215721136024189E-4</c:v>
                </c:pt>
                <c:pt idx="14">
                  <c:v>1.1134343975242867E-3</c:v>
                </c:pt>
                <c:pt idx="15">
                  <c:v>1.0553377964074141E-3</c:v>
                </c:pt>
                <c:pt idx="16">
                  <c:v>1.0056773064416073E-3</c:v>
                </c:pt>
                <c:pt idx="17">
                  <c:v>9.8123626337700176E-4</c:v>
                </c:pt>
                <c:pt idx="18">
                  <c:v>9.6223934514086536E-4</c:v>
                </c:pt>
                <c:pt idx="19">
                  <c:v>1.0651085945310738E-3</c:v>
                </c:pt>
                <c:pt idx="20">
                  <c:v>1.1697133164728425E-3</c:v>
                </c:pt>
                <c:pt idx="21">
                  <c:v>1.1727376361853207E-3</c:v>
                </c:pt>
                <c:pt idx="22">
                  <c:v>1.0487214246681657E-3</c:v>
                </c:pt>
                <c:pt idx="23">
                  <c:v>1.2425995867225441E-3</c:v>
                </c:pt>
                <c:pt idx="24">
                  <c:v>1.1789104483952379E-3</c:v>
                </c:pt>
                <c:pt idx="25">
                  <c:v>1.2726749719080175E-3</c:v>
                </c:pt>
                <c:pt idx="26">
                  <c:v>1.2390659180884743E-3</c:v>
                </c:pt>
                <c:pt idx="27">
                  <c:v>1.220872603833377E-3</c:v>
                </c:pt>
                <c:pt idx="28">
                  <c:v>1.1735377274548404E-3</c:v>
                </c:pt>
                <c:pt idx="29">
                  <c:v>1.2435498557821754E-3</c:v>
                </c:pt>
                <c:pt idx="30">
                  <c:v>1.3276086168727992E-3</c:v>
                </c:pt>
                <c:pt idx="31">
                  <c:v>1.2622526049050336E-3</c:v>
                </c:pt>
                <c:pt idx="32">
                  <c:v>1.280148858971421E-3</c:v>
                </c:pt>
                <c:pt idx="33">
                  <c:v>1.3036652241248492E-3</c:v>
                </c:pt>
                <c:pt idx="34">
                  <c:v>1.1350247388853163E-3</c:v>
                </c:pt>
                <c:pt idx="35">
                  <c:v>1.1407754987483682E-3</c:v>
                </c:pt>
                <c:pt idx="36">
                  <c:v>1.0497800876147466E-3</c:v>
                </c:pt>
                <c:pt idx="37">
                  <c:v>9.8069105273068994E-4</c:v>
                </c:pt>
                <c:pt idx="38">
                  <c:v>1.0996454066983E-3</c:v>
                </c:pt>
                <c:pt idx="39">
                  <c:v>9.6911865291873507E-4</c:v>
                </c:pt>
                <c:pt idx="40">
                  <c:v>7.0306991750932824E-4</c:v>
                </c:pt>
                <c:pt idx="41">
                  <c:v>7.3167651971555369E-4</c:v>
                </c:pt>
                <c:pt idx="42">
                  <c:v>6.4244155961941287E-4</c:v>
                </c:pt>
                <c:pt idx="43">
                  <c:v>6.1522460301890102E-4</c:v>
                </c:pt>
                <c:pt idx="44">
                  <c:v>4.9318945132450413E-4</c:v>
                </c:pt>
                <c:pt idx="45">
                  <c:v>4.1648114029717997E-4</c:v>
                </c:pt>
                <c:pt idx="46">
                  <c:v>4.3594551820273932E-4</c:v>
                </c:pt>
                <c:pt idx="47">
                  <c:v>3.4636737608201713E-4</c:v>
                </c:pt>
                <c:pt idx="48">
                  <c:v>2.9553058665001829E-4</c:v>
                </c:pt>
                <c:pt idx="49">
                  <c:v>2.3302352818751964E-4</c:v>
                </c:pt>
                <c:pt idx="50">
                  <c:v>1.7076655159211539E-4</c:v>
                </c:pt>
                <c:pt idx="51">
                  <c:v>1.4986540110836565E-4</c:v>
                </c:pt>
                <c:pt idx="52">
                  <c:v>1.1348828099118958E-4</c:v>
                </c:pt>
                <c:pt idx="53">
                  <c:v>8.0810644316942038E-5</c:v>
                </c:pt>
                <c:pt idx="54">
                  <c:v>6.2461959992796761E-5</c:v>
                </c:pt>
                <c:pt idx="55">
                  <c:v>3.9407484799498713E-5</c:v>
                </c:pt>
                <c:pt idx="56">
                  <c:v>2.9775080910831287E-5</c:v>
                </c:pt>
                <c:pt idx="57">
                  <c:v>1.4113448218084622E-5</c:v>
                </c:pt>
                <c:pt idx="58">
                  <c:v>1.1312971324052297E-5</c:v>
                </c:pt>
                <c:pt idx="59">
                  <c:v>3.6865622224154662E-6</c:v>
                </c:pt>
                <c:pt idx="60">
                  <c:v>6.5456351892073309E-6</c:v>
                </c:pt>
                <c:pt idx="61">
                  <c:v>8.8054358405391636E-6</c:v>
                </c:pt>
                <c:pt idx="62">
                  <c:v>1.0727523419622968E-5</c:v>
                </c:pt>
                <c:pt idx="63">
                  <c:v>2.0143297507912965E-5</c:v>
                </c:pt>
                <c:pt idx="64">
                  <c:v>2.3571680779560656E-5</c:v>
                </c:pt>
                <c:pt idx="65">
                  <c:v>3.2829850291908857E-5</c:v>
                </c:pt>
                <c:pt idx="66">
                  <c:v>4.068306220422108E-5</c:v>
                </c:pt>
                <c:pt idx="67">
                  <c:v>4.1460065908640111E-5</c:v>
                </c:pt>
                <c:pt idx="68">
                  <c:v>4.8778423501427143E-5</c:v>
                </c:pt>
                <c:pt idx="69">
                  <c:v>6.0453039784877594E-5</c:v>
                </c:pt>
                <c:pt idx="70">
                  <c:v>6.0567565102586624E-5</c:v>
                </c:pt>
                <c:pt idx="71">
                  <c:v>6.0752315211930298E-5</c:v>
                </c:pt>
                <c:pt idx="72">
                  <c:v>5.7980687927260442E-5</c:v>
                </c:pt>
                <c:pt idx="73">
                  <c:v>5.9958972772238857E-5</c:v>
                </c:pt>
                <c:pt idx="74">
                  <c:v>6.1298115558886524E-5</c:v>
                </c:pt>
                <c:pt idx="75">
                  <c:v>4.7501841848048565E-5</c:v>
                </c:pt>
                <c:pt idx="76">
                  <c:v>5.7834011497395499E-5</c:v>
                </c:pt>
                <c:pt idx="77">
                  <c:v>4.4552513885743593E-5</c:v>
                </c:pt>
                <c:pt idx="78">
                  <c:v>3.9761434992837331E-5</c:v>
                </c:pt>
                <c:pt idx="79">
                  <c:v>3.3369679380985543E-5</c:v>
                </c:pt>
                <c:pt idx="80">
                  <c:v>2.4567253716029736E-5</c:v>
                </c:pt>
                <c:pt idx="81">
                  <c:v>2.1900072203528672E-5</c:v>
                </c:pt>
                <c:pt idx="82">
                  <c:v>1.7543753580506503E-5</c:v>
                </c:pt>
                <c:pt idx="83">
                  <c:v>1.2961213020502237E-5</c:v>
                </c:pt>
                <c:pt idx="84">
                  <c:v>9.0194372246213774E-6</c:v>
                </c:pt>
                <c:pt idx="85">
                  <c:v>8.6710718838090982E-6</c:v>
                </c:pt>
                <c:pt idx="86">
                  <c:v>6.0181642070088512E-6</c:v>
                </c:pt>
                <c:pt idx="87">
                  <c:v>6.8665764608744779E-6</c:v>
                </c:pt>
                <c:pt idx="88">
                  <c:v>6.2898352105696237E-6</c:v>
                </c:pt>
                <c:pt idx="89">
                  <c:v>7.5000566733066567E-6</c:v>
                </c:pt>
                <c:pt idx="90">
                  <c:v>7.8398235834671941E-6</c:v>
                </c:pt>
                <c:pt idx="91">
                  <c:v>8.154749239230706E-6</c:v>
                </c:pt>
                <c:pt idx="92">
                  <c:v>9.095112204652191E-6</c:v>
                </c:pt>
                <c:pt idx="93">
                  <c:v>7.5817455392989661E-6</c:v>
                </c:pt>
                <c:pt idx="94">
                  <c:v>8.8393931327862021E-6</c:v>
                </c:pt>
                <c:pt idx="95">
                  <c:v>7.9284868949085441E-6</c:v>
                </c:pt>
                <c:pt idx="96">
                  <c:v>8.8679027672116073E-6</c:v>
                </c:pt>
                <c:pt idx="97">
                  <c:v>7.071509858890041E-6</c:v>
                </c:pt>
                <c:pt idx="98">
                  <c:v>6.3435284892964529E-6</c:v>
                </c:pt>
                <c:pt idx="99">
                  <c:v>6.5307916046553484E-6</c:v>
                </c:pt>
                <c:pt idx="100">
                  <c:v>6.4442106609549299E-6</c:v>
                </c:pt>
                <c:pt idx="101">
                  <c:v>5.332822738764593E-6</c:v>
                </c:pt>
                <c:pt idx="102">
                  <c:v>4.0795488574560232E-6</c:v>
                </c:pt>
                <c:pt idx="103">
                  <c:v>3.4131097141383042E-6</c:v>
                </c:pt>
                <c:pt idx="104">
                  <c:v>5.2474758433180125E-6</c:v>
                </c:pt>
                <c:pt idx="105">
                  <c:v>3.7068713535428399E-6</c:v>
                </c:pt>
                <c:pt idx="106">
                  <c:v>2.6449468606449932E-6</c:v>
                </c:pt>
                <c:pt idx="107">
                  <c:v>3.0910168766509058E-6</c:v>
                </c:pt>
                <c:pt idx="108">
                  <c:v>4.3045659747441344E-6</c:v>
                </c:pt>
                <c:pt idx="109">
                  <c:v>2.4112042217726887E-6</c:v>
                </c:pt>
                <c:pt idx="110">
                  <c:v>2.8113577225143007E-6</c:v>
                </c:pt>
                <c:pt idx="111">
                  <c:v>2.7161599869821595E-6</c:v>
                </c:pt>
                <c:pt idx="112">
                  <c:v>1.9175445746115811E-6</c:v>
                </c:pt>
                <c:pt idx="113">
                  <c:v>2.4121590312697577E-6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6-4794-BC90-A06B6E4B5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90592"/>
        <c:axId val="235181952"/>
      </c:scatterChart>
      <c:valAx>
        <c:axId val="225390592"/>
        <c:scaling>
          <c:logBase val="10"/>
          <c:orientation val="minMax"/>
          <c:max val="0.22000000000000003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5181952"/>
        <c:crossesAt val="10"/>
        <c:crossBetween val="midCat"/>
      </c:valAx>
      <c:valAx>
        <c:axId val="235181952"/>
        <c:scaling>
          <c:logBase val="10"/>
          <c:orientation val="minMax"/>
          <c:max val="1"/>
          <c:min val="1.0000000000000004E-6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225390592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density!$B$3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density!$A$4:$A$23</c:f>
              <c:numCache>
                <c:formatCode>0.000</c:formatCode>
                <c:ptCount val="20"/>
                <c:pt idx="0">
                  <c:v>0.61</c:v>
                </c:pt>
                <c:pt idx="1">
                  <c:v>0.63</c:v>
                </c:pt>
                <c:pt idx="2">
                  <c:v>0.65</c:v>
                </c:pt>
                <c:pt idx="3">
                  <c:v>0.67</c:v>
                </c:pt>
                <c:pt idx="4">
                  <c:v>0.69000000000000006</c:v>
                </c:pt>
                <c:pt idx="5">
                  <c:v>0.71000000000000008</c:v>
                </c:pt>
                <c:pt idx="6">
                  <c:v>0.73</c:v>
                </c:pt>
                <c:pt idx="7">
                  <c:v>0.75</c:v>
                </c:pt>
                <c:pt idx="8">
                  <c:v>0.77</c:v>
                </c:pt>
                <c:pt idx="9">
                  <c:v>0.79</c:v>
                </c:pt>
                <c:pt idx="10">
                  <c:v>0.81</c:v>
                </c:pt>
              </c:numCache>
            </c:numRef>
          </c:xVal>
          <c:yVal>
            <c:numRef>
              <c:f>density!$B$4:$B$23</c:f>
              <c:numCache>
                <c:formatCode>0.00</c:formatCode>
                <c:ptCount val="20"/>
                <c:pt idx="0">
                  <c:v>7.7788994173283923</c:v>
                </c:pt>
                <c:pt idx="1">
                  <c:v>6.9369749044099098</c:v>
                </c:pt>
                <c:pt idx="2">
                  <c:v>6.3151469337978821</c:v>
                </c:pt>
                <c:pt idx="3">
                  <c:v>5.8941757194994802</c:v>
                </c:pt>
                <c:pt idx="4">
                  <c:v>5.656973327840344</c:v>
                </c:pt>
                <c:pt idx="5">
                  <c:v>5.5886455465601799</c:v>
                </c:pt>
                <c:pt idx="6">
                  <c:v>5.6765342828299969</c:v>
                </c:pt>
                <c:pt idx="7">
                  <c:v>5.9102604403252128</c:v>
                </c:pt>
                <c:pt idx="8">
                  <c:v>6.281767222521716</c:v>
                </c:pt>
                <c:pt idx="9">
                  <c:v>6.7853638067617119</c:v>
                </c:pt>
                <c:pt idx="10">
                  <c:v>7.4177693312209776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D-4A2B-932A-81F973DDC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65824"/>
        <c:axId val="197168128"/>
      </c:scatterChart>
      <c:valAx>
        <c:axId val="19716582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97168128"/>
        <c:crosses val="autoZero"/>
        <c:crossBetween val="midCat"/>
      </c:valAx>
      <c:valAx>
        <c:axId val="19716812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716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dMarker!$A$4:$A$23</c:f>
              <c:numCache>
                <c:formatCode>0.0</c:formatCode>
                <c:ptCount val="20"/>
                <c:pt idx="0">
                  <c:v>55</c:v>
                </c:pt>
                <c:pt idx="1">
                  <c:v>56</c:v>
                </c:pt>
                <c:pt idx="2">
                  <c:v>57</c:v>
                </c:pt>
                <c:pt idx="3">
                  <c:v>58</c:v>
                </c:pt>
                <c:pt idx="4">
                  <c:v>59</c:v>
                </c:pt>
                <c:pt idx="5">
                  <c:v>60</c:v>
                </c:pt>
                <c:pt idx="6">
                  <c:v>61</c:v>
                </c:pt>
                <c:pt idx="7">
                  <c:v>62</c:v>
                </c:pt>
                <c:pt idx="8">
                  <c:v>63</c:v>
                </c:pt>
                <c:pt idx="9">
                  <c:v>64</c:v>
                </c:pt>
                <c:pt idx="10">
                  <c:v>65</c:v>
                </c:pt>
              </c:numCache>
            </c:numRef>
          </c:xVal>
          <c:yVal>
            <c:numRef>
              <c:f>dMarker!$B$4:$B$23</c:f>
              <c:numCache>
                <c:formatCode>0.00</c:formatCode>
                <c:ptCount val="20"/>
                <c:pt idx="0">
                  <c:v>11.445346267408791</c:v>
                </c:pt>
                <c:pt idx="1">
                  <c:v>9.7507840688289686</c:v>
                </c:pt>
                <c:pt idx="2">
                  <c:v>8.3862378032374227</c:v>
                </c:pt>
                <c:pt idx="3">
                  <c:v>7.3232587630415056</c:v>
                </c:pt>
                <c:pt idx="4">
                  <c:v>6.5355663746322543</c:v>
                </c:pt>
                <c:pt idx="5">
                  <c:v>5.9989214114687881</c:v>
                </c:pt>
                <c:pt idx="6">
                  <c:v>5.6910015080214347</c:v>
                </c:pt>
                <c:pt idx="7">
                  <c:v>5.5912797831535554</c:v>
                </c:pt>
                <c:pt idx="8">
                  <c:v>5.6809071662085993</c:v>
                </c:pt>
                <c:pt idx="9">
                  <c:v>5.9425988344590017</c:v>
                </c:pt>
                <c:pt idx="10">
                  <c:v>6.3605250163738711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E8-4854-AFB8-01571CF177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61440"/>
        <c:axId val="243831168"/>
      </c:scatterChart>
      <c:valAx>
        <c:axId val="243261440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43831168"/>
        <c:crosses val="autoZero"/>
        <c:crossBetween val="midCat"/>
      </c:valAx>
      <c:valAx>
        <c:axId val="24383116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4326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'5×dBilayer'!$B$3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'5×dBilayer'!$A$4:$A$23</c:f>
              <c:numCache>
                <c:formatCode>0.0</c:formatCode>
                <c:ptCount val="20"/>
                <c:pt idx="0">
                  <c:v>171</c:v>
                </c:pt>
                <c:pt idx="1">
                  <c:v>172</c:v>
                </c:pt>
                <c:pt idx="2">
                  <c:v>173</c:v>
                </c:pt>
                <c:pt idx="3">
                  <c:v>174</c:v>
                </c:pt>
                <c:pt idx="4">
                  <c:v>175</c:v>
                </c:pt>
                <c:pt idx="5">
                  <c:v>176</c:v>
                </c:pt>
                <c:pt idx="6">
                  <c:v>177</c:v>
                </c:pt>
                <c:pt idx="7">
                  <c:v>178</c:v>
                </c:pt>
                <c:pt idx="8">
                  <c:v>179</c:v>
                </c:pt>
                <c:pt idx="9">
                  <c:v>180</c:v>
                </c:pt>
                <c:pt idx="10">
                  <c:v>181</c:v>
                </c:pt>
              </c:numCache>
            </c:numRef>
          </c:xVal>
          <c:yVal>
            <c:numRef>
              <c:f>'5×dBilayer'!$B$4:$B$23</c:f>
              <c:numCache>
                <c:formatCode>0.00</c:formatCode>
                <c:ptCount val="20"/>
                <c:pt idx="0">
                  <c:v>9.6387527784096836</c:v>
                </c:pt>
                <c:pt idx="1">
                  <c:v>8.1506843306009031</c:v>
                </c:pt>
                <c:pt idx="2">
                  <c:v>6.9939048031112661</c:v>
                </c:pt>
                <c:pt idx="3">
                  <c:v>6.1766359331774243</c:v>
                </c:pt>
                <c:pt idx="4">
                  <c:v>5.7074331190315126</c:v>
                </c:pt>
                <c:pt idx="5">
                  <c:v>5.5948477423803169</c:v>
                </c:pt>
                <c:pt idx="6">
                  <c:v>5.8472164083524536</c:v>
                </c:pt>
                <c:pt idx="7">
                  <c:v>6.4727752548144579</c:v>
                </c:pt>
                <c:pt idx="8">
                  <c:v>7.4801745240411748</c:v>
                </c:pt>
                <c:pt idx="9">
                  <c:v>8.8791817058958813</c:v>
                </c:pt>
                <c:pt idx="10">
                  <c:v>10.681186024344987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6-4E61-BC0E-6ECA43588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54944"/>
        <c:axId val="126357504"/>
      </c:scatterChart>
      <c:valAx>
        <c:axId val="12635494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26357504"/>
        <c:crosses val="autoZero"/>
        <c:crossBetween val="midCat"/>
      </c:valAx>
      <c:valAx>
        <c:axId val="12635750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635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sigMarker!$B$3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sigMarker!$A$4:$A$23</c:f>
              <c:numCache>
                <c:formatCode>0.0</c:formatCode>
                <c:ptCount val="20"/>
                <c:pt idx="0">
                  <c:v>16</c:v>
                </c:pt>
                <c:pt idx="1">
                  <c:v>18</c:v>
                </c:pt>
                <c:pt idx="2">
                  <c:v>20</c:v>
                </c:pt>
                <c:pt idx="3">
                  <c:v>22</c:v>
                </c:pt>
                <c:pt idx="4">
                  <c:v>24</c:v>
                </c:pt>
                <c:pt idx="5">
                  <c:v>26</c:v>
                </c:pt>
                <c:pt idx="6">
                  <c:v>28</c:v>
                </c:pt>
                <c:pt idx="7">
                  <c:v>30</c:v>
                </c:pt>
                <c:pt idx="8">
                  <c:v>32</c:v>
                </c:pt>
                <c:pt idx="9">
                  <c:v>34</c:v>
                </c:pt>
                <c:pt idx="10">
                  <c:v>36</c:v>
                </c:pt>
              </c:numCache>
            </c:numRef>
          </c:xVal>
          <c:yVal>
            <c:numRef>
              <c:f>sigMarker!$B$4:$B$23</c:f>
              <c:numCache>
                <c:formatCode>0.00</c:formatCode>
                <c:ptCount val="20"/>
                <c:pt idx="0">
                  <c:v>7.2391419841818347</c:v>
                </c:pt>
                <c:pt idx="1">
                  <c:v>6.7490276412749033</c:v>
                </c:pt>
                <c:pt idx="2">
                  <c:v>6.3322896180454764</c:v>
                </c:pt>
                <c:pt idx="3">
                  <c:v>6.0007153657194126</c:v>
                </c:pt>
                <c:pt idx="4">
                  <c:v>5.8200149314570968</c:v>
                </c:pt>
                <c:pt idx="5">
                  <c:v>5.6579423135110609</c:v>
                </c:pt>
                <c:pt idx="6">
                  <c:v>5.5883156843434785</c:v>
                </c:pt>
                <c:pt idx="7">
                  <c:v>5.6100269997770589</c:v>
                </c:pt>
                <c:pt idx="8">
                  <c:v>5.7210021901112267</c:v>
                </c:pt>
                <c:pt idx="9">
                  <c:v>5.9187813500172899</c:v>
                </c:pt>
                <c:pt idx="10">
                  <c:v>6.2009480284647127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5-4585-81BC-731D82682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29632"/>
        <c:axId val="134640384"/>
      </c:scatterChart>
      <c:valAx>
        <c:axId val="13462963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4640384"/>
        <c:crosses val="autoZero"/>
        <c:crossBetween val="midCat"/>
      </c:valAx>
      <c:valAx>
        <c:axId val="13464038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462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sigTop!$B$3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sigTop!$A$4:$A$23</c:f>
              <c:numCache>
                <c:formatCode>0.0</c:formatCode>
                <c:ptCount val="20"/>
                <c:pt idx="0">
                  <c:v>250</c:v>
                </c:pt>
                <c:pt idx="1">
                  <c:v>262</c:v>
                </c:pt>
                <c:pt idx="2">
                  <c:v>274</c:v>
                </c:pt>
                <c:pt idx="3">
                  <c:v>286</c:v>
                </c:pt>
                <c:pt idx="4">
                  <c:v>298</c:v>
                </c:pt>
                <c:pt idx="5">
                  <c:v>310</c:v>
                </c:pt>
                <c:pt idx="6">
                  <c:v>322</c:v>
                </c:pt>
                <c:pt idx="7">
                  <c:v>334</c:v>
                </c:pt>
                <c:pt idx="8">
                  <c:v>346</c:v>
                </c:pt>
                <c:pt idx="9">
                  <c:v>358</c:v>
                </c:pt>
                <c:pt idx="10">
                  <c:v>370</c:v>
                </c:pt>
              </c:numCache>
            </c:numRef>
          </c:xVal>
          <c:yVal>
            <c:numRef>
              <c:f>sigTop!$B$4:$B$23</c:f>
              <c:numCache>
                <c:formatCode>0.00</c:formatCode>
                <c:ptCount val="20"/>
                <c:pt idx="0">
                  <c:v>6.348903861172178</c:v>
                </c:pt>
                <c:pt idx="1">
                  <c:v>6.1498258188782637</c:v>
                </c:pt>
                <c:pt idx="2">
                  <c:v>5.9695243839913319</c:v>
                </c:pt>
                <c:pt idx="3">
                  <c:v>5.8155690190494296</c:v>
                </c:pt>
                <c:pt idx="4">
                  <c:v>5.6954656795781622</c:v>
                </c:pt>
                <c:pt idx="5">
                  <c:v>5.6141556873645264</c:v>
                </c:pt>
                <c:pt idx="6">
                  <c:v>5.5790003013385361</c:v>
                </c:pt>
                <c:pt idx="7">
                  <c:v>5.5922992427878917</c:v>
                </c:pt>
                <c:pt idx="8">
                  <c:v>5.6367175385295383</c:v>
                </c:pt>
                <c:pt idx="9">
                  <c:v>5.6800823961017244</c:v>
                </c:pt>
                <c:pt idx="10">
                  <c:v>5.7022319106729586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2-43EA-A9D0-EBBACE3D1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29632"/>
        <c:axId val="134640384"/>
      </c:scatterChart>
      <c:valAx>
        <c:axId val="13462963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4640384"/>
        <c:crosses val="autoZero"/>
        <c:crossBetween val="midCat"/>
      </c:valAx>
      <c:valAx>
        <c:axId val="134640384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3462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176212</xdr:colOff>
      <xdr:row>9</xdr:row>
      <xdr:rowOff>57151</xdr:rowOff>
    </xdr:from>
    <xdr:to>
      <xdr:col>19</xdr:col>
      <xdr:colOff>71436</xdr:colOff>
      <xdr:row>30</xdr:row>
      <xdr:rowOff>126208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1300161</xdr:colOff>
      <xdr:row>19</xdr:row>
      <xdr:rowOff>169067</xdr:rowOff>
    </xdr:from>
    <xdr:to>
      <xdr:col>11</xdr:col>
      <xdr:colOff>214313</xdr:colOff>
      <xdr:row>47</xdr:row>
      <xdr:rowOff>178594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C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557"/>
  <sheetViews>
    <sheetView zoomScale="80" workbookViewId="0">
      <selection activeCell="H12" sqref="H12"/>
    </sheetView>
  </sheetViews>
  <sheetFormatPr defaultRowHeight="15.75" x14ac:dyDescent="0.25"/>
  <cols>
    <col min="1" max="1" width="19.375" style="64" bestFit="1" customWidth="1"/>
    <col min="2" max="2" width="29" style="21" bestFit="1" customWidth="1"/>
    <col min="3" max="3" width="13.125" style="21" bestFit="1" customWidth="1"/>
    <col min="4" max="4" width="17.125" style="19" bestFit="1" customWidth="1"/>
    <col min="5" max="5" width="10" style="19" bestFit="1" customWidth="1"/>
    <col min="6" max="6" width="9.25" style="39" bestFit="1" customWidth="1"/>
    <col min="7" max="7" width="8.375" style="39" bestFit="1" customWidth="1"/>
    <col min="8" max="8" width="20.625" style="40" bestFit="1" customWidth="1"/>
    <col min="9" max="9" width="8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5" bestFit="1" customWidth="1"/>
    <col min="21" max="21" width="9" style="84"/>
    <col min="22" max="22" width="8.625" style="93" bestFit="1" customWidth="1"/>
    <col min="23" max="23" width="8.625" style="94" bestFit="1" customWidth="1"/>
    <col min="24" max="24" width="8.625" style="95" bestFit="1" customWidth="1"/>
    <col min="25" max="25" width="8.625" style="84" bestFit="1" customWidth="1"/>
    <col min="26" max="26" width="8.25" style="75" bestFit="1" customWidth="1"/>
    <col min="27" max="27" width="9" style="85"/>
    <col min="28" max="28" width="12.5" style="85" bestFit="1" customWidth="1"/>
    <col min="29" max="29" width="10" style="85" bestFit="1" customWidth="1"/>
    <col min="30" max="30" width="6.375" style="86" bestFit="1" customWidth="1"/>
    <col min="31" max="31" width="7.375" style="86" bestFit="1" customWidth="1"/>
    <col min="32" max="32" width="8.625" style="85" bestFit="1" customWidth="1"/>
    <col min="33" max="33" width="12.25" style="85" bestFit="1" customWidth="1"/>
    <col min="34" max="34" width="9" style="84"/>
  </cols>
  <sheetData>
    <row r="1" spans="1:34" x14ac:dyDescent="0.25">
      <c r="A1" s="106" t="s">
        <v>524</v>
      </c>
      <c r="B1" s="178" t="s">
        <v>491</v>
      </c>
      <c r="C1" s="178"/>
      <c r="D1" s="178"/>
      <c r="E1" s="178"/>
      <c r="F1" s="178"/>
      <c r="G1" s="178"/>
      <c r="H1" s="178"/>
      <c r="I1" s="179" t="s">
        <v>506</v>
      </c>
      <c r="J1" s="179"/>
      <c r="K1" s="179"/>
      <c r="L1" s="68" t="s">
        <v>504</v>
      </c>
      <c r="M1" s="180" t="s">
        <v>489</v>
      </c>
      <c r="N1" s="180"/>
      <c r="O1" s="180"/>
      <c r="P1" s="180"/>
      <c r="Q1" s="180"/>
      <c r="R1" s="177" t="s">
        <v>490</v>
      </c>
      <c r="S1" s="177"/>
      <c r="T1" s="74"/>
      <c r="U1" s="76"/>
      <c r="V1" s="147"/>
      <c r="W1" s="147"/>
      <c r="X1" s="147"/>
      <c r="Y1" s="74"/>
      <c r="AA1" s="176"/>
      <c r="AB1" s="176"/>
      <c r="AC1" s="176"/>
      <c r="AD1" s="176"/>
      <c r="AE1" s="176"/>
      <c r="AF1" s="176"/>
      <c r="AG1" s="74"/>
      <c r="AH1" s="76"/>
    </row>
    <row r="2" spans="1:34" s="16" customFormat="1" ht="18.75" x14ac:dyDescent="0.25">
      <c r="A2" s="107" t="s">
        <v>525</v>
      </c>
      <c r="B2" s="138" t="s">
        <v>481</v>
      </c>
      <c r="C2" s="139" t="s">
        <v>548</v>
      </c>
      <c r="D2" s="140" t="s">
        <v>493</v>
      </c>
      <c r="E2" s="140" t="s">
        <v>494</v>
      </c>
      <c r="F2" s="141" t="s">
        <v>549</v>
      </c>
      <c r="G2" s="142" t="s">
        <v>550</v>
      </c>
      <c r="H2" s="143"/>
      <c r="I2" s="46" t="s">
        <v>496</v>
      </c>
      <c r="J2" s="47" t="s">
        <v>0</v>
      </c>
      <c r="K2" s="48" t="s">
        <v>499</v>
      </c>
      <c r="L2" s="69" t="s">
        <v>505</v>
      </c>
      <c r="M2" s="22" t="s">
        <v>497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498</v>
      </c>
      <c r="S2" s="60" t="s">
        <v>492</v>
      </c>
      <c r="T2" s="81"/>
      <c r="U2" s="82"/>
      <c r="V2" s="77"/>
      <c r="W2" s="78"/>
      <c r="X2" s="148" t="s">
        <v>552</v>
      </c>
      <c r="Y2" s="149" t="s">
        <v>0</v>
      </c>
      <c r="Z2" s="150" t="s">
        <v>499</v>
      </c>
      <c r="AA2" s="151" t="s">
        <v>505</v>
      </c>
      <c r="AB2" s="151" t="s">
        <v>553</v>
      </c>
      <c r="AC2" s="151" t="s">
        <v>554</v>
      </c>
      <c r="AD2" s="80"/>
      <c r="AE2" s="80"/>
      <c r="AF2" s="79"/>
      <c r="AG2" s="81"/>
      <c r="AH2" s="82"/>
    </row>
    <row r="3" spans="1:34" ht="19.5" x14ac:dyDescent="0.3">
      <c r="A3" s="107" t="s">
        <v>526</v>
      </c>
      <c r="B3" s="96" t="s">
        <v>625</v>
      </c>
      <c r="C3" s="97">
        <v>0</v>
      </c>
      <c r="D3" s="97">
        <v>0</v>
      </c>
      <c r="E3" s="97">
        <v>0</v>
      </c>
      <c r="F3" s="98">
        <v>100</v>
      </c>
      <c r="G3" s="98">
        <v>0</v>
      </c>
      <c r="H3" s="166" t="s">
        <v>618</v>
      </c>
      <c r="I3" s="49">
        <v>1.69005895909E-2</v>
      </c>
      <c r="J3" s="49">
        <v>3.7450891817514672E-3</v>
      </c>
      <c r="K3" s="49">
        <v>3.9493077473668441E-4</v>
      </c>
      <c r="L3" s="67">
        <v>3.368919005509573E-3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1">
        <v>-10</v>
      </c>
      <c r="S3" s="58">
        <v>0</v>
      </c>
      <c r="U3" s="85"/>
      <c r="V3" s="85"/>
      <c r="W3" s="105"/>
      <c r="X3" s="152">
        <f>I3*10</f>
        <v>0.169005895909</v>
      </c>
      <c r="Y3" s="153">
        <f>J3</f>
        <v>3.7450891817514672E-3</v>
      </c>
      <c r="Z3" s="153">
        <f t="shared" ref="Z3:AA66" si="0">K3</f>
        <v>3.9493077473668441E-4</v>
      </c>
      <c r="AA3" s="153">
        <f>L3</f>
        <v>3.368919005509573E-3</v>
      </c>
      <c r="AB3" s="117">
        <f>(1139.47-R3)/10</f>
        <v>114.947</v>
      </c>
      <c r="AC3" s="117">
        <f>S3*100</f>
        <v>0</v>
      </c>
    </row>
    <row r="4" spans="1:34" ht="18.75" x14ac:dyDescent="0.25">
      <c r="A4" s="107" t="s">
        <v>527</v>
      </c>
      <c r="B4" s="126" t="s">
        <v>641</v>
      </c>
      <c r="C4" s="128">
        <f>H4+(1/5)*H14*(0.0000000000000001*(C14/B14)*H16*C16-H4)</f>
        <v>1.2605444348916719E-6</v>
      </c>
      <c r="D4" s="128">
        <v>1.5392483148537927E-10</v>
      </c>
      <c r="E4" s="128">
        <v>5.0509225500401457E-8</v>
      </c>
      <c r="F4" s="174">
        <f>(10/5)*H10</f>
        <v>351.48634620342796</v>
      </c>
      <c r="G4" s="137">
        <v>332.18064235444302</v>
      </c>
      <c r="H4" s="125">
        <f>0.0000000000000001*H16*(H14*B16+(1-H14)*D16)</f>
        <v>7.9470977345601922E-7</v>
      </c>
      <c r="I4" s="49">
        <v>1.7238601382699999E-2</v>
      </c>
      <c r="J4" s="49">
        <v>2.6911093449968441E-3</v>
      </c>
      <c r="K4" s="49">
        <v>3.327536372562446E-4</v>
      </c>
      <c r="L4" s="67">
        <v>2.9250319944921031E-3</v>
      </c>
      <c r="M4" s="27"/>
      <c r="N4" s="18">
        <v>4.9313328989804203E-9</v>
      </c>
      <c r="O4" s="18">
        <v>6.0216408439350207E-13</v>
      </c>
      <c r="P4" s="18">
        <v>1.9759541870775514E-10</v>
      </c>
      <c r="Q4" s="28">
        <v>114.34199749417347</v>
      </c>
      <c r="R4" s="61">
        <v>100</v>
      </c>
      <c r="S4" s="58">
        <v>0</v>
      </c>
      <c r="U4" s="85"/>
      <c r="V4" s="85"/>
      <c r="W4" s="83"/>
      <c r="X4" s="152">
        <f t="shared" ref="X4:X67" si="1">I4*10</f>
        <v>0.172386013827</v>
      </c>
      <c r="Y4" s="153">
        <f t="shared" ref="Y4:AA67" si="2">J4</f>
        <v>2.6911093449968441E-3</v>
      </c>
      <c r="Z4" s="153">
        <f t="shared" si="0"/>
        <v>3.327536372562446E-4</v>
      </c>
      <c r="AA4" s="153">
        <f t="shared" si="0"/>
        <v>2.9250319944921031E-3</v>
      </c>
      <c r="AB4" s="117">
        <f t="shared" ref="AB4:AB67" si="3">(1139.47-R4)/10</f>
        <v>103.947</v>
      </c>
      <c r="AC4" s="117">
        <f t="shared" ref="AC4:AC67" si="4">S4*100</f>
        <v>0</v>
      </c>
    </row>
    <row r="5" spans="1:34" ht="18.75" x14ac:dyDescent="0.25">
      <c r="A5" s="108"/>
      <c r="B5" s="122" t="s">
        <v>538</v>
      </c>
      <c r="C5" s="123">
        <f>H4</f>
        <v>7.9470977345601922E-7</v>
      </c>
      <c r="D5" s="123">
        <v>1.5392483148537927E-10</v>
      </c>
      <c r="E5" s="123">
        <v>5.0509225500401457E-8</v>
      </c>
      <c r="F5" s="124">
        <f>(3/5)*H10-F6/2</f>
        <v>74.407345041618456</v>
      </c>
      <c r="G5" s="124">
        <f>F5</f>
        <v>74.407345041618456</v>
      </c>
      <c r="H5" s="130" t="s">
        <v>619</v>
      </c>
      <c r="I5" s="49">
        <v>1.7583373410300002E-2</v>
      </c>
      <c r="J5" s="49">
        <v>2.6596506580426021E-3</v>
      </c>
      <c r="K5" s="49">
        <v>3.0959875316706128E-4</v>
      </c>
      <c r="L5" s="67">
        <v>2.5775334195488543E-3</v>
      </c>
      <c r="M5" s="27"/>
      <c r="N5" s="18">
        <v>4.0620815313435623E-8</v>
      </c>
      <c r="O5" s="18">
        <v>4.9601997191448639E-12</v>
      </c>
      <c r="P5" s="18">
        <v>1.627650611819012E-9</v>
      </c>
      <c r="Q5" s="28">
        <v>85.14380317120127</v>
      </c>
      <c r="R5" s="61">
        <v>100</v>
      </c>
      <c r="S5" s="58">
        <v>4.9313328989804203E-9</v>
      </c>
      <c r="U5" s="85"/>
      <c r="V5" s="85"/>
      <c r="W5" s="83"/>
      <c r="X5" s="152">
        <f t="shared" si="1"/>
        <v>0.17583373410300002</v>
      </c>
      <c r="Y5" s="153">
        <f t="shared" si="2"/>
        <v>2.6596506580426021E-3</v>
      </c>
      <c r="Z5" s="153">
        <f t="shared" si="0"/>
        <v>3.0959875316706128E-4</v>
      </c>
      <c r="AA5" s="153">
        <f t="shared" si="0"/>
        <v>2.5775334195488543E-3</v>
      </c>
      <c r="AB5" s="117">
        <f t="shared" si="3"/>
        <v>103.947</v>
      </c>
      <c r="AC5" s="117">
        <f t="shared" si="4"/>
        <v>4.9313328989804205E-7</v>
      </c>
    </row>
    <row r="6" spans="1:34" x14ac:dyDescent="0.25">
      <c r="B6" s="126" t="s">
        <v>636</v>
      </c>
      <c r="C6" s="127">
        <f>H6</f>
        <v>1.6567282923091531E-6</v>
      </c>
      <c r="D6" s="128">
        <v>7.9300000000000003E-12</v>
      </c>
      <c r="E6" s="128">
        <v>3.6399999999999998E-10</v>
      </c>
      <c r="F6" s="129">
        <v>62.077117638819857</v>
      </c>
      <c r="G6" s="174">
        <f>G7</f>
        <v>28.41836508397434</v>
      </c>
      <c r="H6" s="125">
        <f>0.0000000000000001*(H16*(C14/B14)*H18*C16+(1-H18)*H4)</f>
        <v>1.6567282923091531E-6</v>
      </c>
      <c r="I6" s="49">
        <v>1.7935040878500001E-2</v>
      </c>
      <c r="J6" s="49">
        <v>2.382605887522616E-3</v>
      </c>
      <c r="K6" s="49">
        <v>2.7731681147941779E-4</v>
      </c>
      <c r="L6" s="67">
        <v>2.3060218781484785E-3</v>
      </c>
      <c r="M6" s="27"/>
      <c r="N6" s="18">
        <v>9.2251010632700465E-8</v>
      </c>
      <c r="O6" s="18">
        <v>1.1264752652067073E-11</v>
      </c>
      <c r="P6" s="18">
        <v>3.6964401806965486E-9</v>
      </c>
      <c r="Q6" s="28">
        <v>47.380731286035619</v>
      </c>
      <c r="R6" s="61">
        <v>214.34199749417348</v>
      </c>
      <c r="S6" s="58">
        <v>4.9313328989804203E-9</v>
      </c>
      <c r="U6" s="85"/>
      <c r="V6" s="85"/>
      <c r="W6" s="83"/>
      <c r="X6" s="152">
        <f t="shared" si="1"/>
        <v>0.17935040878500003</v>
      </c>
      <c r="Y6" s="153">
        <f t="shared" si="2"/>
        <v>2.382605887522616E-3</v>
      </c>
      <c r="Z6" s="153">
        <f t="shared" si="0"/>
        <v>2.7731681147941779E-4</v>
      </c>
      <c r="AA6" s="153">
        <f t="shared" si="0"/>
        <v>2.3060218781484785E-3</v>
      </c>
      <c r="AB6" s="117">
        <f t="shared" si="3"/>
        <v>92.512800250582657</v>
      </c>
      <c r="AC6" s="117">
        <f t="shared" si="4"/>
        <v>4.9313328989804205E-7</v>
      </c>
    </row>
    <row r="7" spans="1:34" ht="19.5" x14ac:dyDescent="0.3">
      <c r="A7" s="72" t="s">
        <v>528</v>
      </c>
      <c r="B7" s="122" t="s">
        <v>538</v>
      </c>
      <c r="C7" s="123">
        <f>H4</f>
        <v>7.9470977345601922E-7</v>
      </c>
      <c r="D7" s="123">
        <v>1.5392483148537927E-10</v>
      </c>
      <c r="E7" s="123">
        <v>5.0509225500401457E-8</v>
      </c>
      <c r="F7" s="124">
        <f>(4/5)*H10-F6/2</f>
        <v>109.55597966196126</v>
      </c>
      <c r="G7" s="137">
        <v>28.41836508397434</v>
      </c>
      <c r="H7" s="131" t="s">
        <v>646</v>
      </c>
      <c r="I7" s="49">
        <v>1.8293741696099999E-2</v>
      </c>
      <c r="J7" s="49">
        <v>2.3543597541911408E-3</v>
      </c>
      <c r="K7" s="49">
        <v>2.6124424239815173E-4</v>
      </c>
      <c r="L7" s="67">
        <v>2.0927856115547728E-3</v>
      </c>
      <c r="M7" s="27"/>
      <c r="N7" s="18">
        <v>1.5067327773992062E-7</v>
      </c>
      <c r="O7" s="18">
        <v>1.8398684126878974E-11</v>
      </c>
      <c r="P7" s="18">
        <v>6.0373838094047736E-9</v>
      </c>
      <c r="Q7" s="28">
        <v>34.714385881656341</v>
      </c>
      <c r="R7" s="61">
        <v>214.34199749417348</v>
      </c>
      <c r="S7" s="58">
        <v>4.0620815313435623E-8</v>
      </c>
      <c r="U7" s="85"/>
      <c r="V7" s="85"/>
      <c r="W7" s="83"/>
      <c r="X7" s="152">
        <f t="shared" si="1"/>
        <v>0.18293741696099999</v>
      </c>
      <c r="Y7" s="153">
        <f t="shared" si="2"/>
        <v>2.3543597541911408E-3</v>
      </c>
      <c r="Z7" s="153">
        <f t="shared" si="0"/>
        <v>2.6124424239815173E-4</v>
      </c>
      <c r="AA7" s="153">
        <f t="shared" si="0"/>
        <v>2.0927856115547728E-3</v>
      </c>
      <c r="AB7" s="117">
        <f t="shared" si="3"/>
        <v>92.512800250582657</v>
      </c>
      <c r="AC7" s="117">
        <f t="shared" si="4"/>
        <v>4.0620815313435621E-6</v>
      </c>
    </row>
    <row r="8" spans="1:34" x14ac:dyDescent="0.25">
      <c r="A8" s="109" t="b">
        <v>0</v>
      </c>
      <c r="B8" s="21" t="s">
        <v>539</v>
      </c>
      <c r="C8" s="123">
        <v>8.9999999999999996E-7</v>
      </c>
      <c r="D8" s="123">
        <v>1.5392483148537927E-10</v>
      </c>
      <c r="E8" s="123">
        <v>5.0509225500401457E-8</v>
      </c>
      <c r="F8" s="124">
        <v>10.8</v>
      </c>
      <c r="G8" s="39">
        <f>F8</f>
        <v>10.8</v>
      </c>
      <c r="H8" s="132">
        <f>H14*H10/5</f>
        <v>26.396624599877441</v>
      </c>
      <c r="I8" s="49">
        <v>1.8659616529999999E-2</v>
      </c>
      <c r="J8" s="49">
        <v>2.0970125479129837E-3</v>
      </c>
      <c r="K8" s="49">
        <v>2.3574592946562601E-4</v>
      </c>
      <c r="L8" s="67">
        <v>1.9228990628928993E-3</v>
      </c>
      <c r="M8" s="27"/>
      <c r="N8" s="18">
        <v>2.1232922814793706E-7</v>
      </c>
      <c r="O8" s="18">
        <v>2.5927480029611599E-11</v>
      </c>
      <c r="P8" s="18">
        <v>8.5078991013688351E-9</v>
      </c>
      <c r="Q8" s="28">
        <v>28.250091994871127</v>
      </c>
      <c r="R8" s="61">
        <v>299.48580066537477</v>
      </c>
      <c r="S8" s="58">
        <v>4.0620815313435623E-8</v>
      </c>
      <c r="U8" s="85"/>
      <c r="V8" s="85"/>
      <c r="W8" s="83"/>
      <c r="X8" s="152">
        <f t="shared" si="1"/>
        <v>0.18659616530000001</v>
      </c>
      <c r="Y8" s="153">
        <f t="shared" si="2"/>
        <v>2.0970125479129837E-3</v>
      </c>
      <c r="Z8" s="153">
        <f t="shared" si="0"/>
        <v>2.3574592946562601E-4</v>
      </c>
      <c r="AA8" s="153">
        <f t="shared" si="0"/>
        <v>1.9228990628928993E-3</v>
      </c>
      <c r="AB8" s="117">
        <f t="shared" si="3"/>
        <v>83.998419933462529</v>
      </c>
      <c r="AC8" s="117">
        <f t="shared" si="4"/>
        <v>4.0620815313435621E-6</v>
      </c>
    </row>
    <row r="9" spans="1:34" ht="20.25" x14ac:dyDescent="0.35">
      <c r="A9" s="72" t="s">
        <v>521</v>
      </c>
      <c r="B9" s="146" t="s">
        <v>551</v>
      </c>
      <c r="C9" s="99">
        <v>3.1999999999999999E-6</v>
      </c>
      <c r="D9" s="99">
        <v>2.5307649463664093E-11</v>
      </c>
      <c r="E9" s="99">
        <v>1.486857631694136E-12</v>
      </c>
      <c r="F9" s="145">
        <v>15.6</v>
      </c>
      <c r="G9" s="98">
        <f>F8</f>
        <v>10.8</v>
      </c>
      <c r="H9" s="131" t="s">
        <v>621</v>
      </c>
      <c r="I9" s="49">
        <v>1.9032808860599999E-2</v>
      </c>
      <c r="J9" s="49">
        <v>1.8454450200369832E-3</v>
      </c>
      <c r="K9" s="49">
        <v>2.1446934738956393E-4</v>
      </c>
      <c r="L9" s="67">
        <v>1.7848035810960517E-3</v>
      </c>
      <c r="M9" s="27"/>
      <c r="N9" s="18">
        <v>2.7558985985297093E-7</v>
      </c>
      <c r="O9" s="18">
        <v>3.3652223247959776E-11</v>
      </c>
      <c r="P9" s="18">
        <v>1.104271296722196E-8</v>
      </c>
      <c r="Q9" s="28">
        <v>24.394111277483127</v>
      </c>
      <c r="R9" s="61">
        <v>299.48580066537477</v>
      </c>
      <c r="S9" s="58">
        <v>9.2251010632700465E-8</v>
      </c>
      <c r="U9" s="85"/>
      <c r="V9" s="85"/>
      <c r="W9" s="83"/>
      <c r="X9" s="152">
        <f t="shared" si="1"/>
        <v>0.19032808860599998</v>
      </c>
      <c r="Y9" s="153">
        <f t="shared" si="2"/>
        <v>1.8454450200369832E-3</v>
      </c>
      <c r="Z9" s="153">
        <f t="shared" si="0"/>
        <v>2.1446934738956393E-4</v>
      </c>
      <c r="AA9" s="153">
        <f t="shared" si="0"/>
        <v>1.7848035810960517E-3</v>
      </c>
      <c r="AB9" s="117">
        <f t="shared" si="3"/>
        <v>83.998419933462529</v>
      </c>
      <c r="AC9" s="117">
        <f t="shared" si="4"/>
        <v>9.2251010632700461E-6</v>
      </c>
    </row>
    <row r="10" spans="1:34" x14ac:dyDescent="0.25">
      <c r="A10" s="73">
        <v>5.5874991474690949</v>
      </c>
      <c r="B10" s="96" t="s">
        <v>52</v>
      </c>
      <c r="C10" s="99">
        <v>2.0700000000000001E-6</v>
      </c>
      <c r="D10" s="99">
        <v>4.7498147887006942E-11</v>
      </c>
      <c r="E10" s="99">
        <v>1.9976998807213682E-12</v>
      </c>
      <c r="F10" s="98">
        <v>100</v>
      </c>
      <c r="G10" s="98">
        <v>5</v>
      </c>
      <c r="H10" s="137">
        <v>175.74317310171398</v>
      </c>
      <c r="I10" s="49">
        <v>1.94134650379E-2</v>
      </c>
      <c r="J10" s="49">
        <v>1.8826699235302959E-3</v>
      </c>
      <c r="K10" s="49">
        <v>2.0267079784884698E-4</v>
      </c>
      <c r="L10" s="67">
        <v>1.6699498308296306E-3</v>
      </c>
      <c r="M10" s="27"/>
      <c r="N10" s="18">
        <v>3.3964309654895601E-7</v>
      </c>
      <c r="O10" s="18">
        <v>4.1473751304898057E-11</v>
      </c>
      <c r="P10" s="18">
        <v>1.36092860183228E-8</v>
      </c>
      <c r="Q10" s="28">
        <v>21.914279170589179</v>
      </c>
      <c r="R10" s="61">
        <v>346.86653195141037</v>
      </c>
      <c r="S10" s="58">
        <v>9.2251010632700465E-8</v>
      </c>
      <c r="U10" s="85"/>
      <c r="V10" s="85"/>
      <c r="W10" s="83"/>
      <c r="X10" s="152">
        <f t="shared" si="1"/>
        <v>0.19413465037900002</v>
      </c>
      <c r="Y10" s="153">
        <f t="shared" si="2"/>
        <v>1.8826699235302959E-3</v>
      </c>
      <c r="Z10" s="153">
        <f t="shared" si="0"/>
        <v>2.0267079784884698E-4</v>
      </c>
      <c r="AA10" s="153">
        <f t="shared" si="0"/>
        <v>1.6699498308296306E-3</v>
      </c>
      <c r="AB10" s="117">
        <f t="shared" si="3"/>
        <v>79.260346804858969</v>
      </c>
      <c r="AC10" s="117">
        <f t="shared" si="4"/>
        <v>9.2251010632700461E-6</v>
      </c>
    </row>
    <row r="11" spans="1:34" ht="19.5" x14ac:dyDescent="0.3">
      <c r="B11" s="133"/>
      <c r="C11" s="134"/>
      <c r="D11" s="134"/>
      <c r="E11" s="134"/>
      <c r="F11" s="134"/>
      <c r="G11" s="134"/>
      <c r="H11" s="131" t="s">
        <v>620</v>
      </c>
      <c r="I11" s="49">
        <v>1.98017343386E-2</v>
      </c>
      <c r="J11" s="49">
        <v>1.5011562370178737E-3</v>
      </c>
      <c r="K11" s="49">
        <v>1.87838095766144E-4</v>
      </c>
      <c r="L11" s="67">
        <v>1.5723898359910199E-3</v>
      </c>
      <c r="M11" s="27"/>
      <c r="N11" s="18">
        <v>4.0406948523399135E-7</v>
      </c>
      <c r="O11" s="18">
        <v>4.9340844877373218E-11</v>
      </c>
      <c r="P11" s="18">
        <v>1.6190811035763864E-8</v>
      </c>
      <c r="Q11" s="28">
        <v>20.270716451295165</v>
      </c>
      <c r="R11" s="61">
        <v>346.86653195141037</v>
      </c>
      <c r="S11" s="58">
        <v>1.5067327773992062E-7</v>
      </c>
      <c r="U11" s="85"/>
      <c r="V11" s="85"/>
      <c r="W11" s="83"/>
      <c r="X11" s="152">
        <f t="shared" si="1"/>
        <v>0.19801734338599999</v>
      </c>
      <c r="Y11" s="153">
        <f t="shared" si="2"/>
        <v>1.5011562370178737E-3</v>
      </c>
      <c r="Z11" s="153">
        <f t="shared" si="0"/>
        <v>1.87838095766144E-4</v>
      </c>
      <c r="AA11" s="153">
        <f t="shared" si="0"/>
        <v>1.5723898359910199E-3</v>
      </c>
      <c r="AB11" s="117">
        <f t="shared" si="3"/>
        <v>79.260346804858969</v>
      </c>
      <c r="AC11" s="117">
        <f t="shared" si="4"/>
        <v>1.5067327773992062E-5</v>
      </c>
    </row>
    <row r="12" spans="1:34" ht="19.5" x14ac:dyDescent="0.3">
      <c r="A12" s="100" t="s">
        <v>514</v>
      </c>
      <c r="B12" s="133"/>
      <c r="C12" s="134"/>
      <c r="D12" s="134"/>
      <c r="E12" s="134"/>
      <c r="F12" s="134"/>
      <c r="G12" s="134"/>
      <c r="H12" s="132">
        <f>SUM(F4:F7)</f>
        <v>597.52678854582746</v>
      </c>
      <c r="I12" s="49">
        <v>2.0197769025399999E-2</v>
      </c>
      <c r="J12" s="49">
        <v>1.1435576634697435E-3</v>
      </c>
      <c r="K12" s="49">
        <v>1.6583575728175803E-4</v>
      </c>
      <c r="L12" s="67">
        <v>1.4883369499238445E-3</v>
      </c>
      <c r="M12" s="27"/>
      <c r="N12" s="18">
        <v>4.686540738169969E-7</v>
      </c>
      <c r="O12" s="18">
        <v>5.7227256208082076E-11</v>
      </c>
      <c r="P12" s="18">
        <v>1.8778675023969899E-8</v>
      </c>
      <c r="Q12" s="28">
        <v>19.193097414593936</v>
      </c>
      <c r="R12" s="61">
        <v>381.58091783306668</v>
      </c>
      <c r="S12" s="58">
        <v>1.5067327773992062E-7</v>
      </c>
      <c r="U12" s="85"/>
      <c r="V12" s="85"/>
      <c r="W12" s="83"/>
      <c r="X12" s="152">
        <f t="shared" si="1"/>
        <v>0.20197769025399998</v>
      </c>
      <c r="Y12" s="153">
        <f t="shared" si="2"/>
        <v>1.1435576634697435E-3</v>
      </c>
      <c r="Z12" s="153">
        <f t="shared" si="0"/>
        <v>1.6583575728175803E-4</v>
      </c>
      <c r="AA12" s="153">
        <f t="shared" si="0"/>
        <v>1.4883369499238445E-3</v>
      </c>
      <c r="AB12" s="117">
        <f t="shared" si="3"/>
        <v>75.788908216693329</v>
      </c>
      <c r="AC12" s="117">
        <f t="shared" si="4"/>
        <v>1.5067327773992062E-5</v>
      </c>
    </row>
    <row r="13" spans="1:34" ht="19.5" x14ac:dyDescent="0.3">
      <c r="A13" s="103">
        <v>2.0000000000000001E-4</v>
      </c>
      <c r="B13" s="131" t="s">
        <v>611</v>
      </c>
      <c r="C13" s="131" t="s">
        <v>612</v>
      </c>
      <c r="D13" s="131" t="s">
        <v>613</v>
      </c>
      <c r="H13" s="168" t="s">
        <v>624</v>
      </c>
      <c r="I13" s="49">
        <v>2.0601724405899999E-2</v>
      </c>
      <c r="J13" s="49">
        <v>1.4275729512401387E-3</v>
      </c>
      <c r="K13" s="49">
        <v>1.6398097368285479E-4</v>
      </c>
      <c r="L13" s="67">
        <v>1.4157103262052398E-3</v>
      </c>
      <c r="M13" s="27"/>
      <c r="N13" s="18">
        <v>5.3329346228700308E-7</v>
      </c>
      <c r="O13" s="18">
        <v>6.5120359142147793E-11</v>
      </c>
      <c r="P13" s="18">
        <v>2.1368734809303978E-8</v>
      </c>
      <c r="Q13" s="28">
        <v>18.53686410938359</v>
      </c>
      <c r="R13" s="61">
        <v>381.58091783306668</v>
      </c>
      <c r="S13" s="58">
        <v>2.1232922814793706E-7</v>
      </c>
      <c r="U13" s="85"/>
      <c r="V13" s="85"/>
      <c r="W13" s="83"/>
      <c r="X13" s="152">
        <f t="shared" si="1"/>
        <v>0.20601724405899999</v>
      </c>
      <c r="Y13" s="153">
        <f t="shared" si="2"/>
        <v>1.4275729512401387E-3</v>
      </c>
      <c r="Z13" s="153">
        <f t="shared" si="0"/>
        <v>1.6398097368285479E-4</v>
      </c>
      <c r="AA13" s="153">
        <f t="shared" si="0"/>
        <v>1.4157103262052398E-3</v>
      </c>
      <c r="AB13" s="117">
        <f t="shared" si="3"/>
        <v>75.788908216693329</v>
      </c>
      <c r="AC13" s="117">
        <f t="shared" si="4"/>
        <v>2.1232922814793706E-5</v>
      </c>
    </row>
    <row r="14" spans="1:34" ht="17.25" x14ac:dyDescent="0.3">
      <c r="A14" s="100" t="s">
        <v>516</v>
      </c>
      <c r="B14" s="164">
        <v>86.1</v>
      </c>
      <c r="C14" s="164">
        <v>92.1</v>
      </c>
      <c r="D14" s="164">
        <v>111.16</v>
      </c>
      <c r="H14" s="155">
        <v>0.751</v>
      </c>
      <c r="I14" s="49">
        <v>2.1013758893999999E-2</v>
      </c>
      <c r="J14" s="49">
        <v>1.4367972926951056E-3</v>
      </c>
      <c r="K14" s="49">
        <v>1.590007566438047E-4</v>
      </c>
      <c r="L14" s="67">
        <v>1.3536794546338425E-3</v>
      </c>
      <c r="M14" s="27"/>
      <c r="N14" s="18">
        <v>5.9794549604094515E-7</v>
      </c>
      <c r="O14" s="18">
        <v>7.3015006189332449E-11</v>
      </c>
      <c r="P14" s="18">
        <v>2.3959301283240343E-8</v>
      </c>
      <c r="Q14" s="28">
        <v>18.225476187904228</v>
      </c>
      <c r="R14" s="61">
        <v>409.83100982793781</v>
      </c>
      <c r="S14" s="58">
        <v>2.1232922814793706E-7</v>
      </c>
      <c r="U14" s="85"/>
      <c r="V14" s="85"/>
      <c r="W14" s="83"/>
      <c r="X14" s="152">
        <f t="shared" si="1"/>
        <v>0.21013758894000001</v>
      </c>
      <c r="Y14" s="153">
        <f t="shared" si="2"/>
        <v>1.4367972926951056E-3</v>
      </c>
      <c r="Z14" s="153">
        <f t="shared" si="0"/>
        <v>1.590007566438047E-4</v>
      </c>
      <c r="AA14" s="153">
        <f t="shared" si="0"/>
        <v>1.3536794546338425E-3</v>
      </c>
      <c r="AB14" s="117">
        <f t="shared" si="3"/>
        <v>72.963899017206217</v>
      </c>
      <c r="AC14" s="117">
        <f t="shared" si="4"/>
        <v>2.1232922814793706E-5</v>
      </c>
    </row>
    <row r="15" spans="1:34" ht="19.5" x14ac:dyDescent="0.3">
      <c r="A15" s="144">
        <v>2.3E-2</v>
      </c>
      <c r="B15" s="131" t="s">
        <v>614</v>
      </c>
      <c r="C15" s="131" t="s">
        <v>615</v>
      </c>
      <c r="D15" s="131" t="s">
        <v>616</v>
      </c>
      <c r="H15" s="130" t="s">
        <v>617</v>
      </c>
      <c r="I15" s="49">
        <v>2.1434034071900001E-2</v>
      </c>
      <c r="J15" s="49">
        <v>1.1864938835540991E-3</v>
      </c>
      <c r="K15" s="49">
        <v>1.3907805008881696E-4</v>
      </c>
      <c r="L15" s="67">
        <v>1.30222414977507E-3</v>
      </c>
      <c r="M15" s="27"/>
      <c r="N15" s="18">
        <v>6.4450837817573693E-7</v>
      </c>
      <c r="O15" s="18">
        <v>7.8700790512109883E-11</v>
      </c>
      <c r="P15" s="18">
        <v>2.5825046788591707E-8</v>
      </c>
      <c r="Q15" s="28">
        <v>7.9883260500779079</v>
      </c>
      <c r="R15" s="61">
        <v>409.83100982793781</v>
      </c>
      <c r="S15" s="58">
        <v>2.7558985985297093E-7</v>
      </c>
      <c r="U15" s="85"/>
      <c r="V15" s="85"/>
      <c r="W15" s="83"/>
      <c r="X15" s="152">
        <f t="shared" si="1"/>
        <v>0.21434034071900002</v>
      </c>
      <c r="Y15" s="153">
        <f t="shared" si="2"/>
        <v>1.1864938835540991E-3</v>
      </c>
      <c r="Z15" s="153">
        <f t="shared" si="0"/>
        <v>1.3907805008881696E-4</v>
      </c>
      <c r="AA15" s="153">
        <f t="shared" si="0"/>
        <v>1.30222414977507E-3</v>
      </c>
      <c r="AB15" s="117">
        <f t="shared" si="3"/>
        <v>72.963899017206217</v>
      </c>
      <c r="AC15" s="117">
        <f t="shared" si="4"/>
        <v>2.7558985985297094E-5</v>
      </c>
    </row>
    <row r="16" spans="1:34" x14ac:dyDescent="0.25">
      <c r="A16" s="101" t="s">
        <v>515</v>
      </c>
      <c r="B16" s="125">
        <v>11000000000</v>
      </c>
      <c r="C16" s="125">
        <v>51100000000</v>
      </c>
      <c r="D16" s="125">
        <v>11600000000</v>
      </c>
      <c r="H16" s="165">
        <v>0.71278254745189806</v>
      </c>
      <c r="I16" s="49">
        <v>2.1862714753300001E-2</v>
      </c>
      <c r="J16" s="49">
        <v>9.7215721136024189E-4</v>
      </c>
      <c r="K16" s="49">
        <v>1.3327808436468288E-4</v>
      </c>
      <c r="L16" s="67">
        <v>1.2617258332014028E-3</v>
      </c>
      <c r="M16" s="27"/>
      <c r="N16" s="18">
        <v>6.8710276218615764E-7</v>
      </c>
      <c r="O16" s="18">
        <v>8.3901982314278261E-11</v>
      </c>
      <c r="P16" s="18">
        <v>2.7531777061228163E-8</v>
      </c>
      <c r="Q16" s="28">
        <v>15.976652100155816</v>
      </c>
      <c r="R16" s="61">
        <v>434.22512110542095</v>
      </c>
      <c r="S16" s="58">
        <v>2.7558985985297093E-7</v>
      </c>
      <c r="U16" s="85"/>
      <c r="V16" s="85"/>
      <c r="W16" s="83"/>
      <c r="X16" s="152">
        <f t="shared" si="1"/>
        <v>0.218627147533</v>
      </c>
      <c r="Y16" s="153">
        <f t="shared" si="2"/>
        <v>9.7215721136024189E-4</v>
      </c>
      <c r="Z16" s="153">
        <f t="shared" si="0"/>
        <v>1.3327808436468288E-4</v>
      </c>
      <c r="AA16" s="153">
        <f t="shared" si="0"/>
        <v>1.2617258332014028E-3</v>
      </c>
      <c r="AB16" s="117">
        <f t="shared" si="3"/>
        <v>70.524487889457902</v>
      </c>
      <c r="AC16" s="117">
        <f t="shared" si="4"/>
        <v>2.7558985985297094E-5</v>
      </c>
    </row>
    <row r="17" spans="1:34" ht="18.75" x14ac:dyDescent="0.25">
      <c r="A17" s="102">
        <v>4.25</v>
      </c>
      <c r="H17" s="130" t="s">
        <v>622</v>
      </c>
      <c r="I17" s="49">
        <v>2.2299969048399999E-2</v>
      </c>
      <c r="J17" s="49">
        <v>1.1134343975242867E-3</v>
      </c>
      <c r="K17" s="49">
        <v>1.2951323322024747E-4</v>
      </c>
      <c r="L17" s="67">
        <v>1.2326065621375308E-3</v>
      </c>
      <c r="M17" s="27"/>
      <c r="N17" s="18">
        <v>7.4320966381665839E-7</v>
      </c>
      <c r="O17" s="18">
        <v>9.0753184968934192E-11</v>
      </c>
      <c r="P17" s="18">
        <v>2.9779945446365136E-8</v>
      </c>
      <c r="Q17" s="28">
        <v>15.976652100155816</v>
      </c>
      <c r="R17" s="61">
        <v>434.22512110542095</v>
      </c>
      <c r="S17" s="58">
        <v>3.3964309654895601E-7</v>
      </c>
      <c r="U17" s="85"/>
      <c r="V17" s="85"/>
      <c r="W17" s="83"/>
      <c r="X17" s="152">
        <f t="shared" si="1"/>
        <v>0.22299969048399998</v>
      </c>
      <c r="Y17" s="153">
        <f t="shared" si="2"/>
        <v>1.1134343975242867E-3</v>
      </c>
      <c r="Z17" s="153">
        <f t="shared" si="0"/>
        <v>1.2951323322024747E-4</v>
      </c>
      <c r="AA17" s="153">
        <f t="shared" si="0"/>
        <v>1.2326065621375308E-3</v>
      </c>
      <c r="AB17" s="117">
        <f t="shared" si="3"/>
        <v>70.524487889457902</v>
      </c>
      <c r="AC17" s="117">
        <f t="shared" si="4"/>
        <v>3.3964309654895599E-5</v>
      </c>
    </row>
    <row r="18" spans="1:34" x14ac:dyDescent="0.25">
      <c r="E18" s="133"/>
      <c r="F18" s="158"/>
      <c r="G18" s="158"/>
      <c r="H18" s="164">
        <f>H8/F6</f>
        <v>0.42522310319656886</v>
      </c>
      <c r="I18" s="49">
        <v>2.27459684294E-2</v>
      </c>
      <c r="J18" s="49">
        <v>1.0553377964074141E-3</v>
      </c>
      <c r="K18" s="49">
        <v>6.5704045417050796E-5</v>
      </c>
      <c r="L18" s="67">
        <v>1.2150323383043661E-3</v>
      </c>
      <c r="N18" s="18">
        <v>7.9789722575045712E-7</v>
      </c>
      <c r="O18" s="18">
        <v>9.7431072334110339E-11</v>
      </c>
      <c r="P18" s="18">
        <v>3.1971241779380786E-8</v>
      </c>
      <c r="Q18" s="28">
        <v>15.976652100155816</v>
      </c>
      <c r="R18" s="61">
        <v>456.13940027601012</v>
      </c>
      <c r="S18" s="58">
        <v>3.3964309654895601E-7</v>
      </c>
      <c r="U18" s="85"/>
      <c r="V18" s="85"/>
      <c r="W18" s="83"/>
      <c r="X18" s="152">
        <f t="shared" si="1"/>
        <v>0.22745968429399999</v>
      </c>
      <c r="Y18" s="153">
        <f t="shared" si="2"/>
        <v>1.0553377964074141E-3</v>
      </c>
      <c r="Z18" s="153">
        <f t="shared" si="0"/>
        <v>6.5704045417050796E-5</v>
      </c>
      <c r="AA18" s="153">
        <f t="shared" si="0"/>
        <v>1.2150323383043661E-3</v>
      </c>
      <c r="AB18" s="117">
        <f t="shared" si="3"/>
        <v>68.333059972398999</v>
      </c>
      <c r="AC18" s="117">
        <f t="shared" si="4"/>
        <v>3.3964309654895599E-5</v>
      </c>
    </row>
    <row r="19" spans="1:34" x14ac:dyDescent="0.25">
      <c r="B19" s="122"/>
      <c r="C19" s="123"/>
      <c r="D19" s="123"/>
      <c r="E19" s="123"/>
      <c r="F19" s="124"/>
      <c r="G19" s="124"/>
      <c r="H19" s="41"/>
      <c r="I19" s="49">
        <v>2.3200887797899999E-2</v>
      </c>
      <c r="J19" s="49">
        <v>1.0056773064416073E-3</v>
      </c>
      <c r="K19" s="49">
        <v>6.2634365861047225E-5</v>
      </c>
      <c r="L19" s="67">
        <v>1.2086960175015816E-3</v>
      </c>
      <c r="N19" s="18">
        <v>8.5052278227868062E-7</v>
      </c>
      <c r="O19" s="18">
        <v>1.038571686272785E-10</v>
      </c>
      <c r="P19" s="18">
        <v>3.4079914848090657E-8</v>
      </c>
      <c r="Q19" s="28">
        <v>15.976652100155816</v>
      </c>
      <c r="R19" s="61">
        <v>456.13940027601012</v>
      </c>
      <c r="S19" s="58">
        <v>4.0406948523399135E-7</v>
      </c>
      <c r="U19" s="85"/>
      <c r="V19" s="85"/>
      <c r="W19" s="83"/>
      <c r="X19" s="152">
        <f t="shared" si="1"/>
        <v>0.23200887797899999</v>
      </c>
      <c r="Y19" s="153">
        <f t="shared" si="2"/>
        <v>1.0056773064416073E-3</v>
      </c>
      <c r="Z19" s="153">
        <f t="shared" si="0"/>
        <v>6.2634365861047225E-5</v>
      </c>
      <c r="AA19" s="153">
        <f t="shared" si="0"/>
        <v>1.2086960175015816E-3</v>
      </c>
      <c r="AB19" s="117">
        <f t="shared" si="3"/>
        <v>68.333059972398999</v>
      </c>
      <c r="AC19" s="117">
        <f t="shared" si="4"/>
        <v>4.0406948523399133E-5</v>
      </c>
    </row>
    <row r="20" spans="1:34" x14ac:dyDescent="0.25">
      <c r="B20" s="122"/>
      <c r="C20" s="159"/>
      <c r="D20" s="123"/>
      <c r="E20" s="123"/>
      <c r="F20" s="158"/>
      <c r="G20" s="124"/>
      <c r="I20" s="49">
        <v>2.3664905553899999E-2</v>
      </c>
      <c r="J20" s="49">
        <v>9.8123626337700176E-4</v>
      </c>
      <c r="K20" s="49">
        <v>6.0536869617101884E-5</v>
      </c>
      <c r="L20" s="67">
        <v>1.212691968899572E-3</v>
      </c>
      <c r="N20" s="18">
        <v>9.0051934581281205E-7</v>
      </c>
      <c r="O20" s="18">
        <v>1.0996223910621054E-10</v>
      </c>
      <c r="P20" s="18">
        <v>3.6083245815164108E-8</v>
      </c>
      <c r="Q20" s="28">
        <v>15.976652100155816</v>
      </c>
      <c r="R20" s="61">
        <v>476.41011672730531</v>
      </c>
      <c r="S20" s="58">
        <v>4.0406948523399135E-7</v>
      </c>
      <c r="U20" s="85"/>
      <c r="V20" s="85"/>
      <c r="W20" s="83"/>
      <c r="X20" s="152">
        <f t="shared" si="1"/>
        <v>0.23664905553899998</v>
      </c>
      <c r="Y20" s="153">
        <f t="shared" si="2"/>
        <v>9.8123626337700176E-4</v>
      </c>
      <c r="Z20" s="153">
        <f t="shared" si="0"/>
        <v>6.0536869617101884E-5</v>
      </c>
      <c r="AA20" s="153">
        <f t="shared" si="0"/>
        <v>1.212691968899572E-3</v>
      </c>
      <c r="AB20" s="117">
        <f t="shared" si="3"/>
        <v>66.305988327269475</v>
      </c>
      <c r="AC20" s="117">
        <f t="shared" si="4"/>
        <v>4.0406948523399133E-5</v>
      </c>
    </row>
    <row r="21" spans="1:34" s="17" customFormat="1" x14ac:dyDescent="0.25">
      <c r="A21" s="64"/>
      <c r="B21" s="122"/>
      <c r="C21" s="123"/>
      <c r="D21" s="123"/>
      <c r="E21" s="123"/>
      <c r="F21" s="124"/>
      <c r="G21" s="124"/>
      <c r="H21" s="40"/>
      <c r="I21" s="49">
        <v>2.4138203665E-2</v>
      </c>
      <c r="J21" s="49">
        <v>9.6223934514086536E-4</v>
      </c>
      <c r="K21" s="49">
        <v>5.7692286599545361E-5</v>
      </c>
      <c r="L21" s="67">
        <v>1.2254891145151031E-3</v>
      </c>
      <c r="M21" s="31"/>
      <c r="N21" s="18">
        <v>9.4741352912104299E-7</v>
      </c>
      <c r="O21" s="18">
        <v>1.1568847854971278E-10</v>
      </c>
      <c r="P21" s="30">
        <v>3.7962266350902819E-8</v>
      </c>
      <c r="Q21" s="66">
        <v>15.976652100155816</v>
      </c>
      <c r="R21" s="63">
        <v>476.41011672730531</v>
      </c>
      <c r="S21" s="62">
        <v>4.686540738169969E-7</v>
      </c>
      <c r="T21" s="85"/>
      <c r="U21" s="85"/>
      <c r="V21" s="85"/>
      <c r="W21" s="83"/>
      <c r="X21" s="152">
        <f t="shared" si="1"/>
        <v>0.24138203664999999</v>
      </c>
      <c r="Y21" s="153">
        <f t="shared" si="2"/>
        <v>9.6223934514086536E-4</v>
      </c>
      <c r="Z21" s="153">
        <f t="shared" si="0"/>
        <v>5.7692286599545361E-5</v>
      </c>
      <c r="AA21" s="153">
        <f t="shared" si="0"/>
        <v>1.2254891145151031E-3</v>
      </c>
      <c r="AB21" s="117">
        <f t="shared" si="3"/>
        <v>66.305988327269475</v>
      </c>
      <c r="AC21" s="117">
        <f t="shared" si="4"/>
        <v>4.686540738169969E-5</v>
      </c>
      <c r="AD21" s="88"/>
      <c r="AE21" s="88"/>
      <c r="AF21" s="84"/>
      <c r="AG21" s="85"/>
      <c r="AH21" s="84"/>
    </row>
    <row r="22" spans="1:34" x14ac:dyDescent="0.25">
      <c r="B22" s="122"/>
      <c r="C22" s="159"/>
      <c r="D22" s="123"/>
      <c r="E22" s="123"/>
      <c r="F22" s="158"/>
      <c r="G22" s="124"/>
      <c r="I22" s="49">
        <v>2.4620967738300002E-2</v>
      </c>
      <c r="J22" s="49">
        <v>1.0651085945310738E-3</v>
      </c>
      <c r="K22" s="49">
        <v>5.6577934664808668E-5</v>
      </c>
      <c r="L22" s="67">
        <v>1.245001158973535E-3</v>
      </c>
      <c r="N22" s="18">
        <v>9.9083788820318193E-7</v>
      </c>
      <c r="O22" s="18">
        <v>1.2099101844363826E-10</v>
      </c>
      <c r="P22" s="18">
        <v>3.9702253204502829E-8</v>
      </c>
      <c r="Q22" s="28">
        <v>15.976652100155816</v>
      </c>
      <c r="R22" s="61">
        <v>495.60321414189923</v>
      </c>
      <c r="S22" s="58">
        <v>4.686540738169969E-7</v>
      </c>
      <c r="U22" s="85"/>
      <c r="V22" s="85"/>
      <c r="W22" s="83"/>
      <c r="X22" s="152">
        <f t="shared" si="1"/>
        <v>0.24620967738300001</v>
      </c>
      <c r="Y22" s="153">
        <f t="shared" si="2"/>
        <v>1.0651085945310738E-3</v>
      </c>
      <c r="Z22" s="153">
        <f t="shared" si="0"/>
        <v>5.6577934664808668E-5</v>
      </c>
      <c r="AA22" s="153">
        <f t="shared" si="0"/>
        <v>1.245001158973535E-3</v>
      </c>
      <c r="AB22" s="117">
        <f t="shared" si="3"/>
        <v>64.386678585810074</v>
      </c>
      <c r="AC22" s="117">
        <f t="shared" si="4"/>
        <v>4.686540738169969E-5</v>
      </c>
    </row>
    <row r="23" spans="1:34" x14ac:dyDescent="0.25">
      <c r="B23" s="122"/>
      <c r="C23" s="123"/>
      <c r="D23" s="123"/>
      <c r="E23" s="123"/>
      <c r="F23" s="124"/>
      <c r="G23" s="124"/>
      <c r="I23" s="49">
        <v>2.5113387093100001E-2</v>
      </c>
      <c r="J23" s="49">
        <v>1.1697133164728425E-3</v>
      </c>
      <c r="K23" s="49">
        <v>5.8447194213754885E-5</v>
      </c>
      <c r="L23" s="67">
        <v>1.2687432570190277E-3</v>
      </c>
      <c r="N23" s="18">
        <v>1.030537267751744E-6</v>
      </c>
      <c r="O23" s="18">
        <v>1.2583870182388471E-10</v>
      </c>
      <c r="P23" s="18">
        <v>4.1292982462703598E-8</v>
      </c>
      <c r="Q23" s="28">
        <v>15.976652100155816</v>
      </c>
      <c r="R23" s="61">
        <v>495.60321414189923</v>
      </c>
      <c r="S23" s="58">
        <v>5.3329346228700308E-7</v>
      </c>
      <c r="U23" s="85"/>
      <c r="V23" s="85"/>
      <c r="W23" s="83"/>
      <c r="X23" s="152">
        <f t="shared" si="1"/>
        <v>0.25113387093100004</v>
      </c>
      <c r="Y23" s="153">
        <f t="shared" si="2"/>
        <v>1.1697133164728425E-3</v>
      </c>
      <c r="Z23" s="153">
        <f t="shared" si="0"/>
        <v>5.8447194213754885E-5</v>
      </c>
      <c r="AA23" s="153">
        <f t="shared" si="0"/>
        <v>1.2687432570190277E-3</v>
      </c>
      <c r="AB23" s="117">
        <f t="shared" si="3"/>
        <v>64.386678585810074</v>
      </c>
      <c r="AC23" s="117">
        <f t="shared" si="4"/>
        <v>5.3329346228700309E-5</v>
      </c>
    </row>
    <row r="24" spans="1:34" x14ac:dyDescent="0.25">
      <c r="B24" s="122"/>
      <c r="C24" s="159"/>
      <c r="D24" s="123"/>
      <c r="E24" s="123"/>
      <c r="F24" s="158"/>
      <c r="G24" s="124"/>
      <c r="I24" s="49">
        <v>2.5615654834900001E-2</v>
      </c>
      <c r="J24" s="49">
        <v>1.1727376361853207E-3</v>
      </c>
      <c r="K24" s="49">
        <v>5.5827252088257339E-5</v>
      </c>
      <c r="L24" s="67">
        <v>1.2940541271522566E-3</v>
      </c>
      <c r="N24" s="18">
        <v>1.0663691845795553E-6</v>
      </c>
      <c r="O24" s="18">
        <v>1.3021413009807625E-10</v>
      </c>
      <c r="P24" s="18">
        <v>4.2728744913955422E-8</v>
      </c>
      <c r="Q24" s="28">
        <v>15.976652100155816</v>
      </c>
      <c r="R24" s="61">
        <v>514.14007825128283</v>
      </c>
      <c r="S24" s="58">
        <v>5.3329346228700308E-7</v>
      </c>
      <c r="U24" s="85"/>
      <c r="V24" s="85"/>
      <c r="W24" s="83"/>
      <c r="X24" s="152">
        <f t="shared" si="1"/>
        <v>0.25615654834900004</v>
      </c>
      <c r="Y24" s="153">
        <f t="shared" si="2"/>
        <v>1.1727376361853207E-3</v>
      </c>
      <c r="Z24" s="153">
        <f t="shared" si="0"/>
        <v>5.5827252088257339E-5</v>
      </c>
      <c r="AA24" s="153">
        <f t="shared" si="0"/>
        <v>1.2940541271522566E-3</v>
      </c>
      <c r="AB24" s="117">
        <f t="shared" si="3"/>
        <v>62.532992174871723</v>
      </c>
      <c r="AC24" s="117">
        <f t="shared" si="4"/>
        <v>5.3329346228700309E-5</v>
      </c>
    </row>
    <row r="25" spans="1:34" x14ac:dyDescent="0.25">
      <c r="B25" s="122"/>
      <c r="C25" s="123"/>
      <c r="D25" s="123"/>
      <c r="E25" s="123"/>
      <c r="F25" s="124"/>
      <c r="G25" s="124"/>
      <c r="I25" s="49">
        <v>2.61279679316E-2</v>
      </c>
      <c r="J25" s="49">
        <v>1.0487214246681657E-3</v>
      </c>
      <c r="K25" s="49">
        <v>5.2465227716911998E-5</v>
      </c>
      <c r="L25" s="67">
        <v>1.3183531706985861E-3</v>
      </c>
      <c r="N25" s="18">
        <v>1.0982987080827881E-6</v>
      </c>
      <c r="O25" s="18">
        <v>1.3411303793003742E-10</v>
      </c>
      <c r="P25" s="18">
        <v>4.4008140921665289E-8</v>
      </c>
      <c r="Q25" s="28">
        <v>15.976652100155816</v>
      </c>
      <c r="R25" s="61">
        <v>514.14007825128283</v>
      </c>
      <c r="S25" s="58">
        <v>5.9794549604094515E-7</v>
      </c>
      <c r="U25" s="85"/>
      <c r="V25" s="85"/>
      <c r="W25" s="83"/>
      <c r="X25" s="152">
        <f t="shared" si="1"/>
        <v>0.26127967931599999</v>
      </c>
      <c r="Y25" s="153">
        <f t="shared" si="2"/>
        <v>1.0487214246681657E-3</v>
      </c>
      <c r="Z25" s="153">
        <f t="shared" si="0"/>
        <v>5.2465227716911998E-5</v>
      </c>
      <c r="AA25" s="153">
        <f t="shared" si="0"/>
        <v>1.3183531706985861E-3</v>
      </c>
      <c r="AB25" s="117">
        <f t="shared" si="3"/>
        <v>62.532992174871723</v>
      </c>
      <c r="AC25" s="117">
        <f t="shared" si="4"/>
        <v>5.9794549604094512E-5</v>
      </c>
    </row>
    <row r="26" spans="1:34" x14ac:dyDescent="0.25">
      <c r="B26" s="122"/>
      <c r="C26" s="123"/>
      <c r="D26" s="123"/>
      <c r="E26" s="123"/>
      <c r="F26" s="124"/>
      <c r="G26" s="124"/>
      <c r="I26" s="49">
        <v>2.66505272902E-2</v>
      </c>
      <c r="J26" s="49">
        <v>1.2425995867225441E-3</v>
      </c>
      <c r="K26" s="49">
        <v>6.5422519481125147E-5</v>
      </c>
      <c r="L26" s="67">
        <v>1.3393951761813752E-3</v>
      </c>
      <c r="N26" s="18">
        <v>1.1263886472584312E-6</v>
      </c>
      <c r="O26" s="18">
        <v>1.375430955693347E-10</v>
      </c>
      <c r="P26" s="18">
        <v>4.5133687418034836E-8</v>
      </c>
      <c r="Q26" s="28">
        <v>15.976652100155816</v>
      </c>
      <c r="R26" s="61">
        <v>532.36555443918701</v>
      </c>
      <c r="S26" s="58">
        <v>5.9794549604094515E-7</v>
      </c>
      <c r="U26" s="85"/>
      <c r="V26" s="85"/>
      <c r="W26" s="83"/>
      <c r="X26" s="152">
        <f t="shared" si="1"/>
        <v>0.26650527290199999</v>
      </c>
      <c r="Y26" s="153">
        <f t="shared" si="2"/>
        <v>1.2425995867225441E-3</v>
      </c>
      <c r="Z26" s="153">
        <f t="shared" si="0"/>
        <v>6.5422519481125147E-5</v>
      </c>
      <c r="AA26" s="153">
        <f t="shared" si="0"/>
        <v>1.3393951761813752E-3</v>
      </c>
      <c r="AB26" s="117">
        <f t="shared" si="3"/>
        <v>60.710444556081299</v>
      </c>
      <c r="AC26" s="117">
        <f t="shared" si="4"/>
        <v>5.9794549604094512E-5</v>
      </c>
    </row>
    <row r="27" spans="1:34" x14ac:dyDescent="0.25">
      <c r="B27" s="160"/>
      <c r="C27" s="159"/>
      <c r="D27" s="159"/>
      <c r="E27" s="159"/>
      <c r="F27" s="158"/>
      <c r="G27" s="158"/>
      <c r="I27" s="49">
        <v>2.7183537835999999E-2</v>
      </c>
      <c r="J27" s="49">
        <v>1.1789104483952379E-3</v>
      </c>
      <c r="K27" s="49">
        <v>6.2554301341009367E-5</v>
      </c>
      <c r="L27" s="67">
        <v>1.3554823445605705E-3</v>
      </c>
      <c r="N27" s="18">
        <v>1.1507860521357776E-6</v>
      </c>
      <c r="O27" s="18">
        <v>1.4052226929117929E-10</v>
      </c>
      <c r="P27" s="18">
        <v>4.6111279895281183E-8</v>
      </c>
      <c r="Q27" s="28">
        <v>15.976652100155816</v>
      </c>
      <c r="R27" s="61">
        <v>532.36555443918701</v>
      </c>
      <c r="S27" s="58">
        <v>6.4450837817573693E-7</v>
      </c>
      <c r="U27" s="85"/>
      <c r="V27" s="85"/>
      <c r="W27" s="83"/>
      <c r="X27" s="152">
        <f t="shared" si="1"/>
        <v>0.27183537835999999</v>
      </c>
      <c r="Y27" s="153">
        <f t="shared" si="2"/>
        <v>1.1789104483952379E-3</v>
      </c>
      <c r="Z27" s="153">
        <f t="shared" si="0"/>
        <v>6.2554301341009367E-5</v>
      </c>
      <c r="AA27" s="153">
        <f t="shared" si="0"/>
        <v>1.3554823445605705E-3</v>
      </c>
      <c r="AB27" s="117">
        <f t="shared" si="3"/>
        <v>60.710444556081299</v>
      </c>
      <c r="AC27" s="117">
        <f t="shared" si="4"/>
        <v>6.4450837817573694E-5</v>
      </c>
    </row>
    <row r="28" spans="1:34" x14ac:dyDescent="0.25">
      <c r="B28" s="157"/>
      <c r="C28" s="159"/>
      <c r="D28" s="159"/>
      <c r="E28" s="159"/>
      <c r="F28" s="158"/>
      <c r="G28" s="158"/>
      <c r="I28" s="49">
        <v>2.77272085928E-2</v>
      </c>
      <c r="J28" s="49">
        <v>1.2726749719080175E-3</v>
      </c>
      <c r="K28" s="49">
        <v>6.3758482037309532E-5</v>
      </c>
      <c r="L28" s="67">
        <v>1.3655960651160828E-3</v>
      </c>
      <c r="N28" s="18">
        <v>1.1717055715278346E-6</v>
      </c>
      <c r="O28" s="18">
        <v>1.4307688795686253E-10</v>
      </c>
      <c r="P28" s="18">
        <v>4.6949557962616834E-8</v>
      </c>
      <c r="Q28" s="28">
        <v>15.976652100155816</v>
      </c>
      <c r="R28" s="61">
        <v>540.35388048926495</v>
      </c>
      <c r="S28" s="58">
        <v>6.4450837817573693E-7</v>
      </c>
      <c r="U28" s="85"/>
      <c r="V28" s="85"/>
      <c r="W28" s="83"/>
      <c r="X28" s="152">
        <f t="shared" si="1"/>
        <v>0.27727208592800001</v>
      </c>
      <c r="Y28" s="153">
        <f t="shared" si="2"/>
        <v>1.2726749719080175E-3</v>
      </c>
      <c r="Z28" s="153">
        <f t="shared" si="0"/>
        <v>6.3758482037309532E-5</v>
      </c>
      <c r="AA28" s="153">
        <f t="shared" si="0"/>
        <v>1.3655960651160828E-3</v>
      </c>
      <c r="AB28" s="117">
        <f t="shared" si="3"/>
        <v>59.91161195107351</v>
      </c>
      <c r="AC28" s="117">
        <f t="shared" si="4"/>
        <v>6.4450837817573694E-5</v>
      </c>
    </row>
    <row r="29" spans="1:34" x14ac:dyDescent="0.25">
      <c r="B29" s="122"/>
      <c r="C29" s="122"/>
      <c r="D29" s="123"/>
      <c r="E29" s="123"/>
      <c r="F29" s="124"/>
      <c r="G29" s="124"/>
      <c r="I29" s="49">
        <v>2.8281752764600002E-2</v>
      </c>
      <c r="J29" s="49">
        <v>1.2390659180884743E-3</v>
      </c>
      <c r="K29" s="49">
        <v>6.3180418464849728E-5</v>
      </c>
      <c r="L29" s="67">
        <v>1.3694200054604904E-3</v>
      </c>
      <c r="N29" s="18">
        <v>1.1894055494683403E-6</v>
      </c>
      <c r="O29" s="18">
        <v>1.4523956689348783E-10</v>
      </c>
      <c r="P29" s="18">
        <v>4.7659224083676395E-8</v>
      </c>
      <c r="Q29" s="28">
        <v>15.976652100155816</v>
      </c>
      <c r="R29" s="61">
        <v>540.35388048926495</v>
      </c>
      <c r="S29" s="58">
        <v>6.8710276218615764E-7</v>
      </c>
      <c r="U29" s="85"/>
      <c r="V29" s="85"/>
      <c r="W29" s="83"/>
      <c r="X29" s="152">
        <f t="shared" si="1"/>
        <v>0.28281752764599999</v>
      </c>
      <c r="Y29" s="153">
        <f t="shared" si="2"/>
        <v>1.2390659180884743E-3</v>
      </c>
      <c r="Z29" s="153">
        <f t="shared" si="0"/>
        <v>6.3180418464849728E-5</v>
      </c>
      <c r="AA29" s="153">
        <f t="shared" si="0"/>
        <v>1.3694200054604904E-3</v>
      </c>
      <c r="AB29" s="117">
        <f t="shared" si="3"/>
        <v>59.91161195107351</v>
      </c>
      <c r="AC29" s="117">
        <f t="shared" si="4"/>
        <v>6.8710276218615768E-5</v>
      </c>
    </row>
    <row r="30" spans="1:34" x14ac:dyDescent="0.25">
      <c r="I30" s="49">
        <v>2.8847387819900001E-2</v>
      </c>
      <c r="J30" s="49">
        <v>1.220872603833377E-3</v>
      </c>
      <c r="K30" s="49">
        <v>6.3251841227843496E-5</v>
      </c>
      <c r="L30" s="67">
        <v>1.3672417825672857E-3</v>
      </c>
      <c r="N30" s="18">
        <v>1.2041270089767643E-6</v>
      </c>
      <c r="O30" s="18">
        <v>1.4704713065489511E-10</v>
      </c>
      <c r="P30" s="18">
        <v>4.8252361946815434E-8</v>
      </c>
      <c r="Q30" s="28">
        <v>15.976652100155816</v>
      </c>
      <c r="R30" s="61">
        <v>556.33053258942073</v>
      </c>
      <c r="S30" s="58">
        <v>6.8710276218615764E-7</v>
      </c>
      <c r="U30" s="85"/>
      <c r="V30" s="85"/>
      <c r="W30" s="83"/>
      <c r="X30" s="152">
        <f t="shared" si="1"/>
        <v>0.288473878199</v>
      </c>
      <c r="Y30" s="153">
        <f t="shared" si="2"/>
        <v>1.220872603833377E-3</v>
      </c>
      <c r="Z30" s="153">
        <f t="shared" si="0"/>
        <v>6.3251841227843496E-5</v>
      </c>
      <c r="AA30" s="153">
        <f t="shared" si="0"/>
        <v>1.3672417825672857E-3</v>
      </c>
      <c r="AB30" s="117">
        <f t="shared" si="3"/>
        <v>58.313946741057933</v>
      </c>
      <c r="AC30" s="117">
        <f t="shared" si="4"/>
        <v>6.8710276218615768E-5</v>
      </c>
    </row>
    <row r="31" spans="1:34" x14ac:dyDescent="0.25">
      <c r="I31" s="49">
        <v>2.94243355763E-2</v>
      </c>
      <c r="J31" s="49">
        <v>1.1735377274548404E-3</v>
      </c>
      <c r="K31" s="49">
        <v>6.0798454649925072E-5</v>
      </c>
      <c r="L31" s="67">
        <v>1.3597418065917914E-3</v>
      </c>
      <c r="N31" s="18">
        <v>1.2158721669630618E-6</v>
      </c>
      <c r="O31" s="18">
        <v>1.4853865630187379E-10</v>
      </c>
      <c r="P31" s="18">
        <v>4.8741794382868052E-8</v>
      </c>
      <c r="Q31" s="28">
        <v>15.976652100155816</v>
      </c>
      <c r="R31" s="61">
        <v>556.33053258942073</v>
      </c>
      <c r="S31" s="58">
        <v>7.4320966381665839E-7</v>
      </c>
      <c r="U31" s="85"/>
      <c r="V31" s="85"/>
      <c r="W31" s="83"/>
      <c r="X31" s="152">
        <f t="shared" si="1"/>
        <v>0.29424335576299998</v>
      </c>
      <c r="Y31" s="153">
        <f t="shared" si="2"/>
        <v>1.1735377274548404E-3</v>
      </c>
      <c r="Z31" s="153">
        <f t="shared" si="0"/>
        <v>6.0798454649925072E-5</v>
      </c>
      <c r="AA31" s="153">
        <f t="shared" si="0"/>
        <v>1.3597418065917914E-3</v>
      </c>
      <c r="AB31" s="117">
        <f t="shared" si="3"/>
        <v>58.313946741057933</v>
      </c>
      <c r="AC31" s="117">
        <f t="shared" si="4"/>
        <v>7.4320966381665845E-5</v>
      </c>
    </row>
    <row r="32" spans="1:34" x14ac:dyDescent="0.25">
      <c r="I32" s="49">
        <v>3.0012822287800001E-2</v>
      </c>
      <c r="J32" s="49">
        <v>1.2435498557821754E-3</v>
      </c>
      <c r="K32" s="49">
        <v>6.3841980734725582E-5</v>
      </c>
      <c r="L32" s="67">
        <v>1.3477024518565894E-3</v>
      </c>
      <c r="N32" s="18">
        <v>1.2237135837179255E-6</v>
      </c>
      <c r="O32" s="18">
        <v>1.4975373191920284E-10</v>
      </c>
      <c r="P32" s="18">
        <v>4.9140511911180191E-8</v>
      </c>
      <c r="Q32" s="28">
        <v>15.976652100155816</v>
      </c>
      <c r="R32" s="61">
        <v>572.3071846895765</v>
      </c>
      <c r="S32" s="58">
        <v>7.4320966381665839E-7</v>
      </c>
      <c r="U32" s="85"/>
      <c r="V32" s="85"/>
      <c r="W32" s="83"/>
      <c r="X32" s="152">
        <f t="shared" si="1"/>
        <v>0.30012822287800001</v>
      </c>
      <c r="Y32" s="153">
        <f t="shared" si="2"/>
        <v>1.2435498557821754E-3</v>
      </c>
      <c r="Z32" s="153">
        <f t="shared" si="0"/>
        <v>6.3841980734725582E-5</v>
      </c>
      <c r="AA32" s="153">
        <f t="shared" si="0"/>
        <v>1.3477024518565894E-3</v>
      </c>
      <c r="AB32" s="117">
        <f t="shared" si="3"/>
        <v>56.716281531042355</v>
      </c>
      <c r="AC32" s="117">
        <f t="shared" si="4"/>
        <v>7.4320966381665845E-5</v>
      </c>
    </row>
    <row r="33" spans="9:29" x14ac:dyDescent="0.25">
      <c r="I33" s="49">
        <v>3.0613078733599999E-2</v>
      </c>
      <c r="J33" s="49">
        <v>1.3276086168727992E-3</v>
      </c>
      <c r="K33" s="49">
        <v>6.4695855305126071E-5</v>
      </c>
      <c r="L33" s="67">
        <v>1.3316943861115193E-3</v>
      </c>
      <c r="N33" s="18">
        <v>1.2243412376315042E-6</v>
      </c>
      <c r="O33" s="18">
        <v>1.5073099472009939E-10</v>
      </c>
      <c r="P33" s="18">
        <v>4.9461193030056879E-8</v>
      </c>
      <c r="Q33" s="28">
        <v>15.976652100155816</v>
      </c>
      <c r="R33" s="61">
        <v>572.3071846895765</v>
      </c>
      <c r="S33" s="58">
        <v>7.9789722575045712E-7</v>
      </c>
      <c r="U33" s="85"/>
      <c r="V33" s="85"/>
      <c r="W33" s="83"/>
      <c r="X33" s="152">
        <f t="shared" si="1"/>
        <v>0.30613078733599997</v>
      </c>
      <c r="Y33" s="153">
        <f t="shared" si="2"/>
        <v>1.3276086168727992E-3</v>
      </c>
      <c r="Z33" s="153">
        <f t="shared" si="0"/>
        <v>6.4695855305126071E-5</v>
      </c>
      <c r="AA33" s="153">
        <f t="shared" si="0"/>
        <v>1.3316943861115193E-3</v>
      </c>
      <c r="AB33" s="117">
        <f t="shared" si="3"/>
        <v>56.716281531042355</v>
      </c>
      <c r="AC33" s="117">
        <f t="shared" si="4"/>
        <v>7.9789722575045714E-5</v>
      </c>
    </row>
    <row r="34" spans="9:29" x14ac:dyDescent="0.25">
      <c r="I34" s="49">
        <v>3.1225340308300001E-2</v>
      </c>
      <c r="J34" s="49">
        <v>1.2622526049050336E-3</v>
      </c>
      <c r="K34" s="49">
        <v>5.9948869072814889E-5</v>
      </c>
      <c r="L34" s="67">
        <v>1.311813807856997E-3</v>
      </c>
      <c r="N34" s="18">
        <v>1.2106219821656223E-6</v>
      </c>
      <c r="O34" s="18">
        <v>1.515069826328922E-10</v>
      </c>
      <c r="P34" s="18">
        <v>4.9715827373941549E-8</v>
      </c>
      <c r="Q34" s="28">
        <v>15.976652100155816</v>
      </c>
      <c r="R34" s="61">
        <v>588.28383678973228</v>
      </c>
      <c r="S34" s="58">
        <v>7.9789722575045712E-7</v>
      </c>
      <c r="U34" s="85"/>
      <c r="V34" s="85"/>
      <c r="W34" s="83"/>
      <c r="X34" s="152">
        <f t="shared" si="1"/>
        <v>0.31225340308299998</v>
      </c>
      <c r="Y34" s="153">
        <f t="shared" si="2"/>
        <v>1.2622526049050336E-3</v>
      </c>
      <c r="Z34" s="153">
        <f t="shared" si="0"/>
        <v>5.9948869072814889E-5</v>
      </c>
      <c r="AA34" s="153">
        <f t="shared" si="0"/>
        <v>1.311813807856997E-3</v>
      </c>
      <c r="AB34" s="117">
        <f t="shared" si="3"/>
        <v>55.118616321026778</v>
      </c>
      <c r="AC34" s="117">
        <f t="shared" si="4"/>
        <v>7.9789722575045714E-5</v>
      </c>
    </row>
    <row r="35" spans="9:29" x14ac:dyDescent="0.25">
      <c r="I35" s="49">
        <v>3.1849847114399997E-2</v>
      </c>
      <c r="J35" s="49">
        <v>1.280148858971421E-3</v>
      </c>
      <c r="K35" s="49">
        <v>6.2100505990756149E-5</v>
      </c>
      <c r="L35" s="67">
        <v>1.2875475317193519E-3</v>
      </c>
      <c r="N35" s="18">
        <v>1.1730718052692887E-6</v>
      </c>
      <c r="O35" s="18">
        <v>1.5211530552777322E-10</v>
      </c>
      <c r="P35" s="18">
        <v>4.9915443757978464E-8</v>
      </c>
      <c r="Q35" s="28">
        <v>15.976652100155816</v>
      </c>
      <c r="R35" s="61">
        <v>588.28383678973228</v>
      </c>
      <c r="S35" s="58">
        <v>8.5052278227868062E-7</v>
      </c>
      <c r="U35" s="85"/>
      <c r="V35" s="85"/>
      <c r="W35" s="83"/>
      <c r="X35" s="152">
        <f t="shared" si="1"/>
        <v>0.31849847114399998</v>
      </c>
      <c r="Y35" s="153">
        <f t="shared" si="2"/>
        <v>1.280148858971421E-3</v>
      </c>
      <c r="Z35" s="153">
        <f t="shared" si="0"/>
        <v>6.2100505990756149E-5</v>
      </c>
      <c r="AA35" s="153">
        <f t="shared" si="0"/>
        <v>1.2875475317193519E-3</v>
      </c>
      <c r="AB35" s="117">
        <f t="shared" si="3"/>
        <v>55.118616321026778</v>
      </c>
      <c r="AC35" s="117">
        <f t="shared" si="4"/>
        <v>8.5052278227868057E-5</v>
      </c>
    </row>
    <row r="36" spans="9:29" x14ac:dyDescent="0.25">
      <c r="I36" s="49">
        <v>3.24868440567E-2</v>
      </c>
      <c r="J36" s="49">
        <v>1.3036652241248492E-3</v>
      </c>
      <c r="K36" s="49">
        <v>6.3941834839752697E-5</v>
      </c>
      <c r="L36" s="67">
        <v>1.2578259308995763E-3</v>
      </c>
      <c r="N36" s="18">
        <v>1.1067694108894883E-6</v>
      </c>
      <c r="O36" s="18">
        <v>1.5258611925328526E-10</v>
      </c>
      <c r="P36" s="18">
        <v>5.0069937587213751E-8</v>
      </c>
      <c r="Q36" s="28">
        <v>15.976652100155816</v>
      </c>
      <c r="R36" s="61">
        <v>604.26048888988805</v>
      </c>
      <c r="S36" s="58">
        <v>8.5052278227868062E-7</v>
      </c>
      <c r="U36" s="85"/>
      <c r="V36" s="85"/>
      <c r="W36" s="83"/>
      <c r="X36" s="152">
        <f t="shared" si="1"/>
        <v>0.32486844056699998</v>
      </c>
      <c r="Y36" s="153">
        <f t="shared" si="2"/>
        <v>1.3036652241248492E-3</v>
      </c>
      <c r="Z36" s="153">
        <f t="shared" si="0"/>
        <v>6.3941834839752697E-5</v>
      </c>
      <c r="AA36" s="153">
        <f t="shared" si="0"/>
        <v>1.2578259308995763E-3</v>
      </c>
      <c r="AB36" s="117">
        <f t="shared" si="3"/>
        <v>53.5209511110112</v>
      </c>
      <c r="AC36" s="117">
        <f t="shared" si="4"/>
        <v>8.5052278227868057E-5</v>
      </c>
    </row>
    <row r="37" spans="9:29" x14ac:dyDescent="0.25">
      <c r="I37" s="49">
        <v>3.31365809379E-2</v>
      </c>
      <c r="J37" s="49">
        <v>1.1350247388853163E-3</v>
      </c>
      <c r="K37" s="49">
        <v>6.0136883933692499E-5</v>
      </c>
      <c r="L37" s="67">
        <v>1.2212836596750905E-3</v>
      </c>
      <c r="N37" s="18">
        <v>1.042375606182979E-6</v>
      </c>
      <c r="O37" s="18">
        <v>1.5286503891091831E-10</v>
      </c>
      <c r="P37" s="18">
        <v>5.0161462883996165E-8</v>
      </c>
      <c r="Q37" s="28">
        <v>7.9883260500779079</v>
      </c>
      <c r="R37" s="61">
        <v>604.26048888988805</v>
      </c>
      <c r="S37" s="58">
        <v>9.0051934581281205E-7</v>
      </c>
      <c r="U37" s="85"/>
      <c r="V37" s="85"/>
      <c r="W37" s="83"/>
      <c r="X37" s="152">
        <f t="shared" si="1"/>
        <v>0.33136580937900001</v>
      </c>
      <c r="Y37" s="153">
        <f t="shared" si="2"/>
        <v>1.1350247388853163E-3</v>
      </c>
      <c r="Z37" s="153">
        <f t="shared" si="0"/>
        <v>6.0136883933692499E-5</v>
      </c>
      <c r="AA37" s="153">
        <f t="shared" si="0"/>
        <v>1.2212836596750905E-3</v>
      </c>
      <c r="AB37" s="117">
        <f t="shared" si="3"/>
        <v>53.5209511110112</v>
      </c>
      <c r="AC37" s="117">
        <f t="shared" si="4"/>
        <v>9.0051934581281202E-5</v>
      </c>
    </row>
    <row r="38" spans="9:29" x14ac:dyDescent="0.25">
      <c r="I38" s="49">
        <v>3.37993125566E-2</v>
      </c>
      <c r="J38" s="49">
        <v>1.1407754987483682E-3</v>
      </c>
      <c r="K38" s="49">
        <v>5.932074063167095E-5</v>
      </c>
      <c r="L38" s="67">
        <v>1.1766885319447059E-3</v>
      </c>
      <c r="N38" s="18">
        <v>1.0162598464807413E-6</v>
      </c>
      <c r="O38" s="18">
        <v>1.5296226260771991E-10</v>
      </c>
      <c r="P38" s="18">
        <v>5.0193366075901222E-8</v>
      </c>
      <c r="Q38" s="28">
        <v>1.6910760236731468</v>
      </c>
      <c r="R38" s="61">
        <v>620.23714099004383</v>
      </c>
      <c r="S38" s="58">
        <v>9.0051934581281205E-7</v>
      </c>
      <c r="U38" s="85"/>
      <c r="V38" s="85"/>
      <c r="W38" s="83"/>
      <c r="X38" s="152">
        <f t="shared" si="1"/>
        <v>0.33799312556600003</v>
      </c>
      <c r="Y38" s="153">
        <f t="shared" si="2"/>
        <v>1.1407754987483682E-3</v>
      </c>
      <c r="Z38" s="153">
        <f t="shared" si="0"/>
        <v>5.932074063167095E-5</v>
      </c>
      <c r="AA38" s="153">
        <f t="shared" si="0"/>
        <v>1.1766885319447059E-3</v>
      </c>
      <c r="AB38" s="117">
        <f t="shared" si="3"/>
        <v>51.923285900995623</v>
      </c>
      <c r="AC38" s="117">
        <f t="shared" si="4"/>
        <v>9.0051934581281202E-5</v>
      </c>
    </row>
    <row r="39" spans="9:29" x14ac:dyDescent="0.25">
      <c r="I39" s="49">
        <v>3.4475298807699999E-2</v>
      </c>
      <c r="J39" s="49">
        <v>1.0497800876147466E-3</v>
      </c>
      <c r="K39" s="49">
        <v>5.6300174056388185E-5</v>
      </c>
      <c r="L39" s="67">
        <v>1.1234329606073369E-3</v>
      </c>
      <c r="N39" s="18">
        <v>1.0017847686349771E-6</v>
      </c>
      <c r="O39" s="18">
        <v>1.5300999542661804E-10</v>
      </c>
      <c r="P39" s="18">
        <v>5.0209029222607759E-8</v>
      </c>
      <c r="Q39" s="28">
        <v>3.3821520473462936</v>
      </c>
      <c r="R39" s="61">
        <v>620.23714099004383</v>
      </c>
      <c r="S39" s="58">
        <v>9.4741352912104299E-7</v>
      </c>
      <c r="U39" s="85"/>
      <c r="V39" s="85"/>
      <c r="W39" s="83"/>
      <c r="X39" s="152">
        <f t="shared" si="1"/>
        <v>0.344752988077</v>
      </c>
      <c r="Y39" s="153">
        <f t="shared" si="2"/>
        <v>1.0497800876147466E-3</v>
      </c>
      <c r="Z39" s="153">
        <f t="shared" si="0"/>
        <v>5.6300174056388185E-5</v>
      </c>
      <c r="AA39" s="153">
        <f t="shared" si="0"/>
        <v>1.1234329606073369E-3</v>
      </c>
      <c r="AB39" s="117">
        <f t="shared" si="3"/>
        <v>51.923285900995623</v>
      </c>
      <c r="AC39" s="117">
        <f t="shared" si="4"/>
        <v>9.4741352912104305E-5</v>
      </c>
    </row>
    <row r="40" spans="9:29" x14ac:dyDescent="0.25">
      <c r="I40" s="49">
        <v>3.5164804783900001E-2</v>
      </c>
      <c r="J40" s="49">
        <v>9.8069105273068994E-4</v>
      </c>
      <c r="K40" s="49">
        <v>5.2983804025349884E-5</v>
      </c>
      <c r="L40" s="67">
        <v>1.061932182850887E-3</v>
      </c>
      <c r="N40" s="18">
        <v>9.8266224576062699E-7</v>
      </c>
      <c r="O40" s="18">
        <v>1.5307036845827858E-10</v>
      </c>
      <c r="P40" s="18">
        <v>5.022884014032662E-8</v>
      </c>
      <c r="Q40" s="28">
        <v>3.3821520473462936</v>
      </c>
      <c r="R40" s="61">
        <v>636.2137930901996</v>
      </c>
      <c r="S40" s="58">
        <v>9.4741352912104299E-7</v>
      </c>
      <c r="U40" s="85"/>
      <c r="V40" s="85"/>
      <c r="W40" s="83"/>
      <c r="X40" s="152">
        <f t="shared" si="1"/>
        <v>0.351648047839</v>
      </c>
      <c r="Y40" s="153">
        <f t="shared" si="2"/>
        <v>9.8069105273068994E-4</v>
      </c>
      <c r="Z40" s="153">
        <f t="shared" si="0"/>
        <v>5.2983804025349884E-5</v>
      </c>
      <c r="AA40" s="153">
        <f t="shared" si="0"/>
        <v>1.061932182850887E-3</v>
      </c>
      <c r="AB40" s="117">
        <f t="shared" si="3"/>
        <v>50.325620690980045</v>
      </c>
      <c r="AC40" s="117">
        <f t="shared" si="4"/>
        <v>9.4741352912104305E-5</v>
      </c>
    </row>
    <row r="41" spans="9:29" x14ac:dyDescent="0.25">
      <c r="I41" s="49">
        <v>3.5868100879599997E-2</v>
      </c>
      <c r="J41" s="49">
        <v>1.0996454066983E-3</v>
      </c>
      <c r="K41" s="49">
        <v>5.5816022746811042E-5</v>
      </c>
      <c r="L41" s="67">
        <v>9.9376557835984848E-4</v>
      </c>
      <c r="N41" s="18">
        <v>9.6394372735653703E-7</v>
      </c>
      <c r="O41" s="18">
        <v>1.5312717095947841E-10</v>
      </c>
      <c r="P41" s="18">
        <v>5.0247479345650995E-8</v>
      </c>
      <c r="Q41" s="28">
        <v>3.3821520473462936</v>
      </c>
      <c r="R41" s="61">
        <v>636.2137930901996</v>
      </c>
      <c r="S41" s="58">
        <v>9.9083788820318193E-7</v>
      </c>
      <c r="U41" s="85"/>
      <c r="V41" s="85"/>
      <c r="W41" s="83"/>
      <c r="X41" s="152">
        <f t="shared" si="1"/>
        <v>0.35868100879599996</v>
      </c>
      <c r="Y41" s="153">
        <f t="shared" si="2"/>
        <v>1.0996454066983E-3</v>
      </c>
      <c r="Z41" s="153">
        <f t="shared" si="0"/>
        <v>5.5816022746811042E-5</v>
      </c>
      <c r="AA41" s="153">
        <f t="shared" si="0"/>
        <v>9.9376557835984848E-4</v>
      </c>
      <c r="AB41" s="117">
        <f t="shared" si="3"/>
        <v>50.325620690980045</v>
      </c>
      <c r="AC41" s="117">
        <f t="shared" si="4"/>
        <v>9.9083788820318188E-5</v>
      </c>
    </row>
    <row r="42" spans="9:29" x14ac:dyDescent="0.25">
      <c r="I42" s="49">
        <v>3.6585462897200001E-2</v>
      </c>
      <c r="J42" s="49">
        <v>9.6911865291873507E-4</v>
      </c>
      <c r="K42" s="49">
        <v>5.1896616460505851E-5</v>
      </c>
      <c r="L42" s="67">
        <v>9.214521244820486E-4</v>
      </c>
      <c r="N42" s="18">
        <v>9.4583454570182859E-7</v>
      </c>
      <c r="O42" s="18">
        <v>1.531805675421319E-10</v>
      </c>
      <c r="P42" s="18">
        <v>5.0265000620241967E-8</v>
      </c>
      <c r="Q42" s="28">
        <v>3.3821520473462936</v>
      </c>
      <c r="R42" s="61">
        <v>652.19044519035538</v>
      </c>
      <c r="S42" s="58">
        <v>9.9083788820318193E-7</v>
      </c>
      <c r="U42" s="85"/>
      <c r="V42" s="85"/>
      <c r="W42" s="83"/>
      <c r="X42" s="152">
        <f t="shared" si="1"/>
        <v>0.365854628972</v>
      </c>
      <c r="Y42" s="153">
        <f t="shared" si="2"/>
        <v>9.6911865291873507E-4</v>
      </c>
      <c r="Z42" s="153">
        <f t="shared" si="0"/>
        <v>5.1896616460505851E-5</v>
      </c>
      <c r="AA42" s="153">
        <f t="shared" si="0"/>
        <v>9.214521244820486E-4</v>
      </c>
      <c r="AB42" s="117">
        <f t="shared" si="3"/>
        <v>48.727955480964468</v>
      </c>
      <c r="AC42" s="117">
        <f t="shared" si="4"/>
        <v>9.9083788820318188E-5</v>
      </c>
    </row>
    <row r="43" spans="9:29" x14ac:dyDescent="0.25">
      <c r="I43" s="49">
        <v>3.7317172155099998E-2</v>
      </c>
      <c r="J43" s="49">
        <v>7.0306991750932824E-4</v>
      </c>
      <c r="K43" s="49">
        <v>4.2812032564473785E-5</v>
      </c>
      <c r="L43" s="67">
        <v>8.4786918825276896E-4</v>
      </c>
      <c r="N43" s="18">
        <v>9.2851914310725795E-7</v>
      </c>
      <c r="O43" s="18">
        <v>1.5323067188511001E-10</v>
      </c>
      <c r="P43" s="18">
        <v>5.0281440358172236E-8</v>
      </c>
      <c r="Q43" s="28">
        <v>3.3821520473462936</v>
      </c>
      <c r="R43" s="61">
        <v>652.19044519035538</v>
      </c>
      <c r="S43" s="58">
        <v>1.030537267751744E-6</v>
      </c>
      <c r="U43" s="85"/>
      <c r="V43" s="85"/>
      <c r="W43" s="83"/>
      <c r="X43" s="152">
        <f t="shared" si="1"/>
        <v>0.37317172155099998</v>
      </c>
      <c r="Y43" s="153">
        <f t="shared" si="2"/>
        <v>7.0306991750932824E-4</v>
      </c>
      <c r="Z43" s="153">
        <f t="shared" si="0"/>
        <v>4.2812032564473785E-5</v>
      </c>
      <c r="AA43" s="153">
        <f t="shared" si="0"/>
        <v>8.4786918825276896E-4</v>
      </c>
      <c r="AB43" s="117">
        <f t="shared" si="3"/>
        <v>48.727955480964468</v>
      </c>
      <c r="AC43" s="117">
        <f t="shared" si="4"/>
        <v>1.030537267751744E-4</v>
      </c>
    </row>
    <row r="44" spans="9:29" x14ac:dyDescent="0.25">
      <c r="I44" s="49">
        <v>3.8063515598200003E-2</v>
      </c>
      <c r="J44" s="49">
        <v>7.3167651971555369E-4</v>
      </c>
      <c r="K44" s="49">
        <v>4.4629471688148226E-5</v>
      </c>
      <c r="L44" s="67">
        <v>7.7547565479168623E-4</v>
      </c>
      <c r="N44" s="18">
        <v>9.1215639493476145E-7</v>
      </c>
      <c r="O44" s="18">
        <v>1.5327743879295955E-10</v>
      </c>
      <c r="P44" s="18">
        <v>5.0296780489108547E-8</v>
      </c>
      <c r="Q44" s="28">
        <v>3.3821520473462936</v>
      </c>
      <c r="R44" s="61">
        <v>668.16709729051115</v>
      </c>
      <c r="S44" s="58">
        <v>1.030537267751744E-6</v>
      </c>
      <c r="U44" s="85"/>
      <c r="V44" s="85"/>
      <c r="W44" s="83"/>
      <c r="X44" s="152">
        <f t="shared" si="1"/>
        <v>0.38063515598200004</v>
      </c>
      <c r="Y44" s="153">
        <f t="shared" si="2"/>
        <v>7.3167651971555369E-4</v>
      </c>
      <c r="Z44" s="153">
        <f t="shared" si="0"/>
        <v>4.4629471688148226E-5</v>
      </c>
      <c r="AA44" s="153">
        <f t="shared" si="0"/>
        <v>7.7547565479168623E-4</v>
      </c>
      <c r="AB44" s="117">
        <f t="shared" si="3"/>
        <v>47.13029027094889</v>
      </c>
      <c r="AC44" s="117">
        <f t="shared" si="4"/>
        <v>1.030537267751744E-4</v>
      </c>
    </row>
    <row r="45" spans="9:29" x14ac:dyDescent="0.25">
      <c r="I45" s="49">
        <v>3.8824785910199999E-2</v>
      </c>
      <c r="J45" s="49">
        <v>6.4244155961941287E-4</v>
      </c>
      <c r="K45" s="49">
        <v>4.1204936081135261E-5</v>
      </c>
      <c r="L45" s="67">
        <v>7.0562566731161849E-4</v>
      </c>
      <c r="N45" s="18">
        <v>8.9687766421599268E-7</v>
      </c>
      <c r="O45" s="18">
        <v>1.5332033536308195E-10</v>
      </c>
      <c r="P45" s="18">
        <v>5.0310835531184496E-8</v>
      </c>
      <c r="Q45" s="28">
        <v>3.3821520473462936</v>
      </c>
      <c r="R45" s="61">
        <v>668.16709729051115</v>
      </c>
      <c r="S45" s="58">
        <v>1.0663691845795553E-6</v>
      </c>
      <c r="U45" s="85"/>
      <c r="V45" s="85"/>
      <c r="W45" s="83"/>
      <c r="X45" s="152">
        <f t="shared" si="1"/>
        <v>0.38824785910199999</v>
      </c>
      <c r="Y45" s="153">
        <f t="shared" si="2"/>
        <v>6.4244155961941287E-4</v>
      </c>
      <c r="Z45" s="153">
        <f t="shared" si="0"/>
        <v>4.1204936081135261E-5</v>
      </c>
      <c r="AA45" s="153">
        <f t="shared" si="0"/>
        <v>7.0562566731161849E-4</v>
      </c>
      <c r="AB45" s="117">
        <f t="shared" si="3"/>
        <v>47.13029027094889</v>
      </c>
      <c r="AC45" s="117">
        <f t="shared" si="4"/>
        <v>1.0663691845795552E-4</v>
      </c>
    </row>
    <row r="46" spans="9:29" x14ac:dyDescent="0.25">
      <c r="I46" s="49">
        <v>3.9601281628400001E-2</v>
      </c>
      <c r="J46" s="49">
        <v>6.1522460301890102E-4</v>
      </c>
      <c r="K46" s="49">
        <v>4.0114441981069117E-5</v>
      </c>
      <c r="L46" s="67">
        <v>6.382856539905317E-4</v>
      </c>
      <c r="N46" s="18">
        <v>8.8278984246628543E-7</v>
      </c>
      <c r="O46" s="18">
        <v>1.5335743229629616E-10</v>
      </c>
      <c r="P46" s="18">
        <v>5.032294047890601E-8</v>
      </c>
      <c r="Q46" s="28">
        <v>3.3821520473462936</v>
      </c>
      <c r="R46" s="61">
        <v>684.14374939066693</v>
      </c>
      <c r="S46" s="58">
        <v>1.0663691845795553E-6</v>
      </c>
      <c r="U46" s="85"/>
      <c r="V46" s="85"/>
      <c r="W46" s="83"/>
      <c r="X46" s="152">
        <f t="shared" si="1"/>
        <v>0.39601281628399998</v>
      </c>
      <c r="Y46" s="153">
        <f t="shared" si="2"/>
        <v>6.1522460301890102E-4</v>
      </c>
      <c r="Z46" s="153">
        <f t="shared" si="0"/>
        <v>4.0114441981069117E-5</v>
      </c>
      <c r="AA46" s="153">
        <f t="shared" si="0"/>
        <v>6.382856539905317E-4</v>
      </c>
      <c r="AB46" s="117">
        <f t="shared" si="3"/>
        <v>45.532625060933313</v>
      </c>
      <c r="AC46" s="117">
        <f t="shared" si="4"/>
        <v>1.0663691845795552E-4</v>
      </c>
    </row>
    <row r="47" spans="9:29" x14ac:dyDescent="0.25">
      <c r="I47" s="49">
        <v>4.0393307261000003E-2</v>
      </c>
      <c r="J47" s="49">
        <v>4.9318945132450413E-4</v>
      </c>
      <c r="K47" s="49">
        <v>3.6322719875892751E-5</v>
      </c>
      <c r="L47" s="67">
        <v>5.7234604591551341E-4</v>
      </c>
      <c r="N47" s="18">
        <v>8.6998801079190979E-7</v>
      </c>
      <c r="O47" s="18">
        <v>1.5338313520548831E-10</v>
      </c>
      <c r="P47" s="18">
        <v>5.0331171567561832E-8</v>
      </c>
      <c r="Q47" s="28">
        <v>3.3821520473462936</v>
      </c>
      <c r="R47" s="61">
        <v>684.14374939066693</v>
      </c>
      <c r="S47" s="58">
        <v>1.0982987080827881E-6</v>
      </c>
      <c r="U47" s="85"/>
      <c r="V47" s="85"/>
      <c r="W47" s="83"/>
      <c r="X47" s="152">
        <f t="shared" si="1"/>
        <v>0.40393307261</v>
      </c>
      <c r="Y47" s="153">
        <f t="shared" si="2"/>
        <v>4.9318945132450413E-4</v>
      </c>
      <c r="Z47" s="153">
        <f t="shared" si="0"/>
        <v>3.6322719875892751E-5</v>
      </c>
      <c r="AA47" s="153">
        <f t="shared" si="0"/>
        <v>5.7234604591551341E-4</v>
      </c>
      <c r="AB47" s="117">
        <f t="shared" si="3"/>
        <v>45.532625060933313</v>
      </c>
      <c r="AC47" s="117">
        <f t="shared" si="4"/>
        <v>1.0982987080827881E-4</v>
      </c>
    </row>
    <row r="48" spans="9:29" x14ac:dyDescent="0.25">
      <c r="I48" s="49">
        <v>4.1201173406199998E-2</v>
      </c>
      <c r="J48" s="49">
        <v>4.1648114029717997E-4</v>
      </c>
      <c r="K48" s="49">
        <v>3.4051291595233118E-5</v>
      </c>
      <c r="L48" s="67">
        <v>5.064649826843371E-4</v>
      </c>
      <c r="N48" s="18">
        <v>8.5858625533531253E-7</v>
      </c>
      <c r="O48" s="18">
        <v>1.5338309766909729E-10</v>
      </c>
      <c r="P48" s="18">
        <v>5.0330599044104341E-8</v>
      </c>
      <c r="Q48" s="28">
        <v>3.3821520473462936</v>
      </c>
      <c r="R48" s="61">
        <v>700.1204014908227</v>
      </c>
      <c r="S48" s="58">
        <v>1.0982987080827881E-6</v>
      </c>
      <c r="U48" s="85"/>
      <c r="V48" s="85"/>
      <c r="W48" s="83"/>
      <c r="X48" s="152">
        <f t="shared" si="1"/>
        <v>0.41201173406199998</v>
      </c>
      <c r="Y48" s="153">
        <f t="shared" si="2"/>
        <v>4.1648114029717997E-4</v>
      </c>
      <c r="Z48" s="153">
        <f t="shared" si="0"/>
        <v>3.4051291595233118E-5</v>
      </c>
      <c r="AA48" s="153">
        <f t="shared" si="0"/>
        <v>5.064649826843371E-4</v>
      </c>
      <c r="AB48" s="117">
        <f t="shared" si="3"/>
        <v>43.934959850917735</v>
      </c>
      <c r="AC48" s="117">
        <f t="shared" si="4"/>
        <v>1.0982987080827881E-4</v>
      </c>
    </row>
    <row r="49" spans="9:29" x14ac:dyDescent="0.25">
      <c r="I49" s="49">
        <v>4.2025196874300001E-2</v>
      </c>
      <c r="J49" s="49">
        <v>4.3594551820273932E-4</v>
      </c>
      <c r="K49" s="49">
        <v>3.2476965063080317E-5</v>
      </c>
      <c r="L49" s="67">
        <v>4.4009261338622023E-4</v>
      </c>
      <c r="N49" s="18">
        <v>8.4877973661593907E-7</v>
      </c>
      <c r="O49" s="18">
        <v>1.5332406905186204E-10</v>
      </c>
      <c r="P49" s="18">
        <v>5.0309800169264527E-8</v>
      </c>
      <c r="Q49" s="28">
        <v>3.3821520473462936</v>
      </c>
      <c r="R49" s="61">
        <v>700.1204014908227</v>
      </c>
      <c r="S49" s="58">
        <v>1.1263886472584312E-6</v>
      </c>
      <c r="U49" s="85"/>
      <c r="V49" s="85"/>
      <c r="W49" s="83"/>
      <c r="X49" s="152">
        <f t="shared" si="1"/>
        <v>0.42025196874300003</v>
      </c>
      <c r="Y49" s="153">
        <f t="shared" si="2"/>
        <v>4.3594551820273932E-4</v>
      </c>
      <c r="Z49" s="153">
        <f t="shared" si="0"/>
        <v>3.2476965063080317E-5</v>
      </c>
      <c r="AA49" s="153">
        <f t="shared" si="0"/>
        <v>4.4009261338622023E-4</v>
      </c>
      <c r="AB49" s="117">
        <f t="shared" si="3"/>
        <v>43.934959850917735</v>
      </c>
      <c r="AC49" s="117">
        <f t="shared" si="4"/>
        <v>1.1263886472584311E-4</v>
      </c>
    </row>
    <row r="50" spans="9:29" x14ac:dyDescent="0.25">
      <c r="I50" s="49">
        <v>4.2865700811800002E-2</v>
      </c>
      <c r="J50" s="49">
        <v>3.4636737608201713E-4</v>
      </c>
      <c r="K50" s="49">
        <v>3.0621711439946137E-5</v>
      </c>
      <c r="L50" s="67">
        <v>3.7415761955690943E-4</v>
      </c>
      <c r="N50" s="18">
        <v>8.4095287973411661E-7</v>
      </c>
      <c r="O50" s="18">
        <v>1.5313611860659679E-10</v>
      </c>
      <c r="P50" s="18">
        <v>5.0244753680973377E-8</v>
      </c>
      <c r="Q50" s="28">
        <v>3.3821520473462936</v>
      </c>
      <c r="R50" s="61">
        <v>716.09705359097848</v>
      </c>
      <c r="S50" s="58">
        <v>1.1263886472584312E-6</v>
      </c>
      <c r="U50" s="85"/>
      <c r="V50" s="85"/>
      <c r="W50" s="83"/>
      <c r="X50" s="152">
        <f t="shared" si="1"/>
        <v>0.428657008118</v>
      </c>
      <c r="Y50" s="153">
        <f t="shared" si="2"/>
        <v>3.4636737608201713E-4</v>
      </c>
      <c r="Z50" s="153">
        <f t="shared" si="0"/>
        <v>3.0621711439946137E-5</v>
      </c>
      <c r="AA50" s="153">
        <f t="shared" si="0"/>
        <v>3.7415761955690943E-4</v>
      </c>
      <c r="AB50" s="117">
        <f t="shared" si="3"/>
        <v>42.337294640902158</v>
      </c>
      <c r="AC50" s="117">
        <f t="shared" si="4"/>
        <v>1.1263886472584311E-4</v>
      </c>
    </row>
    <row r="51" spans="9:29" x14ac:dyDescent="0.25">
      <c r="I51" s="49">
        <v>4.3723014827999999E-2</v>
      </c>
      <c r="J51" s="49">
        <v>2.9553058665001829E-4</v>
      </c>
      <c r="K51" s="49">
        <v>1.111163075758111E-5</v>
      </c>
      <c r="L51" s="67">
        <v>3.1098977092328491E-4</v>
      </c>
      <c r="N51" s="18">
        <v>8.3584056921686955E-7</v>
      </c>
      <c r="O51" s="18">
        <v>1.5268602136798025E-10</v>
      </c>
      <c r="P51" s="18">
        <v>5.0089698575391569E-8</v>
      </c>
      <c r="Q51" s="28">
        <v>3.3821520473462936</v>
      </c>
      <c r="R51" s="61">
        <v>716.09705359097848</v>
      </c>
      <c r="S51" s="58">
        <v>1.1507860521357776E-6</v>
      </c>
      <c r="U51" s="85"/>
      <c r="V51" s="85"/>
      <c r="W51" s="83"/>
      <c r="X51" s="152">
        <f t="shared" si="1"/>
        <v>0.43723014828000001</v>
      </c>
      <c r="Y51" s="153">
        <f t="shared" si="2"/>
        <v>2.9553058665001829E-4</v>
      </c>
      <c r="Z51" s="153">
        <f t="shared" si="0"/>
        <v>1.111163075758111E-5</v>
      </c>
      <c r="AA51" s="153">
        <f t="shared" si="0"/>
        <v>3.1098977092328491E-4</v>
      </c>
      <c r="AB51" s="117">
        <f t="shared" si="3"/>
        <v>42.337294640902158</v>
      </c>
      <c r="AC51" s="117">
        <f t="shared" si="4"/>
        <v>1.1507860521357775E-4</v>
      </c>
    </row>
    <row r="52" spans="9:29" x14ac:dyDescent="0.25">
      <c r="I52" s="49">
        <v>4.4597475124600001E-2</v>
      </c>
      <c r="J52" s="49">
        <v>2.3302352818751964E-4</v>
      </c>
      <c r="K52" s="49">
        <v>9.6042468775993961E-6</v>
      </c>
      <c r="L52" s="67">
        <v>2.5342252425986144E-4</v>
      </c>
      <c r="N52" s="18">
        <v>8.3472314568865772E-7</v>
      </c>
      <c r="O52" s="18">
        <v>1.5174500583261521E-10</v>
      </c>
      <c r="P52" s="18">
        <v>4.9766056315929077E-8</v>
      </c>
      <c r="Q52" s="28">
        <v>3.3821520473462936</v>
      </c>
      <c r="R52" s="61">
        <v>732.07370569113425</v>
      </c>
      <c r="S52" s="58">
        <v>1.1507860521357776E-6</v>
      </c>
      <c r="U52" s="85"/>
      <c r="V52" s="85"/>
      <c r="W52" s="83"/>
      <c r="X52" s="152">
        <f t="shared" si="1"/>
        <v>0.445974751246</v>
      </c>
      <c r="Y52" s="153">
        <f t="shared" si="2"/>
        <v>2.3302352818751964E-4</v>
      </c>
      <c r="Z52" s="153">
        <f t="shared" si="0"/>
        <v>9.6042468775993961E-6</v>
      </c>
      <c r="AA52" s="153">
        <f t="shared" si="0"/>
        <v>2.5342252425986144E-4</v>
      </c>
      <c r="AB52" s="117">
        <f t="shared" si="3"/>
        <v>40.739629430886581</v>
      </c>
      <c r="AC52" s="117">
        <f t="shared" si="4"/>
        <v>1.1507860521357775E-4</v>
      </c>
    </row>
    <row r="53" spans="9:29" x14ac:dyDescent="0.25">
      <c r="I53" s="49">
        <v>4.5489424627099997E-2</v>
      </c>
      <c r="J53" s="49">
        <v>1.7076655159211539E-4</v>
      </c>
      <c r="K53" s="49">
        <v>8.1191502313028987E-6</v>
      </c>
      <c r="L53" s="67">
        <v>2.0350759733196551E-4</v>
      </c>
      <c r="N53" s="18">
        <v>8.3958941149791804E-7</v>
      </c>
      <c r="O53" s="18">
        <v>1.499619547250862E-10</v>
      </c>
      <c r="P53" s="18">
        <v>4.9153226027906542E-8</v>
      </c>
      <c r="Q53" s="28">
        <v>3.3821520473462936</v>
      </c>
      <c r="R53" s="61">
        <v>732.07370569113425</v>
      </c>
      <c r="S53" s="58">
        <v>1.1717055715278346E-6</v>
      </c>
      <c r="U53" s="85"/>
      <c r="V53" s="85"/>
      <c r="W53" s="83"/>
      <c r="X53" s="152">
        <f t="shared" si="1"/>
        <v>0.45489424627099995</v>
      </c>
      <c r="Y53" s="153">
        <f t="shared" si="2"/>
        <v>1.7076655159211539E-4</v>
      </c>
      <c r="Z53" s="153">
        <f t="shared" si="0"/>
        <v>8.1191502313028987E-6</v>
      </c>
      <c r="AA53" s="153">
        <f t="shared" si="0"/>
        <v>2.0350759733196551E-4</v>
      </c>
      <c r="AB53" s="117">
        <f t="shared" si="3"/>
        <v>40.739629430886581</v>
      </c>
      <c r="AC53" s="117">
        <f t="shared" si="4"/>
        <v>1.1717055715278347E-4</v>
      </c>
    </row>
    <row r="54" spans="9:29" x14ac:dyDescent="0.25">
      <c r="I54" s="49">
        <v>4.6399213119599998E-2</v>
      </c>
      <c r="J54" s="49">
        <v>1.4986540110836565E-4</v>
      </c>
      <c r="K54" s="49">
        <v>7.514712220216295E-6</v>
      </c>
      <c r="L54" s="67">
        <v>1.6158452210456088E-4</v>
      </c>
      <c r="N54" s="18">
        <v>8.531493306541746E-7</v>
      </c>
      <c r="O54" s="18">
        <v>1.4686204980967185E-10</v>
      </c>
      <c r="P54" s="18">
        <v>4.8088119025913016E-8</v>
      </c>
      <c r="Q54" s="28">
        <v>3.3821520473462936</v>
      </c>
      <c r="R54" s="61">
        <v>748.05035779129003</v>
      </c>
      <c r="S54" s="58">
        <v>1.1717055715278346E-6</v>
      </c>
      <c r="U54" s="85"/>
      <c r="V54" s="85"/>
      <c r="W54" s="83"/>
      <c r="X54" s="152">
        <f t="shared" si="1"/>
        <v>0.46399213119599997</v>
      </c>
      <c r="Y54" s="153">
        <f t="shared" si="2"/>
        <v>1.4986540110836565E-4</v>
      </c>
      <c r="Z54" s="153">
        <f t="shared" si="0"/>
        <v>7.514712220216295E-6</v>
      </c>
      <c r="AA54" s="153">
        <f t="shared" si="0"/>
        <v>1.6158452210456088E-4</v>
      </c>
      <c r="AB54" s="117">
        <f t="shared" si="3"/>
        <v>39.141964220871003</v>
      </c>
      <c r="AC54" s="117">
        <f t="shared" si="4"/>
        <v>1.1717055715278347E-4</v>
      </c>
    </row>
    <row r="55" spans="9:29" x14ac:dyDescent="0.25">
      <c r="I55" s="49">
        <v>4.7327197382000002E-2</v>
      </c>
      <c r="J55" s="49">
        <v>1.1348828099118958E-4</v>
      </c>
      <c r="K55" s="49">
        <v>6.1986102507521144E-6</v>
      </c>
      <c r="L55" s="67">
        <v>1.2632088636235653E-4</v>
      </c>
      <c r="N55" s="18">
        <v>8.7855683988094515E-7</v>
      </c>
      <c r="O55" s="18">
        <v>1.4189446109825034E-10</v>
      </c>
      <c r="P55" s="18">
        <v>4.6381538747814032E-8</v>
      </c>
      <c r="Q55" s="28">
        <v>3.3821520473462936</v>
      </c>
      <c r="R55" s="61">
        <v>748.05035779129003</v>
      </c>
      <c r="S55" s="58">
        <v>1.1894055494683403E-6</v>
      </c>
      <c r="U55" s="85"/>
      <c r="V55" s="85"/>
      <c r="W55" s="83"/>
      <c r="X55" s="152">
        <f t="shared" si="1"/>
        <v>0.47327197382000002</v>
      </c>
      <c r="Y55" s="153">
        <f t="shared" si="2"/>
        <v>1.1348828099118958E-4</v>
      </c>
      <c r="Z55" s="153">
        <f t="shared" si="0"/>
        <v>6.1986102507521144E-6</v>
      </c>
      <c r="AA55" s="153">
        <f t="shared" si="0"/>
        <v>1.2632088636235653E-4</v>
      </c>
      <c r="AB55" s="117">
        <f t="shared" si="3"/>
        <v>39.141964220871003</v>
      </c>
      <c r="AC55" s="117">
        <f t="shared" si="4"/>
        <v>1.1894055494683403E-4</v>
      </c>
    </row>
    <row r="56" spans="9:29" x14ac:dyDescent="0.25">
      <c r="I56" s="49">
        <v>4.8273741329600002E-2</v>
      </c>
      <c r="J56" s="49">
        <v>8.0810644316942038E-5</v>
      </c>
      <c r="K56" s="49">
        <v>5.7221925874399603E-6</v>
      </c>
      <c r="L56" s="67">
        <v>9.57573834901174E-5</v>
      </c>
      <c r="N56" s="18">
        <v>9.187597677107201E-7</v>
      </c>
      <c r="O56" s="18">
        <v>1.3454310733825294E-10</v>
      </c>
      <c r="P56" s="18">
        <v>4.3856223945795203E-8</v>
      </c>
      <c r="Q56" s="28">
        <v>3.3821520473462936</v>
      </c>
      <c r="R56" s="61">
        <v>764.0270098914458</v>
      </c>
      <c r="S56" s="58">
        <v>1.1894055494683403E-6</v>
      </c>
      <c r="U56" s="85"/>
      <c r="V56" s="85"/>
      <c r="W56" s="83"/>
      <c r="X56" s="152">
        <f t="shared" si="1"/>
        <v>0.48273741329600001</v>
      </c>
      <c r="Y56" s="153">
        <f t="shared" si="2"/>
        <v>8.0810644316942038E-5</v>
      </c>
      <c r="Z56" s="153">
        <f t="shared" si="0"/>
        <v>5.7221925874399603E-6</v>
      </c>
      <c r="AA56" s="153">
        <f t="shared" si="0"/>
        <v>9.57573834901174E-5</v>
      </c>
      <c r="AB56" s="117">
        <f t="shared" si="3"/>
        <v>37.544299010855426</v>
      </c>
      <c r="AC56" s="117">
        <f t="shared" si="4"/>
        <v>1.1894055494683403E-4</v>
      </c>
    </row>
    <row r="57" spans="9:29" x14ac:dyDescent="0.25">
      <c r="I57" s="49">
        <v>4.92392161562E-2</v>
      </c>
      <c r="J57" s="49">
        <v>6.2461959992796761E-5</v>
      </c>
      <c r="K57" s="49">
        <v>4.7846556158286097E-6</v>
      </c>
      <c r="L57" s="67">
        <v>6.8684871778010575E-5</v>
      </c>
      <c r="N57" s="18">
        <v>9.755478528108807E-7</v>
      </c>
      <c r="O57" s="18">
        <v>1.2448844361510168E-10</v>
      </c>
      <c r="P57" s="18">
        <v>4.0402418293493172E-8</v>
      </c>
      <c r="Q57" s="28">
        <v>3.3821520473462936</v>
      </c>
      <c r="R57" s="61">
        <v>764.0270098914458</v>
      </c>
      <c r="S57" s="58">
        <v>1.2041270089767643E-6</v>
      </c>
      <c r="U57" s="85"/>
      <c r="V57" s="85"/>
      <c r="W57" s="83"/>
      <c r="X57" s="152">
        <f t="shared" si="1"/>
        <v>0.492392161562</v>
      </c>
      <c r="Y57" s="153">
        <f t="shared" si="2"/>
        <v>6.2461959992796761E-5</v>
      </c>
      <c r="Z57" s="153">
        <f t="shared" si="0"/>
        <v>4.7846556158286097E-6</v>
      </c>
      <c r="AA57" s="153">
        <f t="shared" si="0"/>
        <v>6.8684871778010575E-5</v>
      </c>
      <c r="AB57" s="117">
        <f t="shared" si="3"/>
        <v>37.544299010855426</v>
      </c>
      <c r="AC57" s="117">
        <f t="shared" si="4"/>
        <v>1.2041270089767643E-4</v>
      </c>
    </row>
    <row r="58" spans="9:29" x14ac:dyDescent="0.25">
      <c r="I58" s="49">
        <v>5.0224000479399997E-2</v>
      </c>
      <c r="J58" s="49">
        <v>3.9407484799498713E-5</v>
      </c>
      <c r="K58" s="49">
        <v>3.8756643104232644E-6</v>
      </c>
      <c r="L58" s="67">
        <v>4.5369682835638075E-5</v>
      </c>
      <c r="N58" s="18">
        <v>1.0485741690972883E-6</v>
      </c>
      <c r="O58" s="18">
        <v>1.1177363799852384E-10</v>
      </c>
      <c r="P58" s="18">
        <v>3.6034947509485108E-8</v>
      </c>
      <c r="Q58" s="28">
        <v>3.3821520473462936</v>
      </c>
      <c r="R58" s="61">
        <v>780.00366199160158</v>
      </c>
      <c r="S58" s="58">
        <v>1.2041270089767643E-6</v>
      </c>
      <c r="U58" s="85"/>
      <c r="V58" s="85"/>
      <c r="W58" s="83"/>
      <c r="X58" s="152">
        <f t="shared" si="1"/>
        <v>0.50224000479399999</v>
      </c>
      <c r="Y58" s="153">
        <f t="shared" si="2"/>
        <v>3.9407484799498713E-5</v>
      </c>
      <c r="Z58" s="153">
        <f t="shared" si="0"/>
        <v>3.8756643104232644E-6</v>
      </c>
      <c r="AA58" s="153">
        <f t="shared" si="0"/>
        <v>4.5369682835638075E-5</v>
      </c>
      <c r="AB58" s="117">
        <f t="shared" si="3"/>
        <v>35.946633800839848</v>
      </c>
      <c r="AC58" s="117">
        <f t="shared" si="4"/>
        <v>1.2041270089767643E-4</v>
      </c>
    </row>
    <row r="59" spans="9:29" x14ac:dyDescent="0.25">
      <c r="I59" s="49">
        <v>5.1228480489E-2</v>
      </c>
      <c r="J59" s="49">
        <v>2.9775080910831287E-5</v>
      </c>
      <c r="K59" s="49">
        <v>3.3446191852782077E-6</v>
      </c>
      <c r="L59" s="67">
        <v>2.7062790180703028E-5</v>
      </c>
      <c r="N59" s="18">
        <v>1.1347640873582316E-6</v>
      </c>
      <c r="O59" s="18">
        <v>9.6904996704546135E-11</v>
      </c>
      <c r="P59" s="18">
        <v>3.0927712647008358E-8</v>
      </c>
      <c r="Q59" s="28">
        <v>3.3821520473462936</v>
      </c>
      <c r="R59" s="61">
        <v>780.00366199160158</v>
      </c>
      <c r="S59" s="58">
        <v>1.2158721669630618E-6</v>
      </c>
      <c r="U59" s="85"/>
      <c r="V59" s="85"/>
      <c r="W59" s="83"/>
      <c r="X59" s="152">
        <f t="shared" si="1"/>
        <v>0.51228480488999995</v>
      </c>
      <c r="Y59" s="153">
        <f t="shared" si="2"/>
        <v>2.9775080910831287E-5</v>
      </c>
      <c r="Z59" s="153">
        <f t="shared" si="0"/>
        <v>3.3446191852782077E-6</v>
      </c>
      <c r="AA59" s="153">
        <f t="shared" si="0"/>
        <v>2.7062790180703028E-5</v>
      </c>
      <c r="AB59" s="117">
        <f t="shared" si="3"/>
        <v>35.946633800839848</v>
      </c>
      <c r="AC59" s="117">
        <f t="shared" si="4"/>
        <v>1.2158721669630618E-4</v>
      </c>
    </row>
    <row r="60" spans="9:29" x14ac:dyDescent="0.25">
      <c r="I60" s="49">
        <v>5.2253050098700002E-2</v>
      </c>
      <c r="J60" s="49">
        <v>1.4113448218084622E-5</v>
      </c>
      <c r="K60" s="49">
        <v>2.7966637530442036E-6</v>
      </c>
      <c r="L60" s="67">
        <v>1.4672317704207585E-5</v>
      </c>
      <c r="N60" s="18">
        <v>1.2047242182367034E-6</v>
      </c>
      <c r="O60" s="18">
        <v>8.489460070333443E-11</v>
      </c>
      <c r="P60" s="18">
        <v>2.6802284774395854E-8</v>
      </c>
      <c r="Q60" s="28">
        <v>1.6910760236731468</v>
      </c>
      <c r="R60" s="61">
        <v>795.98031409175735</v>
      </c>
      <c r="S60" s="58">
        <v>1.2158721669630618E-6</v>
      </c>
      <c r="U60" s="85"/>
      <c r="V60" s="85"/>
      <c r="W60" s="83"/>
      <c r="X60" s="152">
        <f t="shared" si="1"/>
        <v>0.52253050098700005</v>
      </c>
      <c r="Y60" s="153">
        <f t="shared" si="2"/>
        <v>1.4113448218084622E-5</v>
      </c>
      <c r="Z60" s="153">
        <f t="shared" si="0"/>
        <v>2.7966637530442036E-6</v>
      </c>
      <c r="AA60" s="153">
        <f t="shared" si="0"/>
        <v>1.4672317704207585E-5</v>
      </c>
      <c r="AB60" s="117">
        <f t="shared" si="3"/>
        <v>34.348968590824271</v>
      </c>
      <c r="AC60" s="117">
        <f t="shared" si="4"/>
        <v>1.2158721669630618E-4</v>
      </c>
    </row>
    <row r="61" spans="9:29" x14ac:dyDescent="0.25">
      <c r="I61" s="49">
        <v>5.3298111100699999E-2</v>
      </c>
      <c r="J61" s="49">
        <v>1.1312971324052297E-5</v>
      </c>
      <c r="K61" s="49">
        <v>2.5891283764435919E-6</v>
      </c>
      <c r="L61" s="67">
        <v>7.7212821935082504E-6</v>
      </c>
      <c r="N61" s="18">
        <v>1.2442537323189147E-6</v>
      </c>
      <c r="O61" s="18">
        <v>7.7428363298818107E-11</v>
      </c>
      <c r="P61" s="18">
        <v>2.4237727973742936E-8</v>
      </c>
      <c r="Q61" s="28">
        <v>1.4108435827004513</v>
      </c>
      <c r="R61" s="61">
        <v>795.98031409175735</v>
      </c>
      <c r="S61" s="58">
        <v>1.2237135837179255E-6</v>
      </c>
      <c r="U61" s="85"/>
      <c r="V61" s="85"/>
      <c r="W61" s="83"/>
      <c r="X61" s="152">
        <f t="shared" si="1"/>
        <v>0.53298111100699996</v>
      </c>
      <c r="Y61" s="153">
        <f t="shared" si="2"/>
        <v>1.1312971324052297E-5</v>
      </c>
      <c r="Z61" s="153">
        <f t="shared" si="0"/>
        <v>2.5891283764435919E-6</v>
      </c>
      <c r="AA61" s="153">
        <f t="shared" si="0"/>
        <v>7.7212821935082504E-6</v>
      </c>
      <c r="AB61" s="117">
        <f t="shared" si="3"/>
        <v>34.348968590824271</v>
      </c>
      <c r="AC61" s="117">
        <f t="shared" si="4"/>
        <v>1.2237135837179255E-4</v>
      </c>
    </row>
    <row r="62" spans="9:29" x14ac:dyDescent="0.25">
      <c r="I62" s="49">
        <v>5.4364073322699998E-2</v>
      </c>
      <c r="J62" s="49">
        <v>3.6865622224154662E-6</v>
      </c>
      <c r="K62" s="49">
        <v>2.1868310346897657E-6</v>
      </c>
      <c r="L62" s="67">
        <v>4.5364951087529091E-6</v>
      </c>
      <c r="N62" s="18">
        <v>1.3038442671786804E-6</v>
      </c>
      <c r="O62" s="18">
        <v>6.7353324216819805E-11</v>
      </c>
      <c r="P62" s="18">
        <v>2.077708532947049E-8</v>
      </c>
      <c r="Q62" s="28">
        <v>2.8216871654009026</v>
      </c>
      <c r="R62" s="61">
        <v>811.95696619191312</v>
      </c>
      <c r="S62" s="58">
        <v>1.2237135837179255E-6</v>
      </c>
      <c r="U62" s="85"/>
      <c r="V62" s="85"/>
      <c r="W62" s="83"/>
      <c r="X62" s="152">
        <f t="shared" si="1"/>
        <v>0.54364073322700002</v>
      </c>
      <c r="Y62" s="153">
        <f t="shared" si="2"/>
        <v>3.6865622224154662E-6</v>
      </c>
      <c r="Z62" s="153">
        <f t="shared" si="0"/>
        <v>2.1868310346897657E-6</v>
      </c>
      <c r="AA62" s="153">
        <f t="shared" si="0"/>
        <v>4.5364951087529091E-6</v>
      </c>
      <c r="AB62" s="117">
        <f t="shared" si="3"/>
        <v>32.751303380808693</v>
      </c>
      <c r="AC62" s="117">
        <f t="shared" si="4"/>
        <v>1.2237135837179255E-4</v>
      </c>
    </row>
    <row r="63" spans="9:29" x14ac:dyDescent="0.25">
      <c r="I63" s="49">
        <v>5.5451354789199998E-2</v>
      </c>
      <c r="J63" s="49">
        <v>6.5456351892073309E-6</v>
      </c>
      <c r="K63" s="49">
        <v>2.0993242461130078E-6</v>
      </c>
      <c r="L63" s="67">
        <v>3.5196807137761233E-6</v>
      </c>
      <c r="N63" s="18">
        <v>1.3793152049873117E-6</v>
      </c>
      <c r="O63" s="18">
        <v>5.459332962932264E-11</v>
      </c>
      <c r="P63" s="18">
        <v>1.6394196297660289E-8</v>
      </c>
      <c r="Q63" s="28">
        <v>2.8216871654009026</v>
      </c>
      <c r="R63" s="61">
        <v>811.95696619191312</v>
      </c>
      <c r="S63" s="58">
        <v>1.2243412376315042E-6</v>
      </c>
      <c r="U63" s="85"/>
      <c r="V63" s="85"/>
      <c r="W63" s="83"/>
      <c r="X63" s="152">
        <f t="shared" si="1"/>
        <v>0.55451354789200002</v>
      </c>
      <c r="Y63" s="153">
        <f t="shared" si="2"/>
        <v>6.5456351892073309E-6</v>
      </c>
      <c r="Z63" s="153">
        <f t="shared" si="0"/>
        <v>2.0993242461130078E-6</v>
      </c>
      <c r="AA63" s="153">
        <f t="shared" si="0"/>
        <v>3.5196807137761233E-6</v>
      </c>
      <c r="AB63" s="117">
        <f t="shared" si="3"/>
        <v>32.751303380808693</v>
      </c>
      <c r="AC63" s="117">
        <f t="shared" si="4"/>
        <v>1.2243412376315043E-4</v>
      </c>
    </row>
    <row r="64" spans="9:29" x14ac:dyDescent="0.25">
      <c r="I64" s="49">
        <v>5.6560381884999997E-2</v>
      </c>
      <c r="J64" s="49">
        <v>8.8054358405391636E-6</v>
      </c>
      <c r="K64" s="49">
        <v>2.2688226945660693E-6</v>
      </c>
      <c r="L64" s="67">
        <v>4.2638293438739508E-6</v>
      </c>
      <c r="N64" s="18">
        <v>1.4470170375721256E-6</v>
      </c>
      <c r="O64" s="18">
        <v>4.3147832011561487E-11</v>
      </c>
      <c r="P64" s="18">
        <v>1.2462811674939311E-8</v>
      </c>
      <c r="Q64" s="28">
        <v>2.8216871654009026</v>
      </c>
      <c r="R64" s="61">
        <v>827.9336182920689</v>
      </c>
      <c r="S64" s="58">
        <v>1.2243412376315042E-6</v>
      </c>
      <c r="U64" s="85"/>
      <c r="V64" s="85"/>
      <c r="W64" s="83"/>
      <c r="X64" s="152">
        <f t="shared" si="1"/>
        <v>0.56560381885</v>
      </c>
      <c r="Y64" s="153">
        <f t="shared" si="2"/>
        <v>8.8054358405391636E-6</v>
      </c>
      <c r="Z64" s="153">
        <f t="shared" si="0"/>
        <v>2.2688226945660693E-6</v>
      </c>
      <c r="AA64" s="153">
        <f t="shared" si="0"/>
        <v>4.2638293438739508E-6</v>
      </c>
      <c r="AB64" s="117">
        <f t="shared" si="3"/>
        <v>31.153638170793112</v>
      </c>
      <c r="AC64" s="117">
        <f t="shared" si="4"/>
        <v>1.2243412376315043E-4</v>
      </c>
    </row>
    <row r="65" spans="9:29" x14ac:dyDescent="0.25">
      <c r="I65" s="49">
        <v>5.7691589522700003E-2</v>
      </c>
      <c r="J65" s="49">
        <v>1.0727523419622968E-5</v>
      </c>
      <c r="K65" s="49">
        <v>2.3019358789839658E-6</v>
      </c>
      <c r="L65" s="67">
        <v>7.3336353123826045E-6</v>
      </c>
      <c r="N65" s="18">
        <v>1.5045345598100863E-6</v>
      </c>
      <c r="O65" s="18">
        <v>3.3425949845873656E-11</v>
      </c>
      <c r="P65" s="18">
        <v>9.123451881765232E-9</v>
      </c>
      <c r="Q65" s="28">
        <v>2.8216871654009026</v>
      </c>
      <c r="R65" s="61">
        <v>827.9336182920689</v>
      </c>
      <c r="S65" s="58">
        <v>1.2106219821656223E-6</v>
      </c>
      <c r="U65" s="85"/>
      <c r="V65" s="85"/>
      <c r="W65" s="83"/>
      <c r="X65" s="152">
        <f t="shared" si="1"/>
        <v>0.57691589522700004</v>
      </c>
      <c r="Y65" s="153">
        <f t="shared" si="2"/>
        <v>1.0727523419622968E-5</v>
      </c>
      <c r="Z65" s="153">
        <f t="shared" si="0"/>
        <v>2.3019358789839658E-6</v>
      </c>
      <c r="AA65" s="153">
        <f t="shared" si="0"/>
        <v>7.3336353123826045E-6</v>
      </c>
      <c r="AB65" s="117">
        <f t="shared" si="3"/>
        <v>31.153638170793112</v>
      </c>
      <c r="AC65" s="117">
        <f t="shared" si="4"/>
        <v>1.2106219821656222E-4</v>
      </c>
    </row>
    <row r="66" spans="9:29" x14ac:dyDescent="0.25">
      <c r="I66" s="49">
        <v>5.8845421313099999E-2</v>
      </c>
      <c r="J66" s="49">
        <v>2.0143297507912965E-5</v>
      </c>
      <c r="K66" s="49">
        <v>2.7633313050849233E-6</v>
      </c>
      <c r="L66" s="67">
        <v>1.2884984554834198E-5</v>
      </c>
      <c r="N66" s="18">
        <v>1.5508083830839444E-6</v>
      </c>
      <c r="O66" s="18">
        <v>2.5607172010334939E-11</v>
      </c>
      <c r="P66" s="18">
        <v>6.4377658858570612E-9</v>
      </c>
      <c r="Q66" s="28">
        <v>2.8216871654009026</v>
      </c>
      <c r="R66" s="61">
        <v>843.91027039222467</v>
      </c>
      <c r="S66" s="58">
        <v>1.2106219821656223E-6</v>
      </c>
      <c r="U66" s="85"/>
      <c r="V66" s="85"/>
      <c r="W66" s="83"/>
      <c r="X66" s="152">
        <f t="shared" si="1"/>
        <v>0.58845421313099999</v>
      </c>
      <c r="Y66" s="153">
        <f t="shared" si="2"/>
        <v>2.0143297507912965E-5</v>
      </c>
      <c r="Z66" s="153">
        <f t="shared" si="0"/>
        <v>2.7633313050849233E-6</v>
      </c>
      <c r="AA66" s="153">
        <f t="shared" si="0"/>
        <v>1.2884984554834198E-5</v>
      </c>
      <c r="AB66" s="117">
        <f t="shared" si="3"/>
        <v>29.555972960777535</v>
      </c>
      <c r="AC66" s="117">
        <f t="shared" si="4"/>
        <v>1.2106219821656222E-4</v>
      </c>
    </row>
    <row r="67" spans="9:29" x14ac:dyDescent="0.25">
      <c r="I67" s="49">
        <v>6.0022329739399999E-2</v>
      </c>
      <c r="J67" s="49">
        <v>2.3571680779560656E-5</v>
      </c>
      <c r="K67" s="49">
        <v>3.0260216438070803E-6</v>
      </c>
      <c r="L67" s="67">
        <v>1.9670075045240519E-5</v>
      </c>
      <c r="N67" s="18">
        <v>1.5860480031949348E-6</v>
      </c>
      <c r="O67" s="18">
        <v>1.965608105230251E-11</v>
      </c>
      <c r="P67" s="18">
        <v>4.3935882424153086E-9</v>
      </c>
      <c r="Q67" s="28">
        <v>2.8216871654009026</v>
      </c>
      <c r="R67" s="61">
        <v>843.91027039222467</v>
      </c>
      <c r="S67" s="58">
        <v>1.1730718052692887E-6</v>
      </c>
      <c r="U67" s="85"/>
      <c r="V67" s="85"/>
      <c r="W67" s="83"/>
      <c r="X67" s="152">
        <f t="shared" si="1"/>
        <v>0.60022329739400004</v>
      </c>
      <c r="Y67" s="153">
        <f t="shared" si="2"/>
        <v>2.3571680779560656E-5</v>
      </c>
      <c r="Z67" s="153">
        <f t="shared" si="2"/>
        <v>3.0260216438070803E-6</v>
      </c>
      <c r="AA67" s="153">
        <f t="shared" si="2"/>
        <v>1.9670075045240519E-5</v>
      </c>
      <c r="AB67" s="117">
        <f t="shared" si="3"/>
        <v>29.555972960777535</v>
      </c>
      <c r="AC67" s="117">
        <f t="shared" si="4"/>
        <v>1.1730718052692886E-4</v>
      </c>
    </row>
    <row r="68" spans="9:29" x14ac:dyDescent="0.25">
      <c r="I68" s="49">
        <v>6.1222776334200001E-2</v>
      </c>
      <c r="J68" s="49">
        <v>3.2829850291908857E-5</v>
      </c>
      <c r="K68" s="49">
        <v>3.6083008820121395E-6</v>
      </c>
      <c r="L68" s="67">
        <v>2.5741297227171847E-5</v>
      </c>
      <c r="N68" s="18">
        <v>1.6114145181787821E-6</v>
      </c>
      <c r="O68" s="18">
        <v>1.5376089454144109E-11</v>
      </c>
      <c r="P68" s="18">
        <v>2.9233960285248755E-9</v>
      </c>
      <c r="Q68" s="28">
        <v>2.8216871654009026</v>
      </c>
      <c r="R68" s="61">
        <v>859.88692249238045</v>
      </c>
      <c r="S68" s="58">
        <v>1.1730718052692887E-6</v>
      </c>
      <c r="U68" s="85"/>
      <c r="V68" s="85"/>
      <c r="W68" s="83"/>
      <c r="X68" s="152">
        <f t="shared" ref="X68:X116" si="5">I68*10</f>
        <v>0.61222776334200002</v>
      </c>
      <c r="Y68" s="153">
        <f t="shared" ref="Y68:AA116" si="6">J68</f>
        <v>3.2829850291908857E-5</v>
      </c>
      <c r="Z68" s="153">
        <f t="shared" si="6"/>
        <v>3.6083008820121395E-6</v>
      </c>
      <c r="AA68" s="153">
        <f t="shared" si="6"/>
        <v>2.5741297227171847E-5</v>
      </c>
      <c r="AB68" s="117">
        <f t="shared" ref="AB68:AB131" si="7">(1139.47-R68)/10</f>
        <v>27.958307750761957</v>
      </c>
      <c r="AC68" s="117">
        <f t="shared" ref="AC68:AC131" si="8">S68*100</f>
        <v>1.1730718052692886E-4</v>
      </c>
    </row>
    <row r="69" spans="9:29" x14ac:dyDescent="0.25">
      <c r="I69" s="49">
        <v>6.24472318608E-2</v>
      </c>
      <c r="J69" s="49">
        <v>4.068306220422108E-5</v>
      </c>
      <c r="K69" s="49">
        <v>3.7818348507449298E-6</v>
      </c>
      <c r="L69" s="67">
        <v>3.0261928944273209E-5</v>
      </c>
      <c r="N69" s="18">
        <v>1.6285877823251024E-6</v>
      </c>
      <c r="O69" s="18">
        <v>1.2482748233846828E-11</v>
      </c>
      <c r="P69" s="18">
        <v>1.92948833847837E-9</v>
      </c>
      <c r="Q69" s="28">
        <v>2.8216871654009026</v>
      </c>
      <c r="R69" s="61">
        <v>859.88692249238045</v>
      </c>
      <c r="S69" s="58">
        <v>1.1067694108894883E-6</v>
      </c>
      <c r="U69" s="85"/>
      <c r="V69" s="85"/>
      <c r="W69" s="83"/>
      <c r="X69" s="152">
        <f t="shared" si="5"/>
        <v>0.62447231860800001</v>
      </c>
      <c r="Y69" s="153">
        <f t="shared" si="6"/>
        <v>4.068306220422108E-5</v>
      </c>
      <c r="Z69" s="153">
        <f t="shared" si="6"/>
        <v>3.7818348507449298E-6</v>
      </c>
      <c r="AA69" s="153">
        <f t="shared" si="6"/>
        <v>3.0261928944273209E-5</v>
      </c>
      <c r="AB69" s="117">
        <f t="shared" si="7"/>
        <v>27.958307750761957</v>
      </c>
      <c r="AC69" s="117">
        <f t="shared" si="8"/>
        <v>1.1067694108894883E-4</v>
      </c>
    </row>
    <row r="70" spans="9:29" x14ac:dyDescent="0.25">
      <c r="I70" s="49">
        <v>6.3696176498099999E-2</v>
      </c>
      <c r="J70" s="49">
        <v>4.1460065908640111E-5</v>
      </c>
      <c r="K70" s="49">
        <v>3.7961593720035361E-6</v>
      </c>
      <c r="L70" s="67">
        <v>3.4285208818049584E-5</v>
      </c>
      <c r="N70" s="18">
        <v>1.6393331434442056E-6</v>
      </c>
      <c r="O70" s="18">
        <v>1.067712612620594E-11</v>
      </c>
      <c r="P70" s="18">
        <v>1.3091900216138587E-9</v>
      </c>
      <c r="Q70" s="28">
        <v>2.8216871654009026</v>
      </c>
      <c r="R70" s="61">
        <v>875.86357459253622</v>
      </c>
      <c r="S70" s="58">
        <v>1.1067694108894883E-6</v>
      </c>
      <c r="U70" s="85"/>
      <c r="V70" s="85"/>
      <c r="W70" s="83"/>
      <c r="X70" s="152">
        <f t="shared" si="5"/>
        <v>0.63696176498099999</v>
      </c>
      <c r="Y70" s="153">
        <f t="shared" si="6"/>
        <v>4.1460065908640111E-5</v>
      </c>
      <c r="Z70" s="153">
        <f t="shared" si="6"/>
        <v>3.7961593720035361E-6</v>
      </c>
      <c r="AA70" s="153">
        <f t="shared" si="6"/>
        <v>3.4285208818049584E-5</v>
      </c>
      <c r="AB70" s="117">
        <f t="shared" si="7"/>
        <v>26.36064254074638</v>
      </c>
      <c r="AC70" s="117">
        <f t="shared" si="8"/>
        <v>1.1067694108894883E-4</v>
      </c>
    </row>
    <row r="71" spans="9:29" x14ac:dyDescent="0.25">
      <c r="I71" s="49">
        <v>6.4970100027999994E-2</v>
      </c>
      <c r="J71" s="49">
        <v>4.8778423501427143E-5</v>
      </c>
      <c r="K71" s="49">
        <v>3.9231953309847205E-6</v>
      </c>
      <c r="L71" s="67">
        <v>3.927606558935805E-5</v>
      </c>
      <c r="N71" s="18">
        <v>1.6451475623414965E-6</v>
      </c>
      <c r="O71" s="18">
        <v>9.7057442801803117E-12</v>
      </c>
      <c r="P71" s="18">
        <v>9.7543760824856251E-10</v>
      </c>
      <c r="Q71" s="28">
        <v>2.8216871654009026</v>
      </c>
      <c r="R71" s="61">
        <v>875.86357459253622</v>
      </c>
      <c r="S71" s="58">
        <v>1.042375606182979E-6</v>
      </c>
      <c r="U71" s="85"/>
      <c r="V71" s="85"/>
      <c r="W71" s="83"/>
      <c r="X71" s="152">
        <f t="shared" si="5"/>
        <v>0.64970100027999989</v>
      </c>
      <c r="Y71" s="153">
        <f t="shared" si="6"/>
        <v>4.8778423501427143E-5</v>
      </c>
      <c r="Z71" s="153">
        <f t="shared" si="6"/>
        <v>3.9231953309847205E-6</v>
      </c>
      <c r="AA71" s="153">
        <f t="shared" si="6"/>
        <v>3.927606558935805E-5</v>
      </c>
      <c r="AB71" s="117">
        <f t="shared" si="7"/>
        <v>26.36064254074638</v>
      </c>
      <c r="AC71" s="117">
        <f t="shared" si="8"/>
        <v>1.042375606182979E-4</v>
      </c>
    </row>
    <row r="72" spans="9:29" x14ac:dyDescent="0.25">
      <c r="I72" s="49">
        <v>6.6269502028600005E-2</v>
      </c>
      <c r="J72" s="49">
        <v>6.0453039784877594E-5</v>
      </c>
      <c r="K72" s="49">
        <v>4.2158602413250072E-6</v>
      </c>
      <c r="L72" s="67">
        <v>4.4900447150320745E-5</v>
      </c>
      <c r="N72" s="18">
        <v>1.6470176677284539E-6</v>
      </c>
      <c r="O72" s="18">
        <v>9.4015531300344767E-12</v>
      </c>
      <c r="P72" s="18">
        <v>8.7085374162388599E-10</v>
      </c>
      <c r="Q72" s="28">
        <v>2.8216871654009026</v>
      </c>
      <c r="R72" s="61">
        <v>883.85190064261417</v>
      </c>
      <c r="S72" s="58">
        <v>1.042375606182979E-6</v>
      </c>
      <c r="U72" s="85"/>
      <c r="V72" s="85"/>
      <c r="W72" s="83"/>
      <c r="X72" s="152">
        <f t="shared" si="5"/>
        <v>0.66269502028600002</v>
      </c>
      <c r="Y72" s="153">
        <f t="shared" si="6"/>
        <v>6.0453039784877594E-5</v>
      </c>
      <c r="Z72" s="153">
        <f t="shared" si="6"/>
        <v>4.2158602413250072E-6</v>
      </c>
      <c r="AA72" s="153">
        <f t="shared" si="6"/>
        <v>4.4900447150320745E-5</v>
      </c>
      <c r="AB72" s="117">
        <f t="shared" si="7"/>
        <v>25.561809935738587</v>
      </c>
      <c r="AC72" s="117">
        <f t="shared" si="8"/>
        <v>1.042375606182979E-4</v>
      </c>
    </row>
    <row r="73" spans="9:29" x14ac:dyDescent="0.25">
      <c r="I73" s="49">
        <v>6.7594892069199997E-2</v>
      </c>
      <c r="J73" s="49">
        <v>6.0567565102586624E-5</v>
      </c>
      <c r="K73" s="49">
        <v>4.1854593603012701E-6</v>
      </c>
      <c r="L73" s="67">
        <v>4.8901499625400024E-5</v>
      </c>
      <c r="N73" s="18">
        <v>1.6452861424389397E-6</v>
      </c>
      <c r="O73" s="18">
        <v>9.7065618499952619E-12</v>
      </c>
      <c r="P73" s="18">
        <v>9.7551977488327374E-10</v>
      </c>
      <c r="Q73" s="28">
        <v>2.8216871654009026</v>
      </c>
      <c r="R73" s="61">
        <v>883.85190064261417</v>
      </c>
      <c r="S73" s="58">
        <v>1.0162598464807413E-6</v>
      </c>
      <c r="U73" s="85"/>
      <c r="V73" s="85"/>
      <c r="W73" s="83"/>
      <c r="X73" s="152">
        <f t="shared" si="5"/>
        <v>0.67594892069199997</v>
      </c>
      <c r="Y73" s="153">
        <f t="shared" si="6"/>
        <v>6.0567565102586624E-5</v>
      </c>
      <c r="Z73" s="153">
        <f t="shared" si="6"/>
        <v>4.1854593603012701E-6</v>
      </c>
      <c r="AA73" s="153">
        <f t="shared" si="6"/>
        <v>4.8901499625400024E-5</v>
      </c>
      <c r="AB73" s="117">
        <f t="shared" si="7"/>
        <v>25.561809935738587</v>
      </c>
      <c r="AC73" s="117">
        <f t="shared" si="8"/>
        <v>1.0162598464807414E-4</v>
      </c>
    </row>
    <row r="74" spans="9:29" x14ac:dyDescent="0.25">
      <c r="I74" s="49">
        <v>6.8946789910500003E-2</v>
      </c>
      <c r="J74" s="49">
        <v>6.0752315211930298E-5</v>
      </c>
      <c r="K74" s="49">
        <v>4.3286017893932875E-6</v>
      </c>
      <c r="L74" s="67">
        <v>4.9587588611625659E-5</v>
      </c>
      <c r="N74" s="18">
        <v>1.6396098611416398E-6</v>
      </c>
      <c r="O74" s="18">
        <v>1.0678928413781638E-11</v>
      </c>
      <c r="P74" s="18">
        <v>1.3094110115021762E-9</v>
      </c>
      <c r="Q74" s="28">
        <v>2.8216871654009026</v>
      </c>
      <c r="R74" s="61">
        <v>885.54297666628736</v>
      </c>
      <c r="S74" s="58">
        <v>1.0162598464807413E-6</v>
      </c>
      <c r="U74" s="85"/>
      <c r="V74" s="85"/>
      <c r="W74" s="83"/>
      <c r="X74" s="152">
        <f t="shared" si="5"/>
        <v>0.68946789910500006</v>
      </c>
      <c r="Y74" s="153">
        <f t="shared" si="6"/>
        <v>6.0752315211930298E-5</v>
      </c>
      <c r="Z74" s="153">
        <f t="shared" si="6"/>
        <v>4.3286017893932875E-6</v>
      </c>
      <c r="AA74" s="153">
        <f t="shared" si="6"/>
        <v>4.9587588611625659E-5</v>
      </c>
      <c r="AB74" s="117">
        <f t="shared" si="7"/>
        <v>25.392702333371268</v>
      </c>
      <c r="AC74" s="117">
        <f t="shared" si="8"/>
        <v>1.0162598464807414E-4</v>
      </c>
    </row>
    <row r="75" spans="9:29" x14ac:dyDescent="0.25">
      <c r="I75" s="49">
        <v>7.0325725708699993E-2</v>
      </c>
      <c r="J75" s="49">
        <v>5.7980687927260442E-5</v>
      </c>
      <c r="K75" s="49">
        <v>4.0894135796934443E-6</v>
      </c>
      <c r="L75" s="67">
        <v>4.797123793566388E-5</v>
      </c>
      <c r="N75" s="18">
        <v>1.6290014617673472E-6</v>
      </c>
      <c r="O75" s="18">
        <v>1.2485918990979542E-11</v>
      </c>
      <c r="P75" s="18">
        <v>1.9299784500144764E-9</v>
      </c>
      <c r="Q75" s="28">
        <v>2.8216871654009026</v>
      </c>
      <c r="R75" s="61">
        <v>885.54297666628736</v>
      </c>
      <c r="S75" s="58">
        <v>1.0017847686349771E-6</v>
      </c>
      <c r="U75" s="85"/>
      <c r="V75" s="85"/>
      <c r="W75" s="83"/>
      <c r="X75" s="152">
        <f t="shared" si="5"/>
        <v>0.70325725708699993</v>
      </c>
      <c r="Y75" s="153">
        <f t="shared" si="6"/>
        <v>5.7980687927260442E-5</v>
      </c>
      <c r="Z75" s="153">
        <f t="shared" si="6"/>
        <v>4.0894135796934443E-6</v>
      </c>
      <c r="AA75" s="153">
        <f t="shared" si="6"/>
        <v>4.797123793566388E-5</v>
      </c>
      <c r="AB75" s="117">
        <f t="shared" si="7"/>
        <v>25.392702333371268</v>
      </c>
      <c r="AC75" s="117">
        <f t="shared" si="8"/>
        <v>1.0017847686349771E-4</v>
      </c>
    </row>
    <row r="76" spans="9:29" x14ac:dyDescent="0.25">
      <c r="I76" s="49">
        <v>7.1732240222900007E-2</v>
      </c>
      <c r="J76" s="49">
        <v>5.9958972772238857E-5</v>
      </c>
      <c r="K76" s="49">
        <v>3.9986399165672263E-6</v>
      </c>
      <c r="L76" s="67">
        <v>4.6602771162062551E-5</v>
      </c>
      <c r="N76" s="18">
        <v>1.6119627134496105E-6</v>
      </c>
      <c r="O76" s="18">
        <v>1.5381320323934286E-11</v>
      </c>
      <c r="P76" s="18">
        <v>2.9243905534342122E-9</v>
      </c>
      <c r="Q76" s="28">
        <v>2.8216871654009026</v>
      </c>
      <c r="R76" s="61">
        <v>888.92512871363363</v>
      </c>
      <c r="S76" s="58">
        <v>1.0017847686349771E-6</v>
      </c>
      <c r="U76" s="85"/>
      <c r="V76" s="85"/>
      <c r="W76" s="83"/>
      <c r="X76" s="152">
        <f t="shared" si="5"/>
        <v>0.71732240222900012</v>
      </c>
      <c r="Y76" s="153">
        <f t="shared" si="6"/>
        <v>5.9958972772238857E-5</v>
      </c>
      <c r="Z76" s="153">
        <f t="shared" si="6"/>
        <v>3.9986399165672263E-6</v>
      </c>
      <c r="AA76" s="153">
        <f t="shared" si="6"/>
        <v>4.6602771162062551E-5</v>
      </c>
      <c r="AB76" s="117">
        <f t="shared" si="7"/>
        <v>25.054487128636641</v>
      </c>
      <c r="AC76" s="117">
        <f t="shared" si="8"/>
        <v>1.0017847686349771E-4</v>
      </c>
    </row>
    <row r="77" spans="9:29" x14ac:dyDescent="0.25">
      <c r="I77" s="49">
        <v>7.31668850274E-2</v>
      </c>
      <c r="J77" s="49">
        <v>6.1298115558886524E-5</v>
      </c>
      <c r="K77" s="49">
        <v>4.1097101188469206E-6</v>
      </c>
      <c r="L77" s="67">
        <v>4.6322104087058933E-5</v>
      </c>
      <c r="N77" s="18">
        <v>1.5867263173724207E-6</v>
      </c>
      <c r="O77" s="18">
        <v>1.9664487480370722E-11</v>
      </c>
      <c r="P77" s="18">
        <v>4.3954672733077294E-9</v>
      </c>
      <c r="Q77" s="28">
        <v>2.8216871654009026</v>
      </c>
      <c r="R77" s="61">
        <v>888.92512871363363</v>
      </c>
      <c r="S77" s="58">
        <v>9.8266224576062699E-7</v>
      </c>
      <c r="U77" s="85"/>
      <c r="V77" s="85"/>
      <c r="W77" s="83"/>
      <c r="X77" s="152">
        <f t="shared" si="5"/>
        <v>0.73166885027399997</v>
      </c>
      <c r="Y77" s="153">
        <f t="shared" si="6"/>
        <v>6.1298115558886524E-5</v>
      </c>
      <c r="Z77" s="153">
        <f t="shared" si="6"/>
        <v>4.1097101188469206E-6</v>
      </c>
      <c r="AA77" s="153">
        <f t="shared" si="6"/>
        <v>4.6322104087058933E-5</v>
      </c>
      <c r="AB77" s="117">
        <f t="shared" si="7"/>
        <v>25.054487128636641</v>
      </c>
      <c r="AC77" s="117">
        <f t="shared" si="8"/>
        <v>9.82662245760627E-5</v>
      </c>
    </row>
    <row r="78" spans="9:29" x14ac:dyDescent="0.25">
      <c r="I78" s="49">
        <v>7.46302227279E-2</v>
      </c>
      <c r="J78" s="49">
        <v>4.7501841848048565E-5</v>
      </c>
      <c r="K78" s="49">
        <v>3.6112970995218356E-6</v>
      </c>
      <c r="L78" s="67">
        <v>4.5218958687616529E-5</v>
      </c>
      <c r="N78" s="18">
        <v>1.5516098111714223E-6</v>
      </c>
      <c r="O78" s="18">
        <v>2.5620405306668526E-11</v>
      </c>
      <c r="P78" s="18">
        <v>6.4410928000379562E-9</v>
      </c>
      <c r="Q78" s="28">
        <v>2.8216871654009026</v>
      </c>
      <c r="R78" s="61">
        <v>892.30728076097989</v>
      </c>
      <c r="S78" s="58">
        <v>9.8266224576062699E-7</v>
      </c>
      <c r="U78" s="85"/>
      <c r="V78" s="85"/>
      <c r="W78" s="83"/>
      <c r="X78" s="152">
        <f t="shared" si="5"/>
        <v>0.74630222727899997</v>
      </c>
      <c r="Y78" s="153">
        <f t="shared" si="6"/>
        <v>4.7501841848048565E-5</v>
      </c>
      <c r="Z78" s="153">
        <f t="shared" si="6"/>
        <v>3.6112970995218356E-6</v>
      </c>
      <c r="AA78" s="153">
        <f t="shared" si="6"/>
        <v>4.5218958687616529E-5</v>
      </c>
      <c r="AB78" s="117">
        <f t="shared" si="7"/>
        <v>24.716271923902013</v>
      </c>
      <c r="AC78" s="117">
        <f t="shared" si="8"/>
        <v>9.82662245760627E-5</v>
      </c>
    </row>
    <row r="79" spans="9:29" x14ac:dyDescent="0.25">
      <c r="I79" s="49">
        <v>7.6122827182500005E-2</v>
      </c>
      <c r="J79" s="49">
        <v>5.7834011497395499E-5</v>
      </c>
      <c r="K79" s="49">
        <v>2.1485711060624374E-6</v>
      </c>
      <c r="L79" s="67">
        <v>4.139235732434327E-5</v>
      </c>
      <c r="N79" s="18">
        <v>1.5054490790612082E-6</v>
      </c>
      <c r="O79" s="18">
        <v>3.3446267541084955E-11</v>
      </c>
      <c r="P79" s="18">
        <v>9.1289974987323898E-9</v>
      </c>
      <c r="Q79" s="28">
        <v>2.8216871654009026</v>
      </c>
      <c r="R79" s="61">
        <v>892.30728076097989</v>
      </c>
      <c r="S79" s="58">
        <v>9.6394372735653703E-7</v>
      </c>
      <c r="U79" s="85"/>
      <c r="V79" s="85"/>
      <c r="W79" s="83"/>
      <c r="X79" s="152">
        <f t="shared" si="5"/>
        <v>0.76122827182500008</v>
      </c>
      <c r="Y79" s="153">
        <f t="shared" si="6"/>
        <v>5.7834011497395499E-5</v>
      </c>
      <c r="Z79" s="153">
        <f t="shared" si="6"/>
        <v>2.1485711060624374E-6</v>
      </c>
      <c r="AA79" s="153">
        <f t="shared" si="6"/>
        <v>4.139235732434327E-5</v>
      </c>
      <c r="AB79" s="117">
        <f t="shared" si="7"/>
        <v>24.716271923902013</v>
      </c>
      <c r="AC79" s="117">
        <f t="shared" si="8"/>
        <v>9.6394372735653702E-5</v>
      </c>
    </row>
    <row r="80" spans="9:29" x14ac:dyDescent="0.25">
      <c r="I80" s="49">
        <v>7.7645283726099995E-2</v>
      </c>
      <c r="J80" s="49">
        <v>4.4552513885743593E-5</v>
      </c>
      <c r="K80" s="49">
        <v>1.842781610858114E-6</v>
      </c>
      <c r="L80" s="67">
        <v>3.5794478667376599E-5</v>
      </c>
      <c r="N80" s="18">
        <v>1.4480316782297961E-6</v>
      </c>
      <c r="O80" s="18">
        <v>4.3178087042091545E-11</v>
      </c>
      <c r="P80" s="18">
        <v>1.2471550532261614E-8</v>
      </c>
      <c r="Q80" s="28">
        <v>2.8216871654009026</v>
      </c>
      <c r="R80" s="61">
        <v>895.68943280832616</v>
      </c>
      <c r="S80" s="58">
        <v>9.6394372735653703E-7</v>
      </c>
      <c r="U80" s="85"/>
      <c r="V80" s="85"/>
      <c r="W80" s="83"/>
      <c r="X80" s="152">
        <f t="shared" si="5"/>
        <v>0.77645283726100001</v>
      </c>
      <c r="Y80" s="153">
        <f t="shared" si="6"/>
        <v>4.4552513885743593E-5</v>
      </c>
      <c r="Z80" s="153">
        <f t="shared" si="6"/>
        <v>1.842781610858114E-6</v>
      </c>
      <c r="AA80" s="153">
        <f t="shared" si="6"/>
        <v>3.5794478667376599E-5</v>
      </c>
      <c r="AB80" s="117">
        <f t="shared" si="7"/>
        <v>24.378056719167386</v>
      </c>
      <c r="AC80" s="117">
        <f t="shared" si="8"/>
        <v>9.6394372735653702E-5</v>
      </c>
    </row>
    <row r="81" spans="2:29" x14ac:dyDescent="0.25">
      <c r="I81" s="49">
        <v>7.9198189400700003E-2</v>
      </c>
      <c r="J81" s="49">
        <v>3.9761434992837331E-5</v>
      </c>
      <c r="K81" s="49">
        <v>1.6891859552237328E-6</v>
      </c>
      <c r="L81" s="67">
        <v>3.1055065061354118E-5</v>
      </c>
      <c r="N81" s="18">
        <v>1.3804147669519883E-6</v>
      </c>
      <c r="O81" s="18">
        <v>5.4636850318841907E-11</v>
      </c>
      <c r="P81" s="18">
        <v>1.6407265416760239E-8</v>
      </c>
      <c r="Q81" s="28">
        <v>2.8216871654009026</v>
      </c>
      <c r="R81" s="61">
        <v>895.68943280832616</v>
      </c>
      <c r="S81" s="58">
        <v>9.4583454570182859E-7</v>
      </c>
      <c r="U81" s="85"/>
      <c r="V81" s="85"/>
      <c r="W81" s="83"/>
      <c r="X81" s="152">
        <f t="shared" si="5"/>
        <v>0.79198189400700003</v>
      </c>
      <c r="Y81" s="153">
        <f t="shared" si="6"/>
        <v>3.9761434992837331E-5</v>
      </c>
      <c r="Z81" s="153">
        <f t="shared" si="6"/>
        <v>1.6891859552237328E-6</v>
      </c>
      <c r="AA81" s="153">
        <f t="shared" si="6"/>
        <v>3.1055065061354118E-5</v>
      </c>
      <c r="AB81" s="117">
        <f t="shared" si="7"/>
        <v>24.378056719167386</v>
      </c>
      <c r="AC81" s="117">
        <f t="shared" si="8"/>
        <v>9.4583454570182858E-5</v>
      </c>
    </row>
    <row r="82" spans="2:29" x14ac:dyDescent="0.25">
      <c r="I82" s="49">
        <v>8.0782153188699996E-2</v>
      </c>
      <c r="J82" s="49">
        <v>3.3369679380985543E-5</v>
      </c>
      <c r="K82" s="49">
        <v>1.5553763697708221E-6</v>
      </c>
      <c r="L82" s="67">
        <v>2.7985883680367898E-5</v>
      </c>
      <c r="N82" s="18">
        <v>1.3050126981088851E-6</v>
      </c>
      <c r="O82" s="18">
        <v>6.7413682427725862E-11</v>
      </c>
      <c r="P82" s="18">
        <v>2.0795704569321107E-8</v>
      </c>
      <c r="Q82" s="28">
        <v>2.8216871654009026</v>
      </c>
      <c r="R82" s="61">
        <v>899.07158485567243</v>
      </c>
      <c r="S82" s="58">
        <v>9.4583454570182859E-7</v>
      </c>
      <c r="U82" s="85"/>
      <c r="V82" s="85"/>
      <c r="W82" s="83"/>
      <c r="X82" s="152">
        <f t="shared" si="5"/>
        <v>0.8078215318869999</v>
      </c>
      <c r="Y82" s="153">
        <f t="shared" si="6"/>
        <v>3.3369679380985543E-5</v>
      </c>
      <c r="Z82" s="153">
        <f t="shared" si="6"/>
        <v>1.5553763697708221E-6</v>
      </c>
      <c r="AA82" s="153">
        <f t="shared" si="6"/>
        <v>2.7985883680367898E-5</v>
      </c>
      <c r="AB82" s="117">
        <f t="shared" si="7"/>
        <v>24.039841514432759</v>
      </c>
      <c r="AC82" s="117">
        <f t="shared" si="8"/>
        <v>9.4583454570182858E-5</v>
      </c>
    </row>
    <row r="83" spans="2:29" x14ac:dyDescent="0.25">
      <c r="I83" s="49">
        <v>8.2397796252399999E-2</v>
      </c>
      <c r="J83" s="49">
        <v>2.4567253716029736E-5</v>
      </c>
      <c r="K83" s="49">
        <v>1.3090763022030587E-6</v>
      </c>
      <c r="L83" s="67">
        <v>2.4853103935473249E-5</v>
      </c>
      <c r="N83" s="18">
        <v>1.2454638089312951E-6</v>
      </c>
      <c r="O83" s="18">
        <v>7.7503664862421349E-11</v>
      </c>
      <c r="P83" s="18">
        <v>2.426129994061468E-8</v>
      </c>
      <c r="Q83" s="28">
        <v>1.4108435827004513</v>
      </c>
      <c r="R83" s="61">
        <v>899.07158485567243</v>
      </c>
      <c r="S83" s="58">
        <v>9.2851914310725795E-7</v>
      </c>
      <c r="U83" s="85"/>
      <c r="V83" s="85"/>
      <c r="W83" s="83"/>
      <c r="X83" s="152">
        <f t="shared" si="5"/>
        <v>0.82397796252400002</v>
      </c>
      <c r="Y83" s="153">
        <f t="shared" si="6"/>
        <v>2.4567253716029736E-5</v>
      </c>
      <c r="Z83" s="153">
        <f t="shared" si="6"/>
        <v>1.3090763022030587E-6</v>
      </c>
      <c r="AA83" s="153">
        <f t="shared" si="6"/>
        <v>2.4853103935473249E-5</v>
      </c>
      <c r="AB83" s="117">
        <f t="shared" si="7"/>
        <v>24.039841514432759</v>
      </c>
      <c r="AC83" s="117">
        <f t="shared" si="8"/>
        <v>9.28519143107258E-5</v>
      </c>
    </row>
    <row r="84" spans="2:29" x14ac:dyDescent="0.25">
      <c r="B84" s="42"/>
      <c r="C84" s="42"/>
      <c r="D84" s="20"/>
      <c r="E84" s="20"/>
      <c r="F84" s="43"/>
      <c r="G84" s="43"/>
      <c r="I84" s="49">
        <v>8.4045752177500002E-2</v>
      </c>
      <c r="J84" s="49">
        <v>2.1900072203528672E-5</v>
      </c>
      <c r="K84" s="49">
        <v>1.2077291452656711E-6</v>
      </c>
      <c r="L84" s="67">
        <v>2.0531580990935073E-5</v>
      </c>
      <c r="N84" s="18">
        <v>1.2032927946059202E-6</v>
      </c>
      <c r="O84" s="18">
        <v>8.464896758517718E-11</v>
      </c>
      <c r="P84" s="18">
        <v>2.6715490717521757E-8</v>
      </c>
      <c r="Q84" s="28">
        <v>1.5592065584137602</v>
      </c>
      <c r="R84" s="61">
        <v>902.45373690301869</v>
      </c>
      <c r="S84" s="58">
        <v>9.2851914310725795E-7</v>
      </c>
      <c r="U84" s="85"/>
      <c r="V84" s="85"/>
      <c r="W84" s="83"/>
      <c r="X84" s="152">
        <f t="shared" si="5"/>
        <v>0.84045752177499999</v>
      </c>
      <c r="Y84" s="153">
        <f t="shared" si="6"/>
        <v>2.1900072203528672E-5</v>
      </c>
      <c r="Z84" s="153">
        <f t="shared" si="6"/>
        <v>1.2077291452656711E-6</v>
      </c>
      <c r="AA84" s="153">
        <f t="shared" si="6"/>
        <v>2.0531580990935073E-5</v>
      </c>
      <c r="AB84" s="117">
        <f t="shared" si="7"/>
        <v>23.701626309698135</v>
      </c>
      <c r="AC84" s="117">
        <f t="shared" si="8"/>
        <v>9.28519143107258E-5</v>
      </c>
    </row>
    <row r="85" spans="2:29" x14ac:dyDescent="0.25">
      <c r="I85" s="49">
        <v>8.5726667221000002E-2</v>
      </c>
      <c r="J85" s="49">
        <v>1.7543753580506503E-5</v>
      </c>
      <c r="K85" s="49">
        <v>1.060171603830634E-6</v>
      </c>
      <c r="L85" s="67">
        <v>1.6455120747681921E-5</v>
      </c>
      <c r="N85" s="18">
        <v>1.15910501104361E-6</v>
      </c>
      <c r="O85" s="18">
        <v>9.2135899063199154E-11</v>
      </c>
      <c r="P85" s="18">
        <v>2.9287021116471023E-8</v>
      </c>
      <c r="Q85" s="28">
        <v>1.585846086751773</v>
      </c>
      <c r="R85" s="61">
        <v>902.45373690301869</v>
      </c>
      <c r="S85" s="58">
        <v>9.1215639493476145E-7</v>
      </c>
      <c r="U85" s="85"/>
      <c r="V85" s="85"/>
      <c r="W85" s="83"/>
      <c r="X85" s="152">
        <f t="shared" si="5"/>
        <v>0.85726667220999997</v>
      </c>
      <c r="Y85" s="153">
        <f t="shared" si="6"/>
        <v>1.7543753580506503E-5</v>
      </c>
      <c r="Z85" s="153">
        <f t="shared" si="6"/>
        <v>1.060171603830634E-6</v>
      </c>
      <c r="AA85" s="153">
        <f t="shared" si="6"/>
        <v>1.6455120747681921E-5</v>
      </c>
      <c r="AB85" s="117">
        <f t="shared" si="7"/>
        <v>23.701626309698135</v>
      </c>
      <c r="AC85" s="117">
        <f t="shared" si="8"/>
        <v>9.1215639493476145E-5</v>
      </c>
    </row>
    <row r="86" spans="2:29" x14ac:dyDescent="0.25">
      <c r="I86" s="49">
        <v>8.7441200565500005E-2</v>
      </c>
      <c r="J86" s="49">
        <v>1.2961213020502237E-5</v>
      </c>
      <c r="K86" s="49">
        <v>9.6318098741415772E-7</v>
      </c>
      <c r="L86" s="67">
        <v>1.4207176371194167E-5</v>
      </c>
      <c r="N86" s="18">
        <v>1.114924759298749E-6</v>
      </c>
      <c r="O86" s="18">
        <v>9.9621513865525696E-11</v>
      </c>
      <c r="P86" s="18">
        <v>3.1858099609186071E-8</v>
      </c>
      <c r="Q86" s="28">
        <v>1.6419874606607072</v>
      </c>
      <c r="R86" s="61">
        <v>905.83588895036496</v>
      </c>
      <c r="S86" s="58">
        <v>9.1215639493476145E-7</v>
      </c>
      <c r="U86" s="85"/>
      <c r="V86" s="85"/>
      <c r="W86" s="83"/>
      <c r="X86" s="152">
        <f t="shared" si="5"/>
        <v>0.87441200565499999</v>
      </c>
      <c r="Y86" s="153">
        <f t="shared" si="6"/>
        <v>1.2961213020502237E-5</v>
      </c>
      <c r="Z86" s="153">
        <f t="shared" si="6"/>
        <v>9.6318098741415772E-7</v>
      </c>
      <c r="AA86" s="153">
        <f t="shared" si="6"/>
        <v>1.4207176371194167E-5</v>
      </c>
      <c r="AB86" s="117">
        <f t="shared" si="7"/>
        <v>23.363411104963507</v>
      </c>
      <c r="AC86" s="117">
        <f t="shared" si="8"/>
        <v>9.1215639493476145E-5</v>
      </c>
    </row>
    <row r="87" spans="2:29" x14ac:dyDescent="0.25">
      <c r="I87" s="49">
        <v>8.9190024576800003E-2</v>
      </c>
      <c r="J87" s="49">
        <v>9.0194372246213774E-6</v>
      </c>
      <c r="K87" s="49">
        <v>8.1527754423753082E-7</v>
      </c>
      <c r="L87" s="67">
        <v>1.2935743737068477E-5</v>
      </c>
      <c r="N87" s="18">
        <v>1.0707810786627729E-6</v>
      </c>
      <c r="O87" s="18">
        <v>1.0710094755746681E-10</v>
      </c>
      <c r="P87" s="18">
        <v>3.4427054955798124E-8</v>
      </c>
      <c r="Q87" s="28">
        <v>1.7341787785814538</v>
      </c>
      <c r="R87" s="61">
        <v>905.83588895036496</v>
      </c>
      <c r="S87" s="58">
        <v>8.9687766421599268E-7</v>
      </c>
      <c r="U87" s="85"/>
      <c r="V87" s="85"/>
      <c r="W87" s="83"/>
      <c r="X87" s="152">
        <f t="shared" si="5"/>
        <v>0.89190024576800009</v>
      </c>
      <c r="Y87" s="153">
        <f t="shared" si="6"/>
        <v>9.0194372246213774E-6</v>
      </c>
      <c r="Z87" s="153">
        <f t="shared" si="6"/>
        <v>8.1527754423753082E-7</v>
      </c>
      <c r="AA87" s="153">
        <f t="shared" si="6"/>
        <v>1.2935743737068477E-5</v>
      </c>
      <c r="AB87" s="117">
        <f t="shared" si="7"/>
        <v>23.363411104963507</v>
      </c>
      <c r="AC87" s="117">
        <f t="shared" si="8"/>
        <v>8.9687766421599264E-5</v>
      </c>
    </row>
    <row r="88" spans="2:29" x14ac:dyDescent="0.25">
      <c r="I88" s="49">
        <v>9.0973825068299999E-2</v>
      </c>
      <c r="J88" s="49">
        <v>8.6710718838090982E-6</v>
      </c>
      <c r="K88" s="49">
        <v>7.5333032175584555E-7</v>
      </c>
      <c r="L88" s="67">
        <v>1.1182709110776043E-5</v>
      </c>
      <c r="N88" s="18">
        <v>1.0267448731064137E-6</v>
      </c>
      <c r="O88" s="18">
        <v>1.1456225187007116E-10</v>
      </c>
      <c r="P88" s="18">
        <v>3.6989782759989617E-8</v>
      </c>
      <c r="Q88" s="28">
        <v>1.8747871086281798</v>
      </c>
      <c r="R88" s="61">
        <v>909.21804099771123</v>
      </c>
      <c r="S88" s="58">
        <v>8.9687766421599268E-7</v>
      </c>
      <c r="U88" s="85"/>
      <c r="V88" s="85"/>
      <c r="W88" s="83"/>
      <c r="X88" s="152">
        <f t="shared" si="5"/>
        <v>0.90973825068299996</v>
      </c>
      <c r="Y88" s="153">
        <f t="shared" si="6"/>
        <v>8.6710718838090982E-6</v>
      </c>
      <c r="Z88" s="153">
        <f t="shared" si="6"/>
        <v>7.5333032175584555E-7</v>
      </c>
      <c r="AA88" s="153">
        <f t="shared" si="6"/>
        <v>1.1182709110776043E-5</v>
      </c>
      <c r="AB88" s="117">
        <f t="shared" si="7"/>
        <v>23.02519590022888</v>
      </c>
      <c r="AC88" s="117">
        <f t="shared" si="8"/>
        <v>8.9687766421599264E-5</v>
      </c>
    </row>
    <row r="89" spans="2:29" x14ac:dyDescent="0.25">
      <c r="I89" s="49">
        <v>9.2793301569700004E-2</v>
      </c>
      <c r="J89" s="49">
        <v>6.0181642070088512E-6</v>
      </c>
      <c r="K89" s="49">
        <v>7.5791234574622266E-7</v>
      </c>
      <c r="L89" s="67">
        <v>9.6479923492185971E-6</v>
      </c>
      <c r="N89" s="18">
        <v>9.8296333572423142E-7</v>
      </c>
      <c r="O89" s="18">
        <v>1.2198057387020948E-10</v>
      </c>
      <c r="P89" s="18">
        <v>3.9537746096247108E-8</v>
      </c>
      <c r="Q89" s="28">
        <v>2.0869390680595714</v>
      </c>
      <c r="R89" s="61">
        <v>909.21804099771123</v>
      </c>
      <c r="S89" s="58">
        <v>8.8278984246628543E-7</v>
      </c>
      <c r="U89" s="85"/>
      <c r="V89" s="85"/>
      <c r="W89" s="83"/>
      <c r="X89" s="152">
        <f t="shared" si="5"/>
        <v>0.92793301569700004</v>
      </c>
      <c r="Y89" s="153">
        <f t="shared" si="6"/>
        <v>6.0181642070088512E-6</v>
      </c>
      <c r="Z89" s="153">
        <f t="shared" si="6"/>
        <v>7.5791234574622266E-7</v>
      </c>
      <c r="AA89" s="153">
        <f t="shared" si="6"/>
        <v>9.6479923492185971E-6</v>
      </c>
      <c r="AB89" s="117">
        <f t="shared" si="7"/>
        <v>23.02519590022888</v>
      </c>
      <c r="AC89" s="117">
        <f t="shared" si="8"/>
        <v>8.8278984246628546E-5</v>
      </c>
    </row>
    <row r="90" spans="2:29" x14ac:dyDescent="0.25">
      <c r="I90" s="49">
        <v>9.4649167601099995E-2</v>
      </c>
      <c r="J90" s="49">
        <v>6.8665764608744779E-6</v>
      </c>
      <c r="K90" s="49">
        <v>7.8243243048705615E-7</v>
      </c>
      <c r="L90" s="67">
        <v>9.4951867887174074E-6</v>
      </c>
      <c r="N90" s="18">
        <v>9.3972354910566509E-7</v>
      </c>
      <c r="O90" s="18">
        <v>1.2930740188679561E-10</v>
      </c>
      <c r="P90" s="18">
        <v>4.2054281636688383E-8</v>
      </c>
      <c r="Q90" s="28">
        <v>2.4168218300616178</v>
      </c>
      <c r="R90" s="61">
        <v>912.60019304505749</v>
      </c>
      <c r="S90" s="58">
        <v>8.8278984246628543E-7</v>
      </c>
      <c r="U90" s="85"/>
      <c r="V90" s="85"/>
      <c r="W90" s="83"/>
      <c r="X90" s="152">
        <f t="shared" si="5"/>
        <v>0.94649167601099993</v>
      </c>
      <c r="Y90" s="153">
        <f t="shared" si="6"/>
        <v>6.8665764608744779E-6</v>
      </c>
      <c r="Z90" s="153">
        <f t="shared" si="6"/>
        <v>7.8243243048705615E-7</v>
      </c>
      <c r="AA90" s="153">
        <f t="shared" si="6"/>
        <v>9.4951867887174074E-6</v>
      </c>
      <c r="AB90" s="117">
        <f t="shared" si="7"/>
        <v>22.686980695494253</v>
      </c>
      <c r="AC90" s="117">
        <f t="shared" si="8"/>
        <v>8.8278984246628546E-5</v>
      </c>
    </row>
    <row r="91" spans="2:29" x14ac:dyDescent="0.25">
      <c r="I91" s="49">
        <v>9.6542150953099995E-2</v>
      </c>
      <c r="J91" s="49">
        <v>6.2898352105696237E-6</v>
      </c>
      <c r="K91" s="49">
        <v>7.6202852834737775E-7</v>
      </c>
      <c r="L91" s="67">
        <v>9.6936732367822527E-6</v>
      </c>
      <c r="N91" s="18">
        <v>8.9758122104499349E-7</v>
      </c>
      <c r="O91" s="18">
        <v>1.3644880286748767E-10</v>
      </c>
      <c r="P91" s="18">
        <v>4.4507124447643244E-8</v>
      </c>
      <c r="Q91" s="28">
        <v>2.9698482267315036</v>
      </c>
      <c r="R91" s="61">
        <v>912.60019304505749</v>
      </c>
      <c r="S91" s="58">
        <v>8.6998801079190979E-7</v>
      </c>
      <c r="U91" s="85"/>
      <c r="V91" s="85"/>
      <c r="W91" s="83"/>
      <c r="X91" s="152">
        <f t="shared" si="5"/>
        <v>0.96542150953099992</v>
      </c>
      <c r="Y91" s="153">
        <f t="shared" si="6"/>
        <v>6.2898352105696237E-6</v>
      </c>
      <c r="Z91" s="153">
        <f t="shared" si="6"/>
        <v>7.6202852834737775E-7</v>
      </c>
      <c r="AA91" s="153">
        <f t="shared" si="6"/>
        <v>9.6936732367822527E-6</v>
      </c>
      <c r="AB91" s="117">
        <f t="shared" si="7"/>
        <v>22.686980695494253</v>
      </c>
      <c r="AC91" s="117">
        <f t="shared" si="8"/>
        <v>8.6998801079190974E-5</v>
      </c>
    </row>
    <row r="92" spans="2:29" x14ac:dyDescent="0.25">
      <c r="I92" s="49">
        <v>9.8472993972199996E-2</v>
      </c>
      <c r="J92" s="49">
        <v>7.5000566733066567E-6</v>
      </c>
      <c r="K92" s="49">
        <v>8.1420188382065774E-7</v>
      </c>
      <c r="L92" s="67">
        <v>9.050139102817655E-6</v>
      </c>
      <c r="N92" s="18">
        <v>8.5765113842097903E-7</v>
      </c>
      <c r="O92" s="18">
        <v>1.4321635460323689E-10</v>
      </c>
      <c r="P92" s="18">
        <v>4.6831553533532149E-8</v>
      </c>
      <c r="Q92" s="28">
        <v>4.0534659397627468</v>
      </c>
      <c r="R92" s="61">
        <v>915.98234509240376</v>
      </c>
      <c r="S92" s="58">
        <v>8.6998801079190979E-7</v>
      </c>
      <c r="U92" s="85"/>
      <c r="V92" s="85"/>
      <c r="W92" s="83"/>
      <c r="X92" s="152">
        <f t="shared" si="5"/>
        <v>0.98472993972199996</v>
      </c>
      <c r="Y92" s="153">
        <f t="shared" si="6"/>
        <v>7.5000566733066567E-6</v>
      </c>
      <c r="Z92" s="153">
        <f t="shared" si="6"/>
        <v>8.1420188382065774E-7</v>
      </c>
      <c r="AA92" s="153">
        <f t="shared" si="6"/>
        <v>9.050139102817655E-6</v>
      </c>
      <c r="AB92" s="117">
        <f t="shared" si="7"/>
        <v>22.348765490759625</v>
      </c>
      <c r="AC92" s="117">
        <f t="shared" si="8"/>
        <v>8.6998801079190974E-5</v>
      </c>
    </row>
    <row r="93" spans="2:29" x14ac:dyDescent="0.25">
      <c r="I93" s="49">
        <v>0.100442453852</v>
      </c>
      <c r="J93" s="49">
        <v>7.8398235834671941E-6</v>
      </c>
      <c r="K93" s="49">
        <v>7.8721605077487881E-7</v>
      </c>
      <c r="L93" s="67">
        <v>8.516046260836949E-6</v>
      </c>
      <c r="N93" s="18">
        <v>8.2236977235247878E-7</v>
      </c>
      <c r="O93" s="18">
        <v>1.4919869541347839E-10</v>
      </c>
      <c r="P93" s="18">
        <v>4.8886266885945645E-8</v>
      </c>
      <c r="Q93" s="28">
        <v>7.2841321095870484</v>
      </c>
      <c r="R93" s="61">
        <v>915.98234509240376</v>
      </c>
      <c r="S93" s="58">
        <v>8.5858625533531253E-7</v>
      </c>
      <c r="U93" s="85"/>
      <c r="V93" s="85"/>
      <c r="W93" s="83"/>
      <c r="X93" s="152">
        <f t="shared" si="5"/>
        <v>1.0044245385199999</v>
      </c>
      <c r="Y93" s="153">
        <f t="shared" si="6"/>
        <v>7.8398235834671941E-6</v>
      </c>
      <c r="Z93" s="153">
        <f t="shared" si="6"/>
        <v>7.8721605077487881E-7</v>
      </c>
      <c r="AA93" s="153">
        <f t="shared" si="6"/>
        <v>8.516046260836949E-6</v>
      </c>
      <c r="AB93" s="117">
        <f t="shared" si="7"/>
        <v>22.348765490759625</v>
      </c>
      <c r="AC93" s="117">
        <f t="shared" si="8"/>
        <v>8.5858625533531254E-5</v>
      </c>
    </row>
    <row r="94" spans="2:29" x14ac:dyDescent="0.25">
      <c r="I94" s="49">
        <v>0.102451302929</v>
      </c>
      <c r="J94" s="49">
        <v>8.154749239230706E-6</v>
      </c>
      <c r="K94" s="49">
        <v>8.0464511499390407E-7</v>
      </c>
      <c r="L94" s="67">
        <v>8.7040003419108343E-6</v>
      </c>
      <c r="N94" s="18">
        <v>7.9799130110672998E-7</v>
      </c>
      <c r="O94" s="18">
        <v>1.5333625306318966E-10</v>
      </c>
      <c r="P94" s="18">
        <v>5.0307333247864272E-8</v>
      </c>
      <c r="Q94" s="28">
        <v>9.7820649818393566</v>
      </c>
      <c r="R94" s="61">
        <v>919.36449713975003</v>
      </c>
      <c r="S94" s="58">
        <v>8.5858625533531253E-7</v>
      </c>
      <c r="U94" s="85"/>
      <c r="V94" s="85"/>
      <c r="W94" s="83"/>
      <c r="X94" s="152">
        <f t="shared" si="5"/>
        <v>1.02451302929</v>
      </c>
      <c r="Y94" s="153">
        <f t="shared" si="6"/>
        <v>8.154749239230706E-6</v>
      </c>
      <c r="Z94" s="153">
        <f t="shared" si="6"/>
        <v>8.0464511499390407E-7</v>
      </c>
      <c r="AA94" s="153">
        <f t="shared" si="6"/>
        <v>8.7040003419108343E-6</v>
      </c>
      <c r="AB94" s="117">
        <f t="shared" si="7"/>
        <v>22.010550286025001</v>
      </c>
      <c r="AC94" s="117">
        <f t="shared" si="8"/>
        <v>8.5858625533531254E-5</v>
      </c>
    </row>
    <row r="95" spans="2:29" x14ac:dyDescent="0.25">
      <c r="I95" s="49">
        <v>0.104500328987</v>
      </c>
      <c r="J95" s="49">
        <v>9.095112204652191E-6</v>
      </c>
      <c r="K95" s="49">
        <v>8.5840022822213576E-7</v>
      </c>
      <c r="L95" s="67">
        <v>8.4523363005398229E-6</v>
      </c>
      <c r="N95" s="18">
        <v>7.9467580246160922E-7</v>
      </c>
      <c r="O95" s="18">
        <v>1.5391825175053189E-10</v>
      </c>
      <c r="P95" s="18">
        <v>5.0507066412046891E-8</v>
      </c>
      <c r="Q95" s="28">
        <v>58.509446536054632</v>
      </c>
      <c r="R95" s="61">
        <v>919.36449713975003</v>
      </c>
      <c r="S95" s="58">
        <v>8.4877973661593907E-7</v>
      </c>
      <c r="U95" s="85"/>
      <c r="V95" s="85"/>
      <c r="W95" s="83"/>
      <c r="X95" s="152">
        <f t="shared" si="5"/>
        <v>1.0450032898699999</v>
      </c>
      <c r="Y95" s="153">
        <f t="shared" si="6"/>
        <v>9.095112204652191E-6</v>
      </c>
      <c r="Z95" s="153">
        <f t="shared" si="6"/>
        <v>8.5840022822213576E-7</v>
      </c>
      <c r="AA95" s="153">
        <f t="shared" si="6"/>
        <v>8.4523363005398229E-6</v>
      </c>
      <c r="AB95" s="117">
        <f t="shared" si="7"/>
        <v>22.010550286025001</v>
      </c>
      <c r="AC95" s="117">
        <f t="shared" si="8"/>
        <v>8.4877973661593903E-5</v>
      </c>
    </row>
    <row r="96" spans="2:29" x14ac:dyDescent="0.25">
      <c r="I96" s="49">
        <v>0.106590335567</v>
      </c>
      <c r="J96" s="49">
        <v>7.5817455392989661E-6</v>
      </c>
      <c r="K96" s="49">
        <v>9.0068387628378893E-7</v>
      </c>
      <c r="L96" s="67">
        <v>7.5234719977041182E-6</v>
      </c>
      <c r="N96" s="18">
        <v>7.9510839834535819E-7</v>
      </c>
      <c r="O96" s="18">
        <v>1.5392226115682784E-10</v>
      </c>
      <c r="P96" s="18">
        <v>5.05083820672584E-8</v>
      </c>
      <c r="Q96" s="28">
        <v>3.7175362302401074</v>
      </c>
      <c r="R96" s="61">
        <v>922.7466491870963</v>
      </c>
      <c r="S96" s="58">
        <v>8.4877973661593907E-7</v>
      </c>
      <c r="U96" s="85"/>
      <c r="V96" s="85"/>
      <c r="W96" s="83"/>
      <c r="X96" s="152">
        <f t="shared" si="5"/>
        <v>1.0659033556699999</v>
      </c>
      <c r="Y96" s="153">
        <f t="shared" si="6"/>
        <v>7.5817455392989661E-6</v>
      </c>
      <c r="Z96" s="153">
        <f t="shared" si="6"/>
        <v>9.0068387628378893E-7</v>
      </c>
      <c r="AA96" s="153">
        <f t="shared" si="6"/>
        <v>7.5234719977041182E-6</v>
      </c>
      <c r="AB96" s="117">
        <f t="shared" si="7"/>
        <v>21.672335081290374</v>
      </c>
      <c r="AC96" s="117">
        <f t="shared" si="8"/>
        <v>8.4877973661593903E-5</v>
      </c>
    </row>
    <row r="97" spans="9:29" x14ac:dyDescent="0.25">
      <c r="I97" s="49">
        <v>0.10872214227800001</v>
      </c>
      <c r="J97" s="49">
        <v>8.8393931327862021E-6</v>
      </c>
      <c r="K97" s="49">
        <v>8.6315127103080363E-7</v>
      </c>
      <c r="L97" s="67">
        <v>6.8328561332743856E-6</v>
      </c>
      <c r="N97" s="18">
        <v>7.9809068064398899E-7</v>
      </c>
      <c r="O97" s="18">
        <v>1.5392250724454897E-10</v>
      </c>
      <c r="P97" s="18">
        <v>5.0508462819012872E-8</v>
      </c>
      <c r="Q97" s="28">
        <v>2.7682319708075984</v>
      </c>
      <c r="R97" s="61">
        <v>922.7466491870963</v>
      </c>
      <c r="S97" s="58">
        <v>8.4095287973411661E-7</v>
      </c>
      <c r="U97" s="85"/>
      <c r="V97" s="85"/>
      <c r="W97" s="83"/>
      <c r="X97" s="152">
        <f t="shared" si="5"/>
        <v>1.0872214227800001</v>
      </c>
      <c r="Y97" s="153">
        <f t="shared" si="6"/>
        <v>8.8393931327862021E-6</v>
      </c>
      <c r="Z97" s="153">
        <f t="shared" si="6"/>
        <v>8.6315127103080363E-7</v>
      </c>
      <c r="AA97" s="153">
        <f t="shared" si="6"/>
        <v>6.8328561332743856E-6</v>
      </c>
      <c r="AB97" s="117">
        <f t="shared" si="7"/>
        <v>21.672335081290374</v>
      </c>
      <c r="AC97" s="117">
        <f t="shared" si="8"/>
        <v>8.4095287973411664E-5</v>
      </c>
    </row>
    <row r="98" spans="9:29" x14ac:dyDescent="0.25">
      <c r="I98" s="49">
        <v>0.110896585124</v>
      </c>
      <c r="J98" s="49">
        <v>7.9284868949085441E-6</v>
      </c>
      <c r="K98" s="49">
        <v>8.0725925344177234E-7</v>
      </c>
      <c r="L98" s="67">
        <v>6.3015952322313023E-6</v>
      </c>
      <c r="N98" s="18">
        <v>8.0240394756775301E-7</v>
      </c>
      <c r="O98" s="18">
        <v>1.5392265816542901E-10</v>
      </c>
      <c r="P98" s="18">
        <v>5.0508512342515278E-8</v>
      </c>
      <c r="Q98" s="28">
        <v>1.5404627261307371</v>
      </c>
      <c r="R98" s="61">
        <v>926.12880123444256</v>
      </c>
      <c r="S98" s="58">
        <v>8.4095287973411661E-7</v>
      </c>
      <c r="U98" s="85"/>
      <c r="V98" s="85"/>
      <c r="W98" s="83"/>
      <c r="X98" s="152">
        <f t="shared" si="5"/>
        <v>1.10896585124</v>
      </c>
      <c r="Y98" s="153">
        <f t="shared" si="6"/>
        <v>7.9284868949085441E-6</v>
      </c>
      <c r="Z98" s="153">
        <f t="shared" si="6"/>
        <v>8.0725925344177234E-7</v>
      </c>
      <c r="AA98" s="153">
        <f t="shared" si="6"/>
        <v>6.3015952322313023E-6</v>
      </c>
      <c r="AB98" s="117">
        <f t="shared" si="7"/>
        <v>21.334119876555746</v>
      </c>
      <c r="AC98" s="117">
        <f t="shared" si="8"/>
        <v>8.4095287973411664E-5</v>
      </c>
    </row>
    <row r="99" spans="9:29" x14ac:dyDescent="0.25">
      <c r="I99" s="49">
        <v>0.113114516826</v>
      </c>
      <c r="J99" s="49">
        <v>8.8679027672116073E-6</v>
      </c>
      <c r="K99" s="49">
        <v>8.7160340441306981E-7</v>
      </c>
      <c r="L99" s="67">
        <v>5.5337242679488888E-6</v>
      </c>
      <c r="N99" s="18">
        <v>8.0728421483596011E-7</v>
      </c>
      <c r="O99" s="18">
        <v>1.5392274693253053E-10</v>
      </c>
      <c r="P99" s="18">
        <v>5.0508541470743029E-8</v>
      </c>
      <c r="Q99" s="28">
        <v>1.1286490533119227</v>
      </c>
      <c r="R99" s="61">
        <v>926.12880123444256</v>
      </c>
      <c r="S99" s="58">
        <v>8.3584056921686955E-7</v>
      </c>
      <c r="U99" s="85"/>
      <c r="V99" s="85"/>
      <c r="W99" s="83"/>
      <c r="X99" s="152">
        <f t="shared" si="5"/>
        <v>1.13114516826</v>
      </c>
      <c r="Y99" s="153">
        <f t="shared" si="6"/>
        <v>8.8679027672116073E-6</v>
      </c>
      <c r="Z99" s="153">
        <f t="shared" si="6"/>
        <v>8.7160340441306981E-7</v>
      </c>
      <c r="AA99" s="153">
        <f t="shared" si="6"/>
        <v>5.5337242679488888E-6</v>
      </c>
      <c r="AB99" s="117">
        <f t="shared" si="7"/>
        <v>21.334119876555746</v>
      </c>
      <c r="AC99" s="117">
        <f t="shared" si="8"/>
        <v>8.358405692168696E-5</v>
      </c>
    </row>
    <row r="100" spans="9:29" x14ac:dyDescent="0.25">
      <c r="I100" s="49">
        <v>0.115376807163</v>
      </c>
      <c r="J100" s="49">
        <v>7.071509858890041E-6</v>
      </c>
      <c r="K100" s="49">
        <v>7.6702230338040285E-7</v>
      </c>
      <c r="L100" s="67">
        <v>4.7979178981677047E-6</v>
      </c>
      <c r="N100" s="18">
        <v>8.1243446439933921E-7</v>
      </c>
      <c r="O100" s="18">
        <v>1.5392281266661753E-10</v>
      </c>
      <c r="P100" s="18">
        <v>5.050856304086782E-8</v>
      </c>
      <c r="Q100" s="28">
        <v>0.91847914852021895</v>
      </c>
      <c r="R100" s="61">
        <v>929.51095328178883</v>
      </c>
      <c r="S100" s="58">
        <v>8.3584056921686955E-7</v>
      </c>
      <c r="U100" s="85"/>
      <c r="V100" s="85"/>
      <c r="W100" s="83"/>
      <c r="X100" s="152">
        <f t="shared" si="5"/>
        <v>1.1537680716300001</v>
      </c>
      <c r="Y100" s="153">
        <f t="shared" si="6"/>
        <v>7.071509858890041E-6</v>
      </c>
      <c r="Z100" s="153">
        <f t="shared" si="6"/>
        <v>7.6702230338040285E-7</v>
      </c>
      <c r="AA100" s="153">
        <f t="shared" si="6"/>
        <v>4.7979178981677047E-6</v>
      </c>
      <c r="AB100" s="117">
        <f t="shared" si="7"/>
        <v>20.995904671821119</v>
      </c>
      <c r="AC100" s="117">
        <f t="shared" si="8"/>
        <v>8.358405692168696E-5</v>
      </c>
    </row>
    <row r="101" spans="9:29" x14ac:dyDescent="0.25">
      <c r="I101" s="49">
        <v>0.117684343306</v>
      </c>
      <c r="J101" s="49">
        <v>6.3435284892964529E-6</v>
      </c>
      <c r="K101" s="49">
        <v>7.0107658731116659E-7</v>
      </c>
      <c r="L101" s="67">
        <v>4.3826822856476477E-6</v>
      </c>
      <c r="N101" s="18">
        <v>8.1771868650429868E-7</v>
      </c>
      <c r="O101" s="18">
        <v>1.5392286610856452E-10</v>
      </c>
      <c r="P101" s="18">
        <v>5.0508580577423331E-8</v>
      </c>
      <c r="Q101" s="28">
        <v>0.79311184399392187</v>
      </c>
      <c r="R101" s="61">
        <v>929.51095328178883</v>
      </c>
      <c r="S101" s="58">
        <v>8.3472314568865772E-7</v>
      </c>
      <c r="U101" s="85"/>
      <c r="V101" s="85"/>
      <c r="W101" s="83"/>
      <c r="X101" s="152">
        <f t="shared" si="5"/>
        <v>1.1768434330599999</v>
      </c>
      <c r="Y101" s="153">
        <f t="shared" si="6"/>
        <v>6.3435284892964529E-6</v>
      </c>
      <c r="Z101" s="153">
        <f t="shared" si="6"/>
        <v>7.0107658731116659E-7</v>
      </c>
      <c r="AA101" s="153">
        <f t="shared" si="6"/>
        <v>4.3826822856476477E-6</v>
      </c>
      <c r="AB101" s="117">
        <f t="shared" si="7"/>
        <v>20.995904671821119</v>
      </c>
      <c r="AC101" s="117">
        <f t="shared" si="8"/>
        <v>8.3472314568865778E-5</v>
      </c>
    </row>
    <row r="102" spans="9:29" x14ac:dyDescent="0.25">
      <c r="I102" s="49">
        <v>0.120038030172</v>
      </c>
      <c r="J102" s="49">
        <v>6.5307916046553484E-6</v>
      </c>
      <c r="K102" s="49">
        <v>7.0529079775413505E-7</v>
      </c>
      <c r="L102" s="67">
        <v>4.1841301858622465E-6</v>
      </c>
      <c r="N102" s="18">
        <v>8.2306907547826832E-7</v>
      </c>
      <c r="O102" s="18">
        <v>1.5392291200371088E-10</v>
      </c>
      <c r="P102" s="18">
        <v>5.0508595637555438E-8</v>
      </c>
      <c r="Q102" s="28">
        <v>0.71248647532515541</v>
      </c>
      <c r="R102" s="61">
        <v>932.8931053291351</v>
      </c>
      <c r="S102" s="58">
        <v>8.3472314568865772E-7</v>
      </c>
      <c r="U102" s="85"/>
      <c r="V102" s="85"/>
      <c r="W102" s="83"/>
      <c r="X102" s="152">
        <f t="shared" si="5"/>
        <v>1.2003803017200001</v>
      </c>
      <c r="Y102" s="153">
        <f t="shared" si="6"/>
        <v>6.5307916046553484E-6</v>
      </c>
      <c r="Z102" s="153">
        <f t="shared" si="6"/>
        <v>7.0529079775413505E-7</v>
      </c>
      <c r="AA102" s="153">
        <f t="shared" si="6"/>
        <v>4.1841301858622465E-6</v>
      </c>
      <c r="AB102" s="117">
        <f t="shared" si="7"/>
        <v>20.657689467086492</v>
      </c>
      <c r="AC102" s="117">
        <f t="shared" si="8"/>
        <v>8.3472314568865778E-5</v>
      </c>
    </row>
    <row r="103" spans="9:29" x14ac:dyDescent="0.25">
      <c r="I103" s="49">
        <v>0.12243879077600001</v>
      </c>
      <c r="J103" s="49">
        <v>6.4442106609549299E-6</v>
      </c>
      <c r="K103" s="49">
        <v>6.9960140402169246E-7</v>
      </c>
      <c r="L103" s="67">
        <v>3.9247369748266876E-6</v>
      </c>
      <c r="N103" s="18">
        <v>8.284506089663807E-7</v>
      </c>
      <c r="O103" s="18">
        <v>1.5392295292328878E-10</v>
      </c>
      <c r="P103" s="18">
        <v>5.0508609064993808E-8</v>
      </c>
      <c r="Q103" s="28">
        <v>0.65905025687918328</v>
      </c>
      <c r="R103" s="61">
        <v>932.8931053291351</v>
      </c>
      <c r="S103" s="58">
        <v>8.3958941149791804E-7</v>
      </c>
      <c r="U103" s="85"/>
      <c r="V103" s="85"/>
      <c r="W103" s="83"/>
      <c r="X103" s="152">
        <f t="shared" si="5"/>
        <v>1.2243879077600002</v>
      </c>
      <c r="Y103" s="153">
        <f t="shared" si="6"/>
        <v>6.4442106609549299E-6</v>
      </c>
      <c r="Z103" s="153">
        <f t="shared" si="6"/>
        <v>6.9960140402169246E-7</v>
      </c>
      <c r="AA103" s="153">
        <f t="shared" si="6"/>
        <v>3.9247369748266876E-6</v>
      </c>
      <c r="AB103" s="117">
        <f t="shared" si="7"/>
        <v>20.657689467086492</v>
      </c>
      <c r="AC103" s="117">
        <f t="shared" si="8"/>
        <v>8.3958941149791806E-5</v>
      </c>
    </row>
    <row r="104" spans="9:29" x14ac:dyDescent="0.25">
      <c r="I104" s="49">
        <v>0.124887566591</v>
      </c>
      <c r="J104" s="49">
        <v>5.332822738764593E-6</v>
      </c>
      <c r="K104" s="49">
        <v>6.224759047940141E-7</v>
      </c>
      <c r="L104" s="67">
        <v>4.0034784582193954E-6</v>
      </c>
      <c r="N104" s="18">
        <v>8.3384534083721436E-7</v>
      </c>
      <c r="O104" s="18">
        <v>1.5392299045087607E-10</v>
      </c>
      <c r="P104" s="18">
        <v>5.0508621379377071E-8</v>
      </c>
      <c r="Q104" s="28">
        <v>0.62401424299865438</v>
      </c>
      <c r="R104" s="61">
        <v>936.27525737648136</v>
      </c>
      <c r="S104" s="58">
        <v>8.3958941149791804E-7</v>
      </c>
      <c r="U104" s="85"/>
      <c r="V104" s="85"/>
      <c r="W104" s="83"/>
      <c r="X104" s="152">
        <f t="shared" si="5"/>
        <v>1.24887566591</v>
      </c>
      <c r="Y104" s="153">
        <f t="shared" si="6"/>
        <v>5.332822738764593E-6</v>
      </c>
      <c r="Z104" s="153">
        <f t="shared" si="6"/>
        <v>6.224759047940141E-7</v>
      </c>
      <c r="AA104" s="153">
        <f t="shared" si="6"/>
        <v>4.0034784582193954E-6</v>
      </c>
      <c r="AB104" s="117">
        <f t="shared" si="7"/>
        <v>20.319474262351868</v>
      </c>
      <c r="AC104" s="117">
        <f t="shared" si="8"/>
        <v>8.3958941149791806E-5</v>
      </c>
    </row>
    <row r="105" spans="9:29" x14ac:dyDescent="0.25">
      <c r="I105" s="49">
        <v>0.12738531792300001</v>
      </c>
      <c r="J105" s="49">
        <v>4.0795488574560232E-6</v>
      </c>
      <c r="K105" s="49">
        <v>6.2312200451649518E-7</v>
      </c>
      <c r="L105" s="67">
        <v>4.3845637705780263E-6</v>
      </c>
      <c r="N105" s="18">
        <v>8.3924463995592643E-7</v>
      </c>
      <c r="O105" s="18">
        <v>1.5392302566187116E-10</v>
      </c>
      <c r="P105" s="18">
        <v>5.0508632933588777E-8</v>
      </c>
      <c r="Q105" s="28">
        <v>0.60267850336603179</v>
      </c>
      <c r="R105" s="61">
        <v>936.27525737648136</v>
      </c>
      <c r="S105" s="58">
        <v>8.531493306541746E-7</v>
      </c>
      <c r="U105" s="85"/>
      <c r="V105" s="85"/>
      <c r="W105" s="83"/>
      <c r="X105" s="152">
        <f t="shared" si="5"/>
        <v>1.2738531792300001</v>
      </c>
      <c r="Y105" s="153">
        <f t="shared" si="6"/>
        <v>4.0795488574560232E-6</v>
      </c>
      <c r="Z105" s="153">
        <f t="shared" si="6"/>
        <v>6.2312200451649518E-7</v>
      </c>
      <c r="AA105" s="153">
        <f t="shared" si="6"/>
        <v>4.3845637705780263E-6</v>
      </c>
      <c r="AB105" s="117">
        <f t="shared" si="7"/>
        <v>20.319474262351868</v>
      </c>
      <c r="AC105" s="117">
        <f t="shared" si="8"/>
        <v>8.5314933065417455E-5</v>
      </c>
    </row>
    <row r="106" spans="9:29" x14ac:dyDescent="0.25">
      <c r="I106" s="49">
        <v>0.12993302428100001</v>
      </c>
      <c r="J106" s="49">
        <v>3.4131097141383042E-6</v>
      </c>
      <c r="K106" s="49">
        <v>5.5802651814845009E-7</v>
      </c>
      <c r="L106" s="67">
        <v>4.2576488500549026E-6</v>
      </c>
      <c r="N106" s="18">
        <v>8.4464498942138181E-7</v>
      </c>
      <c r="O106" s="18">
        <v>1.5392305935280738E-10</v>
      </c>
      <c r="P106" s="18">
        <v>5.0508643989005107E-8</v>
      </c>
      <c r="Q106" s="28">
        <v>0.59255452525538455</v>
      </c>
      <c r="R106" s="61">
        <v>939.65740942382763</v>
      </c>
      <c r="S106" s="58">
        <v>8.531493306541746E-7</v>
      </c>
      <c r="U106" s="85"/>
      <c r="V106" s="85"/>
      <c r="W106" s="83"/>
      <c r="X106" s="152">
        <f t="shared" si="5"/>
        <v>1.29933024281</v>
      </c>
      <c r="Y106" s="153">
        <f t="shared" si="6"/>
        <v>3.4131097141383042E-6</v>
      </c>
      <c r="Z106" s="153">
        <f t="shared" si="6"/>
        <v>5.5802651814845009E-7</v>
      </c>
      <c r="AA106" s="153">
        <f t="shared" si="6"/>
        <v>4.2576488500549026E-6</v>
      </c>
      <c r="AB106" s="117">
        <f t="shared" si="7"/>
        <v>19.98125905761724</v>
      </c>
      <c r="AC106" s="117">
        <f t="shared" si="8"/>
        <v>8.5314933065417455E-5</v>
      </c>
    </row>
    <row r="107" spans="9:29" x14ac:dyDescent="0.25">
      <c r="I107" s="49">
        <v>0.132531684767</v>
      </c>
      <c r="J107" s="49">
        <v>5.2474758433180125E-6</v>
      </c>
      <c r="K107" s="49">
        <v>6.3602739494366605E-7</v>
      </c>
      <c r="L107" s="67">
        <v>4.349069662958515E-6</v>
      </c>
      <c r="N107" s="18">
        <v>8.7137328615240188E-7</v>
      </c>
      <c r="O107" s="18">
        <v>1.5264226660913736E-10</v>
      </c>
      <c r="P107" s="18">
        <v>5.0005677454542051E-8</v>
      </c>
      <c r="Q107" s="28">
        <v>0.24545454545454548</v>
      </c>
      <c r="R107" s="61">
        <v>939.65740942382763</v>
      </c>
      <c r="S107" s="58">
        <v>8.7855683988094515E-7</v>
      </c>
      <c r="U107" s="85"/>
      <c r="V107" s="85"/>
      <c r="W107" s="83"/>
      <c r="X107" s="152">
        <f t="shared" si="5"/>
        <v>1.3253168476699999</v>
      </c>
      <c r="Y107" s="153">
        <f t="shared" si="6"/>
        <v>5.2474758433180125E-6</v>
      </c>
      <c r="Z107" s="153">
        <f t="shared" si="6"/>
        <v>6.3602739494366605E-7</v>
      </c>
      <c r="AA107" s="153">
        <f t="shared" si="6"/>
        <v>4.349069662958515E-6</v>
      </c>
      <c r="AB107" s="117">
        <f t="shared" si="7"/>
        <v>19.98125905761724</v>
      </c>
      <c r="AC107" s="117">
        <f t="shared" si="8"/>
        <v>8.7855683988094521E-5</v>
      </c>
    </row>
    <row r="108" spans="9:29" x14ac:dyDescent="0.25">
      <c r="I108" s="49">
        <v>0.13518231846199999</v>
      </c>
      <c r="J108" s="49">
        <v>3.7068713535428399E-6</v>
      </c>
      <c r="K108" s="49">
        <v>5.2529986300246678E-7</v>
      </c>
      <c r="L108" s="67">
        <v>4.6032576658575934E-6</v>
      </c>
      <c r="N108" s="18">
        <v>8.8012149589645276E-7</v>
      </c>
      <c r="O108" s="18">
        <v>1.5234116947086792E-10</v>
      </c>
      <c r="P108" s="18">
        <v>4.98874358396636E-8</v>
      </c>
      <c r="Q108" s="28">
        <v>0.49090909090909096</v>
      </c>
      <c r="R108" s="61">
        <v>943.0395614711739</v>
      </c>
      <c r="S108" s="58">
        <v>8.7855683988094515E-7</v>
      </c>
      <c r="U108" s="85"/>
      <c r="V108" s="85"/>
      <c r="W108" s="83"/>
      <c r="X108" s="152">
        <f t="shared" si="5"/>
        <v>1.35182318462</v>
      </c>
      <c r="Y108" s="153">
        <f t="shared" si="6"/>
        <v>3.7068713535428399E-6</v>
      </c>
      <c r="Z108" s="153">
        <f t="shared" si="6"/>
        <v>5.2529986300246678E-7</v>
      </c>
      <c r="AA108" s="153">
        <f t="shared" si="6"/>
        <v>4.6032576658575934E-6</v>
      </c>
      <c r="AB108" s="117">
        <f t="shared" si="7"/>
        <v>19.643043852882613</v>
      </c>
      <c r="AC108" s="117">
        <f t="shared" si="8"/>
        <v>8.7855683988094521E-5</v>
      </c>
    </row>
    <row r="109" spans="9:29" x14ac:dyDescent="0.25">
      <c r="I109" s="49">
        <v>0.137885964832</v>
      </c>
      <c r="J109" s="49">
        <v>2.6449468606449932E-6</v>
      </c>
      <c r="K109" s="49">
        <v>5.3404100144559181E-7</v>
      </c>
      <c r="L109" s="67">
        <v>4.022949218605585E-6</v>
      </c>
      <c r="N109" s="18">
        <v>8.9342000917771233E-7</v>
      </c>
      <c r="O109" s="18">
        <v>1.5184561290350263E-10</v>
      </c>
      <c r="P109" s="18">
        <v>4.9692829940382584E-8</v>
      </c>
      <c r="Q109" s="28">
        <v>0.49090909090909096</v>
      </c>
      <c r="R109" s="61">
        <v>943.0395614711739</v>
      </c>
      <c r="S109" s="58">
        <v>9.187597677107201E-7</v>
      </c>
      <c r="U109" s="85"/>
      <c r="V109" s="85"/>
      <c r="W109" s="83"/>
      <c r="X109" s="152">
        <f t="shared" si="5"/>
        <v>1.37885964832</v>
      </c>
      <c r="Y109" s="153">
        <f t="shared" si="6"/>
        <v>2.6449468606449932E-6</v>
      </c>
      <c r="Z109" s="153">
        <f t="shared" si="6"/>
        <v>5.3404100144559181E-7</v>
      </c>
      <c r="AA109" s="153">
        <f t="shared" si="6"/>
        <v>4.022949218605585E-6</v>
      </c>
      <c r="AB109" s="117">
        <f t="shared" si="7"/>
        <v>19.643043852882613</v>
      </c>
      <c r="AC109" s="117">
        <f t="shared" si="8"/>
        <v>9.1875976771072009E-5</v>
      </c>
    </row>
    <row r="110" spans="9:29" x14ac:dyDescent="0.25">
      <c r="I110" s="49">
        <v>0.14064368412799999</v>
      </c>
      <c r="J110" s="49">
        <v>3.0910168766509058E-6</v>
      </c>
      <c r="K110" s="49">
        <v>5.3317442535352255E-7</v>
      </c>
      <c r="L110" s="67">
        <v>3.7198906663551664E-6</v>
      </c>
      <c r="N110" s="18">
        <v>9.0889759609518645E-7</v>
      </c>
      <c r="O110" s="18">
        <v>1.5122258772716054E-10</v>
      </c>
      <c r="P110" s="18">
        <v>4.9448167370202596E-8</v>
      </c>
      <c r="Q110" s="28">
        <v>0.49090909090909096</v>
      </c>
      <c r="R110" s="61">
        <v>946.42171351852016</v>
      </c>
      <c r="S110" s="58">
        <v>9.187597677107201E-7</v>
      </c>
      <c r="U110" s="85"/>
      <c r="V110" s="85"/>
      <c r="W110" s="83"/>
      <c r="X110" s="152">
        <f t="shared" si="5"/>
        <v>1.4064368412799999</v>
      </c>
      <c r="Y110" s="153">
        <f t="shared" si="6"/>
        <v>3.0910168766509058E-6</v>
      </c>
      <c r="Z110" s="153">
        <f t="shared" si="6"/>
        <v>5.3317442535352255E-7</v>
      </c>
      <c r="AA110" s="153">
        <f t="shared" si="6"/>
        <v>3.7198906663551664E-6</v>
      </c>
      <c r="AB110" s="117">
        <f t="shared" si="7"/>
        <v>19.304828648147986</v>
      </c>
      <c r="AC110" s="117">
        <f t="shared" si="8"/>
        <v>9.1875976771072009E-5</v>
      </c>
    </row>
    <row r="111" spans="9:29" x14ac:dyDescent="0.25">
      <c r="I111" s="49">
        <v>0.143456557811</v>
      </c>
      <c r="J111" s="49">
        <v>4.3045659747441344E-6</v>
      </c>
      <c r="K111" s="49">
        <v>5.7521031817826853E-7</v>
      </c>
      <c r="L111" s="67">
        <v>3.3824332082119884E-6</v>
      </c>
      <c r="N111" s="18">
        <v>9.2693520235352601E-7</v>
      </c>
      <c r="O111" s="18">
        <v>1.5044822183079501E-10</v>
      </c>
      <c r="P111" s="18">
        <v>4.9144073593222244E-8</v>
      </c>
      <c r="Q111" s="28">
        <v>0.49090909090909096</v>
      </c>
      <c r="R111" s="61">
        <v>946.42171351852016</v>
      </c>
      <c r="S111" s="58">
        <v>9.755478528108807E-7</v>
      </c>
      <c r="U111" s="85"/>
      <c r="V111" s="85"/>
      <c r="W111" s="83"/>
      <c r="X111" s="152">
        <f t="shared" si="5"/>
        <v>1.43456557811</v>
      </c>
      <c r="Y111" s="153">
        <f t="shared" si="6"/>
        <v>4.3045659747441344E-6</v>
      </c>
      <c r="Z111" s="153">
        <f t="shared" si="6"/>
        <v>5.7521031817826853E-7</v>
      </c>
      <c r="AA111" s="153">
        <f t="shared" si="6"/>
        <v>3.3824332082119884E-6</v>
      </c>
      <c r="AB111" s="117">
        <f t="shared" si="7"/>
        <v>19.304828648147986</v>
      </c>
      <c r="AC111" s="117">
        <f t="shared" si="8"/>
        <v>9.7554785281088075E-5</v>
      </c>
    </row>
    <row r="112" spans="9:29" x14ac:dyDescent="0.25">
      <c r="I112" s="49">
        <v>0.14632568896699999</v>
      </c>
      <c r="J112" s="49">
        <v>2.4112042217726887E-6</v>
      </c>
      <c r="K112" s="49">
        <v>4.9032834186403956E-7</v>
      </c>
      <c r="L112" s="67">
        <v>2.5652372299492964E-6</v>
      </c>
      <c r="N112" s="18">
        <v>9.4795320745453667E-7</v>
      </c>
      <c r="O112" s="18">
        <v>1.4949670743512279E-10</v>
      </c>
      <c r="P112" s="18">
        <v>4.8770413940070558E-8</v>
      </c>
      <c r="Q112" s="28">
        <v>0.49090909090909096</v>
      </c>
      <c r="R112" s="61">
        <v>949.80386556586643</v>
      </c>
      <c r="S112" s="58">
        <v>9.755478528108807E-7</v>
      </c>
      <c r="U112" s="85"/>
      <c r="V112" s="85"/>
      <c r="W112" s="83"/>
      <c r="X112" s="152">
        <f t="shared" si="5"/>
        <v>1.4632568896699998</v>
      </c>
      <c r="Y112" s="153">
        <f t="shared" si="6"/>
        <v>2.4112042217726887E-6</v>
      </c>
      <c r="Z112" s="153">
        <f t="shared" si="6"/>
        <v>4.9032834186403956E-7</v>
      </c>
      <c r="AA112" s="153">
        <f t="shared" si="6"/>
        <v>2.5652372299492964E-6</v>
      </c>
      <c r="AB112" s="117">
        <f t="shared" si="7"/>
        <v>18.966613443413358</v>
      </c>
      <c r="AC112" s="117">
        <f t="shared" si="8"/>
        <v>9.7554785281088075E-5</v>
      </c>
    </row>
    <row r="113" spans="9:29" x14ac:dyDescent="0.25">
      <c r="I113" s="49">
        <v>0.14925220274600001</v>
      </c>
      <c r="J113" s="49">
        <v>2.8113577225143007E-6</v>
      </c>
      <c r="K113" s="49">
        <v>5.0732283949906498E-7</v>
      </c>
      <c r="L113" s="67">
        <v>2.3388723881079488E-6</v>
      </c>
      <c r="N113" s="18">
        <v>9.7240322754448967E-7</v>
      </c>
      <c r="O113" s="18">
        <v>1.4834082614527088E-10</v>
      </c>
      <c r="P113" s="18">
        <v>4.8316499795147657E-8</v>
      </c>
      <c r="Q113" s="28">
        <v>0.49090909090909096</v>
      </c>
      <c r="R113" s="61">
        <v>949.80386556586643</v>
      </c>
      <c r="S113" s="58">
        <v>1.0485741690972883E-6</v>
      </c>
      <c r="U113" s="85"/>
      <c r="V113" s="85"/>
      <c r="W113" s="83"/>
      <c r="X113" s="152">
        <f t="shared" si="5"/>
        <v>1.4925220274600002</v>
      </c>
      <c r="Y113" s="153">
        <f t="shared" si="6"/>
        <v>2.8113577225143007E-6</v>
      </c>
      <c r="Z113" s="153">
        <f t="shared" si="6"/>
        <v>5.0732283949906498E-7</v>
      </c>
      <c r="AA113" s="153">
        <f t="shared" si="6"/>
        <v>2.3388723881079488E-6</v>
      </c>
      <c r="AB113" s="117">
        <f t="shared" si="7"/>
        <v>18.966613443413358</v>
      </c>
      <c r="AC113" s="117">
        <f t="shared" si="8"/>
        <v>1.0485741690972883E-4</v>
      </c>
    </row>
    <row r="114" spans="9:29" x14ac:dyDescent="0.25">
      <c r="I114" s="49">
        <v>0.15223724680100001</v>
      </c>
      <c r="J114" s="49">
        <v>2.7161599869821595E-6</v>
      </c>
      <c r="K114" s="49">
        <v>5.0746990542776297E-7</v>
      </c>
      <c r="L114" s="67">
        <v>1.8232120980288538E-6</v>
      </c>
      <c r="N114" s="18">
        <v>1.0007561856963286E-6</v>
      </c>
      <c r="O114" s="18">
        <v>1.4695266462902919E-10</v>
      </c>
      <c r="P114" s="18">
        <v>4.7771369642201653E-8</v>
      </c>
      <c r="Q114" s="28">
        <v>0.49090909090909096</v>
      </c>
      <c r="R114" s="61">
        <v>953.1860176132127</v>
      </c>
      <c r="S114" s="58">
        <v>1.0485741690972883E-6</v>
      </c>
      <c r="U114" s="85"/>
      <c r="V114" s="85"/>
      <c r="W114" s="83"/>
      <c r="X114" s="152">
        <f t="shared" si="5"/>
        <v>1.5223724680100001</v>
      </c>
      <c r="Y114" s="153">
        <f t="shared" si="6"/>
        <v>2.7161599869821595E-6</v>
      </c>
      <c r="Z114" s="153">
        <f t="shared" si="6"/>
        <v>5.0746990542776297E-7</v>
      </c>
      <c r="AA114" s="153">
        <f t="shared" si="6"/>
        <v>1.8232120980288538E-6</v>
      </c>
      <c r="AB114" s="117">
        <f t="shared" si="7"/>
        <v>18.628398238678734</v>
      </c>
      <c r="AC114" s="117">
        <f t="shared" si="8"/>
        <v>1.0485741690972883E-4</v>
      </c>
    </row>
    <row r="115" spans="9:29" x14ac:dyDescent="0.25">
      <c r="I115" s="49">
        <v>0.155281991737</v>
      </c>
      <c r="J115" s="49">
        <v>1.9175445746115811E-6</v>
      </c>
      <c r="K115" s="49">
        <v>5.1367130690727853E-7</v>
      </c>
      <c r="L115" s="67">
        <v>1.6016544357817032E-6</v>
      </c>
      <c r="N115" s="18">
        <v>1.0334866702466764E-6</v>
      </c>
      <c r="O115" s="18">
        <v>1.4530451809964948E-10</v>
      </c>
      <c r="P115" s="18">
        <v>4.7124143860417036E-8</v>
      </c>
      <c r="Q115" s="28">
        <v>0.49090909090909096</v>
      </c>
      <c r="R115" s="61">
        <v>953.1860176132127</v>
      </c>
      <c r="S115" s="58">
        <v>1.1347640873582316E-6</v>
      </c>
      <c r="U115" s="85"/>
      <c r="V115" s="85"/>
      <c r="W115" s="83"/>
      <c r="X115" s="152">
        <f t="shared" si="5"/>
        <v>1.5528199173699999</v>
      </c>
      <c r="Y115" s="153">
        <f t="shared" si="6"/>
        <v>1.9175445746115811E-6</v>
      </c>
      <c r="Z115" s="153">
        <f t="shared" si="6"/>
        <v>5.1367130690727853E-7</v>
      </c>
      <c r="AA115" s="153">
        <f t="shared" si="6"/>
        <v>1.6016544357817032E-6</v>
      </c>
      <c r="AB115" s="117">
        <f t="shared" si="7"/>
        <v>18.628398238678734</v>
      </c>
      <c r="AC115" s="117">
        <f t="shared" si="8"/>
        <v>1.1347640873582316E-4</v>
      </c>
    </row>
    <row r="116" spans="9:29" x14ac:dyDescent="0.25">
      <c r="I116" s="49">
        <v>0.158387631572</v>
      </c>
      <c r="J116" s="49">
        <v>2.4121590312697577E-6</v>
      </c>
      <c r="K116" s="49">
        <v>4.7122260887705417E-7</v>
      </c>
      <c r="L116" s="67">
        <v>1.5926761104240388E-6</v>
      </c>
      <c r="N116" s="18">
        <v>1.0710538879537173E-6</v>
      </c>
      <c r="O116" s="18">
        <v>1.4336996413415466E-10</v>
      </c>
      <c r="P116" s="18">
        <v>4.6364446410954896E-8</v>
      </c>
      <c r="Q116" s="28">
        <v>0.49090909090909096</v>
      </c>
      <c r="R116" s="61">
        <v>956.56816966055897</v>
      </c>
      <c r="S116" s="58">
        <v>1.1347640873582316E-6</v>
      </c>
      <c r="U116" s="85"/>
      <c r="V116" s="85"/>
      <c r="W116" s="83"/>
      <c r="X116" s="152">
        <f t="shared" si="5"/>
        <v>1.58387631572</v>
      </c>
      <c r="Y116" s="153">
        <f t="shared" si="6"/>
        <v>2.4121590312697577E-6</v>
      </c>
      <c r="Z116" s="153">
        <f t="shared" si="6"/>
        <v>4.7122260887705417E-7</v>
      </c>
      <c r="AA116" s="153">
        <f t="shared" si="6"/>
        <v>1.5926761104240388E-6</v>
      </c>
      <c r="AB116" s="117">
        <f t="shared" si="7"/>
        <v>18.290183033944107</v>
      </c>
      <c r="AC116" s="117">
        <f t="shared" si="8"/>
        <v>1.1347640873582316E-4</v>
      </c>
    </row>
    <row r="117" spans="9:29" x14ac:dyDescent="0.25">
      <c r="I117" s="49"/>
      <c r="J117" s="49"/>
      <c r="K117" s="49"/>
      <c r="N117" s="18">
        <v>1.1138798308252055E-6</v>
      </c>
      <c r="O117" s="18">
        <v>1.4112507321409898E-10</v>
      </c>
      <c r="P117" s="18">
        <v>4.5482880214156563E-8</v>
      </c>
      <c r="Q117" s="28">
        <v>0.49090909090909096</v>
      </c>
      <c r="R117" s="61">
        <v>956.56816966055897</v>
      </c>
      <c r="S117" s="58">
        <v>1.2047242182367034E-6</v>
      </c>
      <c r="U117" s="85"/>
      <c r="V117" s="83"/>
      <c r="W117" s="83"/>
      <c r="X117" s="152"/>
      <c r="Y117" s="153"/>
      <c r="Z117" s="153"/>
      <c r="AA117" s="153"/>
      <c r="AB117" s="117">
        <f t="shared" si="7"/>
        <v>18.290183033944107</v>
      </c>
      <c r="AC117" s="117">
        <f t="shared" si="8"/>
        <v>1.2047242182367033E-4</v>
      </c>
    </row>
    <row r="118" spans="9:29" x14ac:dyDescent="0.25">
      <c r="I118" s="49"/>
      <c r="J118" s="49"/>
      <c r="K118" s="49"/>
      <c r="N118" s="18">
        <v>1.1623255882575475E-6</v>
      </c>
      <c r="O118" s="18">
        <v>1.3854970603327347E-10</v>
      </c>
      <c r="P118" s="18">
        <v>4.4471536599972323E-8</v>
      </c>
      <c r="Q118" s="28">
        <v>0.49090909090909096</v>
      </c>
      <c r="R118" s="61">
        <v>958.25924568423216</v>
      </c>
      <c r="S118" s="58">
        <v>1.2047242182367034E-6</v>
      </c>
      <c r="U118" s="85"/>
      <c r="V118" s="83"/>
      <c r="W118" s="83"/>
      <c r="X118" s="152"/>
      <c r="Y118" s="153"/>
      <c r="Z118" s="153"/>
      <c r="AA118" s="153"/>
      <c r="AB118" s="117">
        <f t="shared" si="7"/>
        <v>18.121075431576788</v>
      </c>
      <c r="AC118" s="117">
        <f t="shared" si="8"/>
        <v>1.2047242182367033E-4</v>
      </c>
    </row>
    <row r="119" spans="9:29" x14ac:dyDescent="0.25">
      <c r="I119" s="49"/>
      <c r="J119" s="49"/>
      <c r="K119" s="49"/>
      <c r="N119" s="18">
        <v>1.2166670200102869E-6</v>
      </c>
      <c r="O119" s="18">
        <v>1.3562883264253679E-10</v>
      </c>
      <c r="P119" s="18">
        <v>4.3324513333790399E-8</v>
      </c>
      <c r="Q119" s="28">
        <v>0.49090909090909096</v>
      </c>
      <c r="R119" s="61">
        <v>958.25924568423216</v>
      </c>
      <c r="S119" s="58">
        <v>1.2442537323189147E-6</v>
      </c>
      <c r="U119" s="85"/>
      <c r="V119" s="83"/>
      <c r="W119" s="83"/>
      <c r="X119" s="152"/>
      <c r="Y119" s="153"/>
      <c r="Z119" s="153"/>
      <c r="AA119" s="153"/>
      <c r="AB119" s="117">
        <f t="shared" si="7"/>
        <v>18.121075431576788</v>
      </c>
      <c r="AC119" s="117">
        <f t="shared" si="8"/>
        <v>1.2442537323189147E-4</v>
      </c>
    </row>
    <row r="120" spans="9:29" x14ac:dyDescent="0.25">
      <c r="I120" s="49"/>
      <c r="J120" s="49"/>
      <c r="K120" s="49"/>
      <c r="N120" s="18">
        <v>1.2770712292155495E-6</v>
      </c>
      <c r="O120" s="18">
        <v>1.3235379658800259E-10</v>
      </c>
      <c r="P120" s="18">
        <v>4.2038411041254949E-8</v>
      </c>
      <c r="Q120" s="28">
        <v>0.49090909090909096</v>
      </c>
      <c r="R120" s="61">
        <v>959.67008926693256</v>
      </c>
      <c r="S120" s="58">
        <v>1.2442537323189147E-6</v>
      </c>
      <c r="U120" s="85"/>
      <c r="V120" s="83"/>
      <c r="W120" s="83"/>
      <c r="X120" s="152"/>
      <c r="Y120" s="153"/>
      <c r="Z120" s="153"/>
      <c r="AA120" s="153"/>
      <c r="AB120" s="117">
        <f t="shared" si="7"/>
        <v>17.979991073306746</v>
      </c>
      <c r="AC120" s="117">
        <f t="shared" si="8"/>
        <v>1.2442537323189147E-4</v>
      </c>
    </row>
    <row r="121" spans="9:29" x14ac:dyDescent="0.25">
      <c r="I121" s="49"/>
      <c r="J121" s="49"/>
      <c r="K121" s="49"/>
      <c r="N121" s="18">
        <v>1.3435754084930637E-6</v>
      </c>
      <c r="O121" s="18">
        <v>1.2872343997736458E-10</v>
      </c>
      <c r="P121" s="18">
        <v>4.0612775019810908E-8</v>
      </c>
      <c r="Q121" s="28">
        <v>0.49090909090909096</v>
      </c>
      <c r="R121" s="61">
        <v>959.67008926693256</v>
      </c>
      <c r="S121" s="58">
        <v>1.3038442671786804E-6</v>
      </c>
      <c r="U121" s="85"/>
      <c r="V121" s="83"/>
      <c r="W121" s="83"/>
      <c r="X121" s="152"/>
      <c r="Y121" s="153"/>
      <c r="Z121" s="153"/>
      <c r="AA121" s="153"/>
      <c r="AB121" s="117">
        <f t="shared" si="7"/>
        <v>17.979991073306746</v>
      </c>
      <c r="AC121" s="117">
        <f t="shared" si="8"/>
        <v>1.3038442671786804E-4</v>
      </c>
    </row>
    <row r="122" spans="9:29" x14ac:dyDescent="0.25">
      <c r="I122" s="49"/>
      <c r="J122" s="49"/>
      <c r="K122" s="49"/>
      <c r="N122" s="18">
        <v>1.4160696521265886E-6</v>
      </c>
      <c r="O122" s="18">
        <v>1.2474500424380866E-10</v>
      </c>
      <c r="P122" s="18">
        <v>3.9050448967090384E-8</v>
      </c>
      <c r="Q122" s="28">
        <v>0.49090909090909096</v>
      </c>
      <c r="R122" s="61">
        <v>962.49177643233349</v>
      </c>
      <c r="S122" s="58">
        <v>1.3038442671786804E-6</v>
      </c>
      <c r="U122" s="85"/>
      <c r="V122" s="83"/>
      <c r="W122" s="83"/>
      <c r="X122" s="152"/>
      <c r="Y122" s="153"/>
      <c r="Z122" s="153"/>
      <c r="AA122" s="153"/>
      <c r="AB122" s="117">
        <f t="shared" si="7"/>
        <v>17.697822356766654</v>
      </c>
      <c r="AC122" s="117">
        <f t="shared" si="8"/>
        <v>1.3038442671786804E-4</v>
      </c>
    </row>
    <row r="123" spans="9:29" x14ac:dyDescent="0.25">
      <c r="I123" s="49"/>
      <c r="J123" s="49"/>
      <c r="K123" s="49"/>
      <c r="N123" s="18">
        <v>1.494285217954214E-6</v>
      </c>
      <c r="O123" s="18">
        <v>1.204347271586874E-10</v>
      </c>
      <c r="P123" s="18">
        <v>3.735780942672809E-8</v>
      </c>
      <c r="Q123" s="28">
        <v>0.49090909090909096</v>
      </c>
      <c r="R123" s="61">
        <v>962.49177643233349</v>
      </c>
      <c r="S123" s="58">
        <v>1.3793152049873117E-6</v>
      </c>
      <c r="U123" s="85"/>
      <c r="V123" s="83"/>
      <c r="W123" s="83"/>
      <c r="X123" s="152"/>
      <c r="Y123" s="153"/>
      <c r="Z123" s="153"/>
      <c r="AA123" s="153"/>
      <c r="AB123" s="117">
        <f t="shared" si="7"/>
        <v>17.697822356766654</v>
      </c>
      <c r="AC123" s="117">
        <f t="shared" si="8"/>
        <v>1.3793152049873118E-4</v>
      </c>
    </row>
    <row r="124" spans="9:29" x14ac:dyDescent="0.25">
      <c r="I124" s="49"/>
      <c r="J124" s="49"/>
      <c r="K124" s="49"/>
      <c r="N124" s="18">
        <v>1.5777894808055625E-6</v>
      </c>
      <c r="O124" s="18">
        <v>1.1581806962140258E-10</v>
      </c>
      <c r="P124" s="18">
        <v>3.5544854848344854E-8</v>
      </c>
      <c r="Q124" s="28">
        <v>0.49090909090909096</v>
      </c>
      <c r="R124" s="61">
        <v>965.31346359773443</v>
      </c>
      <c r="S124" s="58">
        <v>1.3793152049873117E-6</v>
      </c>
      <c r="U124" s="85"/>
      <c r="V124" s="83"/>
      <c r="W124" s="83"/>
      <c r="X124" s="152"/>
      <c r="Y124" s="153"/>
      <c r="Z124" s="153"/>
      <c r="AA124" s="153"/>
      <c r="AB124" s="117">
        <f t="shared" si="7"/>
        <v>17.415653640226559</v>
      </c>
      <c r="AC124" s="117">
        <f t="shared" si="8"/>
        <v>1.3793152049873118E-4</v>
      </c>
    </row>
    <row r="125" spans="9:29" x14ac:dyDescent="0.25">
      <c r="I125" s="49"/>
      <c r="J125" s="49"/>
      <c r="K125" s="49"/>
      <c r="N125" s="18">
        <v>1.6659884552627932E-6</v>
      </c>
      <c r="O125" s="18">
        <v>1.1092952542765529E-10</v>
      </c>
      <c r="P125" s="18">
        <v>3.3625130883877656E-8</v>
      </c>
      <c r="Q125" s="28">
        <v>0.49090909090909096</v>
      </c>
      <c r="R125" s="61">
        <v>965.31346359773443</v>
      </c>
      <c r="S125" s="58">
        <v>1.4470170375721256E-6</v>
      </c>
      <c r="U125" s="85"/>
      <c r="V125" s="83"/>
      <c r="W125" s="83"/>
      <c r="X125" s="152"/>
      <c r="Y125" s="153"/>
      <c r="Z125" s="153"/>
      <c r="AA125" s="153"/>
      <c r="AB125" s="117">
        <f t="shared" si="7"/>
        <v>17.415653640226559</v>
      </c>
      <c r="AC125" s="117">
        <f t="shared" si="8"/>
        <v>1.4470170375721256E-4</v>
      </c>
    </row>
    <row r="126" spans="9:29" x14ac:dyDescent="0.25">
      <c r="I126" s="49"/>
      <c r="J126" s="49"/>
      <c r="K126" s="49"/>
      <c r="N126" s="18">
        <v>1.7581373032977662E-6</v>
      </c>
      <c r="O126" s="18">
        <v>1.0581199231692928E-10</v>
      </c>
      <c r="P126" s="18">
        <v>3.1615483399044951E-8</v>
      </c>
      <c r="Q126" s="28">
        <v>0.49090909090909096</v>
      </c>
      <c r="R126" s="61">
        <v>968.13515076313536</v>
      </c>
      <c r="S126" s="58">
        <v>1.4470170375721256E-6</v>
      </c>
      <c r="U126" s="85"/>
      <c r="V126" s="83"/>
      <c r="W126" s="83"/>
      <c r="X126" s="152"/>
      <c r="Y126" s="153"/>
      <c r="Z126" s="153"/>
      <c r="AA126" s="153"/>
      <c r="AB126" s="117">
        <f t="shared" si="7"/>
        <v>17.133484923686467</v>
      </c>
      <c r="AC126" s="117">
        <f t="shared" si="8"/>
        <v>1.4470170375721256E-4</v>
      </c>
    </row>
    <row r="127" spans="9:29" x14ac:dyDescent="0.25">
      <c r="I127" s="49"/>
      <c r="J127" s="49"/>
      <c r="K127" s="49"/>
      <c r="N127" s="18">
        <v>1.8533587182406415E-6</v>
      </c>
      <c r="O127" s="18">
        <v>1.0051571116880677E-10</v>
      </c>
      <c r="P127" s="18">
        <v>2.9535641897626237E-8</v>
      </c>
      <c r="Q127" s="28">
        <v>0.49090909090909096</v>
      </c>
      <c r="R127" s="61">
        <v>968.13515076313536</v>
      </c>
      <c r="S127" s="58">
        <v>1.5045345598100863E-6</v>
      </c>
      <c r="U127" s="85"/>
      <c r="V127" s="83"/>
      <c r="W127" s="83"/>
      <c r="X127" s="152"/>
      <c r="Y127" s="153"/>
      <c r="Z127" s="153"/>
      <c r="AA127" s="153"/>
      <c r="AB127" s="117">
        <f t="shared" si="7"/>
        <v>17.133484923686467</v>
      </c>
      <c r="AC127" s="117">
        <f t="shared" si="8"/>
        <v>1.5045345598100864E-4</v>
      </c>
    </row>
    <row r="128" spans="9:29" x14ac:dyDescent="0.25">
      <c r="I128" s="49"/>
      <c r="J128" s="49"/>
      <c r="K128" s="49"/>
      <c r="N128" s="18">
        <v>1.9506685358349006E-6</v>
      </c>
      <c r="O128" s="18">
        <v>9.5096809783392436E-11</v>
      </c>
      <c r="P128" s="18">
        <v>2.7407647666624481E-8</v>
      </c>
      <c r="Q128" s="28">
        <v>0.49090909090909096</v>
      </c>
      <c r="R128" s="61">
        <v>970.95683792853629</v>
      </c>
      <c r="S128" s="58">
        <v>1.5045345598100863E-6</v>
      </c>
      <c r="U128" s="85"/>
      <c r="V128" s="83"/>
      <c r="W128" s="83"/>
      <c r="X128" s="152"/>
      <c r="Y128" s="153"/>
      <c r="Z128" s="153"/>
      <c r="AA128" s="153"/>
      <c r="AB128" s="117">
        <f t="shared" si="7"/>
        <v>16.851316207146375</v>
      </c>
      <c r="AC128" s="117">
        <f t="shared" si="8"/>
        <v>1.5045345598100864E-4</v>
      </c>
    </row>
    <row r="129" spans="9:29" x14ac:dyDescent="0.25">
      <c r="I129" s="49"/>
      <c r="J129" s="49"/>
      <c r="K129" s="49"/>
      <c r="N129" s="18">
        <v>2.0243859793178907E-6</v>
      </c>
      <c r="O129" s="18">
        <v>9.0988296835271278E-11</v>
      </c>
      <c r="P129" s="18">
        <v>2.57942409806861E-8</v>
      </c>
      <c r="Q129" s="28">
        <v>0.24545454545454548</v>
      </c>
      <c r="R129" s="61">
        <v>970.95683792853629</v>
      </c>
      <c r="S129" s="58">
        <v>1.5508083830839444E-6</v>
      </c>
      <c r="U129" s="85"/>
      <c r="V129" s="83"/>
      <c r="W129" s="83"/>
      <c r="X129" s="152"/>
      <c r="Y129" s="153"/>
      <c r="Z129" s="153"/>
      <c r="AA129" s="153"/>
      <c r="AB129" s="117">
        <f t="shared" si="7"/>
        <v>16.851316207146375</v>
      </c>
      <c r="AC129" s="117">
        <f t="shared" si="8"/>
        <v>1.5508083830839445E-4</v>
      </c>
    </row>
    <row r="130" spans="9:29" x14ac:dyDescent="0.25">
      <c r="I130" s="49"/>
      <c r="J130" s="49"/>
      <c r="K130" s="49"/>
      <c r="N130" s="18">
        <v>2.0854383396729069E-6</v>
      </c>
      <c r="O130" s="18">
        <v>8.7632867194624398E-11</v>
      </c>
      <c r="P130" s="18">
        <v>2.4476568955606665E-8</v>
      </c>
      <c r="Q130" s="28">
        <v>0.35454545454545455</v>
      </c>
      <c r="R130" s="61">
        <v>973.77852509393722</v>
      </c>
      <c r="S130" s="58">
        <v>1.5508083830839444E-6</v>
      </c>
      <c r="U130" s="85"/>
      <c r="V130" s="83"/>
      <c r="W130" s="83"/>
      <c r="X130" s="152"/>
      <c r="Y130" s="153"/>
      <c r="Z130" s="153"/>
      <c r="AA130" s="153"/>
      <c r="AB130" s="117">
        <f t="shared" si="7"/>
        <v>16.56914749060628</v>
      </c>
      <c r="AC130" s="117">
        <f t="shared" si="8"/>
        <v>1.5508083830839445E-4</v>
      </c>
    </row>
    <row r="131" spans="9:29" x14ac:dyDescent="0.25">
      <c r="I131" s="49"/>
      <c r="J131" s="50"/>
      <c r="K131" s="50"/>
      <c r="N131" s="18">
        <v>2.191274855025782E-6</v>
      </c>
      <c r="O131" s="18">
        <v>8.1714462661723241E-11</v>
      </c>
      <c r="P131" s="18">
        <v>2.2152420668690888E-8</v>
      </c>
      <c r="Q131" s="28">
        <v>0.70909090909090911</v>
      </c>
      <c r="R131" s="61">
        <v>973.77852509393722</v>
      </c>
      <c r="S131" s="58">
        <v>1.5860480031949348E-6</v>
      </c>
      <c r="U131" s="85"/>
      <c r="V131" s="83"/>
      <c r="W131" s="85"/>
      <c r="X131" s="152"/>
      <c r="Y131" s="153"/>
      <c r="Z131" s="153"/>
      <c r="AA131" s="153"/>
      <c r="AB131" s="117">
        <f t="shared" si="7"/>
        <v>16.56914749060628</v>
      </c>
      <c r="AC131" s="117">
        <f t="shared" si="8"/>
        <v>1.5860480031949347E-4</v>
      </c>
    </row>
    <row r="132" spans="9:29" x14ac:dyDescent="0.25">
      <c r="I132" s="49"/>
      <c r="J132" s="50"/>
      <c r="K132" s="50"/>
      <c r="N132" s="18">
        <v>2.3292357299318319E-6</v>
      </c>
      <c r="O132" s="18">
        <v>7.3999656001879585E-11</v>
      </c>
      <c r="P132" s="18">
        <v>1.9122828044341229E-8</v>
      </c>
      <c r="Q132" s="28">
        <v>0.70909090909090911</v>
      </c>
      <c r="R132" s="61">
        <v>976.60021225933815</v>
      </c>
      <c r="S132" s="58">
        <v>1.5860480031949348E-6</v>
      </c>
      <c r="U132" s="85"/>
      <c r="V132" s="83"/>
      <c r="W132" s="85"/>
      <c r="X132" s="152"/>
      <c r="Y132" s="153"/>
      <c r="Z132" s="153"/>
      <c r="AA132" s="153"/>
      <c r="AB132" s="117">
        <f t="shared" ref="AB132:AB195" si="9">(1139.47-R132)/10</f>
        <v>16.286978774066188</v>
      </c>
      <c r="AC132" s="117">
        <f t="shared" ref="AC132:AC195" si="10">S132*100</f>
        <v>1.5860480031949347E-4</v>
      </c>
    </row>
    <row r="133" spans="9:29" x14ac:dyDescent="0.25">
      <c r="I133" s="49"/>
      <c r="J133" s="50"/>
      <c r="K133" s="50"/>
      <c r="N133" s="18">
        <v>2.46076982357098E-6</v>
      </c>
      <c r="O133" s="18">
        <v>6.6644237468313718E-11</v>
      </c>
      <c r="P133" s="18">
        <v>1.6234366535273054E-8</v>
      </c>
      <c r="Q133" s="28">
        <v>0.70909090909090911</v>
      </c>
      <c r="R133" s="61">
        <v>976.60021225933815</v>
      </c>
      <c r="S133" s="58">
        <v>1.6114145181787821E-6</v>
      </c>
      <c r="U133" s="85"/>
      <c r="V133" s="83"/>
      <c r="W133" s="85"/>
      <c r="X133" s="152"/>
      <c r="Y133" s="153"/>
      <c r="Z133" s="153"/>
      <c r="AA133" s="153"/>
      <c r="AB133" s="117">
        <f t="shared" si="9"/>
        <v>16.286978774066188</v>
      </c>
      <c r="AC133" s="117">
        <f t="shared" si="10"/>
        <v>1.611414518178782E-4</v>
      </c>
    </row>
    <row r="134" spans="9:29" x14ac:dyDescent="0.25">
      <c r="I134" s="49"/>
      <c r="J134" s="50"/>
      <c r="K134" s="50"/>
      <c r="N134" s="18">
        <v>2.5832203345857919E-6</v>
      </c>
      <c r="O134" s="18">
        <v>5.9796776748577015E-11</v>
      </c>
      <c r="P134" s="18">
        <v>1.3545379187339551E-8</v>
      </c>
      <c r="Q134" s="28">
        <v>0.70909090909090911</v>
      </c>
      <c r="R134" s="61">
        <v>979.42189942473908</v>
      </c>
      <c r="S134" s="58">
        <v>1.6114145181787821E-6</v>
      </c>
      <c r="U134" s="85"/>
      <c r="V134" s="83"/>
      <c r="W134" s="85"/>
      <c r="X134" s="152"/>
      <c r="Y134" s="153"/>
      <c r="Z134" s="153"/>
      <c r="AA134" s="153"/>
      <c r="AB134" s="117">
        <f t="shared" si="9"/>
        <v>16.004810057526093</v>
      </c>
      <c r="AC134" s="117">
        <f t="shared" si="10"/>
        <v>1.611414518178782E-4</v>
      </c>
    </row>
    <row r="135" spans="9:29" x14ac:dyDescent="0.25">
      <c r="I135" s="49"/>
      <c r="J135" s="50"/>
      <c r="K135" s="50"/>
      <c r="N135" s="18">
        <v>2.694527418529598E-6</v>
      </c>
      <c r="O135" s="18">
        <v>5.3572461237007241E-11</v>
      </c>
      <c r="P135" s="18">
        <v>1.1101099846147384E-8</v>
      </c>
      <c r="Q135" s="28">
        <v>0.70909090909090911</v>
      </c>
      <c r="R135" s="61">
        <v>979.42189942473908</v>
      </c>
      <c r="S135" s="58">
        <v>1.6285877823251024E-6</v>
      </c>
      <c r="U135" s="85"/>
      <c r="V135" s="83"/>
      <c r="W135" s="85"/>
      <c r="X135" s="152"/>
      <c r="Y135" s="153"/>
      <c r="Z135" s="153"/>
      <c r="AA135" s="153"/>
      <c r="AB135" s="117">
        <f t="shared" si="9"/>
        <v>16.004810057526093</v>
      </c>
      <c r="AC135" s="117">
        <f t="shared" si="10"/>
        <v>1.6285877823251025E-4</v>
      </c>
    </row>
    <row r="136" spans="9:29" x14ac:dyDescent="0.25">
      <c r="I136" s="49"/>
      <c r="J136" s="50"/>
      <c r="K136" s="50"/>
      <c r="N136" s="18">
        <v>2.7933202536467665E-6</v>
      </c>
      <c r="O136" s="18">
        <v>4.8047946863945645E-11</v>
      </c>
      <c r="P136" s="18">
        <v>8.9316309157521939E-9</v>
      </c>
      <c r="Q136" s="28">
        <v>0.70909090909090911</v>
      </c>
      <c r="R136" s="61">
        <v>982.24358659014001</v>
      </c>
      <c r="S136" s="58">
        <v>1.6285877823251024E-6</v>
      </c>
      <c r="U136" s="85"/>
      <c r="V136" s="83"/>
      <c r="W136" s="85"/>
      <c r="X136" s="152"/>
      <c r="Y136" s="153"/>
      <c r="Z136" s="153"/>
      <c r="AA136" s="153"/>
      <c r="AB136" s="117">
        <f t="shared" si="9"/>
        <v>15.722641340986002</v>
      </c>
      <c r="AC136" s="117">
        <f t="shared" si="10"/>
        <v>1.6285877823251025E-4</v>
      </c>
    </row>
    <row r="137" spans="9:29" x14ac:dyDescent="0.25">
      <c r="I137" s="49"/>
      <c r="J137" s="50"/>
      <c r="K137" s="50"/>
      <c r="N137" s="18">
        <v>2.8789388657415074E-6</v>
      </c>
      <c r="O137" s="18">
        <v>4.3260133335529789E-11</v>
      </c>
      <c r="P137" s="18">
        <v>7.0514614831288553E-9</v>
      </c>
      <c r="Q137" s="28">
        <v>0.70909090909090911</v>
      </c>
      <c r="R137" s="61">
        <v>982.24358659014001</v>
      </c>
      <c r="S137" s="58">
        <v>1.6393331434442056E-6</v>
      </c>
      <c r="U137" s="85"/>
      <c r="V137" s="83"/>
      <c r="W137" s="85"/>
      <c r="X137" s="152"/>
      <c r="Y137" s="153"/>
      <c r="Z137" s="153"/>
      <c r="AA137" s="153"/>
      <c r="AB137" s="117">
        <f t="shared" si="9"/>
        <v>15.722641340986002</v>
      </c>
      <c r="AC137" s="117">
        <f t="shared" si="10"/>
        <v>1.6393331434442056E-4</v>
      </c>
    </row>
    <row r="138" spans="9:29" x14ac:dyDescent="0.25">
      <c r="I138" s="49"/>
      <c r="J138" s="50"/>
      <c r="K138" s="50"/>
      <c r="N138" s="18">
        <v>2.9513902024218788E-6</v>
      </c>
      <c r="O138" s="18">
        <v>3.9208600194288408E-11</v>
      </c>
      <c r="P138" s="18">
        <v>5.4604196425474504E-9</v>
      </c>
      <c r="Q138" s="28">
        <v>0.70909090909090911</v>
      </c>
      <c r="R138" s="61">
        <v>985.06527375554094</v>
      </c>
      <c r="S138" s="58">
        <v>1.6393331434442056E-6</v>
      </c>
      <c r="U138" s="85"/>
      <c r="V138" s="83"/>
      <c r="W138" s="85"/>
      <c r="X138" s="152"/>
      <c r="Y138" s="153"/>
      <c r="Z138" s="153"/>
      <c r="AA138" s="153"/>
      <c r="AB138" s="117">
        <f t="shared" si="9"/>
        <v>15.440472624445908</v>
      </c>
      <c r="AC138" s="117">
        <f t="shared" si="10"/>
        <v>1.6393331434442056E-4</v>
      </c>
    </row>
    <row r="139" spans="9:29" x14ac:dyDescent="0.25">
      <c r="I139" s="49"/>
      <c r="J139" s="50"/>
      <c r="K139" s="50"/>
      <c r="N139" s="18">
        <v>3.0112498961795437E-6</v>
      </c>
      <c r="O139" s="18">
        <v>3.5861016096167383E-11</v>
      </c>
      <c r="P139" s="18">
        <v>4.1457788178393611E-9</v>
      </c>
      <c r="Q139" s="28">
        <v>0.70909090909090911</v>
      </c>
      <c r="R139" s="61">
        <v>985.06527375554094</v>
      </c>
      <c r="S139" s="58">
        <v>1.6451475623414965E-6</v>
      </c>
      <c r="U139" s="85"/>
      <c r="V139" s="83"/>
      <c r="W139" s="85"/>
      <c r="X139" s="152"/>
      <c r="Y139" s="153"/>
      <c r="Z139" s="153"/>
      <c r="AA139" s="153"/>
      <c r="AB139" s="117">
        <f t="shared" si="9"/>
        <v>15.440472624445908</v>
      </c>
      <c r="AC139" s="117">
        <f t="shared" si="10"/>
        <v>1.6451475623414965E-4</v>
      </c>
    </row>
    <row r="140" spans="9:29" x14ac:dyDescent="0.25">
      <c r="I140" s="49"/>
      <c r="J140" s="50"/>
      <c r="K140" s="50"/>
      <c r="N140" s="18">
        <v>3.05952321670441E-6</v>
      </c>
      <c r="O140" s="18">
        <v>3.3160608444599673E-11</v>
      </c>
      <c r="P140" s="18">
        <v>3.0851260436712478E-9</v>
      </c>
      <c r="Q140" s="28">
        <v>0.70909090909090911</v>
      </c>
      <c r="R140" s="61">
        <v>987.88696092094187</v>
      </c>
      <c r="S140" s="58">
        <v>1.6451475623414965E-6</v>
      </c>
      <c r="U140" s="85"/>
      <c r="V140" s="83"/>
      <c r="W140" s="85"/>
      <c r="X140" s="152"/>
      <c r="Y140" s="153"/>
      <c r="Z140" s="153"/>
      <c r="AA140" s="153"/>
      <c r="AB140" s="117">
        <f t="shared" si="9"/>
        <v>15.158303907905815</v>
      </c>
      <c r="AC140" s="117">
        <f t="shared" si="10"/>
        <v>1.6451475623414965E-4</v>
      </c>
    </row>
    <row r="141" spans="9:29" x14ac:dyDescent="0.25">
      <c r="I141" s="49"/>
      <c r="J141" s="50"/>
      <c r="K141" s="50"/>
      <c r="N141" s="18">
        <v>3.0974726383744814E-6</v>
      </c>
      <c r="O141" s="18">
        <v>3.1034837103916764E-11</v>
      </c>
      <c r="P141" s="18">
        <v>2.2495622181573632E-9</v>
      </c>
      <c r="Q141" s="28">
        <v>0.70909090909090911</v>
      </c>
      <c r="R141" s="61">
        <v>987.88696092094187</v>
      </c>
      <c r="S141" s="58">
        <v>1.6470176677284539E-6</v>
      </c>
      <c r="U141" s="85"/>
      <c r="V141" s="83"/>
      <c r="W141" s="85"/>
      <c r="X141" s="152"/>
      <c r="Y141" s="153"/>
      <c r="Z141" s="153"/>
      <c r="AA141" s="153"/>
      <c r="AB141" s="117">
        <f t="shared" si="9"/>
        <v>15.158303907905815</v>
      </c>
      <c r="AC141" s="117">
        <f t="shared" si="10"/>
        <v>1.6470176677284539E-4</v>
      </c>
    </row>
    <row r="142" spans="9:29" x14ac:dyDescent="0.25">
      <c r="I142" s="49"/>
      <c r="J142" s="50"/>
      <c r="K142" s="50"/>
      <c r="N142" s="18">
        <v>3.1264020996727152E-6</v>
      </c>
      <c r="O142" s="18">
        <v>2.9404808903631869E-11</v>
      </c>
      <c r="P142" s="18">
        <v>1.6068359959647853E-9</v>
      </c>
      <c r="Q142" s="28">
        <v>0.70909090909090911</v>
      </c>
      <c r="R142" s="61">
        <v>990.70864808634281</v>
      </c>
      <c r="S142" s="58">
        <v>1.6470176677284539E-6</v>
      </c>
      <c r="U142" s="85"/>
      <c r="V142" s="83"/>
      <c r="W142" s="85"/>
      <c r="X142" s="152"/>
      <c r="Y142" s="153"/>
      <c r="Z142" s="153"/>
      <c r="AA142" s="153"/>
      <c r="AB142" s="117">
        <f t="shared" si="9"/>
        <v>14.876135191365723</v>
      </c>
      <c r="AC142" s="117">
        <f t="shared" si="10"/>
        <v>1.6470176677284539E-4</v>
      </c>
    </row>
    <row r="143" spans="9:29" x14ac:dyDescent="0.25">
      <c r="I143" s="49"/>
      <c r="J143" s="50"/>
      <c r="K143" s="50"/>
      <c r="N143" s="18">
        <v>3.147361264467086E-6</v>
      </c>
      <c r="O143" s="18">
        <v>2.8195634564943905E-11</v>
      </c>
      <c r="P143" s="18">
        <v>1.1240973014906494E-9</v>
      </c>
      <c r="Q143" s="28">
        <v>0.70909090909090911</v>
      </c>
      <c r="R143" s="61">
        <v>990.70864808634281</v>
      </c>
      <c r="S143" s="58">
        <v>1.6452861424389397E-6</v>
      </c>
      <c r="U143" s="85"/>
      <c r="V143" s="83"/>
      <c r="W143" s="85"/>
      <c r="X143" s="152"/>
      <c r="Y143" s="153"/>
      <c r="Z143" s="153"/>
      <c r="AA143" s="153"/>
      <c r="AB143" s="117">
        <f t="shared" si="9"/>
        <v>14.876135191365723</v>
      </c>
      <c r="AC143" s="117">
        <f t="shared" si="10"/>
        <v>1.6452861424389397E-4</v>
      </c>
    </row>
    <row r="144" spans="9:29" x14ac:dyDescent="0.25">
      <c r="I144" s="49"/>
      <c r="J144" s="50"/>
      <c r="K144" s="50"/>
      <c r="N144" s="18">
        <v>3.1607150787407878E-6</v>
      </c>
      <c r="O144" s="30">
        <v>2.7348470267830652E-11</v>
      </c>
      <c r="P144" s="18">
        <v>7.7006949978649719E-10</v>
      </c>
      <c r="Q144" s="28">
        <v>0.70909090909090911</v>
      </c>
      <c r="R144" s="61">
        <v>993.53033525174374</v>
      </c>
      <c r="S144" s="58">
        <v>1.6452861424389397E-6</v>
      </c>
      <c r="U144" s="85"/>
      <c r="V144" s="83"/>
      <c r="W144" s="85"/>
      <c r="X144" s="152"/>
      <c r="Y144" s="153"/>
      <c r="Z144" s="153"/>
      <c r="AA144" s="153"/>
      <c r="AB144" s="117">
        <f t="shared" si="9"/>
        <v>14.593966474825629</v>
      </c>
      <c r="AC144" s="117">
        <f t="shared" si="10"/>
        <v>1.6452861424389397E-4</v>
      </c>
    </row>
    <row r="145" spans="9:29" x14ac:dyDescent="0.25">
      <c r="I145" s="49"/>
      <c r="J145" s="50"/>
      <c r="K145" s="50"/>
      <c r="N145" s="18">
        <v>3.1655596672769194E-6</v>
      </c>
      <c r="O145" s="18">
        <v>2.6834477736630106E-11</v>
      </c>
      <c r="P145" s="18">
        <v>5.1655649279133452E-10</v>
      </c>
      <c r="Q145" s="28">
        <v>0.70909090909090911</v>
      </c>
      <c r="R145" s="61">
        <v>993.53033525174374</v>
      </c>
      <c r="S145" s="58">
        <v>1.6396098611416398E-6</v>
      </c>
      <c r="U145" s="85"/>
      <c r="V145" s="83"/>
      <c r="W145" s="85"/>
      <c r="X145" s="152"/>
      <c r="Y145" s="153"/>
      <c r="Z145" s="153"/>
      <c r="AA145" s="153"/>
      <c r="AB145" s="117">
        <f t="shared" si="9"/>
        <v>14.593966474825629</v>
      </c>
      <c r="AC145" s="117">
        <f t="shared" si="10"/>
        <v>1.6396098611416398E-4</v>
      </c>
    </row>
    <row r="146" spans="9:29" x14ac:dyDescent="0.25">
      <c r="I146" s="49"/>
      <c r="J146" s="50"/>
      <c r="K146" s="50"/>
      <c r="N146" s="18">
        <v>3.159111088550914E-6</v>
      </c>
      <c r="O146" s="18">
        <v>2.6668247534227376E-11</v>
      </c>
      <c r="P146" s="18">
        <v>3.3930236005210284E-10</v>
      </c>
      <c r="Q146" s="28">
        <v>0.70909090909090911</v>
      </c>
      <c r="R146" s="61">
        <v>996.35202241714467</v>
      </c>
      <c r="S146" s="58">
        <v>1.6396098611416398E-6</v>
      </c>
      <c r="U146" s="85"/>
      <c r="V146" s="83"/>
      <c r="W146" s="85"/>
      <c r="X146" s="152"/>
      <c r="Y146" s="153"/>
      <c r="Z146" s="153"/>
      <c r="AA146" s="153"/>
      <c r="AB146" s="117">
        <f t="shared" si="9"/>
        <v>14.311797758285536</v>
      </c>
      <c r="AC146" s="117">
        <f t="shared" si="10"/>
        <v>1.6396098611416398E-4</v>
      </c>
    </row>
    <row r="147" spans="9:29" x14ac:dyDescent="0.25">
      <c r="I147" s="49"/>
      <c r="J147" s="50"/>
      <c r="K147" s="50"/>
      <c r="N147" s="18">
        <v>3.1364448921633295E-6</v>
      </c>
      <c r="O147" s="18">
        <v>2.6913413695769537E-11</v>
      </c>
      <c r="P147" s="18">
        <v>2.1829418999481493E-10</v>
      </c>
      <c r="Q147" s="28">
        <v>0.70909090909090911</v>
      </c>
      <c r="R147" s="61">
        <v>996.35202241714467</v>
      </c>
      <c r="S147" s="58">
        <v>1.6290014617673472E-6</v>
      </c>
      <c r="U147" s="85"/>
      <c r="V147" s="83"/>
      <c r="W147" s="85"/>
      <c r="X147" s="152"/>
      <c r="Y147" s="153"/>
      <c r="Z147" s="153"/>
      <c r="AA147" s="153"/>
      <c r="AB147" s="117">
        <f t="shared" si="9"/>
        <v>14.311797758285536</v>
      </c>
      <c r="AC147" s="117">
        <f t="shared" si="10"/>
        <v>1.6290014617673473E-4</v>
      </c>
    </row>
    <row r="148" spans="9:29" x14ac:dyDescent="0.25">
      <c r="I148" s="49"/>
      <c r="J148" s="50"/>
      <c r="K148" s="50"/>
      <c r="N148" s="18">
        <v>3.0911615963209122E-6</v>
      </c>
      <c r="O148" s="18">
        <v>2.7669382976563895E-11</v>
      </c>
      <c r="P148" s="18">
        <v>1.3763930185948892E-10</v>
      </c>
      <c r="Q148" s="28">
        <v>0.70909090909090911</v>
      </c>
      <c r="R148" s="61">
        <v>999.1737095825456</v>
      </c>
      <c r="S148" s="58">
        <v>1.6290014617673472E-6</v>
      </c>
      <c r="U148" s="85"/>
      <c r="V148" s="83"/>
      <c r="W148" s="85"/>
      <c r="X148" s="152"/>
      <c r="Y148" s="153"/>
      <c r="Z148" s="153"/>
      <c r="AA148" s="153"/>
      <c r="AB148" s="117">
        <f t="shared" si="9"/>
        <v>14.029629041745443</v>
      </c>
      <c r="AC148" s="117">
        <f t="shared" si="10"/>
        <v>1.6290014617673473E-4</v>
      </c>
    </row>
    <row r="149" spans="9:29" x14ac:dyDescent="0.25">
      <c r="I149" s="49"/>
      <c r="J149" s="50"/>
      <c r="K149" s="50"/>
      <c r="N149" s="18">
        <v>3.0173897981178038E-6</v>
      </c>
      <c r="O149" s="18">
        <v>2.9031328776212829E-11</v>
      </c>
      <c r="P149" s="18">
        <v>8.5158971103050781E-11</v>
      </c>
      <c r="Q149" s="28">
        <v>0.70909090909090911</v>
      </c>
      <c r="R149" s="61">
        <v>999.1737095825456</v>
      </c>
      <c r="S149" s="58">
        <v>1.6119627134496105E-6</v>
      </c>
      <c r="U149" s="85"/>
      <c r="V149" s="83"/>
      <c r="W149" s="85"/>
      <c r="X149" s="152"/>
      <c r="Y149" s="153"/>
      <c r="Z149" s="153"/>
      <c r="AA149" s="153"/>
      <c r="AB149" s="117">
        <f t="shared" si="9"/>
        <v>14.029629041745443</v>
      </c>
      <c r="AC149" s="117">
        <f t="shared" si="10"/>
        <v>1.6119627134496105E-4</v>
      </c>
    </row>
    <row r="150" spans="9:29" x14ac:dyDescent="0.25">
      <c r="I150" s="49"/>
      <c r="J150" s="50"/>
      <c r="K150" s="50"/>
      <c r="N150" s="18">
        <v>2.9128157650509755E-6</v>
      </c>
      <c r="O150" s="18">
        <v>3.1029775609804935E-11</v>
      </c>
      <c r="P150" s="18">
        <v>5.1829284881347815E-11</v>
      </c>
      <c r="Q150" s="28">
        <v>0.70909090909090911</v>
      </c>
      <c r="R150" s="61">
        <v>1001.9953967479465</v>
      </c>
      <c r="S150" s="58">
        <v>1.6119627134496105E-6</v>
      </c>
      <c r="U150" s="85"/>
      <c r="V150" s="83"/>
      <c r="W150" s="85"/>
      <c r="X150" s="152"/>
      <c r="Y150" s="153"/>
      <c r="Z150" s="153"/>
      <c r="AA150" s="153"/>
      <c r="AB150" s="117">
        <f t="shared" si="9"/>
        <v>13.747460325205349</v>
      </c>
      <c r="AC150" s="117">
        <f t="shared" si="10"/>
        <v>1.6119627134496105E-4</v>
      </c>
    </row>
    <row r="151" spans="9:29" x14ac:dyDescent="0.25">
      <c r="I151" s="49"/>
      <c r="J151" s="50"/>
      <c r="K151" s="50"/>
      <c r="N151" s="18">
        <v>2.7814302861147642E-6</v>
      </c>
      <c r="O151" s="18">
        <v>3.3575657483561691E-11</v>
      </c>
      <c r="P151" s="18">
        <v>3.1174650383679316E-11</v>
      </c>
      <c r="Q151" s="28">
        <v>0.70909090909090911</v>
      </c>
      <c r="R151" s="61">
        <v>1001.9953967479465</v>
      </c>
      <c r="S151" s="58">
        <v>1.5867263173724207E-6</v>
      </c>
      <c r="U151" s="85"/>
      <c r="V151" s="83"/>
      <c r="W151" s="85"/>
      <c r="X151" s="152"/>
      <c r="Y151" s="153"/>
      <c r="Z151" s="153"/>
      <c r="AA151" s="153"/>
      <c r="AB151" s="117">
        <f t="shared" si="9"/>
        <v>13.747460325205349</v>
      </c>
      <c r="AC151" s="117">
        <f t="shared" si="10"/>
        <v>1.5867263173724208E-4</v>
      </c>
    </row>
    <row r="152" spans="9:29" x14ac:dyDescent="0.25">
      <c r="I152" s="49"/>
      <c r="J152" s="50"/>
      <c r="K152" s="50"/>
      <c r="N152" s="18">
        <v>2.6716898235778465E-6</v>
      </c>
      <c r="O152" s="18">
        <v>3.5714194925809405E-11</v>
      </c>
      <c r="P152" s="18">
        <v>2.1231651488015172E-11</v>
      </c>
      <c r="Q152" s="28">
        <v>0.35454545454545455</v>
      </c>
      <c r="R152" s="61">
        <v>1004.8170839133475</v>
      </c>
      <c r="S152" s="58">
        <v>1.5867263173724207E-6</v>
      </c>
      <c r="U152" s="85"/>
      <c r="V152" s="83"/>
      <c r="W152" s="85"/>
      <c r="X152" s="152"/>
      <c r="Y152" s="153"/>
      <c r="Z152" s="153"/>
      <c r="AA152" s="153"/>
      <c r="AB152" s="117">
        <f t="shared" si="9"/>
        <v>13.465291608665257</v>
      </c>
      <c r="AC152" s="117">
        <f t="shared" si="10"/>
        <v>1.5867263173724208E-4</v>
      </c>
    </row>
    <row r="153" spans="9:29" x14ac:dyDescent="0.25">
      <c r="I153" s="49"/>
      <c r="J153" s="50"/>
      <c r="K153" s="50"/>
      <c r="N153" s="18">
        <v>2.6060210967765958E-6</v>
      </c>
      <c r="O153" s="18">
        <v>3.6971975052582559E-11</v>
      </c>
      <c r="P153" s="18">
        <v>1.7553793297449081E-12</v>
      </c>
      <c r="Q153" s="28">
        <v>0.27433079872934468</v>
      </c>
      <c r="R153" s="61">
        <v>1004.8170839133475</v>
      </c>
      <c r="S153" s="58">
        <v>1.5516098111714223E-6</v>
      </c>
      <c r="U153" s="85"/>
      <c r="V153" s="83"/>
      <c r="W153" s="85"/>
      <c r="X153" s="152"/>
      <c r="Y153" s="153"/>
      <c r="Z153" s="153"/>
      <c r="AA153" s="153"/>
      <c r="AB153" s="117">
        <f t="shared" si="9"/>
        <v>13.465291608665257</v>
      </c>
      <c r="AC153" s="117">
        <f t="shared" si="10"/>
        <v>1.5516098111714223E-4</v>
      </c>
    </row>
    <row r="154" spans="9:29" x14ac:dyDescent="0.25">
      <c r="I154" s="49"/>
      <c r="J154" s="50"/>
      <c r="K154" s="50"/>
      <c r="N154" s="18">
        <v>2.5480645534610615E-6</v>
      </c>
      <c r="O154" s="18">
        <v>3.8110103002198277E-11</v>
      </c>
      <c r="P154" s="18">
        <v>1.781579905791945E-12</v>
      </c>
      <c r="Q154" s="28">
        <v>0.27901782563242211</v>
      </c>
      <c r="R154" s="61">
        <v>1007.6387710787484</v>
      </c>
      <c r="S154" s="58">
        <v>1.5516098111714223E-6</v>
      </c>
      <c r="U154" s="85"/>
      <c r="V154" s="83"/>
      <c r="W154" s="85"/>
      <c r="X154" s="152"/>
      <c r="Y154" s="153"/>
      <c r="Z154" s="153"/>
      <c r="AA154" s="153"/>
      <c r="AB154" s="117">
        <f t="shared" si="9"/>
        <v>13.183122892125164</v>
      </c>
      <c r="AC154" s="117">
        <f t="shared" si="10"/>
        <v>1.5516098111714223E-4</v>
      </c>
    </row>
    <row r="155" spans="9:29" x14ac:dyDescent="0.25">
      <c r="I155" s="49"/>
      <c r="J155" s="50"/>
      <c r="K155" s="50"/>
      <c r="N155" s="18">
        <v>2.4901193458592496E-6</v>
      </c>
      <c r="O155" s="18">
        <v>3.9248008345497645E-11</v>
      </c>
      <c r="P155" s="18">
        <v>1.8077753572712897E-12</v>
      </c>
      <c r="Q155" s="28">
        <v>0.28889548286974742</v>
      </c>
      <c r="R155" s="61">
        <v>1007.6387710787484</v>
      </c>
      <c r="S155" s="58">
        <v>1.5054490790612082E-6</v>
      </c>
      <c r="U155" s="85"/>
      <c r="V155" s="83"/>
      <c r="W155" s="85"/>
      <c r="X155" s="152"/>
      <c r="Y155" s="153"/>
      <c r="Z155" s="153"/>
      <c r="AA155" s="153"/>
      <c r="AB155" s="117">
        <f t="shared" si="9"/>
        <v>13.183122892125164</v>
      </c>
      <c r="AC155" s="117">
        <f t="shared" si="10"/>
        <v>1.5054490790612082E-4</v>
      </c>
    </row>
    <row r="156" spans="9:29" x14ac:dyDescent="0.25">
      <c r="I156" s="49"/>
      <c r="J156" s="50"/>
      <c r="K156" s="50"/>
      <c r="N156" s="18">
        <v>2.4322232629614909E-6</v>
      </c>
      <c r="O156" s="18">
        <v>4.0384948997055555E-11</v>
      </c>
      <c r="P156" s="18">
        <v>1.8339486008087749E-12</v>
      </c>
      <c r="Q156" s="28">
        <v>0.30511585966628851</v>
      </c>
      <c r="R156" s="61">
        <v>1010.4604582441493</v>
      </c>
      <c r="S156" s="58">
        <v>1.5054490790612082E-6</v>
      </c>
      <c r="U156" s="85"/>
      <c r="V156" s="83"/>
      <c r="W156" s="85"/>
      <c r="X156" s="152"/>
      <c r="Y156" s="153"/>
      <c r="Z156" s="153"/>
      <c r="AA156" s="153"/>
      <c r="AB156" s="117">
        <f t="shared" si="9"/>
        <v>12.900954175585071</v>
      </c>
      <c r="AC156" s="117">
        <f t="shared" si="10"/>
        <v>1.5054490790612082E-4</v>
      </c>
    </row>
    <row r="157" spans="9:29" x14ac:dyDescent="0.25">
      <c r="I157" s="49"/>
      <c r="J157" s="50"/>
      <c r="K157" s="50"/>
      <c r="N157" s="18">
        <v>2.3744689964723878E-6</v>
      </c>
      <c r="O157" s="18">
        <v>4.1519104713398716E-11</v>
      </c>
      <c r="P157" s="18">
        <v>1.8600577330071923E-12</v>
      </c>
      <c r="Q157" s="28">
        <v>0.32985484968757195</v>
      </c>
      <c r="R157" s="61">
        <v>1010.4604582441493</v>
      </c>
      <c r="S157" s="58">
        <v>1.4480316782297961E-6</v>
      </c>
      <c r="U157" s="85"/>
      <c r="V157" s="83"/>
      <c r="W157" s="85"/>
      <c r="X157" s="152"/>
      <c r="Y157" s="153"/>
      <c r="Z157" s="153"/>
      <c r="AA157" s="153"/>
      <c r="AB157" s="117">
        <f t="shared" si="9"/>
        <v>12.900954175585071</v>
      </c>
      <c r="AC157" s="117">
        <f t="shared" si="10"/>
        <v>1.4480316782297962E-4</v>
      </c>
    </row>
    <row r="158" spans="9:29" x14ac:dyDescent="0.25">
      <c r="I158" s="49"/>
      <c r="J158" s="50"/>
      <c r="K158" s="50"/>
      <c r="N158" s="18">
        <v>2.3170492376261371E-6</v>
      </c>
      <c r="O158" s="18">
        <v>4.2646691499369025E-11</v>
      </c>
      <c r="P158" s="18">
        <v>1.8860156434033162E-12</v>
      </c>
      <c r="Q158" s="28">
        <v>0.36718140925644527</v>
      </c>
      <c r="R158" s="61">
        <v>1013.2821454095503</v>
      </c>
      <c r="S158" s="58">
        <v>1.4480316782297961E-6</v>
      </c>
      <c r="U158" s="85"/>
      <c r="V158" s="83"/>
      <c r="W158" s="85"/>
      <c r="X158" s="152"/>
      <c r="Y158" s="153"/>
      <c r="Z158" s="153"/>
      <c r="AA158" s="153"/>
      <c r="AB158" s="117">
        <f t="shared" si="9"/>
        <v>12.618785459044977</v>
      </c>
      <c r="AC158" s="117">
        <f t="shared" si="10"/>
        <v>1.4480316782297962E-4</v>
      </c>
    </row>
    <row r="159" spans="9:29" x14ac:dyDescent="0.25">
      <c r="I159" s="49"/>
      <c r="J159" s="50"/>
      <c r="K159" s="50"/>
      <c r="N159" s="18">
        <v>2.260340000055443E-6</v>
      </c>
      <c r="O159" s="18">
        <v>4.3760325346184482E-11</v>
      </c>
      <c r="P159" s="18">
        <v>1.9116523464663543E-12</v>
      </c>
      <c r="Q159" s="28">
        <v>0.42522182801861985</v>
      </c>
      <c r="R159" s="61">
        <v>1013.2821454095503</v>
      </c>
      <c r="S159" s="58">
        <v>1.3804147669519883E-6</v>
      </c>
      <c r="U159" s="85"/>
      <c r="V159" s="83"/>
      <c r="W159" s="85"/>
      <c r="X159" s="152"/>
      <c r="Y159" s="153"/>
      <c r="Z159" s="153"/>
      <c r="AA159" s="153"/>
      <c r="AB159" s="117">
        <f t="shared" si="9"/>
        <v>12.618785459044977</v>
      </c>
      <c r="AC159" s="117">
        <f t="shared" si="10"/>
        <v>1.3804147669519882E-4</v>
      </c>
    </row>
    <row r="160" spans="9:29" x14ac:dyDescent="0.25">
      <c r="I160" s="49"/>
      <c r="J160" s="50"/>
      <c r="K160" s="50"/>
      <c r="L160" s="70"/>
      <c r="M160" s="32"/>
      <c r="N160" s="18">
        <v>2.2050692598636893E-6</v>
      </c>
      <c r="O160" s="18">
        <v>4.4845710543602274E-11</v>
      </c>
      <c r="P160" s="18">
        <v>1.9366387440105623E-12</v>
      </c>
      <c r="Q160" s="28">
        <v>0.52252270986663085</v>
      </c>
      <c r="R160" s="61">
        <v>1016.1038325749512</v>
      </c>
      <c r="S160" s="58">
        <v>1.3804147669519883E-6</v>
      </c>
      <c r="U160" s="85"/>
      <c r="V160" s="83"/>
      <c r="W160" s="85"/>
      <c r="X160" s="152"/>
      <c r="Y160" s="153"/>
      <c r="Z160" s="153"/>
      <c r="AA160" s="153"/>
      <c r="AB160" s="117">
        <f t="shared" si="9"/>
        <v>12.336616742504884</v>
      </c>
      <c r="AC160" s="117">
        <f t="shared" si="10"/>
        <v>1.3804147669519882E-4</v>
      </c>
    </row>
    <row r="161" spans="1:34" x14ac:dyDescent="0.25">
      <c r="I161" s="49"/>
      <c r="J161" s="50"/>
      <c r="K161" s="50"/>
      <c r="L161" s="70"/>
      <c r="M161" s="32"/>
      <c r="N161" s="18">
        <v>2.1526973164368536E-6</v>
      </c>
      <c r="O161" s="18">
        <v>4.5874170302930228E-11</v>
      </c>
      <c r="P161" s="18">
        <v>1.9603146744230327E-12</v>
      </c>
      <c r="Q161" s="28">
        <v>0.71317718802348939</v>
      </c>
      <c r="R161" s="61">
        <v>1016.1038325749512</v>
      </c>
      <c r="S161" s="58">
        <v>1.3050126981088851E-6</v>
      </c>
      <c r="U161" s="85"/>
      <c r="V161" s="83"/>
      <c r="W161" s="85"/>
      <c r="X161" s="152"/>
      <c r="Y161" s="153"/>
      <c r="Z161" s="153"/>
      <c r="AA161" s="153"/>
      <c r="AB161" s="117">
        <f t="shared" si="9"/>
        <v>12.336616742504884</v>
      </c>
      <c r="AC161" s="117">
        <f t="shared" si="10"/>
        <v>1.3050126981088852E-4</v>
      </c>
    </row>
    <row r="162" spans="1:34" x14ac:dyDescent="0.25">
      <c r="I162" s="49"/>
      <c r="J162" s="50"/>
      <c r="K162" s="50"/>
      <c r="L162" s="70"/>
      <c r="M162" s="32"/>
      <c r="N162" s="18">
        <v>2.1064140446251916E-6</v>
      </c>
      <c r="O162" s="18">
        <v>4.6783063108384949E-11</v>
      </c>
      <c r="P162" s="18">
        <v>1.9812380820908275E-12</v>
      </c>
      <c r="Q162" s="28">
        <v>1.281588875373888</v>
      </c>
      <c r="R162" s="61">
        <v>1018.9255197403521</v>
      </c>
      <c r="S162" s="58">
        <v>1.3050126981088851E-6</v>
      </c>
      <c r="U162" s="85"/>
      <c r="V162" s="83"/>
      <c r="W162" s="85"/>
      <c r="X162" s="152"/>
      <c r="Y162" s="153"/>
      <c r="Z162" s="153"/>
      <c r="AA162" s="153"/>
      <c r="AB162" s="117">
        <f t="shared" si="9"/>
        <v>12.054448025964792</v>
      </c>
      <c r="AC162" s="117">
        <f t="shared" si="10"/>
        <v>1.3050126981088852E-4</v>
      </c>
    </row>
    <row r="163" spans="1:34" x14ac:dyDescent="0.25">
      <c r="I163" s="49"/>
      <c r="J163" s="50"/>
      <c r="K163" s="50"/>
      <c r="L163" s="70"/>
      <c r="M163" s="32"/>
      <c r="N163" s="18">
        <v>2.0744206344668262E-6</v>
      </c>
      <c r="O163" s="18">
        <v>4.7411337194824393E-11</v>
      </c>
      <c r="P163" s="18">
        <v>1.995701432178748E-12</v>
      </c>
      <c r="Q163" s="28">
        <v>1.7210815880741237</v>
      </c>
      <c r="R163" s="61">
        <v>1018.9255197403521</v>
      </c>
      <c r="S163" s="58">
        <v>1.2454638089312951E-6</v>
      </c>
      <c r="U163" s="85"/>
      <c r="V163" s="83"/>
      <c r="W163" s="85"/>
      <c r="X163" s="152"/>
      <c r="Y163" s="153"/>
      <c r="Z163" s="153"/>
      <c r="AA163" s="153"/>
      <c r="AB163" s="117">
        <f t="shared" si="9"/>
        <v>12.054448025964792</v>
      </c>
      <c r="AC163" s="117">
        <f t="shared" si="10"/>
        <v>1.2454638089312952E-4</v>
      </c>
    </row>
    <row r="164" spans="1:34" x14ac:dyDescent="0.25">
      <c r="I164" s="49"/>
      <c r="J164" s="50"/>
      <c r="K164" s="50"/>
      <c r="L164" s="70"/>
      <c r="M164" s="32"/>
      <c r="N164" s="18">
        <v>2.0700000000000001E-6</v>
      </c>
      <c r="O164" s="18">
        <v>4.7498147887006942E-11</v>
      </c>
      <c r="P164" s="18">
        <v>1.9976998807213682E-12</v>
      </c>
      <c r="Q164" s="28">
        <v>100</v>
      </c>
      <c r="R164" s="61">
        <v>1020.3363633230525</v>
      </c>
      <c r="S164" s="58">
        <v>1.2454638089312951E-6</v>
      </c>
      <c r="U164" s="85"/>
      <c r="V164" s="83"/>
      <c r="W164" s="85"/>
      <c r="X164" s="152"/>
      <c r="Y164" s="153"/>
      <c r="Z164" s="153"/>
      <c r="AA164" s="153"/>
      <c r="AB164" s="117">
        <f t="shared" si="9"/>
        <v>11.91336366769475</v>
      </c>
      <c r="AC164" s="117">
        <f t="shared" si="10"/>
        <v>1.2454638089312952E-4</v>
      </c>
    </row>
    <row r="165" spans="1:34" x14ac:dyDescent="0.25">
      <c r="I165" s="49"/>
      <c r="J165" s="50"/>
      <c r="K165" s="50"/>
      <c r="L165" s="70"/>
      <c r="M165" s="32"/>
      <c r="R165" s="61">
        <v>1020.3363633230525</v>
      </c>
      <c r="S165" s="58">
        <v>1.2032927946059202E-6</v>
      </c>
      <c r="U165" s="85"/>
      <c r="V165" s="83"/>
      <c r="W165" s="85"/>
      <c r="X165" s="152"/>
      <c r="Y165" s="153"/>
      <c r="Z165" s="153"/>
      <c r="AA165" s="153"/>
      <c r="AB165" s="117">
        <f t="shared" si="9"/>
        <v>11.91336366769475</v>
      </c>
      <c r="AC165" s="117">
        <f t="shared" si="10"/>
        <v>1.2032927946059203E-4</v>
      </c>
    </row>
    <row r="166" spans="1:34" x14ac:dyDescent="0.25">
      <c r="I166" s="49"/>
      <c r="J166" s="50"/>
      <c r="K166" s="50"/>
      <c r="L166" s="70"/>
      <c r="M166" s="32"/>
      <c r="R166" s="61">
        <v>1021.8955698814663</v>
      </c>
      <c r="S166" s="58">
        <v>1.2032927946059202E-6</v>
      </c>
      <c r="U166" s="85"/>
      <c r="V166" s="83"/>
      <c r="W166" s="85"/>
      <c r="X166" s="152"/>
      <c r="Y166" s="153"/>
      <c r="Z166" s="153"/>
      <c r="AA166" s="153"/>
      <c r="AB166" s="117">
        <f t="shared" si="9"/>
        <v>11.757443011853377</v>
      </c>
      <c r="AC166" s="117">
        <f t="shared" si="10"/>
        <v>1.2032927946059203E-4</v>
      </c>
    </row>
    <row r="167" spans="1:34" x14ac:dyDescent="0.25">
      <c r="I167" s="49"/>
      <c r="J167" s="50"/>
      <c r="K167" s="50"/>
      <c r="L167" s="70"/>
      <c r="M167" s="32"/>
      <c r="R167" s="61">
        <v>1021.8955698814663</v>
      </c>
      <c r="S167" s="58">
        <v>1.15910501104361E-6</v>
      </c>
      <c r="U167" s="85"/>
      <c r="V167" s="83"/>
      <c r="W167" s="85"/>
      <c r="X167" s="152"/>
      <c r="Y167" s="153"/>
      <c r="Z167" s="153"/>
      <c r="AA167" s="153"/>
      <c r="AB167" s="117">
        <f t="shared" si="9"/>
        <v>11.757443011853377</v>
      </c>
      <c r="AC167" s="117">
        <f t="shared" si="10"/>
        <v>1.15910501104361E-4</v>
      </c>
    </row>
    <row r="168" spans="1:34" x14ac:dyDescent="0.25">
      <c r="I168" s="49"/>
      <c r="J168" s="50"/>
      <c r="K168" s="50"/>
      <c r="L168" s="70"/>
      <c r="M168" s="32"/>
      <c r="R168" s="61">
        <v>1023.481415968218</v>
      </c>
      <c r="S168" s="58">
        <v>1.15910501104361E-6</v>
      </c>
      <c r="U168" s="85"/>
      <c r="V168" s="83"/>
      <c r="W168" s="85"/>
      <c r="X168" s="152"/>
      <c r="Y168" s="153"/>
      <c r="Z168" s="153"/>
      <c r="AA168" s="153"/>
      <c r="AB168" s="117">
        <f t="shared" si="9"/>
        <v>11.598858403178202</v>
      </c>
      <c r="AC168" s="117">
        <f t="shared" si="10"/>
        <v>1.15910501104361E-4</v>
      </c>
    </row>
    <row r="169" spans="1:34" x14ac:dyDescent="0.25">
      <c r="I169" s="49"/>
      <c r="J169" s="50"/>
      <c r="K169" s="50"/>
      <c r="L169" s="70"/>
      <c r="M169" s="32"/>
      <c r="R169" s="61">
        <v>1023.481415968218</v>
      </c>
      <c r="S169" s="58">
        <v>1.114924759298749E-6</v>
      </c>
      <c r="U169" s="85"/>
      <c r="V169" s="83"/>
      <c r="W169" s="85"/>
      <c r="X169" s="152"/>
      <c r="Y169" s="153"/>
      <c r="Z169" s="153"/>
      <c r="AA169" s="153"/>
      <c r="AB169" s="117">
        <f t="shared" si="9"/>
        <v>11.598858403178202</v>
      </c>
      <c r="AC169" s="117">
        <f t="shared" si="10"/>
        <v>1.1149247592987489E-4</v>
      </c>
    </row>
    <row r="170" spans="1:34" x14ac:dyDescent="0.25">
      <c r="H170" s="41"/>
      <c r="I170" s="49"/>
      <c r="J170" s="50"/>
      <c r="K170" s="50"/>
      <c r="L170" s="70"/>
      <c r="M170" s="32"/>
      <c r="R170" s="61">
        <v>1025.1234034288786</v>
      </c>
      <c r="S170" s="58">
        <v>1.114924759298749E-6</v>
      </c>
      <c r="U170" s="85"/>
      <c r="V170" s="83"/>
      <c r="W170" s="85"/>
      <c r="X170" s="152"/>
      <c r="Y170" s="153"/>
      <c r="Z170" s="153"/>
      <c r="AA170" s="153"/>
      <c r="AB170" s="117">
        <f t="shared" si="9"/>
        <v>11.434659657112139</v>
      </c>
      <c r="AC170" s="117">
        <f t="shared" si="10"/>
        <v>1.1149247592987489E-4</v>
      </c>
    </row>
    <row r="171" spans="1:34" x14ac:dyDescent="0.25">
      <c r="I171" s="49"/>
      <c r="J171" s="50"/>
      <c r="K171" s="50"/>
      <c r="L171" s="70"/>
      <c r="M171" s="32"/>
      <c r="R171" s="61">
        <v>1025.1234034288786</v>
      </c>
      <c r="S171" s="58">
        <v>1.0707810786627729E-6</v>
      </c>
      <c r="U171" s="85"/>
      <c r="V171" s="83"/>
      <c r="W171" s="85"/>
      <c r="X171" s="152"/>
      <c r="Y171" s="153"/>
      <c r="Z171" s="153"/>
      <c r="AA171" s="153"/>
      <c r="AB171" s="117">
        <f t="shared" si="9"/>
        <v>11.434659657112139</v>
      </c>
      <c r="AC171" s="117">
        <f t="shared" si="10"/>
        <v>1.0707810786627729E-4</v>
      </c>
    </row>
    <row r="172" spans="1:34" s="17" customFormat="1" x14ac:dyDescent="0.25">
      <c r="A172" s="65"/>
      <c r="B172" s="21"/>
      <c r="C172" s="21"/>
      <c r="D172" s="19"/>
      <c r="E172" s="19"/>
      <c r="F172" s="39"/>
      <c r="G172" s="39"/>
      <c r="H172" s="40"/>
      <c r="I172" s="49"/>
      <c r="J172" s="50"/>
      <c r="K172" s="50"/>
      <c r="L172" s="70"/>
      <c r="M172" s="32"/>
      <c r="N172" s="18"/>
      <c r="O172" s="18"/>
      <c r="P172" s="30"/>
      <c r="Q172" s="66"/>
      <c r="R172" s="63">
        <v>1026.8575822074602</v>
      </c>
      <c r="S172" s="62">
        <v>1.0707810786627729E-6</v>
      </c>
      <c r="T172" s="85"/>
      <c r="U172" s="85"/>
      <c r="V172" s="83"/>
      <c r="W172" s="85"/>
      <c r="X172" s="152"/>
      <c r="Y172" s="153"/>
      <c r="Z172" s="153"/>
      <c r="AA172" s="153"/>
      <c r="AB172" s="117">
        <f t="shared" si="9"/>
        <v>11.261241779253988</v>
      </c>
      <c r="AC172" s="117">
        <f t="shared" si="10"/>
        <v>1.0707810786627729E-4</v>
      </c>
      <c r="AD172" s="88"/>
      <c r="AE172" s="88"/>
      <c r="AF172" s="84"/>
      <c r="AG172" s="85"/>
      <c r="AH172" s="84"/>
    </row>
    <row r="173" spans="1:34" x14ac:dyDescent="0.25">
      <c r="I173" s="49"/>
      <c r="J173" s="50"/>
      <c r="K173" s="50"/>
      <c r="L173" s="70"/>
      <c r="M173" s="32"/>
      <c r="R173" s="61">
        <v>1026.8575822074602</v>
      </c>
      <c r="S173" s="58">
        <v>1.0267448731064137E-6</v>
      </c>
      <c r="U173" s="85"/>
      <c r="V173" s="83"/>
      <c r="W173" s="85"/>
      <c r="X173" s="152"/>
      <c r="Y173" s="153"/>
      <c r="Z173" s="153"/>
      <c r="AA173" s="153"/>
      <c r="AB173" s="117">
        <f t="shared" si="9"/>
        <v>11.261241779253988</v>
      </c>
      <c r="AC173" s="117">
        <f t="shared" si="10"/>
        <v>1.0267448731064137E-4</v>
      </c>
    </row>
    <row r="174" spans="1:34" x14ac:dyDescent="0.25">
      <c r="I174" s="49"/>
      <c r="J174" s="50"/>
      <c r="K174" s="50"/>
      <c r="L174" s="70"/>
      <c r="M174" s="32"/>
      <c r="R174" s="61">
        <v>1028.7323693160884</v>
      </c>
      <c r="S174" s="58">
        <v>1.0267448731064137E-6</v>
      </c>
      <c r="U174" s="85"/>
      <c r="V174" s="83"/>
      <c r="W174" s="85"/>
      <c r="X174" s="152"/>
      <c r="Y174" s="153"/>
      <c r="Z174" s="153"/>
      <c r="AA174" s="153"/>
      <c r="AB174" s="117">
        <f t="shared" si="9"/>
        <v>11.073763068391168</v>
      </c>
      <c r="AC174" s="117">
        <f t="shared" si="10"/>
        <v>1.0267448731064137E-4</v>
      </c>
    </row>
    <row r="175" spans="1:34" x14ac:dyDescent="0.25">
      <c r="I175" s="49"/>
      <c r="J175" s="50"/>
      <c r="K175" s="50"/>
      <c r="L175" s="70"/>
      <c r="M175" s="32"/>
      <c r="R175" s="61">
        <v>1028.7323693160884</v>
      </c>
      <c r="S175" s="58">
        <v>9.8296333572423142E-7</v>
      </c>
      <c r="U175" s="85"/>
      <c r="V175" s="83"/>
      <c r="W175" s="85"/>
      <c r="X175" s="152"/>
      <c r="Y175" s="153"/>
      <c r="Z175" s="153"/>
      <c r="AA175" s="153"/>
      <c r="AB175" s="117">
        <f t="shared" si="9"/>
        <v>11.073763068391168</v>
      </c>
      <c r="AC175" s="117">
        <f t="shared" si="10"/>
        <v>9.8296333572423137E-5</v>
      </c>
    </row>
    <row r="176" spans="1:34" x14ac:dyDescent="0.25">
      <c r="I176" s="49"/>
      <c r="J176" s="50"/>
      <c r="K176" s="50"/>
      <c r="L176" s="70"/>
      <c r="M176" s="32"/>
      <c r="R176" s="61">
        <v>1030.8193083841479</v>
      </c>
      <c r="S176" s="58">
        <v>9.8296333572423142E-7</v>
      </c>
      <c r="U176" s="85"/>
      <c r="V176" s="83"/>
      <c r="W176" s="85"/>
      <c r="X176" s="152"/>
      <c r="Y176" s="153"/>
      <c r="Z176" s="153"/>
      <c r="AA176" s="153"/>
      <c r="AB176" s="117">
        <f t="shared" si="9"/>
        <v>10.865069161585211</v>
      </c>
      <c r="AC176" s="117">
        <f t="shared" si="10"/>
        <v>9.8296333572423137E-5</v>
      </c>
    </row>
    <row r="177" spans="9:34" x14ac:dyDescent="0.25">
      <c r="I177" s="49"/>
      <c r="J177" s="50"/>
      <c r="K177" s="50"/>
      <c r="M177" s="33"/>
      <c r="R177" s="61">
        <v>1030.8193083841479</v>
      </c>
      <c r="S177" s="58">
        <v>9.3972354910566509E-7</v>
      </c>
      <c r="U177" s="85"/>
      <c r="V177" s="83"/>
      <c r="W177" s="85"/>
      <c r="X177" s="152"/>
      <c r="Y177" s="153"/>
      <c r="Z177" s="153"/>
      <c r="AA177" s="153"/>
      <c r="AB177" s="117">
        <f t="shared" si="9"/>
        <v>10.865069161585211</v>
      </c>
      <c r="AC177" s="117">
        <f t="shared" si="10"/>
        <v>9.3972354910566513E-5</v>
      </c>
    </row>
    <row r="178" spans="9:34" x14ac:dyDescent="0.25">
      <c r="I178" s="49"/>
      <c r="J178" s="50"/>
      <c r="K178" s="50"/>
      <c r="M178" s="33"/>
      <c r="R178" s="61">
        <v>1033.2361302142094</v>
      </c>
      <c r="S178" s="58">
        <v>9.3972354910566509E-7</v>
      </c>
      <c r="U178" s="85"/>
      <c r="V178" s="83"/>
      <c r="W178" s="85"/>
      <c r="X178" s="152"/>
      <c r="Y178" s="153"/>
      <c r="Z178" s="153"/>
      <c r="AA178" s="153"/>
      <c r="AB178" s="117">
        <f t="shared" si="9"/>
        <v>10.62338697857906</v>
      </c>
      <c r="AC178" s="117">
        <f t="shared" si="10"/>
        <v>9.3972354910566513E-5</v>
      </c>
    </row>
    <row r="179" spans="9:34" x14ac:dyDescent="0.25">
      <c r="I179" s="49"/>
      <c r="J179" s="50"/>
      <c r="K179" s="50"/>
      <c r="M179" s="33"/>
      <c r="R179" s="61">
        <v>1033.2361302142094</v>
      </c>
      <c r="S179" s="58">
        <v>8.9758122104499349E-7</v>
      </c>
      <c r="U179" s="85"/>
      <c r="V179" s="83"/>
      <c r="W179" s="85"/>
      <c r="X179" s="152"/>
      <c r="Y179" s="153"/>
      <c r="Z179" s="153"/>
      <c r="AA179" s="153"/>
      <c r="AB179" s="117">
        <f t="shared" si="9"/>
        <v>10.62338697857906</v>
      </c>
      <c r="AC179" s="117">
        <f t="shared" si="10"/>
        <v>8.9758122104499353E-5</v>
      </c>
    </row>
    <row r="180" spans="9:34" x14ac:dyDescent="0.25">
      <c r="I180" s="49"/>
      <c r="J180" s="50"/>
      <c r="K180" s="50"/>
      <c r="M180" s="33"/>
      <c r="R180" s="61">
        <v>1036.205978440941</v>
      </c>
      <c r="S180" s="58">
        <v>8.9758122104499349E-7</v>
      </c>
      <c r="U180" s="85"/>
      <c r="V180" s="83"/>
      <c r="W180" s="85"/>
      <c r="X180" s="152"/>
      <c r="Y180" s="153"/>
      <c r="Z180" s="153"/>
      <c r="AA180" s="153"/>
      <c r="AB180" s="117">
        <f t="shared" si="9"/>
        <v>10.326402155905907</v>
      </c>
      <c r="AC180" s="117">
        <f t="shared" si="10"/>
        <v>8.9758122104499353E-5</v>
      </c>
    </row>
    <row r="181" spans="9:34" x14ac:dyDescent="0.25">
      <c r="I181" s="49"/>
      <c r="J181" s="50"/>
      <c r="K181" s="50"/>
      <c r="M181" s="33"/>
      <c r="R181" s="61">
        <v>1036.205978440941</v>
      </c>
      <c r="S181" s="58">
        <v>8.5765113842097903E-7</v>
      </c>
      <c r="U181" s="85"/>
      <c r="V181" s="83"/>
      <c r="W181" s="85"/>
      <c r="X181" s="152"/>
      <c r="Y181" s="153"/>
      <c r="Z181" s="153"/>
      <c r="AA181" s="153"/>
      <c r="AB181" s="117">
        <f t="shared" si="9"/>
        <v>10.326402155905907</v>
      </c>
      <c r="AC181" s="117">
        <f t="shared" si="10"/>
        <v>8.5765113842097902E-5</v>
      </c>
    </row>
    <row r="182" spans="9:34" x14ac:dyDescent="0.25">
      <c r="I182" s="49"/>
      <c r="J182" s="50"/>
      <c r="K182" s="50"/>
      <c r="M182" s="33"/>
      <c r="R182" s="61">
        <v>1040.2594443807036</v>
      </c>
      <c r="S182" s="58">
        <v>8.5765113842097903E-7</v>
      </c>
      <c r="U182" s="85"/>
      <c r="V182" s="83"/>
      <c r="W182" s="85"/>
      <c r="X182" s="152"/>
      <c r="Y182" s="153"/>
      <c r="Z182" s="153"/>
      <c r="AA182" s="153"/>
      <c r="AB182" s="117">
        <f t="shared" si="9"/>
        <v>9.9210555619296432</v>
      </c>
      <c r="AC182" s="117">
        <f t="shared" si="10"/>
        <v>8.5765113842097902E-5</v>
      </c>
      <c r="AH182" s="83"/>
    </row>
    <row r="183" spans="9:34" x14ac:dyDescent="0.25">
      <c r="I183" s="49"/>
      <c r="J183" s="50"/>
      <c r="K183" s="50"/>
      <c r="M183" s="33"/>
      <c r="R183" s="61">
        <v>1040.2594443807036</v>
      </c>
      <c r="S183" s="58">
        <v>8.2236977235247878E-7</v>
      </c>
      <c r="U183" s="85"/>
      <c r="V183" s="83"/>
      <c r="W183" s="85"/>
      <c r="X183" s="152"/>
      <c r="Y183" s="153"/>
      <c r="Z183" s="153"/>
      <c r="AA183" s="153"/>
      <c r="AB183" s="117">
        <f t="shared" si="9"/>
        <v>9.9210555619296432</v>
      </c>
      <c r="AC183" s="117">
        <f t="shared" si="10"/>
        <v>8.2236977235247873E-5</v>
      </c>
      <c r="AH183" s="83"/>
    </row>
    <row r="184" spans="9:34" x14ac:dyDescent="0.25">
      <c r="I184" s="49"/>
      <c r="J184" s="50"/>
      <c r="K184" s="50"/>
      <c r="M184" s="33"/>
      <c r="R184" s="61">
        <v>1047.5435764902907</v>
      </c>
      <c r="S184" s="58">
        <v>8.2236977235247878E-7</v>
      </c>
      <c r="U184" s="85"/>
      <c r="V184" s="83"/>
      <c r="W184" s="85"/>
      <c r="X184" s="152"/>
      <c r="Y184" s="153"/>
      <c r="Z184" s="153"/>
      <c r="AA184" s="153"/>
      <c r="AB184" s="117">
        <f t="shared" si="9"/>
        <v>9.192642350970937</v>
      </c>
      <c r="AC184" s="117">
        <f t="shared" si="10"/>
        <v>8.2236977235247873E-5</v>
      </c>
      <c r="AH184" s="83"/>
    </row>
    <row r="185" spans="9:34" x14ac:dyDescent="0.25">
      <c r="I185" s="49"/>
      <c r="J185" s="50"/>
      <c r="K185" s="50"/>
      <c r="M185" s="33"/>
      <c r="R185" s="61">
        <v>1047.5435764902907</v>
      </c>
      <c r="S185" s="58">
        <v>7.9799130110672998E-7</v>
      </c>
      <c r="U185" s="85"/>
      <c r="V185" s="83"/>
      <c r="W185" s="85"/>
      <c r="X185" s="152"/>
      <c r="Y185" s="153"/>
      <c r="Z185" s="153"/>
      <c r="AA185" s="153"/>
      <c r="AB185" s="117">
        <f t="shared" si="9"/>
        <v>9.192642350970937</v>
      </c>
      <c r="AC185" s="117">
        <f t="shared" si="10"/>
        <v>7.9799130110672995E-5</v>
      </c>
    </row>
    <row r="186" spans="9:34" x14ac:dyDescent="0.25">
      <c r="I186" s="49"/>
      <c r="J186" s="50"/>
      <c r="K186" s="50"/>
      <c r="M186" s="33"/>
      <c r="R186" s="61">
        <v>1057.32564147213</v>
      </c>
      <c r="S186" s="58">
        <v>7.9799130110672998E-7</v>
      </c>
      <c r="U186" s="85"/>
      <c r="V186" s="83"/>
      <c r="W186" s="85"/>
      <c r="X186" s="152"/>
      <c r="Y186" s="153"/>
      <c r="Z186" s="153"/>
      <c r="AA186" s="153"/>
      <c r="AB186" s="117">
        <f t="shared" si="9"/>
        <v>8.2144358527870054</v>
      </c>
      <c r="AC186" s="117">
        <f t="shared" si="10"/>
        <v>7.9799130110672995E-5</v>
      </c>
    </row>
    <row r="187" spans="9:34" x14ac:dyDescent="0.25">
      <c r="I187" s="49"/>
      <c r="J187" s="50"/>
      <c r="K187" s="50"/>
      <c r="M187" s="33"/>
      <c r="R187" s="61">
        <v>1057.32564147213</v>
      </c>
      <c r="S187" s="58">
        <v>7.9467580246160922E-7</v>
      </c>
      <c r="U187" s="85"/>
      <c r="V187" s="83"/>
      <c r="W187" s="85"/>
      <c r="X187" s="152"/>
      <c r="Y187" s="153"/>
      <c r="Z187" s="153"/>
      <c r="AA187" s="153"/>
      <c r="AB187" s="117">
        <f t="shared" si="9"/>
        <v>8.2144358527870054</v>
      </c>
      <c r="AC187" s="117">
        <f t="shared" si="10"/>
        <v>7.9467580246160924E-5</v>
      </c>
    </row>
    <row r="188" spans="9:34" x14ac:dyDescent="0.25">
      <c r="I188" s="49"/>
      <c r="J188" s="50"/>
      <c r="K188" s="50"/>
      <c r="M188" s="33"/>
      <c r="R188" s="61">
        <v>1115.8350880081846</v>
      </c>
      <c r="S188" s="58">
        <v>7.9467580246160922E-7</v>
      </c>
      <c r="U188" s="85"/>
      <c r="V188" s="83"/>
      <c r="W188" s="85"/>
      <c r="X188" s="152"/>
      <c r="Y188" s="153"/>
      <c r="Z188" s="153"/>
      <c r="AA188" s="153"/>
      <c r="AB188" s="117">
        <f t="shared" si="9"/>
        <v>2.3634911991815444</v>
      </c>
      <c r="AC188" s="117">
        <f t="shared" si="10"/>
        <v>7.9467580246160924E-5</v>
      </c>
    </row>
    <row r="189" spans="9:34" x14ac:dyDescent="0.25">
      <c r="I189" s="49"/>
      <c r="J189" s="50"/>
      <c r="K189" s="50"/>
      <c r="M189" s="33"/>
      <c r="R189" s="61">
        <v>1115.8350880081846</v>
      </c>
      <c r="S189" s="58">
        <v>7.9510839834535819E-7</v>
      </c>
      <c r="U189" s="85"/>
      <c r="V189" s="83"/>
      <c r="W189" s="85"/>
      <c r="X189" s="152"/>
      <c r="Y189" s="153"/>
      <c r="Z189" s="153"/>
      <c r="AA189" s="153"/>
      <c r="AB189" s="117">
        <f t="shared" si="9"/>
        <v>2.3634911991815444</v>
      </c>
      <c r="AC189" s="117">
        <f t="shared" si="10"/>
        <v>7.9510839834535821E-5</v>
      </c>
    </row>
    <row r="190" spans="9:34" x14ac:dyDescent="0.25">
      <c r="I190" s="49"/>
      <c r="J190" s="50"/>
      <c r="K190" s="50"/>
      <c r="M190" s="33"/>
      <c r="R190" s="61">
        <v>1119.5526242384246</v>
      </c>
      <c r="S190" s="58">
        <v>7.9510839834535819E-7</v>
      </c>
      <c r="U190" s="85"/>
      <c r="V190" s="83"/>
      <c r="W190" s="85"/>
      <c r="X190" s="152"/>
      <c r="Y190" s="153"/>
      <c r="Z190" s="153"/>
      <c r="AA190" s="153"/>
      <c r="AB190" s="117">
        <f t="shared" si="9"/>
        <v>1.9917375761575387</v>
      </c>
      <c r="AC190" s="117">
        <f t="shared" si="10"/>
        <v>7.9510839834535821E-5</v>
      </c>
    </row>
    <row r="191" spans="9:34" x14ac:dyDescent="0.25">
      <c r="I191" s="49"/>
      <c r="J191" s="50"/>
      <c r="K191" s="50"/>
      <c r="M191" s="33"/>
      <c r="R191" s="61">
        <v>1119.5526242384246</v>
      </c>
      <c r="S191" s="58">
        <v>7.9809068064398899E-7</v>
      </c>
      <c r="U191" s="85"/>
      <c r="V191" s="83"/>
      <c r="W191" s="85"/>
      <c r="X191" s="152"/>
      <c r="Y191" s="153"/>
      <c r="Z191" s="153"/>
      <c r="AA191" s="153"/>
      <c r="AB191" s="117">
        <f t="shared" si="9"/>
        <v>1.9917375761575387</v>
      </c>
      <c r="AC191" s="117">
        <f t="shared" si="10"/>
        <v>7.9809068064398892E-5</v>
      </c>
    </row>
    <row r="192" spans="9:34" x14ac:dyDescent="0.25">
      <c r="I192" s="49"/>
      <c r="J192" s="50"/>
      <c r="K192" s="50"/>
      <c r="M192" s="33"/>
      <c r="R192" s="61">
        <v>1122.3208562092323</v>
      </c>
      <c r="S192" s="58">
        <v>7.9809068064398899E-7</v>
      </c>
      <c r="U192" s="85"/>
      <c r="V192" s="83"/>
      <c r="W192" s="85"/>
      <c r="X192" s="152"/>
      <c r="Y192" s="153"/>
      <c r="Z192" s="153"/>
      <c r="AA192" s="153"/>
      <c r="AB192" s="117">
        <f t="shared" si="9"/>
        <v>1.7149143790767767</v>
      </c>
      <c r="AC192" s="117">
        <f t="shared" si="10"/>
        <v>7.9809068064398892E-5</v>
      </c>
    </row>
    <row r="193" spans="9:29" x14ac:dyDescent="0.25">
      <c r="I193" s="49"/>
      <c r="J193" s="50"/>
      <c r="K193" s="50"/>
      <c r="M193" s="33"/>
      <c r="R193" s="61">
        <v>1122.3208562092323</v>
      </c>
      <c r="S193" s="58">
        <v>8.0240394756775301E-7</v>
      </c>
      <c r="U193" s="85"/>
      <c r="V193" s="83"/>
      <c r="W193" s="85"/>
      <c r="X193" s="152"/>
      <c r="Y193" s="153"/>
      <c r="Z193" s="153"/>
      <c r="AA193" s="153"/>
      <c r="AB193" s="117">
        <f t="shared" si="9"/>
        <v>1.7149143790767767</v>
      </c>
      <c r="AC193" s="117">
        <f t="shared" si="10"/>
        <v>8.02403947567753E-5</v>
      </c>
    </row>
    <row r="194" spans="9:29" x14ac:dyDescent="0.25">
      <c r="I194" s="49"/>
      <c r="J194" s="50"/>
      <c r="K194" s="50"/>
      <c r="M194" s="33"/>
      <c r="R194" s="61">
        <v>1123.861318935363</v>
      </c>
      <c r="S194" s="58">
        <v>8.0240394756775301E-7</v>
      </c>
      <c r="U194" s="85"/>
      <c r="V194" s="83"/>
      <c r="W194" s="85"/>
      <c r="X194" s="152"/>
      <c r="Y194" s="153"/>
      <c r="Z194" s="153"/>
      <c r="AA194" s="153"/>
      <c r="AB194" s="117">
        <f t="shared" si="9"/>
        <v>1.560868106463704</v>
      </c>
      <c r="AC194" s="117">
        <f t="shared" si="10"/>
        <v>8.02403947567753E-5</v>
      </c>
    </row>
    <row r="195" spans="9:29" x14ac:dyDescent="0.25">
      <c r="I195" s="49"/>
      <c r="J195" s="50"/>
      <c r="K195" s="50"/>
      <c r="M195" s="33"/>
      <c r="R195" s="61">
        <v>1123.861318935363</v>
      </c>
      <c r="S195" s="58">
        <v>8.0728421483596011E-7</v>
      </c>
      <c r="U195" s="85"/>
      <c r="V195" s="83"/>
      <c r="W195" s="85"/>
      <c r="X195" s="152"/>
      <c r="Y195" s="153"/>
      <c r="Z195" s="153"/>
      <c r="AA195" s="153"/>
      <c r="AB195" s="117">
        <f t="shared" si="9"/>
        <v>1.560868106463704</v>
      </c>
      <c r="AC195" s="117">
        <f t="shared" si="10"/>
        <v>8.0728421483596008E-5</v>
      </c>
    </row>
    <row r="196" spans="9:29" x14ac:dyDescent="0.25">
      <c r="I196" s="49"/>
      <c r="J196" s="50"/>
      <c r="K196" s="50"/>
      <c r="M196" s="33"/>
      <c r="R196" s="61">
        <v>1124.9899679886748</v>
      </c>
      <c r="S196" s="58">
        <v>8.0728421483596011E-7</v>
      </c>
      <c r="U196" s="85"/>
      <c r="V196" s="83"/>
      <c r="W196" s="85"/>
      <c r="X196" s="152"/>
      <c r="Y196" s="153"/>
      <c r="Z196" s="153"/>
      <c r="AA196" s="153"/>
      <c r="AB196" s="117">
        <f t="shared" ref="AB196:AB259" si="11">(1139.47-R196)/10</f>
        <v>1.4480032011325192</v>
      </c>
      <c r="AC196" s="117">
        <f t="shared" ref="AC196:AC259" si="12">S196*100</f>
        <v>8.0728421483596008E-5</v>
      </c>
    </row>
    <row r="197" spans="9:29" x14ac:dyDescent="0.25">
      <c r="I197" s="49"/>
      <c r="J197" s="50"/>
      <c r="K197" s="50"/>
      <c r="M197" s="33"/>
      <c r="R197" s="61">
        <v>1124.9899679886748</v>
      </c>
      <c r="S197" s="58">
        <v>8.1243446439933921E-7</v>
      </c>
      <c r="U197" s="85"/>
      <c r="V197" s="83"/>
      <c r="W197" s="85"/>
      <c r="X197" s="152"/>
      <c r="Y197" s="153"/>
      <c r="Z197" s="153"/>
      <c r="AA197" s="153"/>
      <c r="AB197" s="117">
        <f t="shared" si="11"/>
        <v>1.4480032011325192</v>
      </c>
      <c r="AC197" s="117">
        <f t="shared" si="12"/>
        <v>8.1243446439933925E-5</v>
      </c>
    </row>
    <row r="198" spans="9:29" x14ac:dyDescent="0.25">
      <c r="I198" s="49"/>
      <c r="J198" s="50"/>
      <c r="K198" s="50"/>
      <c r="M198" s="33"/>
      <c r="R198" s="61">
        <v>1125.908447137195</v>
      </c>
      <c r="S198" s="58">
        <v>8.1243446439933921E-7</v>
      </c>
      <c r="U198" s="85"/>
      <c r="V198" s="83"/>
      <c r="W198" s="85"/>
      <c r="X198" s="152"/>
      <c r="Y198" s="153"/>
      <c r="Z198" s="153"/>
      <c r="AA198" s="153"/>
      <c r="AB198" s="117">
        <f t="shared" si="11"/>
        <v>1.3561552862805002</v>
      </c>
      <c r="AC198" s="117">
        <f t="shared" si="12"/>
        <v>8.1243446439933925E-5</v>
      </c>
    </row>
    <row r="199" spans="9:29" x14ac:dyDescent="0.25">
      <c r="I199" s="49"/>
      <c r="J199" s="50"/>
      <c r="K199" s="50"/>
      <c r="M199" s="33"/>
      <c r="R199" s="61">
        <v>1125.908447137195</v>
      </c>
      <c r="S199" s="58">
        <v>8.1771868650429868E-7</v>
      </c>
      <c r="U199" s="85"/>
      <c r="V199" s="83"/>
      <c r="W199" s="85"/>
      <c r="X199" s="152"/>
      <c r="Y199" s="153"/>
      <c r="Z199" s="153"/>
      <c r="AA199" s="153"/>
      <c r="AB199" s="117">
        <f t="shared" si="11"/>
        <v>1.3561552862805002</v>
      </c>
      <c r="AC199" s="117">
        <f t="shared" si="12"/>
        <v>8.1771868650429866E-5</v>
      </c>
    </row>
    <row r="200" spans="9:29" x14ac:dyDescent="0.25">
      <c r="I200" s="49"/>
      <c r="J200" s="50"/>
      <c r="K200" s="50"/>
      <c r="M200" s="33"/>
      <c r="R200" s="61">
        <v>1126.701558981189</v>
      </c>
      <c r="S200" s="58">
        <v>8.1771868650429868E-7</v>
      </c>
      <c r="U200" s="85"/>
      <c r="V200" s="83"/>
      <c r="W200" s="85"/>
      <c r="X200" s="152"/>
      <c r="Y200" s="153"/>
      <c r="Z200" s="153"/>
      <c r="AA200" s="153"/>
      <c r="AB200" s="117">
        <f t="shared" si="11"/>
        <v>1.2768441018811019</v>
      </c>
      <c r="AC200" s="117">
        <f t="shared" si="12"/>
        <v>8.1771868650429866E-5</v>
      </c>
    </row>
    <row r="201" spans="9:29" x14ac:dyDescent="0.25">
      <c r="I201" s="49"/>
      <c r="J201" s="50"/>
      <c r="K201" s="50"/>
      <c r="M201" s="33"/>
      <c r="R201" s="61">
        <v>1126.701558981189</v>
      </c>
      <c r="S201" s="58">
        <v>8.2306907547826832E-7</v>
      </c>
      <c r="U201" s="85"/>
      <c r="V201" s="83"/>
      <c r="W201" s="85"/>
      <c r="X201" s="152"/>
      <c r="Y201" s="153"/>
      <c r="Z201" s="153"/>
      <c r="AA201" s="153"/>
      <c r="AB201" s="117">
        <f t="shared" si="11"/>
        <v>1.2768441018811019</v>
      </c>
      <c r="AC201" s="117">
        <f t="shared" si="12"/>
        <v>8.2306907547826828E-5</v>
      </c>
    </row>
    <row r="202" spans="9:29" x14ac:dyDescent="0.25">
      <c r="I202" s="49"/>
      <c r="J202" s="50"/>
      <c r="K202" s="50"/>
      <c r="M202" s="33"/>
      <c r="R202" s="61">
        <v>1127.4140454565143</v>
      </c>
      <c r="S202" s="58">
        <v>8.2306907547826832E-7</v>
      </c>
      <c r="U202" s="85"/>
      <c r="V202" s="83"/>
      <c r="W202" s="85"/>
      <c r="X202" s="152"/>
      <c r="Y202" s="153"/>
      <c r="Z202" s="153"/>
      <c r="AA202" s="153"/>
      <c r="AB202" s="117">
        <f t="shared" si="11"/>
        <v>1.2055954543485767</v>
      </c>
      <c r="AC202" s="117">
        <f t="shared" si="12"/>
        <v>8.2306907547826828E-5</v>
      </c>
    </row>
    <row r="203" spans="9:29" x14ac:dyDescent="0.25">
      <c r="I203" s="49"/>
      <c r="J203" s="50"/>
      <c r="K203" s="50"/>
      <c r="M203" s="33"/>
      <c r="R203" s="61">
        <v>1127.4140454565143</v>
      </c>
      <c r="S203" s="58">
        <v>8.284506089663807E-7</v>
      </c>
      <c r="U203" s="85"/>
      <c r="V203" s="83"/>
      <c r="W203" s="85"/>
      <c r="X203" s="152"/>
      <c r="Y203" s="153"/>
      <c r="Z203" s="153"/>
      <c r="AA203" s="153"/>
      <c r="AB203" s="117">
        <f t="shared" si="11"/>
        <v>1.2055954543485767</v>
      </c>
      <c r="AC203" s="117">
        <f t="shared" si="12"/>
        <v>8.2845060896638071E-5</v>
      </c>
    </row>
    <row r="204" spans="9:29" x14ac:dyDescent="0.25">
      <c r="I204" s="49"/>
      <c r="J204" s="50"/>
      <c r="K204" s="50"/>
      <c r="M204" s="33"/>
      <c r="R204" s="61">
        <v>1128.0730957133935</v>
      </c>
      <c r="S204" s="58">
        <v>8.284506089663807E-7</v>
      </c>
      <c r="U204" s="85"/>
      <c r="V204" s="83"/>
      <c r="W204" s="85"/>
      <c r="X204" s="152"/>
      <c r="Y204" s="153"/>
      <c r="Z204" s="153"/>
      <c r="AA204" s="153"/>
      <c r="AB204" s="117">
        <f t="shared" si="11"/>
        <v>1.1396904286606513</v>
      </c>
      <c r="AC204" s="117">
        <f t="shared" si="12"/>
        <v>8.2845060896638071E-5</v>
      </c>
    </row>
    <row r="205" spans="9:29" x14ac:dyDescent="0.25">
      <c r="I205" s="49"/>
      <c r="J205" s="50"/>
      <c r="K205" s="50"/>
      <c r="M205" s="33"/>
      <c r="R205" s="61">
        <v>1128.0730957133935</v>
      </c>
      <c r="S205" s="58">
        <v>8.3384534083721436E-7</v>
      </c>
      <c r="U205" s="85"/>
      <c r="V205" s="83"/>
      <c r="W205" s="85"/>
      <c r="X205" s="152"/>
      <c r="Y205" s="153"/>
      <c r="Z205" s="153"/>
      <c r="AA205" s="153"/>
      <c r="AB205" s="117">
        <f t="shared" si="11"/>
        <v>1.1396904286606513</v>
      </c>
      <c r="AC205" s="117">
        <f t="shared" si="12"/>
        <v>8.3384534083721435E-5</v>
      </c>
    </row>
    <row r="206" spans="9:29" x14ac:dyDescent="0.25">
      <c r="I206" s="49"/>
      <c r="J206" s="50"/>
      <c r="K206" s="50"/>
      <c r="M206" s="33"/>
      <c r="R206" s="61">
        <v>1128.6971099563921</v>
      </c>
      <c r="S206" s="58">
        <v>8.3384534083721436E-7</v>
      </c>
      <c r="U206" s="85"/>
      <c r="V206" s="83"/>
      <c r="W206" s="85"/>
      <c r="X206" s="152"/>
      <c r="Y206" s="153"/>
      <c r="Z206" s="153"/>
      <c r="AA206" s="153"/>
      <c r="AB206" s="117">
        <f t="shared" si="11"/>
        <v>1.0772890043607959</v>
      </c>
      <c r="AC206" s="117">
        <f t="shared" si="12"/>
        <v>8.3384534083721435E-5</v>
      </c>
    </row>
    <row r="207" spans="9:29" x14ac:dyDescent="0.25">
      <c r="I207" s="49"/>
      <c r="J207" s="50"/>
      <c r="K207" s="50"/>
      <c r="M207" s="33"/>
      <c r="R207" s="61">
        <v>1128.6971099563921</v>
      </c>
      <c r="S207" s="58">
        <v>8.3924463995592643E-7</v>
      </c>
      <c r="U207" s="85"/>
      <c r="V207" s="83"/>
      <c r="W207" s="85"/>
      <c r="X207" s="152"/>
      <c r="Y207" s="153"/>
      <c r="Z207" s="153"/>
      <c r="AA207" s="153"/>
      <c r="AB207" s="117">
        <f t="shared" si="11"/>
        <v>1.0772890043607959</v>
      </c>
      <c r="AC207" s="117">
        <f t="shared" si="12"/>
        <v>8.3924463995592644E-5</v>
      </c>
    </row>
    <row r="208" spans="9:29" x14ac:dyDescent="0.25">
      <c r="I208" s="49"/>
      <c r="J208" s="50"/>
      <c r="K208" s="50"/>
      <c r="M208" s="33"/>
      <c r="R208" s="61">
        <v>1129.299788459758</v>
      </c>
      <c r="S208" s="58">
        <v>8.3924463995592643E-7</v>
      </c>
      <c r="U208" s="85"/>
      <c r="V208" s="83"/>
      <c r="W208" s="85"/>
      <c r="X208" s="152"/>
      <c r="Y208" s="153"/>
      <c r="Z208" s="153"/>
      <c r="AA208" s="153"/>
      <c r="AB208" s="117">
        <f t="shared" si="11"/>
        <v>1.0170211540242007</v>
      </c>
      <c r="AC208" s="117">
        <f t="shared" si="12"/>
        <v>8.3924463995592644E-5</v>
      </c>
    </row>
    <row r="209" spans="9:34" x14ac:dyDescent="0.25">
      <c r="I209" s="49"/>
      <c r="J209" s="50"/>
      <c r="K209" s="50"/>
      <c r="M209" s="33"/>
      <c r="R209" s="61">
        <v>1129.299788459758</v>
      </c>
      <c r="S209" s="58">
        <v>8.4464498942138181E-7</v>
      </c>
      <c r="U209" s="85"/>
      <c r="V209" s="83"/>
      <c r="W209" s="85"/>
      <c r="X209" s="152"/>
      <c r="Y209" s="153"/>
      <c r="Z209" s="153"/>
      <c r="AA209" s="153"/>
      <c r="AB209" s="117">
        <f t="shared" si="11"/>
        <v>1.0170211540242007</v>
      </c>
      <c r="AC209" s="117">
        <f t="shared" si="12"/>
        <v>8.4464498942138185E-5</v>
      </c>
    </row>
    <row r="210" spans="9:34" x14ac:dyDescent="0.25">
      <c r="I210" s="49"/>
      <c r="J210" s="50"/>
      <c r="K210" s="50"/>
      <c r="L210" s="70"/>
      <c r="M210" s="18"/>
      <c r="R210" s="61">
        <v>1129.8923429850133</v>
      </c>
      <c r="S210" s="58">
        <v>8.4464498942138181E-7</v>
      </c>
      <c r="U210" s="85"/>
      <c r="V210" s="83"/>
      <c r="W210" s="85"/>
      <c r="X210" s="152"/>
      <c r="Y210" s="153"/>
      <c r="Z210" s="153"/>
      <c r="AA210" s="153"/>
      <c r="AB210" s="117">
        <f t="shared" si="11"/>
        <v>0.9577657014986698</v>
      </c>
      <c r="AC210" s="117">
        <f t="shared" si="12"/>
        <v>8.4464498942138185E-5</v>
      </c>
    </row>
    <row r="211" spans="9:34" x14ac:dyDescent="0.25">
      <c r="I211" s="50"/>
      <c r="J211" s="50"/>
      <c r="K211" s="50"/>
      <c r="L211" s="70"/>
      <c r="M211" s="18"/>
      <c r="R211" s="61">
        <v>1129.8923429850133</v>
      </c>
      <c r="S211" s="58">
        <v>8.7137328615240188E-7</v>
      </c>
      <c r="U211" s="85"/>
      <c r="V211" s="85"/>
      <c r="W211" s="85"/>
      <c r="X211" s="152"/>
      <c r="Y211" s="153"/>
      <c r="Z211" s="153"/>
      <c r="AA211" s="153"/>
      <c r="AB211" s="117">
        <f t="shared" si="11"/>
        <v>0.9577657014986698</v>
      </c>
      <c r="AC211" s="117">
        <f t="shared" si="12"/>
        <v>8.7137328615240192E-5</v>
      </c>
    </row>
    <row r="212" spans="9:34" x14ac:dyDescent="0.25">
      <c r="I212" s="50"/>
      <c r="J212" s="50"/>
      <c r="K212" s="50"/>
      <c r="L212" s="70"/>
      <c r="M212" s="18"/>
      <c r="R212" s="61">
        <v>1130.1377975304679</v>
      </c>
      <c r="S212" s="58">
        <v>8.7137328615240188E-7</v>
      </c>
      <c r="U212" s="85"/>
      <c r="V212" s="85"/>
      <c r="W212" s="85"/>
      <c r="X212" s="152"/>
      <c r="Y212" s="153"/>
      <c r="Z212" s="153"/>
      <c r="AA212" s="153"/>
      <c r="AB212" s="117">
        <f t="shared" si="11"/>
        <v>0.93322024695321493</v>
      </c>
      <c r="AC212" s="117">
        <f t="shared" si="12"/>
        <v>8.7137328615240192E-5</v>
      </c>
    </row>
    <row r="213" spans="9:34" x14ac:dyDescent="0.25">
      <c r="I213" s="50"/>
      <c r="J213" s="50"/>
      <c r="K213" s="50"/>
      <c r="L213" s="70"/>
      <c r="M213" s="18"/>
      <c r="R213" s="61">
        <v>1130.1377975304679</v>
      </c>
      <c r="S213" s="58">
        <v>8.8012149589645276E-7</v>
      </c>
      <c r="U213" s="85"/>
      <c r="V213" s="85"/>
      <c r="W213" s="85"/>
      <c r="X213" s="152"/>
      <c r="Y213" s="153"/>
      <c r="Z213" s="153"/>
      <c r="AA213" s="153"/>
      <c r="AB213" s="117">
        <f t="shared" si="11"/>
        <v>0.93322024695321493</v>
      </c>
      <c r="AC213" s="117">
        <f t="shared" si="12"/>
        <v>8.8012149589645274E-5</v>
      </c>
    </row>
    <row r="214" spans="9:34" x14ac:dyDescent="0.25">
      <c r="I214" s="50"/>
      <c r="J214" s="50"/>
      <c r="K214" s="50"/>
      <c r="L214" s="70"/>
      <c r="M214" s="18"/>
      <c r="R214" s="61">
        <v>1130.628706621377</v>
      </c>
      <c r="S214" s="58">
        <v>8.8012149589645276E-7</v>
      </c>
      <c r="U214" s="85"/>
      <c r="V214" s="85"/>
      <c r="W214" s="85"/>
      <c r="X214" s="152"/>
      <c r="Y214" s="153"/>
      <c r="Z214" s="153"/>
      <c r="AA214" s="153"/>
      <c r="AB214" s="117">
        <f t="shared" si="11"/>
        <v>0.88412933786230496</v>
      </c>
      <c r="AC214" s="117">
        <f t="shared" si="12"/>
        <v>8.8012149589645274E-5</v>
      </c>
    </row>
    <row r="215" spans="9:34" x14ac:dyDescent="0.25">
      <c r="I215" s="50"/>
      <c r="J215" s="50"/>
      <c r="K215" s="50"/>
      <c r="L215" s="70"/>
      <c r="M215" s="18"/>
      <c r="R215" s="61">
        <v>1130.628706621377</v>
      </c>
      <c r="S215" s="58">
        <v>8.9342000917771233E-7</v>
      </c>
      <c r="U215" s="85"/>
      <c r="V215" s="85"/>
      <c r="W215" s="85"/>
      <c r="X215" s="152"/>
      <c r="Y215" s="153"/>
      <c r="Z215" s="153"/>
      <c r="AA215" s="153"/>
      <c r="AB215" s="117">
        <f t="shared" si="11"/>
        <v>0.88412933786230496</v>
      </c>
      <c r="AC215" s="117">
        <f t="shared" si="12"/>
        <v>8.934200091777123E-5</v>
      </c>
    </row>
    <row r="216" spans="9:34" x14ac:dyDescent="0.25">
      <c r="I216" s="50"/>
      <c r="J216" s="50"/>
      <c r="K216" s="50"/>
      <c r="L216" s="70"/>
      <c r="M216" s="18"/>
      <c r="R216" s="61">
        <v>1131.1196157122861</v>
      </c>
      <c r="S216" s="58">
        <v>8.9342000917771233E-7</v>
      </c>
      <c r="U216" s="85"/>
      <c r="V216" s="85"/>
      <c r="W216" s="85"/>
      <c r="X216" s="152"/>
      <c r="Y216" s="153"/>
      <c r="Z216" s="153"/>
      <c r="AA216" s="153"/>
      <c r="AB216" s="117">
        <f t="shared" si="11"/>
        <v>0.835038428771395</v>
      </c>
      <c r="AC216" s="117">
        <f t="shared" si="12"/>
        <v>8.934200091777123E-5</v>
      </c>
    </row>
    <row r="217" spans="9:34" x14ac:dyDescent="0.25">
      <c r="I217" s="50"/>
      <c r="J217" s="50"/>
      <c r="K217" s="50"/>
      <c r="L217" s="70"/>
      <c r="M217" s="18"/>
      <c r="R217" s="61">
        <v>1131.1196157122861</v>
      </c>
      <c r="S217" s="58">
        <v>9.0889759609518645E-7</v>
      </c>
      <c r="U217" s="85"/>
      <c r="V217" s="85"/>
      <c r="W217" s="85"/>
      <c r="X217" s="152"/>
      <c r="Y217" s="153"/>
      <c r="Z217" s="153"/>
      <c r="AA217" s="153"/>
      <c r="AB217" s="117">
        <f t="shared" si="11"/>
        <v>0.835038428771395</v>
      </c>
      <c r="AC217" s="117">
        <f t="shared" si="12"/>
        <v>9.088975960951864E-5</v>
      </c>
    </row>
    <row r="218" spans="9:34" x14ac:dyDescent="0.25">
      <c r="I218" s="50"/>
      <c r="J218" s="50"/>
      <c r="K218" s="50"/>
      <c r="L218" s="70"/>
      <c r="M218" s="18"/>
      <c r="R218" s="61">
        <v>1131.6105248031952</v>
      </c>
      <c r="S218" s="58">
        <v>9.0889759609518645E-7</v>
      </c>
      <c r="U218" s="85"/>
      <c r="V218" s="85"/>
      <c r="W218" s="85"/>
      <c r="X218" s="152"/>
      <c r="Y218" s="153"/>
      <c r="Z218" s="153"/>
      <c r="AA218" s="153"/>
      <c r="AB218" s="117">
        <f t="shared" si="11"/>
        <v>0.78594751968048515</v>
      </c>
      <c r="AC218" s="117">
        <f t="shared" si="12"/>
        <v>9.088975960951864E-5</v>
      </c>
      <c r="AH218" s="83"/>
    </row>
    <row r="219" spans="9:34" x14ac:dyDescent="0.25">
      <c r="I219" s="50"/>
      <c r="J219" s="50"/>
      <c r="K219" s="50"/>
      <c r="L219" s="70"/>
      <c r="M219" s="18"/>
      <c r="R219" s="61">
        <v>1131.6105248031952</v>
      </c>
      <c r="S219" s="58">
        <v>9.2693520235352601E-7</v>
      </c>
      <c r="U219" s="85"/>
      <c r="V219" s="85"/>
      <c r="W219" s="85"/>
      <c r="X219" s="152"/>
      <c r="Y219" s="153"/>
      <c r="Z219" s="153"/>
      <c r="AA219" s="153"/>
      <c r="AB219" s="117">
        <f t="shared" si="11"/>
        <v>0.78594751968048515</v>
      </c>
      <c r="AC219" s="117">
        <f t="shared" si="12"/>
        <v>9.2693520235352601E-5</v>
      </c>
      <c r="AH219" s="83"/>
    </row>
    <row r="220" spans="9:34" x14ac:dyDescent="0.25">
      <c r="I220" s="50"/>
      <c r="J220" s="50"/>
      <c r="K220" s="50"/>
      <c r="L220" s="70"/>
      <c r="M220" s="18"/>
      <c r="R220" s="61">
        <v>1132.1014338941043</v>
      </c>
      <c r="S220" s="58">
        <v>9.2693520235352601E-7</v>
      </c>
      <c r="U220" s="85"/>
      <c r="V220" s="85"/>
      <c r="W220" s="85"/>
      <c r="X220" s="152"/>
      <c r="Y220" s="153"/>
      <c r="Z220" s="153"/>
      <c r="AA220" s="153"/>
      <c r="AB220" s="117">
        <f t="shared" si="11"/>
        <v>0.73685661058957519</v>
      </c>
      <c r="AC220" s="117">
        <f t="shared" si="12"/>
        <v>9.2693520235352601E-5</v>
      </c>
      <c r="AH220" s="83"/>
    </row>
    <row r="221" spans="9:34" x14ac:dyDescent="0.25">
      <c r="I221" s="50"/>
      <c r="J221" s="50"/>
      <c r="K221" s="50"/>
      <c r="L221" s="70"/>
      <c r="M221" s="18"/>
      <c r="R221" s="61">
        <v>1132.1014338941043</v>
      </c>
      <c r="S221" s="58">
        <v>9.4795320745453667E-7</v>
      </c>
      <c r="U221" s="85"/>
      <c r="V221" s="85"/>
      <c r="W221" s="85"/>
      <c r="X221" s="152"/>
      <c r="Y221" s="153"/>
      <c r="Z221" s="153"/>
      <c r="AA221" s="153"/>
      <c r="AB221" s="117">
        <f t="shared" si="11"/>
        <v>0.73685661058957519</v>
      </c>
      <c r="AC221" s="117">
        <f t="shared" si="12"/>
        <v>9.4795320745453664E-5</v>
      </c>
      <c r="AH221" s="83"/>
    </row>
    <row r="222" spans="9:34" x14ac:dyDescent="0.25">
      <c r="I222" s="50"/>
      <c r="J222" s="50"/>
      <c r="K222" s="50"/>
      <c r="L222" s="70"/>
      <c r="M222" s="18"/>
      <c r="R222" s="61">
        <v>1132.5923429850134</v>
      </c>
      <c r="S222" s="58">
        <v>9.4795320745453667E-7</v>
      </c>
      <c r="U222" s="85"/>
      <c r="V222" s="85"/>
      <c r="W222" s="85"/>
      <c r="X222" s="152"/>
      <c r="Y222" s="153"/>
      <c r="Z222" s="153"/>
      <c r="AA222" s="153"/>
      <c r="AB222" s="117">
        <f t="shared" si="11"/>
        <v>0.68776570149866534</v>
      </c>
      <c r="AC222" s="117">
        <f t="shared" si="12"/>
        <v>9.4795320745453664E-5</v>
      </c>
      <c r="AH222" s="83"/>
    </row>
    <row r="223" spans="9:34" x14ac:dyDescent="0.25">
      <c r="I223" s="50"/>
      <c r="J223" s="50"/>
      <c r="K223" s="50"/>
      <c r="L223" s="70"/>
      <c r="M223" s="18"/>
      <c r="R223" s="61">
        <v>1132.5923429850134</v>
      </c>
      <c r="S223" s="58">
        <v>9.7240322754448967E-7</v>
      </c>
      <c r="U223" s="85"/>
      <c r="V223" s="85"/>
      <c r="W223" s="85"/>
      <c r="X223" s="152"/>
      <c r="Y223" s="153"/>
      <c r="Z223" s="153"/>
      <c r="AA223" s="153"/>
      <c r="AB223" s="117">
        <f t="shared" si="11"/>
        <v>0.68776570149866534</v>
      </c>
      <c r="AC223" s="117">
        <f t="shared" si="12"/>
        <v>9.7240322754448965E-5</v>
      </c>
      <c r="AH223" s="83"/>
    </row>
    <row r="224" spans="9:34" x14ac:dyDescent="0.25">
      <c r="I224" s="50"/>
      <c r="J224" s="50"/>
      <c r="K224" s="50"/>
      <c r="L224" s="70"/>
      <c r="M224" s="18"/>
      <c r="R224" s="61">
        <v>1133.0832520759225</v>
      </c>
      <c r="S224" s="58">
        <v>9.7240322754448967E-7</v>
      </c>
      <c r="U224" s="85"/>
      <c r="V224" s="85"/>
      <c r="W224" s="85"/>
      <c r="X224" s="152"/>
      <c r="Y224" s="153"/>
      <c r="Z224" s="153"/>
      <c r="AA224" s="153"/>
      <c r="AB224" s="117">
        <f t="shared" si="11"/>
        <v>0.63867479240775538</v>
      </c>
      <c r="AC224" s="117">
        <f t="shared" si="12"/>
        <v>9.7240322754448965E-5</v>
      </c>
      <c r="AH224" s="83"/>
    </row>
    <row r="225" spans="9:34" x14ac:dyDescent="0.25">
      <c r="I225" s="50"/>
      <c r="J225" s="50"/>
      <c r="K225" s="50"/>
      <c r="L225" s="70"/>
      <c r="M225" s="18"/>
      <c r="R225" s="61">
        <v>1133.0832520759225</v>
      </c>
      <c r="S225" s="58">
        <v>1.0007561856963286E-6</v>
      </c>
      <c r="U225" s="85"/>
      <c r="V225" s="85"/>
      <c r="W225" s="85"/>
      <c r="X225" s="152"/>
      <c r="Y225" s="153"/>
      <c r="Z225" s="153"/>
      <c r="AA225" s="153"/>
      <c r="AB225" s="117">
        <f t="shared" si="11"/>
        <v>0.63867479240775538</v>
      </c>
      <c r="AC225" s="117">
        <f t="shared" si="12"/>
        <v>1.0007561856963286E-4</v>
      </c>
      <c r="AH225" s="83"/>
    </row>
    <row r="226" spans="9:34" x14ac:dyDescent="0.25">
      <c r="I226" s="50"/>
      <c r="J226" s="50"/>
      <c r="K226" s="50"/>
      <c r="L226" s="70"/>
      <c r="M226" s="18"/>
      <c r="R226" s="61">
        <v>1133.5741611668316</v>
      </c>
      <c r="S226" s="58">
        <v>1.0007561856963286E-6</v>
      </c>
      <c r="U226" s="85"/>
      <c r="V226" s="85"/>
      <c r="W226" s="85"/>
      <c r="X226" s="152"/>
      <c r="Y226" s="153"/>
      <c r="Z226" s="153"/>
      <c r="AA226" s="153"/>
      <c r="AB226" s="117">
        <f t="shared" si="11"/>
        <v>0.58958388331684541</v>
      </c>
      <c r="AC226" s="117">
        <f t="shared" si="12"/>
        <v>1.0007561856963286E-4</v>
      </c>
      <c r="AH226" s="83"/>
    </row>
    <row r="227" spans="9:34" x14ac:dyDescent="0.25">
      <c r="I227" s="50"/>
      <c r="J227" s="50"/>
      <c r="K227" s="50"/>
      <c r="L227" s="70"/>
      <c r="M227" s="18"/>
      <c r="R227" s="61">
        <v>1133.5741611668316</v>
      </c>
      <c r="S227" s="58">
        <v>1.0334866702466764E-6</v>
      </c>
      <c r="U227" s="85"/>
      <c r="V227" s="85"/>
      <c r="W227" s="85"/>
      <c r="X227" s="152"/>
      <c r="Y227" s="153"/>
      <c r="Z227" s="153"/>
      <c r="AA227" s="153"/>
      <c r="AB227" s="117">
        <f t="shared" si="11"/>
        <v>0.58958388331684541</v>
      </c>
      <c r="AC227" s="117">
        <f t="shared" si="12"/>
        <v>1.0334866702466764E-4</v>
      </c>
      <c r="AH227" s="83"/>
    </row>
    <row r="228" spans="9:34" x14ac:dyDescent="0.25">
      <c r="I228" s="50"/>
      <c r="J228" s="50"/>
      <c r="K228" s="50"/>
      <c r="L228" s="70"/>
      <c r="M228" s="18"/>
      <c r="R228" s="61">
        <v>1134.0650702577407</v>
      </c>
      <c r="S228" s="58">
        <v>1.0334866702466764E-6</v>
      </c>
      <c r="U228" s="85"/>
      <c r="V228" s="85"/>
      <c r="W228" s="85"/>
      <c r="X228" s="152"/>
      <c r="Y228" s="153"/>
      <c r="Z228" s="153"/>
      <c r="AA228" s="153"/>
      <c r="AB228" s="117">
        <f t="shared" si="11"/>
        <v>0.54049297422593556</v>
      </c>
      <c r="AC228" s="117">
        <f t="shared" si="12"/>
        <v>1.0334866702466764E-4</v>
      </c>
      <c r="AH228" s="83"/>
    </row>
    <row r="229" spans="9:34" x14ac:dyDescent="0.25">
      <c r="I229" s="50"/>
      <c r="J229" s="50"/>
      <c r="K229" s="50"/>
      <c r="L229" s="70"/>
      <c r="M229" s="18"/>
      <c r="R229" s="61">
        <v>1134.0650702577407</v>
      </c>
      <c r="S229" s="58">
        <v>1.0710538879537173E-6</v>
      </c>
      <c r="U229" s="85"/>
      <c r="V229" s="85"/>
      <c r="W229" s="85"/>
      <c r="X229" s="152"/>
      <c r="Y229" s="153"/>
      <c r="Z229" s="153"/>
      <c r="AA229" s="153"/>
      <c r="AB229" s="117">
        <f t="shared" si="11"/>
        <v>0.54049297422593556</v>
      </c>
      <c r="AC229" s="117">
        <f t="shared" si="12"/>
        <v>1.0710538879537172E-4</v>
      </c>
      <c r="AH229" s="83"/>
    </row>
    <row r="230" spans="9:34" x14ac:dyDescent="0.25">
      <c r="I230" s="50"/>
      <c r="J230" s="50"/>
      <c r="K230" s="50"/>
      <c r="L230" s="70"/>
      <c r="M230" s="27"/>
      <c r="R230" s="61">
        <v>1134.5559793486498</v>
      </c>
      <c r="S230" s="58">
        <v>1.0710538879537173E-6</v>
      </c>
      <c r="U230" s="85"/>
      <c r="V230" s="85"/>
      <c r="W230" s="85"/>
      <c r="X230" s="152"/>
      <c r="Y230" s="153"/>
      <c r="Z230" s="153"/>
      <c r="AA230" s="153"/>
      <c r="AB230" s="117">
        <f t="shared" si="11"/>
        <v>0.4914020651350256</v>
      </c>
      <c r="AC230" s="117">
        <f t="shared" si="12"/>
        <v>1.0710538879537172E-4</v>
      </c>
      <c r="AH230" s="83"/>
    </row>
    <row r="231" spans="9:34" x14ac:dyDescent="0.25">
      <c r="I231" s="50"/>
      <c r="J231" s="50"/>
      <c r="K231" s="50"/>
      <c r="L231" s="70"/>
      <c r="M231" s="27"/>
      <c r="R231" s="61">
        <v>1134.5559793486498</v>
      </c>
      <c r="S231" s="58">
        <v>1.1138798308252055E-6</v>
      </c>
      <c r="U231" s="85"/>
      <c r="V231" s="85"/>
      <c r="W231" s="85"/>
      <c r="X231" s="152"/>
      <c r="Y231" s="153"/>
      <c r="Z231" s="153"/>
      <c r="AA231" s="153"/>
      <c r="AB231" s="117">
        <f t="shared" si="11"/>
        <v>0.4914020651350256</v>
      </c>
      <c r="AC231" s="117">
        <f t="shared" si="12"/>
        <v>1.1138798308252055E-4</v>
      </c>
      <c r="AH231" s="83"/>
    </row>
    <row r="232" spans="9:34" x14ac:dyDescent="0.25">
      <c r="I232" s="50"/>
      <c r="J232" s="50"/>
      <c r="K232" s="50"/>
      <c r="L232" s="70"/>
      <c r="M232" s="27"/>
      <c r="R232" s="61">
        <v>1135.0468884395589</v>
      </c>
      <c r="S232" s="58">
        <v>1.1138798308252055E-6</v>
      </c>
      <c r="U232" s="85"/>
      <c r="V232" s="85"/>
      <c r="W232" s="85"/>
      <c r="X232" s="152"/>
      <c r="Y232" s="153"/>
      <c r="Z232" s="153"/>
      <c r="AA232" s="153"/>
      <c r="AB232" s="117">
        <f t="shared" si="11"/>
        <v>0.44231115604411569</v>
      </c>
      <c r="AC232" s="117">
        <f t="shared" si="12"/>
        <v>1.1138798308252055E-4</v>
      </c>
      <c r="AH232" s="83"/>
    </row>
    <row r="233" spans="9:34" x14ac:dyDescent="0.25">
      <c r="I233" s="50"/>
      <c r="J233" s="50"/>
      <c r="K233" s="50"/>
      <c r="L233" s="70"/>
      <c r="M233" s="27"/>
      <c r="R233" s="61">
        <v>1135.0468884395589</v>
      </c>
      <c r="S233" s="58">
        <v>1.1623255882575475E-6</v>
      </c>
      <c r="V233" s="85"/>
      <c r="W233" s="85"/>
      <c r="X233" s="152"/>
      <c r="Y233" s="153"/>
      <c r="Z233" s="153"/>
      <c r="AA233" s="153"/>
      <c r="AB233" s="117">
        <f t="shared" si="11"/>
        <v>0.44231115604411569</v>
      </c>
      <c r="AC233" s="117">
        <f t="shared" si="12"/>
        <v>1.1623255882575475E-4</v>
      </c>
      <c r="AH233" s="83"/>
    </row>
    <row r="234" spans="9:34" x14ac:dyDescent="0.25">
      <c r="I234" s="50"/>
      <c r="J234" s="50"/>
      <c r="K234" s="50"/>
      <c r="L234" s="70"/>
      <c r="M234" s="27"/>
      <c r="R234" s="61">
        <v>1135.537797530468</v>
      </c>
      <c r="S234" s="58">
        <v>1.1623255882575475E-6</v>
      </c>
      <c r="V234" s="85"/>
      <c r="W234" s="85"/>
      <c r="X234" s="152"/>
      <c r="Y234" s="153"/>
      <c r="Z234" s="153"/>
      <c r="AA234" s="153"/>
      <c r="AB234" s="117">
        <f t="shared" si="11"/>
        <v>0.39322024695320579</v>
      </c>
      <c r="AC234" s="117">
        <f t="shared" si="12"/>
        <v>1.1623255882575475E-4</v>
      </c>
      <c r="AH234" s="83"/>
    </row>
    <row r="235" spans="9:34" x14ac:dyDescent="0.25">
      <c r="I235" s="50"/>
      <c r="J235" s="50"/>
      <c r="K235" s="50"/>
      <c r="L235" s="70"/>
      <c r="M235" s="27"/>
      <c r="R235" s="61">
        <v>1135.537797530468</v>
      </c>
      <c r="S235" s="58">
        <v>1.2166670200102869E-6</v>
      </c>
      <c r="V235" s="85"/>
      <c r="W235" s="85"/>
      <c r="X235" s="152"/>
      <c r="Y235" s="153"/>
      <c r="Z235" s="153"/>
      <c r="AA235" s="153"/>
      <c r="AB235" s="117">
        <f t="shared" si="11"/>
        <v>0.39322024695320579</v>
      </c>
      <c r="AC235" s="117">
        <f t="shared" si="12"/>
        <v>1.2166670200102869E-4</v>
      </c>
      <c r="AH235" s="83"/>
    </row>
    <row r="236" spans="9:34" x14ac:dyDescent="0.25">
      <c r="I236" s="50"/>
      <c r="J236" s="50"/>
      <c r="K236" s="50"/>
      <c r="L236" s="70"/>
      <c r="M236" s="27"/>
      <c r="R236" s="61">
        <v>1136.0287066213771</v>
      </c>
      <c r="S236" s="58">
        <v>1.2166670200102869E-6</v>
      </c>
      <c r="V236" s="85"/>
      <c r="W236" s="85"/>
      <c r="X236" s="152"/>
      <c r="Y236" s="153"/>
      <c r="Z236" s="153"/>
      <c r="AA236" s="153"/>
      <c r="AB236" s="117">
        <f t="shared" si="11"/>
        <v>0.34412933786229588</v>
      </c>
      <c r="AC236" s="117">
        <f t="shared" si="12"/>
        <v>1.2166670200102869E-4</v>
      </c>
      <c r="AH236" s="83"/>
    </row>
    <row r="237" spans="9:34" x14ac:dyDescent="0.25">
      <c r="I237" s="50"/>
      <c r="J237" s="50"/>
      <c r="K237" s="50"/>
      <c r="L237" s="70"/>
      <c r="M237" s="27"/>
      <c r="R237" s="61">
        <v>1136.0287066213771</v>
      </c>
      <c r="S237" s="58">
        <v>1.2770712292155495E-6</v>
      </c>
      <c r="U237" s="83"/>
      <c r="V237" s="85"/>
      <c r="W237" s="85"/>
      <c r="X237" s="152"/>
      <c r="Y237" s="153"/>
      <c r="Z237" s="153"/>
      <c r="AA237" s="153"/>
      <c r="AB237" s="117">
        <f t="shared" si="11"/>
        <v>0.34412933786229588</v>
      </c>
      <c r="AC237" s="117">
        <f t="shared" si="12"/>
        <v>1.2770712292155495E-4</v>
      </c>
      <c r="AH237" s="83"/>
    </row>
    <row r="238" spans="9:34" x14ac:dyDescent="0.25">
      <c r="I238" s="50"/>
      <c r="J238" s="50"/>
      <c r="K238" s="50"/>
      <c r="L238" s="70"/>
      <c r="M238" s="27"/>
      <c r="R238" s="61">
        <v>1136.5196157122862</v>
      </c>
      <c r="S238" s="58">
        <v>1.2770712292155495E-6</v>
      </c>
      <c r="U238" s="83"/>
      <c r="V238" s="85"/>
      <c r="W238" s="85"/>
      <c r="X238" s="152"/>
      <c r="Y238" s="153"/>
      <c r="Z238" s="153"/>
      <c r="AA238" s="153"/>
      <c r="AB238" s="117">
        <f t="shared" si="11"/>
        <v>0.29503842877138597</v>
      </c>
      <c r="AC238" s="117">
        <f t="shared" si="12"/>
        <v>1.2770712292155495E-4</v>
      </c>
      <c r="AH238" s="83"/>
    </row>
    <row r="239" spans="9:34" x14ac:dyDescent="0.25">
      <c r="I239" s="50"/>
      <c r="J239" s="50"/>
      <c r="K239" s="50"/>
      <c r="L239" s="70"/>
      <c r="M239" s="27"/>
      <c r="R239" s="61">
        <v>1136.5196157122862</v>
      </c>
      <c r="S239" s="58">
        <v>1.3435754084930637E-6</v>
      </c>
      <c r="U239" s="83"/>
      <c r="V239" s="85"/>
      <c r="W239" s="85"/>
      <c r="X239" s="152"/>
      <c r="Y239" s="153"/>
      <c r="Z239" s="153"/>
      <c r="AA239" s="153"/>
      <c r="AB239" s="117">
        <f t="shared" si="11"/>
        <v>0.29503842877138597</v>
      </c>
      <c r="AC239" s="117">
        <f t="shared" si="12"/>
        <v>1.3435754084930635E-4</v>
      </c>
      <c r="AH239" s="83"/>
    </row>
    <row r="240" spans="9:34" x14ac:dyDescent="0.25">
      <c r="I240" s="50"/>
      <c r="J240" s="50"/>
      <c r="K240" s="50"/>
      <c r="L240" s="70"/>
      <c r="M240" s="27"/>
      <c r="R240" s="61">
        <v>1137.0105248031953</v>
      </c>
      <c r="S240" s="58">
        <v>1.3435754084930637E-6</v>
      </c>
      <c r="U240" s="83"/>
      <c r="V240" s="85"/>
      <c r="W240" s="85"/>
      <c r="X240" s="152"/>
      <c r="Y240" s="153"/>
      <c r="Z240" s="153"/>
      <c r="AA240" s="153"/>
      <c r="AB240" s="117">
        <f t="shared" si="11"/>
        <v>0.24594751968047604</v>
      </c>
      <c r="AC240" s="117">
        <f t="shared" si="12"/>
        <v>1.3435754084930635E-4</v>
      </c>
      <c r="AH240" s="83"/>
    </row>
    <row r="241" spans="9:34" x14ac:dyDescent="0.25">
      <c r="I241" s="50"/>
      <c r="J241" s="50"/>
      <c r="K241" s="50"/>
      <c r="L241" s="70"/>
      <c r="M241" s="27"/>
      <c r="R241" s="61">
        <v>1137.0105248031953</v>
      </c>
      <c r="S241" s="58">
        <v>1.4160696521265886E-6</v>
      </c>
      <c r="U241" s="83"/>
      <c r="V241" s="85"/>
      <c r="W241" s="85"/>
      <c r="X241" s="152"/>
      <c r="Y241" s="153"/>
      <c r="Z241" s="153"/>
      <c r="AA241" s="153"/>
      <c r="AB241" s="117">
        <f t="shared" si="11"/>
        <v>0.24594751968047604</v>
      </c>
      <c r="AC241" s="117">
        <f t="shared" si="12"/>
        <v>1.4160696521265886E-4</v>
      </c>
      <c r="AH241" s="83"/>
    </row>
    <row r="242" spans="9:34" x14ac:dyDescent="0.25">
      <c r="I242" s="50"/>
      <c r="J242" s="50"/>
      <c r="K242" s="50"/>
      <c r="L242" s="70"/>
      <c r="M242" s="27"/>
      <c r="R242" s="61">
        <v>1137.5014338941044</v>
      </c>
      <c r="S242" s="58">
        <v>1.4160696521265886E-6</v>
      </c>
      <c r="U242" s="83"/>
      <c r="V242" s="85"/>
      <c r="W242" s="85"/>
      <c r="X242" s="152"/>
      <c r="Y242" s="153"/>
      <c r="Z242" s="153"/>
      <c r="AA242" s="153"/>
      <c r="AB242" s="117">
        <f t="shared" si="11"/>
        <v>0.19685661058956611</v>
      </c>
      <c r="AC242" s="117">
        <f t="shared" si="12"/>
        <v>1.4160696521265886E-4</v>
      </c>
      <c r="AH242" s="83"/>
    </row>
    <row r="243" spans="9:34" x14ac:dyDescent="0.25">
      <c r="I243" s="50"/>
      <c r="J243" s="50"/>
      <c r="K243" s="50"/>
      <c r="L243" s="70"/>
      <c r="M243" s="27"/>
      <c r="R243" s="61">
        <v>1137.5014338941044</v>
      </c>
      <c r="S243" s="58">
        <v>1.494285217954214E-6</v>
      </c>
      <c r="U243" s="83"/>
      <c r="V243" s="85"/>
      <c r="W243" s="85"/>
      <c r="X243" s="152"/>
      <c r="Y243" s="153"/>
      <c r="Z243" s="153"/>
      <c r="AA243" s="153"/>
      <c r="AB243" s="117">
        <f t="shared" si="11"/>
        <v>0.19685661058956611</v>
      </c>
      <c r="AC243" s="117">
        <f t="shared" si="12"/>
        <v>1.4942852179542141E-4</v>
      </c>
      <c r="AH243" s="83"/>
    </row>
    <row r="244" spans="9:34" x14ac:dyDescent="0.25">
      <c r="I244" s="50"/>
      <c r="J244" s="50"/>
      <c r="K244" s="50"/>
      <c r="L244" s="70"/>
      <c r="M244" s="27"/>
      <c r="R244" s="61">
        <v>1137.9923429850135</v>
      </c>
      <c r="S244" s="58">
        <v>1.494285217954214E-6</v>
      </c>
      <c r="U244" s="83"/>
      <c r="V244" s="85"/>
      <c r="W244" s="85"/>
      <c r="X244" s="152"/>
      <c r="Y244" s="153"/>
      <c r="Z244" s="153"/>
      <c r="AA244" s="153"/>
      <c r="AB244" s="117">
        <f t="shared" si="11"/>
        <v>0.1477657014986562</v>
      </c>
      <c r="AC244" s="117">
        <f t="shared" si="12"/>
        <v>1.4942852179542141E-4</v>
      </c>
      <c r="AH244" s="83"/>
    </row>
    <row r="245" spans="9:34" x14ac:dyDescent="0.25">
      <c r="I245" s="50"/>
      <c r="J245" s="50"/>
      <c r="K245" s="50"/>
      <c r="L245" s="70"/>
      <c r="M245" s="27"/>
      <c r="R245" s="61">
        <v>1137.9923429850135</v>
      </c>
      <c r="S245" s="58">
        <v>1.5777894808055625E-6</v>
      </c>
      <c r="U245" s="83"/>
      <c r="V245" s="85"/>
      <c r="W245" s="85"/>
      <c r="X245" s="152"/>
      <c r="Y245" s="153"/>
      <c r="Z245" s="153"/>
      <c r="AA245" s="153"/>
      <c r="AB245" s="117">
        <f t="shared" si="11"/>
        <v>0.1477657014986562</v>
      </c>
      <c r="AC245" s="117">
        <f t="shared" si="12"/>
        <v>1.5777894808055625E-4</v>
      </c>
      <c r="AH245" s="83"/>
    </row>
    <row r="246" spans="9:34" x14ac:dyDescent="0.25">
      <c r="I246" s="50"/>
      <c r="J246" s="50"/>
      <c r="K246" s="50"/>
      <c r="L246" s="70"/>
      <c r="M246" s="27"/>
      <c r="R246" s="61">
        <v>1138.4832520759226</v>
      </c>
      <c r="S246" s="58">
        <v>1.5777894808055625E-6</v>
      </c>
      <c r="U246" s="83"/>
      <c r="V246" s="85"/>
      <c r="W246" s="85"/>
      <c r="X246" s="152"/>
      <c r="Y246" s="153"/>
      <c r="Z246" s="153"/>
      <c r="AA246" s="153"/>
      <c r="AB246" s="117">
        <f t="shared" si="11"/>
        <v>9.8674792407746278E-2</v>
      </c>
      <c r="AC246" s="117">
        <f t="shared" si="12"/>
        <v>1.5777894808055625E-4</v>
      </c>
      <c r="AH246" s="83"/>
    </row>
    <row r="247" spans="9:34" x14ac:dyDescent="0.25">
      <c r="I247" s="50"/>
      <c r="J247" s="50"/>
      <c r="K247" s="50"/>
      <c r="L247" s="70"/>
      <c r="M247" s="27"/>
      <c r="R247" s="61">
        <v>1138.4832520759226</v>
      </c>
      <c r="S247" s="58">
        <v>1.6659884552627932E-6</v>
      </c>
      <c r="U247" s="83"/>
      <c r="V247" s="85"/>
      <c r="W247" s="85"/>
      <c r="X247" s="152"/>
      <c r="Y247" s="153"/>
      <c r="Z247" s="153"/>
      <c r="AA247" s="153"/>
      <c r="AB247" s="117">
        <f t="shared" si="11"/>
        <v>9.8674792407746278E-2</v>
      </c>
      <c r="AC247" s="117">
        <f t="shared" si="12"/>
        <v>1.6659884552627932E-4</v>
      </c>
      <c r="AH247" s="83"/>
    </row>
    <row r="248" spans="9:34" x14ac:dyDescent="0.25">
      <c r="I248" s="50"/>
      <c r="J248" s="50"/>
      <c r="K248" s="50"/>
      <c r="L248" s="70"/>
      <c r="M248" s="27"/>
      <c r="R248" s="61">
        <v>1138.9741611668317</v>
      </c>
      <c r="S248" s="58">
        <v>1.6659884552627932E-6</v>
      </c>
      <c r="U248" s="83"/>
      <c r="V248" s="85"/>
      <c r="W248" s="85"/>
      <c r="X248" s="152"/>
      <c r="Y248" s="153"/>
      <c r="Z248" s="153"/>
      <c r="AA248" s="153"/>
      <c r="AB248" s="117">
        <f t="shared" si="11"/>
        <v>4.9583883316836365E-2</v>
      </c>
      <c r="AC248" s="117">
        <f t="shared" si="12"/>
        <v>1.6659884552627932E-4</v>
      </c>
      <c r="AH248" s="83"/>
    </row>
    <row r="249" spans="9:34" x14ac:dyDescent="0.25">
      <c r="I249" s="50"/>
      <c r="J249" s="50"/>
      <c r="K249" s="50"/>
      <c r="L249" s="70"/>
      <c r="M249" s="27"/>
      <c r="R249" s="61">
        <v>1138.9741611668317</v>
      </c>
      <c r="S249" s="58">
        <v>1.7581373032977662E-6</v>
      </c>
      <c r="U249" s="83"/>
      <c r="V249" s="85"/>
      <c r="W249" s="85"/>
      <c r="X249" s="152"/>
      <c r="Y249" s="153"/>
      <c r="Z249" s="153"/>
      <c r="AA249" s="153"/>
      <c r="AB249" s="117">
        <f t="shared" si="11"/>
        <v>4.9583883316836365E-2</v>
      </c>
      <c r="AC249" s="117">
        <f t="shared" si="12"/>
        <v>1.7581373032977661E-4</v>
      </c>
      <c r="AH249" s="83"/>
    </row>
    <row r="250" spans="9:34" x14ac:dyDescent="0.25">
      <c r="I250" s="50"/>
      <c r="J250" s="50"/>
      <c r="K250" s="50"/>
      <c r="L250" s="70"/>
      <c r="M250" s="27"/>
      <c r="R250" s="61">
        <v>1139.4650702577408</v>
      </c>
      <c r="S250" s="58">
        <v>1.7581373032977662E-6</v>
      </c>
      <c r="U250" s="83"/>
      <c r="V250" s="85"/>
      <c r="W250" s="85"/>
      <c r="X250" s="152"/>
      <c r="Y250" s="153"/>
      <c r="Z250" s="153"/>
      <c r="AA250" s="153"/>
      <c r="AB250" s="117">
        <f t="shared" si="11"/>
        <v>4.9297422592644582E-4</v>
      </c>
      <c r="AC250" s="117">
        <f t="shared" si="12"/>
        <v>1.7581373032977661E-4</v>
      </c>
      <c r="AH250" s="83"/>
    </row>
    <row r="251" spans="9:34" x14ac:dyDescent="0.25">
      <c r="I251" s="50"/>
      <c r="J251" s="50"/>
      <c r="K251" s="50"/>
      <c r="L251" s="70"/>
      <c r="M251" s="27"/>
      <c r="R251" s="61">
        <v>1139.4650702577408</v>
      </c>
      <c r="S251" s="58">
        <v>1.8533587182406415E-6</v>
      </c>
      <c r="U251" s="83"/>
      <c r="V251" s="85"/>
      <c r="W251" s="85"/>
      <c r="X251" s="152"/>
      <c r="Y251" s="153"/>
      <c r="Z251" s="153"/>
      <c r="AA251" s="153"/>
      <c r="AB251" s="117">
        <f t="shared" si="11"/>
        <v>4.9297422592644582E-4</v>
      </c>
      <c r="AC251" s="117">
        <f t="shared" si="12"/>
        <v>1.8533587182406415E-4</v>
      </c>
      <c r="AH251" s="83"/>
    </row>
    <row r="252" spans="9:34" x14ac:dyDescent="0.25">
      <c r="I252" s="50"/>
      <c r="J252" s="50"/>
      <c r="K252" s="50"/>
      <c r="L252" s="70"/>
      <c r="M252" s="27"/>
      <c r="R252" s="61">
        <v>1139.9559793486499</v>
      </c>
      <c r="S252" s="58">
        <v>1.8533587182406415E-6</v>
      </c>
      <c r="U252" s="83"/>
      <c r="V252" s="85"/>
      <c r="W252" s="85"/>
      <c r="X252" s="152"/>
      <c r="Y252" s="153"/>
      <c r="Z252" s="153"/>
      <c r="AA252" s="153"/>
      <c r="AB252" s="117">
        <f t="shared" si="11"/>
        <v>-4.8597934864983469E-2</v>
      </c>
      <c r="AC252" s="117">
        <f t="shared" si="12"/>
        <v>1.8533587182406415E-4</v>
      </c>
      <c r="AH252" s="83"/>
    </row>
    <row r="253" spans="9:34" x14ac:dyDescent="0.25">
      <c r="I253" s="50"/>
      <c r="J253" s="50"/>
      <c r="K253" s="50"/>
      <c r="L253" s="70"/>
      <c r="M253" s="27"/>
      <c r="R253" s="61">
        <v>1139.9559793486499</v>
      </c>
      <c r="S253" s="58">
        <v>1.9506685358349006E-6</v>
      </c>
      <c r="U253" s="83"/>
      <c r="V253" s="85"/>
      <c r="W253" s="85"/>
      <c r="X253" s="152"/>
      <c r="Y253" s="153"/>
      <c r="Z253" s="153"/>
      <c r="AA253" s="153"/>
      <c r="AB253" s="117">
        <f t="shared" si="11"/>
        <v>-4.8597934864983469E-2</v>
      </c>
      <c r="AC253" s="117">
        <f t="shared" si="12"/>
        <v>1.9506685358349006E-4</v>
      </c>
      <c r="AH253" s="83"/>
    </row>
    <row r="254" spans="9:34" x14ac:dyDescent="0.25">
      <c r="I254" s="50"/>
      <c r="J254" s="50"/>
      <c r="K254" s="50"/>
      <c r="L254" s="70"/>
      <c r="M254" s="27"/>
      <c r="R254" s="61">
        <v>1140.446888439559</v>
      </c>
      <c r="S254" s="58">
        <v>1.9506685358349006E-6</v>
      </c>
      <c r="U254" s="83"/>
      <c r="V254" s="85"/>
      <c r="W254" s="85"/>
      <c r="X254" s="152"/>
      <c r="Y254" s="153"/>
      <c r="Z254" s="153"/>
      <c r="AA254" s="153"/>
      <c r="AB254" s="117">
        <f t="shared" si="11"/>
        <v>-9.768884395589339E-2</v>
      </c>
      <c r="AC254" s="117">
        <f t="shared" si="12"/>
        <v>1.9506685358349006E-4</v>
      </c>
      <c r="AH254" s="83"/>
    </row>
    <row r="255" spans="9:34" x14ac:dyDescent="0.25">
      <c r="I255" s="50"/>
      <c r="J255" s="50"/>
      <c r="K255" s="50"/>
      <c r="L255" s="70"/>
      <c r="M255" s="27"/>
      <c r="R255" s="61">
        <v>1140.446888439559</v>
      </c>
      <c r="S255" s="58">
        <v>2.0243859793178907E-6</v>
      </c>
      <c r="U255" s="83"/>
      <c r="V255" s="85"/>
      <c r="W255" s="85"/>
      <c r="X255" s="152"/>
      <c r="Y255" s="153"/>
      <c r="Z255" s="153"/>
      <c r="AA255" s="153"/>
      <c r="AB255" s="117">
        <f t="shared" si="11"/>
        <v>-9.768884395589339E-2</v>
      </c>
      <c r="AC255" s="117">
        <f t="shared" si="12"/>
        <v>2.0243859793178909E-4</v>
      </c>
      <c r="AH255" s="83"/>
    </row>
    <row r="256" spans="9:34" x14ac:dyDescent="0.25">
      <c r="I256" s="50"/>
      <c r="J256" s="50"/>
      <c r="K256" s="50"/>
      <c r="L256" s="70"/>
      <c r="M256" s="27"/>
      <c r="R256" s="61">
        <v>1140.6923429850135</v>
      </c>
      <c r="S256" s="58">
        <v>2.0243859793178907E-6</v>
      </c>
      <c r="U256" s="83"/>
      <c r="V256" s="85"/>
      <c r="W256" s="85"/>
      <c r="X256" s="152"/>
      <c r="Y256" s="153"/>
      <c r="Z256" s="153"/>
      <c r="AA256" s="153"/>
      <c r="AB256" s="117">
        <f t="shared" si="11"/>
        <v>-0.12223429850134834</v>
      </c>
      <c r="AC256" s="117">
        <f t="shared" si="12"/>
        <v>2.0243859793178909E-4</v>
      </c>
      <c r="AH256" s="83"/>
    </row>
    <row r="257" spans="9:34" x14ac:dyDescent="0.25">
      <c r="I257" s="50"/>
      <c r="J257" s="50"/>
      <c r="K257" s="50"/>
      <c r="L257" s="70"/>
      <c r="M257" s="27"/>
      <c r="R257" s="61">
        <v>1140.6923429850135</v>
      </c>
      <c r="S257" s="58">
        <v>2.0854383396729069E-6</v>
      </c>
      <c r="U257" s="83"/>
      <c r="V257" s="85"/>
      <c r="W257" s="85"/>
      <c r="X257" s="152"/>
      <c r="Y257" s="153"/>
      <c r="Z257" s="153"/>
      <c r="AA257" s="153"/>
      <c r="AB257" s="117">
        <f t="shared" si="11"/>
        <v>-0.12223429850134834</v>
      </c>
      <c r="AC257" s="117">
        <f t="shared" si="12"/>
        <v>2.085438339672907E-4</v>
      </c>
      <c r="AH257" s="83"/>
    </row>
    <row r="258" spans="9:34" x14ac:dyDescent="0.25">
      <c r="I258" s="50"/>
      <c r="J258" s="50"/>
      <c r="K258" s="50"/>
      <c r="L258" s="70"/>
      <c r="M258" s="27"/>
      <c r="R258" s="61">
        <v>1141.0468884395589</v>
      </c>
      <c r="S258" s="58">
        <v>2.0854383396729069E-6</v>
      </c>
      <c r="U258" s="83"/>
      <c r="V258" s="85"/>
      <c r="W258" s="85"/>
      <c r="X258" s="152"/>
      <c r="Y258" s="153"/>
      <c r="Z258" s="153"/>
      <c r="AA258" s="153"/>
      <c r="AB258" s="117">
        <f t="shared" si="11"/>
        <v>-0.15768884395588428</v>
      </c>
      <c r="AC258" s="117">
        <f t="shared" si="12"/>
        <v>2.085438339672907E-4</v>
      </c>
      <c r="AH258" s="83"/>
    </row>
    <row r="259" spans="9:34" x14ac:dyDescent="0.25">
      <c r="I259" s="50"/>
      <c r="J259" s="50"/>
      <c r="K259" s="50"/>
      <c r="L259" s="70"/>
      <c r="M259" s="27"/>
      <c r="R259" s="61">
        <v>1141.0468884395589</v>
      </c>
      <c r="S259" s="58">
        <v>2.191274855025782E-6</v>
      </c>
      <c r="U259" s="83"/>
      <c r="V259" s="85"/>
      <c r="W259" s="85"/>
      <c r="X259" s="152"/>
      <c r="Y259" s="153"/>
      <c r="Z259" s="153"/>
      <c r="AA259" s="153"/>
      <c r="AB259" s="117">
        <f t="shared" si="11"/>
        <v>-0.15768884395588428</v>
      </c>
      <c r="AC259" s="117">
        <f t="shared" si="12"/>
        <v>2.1912748550257819E-4</v>
      </c>
      <c r="AH259" s="83"/>
    </row>
    <row r="260" spans="9:34" x14ac:dyDescent="0.25">
      <c r="I260" s="50"/>
      <c r="J260" s="50"/>
      <c r="K260" s="50"/>
      <c r="L260" s="70"/>
      <c r="M260" s="27"/>
      <c r="R260" s="61">
        <v>1141.7559793486498</v>
      </c>
      <c r="S260" s="58">
        <v>2.191274855025782E-6</v>
      </c>
      <c r="U260" s="83"/>
      <c r="V260" s="85"/>
      <c r="W260" s="85"/>
      <c r="X260" s="152"/>
      <c r="Y260" s="153"/>
      <c r="Z260" s="153"/>
      <c r="AA260" s="153"/>
      <c r="AB260" s="117">
        <f t="shared" ref="AB260:AB323" si="13">(1139.47-R260)/10</f>
        <v>-0.22859793486497892</v>
      </c>
      <c r="AC260" s="117">
        <f t="shared" ref="AC260:AC323" si="14">S260*100</f>
        <v>2.1912748550257819E-4</v>
      </c>
      <c r="AH260" s="83"/>
    </row>
    <row r="261" spans="9:34" x14ac:dyDescent="0.25">
      <c r="I261" s="50"/>
      <c r="J261" s="50"/>
      <c r="K261" s="50"/>
      <c r="L261" s="70"/>
      <c r="M261" s="27"/>
      <c r="R261" s="61">
        <v>1141.7559793486498</v>
      </c>
      <c r="S261" s="58">
        <v>2.3292357299318319E-6</v>
      </c>
      <c r="U261" s="83"/>
      <c r="V261" s="85"/>
      <c r="W261" s="85"/>
      <c r="X261" s="152"/>
      <c r="Y261" s="153"/>
      <c r="Z261" s="153"/>
      <c r="AA261" s="153"/>
      <c r="AB261" s="117">
        <f t="shared" si="13"/>
        <v>-0.22859793486497892</v>
      </c>
      <c r="AC261" s="117">
        <f t="shared" si="14"/>
        <v>2.3292357299318318E-4</v>
      </c>
      <c r="AH261" s="83"/>
    </row>
    <row r="262" spans="9:34" x14ac:dyDescent="0.25">
      <c r="I262" s="50"/>
      <c r="J262" s="50"/>
      <c r="K262" s="50"/>
      <c r="L262" s="70"/>
      <c r="M262" s="27"/>
      <c r="R262" s="61">
        <v>1142.4650702577408</v>
      </c>
      <c r="S262" s="58">
        <v>2.3292357299318319E-6</v>
      </c>
      <c r="U262" s="83"/>
      <c r="V262" s="85"/>
      <c r="W262" s="85"/>
      <c r="X262" s="152"/>
      <c r="Y262" s="153"/>
      <c r="Z262" s="153"/>
      <c r="AA262" s="153"/>
      <c r="AB262" s="117">
        <f t="shared" si="13"/>
        <v>-0.29950702577407357</v>
      </c>
      <c r="AC262" s="117">
        <f t="shared" si="14"/>
        <v>2.3292357299318318E-4</v>
      </c>
      <c r="AH262" s="83"/>
    </row>
    <row r="263" spans="9:34" x14ac:dyDescent="0.25">
      <c r="I263" s="50"/>
      <c r="J263" s="50"/>
      <c r="K263" s="50"/>
      <c r="L263" s="70"/>
      <c r="M263" s="27"/>
      <c r="R263" s="61">
        <v>1142.4650702577408</v>
      </c>
      <c r="S263" s="58">
        <v>2.46076982357098E-6</v>
      </c>
      <c r="U263" s="83"/>
      <c r="V263" s="85"/>
      <c r="W263" s="85"/>
      <c r="X263" s="152"/>
      <c r="Y263" s="153"/>
      <c r="Z263" s="153"/>
      <c r="AA263" s="153"/>
      <c r="AB263" s="117">
        <f t="shared" si="13"/>
        <v>-0.29950702577407357</v>
      </c>
      <c r="AC263" s="117">
        <f t="shared" si="14"/>
        <v>2.4607698235709798E-4</v>
      </c>
      <c r="AH263" s="83"/>
    </row>
    <row r="264" spans="9:34" x14ac:dyDescent="0.25">
      <c r="I264" s="50"/>
      <c r="J264" s="50"/>
      <c r="K264" s="50"/>
      <c r="L264" s="70"/>
      <c r="M264" s="27"/>
      <c r="R264" s="61">
        <v>1143.1741611668317</v>
      </c>
      <c r="S264" s="58">
        <v>2.46076982357098E-6</v>
      </c>
      <c r="U264" s="83"/>
      <c r="V264" s="85"/>
      <c r="W264" s="85"/>
      <c r="X264" s="152"/>
      <c r="Y264" s="153"/>
      <c r="Z264" s="153"/>
      <c r="AA264" s="153"/>
      <c r="AB264" s="117">
        <f t="shared" si="13"/>
        <v>-0.37041611668316821</v>
      </c>
      <c r="AC264" s="117">
        <f t="shared" si="14"/>
        <v>2.4607698235709798E-4</v>
      </c>
      <c r="AH264" s="83"/>
    </row>
    <row r="265" spans="9:34" x14ac:dyDescent="0.25">
      <c r="I265" s="50"/>
      <c r="J265" s="50"/>
      <c r="K265" s="50"/>
      <c r="L265" s="70"/>
      <c r="M265" s="27"/>
      <c r="R265" s="61">
        <v>1143.1741611668317</v>
      </c>
      <c r="S265" s="58">
        <v>2.5832203345857919E-6</v>
      </c>
      <c r="U265" s="83"/>
      <c r="V265" s="85"/>
      <c r="W265" s="85"/>
      <c r="X265" s="152"/>
      <c r="Y265" s="153"/>
      <c r="Z265" s="153"/>
      <c r="AA265" s="153"/>
      <c r="AB265" s="117">
        <f t="shared" si="13"/>
        <v>-0.37041611668316821</v>
      </c>
      <c r="AC265" s="117">
        <f t="shared" si="14"/>
        <v>2.5832203345857918E-4</v>
      </c>
      <c r="AH265" s="83"/>
    </row>
    <row r="266" spans="9:34" x14ac:dyDescent="0.25">
      <c r="I266" s="50"/>
      <c r="J266" s="50"/>
      <c r="K266" s="50"/>
      <c r="L266" s="70"/>
      <c r="M266" s="27"/>
      <c r="R266" s="61">
        <v>1143.8832520759227</v>
      </c>
      <c r="S266" s="58">
        <v>2.5832203345857919E-6</v>
      </c>
      <c r="U266" s="83"/>
      <c r="V266" s="85"/>
      <c r="W266" s="85"/>
      <c r="X266" s="152"/>
      <c r="Y266" s="153"/>
      <c r="Z266" s="153"/>
      <c r="AA266" s="153"/>
      <c r="AB266" s="117">
        <f t="shared" si="13"/>
        <v>-0.44132520759226279</v>
      </c>
      <c r="AC266" s="117">
        <f t="shared" si="14"/>
        <v>2.5832203345857918E-4</v>
      </c>
      <c r="AH266" s="83"/>
    </row>
    <row r="267" spans="9:34" x14ac:dyDescent="0.25">
      <c r="I267" s="50"/>
      <c r="J267" s="50"/>
      <c r="K267" s="50"/>
      <c r="M267" s="34"/>
      <c r="R267" s="61">
        <v>1143.8832520759227</v>
      </c>
      <c r="S267" s="58">
        <v>2.694527418529598E-6</v>
      </c>
      <c r="U267" s="83"/>
      <c r="V267" s="85"/>
      <c r="W267" s="85"/>
      <c r="X267" s="152"/>
      <c r="Y267" s="153"/>
      <c r="Z267" s="153"/>
      <c r="AA267" s="153"/>
      <c r="AB267" s="117">
        <f t="shared" si="13"/>
        <v>-0.44132520759226279</v>
      </c>
      <c r="AC267" s="117">
        <f t="shared" si="14"/>
        <v>2.6945274185295981E-4</v>
      </c>
      <c r="AH267" s="83"/>
    </row>
    <row r="268" spans="9:34" x14ac:dyDescent="0.25">
      <c r="I268" s="50"/>
      <c r="J268" s="50"/>
      <c r="K268" s="50"/>
      <c r="M268" s="34"/>
      <c r="R268" s="61">
        <v>1144.5923429850136</v>
      </c>
      <c r="S268" s="58">
        <v>2.694527418529598E-6</v>
      </c>
      <c r="U268" s="83"/>
      <c r="V268" s="85"/>
      <c r="W268" s="85"/>
      <c r="X268" s="152"/>
      <c r="Y268" s="153"/>
      <c r="Z268" s="153"/>
      <c r="AA268" s="153"/>
      <c r="AB268" s="117">
        <f t="shared" si="13"/>
        <v>-0.51223429850135749</v>
      </c>
      <c r="AC268" s="117">
        <f t="shared" si="14"/>
        <v>2.6945274185295981E-4</v>
      </c>
      <c r="AH268" s="83"/>
    </row>
    <row r="269" spans="9:34" x14ac:dyDescent="0.25">
      <c r="I269" s="50"/>
      <c r="J269" s="50"/>
      <c r="K269" s="50"/>
      <c r="M269" s="33"/>
      <c r="R269" s="61">
        <v>1144.5923429850136</v>
      </c>
      <c r="S269" s="58">
        <v>2.7933202536467665E-6</v>
      </c>
      <c r="U269" s="83"/>
      <c r="V269" s="85"/>
      <c r="W269" s="85"/>
      <c r="X269" s="152"/>
      <c r="Y269" s="153"/>
      <c r="Z269" s="153"/>
      <c r="AA269" s="153"/>
      <c r="AB269" s="117">
        <f t="shared" si="13"/>
        <v>-0.51223429850135749</v>
      </c>
      <c r="AC269" s="117">
        <f t="shared" si="14"/>
        <v>2.7933202536467664E-4</v>
      </c>
      <c r="AH269" s="83"/>
    </row>
    <row r="270" spans="9:34" x14ac:dyDescent="0.25">
      <c r="I270" s="50"/>
      <c r="J270" s="50"/>
      <c r="K270" s="50"/>
      <c r="M270" s="34"/>
      <c r="R270" s="61">
        <v>1145.3014338941045</v>
      </c>
      <c r="S270" s="58">
        <v>2.7933202536467665E-6</v>
      </c>
      <c r="U270" s="83"/>
      <c r="V270" s="85"/>
      <c r="W270" s="85"/>
      <c r="X270" s="152"/>
      <c r="Y270" s="153"/>
      <c r="Z270" s="153"/>
      <c r="AA270" s="153"/>
      <c r="AB270" s="117">
        <f t="shared" si="13"/>
        <v>-0.58314338941045207</v>
      </c>
      <c r="AC270" s="117">
        <f t="shared" si="14"/>
        <v>2.7933202536467664E-4</v>
      </c>
      <c r="AH270" s="83"/>
    </row>
    <row r="271" spans="9:34" x14ac:dyDescent="0.25">
      <c r="I271" s="50"/>
      <c r="J271" s="50"/>
      <c r="K271" s="50"/>
      <c r="M271" s="35"/>
      <c r="R271" s="61">
        <v>1145.3014338941045</v>
      </c>
      <c r="S271" s="58">
        <v>2.8789388657415074E-6</v>
      </c>
      <c r="U271" s="83"/>
      <c r="V271" s="85"/>
      <c r="W271" s="85"/>
      <c r="X271" s="152"/>
      <c r="Y271" s="153"/>
      <c r="Z271" s="153"/>
      <c r="AA271" s="153"/>
      <c r="AB271" s="117">
        <f t="shared" si="13"/>
        <v>-0.58314338941045207</v>
      </c>
      <c r="AC271" s="117">
        <f t="shared" si="14"/>
        <v>2.8789388657415074E-4</v>
      </c>
      <c r="AH271" s="83"/>
    </row>
    <row r="272" spans="9:34" x14ac:dyDescent="0.25">
      <c r="I272" s="50"/>
      <c r="J272" s="50"/>
      <c r="K272" s="50"/>
      <c r="M272" s="34"/>
      <c r="R272" s="61">
        <v>1146.0105248031955</v>
      </c>
      <c r="S272" s="58">
        <v>2.8789388657415074E-6</v>
      </c>
      <c r="U272" s="83"/>
      <c r="V272" s="85"/>
      <c r="W272" s="85"/>
      <c r="X272" s="152"/>
      <c r="Y272" s="153"/>
      <c r="Z272" s="153"/>
      <c r="AA272" s="153"/>
      <c r="AB272" s="117">
        <f t="shared" si="13"/>
        <v>-0.65405248031954666</v>
      </c>
      <c r="AC272" s="117">
        <f t="shared" si="14"/>
        <v>2.8789388657415074E-4</v>
      </c>
      <c r="AH272" s="83"/>
    </row>
    <row r="273" spans="9:34" x14ac:dyDescent="0.25">
      <c r="I273" s="50"/>
      <c r="J273" s="50"/>
      <c r="K273" s="50"/>
      <c r="M273" s="33"/>
      <c r="R273" s="61">
        <v>1146.0105248031955</v>
      </c>
      <c r="S273" s="58">
        <v>2.9513902024218788E-6</v>
      </c>
      <c r="U273" s="83"/>
      <c r="V273" s="85"/>
      <c r="W273" s="85"/>
      <c r="X273" s="152"/>
      <c r="Y273" s="153"/>
      <c r="Z273" s="153"/>
      <c r="AA273" s="153"/>
      <c r="AB273" s="117">
        <f t="shared" si="13"/>
        <v>-0.65405248031954666</v>
      </c>
      <c r="AC273" s="117">
        <f t="shared" si="14"/>
        <v>2.951390202421879E-4</v>
      </c>
      <c r="AH273" s="83"/>
    </row>
    <row r="274" spans="9:34" x14ac:dyDescent="0.25">
      <c r="I274" s="50"/>
      <c r="J274" s="50"/>
      <c r="K274" s="50"/>
      <c r="M274" s="34"/>
      <c r="R274" s="61">
        <v>1146.7196157122864</v>
      </c>
      <c r="S274" s="58">
        <v>2.9513902024218788E-6</v>
      </c>
      <c r="U274" s="83"/>
      <c r="V274" s="85"/>
      <c r="W274" s="85"/>
      <c r="X274" s="152"/>
      <c r="Y274" s="153"/>
      <c r="Z274" s="153"/>
      <c r="AA274" s="153"/>
      <c r="AB274" s="117">
        <f t="shared" si="13"/>
        <v>-0.72496157122864135</v>
      </c>
      <c r="AC274" s="117">
        <f t="shared" si="14"/>
        <v>2.951390202421879E-4</v>
      </c>
      <c r="AH274" s="83"/>
    </row>
    <row r="275" spans="9:34" x14ac:dyDescent="0.25">
      <c r="I275" s="50"/>
      <c r="J275" s="50"/>
      <c r="K275" s="50"/>
      <c r="M275" s="34"/>
      <c r="R275" s="61">
        <v>1146.7196157122864</v>
      </c>
      <c r="S275" s="58">
        <v>3.0112498961795437E-6</v>
      </c>
      <c r="U275" s="83"/>
      <c r="V275" s="85"/>
      <c r="W275" s="85"/>
      <c r="X275" s="152"/>
      <c r="Y275" s="153"/>
      <c r="Z275" s="153"/>
      <c r="AA275" s="153"/>
      <c r="AB275" s="117">
        <f t="shared" si="13"/>
        <v>-0.72496157122864135</v>
      </c>
      <c r="AC275" s="117">
        <f t="shared" si="14"/>
        <v>3.0112498961795437E-4</v>
      </c>
    </row>
    <row r="276" spans="9:34" x14ac:dyDescent="0.25">
      <c r="I276" s="50"/>
      <c r="J276" s="50"/>
      <c r="K276" s="50"/>
      <c r="M276" s="33"/>
      <c r="R276" s="61">
        <v>1147.4287066213774</v>
      </c>
      <c r="S276" s="58">
        <v>3.0112498961795437E-6</v>
      </c>
      <c r="U276" s="83"/>
      <c r="V276" s="85"/>
      <c r="W276" s="85"/>
      <c r="X276" s="152"/>
      <c r="Y276" s="153"/>
      <c r="Z276" s="153"/>
      <c r="AA276" s="153"/>
      <c r="AB276" s="117">
        <f t="shared" si="13"/>
        <v>-0.79587066213773594</v>
      </c>
      <c r="AC276" s="117">
        <f t="shared" si="14"/>
        <v>3.0112498961795437E-4</v>
      </c>
    </row>
    <row r="277" spans="9:34" x14ac:dyDescent="0.25">
      <c r="I277" s="50"/>
      <c r="J277" s="50"/>
      <c r="K277" s="50"/>
      <c r="M277" s="34"/>
      <c r="R277" s="61">
        <v>1147.4287066213774</v>
      </c>
      <c r="S277" s="58">
        <v>3.05952321670441E-6</v>
      </c>
      <c r="U277" s="83"/>
      <c r="V277" s="85"/>
      <c r="W277" s="85"/>
      <c r="X277" s="152"/>
      <c r="Y277" s="153"/>
      <c r="Z277" s="153"/>
      <c r="AA277" s="153"/>
      <c r="AB277" s="117">
        <f t="shared" si="13"/>
        <v>-0.79587066213773594</v>
      </c>
      <c r="AC277" s="117">
        <f t="shared" si="14"/>
        <v>3.05952321670441E-4</v>
      </c>
    </row>
    <row r="278" spans="9:34" x14ac:dyDescent="0.25">
      <c r="I278" s="50"/>
      <c r="J278" s="50"/>
      <c r="K278" s="50"/>
      <c r="M278" s="34"/>
      <c r="R278" s="61">
        <v>1148.1377975304683</v>
      </c>
      <c r="S278" s="58">
        <v>3.05952321670441E-6</v>
      </c>
      <c r="U278" s="83"/>
      <c r="V278" s="85"/>
      <c r="W278" s="85"/>
      <c r="X278" s="152"/>
      <c r="Y278" s="153"/>
      <c r="Z278" s="153"/>
      <c r="AA278" s="153"/>
      <c r="AB278" s="117">
        <f t="shared" si="13"/>
        <v>-0.86677975304683064</v>
      </c>
      <c r="AC278" s="117">
        <f t="shared" si="14"/>
        <v>3.05952321670441E-4</v>
      </c>
    </row>
    <row r="279" spans="9:34" x14ac:dyDescent="0.25">
      <c r="I279" s="50"/>
      <c r="J279" s="50"/>
      <c r="K279" s="50"/>
      <c r="M279" s="35"/>
      <c r="R279" s="61">
        <v>1148.1377975304683</v>
      </c>
      <c r="S279" s="58">
        <v>3.0974726383744814E-6</v>
      </c>
      <c r="U279" s="83"/>
      <c r="V279" s="85"/>
      <c r="W279" s="85"/>
      <c r="X279" s="152"/>
      <c r="Y279" s="153"/>
      <c r="Z279" s="153"/>
      <c r="AA279" s="153"/>
      <c r="AB279" s="117">
        <f t="shared" si="13"/>
        <v>-0.86677975304683064</v>
      </c>
      <c r="AC279" s="117">
        <f t="shared" si="14"/>
        <v>3.0974726383744812E-4</v>
      </c>
    </row>
    <row r="280" spans="9:34" x14ac:dyDescent="0.25">
      <c r="I280" s="50"/>
      <c r="J280" s="50"/>
      <c r="K280" s="50"/>
      <c r="M280" s="33"/>
      <c r="R280" s="61">
        <v>1148.8468884395593</v>
      </c>
      <c r="S280" s="58">
        <v>3.0974726383744814E-6</v>
      </c>
      <c r="U280" s="83"/>
      <c r="V280" s="85"/>
      <c r="W280" s="85"/>
      <c r="X280" s="152"/>
      <c r="Y280" s="153"/>
      <c r="Z280" s="153"/>
      <c r="AA280" s="153"/>
      <c r="AB280" s="117">
        <f t="shared" si="13"/>
        <v>-0.93768884395592522</v>
      </c>
      <c r="AC280" s="117">
        <f t="shared" si="14"/>
        <v>3.0974726383744812E-4</v>
      </c>
    </row>
    <row r="281" spans="9:34" x14ac:dyDescent="0.25">
      <c r="I281" s="50"/>
      <c r="J281" s="50"/>
      <c r="K281" s="50"/>
      <c r="M281" s="34"/>
      <c r="R281" s="61">
        <v>1148.8468884395593</v>
      </c>
      <c r="S281" s="58">
        <v>3.1264020996727152E-6</v>
      </c>
      <c r="U281" s="83"/>
      <c r="V281" s="85"/>
      <c r="W281" s="85"/>
      <c r="X281" s="152"/>
      <c r="Y281" s="153"/>
      <c r="Z281" s="153"/>
      <c r="AA281" s="153"/>
      <c r="AB281" s="117">
        <f t="shared" si="13"/>
        <v>-0.93768884395592522</v>
      </c>
      <c r="AC281" s="117">
        <f t="shared" si="14"/>
        <v>3.1264020996727153E-4</v>
      </c>
    </row>
    <row r="282" spans="9:34" x14ac:dyDescent="0.25">
      <c r="I282" s="50"/>
      <c r="J282" s="50"/>
      <c r="K282" s="50"/>
      <c r="M282" s="34"/>
      <c r="R282" s="61">
        <v>1149.5559793486502</v>
      </c>
      <c r="S282" s="58">
        <v>3.1264020996727152E-6</v>
      </c>
      <c r="U282" s="83"/>
      <c r="V282" s="85"/>
      <c r="W282" s="85"/>
      <c r="X282" s="152"/>
      <c r="Y282" s="153"/>
      <c r="Z282" s="153"/>
      <c r="AA282" s="153"/>
      <c r="AB282" s="117">
        <f t="shared" si="13"/>
        <v>-1.0085979348650198</v>
      </c>
      <c r="AC282" s="117">
        <f t="shared" si="14"/>
        <v>3.1264020996727153E-4</v>
      </c>
    </row>
    <row r="283" spans="9:34" x14ac:dyDescent="0.25">
      <c r="I283" s="50"/>
      <c r="J283" s="50"/>
      <c r="K283" s="50"/>
      <c r="M283" s="33"/>
      <c r="R283" s="61">
        <v>1149.5559793486502</v>
      </c>
      <c r="S283" s="58">
        <v>3.147361264467086E-6</v>
      </c>
      <c r="U283" s="83"/>
      <c r="V283" s="85"/>
      <c r="W283" s="85"/>
      <c r="X283" s="152"/>
      <c r="Y283" s="153"/>
      <c r="Z283" s="153"/>
      <c r="AA283" s="153"/>
      <c r="AB283" s="117">
        <f t="shared" si="13"/>
        <v>-1.0085979348650198</v>
      </c>
      <c r="AC283" s="117">
        <f t="shared" si="14"/>
        <v>3.147361264467086E-4</v>
      </c>
    </row>
    <row r="284" spans="9:34" x14ac:dyDescent="0.25">
      <c r="I284" s="50"/>
      <c r="J284" s="50"/>
      <c r="K284" s="50"/>
      <c r="M284" s="34"/>
      <c r="R284" s="61">
        <v>1150.2650702577412</v>
      </c>
      <c r="S284" s="58">
        <v>3.147361264467086E-6</v>
      </c>
      <c r="U284" s="83"/>
      <c r="V284" s="85"/>
      <c r="W284" s="85"/>
      <c r="X284" s="152"/>
      <c r="Y284" s="153"/>
      <c r="Z284" s="153"/>
      <c r="AA284" s="153"/>
      <c r="AB284" s="117">
        <f t="shared" si="13"/>
        <v>-1.0795070257741144</v>
      </c>
      <c r="AC284" s="117">
        <f t="shared" si="14"/>
        <v>3.147361264467086E-4</v>
      </c>
    </row>
    <row r="285" spans="9:34" x14ac:dyDescent="0.25">
      <c r="I285" s="50"/>
      <c r="J285" s="50"/>
      <c r="K285" s="50"/>
      <c r="M285" s="34"/>
      <c r="R285" s="61">
        <v>1150.2650702577412</v>
      </c>
      <c r="S285" s="58">
        <v>3.1607150787407878E-6</v>
      </c>
      <c r="U285" s="83"/>
      <c r="V285" s="85"/>
      <c r="W285" s="85"/>
      <c r="X285" s="152"/>
      <c r="Y285" s="153"/>
      <c r="Z285" s="153"/>
      <c r="AA285" s="153"/>
      <c r="AB285" s="117">
        <f t="shared" si="13"/>
        <v>-1.0795070257741144</v>
      </c>
      <c r="AC285" s="117">
        <f t="shared" si="14"/>
        <v>3.160715078740788E-4</v>
      </c>
    </row>
    <row r="286" spans="9:34" x14ac:dyDescent="0.25">
      <c r="I286" s="50"/>
      <c r="J286" s="50"/>
      <c r="K286" s="50"/>
      <c r="M286" s="34"/>
      <c r="R286" s="61">
        <v>1150.9741611668321</v>
      </c>
      <c r="S286" s="58">
        <v>3.1607150787407878E-6</v>
      </c>
      <c r="U286" s="83"/>
      <c r="V286" s="85"/>
      <c r="W286" s="85"/>
      <c r="X286" s="152"/>
      <c r="Y286" s="153"/>
      <c r="Z286" s="153"/>
      <c r="AA286" s="153"/>
      <c r="AB286" s="117">
        <f t="shared" si="13"/>
        <v>-1.1504161166832092</v>
      </c>
      <c r="AC286" s="117">
        <f t="shared" si="14"/>
        <v>3.160715078740788E-4</v>
      </c>
    </row>
    <row r="287" spans="9:34" x14ac:dyDescent="0.25">
      <c r="I287" s="50"/>
      <c r="J287" s="50"/>
      <c r="K287" s="50"/>
      <c r="M287" s="33"/>
      <c r="R287" s="61">
        <v>1150.9741611668321</v>
      </c>
      <c r="S287" s="58">
        <v>3.1655596672769194E-6</v>
      </c>
      <c r="U287" s="83"/>
      <c r="V287" s="85"/>
      <c r="W287" s="85"/>
      <c r="X287" s="152"/>
      <c r="Y287" s="153"/>
      <c r="Z287" s="153"/>
      <c r="AA287" s="153"/>
      <c r="AB287" s="117">
        <f t="shared" si="13"/>
        <v>-1.1504161166832092</v>
      </c>
      <c r="AC287" s="117">
        <f t="shared" si="14"/>
        <v>3.1655596672769192E-4</v>
      </c>
    </row>
    <row r="288" spans="9:34" x14ac:dyDescent="0.25">
      <c r="I288" s="50"/>
      <c r="J288" s="50"/>
      <c r="K288" s="50"/>
      <c r="M288" s="35"/>
      <c r="R288" s="61">
        <v>1151.6832520759231</v>
      </c>
      <c r="S288" s="58">
        <v>3.1655596672769194E-6</v>
      </c>
      <c r="U288" s="83"/>
      <c r="V288" s="85"/>
      <c r="W288" s="85"/>
      <c r="X288" s="152"/>
      <c r="Y288" s="153"/>
      <c r="Z288" s="153"/>
      <c r="AA288" s="153"/>
      <c r="AB288" s="117">
        <f t="shared" si="13"/>
        <v>-1.2213252075923038</v>
      </c>
      <c r="AC288" s="117">
        <f t="shared" si="14"/>
        <v>3.1655596672769192E-4</v>
      </c>
    </row>
    <row r="289" spans="9:29" x14ac:dyDescent="0.25">
      <c r="I289" s="50"/>
      <c r="J289" s="50"/>
      <c r="K289" s="50"/>
      <c r="M289" s="34"/>
      <c r="R289" s="61">
        <v>1151.6832520759231</v>
      </c>
      <c r="S289" s="58">
        <v>3.159111088550914E-6</v>
      </c>
      <c r="U289" s="83"/>
      <c r="V289" s="85"/>
      <c r="W289" s="85"/>
      <c r="X289" s="152"/>
      <c r="Y289" s="153"/>
      <c r="Z289" s="153"/>
      <c r="AA289" s="153"/>
      <c r="AB289" s="117">
        <f t="shared" si="13"/>
        <v>-1.2213252075923038</v>
      </c>
      <c r="AC289" s="117">
        <f t="shared" si="14"/>
        <v>3.1591110885509138E-4</v>
      </c>
    </row>
    <row r="290" spans="9:29" x14ac:dyDescent="0.25">
      <c r="I290" s="50"/>
      <c r="J290" s="50"/>
      <c r="K290" s="50"/>
      <c r="M290" s="34"/>
      <c r="R290" s="61">
        <v>1152.392342985014</v>
      </c>
      <c r="S290" s="58">
        <v>3.159111088550914E-6</v>
      </c>
      <c r="U290" s="83"/>
      <c r="V290" s="85"/>
      <c r="W290" s="85"/>
      <c r="X290" s="152"/>
      <c r="Y290" s="153"/>
      <c r="Z290" s="153"/>
      <c r="AA290" s="153"/>
      <c r="AB290" s="117">
        <f t="shared" si="13"/>
        <v>-1.2922342985013984</v>
      </c>
      <c r="AC290" s="117">
        <f t="shared" si="14"/>
        <v>3.1591110885509138E-4</v>
      </c>
    </row>
    <row r="291" spans="9:29" x14ac:dyDescent="0.25">
      <c r="I291" s="50"/>
      <c r="J291" s="50"/>
      <c r="K291" s="50"/>
      <c r="M291" s="33"/>
      <c r="R291" s="61">
        <v>1152.392342985014</v>
      </c>
      <c r="S291" s="58">
        <v>3.1364448921633295E-6</v>
      </c>
      <c r="U291" s="83"/>
      <c r="V291" s="85"/>
      <c r="W291" s="85"/>
      <c r="X291" s="152"/>
      <c r="Y291" s="153"/>
      <c r="Z291" s="153"/>
      <c r="AA291" s="153"/>
      <c r="AB291" s="117">
        <f t="shared" si="13"/>
        <v>-1.2922342985013984</v>
      </c>
      <c r="AC291" s="117">
        <f t="shared" si="14"/>
        <v>3.1364448921633294E-4</v>
      </c>
    </row>
    <row r="292" spans="9:29" x14ac:dyDescent="0.25">
      <c r="I292" s="50"/>
      <c r="J292" s="50"/>
      <c r="K292" s="50"/>
      <c r="M292" s="34"/>
      <c r="R292" s="61">
        <v>1153.101433894105</v>
      </c>
      <c r="S292" s="58">
        <v>3.1364448921633295E-6</v>
      </c>
      <c r="U292" s="83"/>
      <c r="V292" s="85"/>
      <c r="W292" s="85"/>
      <c r="X292" s="152"/>
      <c r="Y292" s="153"/>
      <c r="Z292" s="153"/>
      <c r="AA292" s="153"/>
      <c r="AB292" s="117">
        <f t="shared" si="13"/>
        <v>-1.363143389410493</v>
      </c>
      <c r="AC292" s="117">
        <f t="shared" si="14"/>
        <v>3.1364448921633294E-4</v>
      </c>
    </row>
    <row r="293" spans="9:29" x14ac:dyDescent="0.25">
      <c r="I293" s="50"/>
      <c r="J293" s="50"/>
      <c r="K293" s="50"/>
      <c r="M293" s="34"/>
      <c r="R293" s="61">
        <v>1153.101433894105</v>
      </c>
      <c r="S293" s="58">
        <v>3.0911615963209122E-6</v>
      </c>
      <c r="U293" s="83"/>
      <c r="V293" s="85"/>
      <c r="W293" s="85"/>
      <c r="X293" s="152"/>
      <c r="Y293" s="153"/>
      <c r="Z293" s="153"/>
      <c r="AA293" s="153"/>
      <c r="AB293" s="117">
        <f t="shared" si="13"/>
        <v>-1.363143389410493</v>
      </c>
      <c r="AC293" s="117">
        <f t="shared" si="14"/>
        <v>3.091161596320912E-4</v>
      </c>
    </row>
    <row r="294" spans="9:29" x14ac:dyDescent="0.25">
      <c r="I294" s="50"/>
      <c r="J294" s="50"/>
      <c r="K294" s="50"/>
      <c r="M294" s="33"/>
      <c r="R294" s="61">
        <v>1153.8105248031959</v>
      </c>
      <c r="S294" s="58">
        <v>3.0911615963209122E-6</v>
      </c>
      <c r="V294" s="85"/>
      <c r="W294" s="85"/>
      <c r="X294" s="152"/>
      <c r="Y294" s="153"/>
      <c r="Z294" s="153"/>
      <c r="AA294" s="153"/>
      <c r="AB294" s="117">
        <f t="shared" si="13"/>
        <v>-1.4340524803195875</v>
      </c>
      <c r="AC294" s="117">
        <f t="shared" si="14"/>
        <v>3.091161596320912E-4</v>
      </c>
    </row>
    <row r="295" spans="9:29" x14ac:dyDescent="0.25">
      <c r="I295" s="50"/>
      <c r="J295" s="50"/>
      <c r="K295" s="50"/>
      <c r="M295" s="34"/>
      <c r="R295" s="61">
        <v>1153.8105248031959</v>
      </c>
      <c r="S295" s="58">
        <v>3.0173897981178038E-6</v>
      </c>
      <c r="V295" s="85"/>
      <c r="W295" s="85"/>
      <c r="X295" s="152"/>
      <c r="Y295" s="153"/>
      <c r="Z295" s="153"/>
      <c r="AA295" s="153"/>
      <c r="AB295" s="117">
        <f t="shared" si="13"/>
        <v>-1.4340524803195875</v>
      </c>
      <c r="AC295" s="117">
        <f t="shared" si="14"/>
        <v>3.0173897981178039E-4</v>
      </c>
    </row>
    <row r="296" spans="9:29" x14ac:dyDescent="0.25">
      <c r="I296" s="50"/>
      <c r="J296" s="50"/>
      <c r="K296" s="50"/>
      <c r="M296" s="35"/>
      <c r="R296" s="61">
        <v>1154.5196157122868</v>
      </c>
      <c r="S296" s="58">
        <v>3.0173897981178038E-6</v>
      </c>
      <c r="V296" s="85"/>
      <c r="W296" s="85"/>
      <c r="X296" s="152"/>
      <c r="Y296" s="153"/>
      <c r="Z296" s="153"/>
      <c r="AA296" s="153"/>
      <c r="AB296" s="117">
        <f t="shared" si="13"/>
        <v>-1.5049615712286823</v>
      </c>
      <c r="AC296" s="117">
        <f t="shared" si="14"/>
        <v>3.0173897981178039E-4</v>
      </c>
    </row>
    <row r="297" spans="9:29" x14ac:dyDescent="0.25">
      <c r="I297" s="50"/>
      <c r="J297" s="50"/>
      <c r="K297" s="50"/>
      <c r="M297" s="34"/>
      <c r="R297" s="61">
        <v>1154.5196157122868</v>
      </c>
      <c r="S297" s="58">
        <v>2.9128157650509755E-6</v>
      </c>
      <c r="V297" s="85"/>
      <c r="W297" s="85"/>
      <c r="X297" s="152"/>
      <c r="Y297" s="153"/>
      <c r="Z297" s="153"/>
      <c r="AA297" s="153"/>
      <c r="AB297" s="117">
        <f t="shared" si="13"/>
        <v>-1.5049615712286823</v>
      </c>
      <c r="AC297" s="117">
        <f t="shared" si="14"/>
        <v>2.9128157650509757E-4</v>
      </c>
    </row>
    <row r="298" spans="9:29" x14ac:dyDescent="0.25">
      <c r="I298" s="49"/>
      <c r="J298" s="49"/>
      <c r="K298" s="49"/>
      <c r="M298" s="33"/>
      <c r="R298" s="61">
        <v>1155.2287066213778</v>
      </c>
      <c r="S298" s="58">
        <v>2.9128157650509755E-6</v>
      </c>
      <c r="V298" s="83"/>
      <c r="W298" s="83"/>
      <c r="X298" s="152"/>
      <c r="Y298" s="153"/>
      <c r="Z298" s="153"/>
      <c r="AA298" s="153"/>
      <c r="AB298" s="117">
        <f t="shared" si="13"/>
        <v>-1.5758706621377769</v>
      </c>
      <c r="AC298" s="117">
        <f t="shared" si="14"/>
        <v>2.9128157650509757E-4</v>
      </c>
    </row>
    <row r="299" spans="9:29" x14ac:dyDescent="0.25">
      <c r="I299" s="49"/>
      <c r="J299" s="49"/>
      <c r="K299" s="49"/>
      <c r="M299" s="34"/>
      <c r="R299" s="61">
        <v>1155.2287066213778</v>
      </c>
      <c r="S299" s="58">
        <v>2.7814302861147642E-6</v>
      </c>
      <c r="V299" s="83"/>
      <c r="W299" s="83"/>
      <c r="X299" s="152"/>
      <c r="Y299" s="153"/>
      <c r="Z299" s="153"/>
      <c r="AA299" s="153"/>
      <c r="AB299" s="117">
        <f t="shared" si="13"/>
        <v>-1.5758706621377769</v>
      </c>
      <c r="AC299" s="117">
        <f t="shared" si="14"/>
        <v>2.7814302861147643E-4</v>
      </c>
    </row>
    <row r="300" spans="9:29" x14ac:dyDescent="0.25">
      <c r="I300" s="49"/>
      <c r="J300" s="49"/>
      <c r="K300" s="49"/>
      <c r="M300" s="34"/>
      <c r="R300" s="61">
        <v>1155.9377975304687</v>
      </c>
      <c r="S300" s="58">
        <v>2.7814302861147642E-6</v>
      </c>
      <c r="V300" s="83"/>
      <c r="W300" s="83"/>
      <c r="X300" s="152"/>
      <c r="Y300" s="153"/>
      <c r="Z300" s="153"/>
      <c r="AA300" s="153"/>
      <c r="AB300" s="117">
        <f t="shared" si="13"/>
        <v>-1.6467797530468715</v>
      </c>
      <c r="AC300" s="117">
        <f t="shared" si="14"/>
        <v>2.7814302861147643E-4</v>
      </c>
    </row>
    <row r="301" spans="9:29" x14ac:dyDescent="0.25">
      <c r="I301" s="49"/>
      <c r="J301" s="49"/>
      <c r="K301" s="49"/>
      <c r="M301" s="33"/>
      <c r="R301" s="61">
        <v>1155.9377975304687</v>
      </c>
      <c r="S301" s="58">
        <v>2.6716898235778465E-6</v>
      </c>
      <c r="V301" s="83"/>
      <c r="W301" s="83"/>
      <c r="X301" s="152"/>
      <c r="Y301" s="153"/>
      <c r="Z301" s="153"/>
      <c r="AA301" s="153"/>
      <c r="AB301" s="117">
        <f t="shared" si="13"/>
        <v>-1.6467797530468715</v>
      </c>
      <c r="AC301" s="117">
        <f t="shared" si="14"/>
        <v>2.6716898235778466E-4</v>
      </c>
    </row>
    <row r="302" spans="9:29" x14ac:dyDescent="0.25">
      <c r="I302" s="49"/>
      <c r="J302" s="49"/>
      <c r="K302" s="49"/>
      <c r="M302" s="34"/>
      <c r="R302" s="61">
        <v>1156.2923429850141</v>
      </c>
      <c r="S302" s="58">
        <v>2.6716898235778465E-6</v>
      </c>
      <c r="V302" s="83"/>
      <c r="W302" s="83"/>
      <c r="X302" s="152"/>
      <c r="Y302" s="153"/>
      <c r="Z302" s="153"/>
      <c r="AA302" s="153"/>
      <c r="AB302" s="117">
        <f t="shared" si="13"/>
        <v>-1.6822342985014074</v>
      </c>
      <c r="AC302" s="117">
        <f t="shared" si="14"/>
        <v>2.6716898235778466E-4</v>
      </c>
    </row>
    <row r="303" spans="9:29" x14ac:dyDescent="0.25">
      <c r="I303" s="49"/>
      <c r="J303" s="49"/>
      <c r="K303" s="49"/>
      <c r="M303" s="34"/>
      <c r="R303" s="61">
        <v>1156.2923429850141</v>
      </c>
      <c r="S303" s="58">
        <v>2.6060210967765958E-6</v>
      </c>
      <c r="V303" s="83"/>
      <c r="W303" s="83"/>
      <c r="X303" s="152"/>
      <c r="Y303" s="153"/>
      <c r="Z303" s="153"/>
      <c r="AA303" s="153"/>
      <c r="AB303" s="117">
        <f t="shared" si="13"/>
        <v>-1.6822342985014074</v>
      </c>
      <c r="AC303" s="117">
        <f t="shared" si="14"/>
        <v>2.6060210967765956E-4</v>
      </c>
    </row>
    <row r="304" spans="9:29" x14ac:dyDescent="0.25">
      <c r="I304" s="49"/>
      <c r="J304" s="49"/>
      <c r="K304" s="49"/>
      <c r="M304" s="35"/>
      <c r="R304" s="61">
        <v>1156.5666737837435</v>
      </c>
      <c r="S304" s="58">
        <v>2.6060210967765958E-6</v>
      </c>
      <c r="V304" s="83"/>
      <c r="W304" s="83"/>
      <c r="X304" s="152"/>
      <c r="Y304" s="153"/>
      <c r="Z304" s="153"/>
      <c r="AA304" s="153"/>
      <c r="AB304" s="117">
        <f t="shared" si="13"/>
        <v>-1.7096673783743426</v>
      </c>
      <c r="AC304" s="117">
        <f t="shared" si="14"/>
        <v>2.6060210967765956E-4</v>
      </c>
    </row>
    <row r="305" spans="9:29" x14ac:dyDescent="0.25">
      <c r="I305" s="49"/>
      <c r="J305" s="49"/>
      <c r="K305" s="49"/>
      <c r="M305" s="33"/>
      <c r="R305" s="61">
        <v>1156.5666737837435</v>
      </c>
      <c r="S305" s="58">
        <v>2.5480645534610615E-6</v>
      </c>
      <c r="V305" s="83"/>
      <c r="W305" s="83"/>
      <c r="X305" s="152"/>
      <c r="Y305" s="153"/>
      <c r="Z305" s="153"/>
      <c r="AA305" s="153"/>
      <c r="AB305" s="117">
        <f t="shared" si="13"/>
        <v>-1.7096673783743426</v>
      </c>
      <c r="AC305" s="117">
        <f t="shared" si="14"/>
        <v>2.5480645534610614E-4</v>
      </c>
    </row>
    <row r="306" spans="9:29" x14ac:dyDescent="0.25">
      <c r="I306" s="49"/>
      <c r="J306" s="49"/>
      <c r="K306" s="49"/>
      <c r="M306" s="34"/>
      <c r="R306" s="61">
        <v>1156.8456916093758</v>
      </c>
      <c r="S306" s="58">
        <v>2.5480645534610615E-6</v>
      </c>
      <c r="V306" s="83"/>
      <c r="W306" s="83"/>
      <c r="X306" s="152"/>
      <c r="Y306" s="153"/>
      <c r="Z306" s="153"/>
      <c r="AA306" s="153"/>
      <c r="AB306" s="117">
        <f t="shared" si="13"/>
        <v>-1.7375691609375736</v>
      </c>
      <c r="AC306" s="117">
        <f t="shared" si="14"/>
        <v>2.5480645534610614E-4</v>
      </c>
    </row>
    <row r="307" spans="9:29" x14ac:dyDescent="0.25">
      <c r="I307" s="49"/>
      <c r="J307" s="49"/>
      <c r="K307" s="49"/>
      <c r="M307" s="34"/>
      <c r="R307" s="61">
        <v>1156.8456916093758</v>
      </c>
      <c r="S307" s="58">
        <v>2.4901193458592496E-6</v>
      </c>
      <c r="V307" s="83"/>
      <c r="W307" s="83"/>
      <c r="X307" s="152"/>
      <c r="Y307" s="153"/>
      <c r="Z307" s="153"/>
      <c r="AA307" s="153"/>
      <c r="AB307" s="117">
        <f t="shared" si="13"/>
        <v>-1.7375691609375736</v>
      </c>
      <c r="AC307" s="117">
        <f t="shared" si="14"/>
        <v>2.4901193458592497E-4</v>
      </c>
    </row>
    <row r="308" spans="9:29" x14ac:dyDescent="0.25">
      <c r="I308" s="49"/>
      <c r="J308" s="49"/>
      <c r="K308" s="49"/>
      <c r="M308" s="33"/>
      <c r="R308" s="61">
        <v>1157.1345870922455</v>
      </c>
      <c r="S308" s="58">
        <v>2.4901193458592496E-6</v>
      </c>
      <c r="V308" s="83"/>
      <c r="W308" s="83"/>
      <c r="X308" s="152"/>
      <c r="Y308" s="153"/>
      <c r="Z308" s="153"/>
      <c r="AA308" s="153"/>
      <c r="AB308" s="117">
        <f t="shared" si="13"/>
        <v>-1.7664587092245483</v>
      </c>
      <c r="AC308" s="117">
        <f t="shared" si="14"/>
        <v>2.4901193458592497E-4</v>
      </c>
    </row>
    <row r="309" spans="9:29" x14ac:dyDescent="0.25">
      <c r="I309" s="49"/>
      <c r="J309" s="49"/>
      <c r="K309" s="49"/>
      <c r="M309" s="34"/>
      <c r="R309" s="61">
        <v>1157.1345870922455</v>
      </c>
      <c r="S309" s="58">
        <v>2.4322232629614909E-6</v>
      </c>
      <c r="V309" s="83"/>
      <c r="W309" s="83"/>
      <c r="X309" s="152"/>
      <c r="Y309" s="153"/>
      <c r="Z309" s="153"/>
      <c r="AA309" s="153"/>
      <c r="AB309" s="117">
        <f t="shared" si="13"/>
        <v>-1.7664587092245483</v>
      </c>
      <c r="AC309" s="117">
        <f t="shared" si="14"/>
        <v>2.4322232629614909E-4</v>
      </c>
    </row>
    <row r="310" spans="9:29" x14ac:dyDescent="0.25">
      <c r="I310" s="49"/>
      <c r="J310" s="49"/>
      <c r="K310" s="49"/>
      <c r="M310" s="34"/>
      <c r="R310" s="61">
        <v>1157.4397029519118</v>
      </c>
      <c r="S310" s="58">
        <v>2.4322232629614909E-6</v>
      </c>
      <c r="V310" s="83"/>
      <c r="W310" s="83"/>
      <c r="X310" s="152"/>
      <c r="Y310" s="153"/>
      <c r="Z310" s="153"/>
      <c r="AA310" s="153"/>
      <c r="AB310" s="117">
        <f t="shared" si="13"/>
        <v>-1.7969702951911812</v>
      </c>
      <c r="AC310" s="117">
        <f t="shared" si="14"/>
        <v>2.4322232629614909E-4</v>
      </c>
    </row>
    <row r="311" spans="9:29" x14ac:dyDescent="0.25">
      <c r="I311" s="49"/>
      <c r="J311" s="49"/>
      <c r="K311" s="49"/>
      <c r="M311" s="34"/>
      <c r="R311" s="61">
        <v>1157.4397029519118</v>
      </c>
      <c r="S311" s="58">
        <v>2.3744689964723878E-6</v>
      </c>
      <c r="V311" s="83"/>
      <c r="W311" s="83"/>
      <c r="X311" s="152"/>
      <c r="Y311" s="153"/>
      <c r="Z311" s="153"/>
      <c r="AA311" s="153"/>
      <c r="AB311" s="117">
        <f t="shared" si="13"/>
        <v>-1.7969702951911812</v>
      </c>
      <c r="AC311" s="117">
        <f t="shared" si="14"/>
        <v>2.3744689964723878E-4</v>
      </c>
    </row>
    <row r="312" spans="9:29" x14ac:dyDescent="0.25">
      <c r="I312" s="49"/>
      <c r="J312" s="49"/>
      <c r="K312" s="49"/>
      <c r="M312" s="33"/>
      <c r="R312" s="61">
        <v>1157.7695578015994</v>
      </c>
      <c r="S312" s="58">
        <v>2.3744689964723878E-6</v>
      </c>
      <c r="V312" s="83"/>
      <c r="W312" s="83"/>
      <c r="X312" s="152"/>
      <c r="Y312" s="153"/>
      <c r="Z312" s="153"/>
      <c r="AA312" s="153"/>
      <c r="AB312" s="117">
        <f t="shared" si="13"/>
        <v>-1.8299557801599349</v>
      </c>
      <c r="AC312" s="117">
        <f t="shared" si="14"/>
        <v>2.3744689964723878E-4</v>
      </c>
    </row>
    <row r="313" spans="9:29" x14ac:dyDescent="0.25">
      <c r="I313" s="49"/>
      <c r="J313" s="49"/>
      <c r="K313" s="49"/>
      <c r="M313" s="34"/>
      <c r="R313" s="61">
        <v>1157.7695578015994</v>
      </c>
      <c r="S313" s="58">
        <v>2.3170492376261371E-6</v>
      </c>
      <c r="V313" s="83"/>
      <c r="W313" s="83"/>
      <c r="X313" s="152"/>
      <c r="Y313" s="153"/>
      <c r="Z313" s="153"/>
      <c r="AA313" s="153"/>
      <c r="AB313" s="117">
        <f t="shared" si="13"/>
        <v>-1.8299557801599349</v>
      </c>
      <c r="AC313" s="117">
        <f t="shared" si="14"/>
        <v>2.3170492376261371E-4</v>
      </c>
    </row>
    <row r="314" spans="9:29" x14ac:dyDescent="0.25">
      <c r="I314" s="49"/>
      <c r="J314" s="49"/>
      <c r="K314" s="49"/>
      <c r="M314" s="34"/>
      <c r="R314" s="61">
        <v>1158.1367392108559</v>
      </c>
      <c r="S314" s="58">
        <v>2.3170492376261371E-6</v>
      </c>
      <c r="V314" s="83"/>
      <c r="W314" s="83"/>
      <c r="X314" s="152"/>
      <c r="Y314" s="153"/>
      <c r="Z314" s="153"/>
      <c r="AA314" s="153"/>
      <c r="AB314" s="117">
        <f t="shared" si="13"/>
        <v>-1.8666739210855894</v>
      </c>
      <c r="AC314" s="117">
        <f t="shared" si="14"/>
        <v>2.3170492376261371E-4</v>
      </c>
    </row>
    <row r="315" spans="9:29" x14ac:dyDescent="0.25">
      <c r="I315" s="49"/>
      <c r="J315" s="49"/>
      <c r="K315" s="49"/>
      <c r="M315" s="33"/>
      <c r="R315" s="61">
        <v>1158.1367392108559</v>
      </c>
      <c r="S315" s="58">
        <v>2.260340000055443E-6</v>
      </c>
      <c r="V315" s="83"/>
      <c r="W315" s="83"/>
      <c r="X315" s="152"/>
      <c r="Y315" s="153"/>
      <c r="Z315" s="153"/>
      <c r="AA315" s="153"/>
      <c r="AB315" s="117">
        <f t="shared" si="13"/>
        <v>-1.8666739210855894</v>
      </c>
      <c r="AC315" s="117">
        <f t="shared" si="14"/>
        <v>2.260340000055443E-4</v>
      </c>
    </row>
    <row r="316" spans="9:29" x14ac:dyDescent="0.25">
      <c r="I316" s="49"/>
      <c r="J316" s="49"/>
      <c r="K316" s="49"/>
      <c r="M316" s="34"/>
      <c r="R316" s="61">
        <v>1158.5619610388746</v>
      </c>
      <c r="S316" s="58">
        <v>2.260340000055443E-6</v>
      </c>
      <c r="V316" s="83"/>
      <c r="W316" s="83"/>
      <c r="X316" s="152"/>
      <c r="Y316" s="153"/>
      <c r="Z316" s="153"/>
      <c r="AA316" s="153"/>
      <c r="AB316" s="117">
        <f t="shared" si="13"/>
        <v>-1.9091961038874614</v>
      </c>
      <c r="AC316" s="117">
        <f t="shared" si="14"/>
        <v>2.260340000055443E-4</v>
      </c>
    </row>
    <row r="317" spans="9:29" x14ac:dyDescent="0.25">
      <c r="I317" s="49"/>
      <c r="J317" s="49"/>
      <c r="K317" s="49"/>
      <c r="M317" s="34"/>
      <c r="R317" s="61">
        <v>1158.5619610388746</v>
      </c>
      <c r="S317" s="58">
        <v>2.2050692598636893E-6</v>
      </c>
      <c r="V317" s="83"/>
      <c r="W317" s="83"/>
      <c r="X317" s="152"/>
      <c r="Y317" s="153"/>
      <c r="Z317" s="153"/>
      <c r="AA317" s="153"/>
      <c r="AB317" s="117">
        <f t="shared" si="13"/>
        <v>-1.9091961038874614</v>
      </c>
      <c r="AC317" s="117">
        <f t="shared" si="14"/>
        <v>2.2050692598636891E-4</v>
      </c>
    </row>
    <row r="318" spans="9:29" x14ac:dyDescent="0.25">
      <c r="I318" s="49"/>
      <c r="J318" s="49"/>
      <c r="K318" s="49"/>
      <c r="M318" s="33"/>
      <c r="R318" s="61">
        <v>1159.0844837487414</v>
      </c>
      <c r="S318" s="58">
        <v>2.2050692598636893E-6</v>
      </c>
      <c r="V318" s="83"/>
      <c r="W318" s="83"/>
      <c r="X318" s="152"/>
      <c r="Y318" s="153"/>
      <c r="Z318" s="153"/>
      <c r="AA318" s="153"/>
      <c r="AB318" s="117">
        <f t="shared" si="13"/>
        <v>-1.9614483748741349</v>
      </c>
      <c r="AC318" s="117">
        <f t="shared" si="14"/>
        <v>2.2050692598636891E-4</v>
      </c>
    </row>
    <row r="319" spans="9:29" x14ac:dyDescent="0.25">
      <c r="I319" s="49"/>
      <c r="J319" s="49"/>
      <c r="K319" s="49"/>
      <c r="M319" s="34"/>
      <c r="R319" s="61">
        <v>1159.0844837487414</v>
      </c>
      <c r="S319" s="58">
        <v>2.1526973164368536E-6</v>
      </c>
      <c r="V319" s="83"/>
      <c r="W319" s="83"/>
      <c r="X319" s="152"/>
      <c r="Y319" s="153"/>
      <c r="Z319" s="153"/>
      <c r="AA319" s="153"/>
      <c r="AB319" s="117">
        <f t="shared" si="13"/>
        <v>-1.9614483748741349</v>
      </c>
      <c r="AC319" s="117">
        <f t="shared" si="14"/>
        <v>2.1526973164368536E-4</v>
      </c>
    </row>
    <row r="320" spans="9:29" x14ac:dyDescent="0.25">
      <c r="I320" s="49"/>
      <c r="J320" s="49"/>
      <c r="K320" s="49"/>
      <c r="M320" s="34"/>
      <c r="R320" s="61">
        <v>1159.7976609367649</v>
      </c>
      <c r="S320" s="58">
        <v>2.1526973164368536E-6</v>
      </c>
      <c r="V320" s="83"/>
      <c r="W320" s="83"/>
      <c r="X320" s="152"/>
      <c r="Y320" s="153"/>
      <c r="Z320" s="153"/>
      <c r="AA320" s="153"/>
      <c r="AB320" s="117">
        <f t="shared" si="13"/>
        <v>-2.0327660936764915</v>
      </c>
      <c r="AC320" s="117">
        <f t="shared" si="14"/>
        <v>2.1526973164368536E-4</v>
      </c>
    </row>
    <row r="321" spans="9:29" x14ac:dyDescent="0.25">
      <c r="I321" s="49"/>
      <c r="J321" s="49"/>
      <c r="K321" s="49"/>
      <c r="M321" s="33"/>
      <c r="R321" s="61">
        <v>1159.7976609367649</v>
      </c>
      <c r="S321" s="58">
        <v>2.1064140446251916E-6</v>
      </c>
      <c r="V321" s="83"/>
      <c r="W321" s="83"/>
      <c r="X321" s="152"/>
      <c r="Y321" s="153"/>
      <c r="Z321" s="153"/>
      <c r="AA321" s="153"/>
      <c r="AB321" s="117">
        <f t="shared" si="13"/>
        <v>-2.0327660936764915</v>
      </c>
      <c r="AC321" s="117">
        <f t="shared" si="14"/>
        <v>2.1064140446251916E-4</v>
      </c>
    </row>
    <row r="322" spans="9:29" x14ac:dyDescent="0.25">
      <c r="I322" s="49"/>
      <c r="J322" s="49"/>
      <c r="K322" s="49"/>
      <c r="M322" s="34"/>
      <c r="R322" s="61">
        <v>1161.0792498121389</v>
      </c>
      <c r="S322" s="58">
        <v>2.1064140446251916E-6</v>
      </c>
      <c r="V322" s="83"/>
      <c r="W322" s="83"/>
      <c r="X322" s="152"/>
      <c r="Y322" s="153"/>
      <c r="Z322" s="153"/>
      <c r="AA322" s="153"/>
      <c r="AB322" s="117">
        <f t="shared" si="13"/>
        <v>-2.160924981213884</v>
      </c>
      <c r="AC322" s="117">
        <f t="shared" si="14"/>
        <v>2.1064140446251916E-4</v>
      </c>
    </row>
    <row r="323" spans="9:29" x14ac:dyDescent="0.25">
      <c r="I323" s="49"/>
      <c r="J323" s="49"/>
      <c r="K323" s="49"/>
      <c r="M323" s="34"/>
      <c r="R323" s="61">
        <v>1161.0792498121389</v>
      </c>
      <c r="S323" s="58">
        <v>2.0744206344668262E-6</v>
      </c>
      <c r="V323" s="83"/>
      <c r="W323" s="83"/>
      <c r="X323" s="152"/>
      <c r="Y323" s="153"/>
      <c r="Z323" s="153"/>
      <c r="AA323" s="153"/>
      <c r="AB323" s="117">
        <f t="shared" si="13"/>
        <v>-2.160924981213884</v>
      </c>
      <c r="AC323" s="117">
        <f t="shared" si="14"/>
        <v>2.0744206344668262E-4</v>
      </c>
    </row>
    <row r="324" spans="9:29" x14ac:dyDescent="0.25">
      <c r="I324" s="49"/>
      <c r="J324" s="49"/>
      <c r="K324" s="49"/>
      <c r="M324" s="33"/>
      <c r="R324" s="61">
        <v>1162.8003314002131</v>
      </c>
      <c r="S324" s="58">
        <v>2.0744206344668262E-6</v>
      </c>
      <c r="V324" s="83"/>
      <c r="W324" s="83"/>
      <c r="X324" s="152"/>
      <c r="Y324" s="153"/>
      <c r="Z324" s="153"/>
      <c r="AA324" s="153"/>
      <c r="AB324" s="117">
        <f t="shared" ref="AB324:AB326" si="15">(1139.47-R324)/10</f>
        <v>-2.3330331400213025</v>
      </c>
      <c r="AC324" s="117">
        <f t="shared" ref="AC324:AC326" si="16">S324*100</f>
        <v>2.0744206344668262E-4</v>
      </c>
    </row>
    <row r="325" spans="9:29" x14ac:dyDescent="0.25">
      <c r="I325" s="49"/>
      <c r="J325" s="49"/>
      <c r="K325" s="49"/>
      <c r="M325" s="34"/>
      <c r="R325" s="61">
        <v>1162.8003314002131</v>
      </c>
      <c r="S325" s="58">
        <v>2.0700000000000001E-6</v>
      </c>
      <c r="V325" s="83"/>
      <c r="W325" s="83"/>
      <c r="X325" s="152"/>
      <c r="Y325" s="153"/>
      <c r="Z325" s="153"/>
      <c r="AA325" s="153"/>
      <c r="AB325" s="117">
        <f t="shared" si="15"/>
        <v>-2.3330331400213025</v>
      </c>
      <c r="AC325" s="117">
        <f t="shared" si="16"/>
        <v>2.0700000000000002E-4</v>
      </c>
    </row>
    <row r="326" spans="9:29" x14ac:dyDescent="0.25">
      <c r="I326" s="49"/>
      <c r="J326" s="49"/>
      <c r="K326" s="49"/>
      <c r="M326" s="34"/>
      <c r="R326" s="61">
        <v>1262.8003314002131</v>
      </c>
      <c r="S326" s="58">
        <v>2.0700000000000001E-6</v>
      </c>
      <c r="V326" s="83"/>
      <c r="W326" s="83"/>
      <c r="X326" s="152"/>
      <c r="Y326" s="153"/>
      <c r="Z326" s="153"/>
      <c r="AA326" s="153"/>
      <c r="AB326" s="117">
        <f t="shared" si="15"/>
        <v>-12.333033140021303</v>
      </c>
      <c r="AC326" s="117">
        <f t="shared" si="16"/>
        <v>2.0700000000000002E-4</v>
      </c>
    </row>
    <row r="327" spans="9:29" x14ac:dyDescent="0.25">
      <c r="I327" s="49"/>
      <c r="J327" s="49"/>
      <c r="K327" s="49"/>
      <c r="M327" s="33"/>
      <c r="V327" s="83"/>
      <c r="W327" s="83"/>
      <c r="X327" s="152"/>
      <c r="Y327" s="153"/>
      <c r="Z327" s="153"/>
      <c r="AA327" s="153"/>
      <c r="AB327" s="117"/>
      <c r="AC327" s="117"/>
    </row>
    <row r="328" spans="9:29" x14ac:dyDescent="0.25">
      <c r="I328" s="49"/>
      <c r="J328" s="49"/>
      <c r="K328" s="49"/>
      <c r="M328" s="34"/>
      <c r="V328" s="83"/>
      <c r="W328" s="83"/>
      <c r="X328" s="152"/>
      <c r="Y328" s="153"/>
      <c r="Z328" s="153"/>
      <c r="AA328" s="153"/>
      <c r="AB328" s="117"/>
      <c r="AC328" s="117"/>
    </row>
    <row r="329" spans="9:29" x14ac:dyDescent="0.25">
      <c r="I329" s="49"/>
      <c r="J329" s="49"/>
      <c r="K329" s="49"/>
      <c r="M329" s="34"/>
      <c r="V329" s="83"/>
      <c r="W329" s="83"/>
      <c r="X329" s="152"/>
      <c r="Y329" s="153"/>
      <c r="Z329" s="153"/>
      <c r="AA329" s="153"/>
      <c r="AB329" s="117"/>
      <c r="AC329" s="117"/>
    </row>
    <row r="330" spans="9:29" x14ac:dyDescent="0.25">
      <c r="I330" s="49"/>
      <c r="J330" s="49"/>
      <c r="K330" s="49"/>
      <c r="M330" s="36"/>
      <c r="V330" s="83"/>
      <c r="W330" s="83"/>
      <c r="X330" s="152"/>
      <c r="Y330" s="153"/>
      <c r="Z330" s="153"/>
      <c r="AA330" s="153"/>
      <c r="AB330" s="117"/>
      <c r="AC330" s="117"/>
    </row>
    <row r="331" spans="9:29" x14ac:dyDescent="0.25">
      <c r="I331" s="49"/>
      <c r="J331" s="49"/>
      <c r="K331" s="49"/>
      <c r="M331" s="34"/>
      <c r="V331" s="83"/>
      <c r="W331" s="83"/>
      <c r="X331" s="152"/>
      <c r="Y331" s="153"/>
      <c r="Z331" s="153"/>
      <c r="AA331" s="153"/>
      <c r="AB331" s="117"/>
      <c r="AC331" s="117"/>
    </row>
    <row r="332" spans="9:29" x14ac:dyDescent="0.25">
      <c r="I332" s="49"/>
      <c r="J332" s="49"/>
      <c r="K332" s="49"/>
      <c r="M332" s="34"/>
      <c r="V332" s="83"/>
      <c r="W332" s="83"/>
      <c r="X332" s="152"/>
      <c r="Y332" s="153"/>
      <c r="Z332" s="153"/>
      <c r="AA332" s="153"/>
      <c r="AB332" s="117"/>
      <c r="AC332" s="117"/>
    </row>
    <row r="333" spans="9:29" x14ac:dyDescent="0.25">
      <c r="I333" s="49"/>
      <c r="J333" s="49"/>
      <c r="K333" s="49"/>
      <c r="M333" s="33"/>
      <c r="V333" s="83"/>
      <c r="W333" s="83"/>
      <c r="X333" s="152"/>
      <c r="Y333" s="153"/>
      <c r="Z333" s="153"/>
      <c r="AA333" s="153"/>
      <c r="AB333" s="117"/>
      <c r="AC333" s="117"/>
    </row>
    <row r="334" spans="9:29" x14ac:dyDescent="0.25">
      <c r="I334" s="49"/>
      <c r="J334" s="49"/>
      <c r="K334" s="49"/>
      <c r="M334" s="34"/>
      <c r="V334" s="83"/>
      <c r="W334" s="83"/>
      <c r="X334" s="152"/>
      <c r="Y334" s="153"/>
      <c r="Z334" s="153"/>
      <c r="AA334" s="153"/>
      <c r="AB334" s="117"/>
      <c r="AC334" s="117"/>
    </row>
    <row r="335" spans="9:29" x14ac:dyDescent="0.25">
      <c r="I335" s="49"/>
      <c r="J335" s="49"/>
      <c r="K335" s="49"/>
      <c r="M335" s="34"/>
      <c r="V335" s="83"/>
      <c r="W335" s="83"/>
      <c r="X335" s="152"/>
      <c r="Y335" s="153"/>
      <c r="Z335" s="153"/>
      <c r="AA335" s="153"/>
      <c r="AB335" s="117"/>
      <c r="AC335" s="117"/>
    </row>
    <row r="336" spans="9:29" x14ac:dyDescent="0.25">
      <c r="I336" s="49"/>
      <c r="J336" s="49"/>
      <c r="K336" s="49"/>
      <c r="M336" s="33"/>
      <c r="V336" s="83"/>
      <c r="W336" s="83"/>
      <c r="X336" s="152"/>
      <c r="Y336" s="153"/>
      <c r="Z336" s="153"/>
      <c r="AA336" s="153"/>
      <c r="AB336" s="117"/>
      <c r="AC336" s="117"/>
    </row>
    <row r="337" spans="9:29" x14ac:dyDescent="0.25">
      <c r="I337" s="49"/>
      <c r="J337" s="49"/>
      <c r="K337" s="49"/>
      <c r="M337" s="34"/>
      <c r="V337" s="83"/>
      <c r="W337" s="83"/>
      <c r="X337" s="152"/>
      <c r="Y337" s="153"/>
      <c r="Z337" s="153"/>
      <c r="AA337" s="153"/>
      <c r="AB337" s="117"/>
      <c r="AC337" s="117"/>
    </row>
    <row r="338" spans="9:29" x14ac:dyDescent="0.25">
      <c r="I338" s="49"/>
      <c r="J338" s="49"/>
      <c r="K338" s="49"/>
      <c r="M338" s="34"/>
      <c r="V338" s="83"/>
      <c r="W338" s="83"/>
      <c r="X338" s="152"/>
      <c r="Y338" s="153"/>
      <c r="Z338" s="153"/>
      <c r="AA338" s="153"/>
      <c r="AB338" s="117"/>
      <c r="AC338" s="117"/>
    </row>
    <row r="339" spans="9:29" x14ac:dyDescent="0.25">
      <c r="I339" s="49"/>
      <c r="J339" s="49"/>
      <c r="K339" s="49"/>
      <c r="M339" s="33"/>
      <c r="V339" s="83"/>
      <c r="W339" s="83"/>
      <c r="X339" s="152"/>
      <c r="Y339" s="153"/>
      <c r="Z339" s="153"/>
      <c r="AA339" s="153"/>
      <c r="AB339" s="117"/>
      <c r="AC339" s="117"/>
    </row>
    <row r="340" spans="9:29" x14ac:dyDescent="0.25">
      <c r="I340" s="49"/>
      <c r="J340" s="49"/>
      <c r="K340" s="49"/>
      <c r="M340" s="34"/>
      <c r="V340" s="83"/>
      <c r="W340" s="83"/>
      <c r="X340" s="152"/>
      <c r="Y340" s="153"/>
      <c r="Z340" s="153"/>
      <c r="AA340" s="153"/>
      <c r="AB340" s="117"/>
      <c r="AC340" s="117"/>
    </row>
    <row r="341" spans="9:29" x14ac:dyDescent="0.25">
      <c r="I341" s="49"/>
      <c r="J341" s="49"/>
      <c r="K341" s="49"/>
      <c r="M341" s="34"/>
      <c r="V341" s="83"/>
      <c r="W341" s="83"/>
      <c r="X341" s="152"/>
      <c r="Y341" s="153"/>
      <c r="Z341" s="153"/>
      <c r="AA341" s="153"/>
      <c r="AB341" s="117"/>
      <c r="AC341" s="117"/>
    </row>
    <row r="342" spans="9:29" x14ac:dyDescent="0.25">
      <c r="I342" s="49"/>
      <c r="J342" s="49"/>
      <c r="K342" s="49"/>
      <c r="M342" s="33"/>
      <c r="V342" s="83"/>
      <c r="W342" s="83"/>
      <c r="X342" s="152"/>
      <c r="Y342" s="153"/>
      <c r="Z342" s="153"/>
      <c r="AA342" s="153"/>
      <c r="AB342" s="117"/>
      <c r="AC342" s="117"/>
    </row>
    <row r="343" spans="9:29" x14ac:dyDescent="0.25">
      <c r="I343" s="49"/>
      <c r="J343" s="49"/>
      <c r="K343" s="49"/>
      <c r="M343" s="34"/>
      <c r="V343" s="83"/>
      <c r="W343" s="83"/>
      <c r="X343" s="152"/>
      <c r="Y343" s="153"/>
      <c r="Z343" s="153"/>
      <c r="AA343" s="153"/>
      <c r="AB343" s="117"/>
      <c r="AC343" s="117"/>
    </row>
    <row r="344" spans="9:29" x14ac:dyDescent="0.25">
      <c r="I344" s="49"/>
      <c r="J344" s="49"/>
      <c r="K344" s="49"/>
      <c r="M344" s="34"/>
      <c r="V344" s="83"/>
      <c r="W344" s="83"/>
      <c r="X344" s="152"/>
      <c r="Y344" s="153"/>
      <c r="Z344" s="153"/>
      <c r="AA344" s="153"/>
      <c r="AB344" s="117"/>
      <c r="AC344" s="117"/>
    </row>
    <row r="345" spans="9:29" x14ac:dyDescent="0.25">
      <c r="I345" s="49"/>
      <c r="J345" s="49"/>
      <c r="K345" s="49"/>
      <c r="M345" s="33"/>
      <c r="V345" s="83"/>
      <c r="W345" s="83"/>
      <c r="X345" s="152"/>
      <c r="Y345" s="153"/>
      <c r="Z345" s="153"/>
      <c r="AA345" s="153"/>
      <c r="AB345" s="117"/>
      <c r="AC345" s="117"/>
    </row>
    <row r="346" spans="9:29" x14ac:dyDescent="0.25">
      <c r="I346" s="49"/>
      <c r="J346" s="49"/>
      <c r="K346" s="49"/>
      <c r="M346" s="34"/>
      <c r="V346" s="83"/>
      <c r="W346" s="83"/>
      <c r="X346" s="152"/>
      <c r="Y346" s="153"/>
      <c r="Z346" s="153"/>
      <c r="AA346" s="153"/>
      <c r="AB346" s="117"/>
      <c r="AC346" s="117"/>
    </row>
    <row r="347" spans="9:29" x14ac:dyDescent="0.25">
      <c r="I347" s="49"/>
      <c r="J347" s="49"/>
      <c r="K347" s="49"/>
      <c r="M347" s="34"/>
      <c r="V347" s="83"/>
      <c r="W347" s="83"/>
      <c r="X347" s="152"/>
      <c r="Y347" s="153"/>
      <c r="Z347" s="153"/>
      <c r="AA347" s="153"/>
      <c r="AB347" s="117"/>
      <c r="AC347" s="117"/>
    </row>
    <row r="348" spans="9:29" x14ac:dyDescent="0.25">
      <c r="I348" s="49"/>
      <c r="J348" s="49"/>
      <c r="K348" s="49"/>
      <c r="M348" s="33"/>
      <c r="V348" s="83"/>
      <c r="W348" s="83"/>
      <c r="X348" s="152"/>
      <c r="Y348" s="153"/>
      <c r="Z348" s="153"/>
      <c r="AA348" s="153"/>
      <c r="AB348" s="117"/>
      <c r="AC348" s="117"/>
    </row>
    <row r="349" spans="9:29" x14ac:dyDescent="0.25">
      <c r="I349" s="49"/>
      <c r="J349" s="49"/>
      <c r="K349" s="49"/>
      <c r="M349" s="34"/>
      <c r="V349" s="83"/>
      <c r="W349" s="83"/>
      <c r="X349" s="152"/>
      <c r="Y349" s="153"/>
      <c r="Z349" s="153"/>
      <c r="AA349" s="153"/>
      <c r="AB349" s="117"/>
      <c r="AC349" s="117"/>
    </row>
    <row r="350" spans="9:29" x14ac:dyDescent="0.25">
      <c r="I350" s="49"/>
      <c r="J350" s="49"/>
      <c r="K350" s="49"/>
      <c r="M350" s="34"/>
      <c r="V350" s="83"/>
      <c r="W350" s="83"/>
      <c r="X350" s="152"/>
      <c r="Y350" s="153"/>
      <c r="Z350" s="153"/>
      <c r="AA350" s="153"/>
      <c r="AB350" s="117"/>
      <c r="AC350" s="117"/>
    </row>
    <row r="351" spans="9:29" x14ac:dyDescent="0.25">
      <c r="I351" s="49"/>
      <c r="J351" s="49"/>
      <c r="K351" s="49"/>
      <c r="M351" s="33"/>
      <c r="V351" s="83"/>
      <c r="W351" s="83"/>
      <c r="X351" s="152"/>
      <c r="Y351" s="153"/>
      <c r="Z351" s="153"/>
      <c r="AA351" s="153"/>
      <c r="AB351" s="117"/>
      <c r="AC351" s="117"/>
    </row>
    <row r="352" spans="9:29" x14ac:dyDescent="0.25">
      <c r="I352" s="49"/>
      <c r="J352" s="49"/>
      <c r="K352" s="49"/>
      <c r="M352" s="34"/>
      <c r="V352" s="83"/>
      <c r="W352" s="83"/>
      <c r="X352" s="152"/>
      <c r="Y352" s="153"/>
      <c r="Z352" s="153"/>
      <c r="AA352" s="153"/>
      <c r="AB352" s="117"/>
      <c r="AC352" s="117"/>
    </row>
    <row r="353" spans="9:29" x14ac:dyDescent="0.25">
      <c r="I353" s="49"/>
      <c r="J353" s="49"/>
      <c r="K353" s="49"/>
      <c r="M353" s="34"/>
      <c r="V353" s="83"/>
      <c r="W353" s="83"/>
      <c r="X353" s="152"/>
      <c r="Y353" s="153"/>
      <c r="Z353" s="153"/>
      <c r="AA353" s="153"/>
      <c r="AB353" s="117"/>
      <c r="AC353" s="117"/>
    </row>
    <row r="354" spans="9:29" x14ac:dyDescent="0.25">
      <c r="I354" s="49"/>
      <c r="J354" s="49"/>
      <c r="K354" s="49"/>
      <c r="M354" s="34"/>
      <c r="V354" s="83"/>
      <c r="W354" s="83"/>
      <c r="X354" s="152"/>
      <c r="Y354" s="153"/>
      <c r="Z354" s="153"/>
      <c r="AA354" s="153"/>
      <c r="AB354" s="117"/>
      <c r="AC354" s="117"/>
    </row>
    <row r="355" spans="9:29" x14ac:dyDescent="0.25">
      <c r="I355" s="49"/>
      <c r="J355" s="49"/>
      <c r="K355" s="49"/>
      <c r="M355" s="33"/>
      <c r="V355" s="83"/>
      <c r="W355" s="83"/>
      <c r="X355" s="152"/>
      <c r="Y355" s="153"/>
      <c r="Z355" s="153"/>
      <c r="AA355" s="153"/>
      <c r="AB355" s="117"/>
      <c r="AC355" s="117"/>
    </row>
    <row r="356" spans="9:29" x14ac:dyDescent="0.25">
      <c r="I356" s="49"/>
      <c r="J356" s="49"/>
      <c r="K356" s="49"/>
      <c r="M356" s="34"/>
      <c r="V356" s="83"/>
      <c r="W356" s="83"/>
      <c r="X356" s="152"/>
      <c r="Y356" s="153"/>
      <c r="Z356" s="153"/>
      <c r="AA356" s="153"/>
      <c r="AB356" s="117"/>
      <c r="AC356" s="117"/>
    </row>
    <row r="357" spans="9:29" x14ac:dyDescent="0.25">
      <c r="I357" s="49"/>
      <c r="J357" s="49"/>
      <c r="K357" s="49"/>
      <c r="M357" s="34"/>
      <c r="V357" s="83"/>
      <c r="W357" s="83"/>
      <c r="X357" s="152"/>
      <c r="Y357" s="153"/>
      <c r="Z357" s="153"/>
      <c r="AA357" s="153"/>
      <c r="AB357" s="117"/>
      <c r="AC357" s="117"/>
    </row>
    <row r="358" spans="9:29" x14ac:dyDescent="0.25">
      <c r="I358" s="49"/>
      <c r="J358" s="49"/>
      <c r="K358" s="49"/>
      <c r="M358" s="33"/>
      <c r="V358" s="83"/>
      <c r="W358" s="83"/>
      <c r="X358" s="152"/>
      <c r="Y358" s="153"/>
      <c r="Z358" s="153"/>
      <c r="AA358" s="153"/>
      <c r="AB358" s="117"/>
      <c r="AC358" s="117"/>
    </row>
    <row r="359" spans="9:29" x14ac:dyDescent="0.25">
      <c r="I359" s="49"/>
      <c r="J359" s="49"/>
      <c r="K359" s="49"/>
      <c r="M359" s="37"/>
      <c r="V359" s="83"/>
      <c r="W359" s="83"/>
      <c r="X359" s="152"/>
      <c r="Y359" s="153"/>
      <c r="Z359" s="153"/>
      <c r="AA359" s="153"/>
      <c r="AB359" s="117"/>
      <c r="AC359" s="117"/>
    </row>
    <row r="360" spans="9:29" x14ac:dyDescent="0.25">
      <c r="I360" s="49"/>
      <c r="J360" s="49"/>
      <c r="K360" s="49"/>
      <c r="M360" s="34"/>
      <c r="V360" s="83"/>
      <c r="W360" s="83"/>
      <c r="X360" s="152"/>
      <c r="Y360" s="153"/>
      <c r="Z360" s="153"/>
      <c r="AA360" s="153"/>
      <c r="AB360" s="117"/>
      <c r="AC360" s="117"/>
    </row>
    <row r="361" spans="9:29" x14ac:dyDescent="0.25">
      <c r="I361" s="49"/>
      <c r="J361" s="49"/>
      <c r="K361" s="49"/>
      <c r="M361" s="37"/>
      <c r="V361" s="83"/>
      <c r="W361" s="83"/>
      <c r="X361" s="152"/>
      <c r="Y361" s="153"/>
      <c r="Z361" s="153"/>
      <c r="AA361" s="153"/>
      <c r="AB361" s="117"/>
      <c r="AC361" s="117"/>
    </row>
    <row r="362" spans="9:29" x14ac:dyDescent="0.25">
      <c r="I362" s="49"/>
      <c r="J362" s="49"/>
      <c r="K362" s="49"/>
      <c r="M362" s="34"/>
      <c r="V362" s="83"/>
      <c r="W362" s="83"/>
      <c r="X362" s="152"/>
      <c r="Y362" s="153"/>
      <c r="Z362" s="153"/>
      <c r="AA362" s="153"/>
      <c r="AB362" s="117"/>
      <c r="AC362" s="117"/>
    </row>
    <row r="363" spans="9:29" x14ac:dyDescent="0.25">
      <c r="I363" s="49"/>
      <c r="J363" s="49"/>
      <c r="K363" s="49"/>
      <c r="M363" s="37"/>
      <c r="V363" s="83"/>
      <c r="W363" s="83"/>
      <c r="X363" s="152"/>
      <c r="Y363" s="153"/>
      <c r="Z363" s="153"/>
      <c r="AA363" s="153"/>
      <c r="AB363" s="117"/>
      <c r="AC363" s="117"/>
    </row>
    <row r="364" spans="9:29" x14ac:dyDescent="0.25">
      <c r="I364" s="49"/>
      <c r="J364" s="49"/>
      <c r="K364" s="49"/>
      <c r="M364" s="33"/>
      <c r="V364" s="83"/>
      <c r="W364" s="83"/>
      <c r="X364" s="152"/>
      <c r="Y364" s="153"/>
      <c r="Z364" s="153"/>
      <c r="AA364" s="153"/>
      <c r="AB364" s="117"/>
      <c r="AC364" s="117"/>
    </row>
    <row r="365" spans="9:29" x14ac:dyDescent="0.25">
      <c r="I365" s="49"/>
      <c r="J365" s="49"/>
      <c r="K365" s="49"/>
      <c r="M365" s="37"/>
      <c r="V365" s="83"/>
      <c r="W365" s="83"/>
      <c r="X365" s="152"/>
      <c r="Y365" s="153"/>
      <c r="Z365" s="153"/>
      <c r="AA365" s="153"/>
      <c r="AB365" s="117"/>
      <c r="AC365" s="117"/>
    </row>
    <row r="366" spans="9:29" x14ac:dyDescent="0.25">
      <c r="I366" s="49"/>
      <c r="J366" s="49"/>
      <c r="K366" s="49"/>
      <c r="M366" s="34"/>
      <c r="V366" s="83"/>
      <c r="W366" s="83"/>
      <c r="X366" s="152"/>
      <c r="Y366" s="153"/>
      <c r="Z366" s="153"/>
      <c r="AA366" s="153"/>
      <c r="AB366" s="117"/>
      <c r="AC366" s="117"/>
    </row>
    <row r="367" spans="9:29" x14ac:dyDescent="0.25">
      <c r="I367" s="49"/>
      <c r="J367" s="49"/>
      <c r="K367" s="49"/>
      <c r="M367" s="34"/>
      <c r="V367" s="83"/>
      <c r="W367" s="83"/>
      <c r="X367" s="152"/>
      <c r="Y367" s="153"/>
      <c r="Z367" s="153"/>
      <c r="AA367" s="153"/>
      <c r="AB367" s="117"/>
      <c r="AC367" s="117"/>
    </row>
    <row r="368" spans="9:29" x14ac:dyDescent="0.25">
      <c r="I368" s="49"/>
      <c r="J368" s="49"/>
      <c r="K368" s="49"/>
      <c r="M368" s="37"/>
      <c r="V368" s="83"/>
      <c r="W368" s="83"/>
      <c r="X368" s="152"/>
      <c r="Y368" s="153"/>
      <c r="Z368" s="153"/>
      <c r="AA368" s="153"/>
      <c r="AB368" s="117"/>
      <c r="AC368" s="117"/>
    </row>
    <row r="369" spans="9:29" x14ac:dyDescent="0.25">
      <c r="I369" s="49"/>
      <c r="J369" s="49"/>
      <c r="K369" s="49"/>
      <c r="M369" s="33"/>
      <c r="V369" s="83"/>
      <c r="W369" s="83"/>
      <c r="X369" s="152"/>
      <c r="Y369" s="153"/>
      <c r="Z369" s="153"/>
      <c r="AA369" s="153"/>
      <c r="AB369" s="117"/>
      <c r="AC369" s="117"/>
    </row>
    <row r="370" spans="9:29" x14ac:dyDescent="0.25">
      <c r="I370" s="49"/>
      <c r="J370" s="49"/>
      <c r="K370" s="49"/>
      <c r="M370" s="37"/>
      <c r="V370" s="83"/>
      <c r="W370" s="83"/>
      <c r="X370" s="152"/>
      <c r="Y370" s="153"/>
      <c r="Z370" s="153"/>
      <c r="AA370" s="153"/>
      <c r="AB370" s="117"/>
      <c r="AC370" s="117"/>
    </row>
    <row r="371" spans="9:29" x14ac:dyDescent="0.25">
      <c r="I371" s="49"/>
      <c r="J371" s="49"/>
      <c r="K371" s="49"/>
      <c r="M371" s="34"/>
      <c r="V371" s="83"/>
      <c r="W371" s="83"/>
      <c r="X371" s="152"/>
      <c r="Y371" s="153"/>
      <c r="Z371" s="153"/>
      <c r="AA371" s="153"/>
      <c r="AB371" s="117"/>
      <c r="AC371" s="117"/>
    </row>
    <row r="372" spans="9:29" x14ac:dyDescent="0.25">
      <c r="I372" s="49"/>
      <c r="J372" s="49"/>
      <c r="K372" s="49"/>
      <c r="M372" s="37"/>
      <c r="V372" s="83"/>
      <c r="W372" s="83"/>
      <c r="X372" s="152"/>
      <c r="Y372" s="153"/>
      <c r="Z372" s="153"/>
      <c r="AA372" s="153"/>
      <c r="AB372" s="117"/>
      <c r="AC372" s="117"/>
    </row>
    <row r="373" spans="9:29" x14ac:dyDescent="0.25">
      <c r="I373" s="49"/>
      <c r="J373" s="49"/>
      <c r="K373" s="49"/>
      <c r="M373" s="37"/>
      <c r="V373" s="83"/>
      <c r="W373" s="83"/>
      <c r="X373" s="152"/>
      <c r="Y373" s="153"/>
      <c r="Z373" s="153"/>
      <c r="AA373" s="153"/>
      <c r="AB373" s="117"/>
      <c r="AC373" s="117"/>
    </row>
    <row r="374" spans="9:29" x14ac:dyDescent="0.25">
      <c r="I374" s="49"/>
      <c r="J374" s="49"/>
      <c r="K374" s="49"/>
      <c r="M374" s="34"/>
      <c r="V374" s="83"/>
      <c r="W374" s="83"/>
      <c r="X374" s="152"/>
      <c r="Y374" s="153"/>
      <c r="Z374" s="153"/>
      <c r="AA374" s="153"/>
      <c r="AB374" s="117"/>
      <c r="AC374" s="117"/>
    </row>
    <row r="375" spans="9:29" x14ac:dyDescent="0.25">
      <c r="I375" s="49"/>
      <c r="J375" s="49"/>
      <c r="K375" s="49"/>
      <c r="M375" s="37"/>
      <c r="V375" s="83"/>
      <c r="W375" s="83"/>
      <c r="X375" s="152"/>
      <c r="Y375" s="153"/>
      <c r="Z375" s="153"/>
      <c r="AA375" s="153"/>
      <c r="AB375" s="117"/>
      <c r="AC375" s="117"/>
    </row>
    <row r="376" spans="9:29" x14ac:dyDescent="0.25">
      <c r="I376" s="49"/>
      <c r="J376" s="49"/>
      <c r="K376" s="49"/>
      <c r="M376" s="33"/>
      <c r="V376" s="83"/>
      <c r="W376" s="83"/>
      <c r="X376" s="152"/>
      <c r="Y376" s="153"/>
      <c r="Z376" s="153"/>
      <c r="AA376" s="153"/>
      <c r="AB376" s="117"/>
      <c r="AC376" s="117"/>
    </row>
    <row r="377" spans="9:29" x14ac:dyDescent="0.25">
      <c r="I377" s="49"/>
      <c r="J377" s="49"/>
      <c r="K377" s="49"/>
      <c r="M377" s="37"/>
      <c r="V377" s="83"/>
      <c r="W377" s="83"/>
      <c r="X377" s="152"/>
      <c r="Y377" s="153"/>
      <c r="Z377" s="153"/>
      <c r="AA377" s="153"/>
      <c r="AB377" s="117"/>
      <c r="AC377" s="117"/>
    </row>
    <row r="378" spans="9:29" x14ac:dyDescent="0.25">
      <c r="I378" s="49"/>
      <c r="J378" s="49"/>
      <c r="K378" s="49"/>
      <c r="M378" s="34"/>
      <c r="V378" s="83"/>
      <c r="W378" s="83"/>
      <c r="X378" s="152"/>
      <c r="Y378" s="153"/>
      <c r="Z378" s="153"/>
      <c r="AA378" s="153"/>
      <c r="AB378" s="117"/>
      <c r="AC378" s="117"/>
    </row>
    <row r="379" spans="9:29" x14ac:dyDescent="0.25">
      <c r="I379" s="49"/>
      <c r="J379" s="49"/>
      <c r="K379" s="49"/>
      <c r="M379" s="34"/>
      <c r="V379" s="83"/>
      <c r="W379" s="83"/>
      <c r="X379" s="152"/>
      <c r="Y379" s="153"/>
      <c r="Z379" s="153"/>
      <c r="AA379" s="153"/>
      <c r="AB379" s="117"/>
      <c r="AC379" s="117"/>
    </row>
    <row r="380" spans="9:29" x14ac:dyDescent="0.25">
      <c r="I380" s="49"/>
      <c r="J380" s="49"/>
      <c r="K380" s="49"/>
      <c r="M380" s="37"/>
      <c r="V380" s="83"/>
      <c r="W380" s="83"/>
      <c r="X380" s="152"/>
      <c r="Y380" s="153"/>
      <c r="Z380" s="153"/>
      <c r="AA380" s="153"/>
      <c r="AB380" s="117"/>
      <c r="AC380" s="117"/>
    </row>
    <row r="381" spans="9:29" x14ac:dyDescent="0.25">
      <c r="I381" s="49"/>
      <c r="J381" s="49"/>
      <c r="K381" s="49"/>
      <c r="M381" s="33"/>
      <c r="V381" s="83"/>
      <c r="W381" s="83"/>
      <c r="X381" s="152"/>
      <c r="Y381" s="153"/>
      <c r="Z381" s="153"/>
      <c r="AA381" s="153"/>
      <c r="AB381" s="117"/>
      <c r="AC381" s="117"/>
    </row>
    <row r="382" spans="9:29" x14ac:dyDescent="0.25">
      <c r="I382" s="49"/>
      <c r="J382" s="49"/>
      <c r="K382" s="49"/>
      <c r="M382" s="34"/>
      <c r="V382" s="83"/>
      <c r="W382" s="83"/>
      <c r="X382" s="152"/>
      <c r="Y382" s="153"/>
      <c r="Z382" s="153"/>
      <c r="AA382" s="153"/>
      <c r="AB382" s="117"/>
      <c r="AC382" s="117"/>
    </row>
    <row r="383" spans="9:29" x14ac:dyDescent="0.25">
      <c r="I383" s="49"/>
      <c r="J383" s="49"/>
      <c r="K383" s="49"/>
      <c r="M383" s="37"/>
      <c r="V383" s="83"/>
      <c r="W383" s="83"/>
      <c r="X383" s="152"/>
      <c r="Y383" s="153"/>
      <c r="Z383" s="153"/>
      <c r="AA383" s="153"/>
      <c r="AB383" s="117"/>
      <c r="AC383" s="117"/>
    </row>
    <row r="384" spans="9:29" x14ac:dyDescent="0.25">
      <c r="I384" s="49"/>
      <c r="J384" s="49"/>
      <c r="K384" s="49"/>
      <c r="M384" s="34"/>
      <c r="V384" s="83"/>
      <c r="W384" s="83"/>
      <c r="X384" s="152"/>
      <c r="Y384" s="153"/>
      <c r="Z384" s="153"/>
      <c r="AA384" s="153"/>
      <c r="AB384" s="117"/>
      <c r="AC384" s="117"/>
    </row>
    <row r="385" spans="9:33" x14ac:dyDescent="0.25">
      <c r="I385" s="49"/>
      <c r="J385" s="49"/>
      <c r="K385" s="49"/>
      <c r="M385" s="37"/>
      <c r="V385" s="83"/>
      <c r="W385" s="83"/>
      <c r="X385" s="152"/>
      <c r="Y385" s="153"/>
      <c r="Z385" s="153"/>
      <c r="AA385" s="153"/>
      <c r="AB385" s="117"/>
      <c r="AC385" s="117"/>
    </row>
    <row r="386" spans="9:33" x14ac:dyDescent="0.25">
      <c r="I386" s="49"/>
      <c r="J386" s="49"/>
      <c r="K386" s="49"/>
      <c r="M386" s="37"/>
      <c r="V386" s="83"/>
      <c r="W386" s="83"/>
      <c r="X386" s="152"/>
      <c r="Y386" s="153"/>
      <c r="Z386" s="153"/>
      <c r="AA386" s="153"/>
      <c r="AB386" s="117"/>
      <c r="AC386" s="117"/>
    </row>
    <row r="387" spans="9:33" x14ac:dyDescent="0.25">
      <c r="I387" s="49"/>
      <c r="J387" s="49"/>
      <c r="K387" s="49"/>
      <c r="M387" s="33"/>
      <c r="V387" s="83"/>
      <c r="W387" s="83"/>
      <c r="X387" s="152"/>
      <c r="Y387" s="153"/>
      <c r="Z387" s="153"/>
      <c r="AA387" s="153"/>
      <c r="AB387" s="117"/>
      <c r="AC387" s="117"/>
    </row>
    <row r="388" spans="9:33" x14ac:dyDescent="0.25">
      <c r="I388" s="49"/>
      <c r="J388" s="49"/>
      <c r="K388" s="49"/>
      <c r="M388" s="34"/>
      <c r="V388" s="83"/>
      <c r="W388" s="83"/>
      <c r="X388" s="152"/>
      <c r="Y388" s="153"/>
      <c r="Z388" s="153"/>
      <c r="AA388" s="153"/>
      <c r="AB388" s="117"/>
      <c r="AC388" s="117"/>
    </row>
    <row r="389" spans="9:33" x14ac:dyDescent="0.25">
      <c r="I389" s="49"/>
      <c r="J389" s="49"/>
      <c r="K389" s="49"/>
      <c r="M389" s="37"/>
      <c r="V389" s="83"/>
      <c r="W389" s="83"/>
      <c r="X389" s="152"/>
      <c r="Y389" s="153"/>
      <c r="Z389" s="153"/>
      <c r="AA389" s="153"/>
      <c r="AB389" s="117"/>
      <c r="AC389" s="117"/>
    </row>
    <row r="390" spans="9:33" x14ac:dyDescent="0.25">
      <c r="I390" s="49"/>
      <c r="J390" s="49"/>
      <c r="K390" s="49"/>
      <c r="M390" s="37"/>
      <c r="V390" s="83"/>
      <c r="W390" s="83"/>
      <c r="X390" s="83"/>
      <c r="Z390" s="91"/>
      <c r="AB390" s="117"/>
      <c r="AC390" s="117"/>
    </row>
    <row r="391" spans="9:33" x14ac:dyDescent="0.25">
      <c r="I391" s="49"/>
      <c r="J391" s="49"/>
      <c r="K391" s="49"/>
      <c r="M391" s="34"/>
      <c r="V391" s="83"/>
      <c r="W391" s="83"/>
      <c r="X391" s="83"/>
      <c r="Z391" s="89"/>
      <c r="AB391" s="117"/>
      <c r="AC391" s="117"/>
    </row>
    <row r="392" spans="9:33" x14ac:dyDescent="0.25">
      <c r="I392" s="49"/>
      <c r="J392" s="49"/>
      <c r="K392" s="49"/>
      <c r="M392" s="37"/>
      <c r="V392" s="83"/>
      <c r="W392" s="83"/>
      <c r="X392" s="83"/>
      <c r="Z392" s="91"/>
      <c r="AB392" s="117"/>
      <c r="AC392" s="117"/>
    </row>
    <row r="393" spans="9:33" x14ac:dyDescent="0.25">
      <c r="I393" s="49"/>
      <c r="J393" s="49"/>
      <c r="K393" s="49"/>
      <c r="M393" s="37"/>
      <c r="V393" s="83"/>
      <c r="W393" s="83"/>
      <c r="X393" s="83"/>
      <c r="Z393" s="91"/>
      <c r="AB393" s="117"/>
      <c r="AC393" s="117"/>
    </row>
    <row r="394" spans="9:33" x14ac:dyDescent="0.25">
      <c r="I394" s="49"/>
      <c r="J394" s="49"/>
      <c r="K394" s="49"/>
      <c r="M394" s="34"/>
      <c r="V394" s="83"/>
      <c r="W394" s="83"/>
      <c r="X394" s="83"/>
      <c r="Z394" s="89"/>
      <c r="AB394" s="117"/>
      <c r="AC394" s="117"/>
    </row>
    <row r="395" spans="9:33" x14ac:dyDescent="0.25">
      <c r="I395" s="49"/>
      <c r="J395" s="49"/>
      <c r="K395" s="49"/>
      <c r="M395" s="33"/>
      <c r="V395" s="83"/>
      <c r="W395" s="83"/>
      <c r="X395" s="83"/>
      <c r="Z395" s="84"/>
      <c r="AB395" s="117"/>
      <c r="AC395" s="117"/>
    </row>
    <row r="396" spans="9:33" x14ac:dyDescent="0.25">
      <c r="I396" s="49"/>
      <c r="J396" s="49"/>
      <c r="K396" s="49"/>
      <c r="M396" s="37"/>
      <c r="V396" s="83"/>
      <c r="W396" s="83"/>
      <c r="X396" s="83"/>
      <c r="Z396" s="91"/>
      <c r="AB396" s="117"/>
      <c r="AC396" s="117"/>
    </row>
    <row r="397" spans="9:33" x14ac:dyDescent="0.25">
      <c r="I397" s="49"/>
      <c r="J397" s="49"/>
      <c r="K397" s="49"/>
      <c r="M397" s="37"/>
      <c r="V397" s="83"/>
      <c r="W397" s="83"/>
      <c r="X397" s="83"/>
      <c r="Z397" s="91"/>
      <c r="AB397" s="117"/>
      <c r="AC397" s="117"/>
    </row>
    <row r="398" spans="9:33" x14ac:dyDescent="0.25">
      <c r="I398" s="49"/>
      <c r="J398" s="49"/>
      <c r="K398" s="49"/>
      <c r="M398" s="34"/>
      <c r="V398" s="83"/>
      <c r="W398" s="83"/>
      <c r="X398" s="83"/>
      <c r="Z398" s="89"/>
      <c r="AB398" s="117"/>
      <c r="AC398" s="117"/>
      <c r="AG398" s="87"/>
    </row>
    <row r="399" spans="9:33" x14ac:dyDescent="0.25">
      <c r="I399" s="49"/>
      <c r="J399" s="49"/>
      <c r="K399" s="49"/>
      <c r="M399" s="37"/>
      <c r="V399" s="83"/>
      <c r="W399" s="83"/>
      <c r="X399" s="83"/>
      <c r="Z399" s="91"/>
      <c r="AB399" s="117"/>
      <c r="AC399" s="117"/>
      <c r="AG399" s="87"/>
    </row>
    <row r="400" spans="9:33" x14ac:dyDescent="0.25">
      <c r="I400" s="49"/>
      <c r="J400" s="49"/>
      <c r="K400" s="49"/>
      <c r="M400" s="37"/>
      <c r="V400" s="83"/>
      <c r="W400" s="83"/>
      <c r="X400" s="83"/>
      <c r="Z400" s="91"/>
      <c r="AB400" s="117"/>
      <c r="AC400" s="117"/>
      <c r="AG400" s="87"/>
    </row>
    <row r="401" spans="9:33" x14ac:dyDescent="0.25">
      <c r="I401" s="49"/>
      <c r="J401" s="49"/>
      <c r="K401" s="49"/>
      <c r="M401" s="34"/>
      <c r="V401" s="83"/>
      <c r="W401" s="83"/>
      <c r="X401" s="83"/>
      <c r="Z401" s="89"/>
      <c r="AB401" s="117"/>
      <c r="AC401" s="117"/>
      <c r="AG401" s="87"/>
    </row>
    <row r="402" spans="9:33" x14ac:dyDescent="0.25">
      <c r="I402" s="49"/>
      <c r="J402" s="49"/>
      <c r="K402" s="49"/>
      <c r="M402" s="33"/>
      <c r="V402" s="83"/>
      <c r="W402" s="83"/>
      <c r="X402" s="83"/>
      <c r="Z402" s="84"/>
      <c r="AB402" s="117"/>
      <c r="AC402" s="117"/>
      <c r="AG402" s="87"/>
    </row>
    <row r="403" spans="9:33" x14ac:dyDescent="0.25">
      <c r="I403" s="49"/>
      <c r="J403" s="49"/>
      <c r="K403" s="49"/>
      <c r="M403" s="37"/>
      <c r="V403" s="83"/>
      <c r="W403" s="83"/>
      <c r="X403" s="83"/>
      <c r="Z403" s="91"/>
      <c r="AB403" s="117"/>
      <c r="AC403" s="117"/>
      <c r="AG403" s="87"/>
    </row>
    <row r="404" spans="9:33" x14ac:dyDescent="0.25">
      <c r="I404" s="49"/>
      <c r="J404" s="49"/>
      <c r="K404" s="49"/>
      <c r="M404" s="37"/>
      <c r="V404" s="83"/>
      <c r="W404" s="83"/>
      <c r="X404" s="83"/>
      <c r="Z404" s="91"/>
      <c r="AB404" s="117"/>
      <c r="AC404" s="117"/>
      <c r="AG404" s="87"/>
    </row>
    <row r="405" spans="9:33" x14ac:dyDescent="0.25">
      <c r="I405" s="49"/>
      <c r="J405" s="49"/>
      <c r="K405" s="49"/>
      <c r="M405" s="34"/>
      <c r="V405" s="83"/>
      <c r="W405" s="83"/>
      <c r="X405" s="83"/>
      <c r="Z405" s="89"/>
      <c r="AB405" s="117"/>
      <c r="AC405" s="117"/>
      <c r="AG405" s="87"/>
    </row>
    <row r="406" spans="9:33" x14ac:dyDescent="0.25">
      <c r="I406" s="49"/>
      <c r="J406" s="49"/>
      <c r="K406" s="49"/>
      <c r="M406" s="37"/>
      <c r="V406" s="83"/>
      <c r="W406" s="83"/>
      <c r="X406" s="83"/>
      <c r="Z406" s="91"/>
      <c r="AB406" s="117"/>
      <c r="AC406" s="117"/>
      <c r="AG406" s="87"/>
    </row>
    <row r="407" spans="9:33" x14ac:dyDescent="0.25">
      <c r="I407" s="49"/>
      <c r="J407" s="49"/>
      <c r="K407" s="49"/>
      <c r="M407" s="34"/>
      <c r="V407" s="83"/>
      <c r="W407" s="83"/>
      <c r="X407" s="83"/>
      <c r="Z407" s="89"/>
      <c r="AB407" s="117"/>
      <c r="AC407" s="117"/>
      <c r="AG407" s="87"/>
    </row>
    <row r="408" spans="9:33" x14ac:dyDescent="0.25">
      <c r="I408" s="49"/>
      <c r="J408" s="49"/>
      <c r="K408" s="49"/>
      <c r="M408" s="37"/>
      <c r="V408" s="83"/>
      <c r="W408" s="83"/>
      <c r="X408" s="83"/>
      <c r="Z408" s="91"/>
      <c r="AB408" s="117"/>
      <c r="AC408" s="117"/>
      <c r="AG408" s="87"/>
    </row>
    <row r="409" spans="9:33" x14ac:dyDescent="0.25">
      <c r="I409" s="49"/>
      <c r="J409" s="49"/>
      <c r="K409" s="49"/>
      <c r="M409" s="33"/>
      <c r="V409" s="83"/>
      <c r="W409" s="83"/>
      <c r="X409" s="83"/>
      <c r="Z409" s="84"/>
      <c r="AB409" s="117"/>
      <c r="AC409" s="117"/>
      <c r="AG409" s="87"/>
    </row>
    <row r="410" spans="9:33" x14ac:dyDescent="0.25">
      <c r="I410" s="49"/>
      <c r="J410" s="49"/>
      <c r="K410" s="49"/>
      <c r="M410" s="37"/>
      <c r="V410" s="83"/>
      <c r="W410" s="83"/>
      <c r="X410" s="83"/>
      <c r="Z410" s="91"/>
      <c r="AB410" s="117"/>
      <c r="AC410" s="117"/>
      <c r="AG410" s="87"/>
    </row>
    <row r="411" spans="9:33" x14ac:dyDescent="0.25">
      <c r="I411" s="49"/>
      <c r="J411" s="49"/>
      <c r="K411" s="49"/>
      <c r="M411" s="34"/>
      <c r="V411" s="83"/>
      <c r="W411" s="83"/>
      <c r="X411" s="83"/>
      <c r="Z411" s="89"/>
      <c r="AB411" s="117"/>
      <c r="AC411" s="117"/>
      <c r="AG411" s="87"/>
    </row>
    <row r="412" spans="9:33" x14ac:dyDescent="0.25">
      <c r="I412" s="49"/>
      <c r="J412" s="49"/>
      <c r="K412" s="49"/>
      <c r="M412" s="37"/>
      <c r="V412" s="83"/>
      <c r="W412" s="83"/>
      <c r="X412" s="83"/>
      <c r="Z412" s="91"/>
      <c r="AB412" s="117"/>
      <c r="AC412" s="117"/>
      <c r="AG412" s="87"/>
    </row>
    <row r="413" spans="9:33" x14ac:dyDescent="0.25">
      <c r="I413" s="49"/>
      <c r="J413" s="49"/>
      <c r="K413" s="49"/>
      <c r="M413" s="37"/>
      <c r="V413" s="83"/>
      <c r="W413" s="83"/>
      <c r="X413" s="83"/>
      <c r="Z413" s="91"/>
      <c r="AB413" s="117"/>
      <c r="AC413" s="117"/>
      <c r="AG413" s="87"/>
    </row>
    <row r="414" spans="9:33" x14ac:dyDescent="0.25">
      <c r="I414" s="49"/>
      <c r="J414" s="49"/>
      <c r="K414" s="49"/>
      <c r="M414" s="34"/>
      <c r="V414" s="83"/>
      <c r="W414" s="83"/>
      <c r="X414" s="83"/>
      <c r="Z414" s="89"/>
      <c r="AB414" s="117"/>
      <c r="AC414" s="117"/>
      <c r="AG414" s="87"/>
    </row>
    <row r="415" spans="9:33" x14ac:dyDescent="0.25">
      <c r="I415" s="49"/>
      <c r="J415" s="49"/>
      <c r="K415" s="49"/>
      <c r="M415" s="37"/>
      <c r="V415" s="83"/>
      <c r="W415" s="83"/>
      <c r="X415" s="83"/>
      <c r="Z415" s="91"/>
      <c r="AB415" s="117"/>
      <c r="AC415" s="117"/>
      <c r="AG415" s="87"/>
    </row>
    <row r="416" spans="9:33" x14ac:dyDescent="0.25">
      <c r="I416" s="49"/>
      <c r="J416" s="49"/>
      <c r="K416" s="49"/>
      <c r="M416" s="33"/>
      <c r="V416" s="83"/>
      <c r="W416" s="83"/>
      <c r="X416" s="83"/>
      <c r="Z416" s="84"/>
      <c r="AB416" s="117"/>
      <c r="AC416" s="117"/>
      <c r="AG416" s="87"/>
    </row>
    <row r="417" spans="9:33" x14ac:dyDescent="0.25">
      <c r="I417" s="49"/>
      <c r="J417" s="49"/>
      <c r="K417" s="49"/>
      <c r="M417" s="34"/>
      <c r="T417" s="87"/>
      <c r="V417" s="83"/>
      <c r="W417" s="83"/>
      <c r="X417" s="83"/>
      <c r="Z417" s="89"/>
      <c r="AB417" s="117"/>
      <c r="AC417" s="117"/>
      <c r="AG417" s="87"/>
    </row>
    <row r="418" spans="9:33" x14ac:dyDescent="0.25">
      <c r="I418" s="49"/>
      <c r="J418" s="49"/>
      <c r="K418" s="49"/>
      <c r="M418" s="37"/>
      <c r="T418" s="87"/>
      <c r="V418" s="83"/>
      <c r="W418" s="83"/>
      <c r="X418" s="83"/>
      <c r="Z418" s="91"/>
      <c r="AB418" s="117"/>
      <c r="AC418" s="117"/>
      <c r="AG418" s="87"/>
    </row>
    <row r="419" spans="9:33" x14ac:dyDescent="0.25">
      <c r="I419" s="49"/>
      <c r="J419" s="49"/>
      <c r="K419" s="49"/>
      <c r="M419" s="37"/>
      <c r="T419" s="87"/>
      <c r="V419" s="83"/>
      <c r="W419" s="83"/>
      <c r="X419" s="83"/>
      <c r="Z419" s="91"/>
      <c r="AB419" s="117"/>
      <c r="AC419" s="117"/>
      <c r="AG419" s="87"/>
    </row>
    <row r="420" spans="9:33" x14ac:dyDescent="0.25">
      <c r="I420" s="49"/>
      <c r="J420" s="49"/>
      <c r="K420" s="49"/>
      <c r="M420" s="34"/>
      <c r="T420" s="87"/>
      <c r="V420" s="83"/>
      <c r="W420" s="83"/>
      <c r="X420" s="83"/>
      <c r="Z420" s="89"/>
      <c r="AB420" s="117"/>
      <c r="AC420" s="117"/>
      <c r="AG420" s="87"/>
    </row>
    <row r="421" spans="9:33" x14ac:dyDescent="0.25">
      <c r="I421" s="49"/>
      <c r="J421" s="49"/>
      <c r="K421" s="49"/>
      <c r="M421" s="37"/>
      <c r="T421" s="87"/>
      <c r="V421" s="83"/>
      <c r="W421" s="83"/>
      <c r="X421" s="83"/>
      <c r="Z421" s="91"/>
      <c r="AB421" s="117"/>
      <c r="AC421" s="117"/>
      <c r="AG421" s="87"/>
    </row>
    <row r="422" spans="9:33" x14ac:dyDescent="0.25">
      <c r="I422" s="49"/>
      <c r="J422" s="49"/>
      <c r="K422" s="49"/>
      <c r="M422" s="33"/>
      <c r="T422" s="87"/>
      <c r="V422" s="83"/>
      <c r="W422" s="83"/>
      <c r="X422" s="83"/>
      <c r="Z422" s="84"/>
      <c r="AB422" s="117"/>
      <c r="AC422" s="117"/>
      <c r="AG422" s="87"/>
    </row>
    <row r="423" spans="9:33" x14ac:dyDescent="0.25">
      <c r="I423" s="49"/>
      <c r="J423" s="49"/>
      <c r="K423" s="49"/>
      <c r="M423" s="37"/>
      <c r="T423" s="87"/>
      <c r="V423" s="83"/>
      <c r="W423" s="83"/>
      <c r="X423" s="83"/>
      <c r="Z423" s="91"/>
      <c r="AB423" s="117"/>
      <c r="AC423" s="117"/>
      <c r="AG423" s="87"/>
    </row>
    <row r="424" spans="9:33" x14ac:dyDescent="0.25">
      <c r="I424" s="49"/>
      <c r="J424" s="49"/>
      <c r="K424" s="49"/>
      <c r="M424" s="34"/>
      <c r="T424" s="87"/>
      <c r="V424" s="83"/>
      <c r="W424" s="83"/>
      <c r="X424" s="83"/>
      <c r="Z424" s="89"/>
      <c r="AB424" s="117"/>
      <c r="AC424" s="117"/>
      <c r="AG424" s="87"/>
    </row>
    <row r="425" spans="9:33" x14ac:dyDescent="0.25">
      <c r="I425" s="49"/>
      <c r="J425" s="49"/>
      <c r="K425" s="49"/>
      <c r="M425" s="37"/>
      <c r="T425" s="87"/>
      <c r="V425" s="83"/>
      <c r="W425" s="83"/>
      <c r="X425" s="83"/>
      <c r="Z425" s="91"/>
      <c r="AB425" s="117"/>
      <c r="AC425" s="117"/>
      <c r="AG425" s="87"/>
    </row>
    <row r="426" spans="9:33" x14ac:dyDescent="0.25">
      <c r="I426" s="49"/>
      <c r="J426" s="49"/>
      <c r="K426" s="49"/>
      <c r="M426" s="37"/>
      <c r="T426" s="87"/>
      <c r="V426" s="83"/>
      <c r="W426" s="83"/>
      <c r="X426" s="83"/>
      <c r="Z426" s="91"/>
      <c r="AB426" s="117"/>
      <c r="AC426" s="117"/>
      <c r="AG426" s="87"/>
    </row>
    <row r="427" spans="9:33" x14ac:dyDescent="0.25">
      <c r="I427" s="49"/>
      <c r="J427" s="49"/>
      <c r="K427" s="49"/>
      <c r="M427" s="34"/>
      <c r="T427" s="87"/>
      <c r="V427" s="83"/>
      <c r="W427" s="83"/>
      <c r="X427" s="83"/>
      <c r="Z427" s="89"/>
      <c r="AB427" s="117"/>
      <c r="AC427" s="117"/>
      <c r="AG427" s="87"/>
    </row>
    <row r="428" spans="9:33" x14ac:dyDescent="0.25">
      <c r="I428" s="49"/>
      <c r="J428" s="49"/>
      <c r="K428" s="49"/>
      <c r="M428" s="37"/>
      <c r="T428" s="87"/>
      <c r="V428" s="83"/>
      <c r="W428" s="83"/>
      <c r="X428" s="83"/>
      <c r="Z428" s="91"/>
      <c r="AB428" s="117"/>
      <c r="AC428" s="117"/>
      <c r="AG428" s="87"/>
    </row>
    <row r="429" spans="9:33" x14ac:dyDescent="0.25">
      <c r="I429" s="49"/>
      <c r="J429" s="49"/>
      <c r="K429" s="49"/>
      <c r="M429" s="33"/>
      <c r="T429" s="87"/>
      <c r="V429" s="83"/>
      <c r="W429" s="83"/>
      <c r="X429" s="83"/>
      <c r="Z429" s="84"/>
      <c r="AB429" s="117"/>
      <c r="AC429" s="117"/>
      <c r="AG429" s="87"/>
    </row>
    <row r="430" spans="9:33" x14ac:dyDescent="0.25">
      <c r="I430" s="49"/>
      <c r="J430" s="49"/>
      <c r="K430" s="49"/>
      <c r="M430" s="34"/>
      <c r="T430" s="87"/>
      <c r="V430" s="83"/>
      <c r="W430" s="83"/>
      <c r="X430" s="83"/>
      <c r="Z430" s="89"/>
      <c r="AB430" s="117"/>
      <c r="AC430" s="117"/>
      <c r="AG430" s="87"/>
    </row>
    <row r="431" spans="9:33" x14ac:dyDescent="0.25">
      <c r="I431" s="49"/>
      <c r="J431" s="49"/>
      <c r="K431" s="49"/>
      <c r="M431" s="37"/>
      <c r="T431" s="87"/>
      <c r="V431" s="83"/>
      <c r="W431" s="83"/>
      <c r="X431" s="83"/>
      <c r="Z431" s="91"/>
      <c r="AB431" s="117"/>
      <c r="AC431" s="117"/>
      <c r="AG431" s="87"/>
    </row>
    <row r="432" spans="9:33" x14ac:dyDescent="0.25">
      <c r="I432" s="49"/>
      <c r="J432" s="49"/>
      <c r="K432" s="49"/>
      <c r="M432" s="34"/>
      <c r="T432" s="87"/>
      <c r="V432" s="83"/>
      <c r="W432" s="83"/>
      <c r="X432" s="83"/>
      <c r="Z432" s="89"/>
      <c r="AB432" s="117"/>
      <c r="AC432" s="117"/>
      <c r="AG432" s="87"/>
    </row>
    <row r="433" spans="9:33" x14ac:dyDescent="0.25">
      <c r="I433" s="49"/>
      <c r="J433" s="49"/>
      <c r="K433" s="49"/>
      <c r="M433" s="37"/>
      <c r="T433" s="87"/>
      <c r="V433" s="83"/>
      <c r="W433" s="83"/>
      <c r="X433" s="83"/>
      <c r="Z433" s="91"/>
      <c r="AB433" s="117"/>
      <c r="AC433" s="117"/>
      <c r="AG433" s="87"/>
    </row>
    <row r="434" spans="9:33" x14ac:dyDescent="0.25">
      <c r="I434" s="49"/>
      <c r="J434" s="49"/>
      <c r="K434" s="49"/>
      <c r="M434" s="37"/>
      <c r="T434" s="87"/>
      <c r="V434" s="83"/>
      <c r="W434" s="83"/>
      <c r="X434" s="83"/>
      <c r="Z434" s="91"/>
      <c r="AB434" s="117"/>
      <c r="AC434" s="117"/>
      <c r="AG434" s="87"/>
    </row>
    <row r="435" spans="9:33" x14ac:dyDescent="0.25">
      <c r="I435" s="49"/>
      <c r="J435" s="49"/>
      <c r="K435" s="49"/>
      <c r="M435" s="33"/>
      <c r="T435" s="87"/>
      <c r="V435" s="83"/>
      <c r="W435" s="83"/>
      <c r="X435" s="83"/>
      <c r="Z435" s="84"/>
      <c r="AB435" s="117"/>
      <c r="AC435" s="117"/>
      <c r="AG435" s="87"/>
    </row>
    <row r="436" spans="9:33" x14ac:dyDescent="0.25">
      <c r="I436" s="49"/>
      <c r="J436" s="49"/>
      <c r="K436" s="49"/>
      <c r="M436" s="34"/>
      <c r="T436" s="87"/>
      <c r="V436" s="83"/>
      <c r="W436" s="83"/>
      <c r="X436" s="83"/>
      <c r="Z436" s="89"/>
      <c r="AB436" s="117"/>
      <c r="AC436" s="117"/>
      <c r="AG436" s="87"/>
    </row>
    <row r="437" spans="9:33" x14ac:dyDescent="0.25">
      <c r="I437" s="49"/>
      <c r="J437" s="49"/>
      <c r="K437" s="49"/>
      <c r="M437" s="37"/>
      <c r="T437" s="87"/>
      <c r="V437" s="83"/>
      <c r="W437" s="83"/>
      <c r="X437" s="83"/>
      <c r="Z437" s="91"/>
      <c r="AB437" s="117"/>
      <c r="AC437" s="117"/>
      <c r="AG437" s="87"/>
    </row>
    <row r="438" spans="9:33" x14ac:dyDescent="0.25">
      <c r="I438" s="49"/>
      <c r="J438" s="49"/>
      <c r="K438" s="49"/>
      <c r="M438" s="37"/>
      <c r="T438" s="87"/>
      <c r="V438" s="83"/>
      <c r="W438" s="83"/>
      <c r="X438" s="83"/>
      <c r="Z438" s="91"/>
      <c r="AB438" s="117"/>
      <c r="AC438" s="117"/>
      <c r="AG438" s="87"/>
    </row>
    <row r="439" spans="9:33" x14ac:dyDescent="0.25">
      <c r="I439" s="49"/>
      <c r="J439" s="49"/>
      <c r="K439" s="49"/>
      <c r="M439" s="34"/>
      <c r="T439" s="87"/>
      <c r="V439" s="83"/>
      <c r="W439" s="83"/>
      <c r="X439" s="83"/>
      <c r="Z439" s="89"/>
      <c r="AB439" s="117"/>
      <c r="AC439" s="117"/>
      <c r="AG439" s="87"/>
    </row>
    <row r="440" spans="9:33" x14ac:dyDescent="0.25">
      <c r="I440" s="49"/>
      <c r="J440" s="49"/>
      <c r="K440" s="49"/>
      <c r="M440" s="37"/>
      <c r="T440" s="87"/>
      <c r="V440" s="83"/>
      <c r="W440" s="83"/>
      <c r="X440" s="83"/>
      <c r="Z440" s="91"/>
      <c r="AB440" s="117"/>
      <c r="AC440" s="117"/>
      <c r="AG440" s="87"/>
    </row>
    <row r="441" spans="9:33" x14ac:dyDescent="0.25">
      <c r="I441" s="49"/>
      <c r="J441" s="49"/>
      <c r="K441" s="49"/>
      <c r="M441" s="37"/>
      <c r="T441" s="87"/>
      <c r="V441" s="83"/>
      <c r="W441" s="83"/>
      <c r="X441" s="83"/>
      <c r="Z441" s="91"/>
      <c r="AB441" s="117"/>
      <c r="AC441" s="117"/>
      <c r="AG441" s="87"/>
    </row>
    <row r="442" spans="9:33" x14ac:dyDescent="0.25">
      <c r="I442" s="49"/>
      <c r="J442" s="49"/>
      <c r="K442" s="49"/>
      <c r="M442" s="34"/>
      <c r="T442" s="87"/>
      <c r="V442" s="83"/>
      <c r="W442" s="83"/>
      <c r="X442" s="83"/>
      <c r="Z442" s="89"/>
      <c r="AB442" s="117"/>
      <c r="AC442" s="117"/>
      <c r="AG442" s="87"/>
    </row>
    <row r="443" spans="9:33" x14ac:dyDescent="0.25">
      <c r="I443" s="49"/>
      <c r="J443" s="49"/>
      <c r="K443" s="49"/>
      <c r="M443" s="33"/>
      <c r="T443" s="87"/>
      <c r="V443" s="83"/>
      <c r="W443" s="83"/>
      <c r="X443" s="83"/>
      <c r="Z443" s="84"/>
      <c r="AB443" s="117"/>
      <c r="AC443" s="117"/>
      <c r="AG443" s="87"/>
    </row>
    <row r="444" spans="9:33" x14ac:dyDescent="0.25">
      <c r="I444" s="49"/>
      <c r="J444" s="49"/>
      <c r="K444" s="49"/>
      <c r="M444" s="37"/>
      <c r="T444" s="87"/>
      <c r="V444" s="83"/>
      <c r="W444" s="83"/>
      <c r="X444" s="83"/>
      <c r="Z444" s="91"/>
      <c r="AB444" s="117"/>
      <c r="AC444" s="117"/>
      <c r="AG444" s="87"/>
    </row>
    <row r="445" spans="9:33" x14ac:dyDescent="0.25">
      <c r="I445" s="49"/>
      <c r="J445" s="49"/>
      <c r="K445" s="49"/>
      <c r="M445" s="37"/>
      <c r="T445" s="87"/>
      <c r="V445" s="83"/>
      <c r="W445" s="83"/>
      <c r="X445" s="83"/>
      <c r="Z445" s="91"/>
      <c r="AB445" s="117"/>
      <c r="AC445" s="117"/>
      <c r="AG445" s="87"/>
    </row>
    <row r="446" spans="9:33" x14ac:dyDescent="0.25">
      <c r="I446" s="49"/>
      <c r="J446" s="49"/>
      <c r="K446" s="49"/>
      <c r="M446" s="34"/>
      <c r="T446" s="87"/>
      <c r="V446" s="83"/>
      <c r="W446" s="83"/>
      <c r="X446" s="83"/>
      <c r="Z446" s="89"/>
      <c r="AB446" s="117"/>
      <c r="AC446" s="117"/>
      <c r="AG446" s="87"/>
    </row>
    <row r="447" spans="9:33" x14ac:dyDescent="0.25">
      <c r="I447" s="49"/>
      <c r="J447" s="49"/>
      <c r="K447" s="49"/>
      <c r="M447" s="37"/>
      <c r="T447" s="87"/>
      <c r="V447" s="83"/>
      <c r="W447" s="83"/>
      <c r="X447" s="83"/>
      <c r="Z447" s="91"/>
      <c r="AB447" s="117"/>
      <c r="AC447" s="117"/>
      <c r="AG447" s="87"/>
    </row>
    <row r="448" spans="9:33" x14ac:dyDescent="0.25">
      <c r="I448" s="49"/>
      <c r="J448" s="49"/>
      <c r="K448" s="49"/>
      <c r="M448" s="37"/>
      <c r="T448" s="87"/>
      <c r="V448" s="83"/>
      <c r="W448" s="83"/>
      <c r="X448" s="83"/>
      <c r="Z448" s="91"/>
      <c r="AB448" s="117"/>
      <c r="AC448" s="117"/>
      <c r="AG448" s="87"/>
    </row>
    <row r="449" spans="9:33" x14ac:dyDescent="0.25">
      <c r="I449" s="49"/>
      <c r="J449" s="49"/>
      <c r="K449" s="49"/>
      <c r="M449" s="34"/>
      <c r="T449" s="87"/>
      <c r="V449" s="83"/>
      <c r="W449" s="83"/>
      <c r="X449" s="83"/>
      <c r="Z449" s="89"/>
      <c r="AB449" s="117"/>
      <c r="AC449" s="117"/>
      <c r="AG449" s="87"/>
    </row>
    <row r="450" spans="9:33" x14ac:dyDescent="0.25">
      <c r="I450" s="49"/>
      <c r="J450" s="49"/>
      <c r="K450" s="49"/>
      <c r="M450" s="33"/>
      <c r="T450" s="87"/>
      <c r="V450" s="83"/>
      <c r="W450" s="83"/>
      <c r="X450" s="83"/>
      <c r="Z450" s="84"/>
      <c r="AB450" s="117"/>
      <c r="AC450" s="117"/>
      <c r="AG450" s="87"/>
    </row>
    <row r="451" spans="9:33" x14ac:dyDescent="0.25">
      <c r="I451" s="49"/>
      <c r="J451" s="49"/>
      <c r="K451" s="49"/>
      <c r="M451" s="37"/>
      <c r="T451" s="87"/>
      <c r="V451" s="83"/>
      <c r="W451" s="83"/>
      <c r="X451" s="83"/>
      <c r="Z451" s="91"/>
      <c r="AB451" s="117"/>
      <c r="AC451" s="117"/>
      <c r="AG451" s="87"/>
    </row>
    <row r="452" spans="9:33" x14ac:dyDescent="0.25">
      <c r="I452" s="49"/>
      <c r="J452" s="49"/>
      <c r="K452" s="49"/>
      <c r="M452" s="37"/>
      <c r="T452" s="87"/>
      <c r="V452" s="83"/>
      <c r="W452" s="83"/>
      <c r="X452" s="83"/>
      <c r="Z452" s="91"/>
      <c r="AB452" s="117"/>
      <c r="AC452" s="117"/>
      <c r="AG452" s="87"/>
    </row>
    <row r="453" spans="9:33" x14ac:dyDescent="0.25">
      <c r="I453" s="49"/>
      <c r="J453" s="49"/>
      <c r="K453" s="49"/>
      <c r="M453" s="34"/>
      <c r="T453" s="87"/>
      <c r="V453" s="83"/>
      <c r="W453" s="83"/>
      <c r="X453" s="83"/>
      <c r="Z453" s="89"/>
      <c r="AB453" s="117"/>
      <c r="AC453" s="117"/>
      <c r="AG453" s="87"/>
    </row>
    <row r="454" spans="9:33" x14ac:dyDescent="0.25">
      <c r="I454" s="49"/>
      <c r="J454" s="49"/>
      <c r="K454" s="49"/>
      <c r="M454" s="37"/>
      <c r="T454" s="87"/>
      <c r="V454" s="83"/>
      <c r="W454" s="83"/>
      <c r="X454" s="83"/>
      <c r="Z454" s="91"/>
      <c r="AB454" s="117"/>
      <c r="AC454" s="117"/>
      <c r="AG454" s="87"/>
    </row>
    <row r="455" spans="9:33" x14ac:dyDescent="0.25">
      <c r="I455" s="49"/>
      <c r="J455" s="49"/>
      <c r="K455" s="49"/>
      <c r="M455" s="37"/>
      <c r="T455" s="87"/>
      <c r="V455" s="83"/>
      <c r="W455" s="83"/>
      <c r="X455" s="83"/>
      <c r="Z455" s="91"/>
      <c r="AB455" s="117"/>
      <c r="AC455" s="117"/>
      <c r="AG455" s="87"/>
    </row>
    <row r="456" spans="9:33" x14ac:dyDescent="0.25">
      <c r="I456" s="49"/>
      <c r="J456" s="49"/>
      <c r="K456" s="49"/>
      <c r="M456" s="34"/>
      <c r="T456" s="87"/>
      <c r="V456" s="83"/>
      <c r="W456" s="83"/>
      <c r="X456" s="83"/>
      <c r="Z456" s="89"/>
      <c r="AB456" s="117"/>
      <c r="AC456" s="117"/>
      <c r="AG456" s="87"/>
    </row>
    <row r="457" spans="9:33" x14ac:dyDescent="0.25">
      <c r="I457" s="49"/>
      <c r="J457" s="49"/>
      <c r="K457" s="49"/>
      <c r="M457" s="37"/>
      <c r="T457" s="87"/>
      <c r="V457" s="83"/>
      <c r="W457" s="83"/>
      <c r="X457" s="83"/>
      <c r="Z457" s="91"/>
      <c r="AB457" s="117"/>
      <c r="AC457" s="117"/>
      <c r="AG457" s="87"/>
    </row>
    <row r="458" spans="9:33" x14ac:dyDescent="0.25">
      <c r="I458" s="49"/>
      <c r="J458" s="49"/>
      <c r="K458" s="49"/>
      <c r="M458" s="33"/>
      <c r="T458" s="87"/>
      <c r="V458" s="83"/>
      <c r="W458" s="83"/>
      <c r="X458" s="83"/>
      <c r="Z458" s="84"/>
      <c r="AB458" s="117"/>
      <c r="AC458" s="117"/>
      <c r="AG458" s="87"/>
    </row>
    <row r="459" spans="9:33" x14ac:dyDescent="0.25">
      <c r="I459" s="49"/>
      <c r="J459" s="49"/>
      <c r="K459" s="49"/>
      <c r="M459" s="37"/>
      <c r="T459" s="87"/>
      <c r="V459" s="83"/>
      <c r="W459" s="83"/>
      <c r="X459" s="83"/>
      <c r="Z459" s="91"/>
      <c r="AB459" s="117"/>
      <c r="AC459" s="117"/>
      <c r="AG459" s="87"/>
    </row>
    <row r="460" spans="9:33" x14ac:dyDescent="0.25">
      <c r="I460" s="49"/>
      <c r="J460" s="49"/>
      <c r="K460" s="49"/>
      <c r="M460" s="34"/>
      <c r="T460" s="87"/>
      <c r="V460" s="83"/>
      <c r="W460" s="83"/>
      <c r="X460" s="83"/>
      <c r="Z460" s="89"/>
      <c r="AB460" s="117"/>
      <c r="AC460" s="117"/>
      <c r="AG460" s="87"/>
    </row>
    <row r="461" spans="9:33" x14ac:dyDescent="0.25">
      <c r="I461" s="49"/>
      <c r="J461" s="49"/>
      <c r="K461" s="49"/>
      <c r="M461" s="37"/>
      <c r="T461" s="87"/>
      <c r="V461" s="83"/>
      <c r="W461" s="83"/>
      <c r="X461" s="83"/>
      <c r="Z461" s="91"/>
      <c r="AB461" s="117"/>
      <c r="AC461" s="117"/>
      <c r="AG461" s="87"/>
    </row>
    <row r="462" spans="9:33" x14ac:dyDescent="0.25">
      <c r="I462" s="49"/>
      <c r="J462" s="49"/>
      <c r="K462" s="49"/>
      <c r="M462" s="37"/>
      <c r="T462" s="87"/>
      <c r="V462" s="83"/>
      <c r="W462" s="83"/>
      <c r="X462" s="83"/>
      <c r="Z462" s="91"/>
      <c r="AB462" s="117"/>
      <c r="AC462" s="117"/>
      <c r="AG462" s="87"/>
    </row>
    <row r="463" spans="9:33" x14ac:dyDescent="0.25">
      <c r="I463" s="49"/>
      <c r="J463" s="49"/>
      <c r="K463" s="49"/>
      <c r="M463" s="34"/>
      <c r="T463" s="87"/>
      <c r="V463" s="83"/>
      <c r="W463" s="83"/>
      <c r="X463" s="83"/>
      <c r="Z463" s="89"/>
      <c r="AB463" s="117"/>
      <c r="AC463" s="117"/>
      <c r="AG463" s="87"/>
    </row>
    <row r="464" spans="9:33" x14ac:dyDescent="0.25">
      <c r="I464" s="49"/>
      <c r="J464" s="49"/>
      <c r="K464" s="49"/>
      <c r="M464" s="37"/>
      <c r="T464" s="87"/>
      <c r="V464" s="83"/>
      <c r="W464" s="83"/>
      <c r="X464" s="83"/>
      <c r="Z464" s="91"/>
      <c r="AB464" s="117"/>
      <c r="AC464" s="117"/>
      <c r="AG464" s="87"/>
    </row>
    <row r="465" spans="9:33" x14ac:dyDescent="0.25">
      <c r="I465" s="49"/>
      <c r="J465" s="49"/>
      <c r="K465" s="49"/>
      <c r="M465" s="33"/>
      <c r="T465" s="87"/>
      <c r="V465" s="83"/>
      <c r="W465" s="83"/>
      <c r="X465" s="83"/>
      <c r="Z465" s="84"/>
      <c r="AG465" s="87"/>
    </row>
    <row r="466" spans="9:33" x14ac:dyDescent="0.25">
      <c r="I466" s="49"/>
      <c r="J466" s="49"/>
      <c r="K466" s="49"/>
      <c r="M466" s="37"/>
      <c r="T466" s="87"/>
      <c r="V466" s="83"/>
      <c r="W466" s="83"/>
      <c r="X466" s="83"/>
      <c r="Z466" s="91"/>
      <c r="AG466" s="87"/>
    </row>
    <row r="467" spans="9:33" x14ac:dyDescent="0.25">
      <c r="I467" s="49"/>
      <c r="J467" s="49"/>
      <c r="K467" s="49"/>
      <c r="M467" s="34"/>
      <c r="T467" s="87"/>
      <c r="V467" s="83"/>
      <c r="W467" s="83"/>
      <c r="X467" s="83"/>
      <c r="Z467" s="89"/>
      <c r="AG467" s="87"/>
    </row>
    <row r="468" spans="9:33" x14ac:dyDescent="0.25">
      <c r="I468" s="49"/>
      <c r="J468" s="49"/>
      <c r="K468" s="49"/>
      <c r="M468" s="37"/>
      <c r="T468" s="87"/>
      <c r="V468" s="83"/>
      <c r="W468" s="83"/>
      <c r="X468" s="83"/>
      <c r="Z468" s="91"/>
      <c r="AG468" s="87"/>
    </row>
    <row r="469" spans="9:33" x14ac:dyDescent="0.25">
      <c r="I469" s="49"/>
      <c r="J469" s="49"/>
      <c r="K469" s="49"/>
      <c r="M469" s="37"/>
      <c r="T469" s="87"/>
      <c r="V469" s="83"/>
      <c r="W469" s="83"/>
      <c r="X469" s="83"/>
      <c r="Z469" s="91"/>
      <c r="AG469" s="87"/>
    </row>
    <row r="470" spans="9:33" x14ac:dyDescent="0.25">
      <c r="I470" s="49"/>
      <c r="J470" s="49"/>
      <c r="K470" s="49"/>
      <c r="M470" s="34"/>
      <c r="T470" s="87"/>
      <c r="V470" s="83"/>
      <c r="W470" s="83"/>
      <c r="X470" s="83"/>
      <c r="Z470" s="89"/>
      <c r="AG470" s="87"/>
    </row>
    <row r="471" spans="9:33" x14ac:dyDescent="0.25">
      <c r="I471" s="49"/>
      <c r="J471" s="49"/>
      <c r="K471" s="49"/>
      <c r="M471" s="37"/>
      <c r="T471" s="87"/>
      <c r="V471" s="83"/>
      <c r="W471" s="83"/>
      <c r="X471" s="83"/>
      <c r="Z471" s="91"/>
      <c r="AG471" s="87"/>
    </row>
    <row r="472" spans="9:33" x14ac:dyDescent="0.25">
      <c r="I472" s="49"/>
      <c r="J472" s="49"/>
      <c r="K472" s="49"/>
      <c r="M472" s="33"/>
      <c r="T472" s="87"/>
      <c r="V472" s="83"/>
      <c r="W472" s="83"/>
      <c r="X472" s="83"/>
      <c r="Z472" s="84"/>
      <c r="AG472" s="87"/>
    </row>
    <row r="473" spans="9:33" x14ac:dyDescent="0.25">
      <c r="I473" s="49"/>
      <c r="J473" s="49"/>
      <c r="K473" s="49"/>
      <c r="M473" s="37"/>
      <c r="T473" s="87"/>
      <c r="V473" s="83"/>
      <c r="W473" s="83"/>
      <c r="X473" s="83"/>
      <c r="Z473" s="91"/>
      <c r="AG473" s="87"/>
    </row>
    <row r="474" spans="9:33" x14ac:dyDescent="0.25">
      <c r="I474" s="49"/>
      <c r="J474" s="49"/>
      <c r="K474" s="49"/>
      <c r="M474" s="34"/>
      <c r="T474" s="87"/>
      <c r="V474" s="83"/>
      <c r="W474" s="83"/>
      <c r="X474" s="83"/>
      <c r="Z474" s="89"/>
      <c r="AG474" s="87"/>
    </row>
    <row r="475" spans="9:33" x14ac:dyDescent="0.25">
      <c r="I475" s="49"/>
      <c r="J475" s="49"/>
      <c r="K475" s="49"/>
      <c r="M475" s="37"/>
      <c r="T475" s="87"/>
      <c r="V475" s="83"/>
      <c r="W475" s="83"/>
      <c r="X475" s="83"/>
      <c r="Z475" s="91"/>
      <c r="AG475" s="87"/>
    </row>
    <row r="476" spans="9:33" x14ac:dyDescent="0.25">
      <c r="I476" s="49"/>
      <c r="J476" s="49"/>
      <c r="K476" s="49"/>
      <c r="M476" s="37"/>
      <c r="T476" s="87"/>
      <c r="V476" s="83"/>
      <c r="W476" s="83"/>
      <c r="X476" s="83"/>
      <c r="Z476" s="91"/>
      <c r="AG476" s="87"/>
    </row>
    <row r="477" spans="9:33" x14ac:dyDescent="0.25">
      <c r="I477" s="49"/>
      <c r="J477" s="49"/>
      <c r="K477" s="49"/>
      <c r="M477" s="34"/>
      <c r="T477" s="87"/>
      <c r="V477" s="83"/>
      <c r="W477" s="83"/>
      <c r="X477" s="83"/>
      <c r="Z477" s="89"/>
      <c r="AG477" s="87"/>
    </row>
    <row r="478" spans="9:33" x14ac:dyDescent="0.25">
      <c r="I478" s="49"/>
      <c r="J478" s="49"/>
      <c r="K478" s="49"/>
      <c r="M478" s="37"/>
      <c r="T478" s="87"/>
      <c r="V478" s="83"/>
      <c r="W478" s="83"/>
      <c r="X478" s="83"/>
      <c r="Z478" s="91"/>
      <c r="AG478" s="87"/>
    </row>
    <row r="479" spans="9:33" x14ac:dyDescent="0.25">
      <c r="I479" s="49"/>
      <c r="J479" s="49"/>
      <c r="K479" s="49"/>
      <c r="M479" s="37"/>
      <c r="T479" s="87"/>
      <c r="V479" s="83"/>
      <c r="W479" s="83"/>
      <c r="X479" s="83"/>
      <c r="Z479" s="91"/>
      <c r="AG479" s="87"/>
    </row>
    <row r="480" spans="9:33" x14ac:dyDescent="0.25">
      <c r="I480" s="49"/>
      <c r="J480" s="49"/>
      <c r="K480" s="49"/>
      <c r="M480" s="33"/>
      <c r="T480" s="87"/>
      <c r="V480" s="83"/>
      <c r="W480" s="83"/>
      <c r="X480" s="83"/>
      <c r="Z480" s="84"/>
      <c r="AG480" s="87"/>
    </row>
    <row r="481" spans="9:33" x14ac:dyDescent="0.25">
      <c r="I481" s="49"/>
      <c r="J481" s="49"/>
      <c r="K481" s="49"/>
      <c r="M481" s="34"/>
      <c r="T481" s="87"/>
      <c r="V481" s="83"/>
      <c r="W481" s="83"/>
      <c r="X481" s="83"/>
      <c r="Z481" s="89"/>
      <c r="AG481" s="87"/>
    </row>
    <row r="482" spans="9:33" x14ac:dyDescent="0.25">
      <c r="I482" s="49"/>
      <c r="J482" s="49"/>
      <c r="K482" s="49"/>
      <c r="M482" s="37"/>
      <c r="T482" s="87"/>
      <c r="V482" s="83"/>
      <c r="W482" s="83"/>
      <c r="X482" s="83"/>
      <c r="Z482" s="91"/>
      <c r="AG482" s="87"/>
    </row>
    <row r="483" spans="9:33" x14ac:dyDescent="0.25">
      <c r="I483" s="49"/>
      <c r="J483" s="49"/>
      <c r="K483" s="49"/>
      <c r="M483" s="37"/>
      <c r="T483" s="87"/>
      <c r="V483" s="83"/>
      <c r="W483" s="83"/>
      <c r="X483" s="83"/>
      <c r="Z483" s="91"/>
      <c r="AG483" s="87"/>
    </row>
    <row r="484" spans="9:33" x14ac:dyDescent="0.25">
      <c r="I484" s="49"/>
      <c r="J484" s="49"/>
      <c r="K484" s="49"/>
      <c r="M484" s="34"/>
      <c r="T484" s="87"/>
      <c r="V484" s="83"/>
      <c r="W484" s="83"/>
      <c r="X484" s="83"/>
      <c r="Z484" s="89"/>
      <c r="AG484" s="87"/>
    </row>
    <row r="485" spans="9:33" x14ac:dyDescent="0.25">
      <c r="I485" s="49"/>
      <c r="J485" s="49"/>
      <c r="K485" s="49"/>
      <c r="M485" s="37"/>
      <c r="T485" s="87"/>
      <c r="V485" s="83"/>
      <c r="W485" s="83"/>
      <c r="X485" s="83"/>
      <c r="Z485" s="91"/>
      <c r="AG485" s="87"/>
    </row>
    <row r="486" spans="9:33" x14ac:dyDescent="0.25">
      <c r="I486" s="49"/>
      <c r="J486" s="49"/>
      <c r="K486" s="49"/>
      <c r="M486" s="37"/>
      <c r="T486" s="87"/>
      <c r="V486" s="83"/>
      <c r="W486" s="83"/>
      <c r="X486" s="83"/>
      <c r="Z486" s="91"/>
      <c r="AG486" s="87"/>
    </row>
    <row r="487" spans="9:33" x14ac:dyDescent="0.25">
      <c r="I487" s="49"/>
      <c r="J487" s="49"/>
      <c r="K487" s="49"/>
      <c r="M487" s="33"/>
      <c r="T487" s="87"/>
      <c r="V487" s="83"/>
      <c r="W487" s="83"/>
      <c r="X487" s="83"/>
      <c r="Z487" s="84"/>
      <c r="AG487" s="87"/>
    </row>
    <row r="488" spans="9:33" x14ac:dyDescent="0.25">
      <c r="I488" s="49"/>
      <c r="J488" s="49"/>
      <c r="K488" s="49"/>
      <c r="M488" s="34"/>
      <c r="T488" s="87"/>
      <c r="V488" s="83"/>
      <c r="W488" s="83"/>
      <c r="X488" s="83"/>
      <c r="Z488" s="89"/>
      <c r="AG488" s="87"/>
    </row>
    <row r="489" spans="9:33" x14ac:dyDescent="0.25">
      <c r="I489" s="49"/>
      <c r="J489" s="49"/>
      <c r="K489" s="49"/>
      <c r="M489" s="37"/>
      <c r="T489" s="87"/>
      <c r="V489" s="83"/>
      <c r="W489" s="83"/>
      <c r="X489" s="83"/>
      <c r="Z489" s="91"/>
      <c r="AG489" s="87"/>
    </row>
    <row r="490" spans="9:33" x14ac:dyDescent="0.25">
      <c r="I490" s="49"/>
      <c r="J490" s="49"/>
      <c r="K490" s="49"/>
      <c r="M490" s="37"/>
      <c r="T490" s="87"/>
      <c r="V490" s="83"/>
      <c r="W490" s="83"/>
      <c r="X490" s="83"/>
      <c r="Z490" s="91"/>
      <c r="AG490" s="87"/>
    </row>
    <row r="491" spans="9:33" x14ac:dyDescent="0.25">
      <c r="I491" s="49"/>
      <c r="J491" s="49"/>
      <c r="K491" s="49"/>
      <c r="M491" s="34"/>
      <c r="T491" s="87"/>
      <c r="V491" s="83"/>
      <c r="W491" s="83"/>
      <c r="X491" s="83"/>
      <c r="Z491" s="89"/>
      <c r="AG491" s="87"/>
    </row>
    <row r="492" spans="9:33" x14ac:dyDescent="0.25">
      <c r="I492" s="49"/>
      <c r="J492" s="49"/>
      <c r="K492" s="49"/>
      <c r="M492" s="37"/>
      <c r="T492" s="87"/>
      <c r="V492" s="83"/>
      <c r="W492" s="83"/>
      <c r="X492" s="83"/>
      <c r="Z492" s="91"/>
      <c r="AG492" s="87"/>
    </row>
    <row r="493" spans="9:33" x14ac:dyDescent="0.25">
      <c r="I493" s="49"/>
      <c r="J493" s="49"/>
      <c r="K493" s="49"/>
      <c r="M493" s="37"/>
      <c r="T493" s="87"/>
      <c r="V493" s="83"/>
      <c r="W493" s="83"/>
      <c r="X493" s="83"/>
      <c r="Z493" s="91"/>
      <c r="AG493" s="87"/>
    </row>
    <row r="494" spans="9:33" x14ac:dyDescent="0.25">
      <c r="I494" s="49"/>
      <c r="J494" s="49"/>
      <c r="K494" s="49"/>
      <c r="M494" s="34"/>
      <c r="T494" s="87"/>
      <c r="V494" s="83"/>
      <c r="W494" s="83"/>
      <c r="X494" s="83"/>
      <c r="Z494" s="89"/>
      <c r="AG494" s="87"/>
    </row>
    <row r="495" spans="9:33" x14ac:dyDescent="0.25">
      <c r="I495" s="49"/>
      <c r="J495" s="49"/>
      <c r="K495" s="49"/>
      <c r="M495" s="33"/>
      <c r="T495" s="87"/>
      <c r="V495" s="83"/>
      <c r="W495" s="83"/>
      <c r="X495" s="83"/>
      <c r="Z495" s="84"/>
      <c r="AG495" s="87"/>
    </row>
    <row r="496" spans="9:33" x14ac:dyDescent="0.25">
      <c r="I496" s="49"/>
      <c r="J496" s="49"/>
      <c r="K496" s="49"/>
      <c r="M496" s="37"/>
      <c r="T496" s="87"/>
      <c r="V496" s="83"/>
      <c r="W496" s="83"/>
      <c r="X496" s="83"/>
      <c r="Z496" s="91"/>
      <c r="AG496" s="87"/>
    </row>
    <row r="497" spans="9:33" x14ac:dyDescent="0.25">
      <c r="I497" s="49"/>
      <c r="J497" s="49"/>
      <c r="K497" s="49"/>
      <c r="M497" s="37"/>
      <c r="T497" s="87"/>
      <c r="V497" s="83"/>
      <c r="W497" s="83"/>
      <c r="X497" s="83"/>
      <c r="Z497" s="91"/>
      <c r="AG497" s="87"/>
    </row>
    <row r="498" spans="9:33" x14ac:dyDescent="0.25">
      <c r="I498" s="49"/>
      <c r="J498" s="49"/>
      <c r="K498" s="49"/>
      <c r="M498" s="34"/>
      <c r="T498" s="87"/>
      <c r="V498" s="83"/>
      <c r="W498" s="83"/>
      <c r="X498" s="83"/>
      <c r="Z498" s="89"/>
      <c r="AG498" s="87"/>
    </row>
    <row r="499" spans="9:33" x14ac:dyDescent="0.25">
      <c r="I499" s="49"/>
      <c r="J499" s="49"/>
      <c r="K499" s="49"/>
      <c r="M499" s="37"/>
      <c r="T499" s="87"/>
      <c r="V499" s="83"/>
      <c r="W499" s="83"/>
      <c r="X499" s="83"/>
      <c r="Z499" s="91"/>
      <c r="AG499" s="87"/>
    </row>
    <row r="500" spans="9:33" x14ac:dyDescent="0.25">
      <c r="I500" s="49"/>
      <c r="J500" s="49"/>
      <c r="K500" s="49"/>
      <c r="M500" s="37"/>
      <c r="T500" s="87"/>
      <c r="V500" s="83"/>
      <c r="W500" s="83"/>
      <c r="X500" s="83"/>
      <c r="Z500" s="91"/>
      <c r="AG500" s="87"/>
    </row>
    <row r="501" spans="9:33" x14ac:dyDescent="0.25">
      <c r="I501" s="49"/>
      <c r="J501" s="49"/>
      <c r="K501" s="49"/>
      <c r="M501" s="34"/>
      <c r="T501" s="87"/>
      <c r="V501" s="83"/>
      <c r="W501" s="83"/>
      <c r="X501" s="83"/>
      <c r="Z501" s="89"/>
      <c r="AG501" s="87"/>
    </row>
    <row r="502" spans="9:33" x14ac:dyDescent="0.25">
      <c r="I502" s="49"/>
      <c r="J502" s="49"/>
      <c r="K502" s="49"/>
      <c r="M502" s="33"/>
      <c r="T502" s="87"/>
      <c r="V502" s="83"/>
      <c r="W502" s="83"/>
      <c r="X502" s="83"/>
      <c r="Z502" s="84"/>
      <c r="AG502" s="87"/>
    </row>
    <row r="503" spans="9:33" x14ac:dyDescent="0.25">
      <c r="I503" s="49"/>
      <c r="J503" s="49"/>
      <c r="K503" s="49"/>
      <c r="M503" s="37"/>
      <c r="T503" s="87"/>
      <c r="V503" s="83"/>
      <c r="W503" s="83"/>
      <c r="X503" s="83"/>
      <c r="Z503" s="91"/>
      <c r="AG503" s="87"/>
    </row>
    <row r="504" spans="9:33" x14ac:dyDescent="0.25">
      <c r="I504" s="49"/>
      <c r="J504" s="49"/>
      <c r="K504" s="49"/>
      <c r="M504" s="37"/>
      <c r="T504" s="87"/>
      <c r="V504" s="83"/>
      <c r="W504" s="83"/>
      <c r="X504" s="83"/>
      <c r="Z504" s="91"/>
      <c r="AG504" s="87"/>
    </row>
    <row r="505" spans="9:33" x14ac:dyDescent="0.25">
      <c r="I505" s="49"/>
      <c r="J505" s="49"/>
      <c r="K505" s="49"/>
      <c r="M505" s="34"/>
      <c r="T505" s="87"/>
      <c r="V505" s="83"/>
      <c r="W505" s="83"/>
      <c r="X505" s="83"/>
      <c r="Z505" s="89"/>
      <c r="AG505" s="87"/>
    </row>
    <row r="506" spans="9:33" x14ac:dyDescent="0.25">
      <c r="I506" s="49"/>
      <c r="J506" s="49"/>
      <c r="K506" s="49"/>
      <c r="M506" s="37"/>
      <c r="T506" s="87"/>
      <c r="V506" s="83"/>
      <c r="W506" s="83"/>
      <c r="X506" s="83"/>
      <c r="Z506" s="91"/>
      <c r="AG506" s="87"/>
    </row>
    <row r="507" spans="9:33" x14ac:dyDescent="0.25">
      <c r="I507" s="49"/>
      <c r="J507" s="49"/>
      <c r="K507" s="49"/>
      <c r="M507" s="37"/>
      <c r="T507" s="87"/>
      <c r="V507" s="83"/>
      <c r="W507" s="83"/>
      <c r="X507" s="83"/>
      <c r="Z507" s="91"/>
      <c r="AG507" s="87"/>
    </row>
    <row r="508" spans="9:33" x14ac:dyDescent="0.25">
      <c r="I508" s="49"/>
      <c r="J508" s="49"/>
      <c r="K508" s="49"/>
      <c r="M508" s="34"/>
      <c r="T508" s="87"/>
      <c r="V508" s="83"/>
      <c r="W508" s="83"/>
      <c r="X508" s="83"/>
      <c r="Z508" s="89"/>
      <c r="AG508" s="87"/>
    </row>
    <row r="509" spans="9:33" x14ac:dyDescent="0.25">
      <c r="I509" s="49"/>
      <c r="J509" s="49"/>
      <c r="K509" s="49"/>
      <c r="M509" s="37"/>
      <c r="T509" s="87"/>
      <c r="V509" s="83"/>
      <c r="W509" s="83"/>
      <c r="X509" s="83"/>
      <c r="Z509" s="91"/>
      <c r="AG509" s="87"/>
    </row>
    <row r="510" spans="9:33" x14ac:dyDescent="0.25">
      <c r="I510" s="49"/>
      <c r="J510" s="49"/>
      <c r="K510" s="49"/>
      <c r="M510" s="33"/>
      <c r="T510" s="87"/>
      <c r="V510" s="83"/>
      <c r="W510" s="83"/>
      <c r="X510" s="83"/>
      <c r="Z510" s="84"/>
      <c r="AG510" s="87"/>
    </row>
    <row r="511" spans="9:33" x14ac:dyDescent="0.25">
      <c r="I511" s="49"/>
      <c r="J511" s="49"/>
      <c r="K511" s="49"/>
      <c r="M511" s="37"/>
      <c r="T511" s="87"/>
      <c r="V511" s="83"/>
      <c r="W511" s="83"/>
      <c r="X511" s="83"/>
      <c r="Z511" s="91"/>
      <c r="AG511" s="87"/>
    </row>
    <row r="512" spans="9:33" x14ac:dyDescent="0.25">
      <c r="I512" s="49"/>
      <c r="J512" s="49"/>
      <c r="K512" s="49"/>
      <c r="M512" s="34"/>
      <c r="T512" s="87"/>
      <c r="V512" s="83"/>
      <c r="W512" s="83"/>
      <c r="X512" s="83"/>
      <c r="Z512" s="89"/>
      <c r="AG512" s="87"/>
    </row>
    <row r="513" spans="9:33" x14ac:dyDescent="0.25">
      <c r="I513" s="49"/>
      <c r="J513" s="49"/>
      <c r="K513" s="49"/>
      <c r="M513" s="37"/>
      <c r="T513" s="87"/>
      <c r="V513" s="83"/>
      <c r="W513" s="83"/>
      <c r="X513" s="83"/>
      <c r="Z513" s="91"/>
      <c r="AG513" s="87"/>
    </row>
    <row r="514" spans="9:33" x14ac:dyDescent="0.25">
      <c r="I514" s="49"/>
      <c r="J514" s="49"/>
      <c r="K514" s="49"/>
      <c r="M514" s="37"/>
      <c r="T514" s="87"/>
      <c r="V514" s="83"/>
      <c r="W514" s="83"/>
      <c r="X514" s="83"/>
      <c r="Z514" s="91"/>
      <c r="AG514" s="87"/>
    </row>
    <row r="515" spans="9:33" x14ac:dyDescent="0.25">
      <c r="I515" s="49"/>
      <c r="J515" s="49"/>
      <c r="K515" s="49"/>
      <c r="M515" s="34"/>
      <c r="T515" s="87"/>
      <c r="V515" s="83"/>
      <c r="W515" s="83"/>
      <c r="X515" s="83"/>
      <c r="Z515" s="89"/>
      <c r="AG515" s="87"/>
    </row>
    <row r="516" spans="9:33" x14ac:dyDescent="0.25">
      <c r="I516" s="49"/>
      <c r="J516" s="49"/>
      <c r="K516" s="49"/>
      <c r="M516" s="37"/>
      <c r="T516" s="87"/>
      <c r="V516" s="83"/>
      <c r="W516" s="83"/>
      <c r="X516" s="83"/>
      <c r="Z516" s="91"/>
      <c r="AG516" s="87"/>
    </row>
    <row r="517" spans="9:33" x14ac:dyDescent="0.25">
      <c r="I517" s="49"/>
      <c r="J517" s="49"/>
      <c r="K517" s="49"/>
      <c r="M517" s="33"/>
      <c r="T517" s="87"/>
      <c r="V517" s="83"/>
      <c r="W517" s="83"/>
      <c r="X517" s="83"/>
      <c r="Z517" s="84"/>
      <c r="AG517" s="87"/>
    </row>
    <row r="518" spans="9:33" x14ac:dyDescent="0.25">
      <c r="I518" s="49"/>
      <c r="J518" s="49"/>
      <c r="K518" s="49"/>
      <c r="M518" s="37"/>
      <c r="T518" s="87"/>
      <c r="V518" s="83"/>
      <c r="W518" s="83"/>
      <c r="X518" s="83"/>
      <c r="Z518" s="91"/>
      <c r="AG518" s="87"/>
    </row>
    <row r="519" spans="9:33" x14ac:dyDescent="0.25">
      <c r="I519" s="49"/>
      <c r="J519" s="49"/>
      <c r="K519" s="49"/>
      <c r="M519" s="34"/>
      <c r="T519" s="87"/>
      <c r="V519" s="83"/>
      <c r="W519" s="83"/>
      <c r="X519" s="83"/>
      <c r="Z519" s="89"/>
      <c r="AG519" s="87"/>
    </row>
    <row r="520" spans="9:33" x14ac:dyDescent="0.25">
      <c r="I520" s="49"/>
      <c r="J520" s="49"/>
      <c r="K520" s="49"/>
      <c r="M520" s="37"/>
      <c r="T520" s="87"/>
      <c r="V520" s="83"/>
      <c r="W520" s="83"/>
      <c r="X520" s="83"/>
      <c r="Z520" s="91"/>
      <c r="AG520" s="87"/>
    </row>
    <row r="521" spans="9:33" x14ac:dyDescent="0.25">
      <c r="I521" s="49"/>
      <c r="J521" s="49"/>
      <c r="K521" s="49"/>
      <c r="M521" s="37"/>
      <c r="T521" s="87"/>
      <c r="V521" s="83"/>
      <c r="W521" s="83"/>
      <c r="X521" s="83"/>
      <c r="Z521" s="91"/>
      <c r="AG521" s="87"/>
    </row>
    <row r="522" spans="9:33" x14ac:dyDescent="0.25">
      <c r="I522" s="49"/>
      <c r="J522" s="49"/>
      <c r="K522" s="49"/>
      <c r="M522" s="34"/>
      <c r="T522" s="87"/>
      <c r="V522" s="83"/>
      <c r="W522" s="83"/>
      <c r="X522" s="83"/>
      <c r="Z522" s="89"/>
      <c r="AG522" s="87"/>
    </row>
    <row r="523" spans="9:33" x14ac:dyDescent="0.25">
      <c r="I523" s="49"/>
      <c r="J523" s="49"/>
      <c r="K523" s="49"/>
      <c r="M523" s="37"/>
      <c r="T523" s="87"/>
      <c r="V523" s="83"/>
      <c r="W523" s="83"/>
      <c r="X523" s="83"/>
      <c r="Z523" s="91"/>
      <c r="AG523" s="87"/>
    </row>
    <row r="524" spans="9:33" x14ac:dyDescent="0.25">
      <c r="I524" s="49"/>
      <c r="J524" s="49"/>
      <c r="K524" s="49"/>
      <c r="M524" s="33"/>
      <c r="T524" s="87"/>
      <c r="V524" s="83"/>
      <c r="W524" s="83"/>
      <c r="X524" s="83"/>
      <c r="Z524" s="84"/>
      <c r="AG524" s="87"/>
    </row>
    <row r="525" spans="9:33" x14ac:dyDescent="0.25">
      <c r="I525" s="49"/>
      <c r="J525" s="49"/>
      <c r="K525" s="49"/>
      <c r="M525" s="37"/>
      <c r="T525" s="87"/>
      <c r="V525" s="83"/>
      <c r="W525" s="83"/>
      <c r="X525" s="83"/>
      <c r="Z525" s="91"/>
      <c r="AG525" s="87"/>
    </row>
    <row r="526" spans="9:33" x14ac:dyDescent="0.25">
      <c r="I526" s="49"/>
      <c r="J526" s="49"/>
      <c r="K526" s="49"/>
      <c r="M526" s="34"/>
      <c r="T526" s="87"/>
      <c r="V526" s="83"/>
      <c r="W526" s="83"/>
      <c r="X526" s="83"/>
      <c r="Z526" s="89"/>
      <c r="AG526" s="87"/>
    </row>
    <row r="527" spans="9:33" x14ac:dyDescent="0.25">
      <c r="I527" s="49"/>
      <c r="J527" s="49"/>
      <c r="K527" s="49"/>
      <c r="M527" s="37"/>
      <c r="T527" s="87"/>
      <c r="V527" s="83"/>
      <c r="W527" s="83"/>
      <c r="X527" s="83"/>
      <c r="Z527" s="91"/>
      <c r="AG527" s="87"/>
    </row>
    <row r="528" spans="9:33" x14ac:dyDescent="0.25">
      <c r="I528" s="49"/>
      <c r="J528" s="49"/>
      <c r="K528" s="49"/>
      <c r="M528" s="37"/>
      <c r="T528" s="87"/>
      <c r="V528" s="83"/>
      <c r="W528" s="83"/>
      <c r="X528" s="83"/>
      <c r="Z528" s="91"/>
      <c r="AG528" s="87"/>
    </row>
    <row r="529" spans="9:33" x14ac:dyDescent="0.25">
      <c r="I529" s="49"/>
      <c r="J529" s="49"/>
      <c r="K529" s="49"/>
      <c r="M529" s="34"/>
      <c r="T529" s="87"/>
      <c r="V529" s="83"/>
      <c r="W529" s="83"/>
      <c r="X529" s="83"/>
      <c r="Z529" s="89"/>
      <c r="AG529" s="87"/>
    </row>
    <row r="530" spans="9:33" x14ac:dyDescent="0.25">
      <c r="I530" s="49"/>
      <c r="J530" s="49"/>
      <c r="K530" s="49"/>
      <c r="M530" s="37"/>
      <c r="T530" s="87"/>
      <c r="V530" s="83"/>
      <c r="W530" s="83"/>
      <c r="X530" s="83"/>
      <c r="Z530" s="91"/>
      <c r="AG530" s="87"/>
    </row>
    <row r="531" spans="9:33" x14ac:dyDescent="0.25">
      <c r="I531" s="49"/>
      <c r="J531" s="49"/>
      <c r="K531" s="49"/>
      <c r="M531" s="37"/>
      <c r="T531" s="87"/>
      <c r="V531" s="83"/>
      <c r="W531" s="83"/>
      <c r="X531" s="83"/>
      <c r="Z531" s="91"/>
      <c r="AG531" s="87"/>
    </row>
    <row r="532" spans="9:33" x14ac:dyDescent="0.25">
      <c r="I532" s="49"/>
      <c r="J532" s="49"/>
      <c r="K532" s="49"/>
      <c r="M532" s="33"/>
      <c r="T532" s="87"/>
      <c r="V532" s="83"/>
      <c r="W532" s="83"/>
      <c r="X532" s="83"/>
      <c r="Z532" s="84"/>
      <c r="AG532" s="87"/>
    </row>
    <row r="533" spans="9:33" x14ac:dyDescent="0.25">
      <c r="I533" s="49"/>
      <c r="J533" s="49"/>
      <c r="K533" s="49"/>
      <c r="M533" s="34"/>
      <c r="T533" s="87"/>
      <c r="V533" s="83"/>
      <c r="W533" s="83"/>
      <c r="X533" s="83"/>
      <c r="Z533" s="89"/>
      <c r="AG533" s="87"/>
    </row>
    <row r="534" spans="9:33" x14ac:dyDescent="0.25">
      <c r="I534" s="49"/>
      <c r="J534" s="49"/>
      <c r="K534" s="49"/>
      <c r="M534" s="37"/>
      <c r="T534" s="87"/>
      <c r="V534" s="83"/>
      <c r="W534" s="83"/>
      <c r="X534" s="83"/>
      <c r="Z534" s="91"/>
      <c r="AG534" s="87"/>
    </row>
    <row r="535" spans="9:33" x14ac:dyDescent="0.25">
      <c r="I535" s="49"/>
      <c r="J535" s="49"/>
      <c r="K535" s="49"/>
      <c r="M535" s="37"/>
      <c r="T535" s="87"/>
      <c r="V535" s="83"/>
      <c r="W535" s="83"/>
      <c r="X535" s="83"/>
      <c r="Z535" s="91"/>
      <c r="AG535" s="87"/>
    </row>
    <row r="536" spans="9:33" x14ac:dyDescent="0.25">
      <c r="I536" s="49"/>
      <c r="J536" s="49"/>
      <c r="K536" s="49"/>
      <c r="M536" s="34"/>
      <c r="T536" s="87"/>
      <c r="V536" s="83"/>
      <c r="W536" s="83"/>
      <c r="X536" s="83"/>
      <c r="Z536" s="89"/>
      <c r="AG536" s="87"/>
    </row>
    <row r="537" spans="9:33" x14ac:dyDescent="0.25">
      <c r="I537" s="49"/>
      <c r="J537" s="49"/>
      <c r="K537" s="49"/>
      <c r="M537" s="37"/>
      <c r="T537" s="87"/>
      <c r="V537" s="83"/>
      <c r="W537" s="83"/>
      <c r="X537" s="83"/>
      <c r="Z537" s="91"/>
      <c r="AG537" s="87"/>
    </row>
    <row r="538" spans="9:33" x14ac:dyDescent="0.25">
      <c r="I538" s="49"/>
      <c r="J538" s="49"/>
      <c r="K538" s="49"/>
      <c r="M538" s="37"/>
      <c r="T538" s="87"/>
      <c r="V538" s="83"/>
      <c r="W538" s="83"/>
      <c r="X538" s="83"/>
      <c r="Z538" s="91"/>
      <c r="AG538" s="87"/>
    </row>
    <row r="539" spans="9:33" x14ac:dyDescent="0.25">
      <c r="I539" s="49"/>
      <c r="J539" s="49"/>
      <c r="K539" s="49"/>
      <c r="M539" s="33"/>
      <c r="T539" s="87"/>
      <c r="V539" s="83"/>
      <c r="W539" s="83"/>
      <c r="X539" s="83"/>
      <c r="Z539" s="84"/>
      <c r="AG539" s="87"/>
    </row>
    <row r="540" spans="9:33" x14ac:dyDescent="0.25">
      <c r="I540" s="49"/>
      <c r="J540" s="49"/>
      <c r="K540" s="49"/>
      <c r="M540" s="34"/>
      <c r="T540" s="87"/>
      <c r="V540" s="83"/>
      <c r="W540" s="83"/>
      <c r="X540" s="83"/>
      <c r="Z540" s="89"/>
      <c r="AG540" s="87"/>
    </row>
    <row r="541" spans="9:33" x14ac:dyDescent="0.25">
      <c r="I541" s="49"/>
      <c r="J541" s="49"/>
      <c r="K541" s="49"/>
      <c r="M541" s="37"/>
      <c r="T541" s="87"/>
      <c r="V541" s="83"/>
      <c r="W541" s="83"/>
      <c r="X541" s="83"/>
      <c r="Z541" s="91"/>
      <c r="AG541" s="87"/>
    </row>
    <row r="542" spans="9:33" x14ac:dyDescent="0.25">
      <c r="I542" s="49"/>
      <c r="J542" s="49"/>
      <c r="K542" s="49"/>
      <c r="M542" s="37"/>
      <c r="T542" s="87"/>
      <c r="V542" s="83"/>
      <c r="W542" s="83"/>
      <c r="X542" s="83"/>
      <c r="Z542" s="91"/>
      <c r="AG542" s="87"/>
    </row>
    <row r="543" spans="9:33" x14ac:dyDescent="0.25">
      <c r="I543" s="49"/>
      <c r="J543" s="49"/>
      <c r="K543" s="49"/>
      <c r="M543" s="34"/>
      <c r="T543" s="87"/>
      <c r="V543" s="83"/>
      <c r="W543" s="83"/>
      <c r="X543" s="83"/>
      <c r="Z543" s="89"/>
      <c r="AG543" s="87"/>
    </row>
    <row r="544" spans="9:33" x14ac:dyDescent="0.25">
      <c r="I544" s="49"/>
      <c r="J544" s="49"/>
      <c r="K544" s="49"/>
      <c r="M544" s="37"/>
      <c r="T544" s="87"/>
      <c r="V544" s="83"/>
      <c r="W544" s="83"/>
      <c r="X544" s="83"/>
      <c r="Z544" s="91"/>
      <c r="AG544" s="87"/>
    </row>
    <row r="545" spans="9:33" x14ac:dyDescent="0.25">
      <c r="I545" s="49"/>
      <c r="J545" s="49"/>
      <c r="K545" s="49"/>
      <c r="M545" s="37"/>
      <c r="T545" s="87"/>
      <c r="V545" s="83"/>
      <c r="W545" s="83"/>
      <c r="X545" s="83"/>
      <c r="Z545" s="91"/>
      <c r="AG545" s="87"/>
    </row>
    <row r="546" spans="9:33" x14ac:dyDescent="0.25">
      <c r="I546" s="49"/>
      <c r="J546" s="49"/>
      <c r="K546" s="49"/>
      <c r="M546" s="34"/>
      <c r="T546" s="87"/>
      <c r="V546" s="83"/>
      <c r="W546" s="83"/>
      <c r="X546" s="83"/>
      <c r="Z546" s="89"/>
      <c r="AG546" s="87"/>
    </row>
    <row r="547" spans="9:33" x14ac:dyDescent="0.25">
      <c r="I547" s="49"/>
      <c r="J547" s="49"/>
      <c r="K547" s="49"/>
      <c r="M547" s="33"/>
      <c r="T547" s="87"/>
      <c r="V547" s="83"/>
      <c r="W547" s="83"/>
      <c r="X547" s="83"/>
      <c r="Z547" s="84"/>
      <c r="AG547" s="87"/>
    </row>
    <row r="548" spans="9:33" x14ac:dyDescent="0.25">
      <c r="I548" s="49"/>
      <c r="J548" s="49"/>
      <c r="K548" s="49"/>
      <c r="M548" s="37"/>
      <c r="T548" s="87"/>
      <c r="V548" s="83"/>
      <c r="W548" s="83"/>
      <c r="X548" s="83"/>
      <c r="Z548" s="91"/>
      <c r="AG548" s="87"/>
    </row>
    <row r="549" spans="9:33" x14ac:dyDescent="0.25">
      <c r="I549" s="49"/>
      <c r="J549" s="49"/>
      <c r="K549" s="49"/>
      <c r="M549" s="37"/>
      <c r="T549" s="87"/>
      <c r="V549" s="83"/>
      <c r="W549" s="83"/>
      <c r="X549" s="83"/>
      <c r="Z549" s="91"/>
      <c r="AG549" s="87"/>
    </row>
    <row r="550" spans="9:33" x14ac:dyDescent="0.25">
      <c r="I550" s="49"/>
      <c r="J550" s="49"/>
      <c r="K550" s="49"/>
      <c r="M550" s="34"/>
      <c r="T550" s="87"/>
      <c r="V550" s="83"/>
      <c r="W550" s="83"/>
      <c r="X550" s="83"/>
      <c r="Z550" s="89"/>
      <c r="AG550" s="87"/>
    </row>
    <row r="551" spans="9:33" x14ac:dyDescent="0.25">
      <c r="I551" s="49"/>
      <c r="J551" s="49"/>
      <c r="K551" s="49"/>
      <c r="M551" s="37"/>
      <c r="T551" s="87"/>
      <c r="V551" s="83"/>
      <c r="W551" s="83"/>
      <c r="X551" s="83"/>
      <c r="Z551" s="91"/>
      <c r="AG551" s="87"/>
    </row>
    <row r="552" spans="9:33" x14ac:dyDescent="0.25">
      <c r="I552" s="49"/>
      <c r="J552" s="49"/>
      <c r="K552" s="49"/>
      <c r="M552" s="37"/>
      <c r="T552" s="87"/>
      <c r="V552" s="83"/>
      <c r="W552" s="83"/>
      <c r="X552" s="83"/>
      <c r="Z552" s="91"/>
      <c r="AG552" s="87"/>
    </row>
    <row r="553" spans="9:33" x14ac:dyDescent="0.25">
      <c r="I553" s="49"/>
      <c r="J553" s="49"/>
      <c r="K553" s="49"/>
      <c r="M553" s="34"/>
      <c r="T553" s="87"/>
      <c r="V553" s="83"/>
      <c r="W553" s="83"/>
      <c r="X553" s="83"/>
      <c r="Z553" s="89"/>
      <c r="AG553" s="87"/>
    </row>
    <row r="554" spans="9:33" x14ac:dyDescent="0.25">
      <c r="I554" s="49"/>
      <c r="J554" s="49"/>
      <c r="K554" s="49"/>
      <c r="M554" s="33"/>
      <c r="T554" s="87"/>
      <c r="V554" s="83"/>
      <c r="W554" s="83"/>
      <c r="X554" s="83"/>
      <c r="Z554" s="84"/>
      <c r="AG554" s="87"/>
    </row>
    <row r="555" spans="9:33" x14ac:dyDescent="0.25">
      <c r="I555" s="49"/>
      <c r="J555" s="49"/>
      <c r="K555" s="49"/>
      <c r="M555" s="37"/>
      <c r="T555" s="87"/>
      <c r="V555" s="83"/>
      <c r="W555" s="83"/>
      <c r="X555" s="83"/>
      <c r="Z555" s="91"/>
    </row>
    <row r="556" spans="9:33" x14ac:dyDescent="0.25">
      <c r="I556" s="49"/>
      <c r="J556" s="49"/>
      <c r="K556" s="49"/>
      <c r="M556" s="37"/>
      <c r="T556" s="87"/>
      <c r="V556" s="83"/>
      <c r="W556" s="83"/>
      <c r="X556" s="83"/>
      <c r="Z556" s="91"/>
    </row>
    <row r="557" spans="9:33" x14ac:dyDescent="0.25">
      <c r="I557" s="49"/>
      <c r="J557" s="49"/>
      <c r="K557" s="49"/>
      <c r="M557" s="34"/>
      <c r="T557" s="87"/>
      <c r="V557" s="83"/>
      <c r="W557" s="83"/>
      <c r="X557" s="83"/>
      <c r="Z557" s="89"/>
    </row>
    <row r="558" spans="9:33" x14ac:dyDescent="0.25">
      <c r="I558" s="49"/>
      <c r="J558" s="49"/>
      <c r="K558" s="49"/>
      <c r="M558" s="37"/>
      <c r="T558" s="87"/>
      <c r="V558" s="83"/>
      <c r="W558" s="83"/>
      <c r="X558" s="83"/>
      <c r="Z558" s="91"/>
    </row>
    <row r="559" spans="9:33" x14ac:dyDescent="0.25">
      <c r="I559" s="49"/>
      <c r="J559" s="49"/>
      <c r="K559" s="49"/>
      <c r="M559" s="37"/>
      <c r="T559" s="87"/>
      <c r="V559" s="83"/>
      <c r="W559" s="83"/>
      <c r="X559" s="83"/>
      <c r="Z559" s="91"/>
    </row>
    <row r="560" spans="9:33" x14ac:dyDescent="0.25">
      <c r="I560" s="49"/>
      <c r="J560" s="49"/>
      <c r="K560" s="49"/>
      <c r="M560" s="34"/>
      <c r="T560" s="87"/>
      <c r="V560" s="83"/>
      <c r="W560" s="83"/>
      <c r="X560" s="83"/>
      <c r="Z560" s="89"/>
    </row>
    <row r="561" spans="9:26" x14ac:dyDescent="0.25">
      <c r="I561" s="49"/>
      <c r="J561" s="49"/>
      <c r="K561" s="49"/>
      <c r="M561" s="37"/>
      <c r="T561" s="87"/>
      <c r="V561" s="83"/>
      <c r="W561" s="83"/>
      <c r="X561" s="83"/>
      <c r="Z561" s="91"/>
    </row>
    <row r="562" spans="9:26" x14ac:dyDescent="0.25">
      <c r="I562" s="49"/>
      <c r="J562" s="49"/>
      <c r="K562" s="49"/>
      <c r="M562" s="33"/>
      <c r="T562" s="87"/>
      <c r="V562" s="83"/>
      <c r="W562" s="83"/>
      <c r="X562" s="83"/>
      <c r="Z562" s="84"/>
    </row>
    <row r="563" spans="9:26" x14ac:dyDescent="0.25">
      <c r="I563" s="49"/>
      <c r="J563" s="49"/>
      <c r="K563" s="49"/>
      <c r="M563" s="37"/>
      <c r="T563" s="87"/>
      <c r="V563" s="83"/>
      <c r="W563" s="83"/>
      <c r="X563" s="83"/>
      <c r="Z563" s="91"/>
    </row>
    <row r="564" spans="9:26" x14ac:dyDescent="0.25">
      <c r="I564" s="49"/>
      <c r="J564" s="49"/>
      <c r="K564" s="49"/>
      <c r="M564" s="34"/>
      <c r="T564" s="87"/>
      <c r="V564" s="83"/>
      <c r="W564" s="83"/>
      <c r="X564" s="83"/>
      <c r="Z564" s="89"/>
    </row>
    <row r="565" spans="9:26" x14ac:dyDescent="0.25">
      <c r="I565" s="49"/>
      <c r="J565" s="49"/>
      <c r="K565" s="49"/>
      <c r="M565" s="37"/>
      <c r="T565" s="87"/>
      <c r="V565" s="83"/>
      <c r="W565" s="83"/>
      <c r="X565" s="83"/>
      <c r="Z565" s="91"/>
    </row>
    <row r="566" spans="9:26" x14ac:dyDescent="0.25">
      <c r="I566" s="49"/>
      <c r="J566" s="49"/>
      <c r="K566" s="49"/>
      <c r="M566" s="37"/>
      <c r="T566" s="87"/>
      <c r="V566" s="83"/>
      <c r="W566" s="83"/>
      <c r="X566" s="83"/>
      <c r="Z566" s="91"/>
    </row>
    <row r="567" spans="9:26" x14ac:dyDescent="0.25">
      <c r="I567" s="49"/>
      <c r="J567" s="49"/>
      <c r="K567" s="49"/>
      <c r="M567" s="34"/>
      <c r="T567" s="87"/>
      <c r="V567" s="83"/>
      <c r="W567" s="83"/>
      <c r="X567" s="83"/>
      <c r="Z567" s="89"/>
    </row>
    <row r="568" spans="9:26" x14ac:dyDescent="0.25">
      <c r="I568" s="49"/>
      <c r="J568" s="49"/>
      <c r="K568" s="49"/>
      <c r="M568" s="37"/>
      <c r="T568" s="87"/>
      <c r="V568" s="83"/>
      <c r="W568" s="83"/>
      <c r="X568" s="83"/>
      <c r="Z568" s="91"/>
    </row>
    <row r="569" spans="9:26" x14ac:dyDescent="0.25">
      <c r="I569" s="49"/>
      <c r="J569" s="49"/>
      <c r="K569" s="49"/>
      <c r="M569" s="33"/>
      <c r="T569" s="87"/>
      <c r="V569" s="83"/>
      <c r="W569" s="83"/>
      <c r="X569" s="83"/>
      <c r="Z569" s="84"/>
    </row>
    <row r="570" spans="9:26" x14ac:dyDescent="0.25">
      <c r="I570" s="49"/>
      <c r="J570" s="49"/>
      <c r="K570" s="49"/>
      <c r="M570" s="37"/>
      <c r="T570" s="87"/>
      <c r="V570" s="83"/>
      <c r="W570" s="83"/>
      <c r="X570" s="83"/>
      <c r="Z570" s="91"/>
    </row>
    <row r="571" spans="9:26" x14ac:dyDescent="0.25">
      <c r="I571" s="49"/>
      <c r="J571" s="49"/>
      <c r="K571" s="49"/>
      <c r="M571" s="34"/>
      <c r="T571" s="87"/>
      <c r="V571" s="83"/>
      <c r="W571" s="83"/>
      <c r="X571" s="83"/>
      <c r="Z571" s="89"/>
    </row>
    <row r="572" spans="9:26" x14ac:dyDescent="0.25">
      <c r="I572" s="49"/>
      <c r="J572" s="49"/>
      <c r="K572" s="49"/>
      <c r="M572" s="37"/>
      <c r="T572" s="87"/>
      <c r="V572" s="83"/>
      <c r="W572" s="83"/>
      <c r="X572" s="83"/>
      <c r="Z572" s="91"/>
    </row>
    <row r="573" spans="9:26" x14ac:dyDescent="0.25">
      <c r="I573" s="49"/>
      <c r="J573" s="49"/>
      <c r="K573" s="49"/>
      <c r="M573" s="37"/>
      <c r="T573" s="87"/>
      <c r="V573" s="83"/>
      <c r="W573" s="83"/>
      <c r="X573" s="83"/>
      <c r="Z573" s="91"/>
    </row>
    <row r="574" spans="9:26" x14ac:dyDescent="0.25">
      <c r="I574" s="49"/>
      <c r="J574" s="49"/>
      <c r="K574" s="49"/>
      <c r="M574" s="34"/>
      <c r="V574" s="83"/>
      <c r="W574" s="83"/>
      <c r="X574" s="83"/>
      <c r="Z574" s="89"/>
    </row>
    <row r="575" spans="9:26" x14ac:dyDescent="0.25">
      <c r="I575" s="49"/>
      <c r="J575" s="49"/>
      <c r="K575" s="49"/>
      <c r="M575" s="33"/>
      <c r="V575" s="83"/>
      <c r="W575" s="83"/>
      <c r="X575" s="83"/>
      <c r="Z575" s="84"/>
    </row>
    <row r="576" spans="9:26" x14ac:dyDescent="0.25">
      <c r="I576" s="49"/>
      <c r="J576" s="49"/>
      <c r="K576" s="49"/>
      <c r="M576" s="37"/>
      <c r="V576" s="83"/>
      <c r="W576" s="83"/>
      <c r="X576" s="83"/>
      <c r="Z576" s="91"/>
    </row>
    <row r="577" spans="9:26" x14ac:dyDescent="0.25">
      <c r="I577" s="49"/>
      <c r="J577" s="49"/>
      <c r="K577" s="49"/>
      <c r="M577" s="34"/>
      <c r="V577" s="83"/>
      <c r="W577" s="83"/>
      <c r="X577" s="83"/>
      <c r="Z577" s="89"/>
    </row>
    <row r="578" spans="9:26" x14ac:dyDescent="0.25">
      <c r="I578" s="49"/>
      <c r="J578" s="49"/>
      <c r="K578" s="49"/>
      <c r="M578" s="37"/>
      <c r="V578" s="83"/>
      <c r="W578" s="83"/>
      <c r="X578" s="83"/>
      <c r="Z578" s="91"/>
    </row>
    <row r="579" spans="9:26" x14ac:dyDescent="0.25">
      <c r="I579" s="49"/>
      <c r="J579" s="49"/>
      <c r="K579" s="49"/>
      <c r="M579" s="37"/>
      <c r="V579" s="83"/>
      <c r="W579" s="83"/>
      <c r="X579" s="83"/>
      <c r="Z579" s="91"/>
    </row>
    <row r="580" spans="9:26" x14ac:dyDescent="0.25">
      <c r="I580" s="49"/>
      <c r="J580" s="49"/>
      <c r="K580" s="49"/>
      <c r="M580" s="34"/>
      <c r="V580" s="83"/>
      <c r="W580" s="83"/>
      <c r="X580" s="83"/>
      <c r="Z580" s="89"/>
    </row>
    <row r="581" spans="9:26" x14ac:dyDescent="0.25">
      <c r="I581" s="49"/>
      <c r="J581" s="49"/>
      <c r="K581" s="49"/>
      <c r="M581" s="37"/>
      <c r="V581" s="83"/>
      <c r="W581" s="83"/>
      <c r="X581" s="83"/>
      <c r="Z581" s="91"/>
    </row>
    <row r="582" spans="9:26" x14ac:dyDescent="0.25">
      <c r="I582" s="49"/>
      <c r="J582" s="49"/>
      <c r="K582" s="49"/>
      <c r="M582" s="33"/>
      <c r="V582" s="83"/>
      <c r="W582" s="83"/>
      <c r="X582" s="83"/>
      <c r="Z582" s="84"/>
    </row>
    <row r="583" spans="9:26" x14ac:dyDescent="0.25">
      <c r="I583" s="49"/>
      <c r="J583" s="49"/>
      <c r="K583" s="49"/>
      <c r="M583" s="34"/>
      <c r="V583" s="83"/>
      <c r="W583" s="83"/>
      <c r="X583" s="83"/>
      <c r="Z583" s="89"/>
    </row>
    <row r="584" spans="9:26" x14ac:dyDescent="0.25">
      <c r="I584" s="49"/>
      <c r="J584" s="49"/>
      <c r="K584" s="49"/>
      <c r="M584" s="37"/>
      <c r="V584" s="83"/>
      <c r="W584" s="83"/>
      <c r="X584" s="83"/>
      <c r="Z584" s="91"/>
    </row>
    <row r="585" spans="9:26" x14ac:dyDescent="0.25">
      <c r="I585" s="49"/>
      <c r="J585" s="49"/>
      <c r="K585" s="49"/>
      <c r="M585" s="37"/>
      <c r="V585" s="83"/>
      <c r="W585" s="83"/>
      <c r="X585" s="83"/>
      <c r="Z585" s="91"/>
    </row>
    <row r="586" spans="9:26" x14ac:dyDescent="0.25">
      <c r="I586" s="49"/>
      <c r="J586" s="49"/>
      <c r="K586" s="49"/>
      <c r="M586" s="34"/>
      <c r="V586" s="83"/>
      <c r="W586" s="83"/>
      <c r="X586" s="83"/>
      <c r="Z586" s="89"/>
    </row>
    <row r="587" spans="9:26" x14ac:dyDescent="0.25">
      <c r="I587" s="49"/>
      <c r="J587" s="49"/>
      <c r="K587" s="49"/>
      <c r="M587" s="37"/>
      <c r="V587" s="83"/>
      <c r="W587" s="83"/>
      <c r="X587" s="83"/>
      <c r="Z587" s="91"/>
    </row>
    <row r="588" spans="9:26" x14ac:dyDescent="0.25">
      <c r="I588" s="49"/>
      <c r="J588" s="49"/>
      <c r="K588" s="49"/>
      <c r="M588" s="37"/>
      <c r="V588" s="83"/>
      <c r="W588" s="83"/>
      <c r="X588" s="83"/>
      <c r="Z588" s="91"/>
    </row>
    <row r="589" spans="9:26" x14ac:dyDescent="0.25">
      <c r="I589" s="49"/>
      <c r="J589" s="49"/>
      <c r="K589" s="49"/>
      <c r="M589" s="33"/>
      <c r="V589" s="83"/>
      <c r="W589" s="83"/>
      <c r="X589" s="83"/>
      <c r="Z589" s="84"/>
    </row>
    <row r="590" spans="9:26" x14ac:dyDescent="0.25">
      <c r="I590" s="49"/>
      <c r="J590" s="49"/>
      <c r="K590" s="49"/>
      <c r="M590" s="34"/>
      <c r="V590" s="83"/>
      <c r="W590" s="83"/>
      <c r="X590" s="83"/>
      <c r="Z590" s="89"/>
    </row>
    <row r="591" spans="9:26" x14ac:dyDescent="0.25">
      <c r="I591" s="49"/>
      <c r="J591" s="49"/>
      <c r="K591" s="49"/>
      <c r="M591" s="37"/>
      <c r="V591" s="83"/>
      <c r="W591" s="83"/>
      <c r="X591" s="83"/>
      <c r="Z591" s="91"/>
    </row>
    <row r="592" spans="9:26" x14ac:dyDescent="0.25">
      <c r="I592" s="49"/>
      <c r="J592" s="49"/>
      <c r="K592" s="49"/>
      <c r="L592" s="71"/>
      <c r="M592" s="37"/>
      <c r="V592" s="83"/>
      <c r="W592" s="83"/>
      <c r="X592" s="83"/>
      <c r="Z592" s="91"/>
    </row>
    <row r="593" spans="9:34" x14ac:dyDescent="0.25">
      <c r="I593" s="49"/>
      <c r="J593" s="49"/>
      <c r="K593" s="49"/>
      <c r="M593" s="34"/>
      <c r="V593" s="83"/>
      <c r="W593" s="83"/>
      <c r="X593" s="83"/>
      <c r="Z593" s="89"/>
    </row>
    <row r="594" spans="9:34" x14ac:dyDescent="0.25">
      <c r="I594" s="49"/>
      <c r="J594" s="49"/>
      <c r="K594" s="49"/>
      <c r="M594" s="37"/>
      <c r="V594" s="83"/>
      <c r="W594" s="83"/>
      <c r="X594" s="83"/>
      <c r="Z594" s="91"/>
    </row>
    <row r="595" spans="9:34" x14ac:dyDescent="0.25">
      <c r="I595" s="49"/>
      <c r="J595" s="49"/>
      <c r="K595" s="49"/>
      <c r="M595" s="34"/>
      <c r="V595" s="83"/>
      <c r="W595" s="83"/>
      <c r="X595" s="83"/>
      <c r="Z595" s="89"/>
    </row>
    <row r="596" spans="9:34" x14ac:dyDescent="0.25">
      <c r="I596" s="49"/>
      <c r="J596" s="49"/>
      <c r="K596" s="49"/>
      <c r="M596" s="38"/>
      <c r="V596" s="83"/>
      <c r="W596" s="83"/>
      <c r="X596" s="83"/>
      <c r="Y596" s="92"/>
      <c r="Z596" s="92"/>
    </row>
    <row r="597" spans="9:34" x14ac:dyDescent="0.25">
      <c r="I597" s="49"/>
      <c r="J597" s="49"/>
      <c r="K597" s="49"/>
      <c r="M597" s="37"/>
      <c r="V597" s="83"/>
      <c r="W597" s="83"/>
      <c r="X597" s="83"/>
      <c r="Z597" s="91"/>
    </row>
    <row r="598" spans="9:34" x14ac:dyDescent="0.25">
      <c r="I598" s="49"/>
      <c r="J598" s="49"/>
      <c r="K598" s="49"/>
      <c r="M598" s="34"/>
      <c r="V598" s="83"/>
      <c r="W598" s="83"/>
      <c r="X598" s="83"/>
      <c r="Z598" s="89"/>
    </row>
    <row r="599" spans="9:34" x14ac:dyDescent="0.25">
      <c r="I599" s="49"/>
      <c r="J599" s="49"/>
      <c r="K599" s="49"/>
      <c r="M599" s="37"/>
      <c r="V599" s="83"/>
      <c r="W599" s="83"/>
      <c r="X599" s="83"/>
      <c r="Z599" s="91"/>
    </row>
    <row r="600" spans="9:34" x14ac:dyDescent="0.25">
      <c r="I600" s="49"/>
      <c r="J600" s="49"/>
      <c r="K600" s="49"/>
      <c r="M600" s="37"/>
      <c r="V600" s="83"/>
      <c r="W600" s="83"/>
      <c r="X600" s="83"/>
      <c r="Z600" s="91"/>
    </row>
    <row r="601" spans="9:34" x14ac:dyDescent="0.25">
      <c r="I601" s="49"/>
      <c r="J601" s="49"/>
      <c r="K601" s="49"/>
      <c r="M601" s="34"/>
      <c r="V601" s="83"/>
      <c r="W601" s="83"/>
      <c r="X601" s="83"/>
      <c r="Z601" s="89"/>
    </row>
    <row r="602" spans="9:34" x14ac:dyDescent="0.25">
      <c r="I602" s="49"/>
      <c r="J602" s="49"/>
      <c r="K602" s="49"/>
      <c r="M602" s="33"/>
      <c r="V602" s="83"/>
      <c r="W602" s="83"/>
      <c r="X602" s="83"/>
      <c r="Z602" s="84"/>
    </row>
    <row r="603" spans="9:34" x14ac:dyDescent="0.25">
      <c r="I603" s="49"/>
      <c r="J603" s="49"/>
      <c r="K603" s="49"/>
      <c r="M603" s="37"/>
      <c r="V603" s="83"/>
      <c r="W603" s="83"/>
      <c r="X603" s="83"/>
      <c r="Z603" s="91"/>
    </row>
    <row r="604" spans="9:34" x14ac:dyDescent="0.25">
      <c r="I604" s="49"/>
      <c r="J604" s="49"/>
      <c r="K604" s="49"/>
      <c r="M604" s="37"/>
      <c r="V604" s="83"/>
      <c r="W604" s="83"/>
      <c r="X604" s="83"/>
      <c r="Z604" s="91"/>
      <c r="AH604" s="92"/>
    </row>
    <row r="605" spans="9:34" x14ac:dyDescent="0.25">
      <c r="I605" s="49"/>
      <c r="J605" s="49"/>
      <c r="K605" s="49"/>
      <c r="M605" s="34"/>
      <c r="V605" s="83"/>
      <c r="W605" s="83"/>
      <c r="X605" s="83"/>
      <c r="Z605" s="89"/>
    </row>
    <row r="606" spans="9:34" x14ac:dyDescent="0.25">
      <c r="I606" s="49"/>
      <c r="J606" s="49"/>
      <c r="K606" s="49"/>
      <c r="M606" s="37"/>
      <c r="V606" s="83"/>
      <c r="W606" s="83"/>
      <c r="X606" s="83"/>
      <c r="Z606" s="91"/>
    </row>
    <row r="607" spans="9:34" x14ac:dyDescent="0.25">
      <c r="I607" s="49"/>
      <c r="J607" s="49"/>
      <c r="K607" s="49"/>
      <c r="M607" s="37"/>
      <c r="V607" s="83"/>
      <c r="W607" s="83"/>
      <c r="X607" s="83"/>
      <c r="Z607" s="91"/>
    </row>
    <row r="608" spans="9:34" x14ac:dyDescent="0.25">
      <c r="I608" s="49"/>
      <c r="J608" s="49"/>
      <c r="K608" s="49"/>
      <c r="M608" s="34"/>
      <c r="V608" s="83"/>
      <c r="W608" s="83"/>
      <c r="X608" s="83"/>
      <c r="Z608" s="89"/>
    </row>
    <row r="609" spans="9:26" x14ac:dyDescent="0.25">
      <c r="I609" s="49"/>
      <c r="J609" s="49"/>
      <c r="K609" s="49"/>
      <c r="M609" s="37"/>
      <c r="V609" s="83"/>
      <c r="W609" s="83"/>
      <c r="X609" s="83"/>
      <c r="Z609" s="91"/>
    </row>
    <row r="610" spans="9:26" x14ac:dyDescent="0.25">
      <c r="I610" s="49"/>
      <c r="J610" s="49"/>
      <c r="K610" s="49"/>
      <c r="M610" s="33"/>
      <c r="V610" s="83"/>
      <c r="W610" s="83"/>
      <c r="X610" s="83"/>
      <c r="Z610" s="84"/>
    </row>
    <row r="611" spans="9:26" x14ac:dyDescent="0.25">
      <c r="I611" s="49"/>
      <c r="J611" s="49"/>
      <c r="K611" s="49"/>
      <c r="M611" s="37"/>
      <c r="V611" s="83"/>
      <c r="W611" s="83"/>
      <c r="X611" s="83"/>
      <c r="Z611" s="91"/>
    </row>
    <row r="612" spans="9:26" x14ac:dyDescent="0.25">
      <c r="I612" s="49"/>
      <c r="J612" s="49"/>
      <c r="K612" s="49"/>
      <c r="M612" s="34"/>
      <c r="V612" s="83"/>
      <c r="W612" s="83"/>
      <c r="X612" s="83"/>
      <c r="Z612" s="89"/>
    </row>
    <row r="613" spans="9:26" x14ac:dyDescent="0.25">
      <c r="I613" s="49"/>
      <c r="J613" s="49"/>
      <c r="K613" s="49"/>
      <c r="M613" s="37"/>
      <c r="V613" s="83"/>
      <c r="W613" s="83"/>
      <c r="X613" s="83"/>
      <c r="Z613" s="91"/>
    </row>
    <row r="614" spans="9:26" x14ac:dyDescent="0.25">
      <c r="I614" s="49"/>
      <c r="J614" s="49"/>
      <c r="K614" s="49"/>
      <c r="M614" s="37"/>
      <c r="V614" s="83"/>
      <c r="W614" s="83"/>
      <c r="X614" s="83"/>
      <c r="Z614" s="91"/>
    </row>
    <row r="615" spans="9:26" x14ac:dyDescent="0.25">
      <c r="I615" s="49"/>
      <c r="J615" s="49"/>
      <c r="K615" s="49"/>
      <c r="M615" s="34"/>
      <c r="V615" s="83"/>
      <c r="W615" s="83"/>
      <c r="X615" s="83"/>
      <c r="Z615" s="89"/>
    </row>
    <row r="616" spans="9:26" x14ac:dyDescent="0.25">
      <c r="I616" s="49"/>
      <c r="J616" s="49"/>
      <c r="K616" s="49"/>
      <c r="M616" s="37"/>
      <c r="V616" s="83"/>
      <c r="W616" s="83"/>
      <c r="X616" s="83"/>
      <c r="Z616" s="91"/>
    </row>
    <row r="617" spans="9:26" x14ac:dyDescent="0.25">
      <c r="I617" s="49"/>
      <c r="J617" s="49"/>
      <c r="K617" s="49"/>
      <c r="M617" s="33"/>
      <c r="V617" s="83"/>
      <c r="W617" s="83"/>
      <c r="X617" s="83"/>
      <c r="Z617" s="84"/>
    </row>
    <row r="618" spans="9:26" x14ac:dyDescent="0.25">
      <c r="I618" s="49"/>
      <c r="J618" s="49"/>
      <c r="K618" s="49"/>
      <c r="M618" s="37"/>
      <c r="V618" s="83"/>
      <c r="W618" s="83"/>
      <c r="X618" s="83"/>
      <c r="Z618" s="91"/>
    </row>
    <row r="619" spans="9:26" x14ac:dyDescent="0.25">
      <c r="I619" s="49"/>
      <c r="J619" s="49"/>
      <c r="K619" s="49"/>
      <c r="M619" s="34"/>
      <c r="V619" s="83"/>
      <c r="W619" s="83"/>
      <c r="X619" s="83"/>
      <c r="Z619" s="89"/>
    </row>
    <row r="620" spans="9:26" x14ac:dyDescent="0.25">
      <c r="I620" s="49"/>
      <c r="J620" s="49"/>
      <c r="K620" s="49"/>
      <c r="M620" s="37"/>
      <c r="V620" s="83"/>
      <c r="W620" s="83"/>
      <c r="X620" s="83"/>
      <c r="Z620" s="91"/>
    </row>
    <row r="621" spans="9:26" x14ac:dyDescent="0.25">
      <c r="I621" s="49"/>
      <c r="J621" s="49"/>
      <c r="K621" s="49"/>
      <c r="M621" s="37"/>
      <c r="V621" s="83"/>
      <c r="W621" s="83"/>
      <c r="X621" s="83"/>
      <c r="Z621" s="91"/>
    </row>
    <row r="622" spans="9:26" x14ac:dyDescent="0.25">
      <c r="I622" s="49"/>
      <c r="J622" s="49"/>
      <c r="K622" s="49"/>
      <c r="M622" s="34"/>
      <c r="V622" s="83"/>
      <c r="W622" s="83"/>
      <c r="X622" s="83"/>
      <c r="Z622" s="89"/>
    </row>
    <row r="623" spans="9:26" x14ac:dyDescent="0.25">
      <c r="I623" s="49"/>
      <c r="J623" s="49"/>
      <c r="K623" s="49"/>
      <c r="M623" s="37"/>
      <c r="U623" s="92"/>
      <c r="V623" s="83"/>
      <c r="W623" s="83"/>
      <c r="X623" s="83"/>
      <c r="Z623" s="91"/>
    </row>
    <row r="624" spans="9:26" x14ac:dyDescent="0.25">
      <c r="I624" s="49"/>
      <c r="J624" s="49"/>
      <c r="K624" s="49"/>
      <c r="M624" s="33"/>
      <c r="V624" s="83"/>
      <c r="W624" s="83"/>
      <c r="X624" s="83"/>
      <c r="Z624" s="84"/>
    </row>
    <row r="625" spans="9:26" x14ac:dyDescent="0.25">
      <c r="I625" s="49"/>
      <c r="J625" s="49"/>
      <c r="K625" s="49"/>
      <c r="M625" s="37"/>
      <c r="V625" s="83"/>
      <c r="W625" s="83"/>
      <c r="X625" s="83"/>
      <c r="Z625" s="91"/>
    </row>
    <row r="626" spans="9:26" x14ac:dyDescent="0.25">
      <c r="I626" s="49"/>
      <c r="J626" s="49"/>
      <c r="K626" s="49"/>
      <c r="M626" s="34"/>
      <c r="V626" s="83"/>
      <c r="W626" s="83"/>
      <c r="X626" s="83"/>
      <c r="Z626" s="89"/>
    </row>
    <row r="627" spans="9:26" x14ac:dyDescent="0.25">
      <c r="I627" s="49"/>
      <c r="J627" s="49"/>
      <c r="K627" s="49"/>
      <c r="M627" s="37"/>
      <c r="V627" s="83"/>
      <c r="W627" s="83"/>
      <c r="X627" s="83"/>
      <c r="Z627" s="91"/>
    </row>
    <row r="628" spans="9:26" x14ac:dyDescent="0.25">
      <c r="I628" s="49"/>
      <c r="J628" s="49"/>
      <c r="K628" s="49"/>
      <c r="M628" s="37"/>
      <c r="V628" s="83"/>
      <c r="W628" s="83"/>
      <c r="X628" s="83"/>
      <c r="Z628" s="91"/>
    </row>
    <row r="629" spans="9:26" x14ac:dyDescent="0.25">
      <c r="I629" s="49"/>
      <c r="J629" s="49"/>
      <c r="K629" s="49"/>
      <c r="M629" s="34"/>
      <c r="V629" s="83"/>
      <c r="W629" s="83"/>
      <c r="X629" s="83"/>
      <c r="Z629" s="89"/>
    </row>
    <row r="630" spans="9:26" x14ac:dyDescent="0.25">
      <c r="I630" s="49"/>
      <c r="J630" s="49"/>
      <c r="K630" s="49"/>
      <c r="M630" s="37"/>
      <c r="V630" s="83"/>
      <c r="W630" s="83"/>
      <c r="X630" s="83"/>
      <c r="Z630" s="91"/>
    </row>
    <row r="631" spans="9:26" x14ac:dyDescent="0.25">
      <c r="I631" s="49"/>
      <c r="J631" s="49"/>
      <c r="K631" s="49"/>
      <c r="M631" s="33"/>
      <c r="V631" s="83"/>
      <c r="W631" s="83"/>
      <c r="X631" s="83"/>
      <c r="Z631" s="84"/>
    </row>
    <row r="632" spans="9:26" x14ac:dyDescent="0.25">
      <c r="I632" s="49"/>
      <c r="J632" s="49"/>
      <c r="K632" s="49"/>
      <c r="M632" s="34"/>
      <c r="V632" s="83"/>
      <c r="W632" s="83"/>
      <c r="X632" s="83"/>
      <c r="Z632" s="89"/>
    </row>
    <row r="633" spans="9:26" x14ac:dyDescent="0.25">
      <c r="I633" s="49"/>
      <c r="J633" s="49"/>
      <c r="K633" s="49"/>
      <c r="M633" s="37"/>
      <c r="V633" s="83"/>
      <c r="W633" s="83"/>
      <c r="X633" s="83"/>
      <c r="Z633" s="91"/>
    </row>
    <row r="634" spans="9:26" x14ac:dyDescent="0.25">
      <c r="I634" s="49"/>
      <c r="J634" s="49"/>
      <c r="K634" s="49"/>
      <c r="M634" s="37"/>
      <c r="V634" s="83"/>
      <c r="W634" s="83"/>
      <c r="X634" s="83"/>
      <c r="Z634" s="91"/>
    </row>
    <row r="635" spans="9:26" x14ac:dyDescent="0.25">
      <c r="I635" s="49"/>
      <c r="J635" s="49"/>
      <c r="K635" s="49"/>
      <c r="M635" s="34"/>
      <c r="V635" s="83"/>
      <c r="W635" s="83"/>
      <c r="X635" s="83"/>
      <c r="Z635" s="89"/>
    </row>
    <row r="636" spans="9:26" x14ac:dyDescent="0.25">
      <c r="I636" s="49"/>
      <c r="J636" s="49"/>
      <c r="K636" s="49"/>
      <c r="M636" s="37"/>
      <c r="V636" s="83"/>
      <c r="W636" s="83"/>
      <c r="X636" s="83"/>
      <c r="Z636" s="91"/>
    </row>
    <row r="637" spans="9:26" x14ac:dyDescent="0.25">
      <c r="I637" s="49"/>
      <c r="J637" s="49"/>
      <c r="K637" s="49"/>
      <c r="M637" s="37"/>
      <c r="V637" s="83"/>
      <c r="W637" s="83"/>
      <c r="X637" s="83"/>
      <c r="Z637" s="91"/>
    </row>
    <row r="638" spans="9:26" x14ac:dyDescent="0.25">
      <c r="I638" s="49"/>
      <c r="J638" s="49"/>
      <c r="K638" s="49"/>
      <c r="M638" s="36"/>
      <c r="V638" s="83"/>
      <c r="W638" s="83"/>
      <c r="X638" s="83"/>
      <c r="Z638" s="90"/>
    </row>
    <row r="639" spans="9:26" x14ac:dyDescent="0.25">
      <c r="I639" s="49"/>
      <c r="J639" s="49"/>
      <c r="K639" s="49"/>
      <c r="M639" s="34"/>
      <c r="V639" s="83"/>
      <c r="W639" s="83"/>
      <c r="X639" s="83"/>
      <c r="Z639" s="89"/>
    </row>
    <row r="640" spans="9:26" x14ac:dyDescent="0.25">
      <c r="I640" s="49"/>
      <c r="J640" s="49"/>
      <c r="K640" s="49"/>
      <c r="M640" s="37"/>
      <c r="V640" s="83"/>
      <c r="W640" s="83"/>
      <c r="X640" s="83"/>
      <c r="Z640" s="91"/>
    </row>
    <row r="641" spans="9:26" x14ac:dyDescent="0.25">
      <c r="I641" s="49"/>
      <c r="J641" s="49"/>
      <c r="K641" s="49"/>
      <c r="M641" s="37"/>
      <c r="V641" s="83"/>
      <c r="W641" s="83"/>
      <c r="X641" s="83"/>
      <c r="Z641" s="91"/>
    </row>
    <row r="642" spans="9:26" x14ac:dyDescent="0.25">
      <c r="I642" s="49"/>
      <c r="J642" s="49"/>
      <c r="K642" s="49"/>
      <c r="M642" s="34"/>
      <c r="V642" s="83"/>
      <c r="W642" s="83"/>
      <c r="X642" s="83"/>
      <c r="Z642" s="89"/>
    </row>
    <row r="643" spans="9:26" x14ac:dyDescent="0.25">
      <c r="I643" s="49"/>
      <c r="J643" s="49"/>
      <c r="K643" s="49"/>
      <c r="M643" s="37"/>
      <c r="V643" s="83"/>
      <c r="W643" s="83"/>
      <c r="X643" s="83"/>
      <c r="Z643" s="91"/>
    </row>
    <row r="644" spans="9:26" x14ac:dyDescent="0.25">
      <c r="I644" s="49"/>
      <c r="J644" s="49"/>
      <c r="K644" s="49"/>
      <c r="M644" s="37"/>
      <c r="V644" s="83"/>
      <c r="W644" s="83"/>
      <c r="X644" s="83"/>
      <c r="Z644" s="91"/>
    </row>
    <row r="645" spans="9:26" x14ac:dyDescent="0.25">
      <c r="I645" s="49"/>
      <c r="J645" s="49"/>
      <c r="K645" s="49"/>
      <c r="M645" s="34"/>
      <c r="V645" s="83"/>
      <c r="W645" s="83"/>
      <c r="X645" s="83"/>
      <c r="Z645" s="89"/>
    </row>
    <row r="646" spans="9:26" x14ac:dyDescent="0.25">
      <c r="I646" s="49"/>
      <c r="J646" s="49"/>
      <c r="K646" s="49"/>
      <c r="M646" s="37"/>
      <c r="V646" s="83"/>
      <c r="W646" s="83"/>
      <c r="X646" s="83"/>
      <c r="Z646" s="91"/>
    </row>
    <row r="647" spans="9:26" x14ac:dyDescent="0.25">
      <c r="I647" s="49"/>
      <c r="J647" s="49"/>
      <c r="K647" s="49"/>
      <c r="M647" s="37"/>
      <c r="V647" s="83"/>
      <c r="W647" s="83"/>
      <c r="X647" s="83"/>
      <c r="Z647" s="91"/>
    </row>
    <row r="648" spans="9:26" x14ac:dyDescent="0.25">
      <c r="I648" s="49"/>
      <c r="J648" s="49"/>
      <c r="K648" s="49"/>
      <c r="M648" s="34"/>
      <c r="V648" s="83"/>
      <c r="W648" s="83"/>
      <c r="X648" s="83"/>
      <c r="Z648" s="89"/>
    </row>
    <row r="649" spans="9:26" x14ac:dyDescent="0.25">
      <c r="I649" s="49"/>
      <c r="J649" s="49"/>
      <c r="K649" s="49"/>
      <c r="M649" s="37"/>
      <c r="V649" s="83"/>
      <c r="W649" s="83"/>
      <c r="X649" s="83"/>
      <c r="Z649" s="91"/>
    </row>
    <row r="650" spans="9:26" x14ac:dyDescent="0.25">
      <c r="I650" s="49"/>
      <c r="J650" s="49"/>
      <c r="K650" s="49"/>
      <c r="M650" s="37"/>
      <c r="V650" s="83"/>
      <c r="W650" s="83"/>
      <c r="X650" s="83"/>
      <c r="Z650" s="91"/>
    </row>
    <row r="651" spans="9:26" x14ac:dyDescent="0.25">
      <c r="I651" s="49"/>
      <c r="J651" s="49"/>
      <c r="K651" s="49"/>
      <c r="M651" s="34"/>
      <c r="V651" s="83"/>
      <c r="W651" s="83"/>
      <c r="X651" s="83"/>
      <c r="Z651" s="89"/>
    </row>
    <row r="652" spans="9:26" x14ac:dyDescent="0.25">
      <c r="I652" s="49"/>
      <c r="J652" s="49"/>
      <c r="K652" s="49"/>
      <c r="M652" s="37"/>
      <c r="V652" s="83"/>
      <c r="W652" s="83"/>
      <c r="X652" s="83"/>
      <c r="Z652" s="91"/>
    </row>
    <row r="653" spans="9:26" x14ac:dyDescent="0.25">
      <c r="I653" s="49"/>
      <c r="J653" s="49"/>
      <c r="K653" s="49"/>
      <c r="M653" s="37"/>
      <c r="V653" s="83"/>
      <c r="W653" s="83"/>
      <c r="X653" s="83"/>
      <c r="Z653" s="91"/>
    </row>
    <row r="654" spans="9:26" x14ac:dyDescent="0.25">
      <c r="I654" s="49"/>
      <c r="J654" s="49"/>
      <c r="K654" s="49"/>
      <c r="M654" s="34"/>
      <c r="V654" s="83"/>
      <c r="W654" s="83"/>
      <c r="X654" s="83"/>
      <c r="Z654" s="89"/>
    </row>
    <row r="655" spans="9:26" x14ac:dyDescent="0.25">
      <c r="I655" s="49"/>
      <c r="J655" s="49"/>
      <c r="K655" s="49"/>
      <c r="M655" s="37"/>
      <c r="V655" s="83"/>
      <c r="W655" s="83"/>
      <c r="X655" s="83"/>
      <c r="Z655" s="91"/>
    </row>
    <row r="656" spans="9:26" x14ac:dyDescent="0.25">
      <c r="I656" s="49"/>
      <c r="J656" s="49"/>
      <c r="K656" s="49"/>
      <c r="M656" s="37"/>
      <c r="V656" s="83"/>
      <c r="W656" s="83"/>
      <c r="X656" s="83"/>
      <c r="Z656" s="91"/>
    </row>
    <row r="657" spans="9:26" x14ac:dyDescent="0.25">
      <c r="I657" s="49"/>
      <c r="J657" s="49"/>
      <c r="K657" s="49"/>
      <c r="M657" s="34"/>
      <c r="V657" s="83"/>
      <c r="W657" s="83"/>
      <c r="X657" s="83"/>
      <c r="Z657" s="89"/>
    </row>
    <row r="658" spans="9:26" x14ac:dyDescent="0.25">
      <c r="I658" s="49"/>
      <c r="J658" s="49"/>
      <c r="K658" s="49"/>
      <c r="M658" s="37"/>
      <c r="V658" s="83"/>
      <c r="W658" s="83"/>
      <c r="X658" s="83"/>
      <c r="Z658" s="91"/>
    </row>
    <row r="659" spans="9:26" x14ac:dyDescent="0.25">
      <c r="I659" s="49"/>
      <c r="J659" s="49"/>
      <c r="K659" s="49"/>
      <c r="M659" s="37"/>
      <c r="V659" s="83"/>
      <c r="W659" s="83"/>
      <c r="X659" s="83"/>
      <c r="Z659" s="91"/>
    </row>
    <row r="660" spans="9:26" x14ac:dyDescent="0.25">
      <c r="I660" s="49"/>
      <c r="J660" s="49"/>
      <c r="K660" s="49"/>
      <c r="M660" s="34"/>
      <c r="V660" s="83"/>
      <c r="W660" s="83"/>
      <c r="X660" s="83"/>
      <c r="Z660" s="89"/>
    </row>
    <row r="661" spans="9:26" x14ac:dyDescent="0.25">
      <c r="I661" s="49"/>
      <c r="J661" s="49"/>
      <c r="K661" s="49"/>
      <c r="M661" s="37"/>
      <c r="V661" s="83"/>
      <c r="W661" s="83"/>
      <c r="X661" s="83"/>
      <c r="Z661" s="91"/>
    </row>
    <row r="662" spans="9:26" x14ac:dyDescent="0.25">
      <c r="I662" s="49"/>
      <c r="J662" s="49"/>
      <c r="K662" s="49"/>
      <c r="M662" s="37"/>
      <c r="V662" s="83"/>
      <c r="W662" s="83"/>
      <c r="X662" s="83"/>
      <c r="Z662" s="91"/>
    </row>
    <row r="663" spans="9:26" x14ac:dyDescent="0.25">
      <c r="I663" s="49"/>
      <c r="J663" s="49"/>
      <c r="K663" s="49"/>
      <c r="M663" s="34"/>
      <c r="V663" s="83"/>
      <c r="W663" s="83"/>
      <c r="X663" s="83"/>
      <c r="Z663" s="89"/>
    </row>
    <row r="664" spans="9:26" x14ac:dyDescent="0.25">
      <c r="I664" s="49"/>
      <c r="J664" s="49"/>
      <c r="K664" s="49"/>
      <c r="M664" s="37"/>
      <c r="V664" s="83"/>
      <c r="W664" s="83"/>
      <c r="X664" s="83"/>
      <c r="Z664" s="91"/>
    </row>
    <row r="665" spans="9:26" x14ac:dyDescent="0.25">
      <c r="I665" s="49"/>
      <c r="J665" s="49"/>
      <c r="K665" s="49"/>
      <c r="M665" s="33"/>
      <c r="V665" s="83"/>
      <c r="W665" s="83"/>
      <c r="X665" s="83"/>
      <c r="Z665" s="84"/>
    </row>
    <row r="666" spans="9:26" x14ac:dyDescent="0.25">
      <c r="I666" s="49"/>
      <c r="J666" s="49"/>
      <c r="K666" s="49"/>
      <c r="M666" s="37"/>
      <c r="V666" s="83"/>
      <c r="W666" s="83"/>
      <c r="X666" s="83"/>
      <c r="Z666" s="91"/>
    </row>
    <row r="667" spans="9:26" x14ac:dyDescent="0.25">
      <c r="I667" s="49"/>
      <c r="J667" s="49"/>
      <c r="K667" s="49"/>
      <c r="M667" s="34"/>
      <c r="V667" s="83"/>
      <c r="W667" s="83"/>
      <c r="X667" s="83"/>
      <c r="Z667" s="89"/>
    </row>
    <row r="668" spans="9:26" x14ac:dyDescent="0.25">
      <c r="I668" s="49"/>
      <c r="J668" s="49"/>
      <c r="K668" s="49"/>
      <c r="M668" s="37"/>
      <c r="V668" s="83"/>
      <c r="W668" s="83"/>
      <c r="X668" s="83"/>
      <c r="Z668" s="91"/>
    </row>
    <row r="669" spans="9:26" x14ac:dyDescent="0.25">
      <c r="I669" s="49"/>
      <c r="J669" s="49"/>
      <c r="K669" s="49"/>
      <c r="M669" s="37"/>
      <c r="V669" s="83"/>
      <c r="W669" s="83"/>
      <c r="X669" s="83"/>
      <c r="Z669" s="91"/>
    </row>
    <row r="670" spans="9:26" x14ac:dyDescent="0.25">
      <c r="I670" s="49"/>
      <c r="J670" s="49"/>
      <c r="K670" s="49"/>
      <c r="M670" s="34"/>
      <c r="V670" s="83"/>
      <c r="W670" s="83"/>
      <c r="X670" s="83"/>
      <c r="Z670" s="89"/>
    </row>
    <row r="671" spans="9:26" x14ac:dyDescent="0.25">
      <c r="I671" s="49"/>
      <c r="J671" s="49"/>
      <c r="K671" s="49"/>
      <c r="M671" s="37"/>
      <c r="V671" s="83"/>
      <c r="W671" s="83"/>
      <c r="X671" s="83"/>
      <c r="Z671" s="91"/>
    </row>
    <row r="672" spans="9:26" x14ac:dyDescent="0.25">
      <c r="I672" s="49"/>
      <c r="J672" s="49"/>
      <c r="K672" s="49"/>
      <c r="M672" s="37"/>
      <c r="V672" s="83"/>
      <c r="W672" s="83"/>
      <c r="X672" s="83"/>
      <c r="Z672" s="91"/>
    </row>
    <row r="673" spans="9:26" x14ac:dyDescent="0.25">
      <c r="I673" s="49"/>
      <c r="J673" s="49"/>
      <c r="K673" s="49"/>
      <c r="M673" s="34"/>
      <c r="V673" s="83"/>
      <c r="W673" s="83"/>
      <c r="X673" s="83"/>
      <c r="Z673" s="89"/>
    </row>
    <row r="674" spans="9:26" x14ac:dyDescent="0.25">
      <c r="I674" s="49"/>
      <c r="J674" s="49"/>
      <c r="K674" s="49"/>
      <c r="M674" s="37"/>
      <c r="V674" s="83"/>
      <c r="W674" s="83"/>
      <c r="X674" s="83"/>
      <c r="Z674" s="91"/>
    </row>
    <row r="675" spans="9:26" x14ac:dyDescent="0.25">
      <c r="I675" s="49"/>
      <c r="J675" s="49"/>
      <c r="K675" s="49"/>
      <c r="M675" s="37"/>
      <c r="V675" s="83"/>
      <c r="W675" s="83"/>
      <c r="X675" s="83"/>
      <c r="Z675" s="91"/>
    </row>
    <row r="676" spans="9:26" x14ac:dyDescent="0.25">
      <c r="I676" s="49"/>
      <c r="J676" s="49"/>
      <c r="K676" s="49"/>
      <c r="M676" s="34"/>
      <c r="V676" s="83"/>
      <c r="W676" s="83"/>
      <c r="X676" s="83"/>
      <c r="Z676" s="89"/>
    </row>
    <row r="677" spans="9:26" x14ac:dyDescent="0.25">
      <c r="I677" s="49"/>
      <c r="J677" s="49"/>
      <c r="K677" s="49"/>
      <c r="M677" s="37"/>
      <c r="V677" s="83"/>
      <c r="W677" s="83"/>
      <c r="X677" s="83"/>
      <c r="Z677" s="91"/>
    </row>
    <row r="678" spans="9:26" x14ac:dyDescent="0.25">
      <c r="I678" s="49"/>
      <c r="J678" s="49"/>
      <c r="K678" s="49"/>
      <c r="M678" s="37"/>
      <c r="V678" s="83"/>
      <c r="W678" s="83"/>
      <c r="X678" s="83"/>
      <c r="Z678" s="91"/>
    </row>
    <row r="679" spans="9:26" x14ac:dyDescent="0.25">
      <c r="I679" s="49"/>
      <c r="J679" s="49"/>
      <c r="K679" s="49"/>
      <c r="M679" s="34"/>
      <c r="V679" s="83"/>
      <c r="W679" s="83"/>
      <c r="X679" s="83"/>
      <c r="Z679" s="89"/>
    </row>
    <row r="680" spans="9:26" x14ac:dyDescent="0.25">
      <c r="I680" s="49"/>
      <c r="J680" s="49"/>
      <c r="K680" s="49"/>
      <c r="M680" s="37"/>
      <c r="V680" s="83"/>
      <c r="W680" s="83"/>
      <c r="X680" s="83"/>
      <c r="Z680" s="91"/>
    </row>
    <row r="681" spans="9:26" x14ac:dyDescent="0.25">
      <c r="I681" s="49"/>
      <c r="J681" s="49"/>
      <c r="K681" s="49"/>
      <c r="M681" s="37"/>
      <c r="V681" s="83"/>
      <c r="W681" s="83"/>
      <c r="X681" s="83"/>
      <c r="Z681" s="91"/>
    </row>
    <row r="682" spans="9:26" x14ac:dyDescent="0.25">
      <c r="I682" s="49"/>
      <c r="J682" s="49"/>
      <c r="K682" s="49"/>
      <c r="M682" s="34"/>
      <c r="V682" s="83"/>
      <c r="W682" s="83"/>
      <c r="X682" s="83"/>
      <c r="Z682" s="89"/>
    </row>
    <row r="683" spans="9:26" x14ac:dyDescent="0.25">
      <c r="I683" s="49"/>
      <c r="J683" s="49"/>
      <c r="K683" s="49"/>
      <c r="M683" s="37"/>
      <c r="V683" s="83"/>
      <c r="W683" s="83"/>
      <c r="X683" s="83"/>
      <c r="Z683" s="91"/>
    </row>
    <row r="684" spans="9:26" x14ac:dyDescent="0.25">
      <c r="I684" s="49"/>
      <c r="J684" s="49"/>
      <c r="K684" s="49"/>
      <c r="M684" s="37"/>
      <c r="V684" s="83"/>
      <c r="W684" s="83"/>
      <c r="X684" s="83"/>
      <c r="Z684" s="91"/>
    </row>
    <row r="685" spans="9:26" x14ac:dyDescent="0.25">
      <c r="I685" s="49"/>
      <c r="J685" s="49"/>
      <c r="K685" s="49"/>
      <c r="M685" s="34"/>
      <c r="V685" s="83"/>
      <c r="W685" s="83"/>
      <c r="X685" s="83"/>
      <c r="Z685" s="89"/>
    </row>
    <row r="686" spans="9:26" x14ac:dyDescent="0.25">
      <c r="I686" s="49"/>
      <c r="J686" s="49"/>
      <c r="K686" s="49"/>
      <c r="M686" s="37"/>
      <c r="V686" s="83"/>
      <c r="W686" s="83"/>
      <c r="X686" s="83"/>
      <c r="Z686" s="91"/>
    </row>
    <row r="687" spans="9:26" x14ac:dyDescent="0.25">
      <c r="I687" s="49"/>
      <c r="J687" s="49"/>
      <c r="K687" s="49"/>
      <c r="M687" s="37"/>
      <c r="V687" s="83"/>
      <c r="W687" s="83"/>
      <c r="X687" s="83"/>
      <c r="Z687" s="91"/>
    </row>
    <row r="688" spans="9:26" x14ac:dyDescent="0.25">
      <c r="I688" s="49"/>
      <c r="J688" s="49"/>
      <c r="K688" s="49"/>
      <c r="M688" s="34"/>
      <c r="V688" s="83"/>
      <c r="W688" s="83"/>
      <c r="X688" s="83"/>
      <c r="Z688" s="89"/>
    </row>
    <row r="689" spans="9:26" x14ac:dyDescent="0.25">
      <c r="I689" s="49"/>
      <c r="J689" s="49"/>
      <c r="K689" s="49"/>
      <c r="M689" s="37"/>
      <c r="V689" s="83"/>
      <c r="W689" s="83"/>
      <c r="X689" s="83"/>
      <c r="Z689" s="91"/>
    </row>
    <row r="690" spans="9:26" x14ac:dyDescent="0.25">
      <c r="I690" s="49"/>
      <c r="J690" s="49"/>
      <c r="K690" s="49"/>
      <c r="M690" s="37"/>
      <c r="V690" s="83"/>
      <c r="W690" s="83"/>
      <c r="X690" s="83"/>
      <c r="Z690" s="91"/>
    </row>
    <row r="691" spans="9:26" x14ac:dyDescent="0.25">
      <c r="I691" s="49"/>
      <c r="J691" s="49"/>
      <c r="K691" s="49"/>
      <c r="M691" s="34"/>
      <c r="V691" s="83"/>
      <c r="W691" s="83"/>
      <c r="X691" s="83"/>
      <c r="Z691" s="89"/>
    </row>
    <row r="692" spans="9:26" x14ac:dyDescent="0.25">
      <c r="I692" s="49"/>
      <c r="J692" s="49"/>
      <c r="K692" s="49"/>
      <c r="M692" s="37"/>
      <c r="V692" s="83"/>
      <c r="W692" s="83"/>
      <c r="X692" s="83"/>
      <c r="Z692" s="91"/>
    </row>
    <row r="693" spans="9:26" x14ac:dyDescent="0.25">
      <c r="I693" s="49"/>
      <c r="J693" s="49"/>
      <c r="K693" s="49"/>
      <c r="M693" s="37"/>
      <c r="V693" s="83"/>
      <c r="W693" s="83"/>
      <c r="X693" s="83"/>
      <c r="Z693" s="91"/>
    </row>
    <row r="694" spans="9:26" x14ac:dyDescent="0.25">
      <c r="I694" s="49"/>
      <c r="J694" s="49"/>
      <c r="K694" s="49"/>
      <c r="M694" s="34"/>
      <c r="V694" s="83"/>
      <c r="W694" s="83"/>
      <c r="X694" s="83"/>
      <c r="Z694" s="89"/>
    </row>
    <row r="695" spans="9:26" x14ac:dyDescent="0.25">
      <c r="I695" s="49"/>
      <c r="J695" s="49"/>
      <c r="K695" s="49"/>
      <c r="M695" s="37"/>
      <c r="V695" s="83"/>
      <c r="W695" s="83"/>
      <c r="X695" s="83"/>
      <c r="Z695" s="91"/>
    </row>
    <row r="696" spans="9:26" x14ac:dyDescent="0.25">
      <c r="I696" s="49"/>
      <c r="J696" s="49"/>
      <c r="K696" s="49"/>
      <c r="M696" s="37"/>
      <c r="V696" s="83"/>
      <c r="W696" s="83"/>
      <c r="X696" s="83"/>
      <c r="Z696" s="91"/>
    </row>
    <row r="697" spans="9:26" x14ac:dyDescent="0.25">
      <c r="I697" s="49"/>
      <c r="J697" s="49"/>
      <c r="K697" s="49"/>
      <c r="M697" s="34"/>
      <c r="V697" s="83"/>
      <c r="W697" s="83"/>
      <c r="X697" s="83"/>
      <c r="Z697" s="89"/>
    </row>
    <row r="698" spans="9:26" x14ac:dyDescent="0.25">
      <c r="I698" s="49"/>
      <c r="J698" s="49"/>
      <c r="K698" s="49"/>
      <c r="M698" s="37"/>
      <c r="V698" s="83"/>
      <c r="W698" s="83"/>
      <c r="X698" s="83"/>
      <c r="Z698" s="91"/>
    </row>
    <row r="699" spans="9:26" x14ac:dyDescent="0.25">
      <c r="I699" s="49"/>
      <c r="J699" s="49"/>
      <c r="K699" s="49"/>
      <c r="M699" s="37"/>
      <c r="V699" s="83"/>
      <c r="W699" s="83"/>
      <c r="X699" s="83"/>
      <c r="Z699" s="91"/>
    </row>
    <row r="700" spans="9:26" x14ac:dyDescent="0.25">
      <c r="I700" s="49"/>
      <c r="J700" s="49"/>
      <c r="K700" s="49"/>
      <c r="M700" s="34"/>
      <c r="V700" s="83"/>
      <c r="W700" s="83"/>
      <c r="X700" s="83"/>
      <c r="Z700" s="89"/>
    </row>
    <row r="701" spans="9:26" x14ac:dyDescent="0.25">
      <c r="I701" s="49"/>
      <c r="J701" s="49"/>
      <c r="K701" s="49"/>
      <c r="M701" s="37"/>
      <c r="V701" s="83"/>
      <c r="W701" s="83"/>
      <c r="X701" s="83"/>
      <c r="Z701" s="91"/>
    </row>
    <row r="702" spans="9:26" x14ac:dyDescent="0.25">
      <c r="I702" s="49"/>
      <c r="J702" s="49"/>
      <c r="K702" s="49"/>
      <c r="M702" s="37"/>
      <c r="V702" s="83"/>
      <c r="W702" s="83"/>
      <c r="X702" s="83"/>
      <c r="Z702" s="91"/>
    </row>
    <row r="703" spans="9:26" x14ac:dyDescent="0.25">
      <c r="I703" s="49"/>
      <c r="J703" s="49"/>
      <c r="K703" s="49"/>
      <c r="M703" s="34"/>
      <c r="V703" s="83"/>
      <c r="W703" s="83"/>
      <c r="X703" s="83"/>
      <c r="Z703" s="89"/>
    </row>
    <row r="704" spans="9:26" x14ac:dyDescent="0.25">
      <c r="I704" s="49"/>
      <c r="J704" s="49"/>
      <c r="K704" s="49"/>
      <c r="M704" s="37"/>
      <c r="V704" s="83"/>
      <c r="W704" s="83"/>
      <c r="X704" s="83"/>
      <c r="Z704" s="91"/>
    </row>
    <row r="705" spans="9:26" x14ac:dyDescent="0.25">
      <c r="I705" s="49"/>
      <c r="J705" s="49"/>
      <c r="K705" s="49"/>
      <c r="M705" s="37"/>
      <c r="V705" s="83"/>
      <c r="W705" s="83"/>
      <c r="X705" s="83"/>
      <c r="Z705" s="91"/>
    </row>
    <row r="706" spans="9:26" x14ac:dyDescent="0.25">
      <c r="I706" s="49"/>
      <c r="J706" s="49"/>
      <c r="K706" s="49"/>
      <c r="M706" s="34"/>
      <c r="V706" s="83"/>
      <c r="W706" s="83"/>
      <c r="X706" s="83"/>
      <c r="Z706" s="89"/>
    </row>
    <row r="707" spans="9:26" x14ac:dyDescent="0.25">
      <c r="I707" s="49"/>
      <c r="J707" s="49"/>
      <c r="K707" s="49"/>
      <c r="M707" s="37"/>
      <c r="V707" s="83"/>
      <c r="W707" s="83"/>
      <c r="X707" s="83"/>
      <c r="Z707" s="91"/>
    </row>
    <row r="708" spans="9:26" x14ac:dyDescent="0.25">
      <c r="I708" s="49"/>
      <c r="J708" s="49"/>
      <c r="K708" s="49"/>
      <c r="M708" s="37"/>
      <c r="V708" s="83"/>
      <c r="W708" s="83"/>
      <c r="X708" s="83"/>
      <c r="Z708" s="91"/>
    </row>
    <row r="709" spans="9:26" x14ac:dyDescent="0.25">
      <c r="I709" s="49"/>
      <c r="J709" s="49"/>
      <c r="K709" s="49"/>
      <c r="M709" s="34"/>
      <c r="V709" s="83"/>
      <c r="W709" s="83"/>
      <c r="X709" s="83"/>
      <c r="Z709" s="89"/>
    </row>
    <row r="710" spans="9:26" x14ac:dyDescent="0.25">
      <c r="I710" s="49"/>
      <c r="J710" s="49"/>
      <c r="K710" s="49"/>
      <c r="M710" s="37"/>
      <c r="V710" s="83"/>
      <c r="W710" s="83"/>
      <c r="X710" s="83"/>
      <c r="Z710" s="91"/>
    </row>
    <row r="711" spans="9:26" x14ac:dyDescent="0.25">
      <c r="I711" s="49"/>
      <c r="J711" s="49"/>
      <c r="K711" s="49"/>
      <c r="M711" s="37"/>
      <c r="V711" s="83"/>
      <c r="W711" s="83"/>
      <c r="X711" s="83"/>
      <c r="Z711" s="91"/>
    </row>
    <row r="712" spans="9:26" x14ac:dyDescent="0.25">
      <c r="I712" s="49"/>
      <c r="J712" s="49"/>
      <c r="K712" s="49"/>
      <c r="M712" s="34"/>
      <c r="V712" s="83"/>
      <c r="W712" s="83"/>
      <c r="X712" s="83"/>
      <c r="Z712" s="89"/>
    </row>
    <row r="713" spans="9:26" x14ac:dyDescent="0.25">
      <c r="I713" s="49"/>
      <c r="J713" s="49"/>
      <c r="K713" s="49"/>
      <c r="M713" s="37"/>
      <c r="V713" s="83"/>
      <c r="W713" s="83"/>
      <c r="X713" s="83"/>
      <c r="Z713" s="91"/>
    </row>
    <row r="714" spans="9:26" x14ac:dyDescent="0.25">
      <c r="I714" s="49"/>
      <c r="J714" s="49"/>
      <c r="K714" s="49"/>
      <c r="M714" s="37"/>
      <c r="V714" s="83"/>
      <c r="W714" s="83"/>
      <c r="X714" s="83"/>
      <c r="Z714" s="91"/>
    </row>
    <row r="715" spans="9:26" x14ac:dyDescent="0.25">
      <c r="I715" s="49"/>
      <c r="J715" s="49"/>
      <c r="K715" s="49"/>
      <c r="M715" s="34"/>
      <c r="V715" s="83"/>
      <c r="W715" s="83"/>
      <c r="X715" s="83"/>
      <c r="Z715" s="89"/>
    </row>
    <row r="716" spans="9:26" x14ac:dyDescent="0.25">
      <c r="I716" s="49"/>
      <c r="J716" s="49"/>
      <c r="K716" s="49"/>
      <c r="M716" s="37"/>
      <c r="V716" s="83"/>
      <c r="W716" s="83"/>
      <c r="X716" s="83"/>
      <c r="Z716" s="91"/>
    </row>
    <row r="717" spans="9:26" x14ac:dyDescent="0.25">
      <c r="I717" s="49"/>
      <c r="J717" s="49"/>
      <c r="K717" s="49"/>
      <c r="M717" s="34"/>
      <c r="V717" s="83"/>
      <c r="W717" s="83"/>
      <c r="X717" s="83"/>
      <c r="Z717" s="89"/>
    </row>
    <row r="718" spans="9:26" x14ac:dyDescent="0.25">
      <c r="I718" s="49"/>
      <c r="J718" s="49"/>
      <c r="K718" s="49"/>
      <c r="M718" s="37"/>
      <c r="V718" s="83"/>
      <c r="W718" s="83"/>
      <c r="X718" s="83"/>
      <c r="Z718" s="91"/>
    </row>
    <row r="719" spans="9:26" x14ac:dyDescent="0.25">
      <c r="I719" s="49"/>
      <c r="J719" s="49"/>
      <c r="K719" s="49"/>
      <c r="M719" s="34"/>
      <c r="V719" s="83"/>
      <c r="W719" s="83"/>
      <c r="X719" s="83"/>
      <c r="Z719" s="89"/>
    </row>
    <row r="720" spans="9:26" x14ac:dyDescent="0.25">
      <c r="I720" s="49"/>
      <c r="J720" s="49"/>
      <c r="K720" s="49"/>
      <c r="M720" s="37"/>
      <c r="V720" s="83"/>
      <c r="W720" s="83"/>
      <c r="X720" s="83"/>
      <c r="Z720" s="91"/>
    </row>
    <row r="721" spans="9:26" x14ac:dyDescent="0.25">
      <c r="I721" s="49"/>
      <c r="J721" s="49"/>
      <c r="K721" s="49"/>
      <c r="M721" s="34"/>
      <c r="V721" s="83"/>
      <c r="W721" s="83"/>
      <c r="X721" s="83"/>
      <c r="Z721" s="89"/>
    </row>
    <row r="722" spans="9:26" x14ac:dyDescent="0.25">
      <c r="I722" s="49"/>
      <c r="J722" s="49"/>
      <c r="K722" s="49"/>
      <c r="M722" s="37"/>
      <c r="V722" s="83"/>
      <c r="W722" s="83"/>
      <c r="X722" s="83"/>
      <c r="Z722" s="91"/>
    </row>
    <row r="723" spans="9:26" x14ac:dyDescent="0.25">
      <c r="I723" s="49"/>
      <c r="J723" s="49"/>
      <c r="K723" s="49"/>
      <c r="M723" s="34"/>
      <c r="V723" s="83"/>
      <c r="W723" s="83"/>
      <c r="X723" s="83"/>
      <c r="Z723" s="89"/>
    </row>
    <row r="724" spans="9:26" x14ac:dyDescent="0.25">
      <c r="I724" s="49"/>
      <c r="J724" s="49"/>
      <c r="K724" s="49"/>
      <c r="M724" s="37"/>
      <c r="V724" s="83"/>
      <c r="W724" s="83"/>
      <c r="X724" s="83"/>
      <c r="Z724" s="91"/>
    </row>
    <row r="725" spans="9:26" x14ac:dyDescent="0.25">
      <c r="I725" s="49"/>
      <c r="J725" s="49"/>
      <c r="K725" s="49"/>
      <c r="M725" s="37"/>
      <c r="V725" s="83"/>
      <c r="W725" s="83"/>
      <c r="X725" s="83"/>
      <c r="Z725" s="91"/>
    </row>
    <row r="726" spans="9:26" x14ac:dyDescent="0.25">
      <c r="I726" s="49"/>
      <c r="J726" s="49"/>
      <c r="K726" s="49"/>
      <c r="M726" s="37"/>
      <c r="V726" s="83"/>
      <c r="W726" s="83"/>
      <c r="X726" s="83"/>
      <c r="Z726" s="91"/>
    </row>
    <row r="727" spans="9:26" x14ac:dyDescent="0.25">
      <c r="I727" s="49"/>
      <c r="J727" s="49"/>
      <c r="K727" s="49"/>
      <c r="M727" s="34"/>
      <c r="V727" s="83"/>
      <c r="W727" s="83"/>
      <c r="X727" s="83"/>
      <c r="Z727" s="89"/>
    </row>
    <row r="728" spans="9:26" x14ac:dyDescent="0.25">
      <c r="I728" s="49"/>
      <c r="J728" s="49"/>
      <c r="K728" s="49"/>
      <c r="M728" s="37"/>
      <c r="V728" s="83"/>
      <c r="W728" s="83"/>
      <c r="X728" s="83"/>
      <c r="Z728" s="91"/>
    </row>
    <row r="729" spans="9:26" x14ac:dyDescent="0.25">
      <c r="I729" s="49"/>
      <c r="J729" s="49"/>
      <c r="K729" s="49"/>
      <c r="M729" s="37"/>
      <c r="V729" s="83"/>
      <c r="W729" s="83"/>
      <c r="X729" s="83"/>
      <c r="Z729" s="91"/>
    </row>
    <row r="730" spans="9:26" x14ac:dyDescent="0.25">
      <c r="I730" s="49"/>
      <c r="J730" s="49"/>
      <c r="K730" s="49"/>
      <c r="M730" s="34"/>
      <c r="V730" s="83"/>
      <c r="W730" s="83"/>
      <c r="X730" s="83"/>
      <c r="Z730" s="89"/>
    </row>
    <row r="731" spans="9:26" x14ac:dyDescent="0.25">
      <c r="I731" s="49"/>
      <c r="J731" s="49"/>
      <c r="K731" s="49"/>
      <c r="M731" s="37"/>
      <c r="V731" s="83"/>
      <c r="W731" s="83"/>
      <c r="X731" s="83"/>
      <c r="Z731" s="91"/>
    </row>
    <row r="732" spans="9:26" x14ac:dyDescent="0.25">
      <c r="I732" s="49"/>
      <c r="J732" s="49"/>
      <c r="K732" s="49"/>
      <c r="M732" s="37"/>
      <c r="V732" s="83"/>
      <c r="W732" s="83"/>
      <c r="X732" s="83"/>
      <c r="Z732" s="91"/>
    </row>
    <row r="733" spans="9:26" x14ac:dyDescent="0.25">
      <c r="I733" s="49"/>
      <c r="J733" s="49"/>
      <c r="K733" s="49"/>
      <c r="M733" s="37"/>
      <c r="V733" s="83"/>
      <c r="W733" s="83"/>
      <c r="X733" s="83"/>
      <c r="Z733" s="91"/>
    </row>
    <row r="734" spans="9:26" x14ac:dyDescent="0.25">
      <c r="I734" s="49"/>
      <c r="J734" s="49"/>
      <c r="K734" s="49"/>
      <c r="M734" s="34"/>
      <c r="V734" s="83"/>
      <c r="W734" s="83"/>
      <c r="X734" s="83"/>
      <c r="Z734" s="89"/>
    </row>
    <row r="735" spans="9:26" x14ac:dyDescent="0.25">
      <c r="I735" s="49"/>
      <c r="J735" s="49"/>
      <c r="K735" s="49"/>
      <c r="M735" s="37"/>
      <c r="V735" s="83"/>
      <c r="W735" s="83"/>
      <c r="X735" s="83"/>
      <c r="Z735" s="91"/>
    </row>
    <row r="736" spans="9:26" x14ac:dyDescent="0.25">
      <c r="I736" s="49"/>
      <c r="J736" s="49"/>
      <c r="K736" s="49"/>
      <c r="M736" s="37"/>
      <c r="V736" s="83"/>
      <c r="W736" s="83"/>
      <c r="X736" s="83"/>
      <c r="Z736" s="91"/>
    </row>
    <row r="737" spans="9:26" x14ac:dyDescent="0.25">
      <c r="I737" s="49"/>
      <c r="J737" s="49"/>
      <c r="K737" s="49"/>
      <c r="M737" s="34"/>
      <c r="V737" s="83"/>
      <c r="W737" s="83"/>
      <c r="X737" s="83"/>
      <c r="Z737" s="89"/>
    </row>
    <row r="738" spans="9:26" x14ac:dyDescent="0.25">
      <c r="I738" s="49"/>
      <c r="J738" s="49"/>
      <c r="K738" s="49"/>
      <c r="M738" s="37"/>
      <c r="V738" s="83"/>
      <c r="W738" s="83"/>
      <c r="X738" s="83"/>
      <c r="Z738" s="91"/>
    </row>
    <row r="739" spans="9:26" x14ac:dyDescent="0.25">
      <c r="I739" s="49"/>
      <c r="J739" s="49"/>
      <c r="K739" s="49"/>
      <c r="M739" s="37"/>
      <c r="V739" s="83"/>
      <c r="W739" s="83"/>
      <c r="X739" s="83"/>
      <c r="Z739" s="91"/>
    </row>
    <row r="740" spans="9:26" x14ac:dyDescent="0.25">
      <c r="I740" s="49"/>
      <c r="J740" s="49"/>
      <c r="K740" s="49"/>
      <c r="M740" s="37"/>
      <c r="V740" s="83"/>
      <c r="W740" s="83"/>
      <c r="X740" s="83"/>
      <c r="Z740" s="91"/>
    </row>
    <row r="741" spans="9:26" x14ac:dyDescent="0.25">
      <c r="I741" s="49"/>
      <c r="J741" s="49"/>
      <c r="K741" s="49"/>
      <c r="M741" s="37"/>
      <c r="V741" s="83"/>
      <c r="W741" s="83"/>
      <c r="X741" s="83"/>
      <c r="Z741" s="91"/>
    </row>
    <row r="742" spans="9:26" x14ac:dyDescent="0.25">
      <c r="I742" s="49"/>
      <c r="J742" s="49"/>
      <c r="K742" s="49"/>
      <c r="M742" s="34"/>
      <c r="V742" s="83"/>
      <c r="W742" s="83"/>
      <c r="X742" s="83"/>
      <c r="Z742" s="89"/>
    </row>
    <row r="743" spans="9:26" x14ac:dyDescent="0.25">
      <c r="I743" s="49"/>
      <c r="J743" s="49"/>
      <c r="K743" s="49"/>
      <c r="M743" s="37"/>
      <c r="V743" s="83"/>
      <c r="W743" s="83"/>
      <c r="X743" s="83"/>
      <c r="Z743" s="91"/>
    </row>
    <row r="744" spans="9:26" x14ac:dyDescent="0.25">
      <c r="I744" s="49"/>
      <c r="J744" s="49"/>
      <c r="K744" s="49"/>
      <c r="M744" s="37"/>
      <c r="V744" s="83"/>
      <c r="W744" s="83"/>
      <c r="X744" s="83"/>
      <c r="Z744" s="91"/>
    </row>
    <row r="745" spans="9:26" x14ac:dyDescent="0.25">
      <c r="I745" s="49"/>
      <c r="J745" s="49"/>
      <c r="K745" s="49"/>
      <c r="M745" s="37"/>
      <c r="V745" s="83"/>
      <c r="W745" s="83"/>
      <c r="X745" s="83"/>
      <c r="Z745" s="91"/>
    </row>
    <row r="746" spans="9:26" x14ac:dyDescent="0.25">
      <c r="I746" s="49"/>
      <c r="J746" s="49"/>
      <c r="K746" s="49"/>
      <c r="M746" s="37"/>
      <c r="V746" s="83"/>
      <c r="W746" s="83"/>
      <c r="X746" s="83"/>
      <c r="Z746" s="91"/>
    </row>
    <row r="747" spans="9:26" x14ac:dyDescent="0.25">
      <c r="I747" s="49"/>
      <c r="J747" s="49"/>
      <c r="K747" s="49"/>
      <c r="M747" s="34"/>
      <c r="V747" s="83"/>
      <c r="W747" s="83"/>
      <c r="X747" s="83"/>
      <c r="Z747" s="89"/>
    </row>
    <row r="748" spans="9:26" x14ac:dyDescent="0.25">
      <c r="I748" s="49"/>
      <c r="J748" s="49"/>
      <c r="K748" s="49"/>
      <c r="M748" s="37"/>
      <c r="V748" s="83"/>
      <c r="W748" s="83"/>
      <c r="X748" s="83"/>
      <c r="Z748" s="91"/>
    </row>
    <row r="749" spans="9:26" x14ac:dyDescent="0.25">
      <c r="I749" s="49"/>
      <c r="J749" s="49"/>
      <c r="K749" s="49"/>
      <c r="M749" s="34"/>
      <c r="V749" s="83"/>
      <c r="W749" s="83"/>
      <c r="X749" s="83"/>
      <c r="Z749" s="89"/>
    </row>
    <row r="750" spans="9:26" x14ac:dyDescent="0.25">
      <c r="I750" s="49"/>
      <c r="J750" s="49"/>
      <c r="K750" s="49"/>
      <c r="M750" s="37"/>
      <c r="V750" s="83"/>
      <c r="W750" s="83"/>
      <c r="X750" s="83"/>
      <c r="Z750" s="91"/>
    </row>
    <row r="751" spans="9:26" x14ac:dyDescent="0.25">
      <c r="I751" s="49"/>
      <c r="J751" s="49"/>
      <c r="K751" s="49"/>
      <c r="M751" s="37"/>
      <c r="V751" s="83"/>
      <c r="W751" s="83"/>
      <c r="X751" s="83"/>
      <c r="Z751" s="91"/>
    </row>
    <row r="752" spans="9:26" x14ac:dyDescent="0.25">
      <c r="I752" s="49"/>
      <c r="J752" s="49"/>
      <c r="K752" s="49"/>
      <c r="M752" s="34"/>
      <c r="V752" s="83"/>
      <c r="W752" s="83"/>
      <c r="X752" s="83"/>
      <c r="Z752" s="89"/>
    </row>
    <row r="753" spans="9:26" x14ac:dyDescent="0.25">
      <c r="I753" s="49"/>
      <c r="J753" s="49"/>
      <c r="K753" s="49"/>
      <c r="M753" s="37"/>
      <c r="V753" s="83"/>
      <c r="W753" s="83"/>
      <c r="X753" s="83"/>
      <c r="Z753" s="91"/>
    </row>
    <row r="754" spans="9:26" x14ac:dyDescent="0.25">
      <c r="I754" s="49"/>
      <c r="J754" s="49"/>
      <c r="K754" s="49"/>
      <c r="M754" s="37"/>
      <c r="V754" s="83"/>
      <c r="W754" s="83"/>
      <c r="X754" s="83"/>
      <c r="Z754" s="91"/>
    </row>
    <row r="755" spans="9:26" x14ac:dyDescent="0.25">
      <c r="I755" s="49"/>
      <c r="J755" s="49"/>
      <c r="K755" s="49"/>
      <c r="M755" s="34"/>
      <c r="V755" s="83"/>
      <c r="W755" s="83"/>
      <c r="X755" s="83"/>
      <c r="Z755" s="89"/>
    </row>
    <row r="756" spans="9:26" x14ac:dyDescent="0.25">
      <c r="I756" s="49"/>
      <c r="J756" s="49"/>
      <c r="K756" s="49"/>
      <c r="M756" s="37"/>
      <c r="V756" s="83"/>
      <c r="W756" s="83"/>
      <c r="X756" s="83"/>
      <c r="Z756" s="91"/>
    </row>
    <row r="757" spans="9:26" x14ac:dyDescent="0.25">
      <c r="I757" s="49"/>
      <c r="J757" s="49"/>
      <c r="K757" s="49"/>
      <c r="M757" s="37"/>
      <c r="V757" s="83"/>
      <c r="W757" s="83"/>
      <c r="X757" s="83"/>
      <c r="Z757" s="91"/>
    </row>
    <row r="758" spans="9:26" x14ac:dyDescent="0.25">
      <c r="I758" s="49"/>
      <c r="J758" s="49"/>
      <c r="K758" s="49"/>
      <c r="M758" s="37"/>
      <c r="V758" s="83"/>
      <c r="W758" s="83"/>
      <c r="X758" s="83"/>
      <c r="Z758" s="91"/>
    </row>
    <row r="759" spans="9:26" x14ac:dyDescent="0.25">
      <c r="I759" s="49"/>
      <c r="J759" s="49"/>
      <c r="K759" s="49"/>
      <c r="M759" s="37"/>
      <c r="V759" s="83"/>
      <c r="W759" s="83"/>
      <c r="X759" s="83"/>
      <c r="Z759" s="91"/>
    </row>
    <row r="760" spans="9:26" x14ac:dyDescent="0.25">
      <c r="I760" s="49"/>
      <c r="J760" s="49"/>
      <c r="K760" s="49"/>
      <c r="M760" s="37"/>
      <c r="V760" s="83"/>
      <c r="W760" s="83"/>
      <c r="X760" s="83"/>
      <c r="Z760" s="91"/>
    </row>
    <row r="761" spans="9:26" x14ac:dyDescent="0.25">
      <c r="I761" s="49"/>
      <c r="J761" s="49"/>
      <c r="K761" s="49"/>
      <c r="M761" s="37"/>
      <c r="V761" s="83"/>
      <c r="W761" s="83"/>
      <c r="X761" s="83"/>
      <c r="Z761" s="91"/>
    </row>
    <row r="762" spans="9:26" x14ac:dyDescent="0.25">
      <c r="I762" s="49"/>
      <c r="J762" s="49"/>
      <c r="K762" s="49"/>
      <c r="M762" s="37"/>
      <c r="V762" s="83"/>
      <c r="W762" s="83"/>
      <c r="X762" s="83"/>
      <c r="Z762" s="91"/>
    </row>
    <row r="763" spans="9:26" x14ac:dyDescent="0.25">
      <c r="I763" s="49"/>
      <c r="J763" s="49"/>
      <c r="K763" s="49"/>
      <c r="M763" s="37"/>
      <c r="V763" s="83"/>
      <c r="W763" s="83"/>
      <c r="X763" s="83"/>
      <c r="Z763" s="91"/>
    </row>
    <row r="764" spans="9:26" x14ac:dyDescent="0.25">
      <c r="I764" s="49"/>
      <c r="J764" s="49"/>
      <c r="K764" s="49"/>
      <c r="M764" s="37"/>
      <c r="V764" s="83"/>
      <c r="W764" s="83"/>
      <c r="X764" s="83"/>
      <c r="Z764" s="91"/>
    </row>
    <row r="765" spans="9:26" x14ac:dyDescent="0.25">
      <c r="I765" s="49"/>
      <c r="J765" s="49"/>
      <c r="K765" s="49"/>
      <c r="M765" s="37"/>
      <c r="V765" s="83"/>
      <c r="W765" s="83"/>
      <c r="X765" s="83"/>
      <c r="Z765" s="91"/>
    </row>
    <row r="766" spans="9:26" x14ac:dyDescent="0.25">
      <c r="I766" s="49"/>
      <c r="J766" s="49"/>
      <c r="K766" s="49"/>
      <c r="M766" s="37"/>
      <c r="V766" s="83"/>
      <c r="W766" s="83"/>
      <c r="X766" s="83"/>
      <c r="Z766" s="91"/>
    </row>
    <row r="767" spans="9:26" x14ac:dyDescent="0.25">
      <c r="I767" s="49"/>
      <c r="J767" s="49"/>
      <c r="K767" s="49"/>
      <c r="V767" s="83"/>
      <c r="W767" s="83"/>
      <c r="X767" s="83"/>
    </row>
    <row r="768" spans="9:26" x14ac:dyDescent="0.25">
      <c r="I768" s="49"/>
      <c r="J768" s="49"/>
      <c r="K768" s="49"/>
      <c r="V768" s="83"/>
      <c r="W768" s="83"/>
      <c r="X768" s="83"/>
    </row>
    <row r="769" spans="9:24" x14ac:dyDescent="0.25">
      <c r="I769" s="49"/>
      <c r="J769" s="49"/>
      <c r="K769" s="49"/>
      <c r="V769" s="83"/>
      <c r="W769" s="83"/>
      <c r="X769" s="83"/>
    </row>
    <row r="770" spans="9:24" x14ac:dyDescent="0.25">
      <c r="I770" s="49"/>
      <c r="J770" s="49"/>
      <c r="K770" s="49"/>
      <c r="V770" s="83"/>
      <c r="W770" s="83"/>
      <c r="X770" s="83"/>
    </row>
    <row r="771" spans="9:24" x14ac:dyDescent="0.25">
      <c r="I771" s="49"/>
      <c r="J771" s="49"/>
      <c r="K771" s="49"/>
      <c r="V771" s="83"/>
      <c r="W771" s="83"/>
      <c r="X771" s="83"/>
    </row>
    <row r="772" spans="9:24" x14ac:dyDescent="0.25">
      <c r="I772" s="49"/>
      <c r="J772" s="49"/>
      <c r="K772" s="49"/>
      <c r="V772" s="83"/>
      <c r="W772" s="83"/>
      <c r="X772" s="83"/>
    </row>
    <row r="773" spans="9:24" x14ac:dyDescent="0.25">
      <c r="I773" s="49"/>
      <c r="J773" s="49"/>
      <c r="K773" s="49"/>
      <c r="V773" s="83"/>
      <c r="W773" s="83"/>
      <c r="X773" s="83"/>
    </row>
    <row r="774" spans="9:24" x14ac:dyDescent="0.25">
      <c r="I774" s="49"/>
      <c r="J774" s="49"/>
      <c r="K774" s="49"/>
      <c r="V774" s="83"/>
      <c r="W774" s="83"/>
      <c r="X774" s="83"/>
    </row>
    <row r="775" spans="9:24" x14ac:dyDescent="0.25">
      <c r="I775" s="49"/>
      <c r="J775" s="49"/>
      <c r="K775" s="49"/>
      <c r="V775" s="83"/>
      <c r="W775" s="83"/>
      <c r="X775" s="83"/>
    </row>
    <row r="776" spans="9:24" x14ac:dyDescent="0.25">
      <c r="I776" s="49"/>
      <c r="J776" s="49"/>
      <c r="K776" s="49"/>
      <c r="V776" s="83"/>
      <c r="W776" s="83"/>
      <c r="X776" s="83"/>
    </row>
    <row r="777" spans="9:24" x14ac:dyDescent="0.25">
      <c r="I777" s="49"/>
      <c r="J777" s="49"/>
      <c r="K777" s="49"/>
      <c r="V777" s="83"/>
      <c r="W777" s="83"/>
      <c r="X777" s="83"/>
    </row>
    <row r="778" spans="9:24" x14ac:dyDescent="0.25">
      <c r="I778" s="49"/>
      <c r="J778" s="49"/>
      <c r="K778" s="49"/>
      <c r="V778" s="83"/>
      <c r="W778" s="83"/>
      <c r="X778" s="83"/>
    </row>
    <row r="779" spans="9:24" x14ac:dyDescent="0.25">
      <c r="I779" s="49"/>
      <c r="J779" s="49"/>
      <c r="K779" s="49"/>
      <c r="V779" s="83"/>
      <c r="W779" s="83"/>
      <c r="X779" s="83"/>
    </row>
    <row r="780" spans="9:24" x14ac:dyDescent="0.25">
      <c r="I780" s="49"/>
      <c r="J780" s="49"/>
      <c r="K780" s="49"/>
      <c r="V780" s="83"/>
      <c r="W780" s="83"/>
      <c r="X780" s="83"/>
    </row>
    <row r="781" spans="9:24" x14ac:dyDescent="0.25">
      <c r="I781" s="49"/>
      <c r="J781" s="49"/>
      <c r="K781" s="49"/>
      <c r="V781" s="83"/>
      <c r="W781" s="83"/>
      <c r="X781" s="83"/>
    </row>
    <row r="782" spans="9:24" x14ac:dyDescent="0.25">
      <c r="I782" s="49"/>
      <c r="J782" s="49"/>
      <c r="K782" s="49"/>
      <c r="V782" s="83"/>
      <c r="W782" s="83"/>
      <c r="X782" s="83"/>
    </row>
    <row r="783" spans="9:24" x14ac:dyDescent="0.25">
      <c r="I783" s="49"/>
      <c r="J783" s="49"/>
      <c r="K783" s="49"/>
      <c r="V783" s="83"/>
      <c r="W783" s="83"/>
      <c r="X783" s="83"/>
    </row>
    <row r="784" spans="9:24" x14ac:dyDescent="0.25">
      <c r="I784" s="49"/>
      <c r="J784" s="49"/>
      <c r="K784" s="49"/>
      <c r="V784" s="83"/>
      <c r="W784" s="83"/>
      <c r="X784" s="83"/>
    </row>
    <row r="785" spans="9:24" x14ac:dyDescent="0.25">
      <c r="I785" s="49"/>
      <c r="J785" s="49"/>
      <c r="K785" s="49"/>
      <c r="V785" s="83"/>
      <c r="W785" s="83"/>
      <c r="X785" s="83"/>
    </row>
    <row r="786" spans="9:24" x14ac:dyDescent="0.25">
      <c r="I786" s="49"/>
      <c r="J786" s="49"/>
      <c r="K786" s="49"/>
      <c r="V786" s="83"/>
      <c r="W786" s="83"/>
      <c r="X786" s="83"/>
    </row>
    <row r="787" spans="9:24" x14ac:dyDescent="0.25">
      <c r="I787" s="49"/>
      <c r="J787" s="49"/>
      <c r="K787" s="49"/>
      <c r="V787" s="83"/>
      <c r="W787" s="83"/>
      <c r="X787" s="83"/>
    </row>
    <row r="788" spans="9:24" x14ac:dyDescent="0.25">
      <c r="I788" s="49"/>
      <c r="J788" s="49"/>
      <c r="K788" s="49"/>
      <c r="V788" s="83"/>
      <c r="W788" s="83"/>
      <c r="X788" s="83"/>
    </row>
    <row r="789" spans="9:24" x14ac:dyDescent="0.25">
      <c r="I789" s="49"/>
      <c r="J789" s="49"/>
      <c r="K789" s="49"/>
      <c r="V789" s="83"/>
      <c r="W789" s="83"/>
      <c r="X789" s="83"/>
    </row>
    <row r="790" spans="9:24" x14ac:dyDescent="0.25">
      <c r="I790" s="49"/>
      <c r="J790" s="49"/>
      <c r="K790" s="49"/>
      <c r="V790" s="83"/>
      <c r="W790" s="83"/>
      <c r="X790" s="83"/>
    </row>
    <row r="791" spans="9:24" x14ac:dyDescent="0.25">
      <c r="I791" s="49"/>
      <c r="J791" s="49"/>
      <c r="K791" s="49"/>
      <c r="V791" s="83"/>
      <c r="W791" s="83"/>
      <c r="X791" s="83"/>
    </row>
    <row r="792" spans="9:24" x14ac:dyDescent="0.25">
      <c r="I792" s="49"/>
      <c r="J792" s="49"/>
      <c r="K792" s="49"/>
      <c r="V792" s="83"/>
      <c r="W792" s="83"/>
      <c r="X792" s="83"/>
    </row>
    <row r="793" spans="9:24" x14ac:dyDescent="0.25">
      <c r="I793" s="49"/>
      <c r="J793" s="49"/>
      <c r="K793" s="49"/>
      <c r="V793" s="83"/>
      <c r="W793" s="83"/>
      <c r="X793" s="83"/>
    </row>
    <row r="794" spans="9:24" x14ac:dyDescent="0.25">
      <c r="I794" s="49"/>
      <c r="J794" s="49"/>
      <c r="K794" s="49"/>
      <c r="V794" s="83"/>
      <c r="W794" s="83"/>
      <c r="X794" s="83"/>
    </row>
    <row r="795" spans="9:24" x14ac:dyDescent="0.25">
      <c r="I795" s="49"/>
      <c r="J795" s="49"/>
      <c r="K795" s="49"/>
      <c r="V795" s="83"/>
      <c r="W795" s="83"/>
      <c r="X795" s="83"/>
    </row>
    <row r="796" spans="9:24" x14ac:dyDescent="0.25">
      <c r="I796" s="49"/>
      <c r="J796" s="49"/>
      <c r="K796" s="49"/>
      <c r="V796" s="83"/>
      <c r="W796" s="83"/>
      <c r="X796" s="83"/>
    </row>
    <row r="797" spans="9:24" x14ac:dyDescent="0.25">
      <c r="I797" s="49"/>
      <c r="J797" s="49"/>
      <c r="K797" s="49"/>
      <c r="V797" s="83"/>
      <c r="W797" s="83"/>
      <c r="X797" s="83"/>
    </row>
    <row r="798" spans="9:24" x14ac:dyDescent="0.25">
      <c r="I798" s="49"/>
      <c r="J798" s="49"/>
      <c r="K798" s="49"/>
      <c r="V798" s="83"/>
      <c r="W798" s="83"/>
      <c r="X798" s="83"/>
    </row>
    <row r="799" spans="9:24" x14ac:dyDescent="0.25">
      <c r="I799" s="49"/>
      <c r="J799" s="49"/>
      <c r="K799" s="49"/>
      <c r="V799" s="83"/>
      <c r="W799" s="83"/>
      <c r="X799" s="83"/>
    </row>
    <row r="800" spans="9:24" x14ac:dyDescent="0.25">
      <c r="I800" s="49"/>
      <c r="J800" s="49"/>
      <c r="K800" s="49"/>
      <c r="V800" s="83"/>
      <c r="W800" s="83"/>
      <c r="X800" s="83"/>
    </row>
    <row r="801" spans="9:24" x14ac:dyDescent="0.25">
      <c r="I801" s="49"/>
      <c r="J801" s="49"/>
      <c r="K801" s="49"/>
      <c r="V801" s="83"/>
      <c r="W801" s="83"/>
      <c r="X801" s="83"/>
    </row>
    <row r="802" spans="9:24" x14ac:dyDescent="0.25">
      <c r="I802" s="49"/>
      <c r="J802" s="49"/>
      <c r="K802" s="49"/>
      <c r="V802" s="83"/>
      <c r="W802" s="83"/>
      <c r="X802" s="83"/>
    </row>
    <row r="803" spans="9:24" x14ac:dyDescent="0.25">
      <c r="I803" s="49"/>
      <c r="J803" s="49"/>
      <c r="K803" s="49"/>
      <c r="V803" s="83"/>
      <c r="W803" s="83"/>
      <c r="X803" s="83"/>
    </row>
    <row r="804" spans="9:24" x14ac:dyDescent="0.25">
      <c r="I804" s="49"/>
      <c r="J804" s="49"/>
      <c r="K804" s="49"/>
      <c r="V804" s="83"/>
      <c r="W804" s="83"/>
      <c r="X804" s="83"/>
    </row>
    <row r="805" spans="9:24" x14ac:dyDescent="0.25">
      <c r="I805" s="49"/>
      <c r="J805" s="49"/>
      <c r="K805" s="49"/>
      <c r="V805" s="83"/>
      <c r="W805" s="83"/>
      <c r="X805" s="83"/>
    </row>
    <row r="806" spans="9:24" x14ac:dyDescent="0.25">
      <c r="I806" s="49"/>
      <c r="J806" s="49"/>
      <c r="K806" s="49"/>
      <c r="V806" s="83"/>
      <c r="W806" s="83"/>
      <c r="X806" s="83"/>
    </row>
    <row r="807" spans="9:24" x14ac:dyDescent="0.25">
      <c r="I807" s="49"/>
      <c r="J807" s="49"/>
      <c r="K807" s="49"/>
      <c r="V807" s="83"/>
      <c r="W807" s="83"/>
      <c r="X807" s="83"/>
    </row>
    <row r="808" spans="9:24" x14ac:dyDescent="0.25">
      <c r="I808" s="49"/>
      <c r="J808" s="49"/>
      <c r="K808" s="49"/>
      <c r="V808" s="83"/>
      <c r="W808" s="83"/>
      <c r="X808" s="83"/>
    </row>
    <row r="809" spans="9:24" x14ac:dyDescent="0.25">
      <c r="I809" s="49"/>
      <c r="J809" s="49"/>
      <c r="K809" s="49"/>
      <c r="V809" s="83"/>
      <c r="W809" s="83"/>
      <c r="X809" s="83"/>
    </row>
    <row r="810" spans="9:24" x14ac:dyDescent="0.25">
      <c r="I810" s="49"/>
      <c r="J810" s="49"/>
      <c r="K810" s="49"/>
      <c r="V810" s="83"/>
      <c r="W810" s="83"/>
      <c r="X810" s="83"/>
    </row>
    <row r="811" spans="9:24" x14ac:dyDescent="0.25">
      <c r="I811" s="49"/>
      <c r="J811" s="49"/>
      <c r="K811" s="49"/>
      <c r="V811" s="83"/>
      <c r="W811" s="83"/>
      <c r="X811" s="83"/>
    </row>
    <row r="812" spans="9:24" x14ac:dyDescent="0.25">
      <c r="I812" s="49"/>
      <c r="J812" s="49"/>
      <c r="K812" s="49"/>
      <c r="V812" s="83"/>
      <c r="W812" s="83"/>
      <c r="X812" s="83"/>
    </row>
    <row r="813" spans="9:24" x14ac:dyDescent="0.25">
      <c r="I813" s="49"/>
      <c r="J813" s="49"/>
      <c r="K813" s="49"/>
      <c r="V813" s="83"/>
      <c r="W813" s="83"/>
      <c r="X813" s="83"/>
    </row>
    <row r="814" spans="9:24" x14ac:dyDescent="0.25">
      <c r="I814" s="49"/>
      <c r="J814" s="49"/>
      <c r="K814" s="49"/>
      <c r="V814" s="83"/>
      <c r="W814" s="83"/>
      <c r="X814" s="83"/>
    </row>
    <row r="815" spans="9:24" x14ac:dyDescent="0.25">
      <c r="I815" s="49"/>
      <c r="J815" s="49"/>
      <c r="K815" s="49"/>
      <c r="V815" s="83"/>
      <c r="W815" s="83"/>
      <c r="X815" s="83"/>
    </row>
    <row r="816" spans="9:24" x14ac:dyDescent="0.25">
      <c r="I816" s="49"/>
      <c r="J816" s="49"/>
      <c r="K816" s="49"/>
      <c r="V816" s="83"/>
      <c r="W816" s="83"/>
      <c r="X816" s="83"/>
    </row>
    <row r="817" spans="9:24" x14ac:dyDescent="0.25">
      <c r="I817" s="49"/>
      <c r="J817" s="49"/>
      <c r="K817" s="49"/>
      <c r="V817" s="83"/>
      <c r="W817" s="83"/>
      <c r="X817" s="83"/>
    </row>
    <row r="818" spans="9:24" x14ac:dyDescent="0.25">
      <c r="I818" s="49"/>
      <c r="J818" s="49"/>
      <c r="K818" s="49"/>
      <c r="V818" s="83"/>
      <c r="W818" s="83"/>
      <c r="X818" s="83"/>
    </row>
    <row r="819" spans="9:24" x14ac:dyDescent="0.25">
      <c r="I819" s="49"/>
      <c r="J819" s="49"/>
      <c r="K819" s="49"/>
      <c r="V819" s="83"/>
      <c r="W819" s="83"/>
      <c r="X819" s="83"/>
    </row>
    <row r="820" spans="9:24" x14ac:dyDescent="0.25">
      <c r="I820" s="49"/>
      <c r="J820" s="49"/>
      <c r="K820" s="49"/>
      <c r="V820" s="83"/>
      <c r="W820" s="83"/>
      <c r="X820" s="83"/>
    </row>
    <row r="821" spans="9:24" x14ac:dyDescent="0.25">
      <c r="I821" s="49"/>
      <c r="J821" s="49"/>
      <c r="K821" s="49"/>
      <c r="V821" s="83"/>
      <c r="W821" s="83"/>
      <c r="X821" s="83"/>
    </row>
    <row r="822" spans="9:24" x14ac:dyDescent="0.25">
      <c r="I822" s="49"/>
      <c r="J822" s="49"/>
      <c r="K822" s="49"/>
      <c r="V822" s="83"/>
      <c r="W822" s="83"/>
      <c r="X822" s="83"/>
    </row>
    <row r="823" spans="9:24" x14ac:dyDescent="0.25">
      <c r="I823" s="49"/>
      <c r="J823" s="49"/>
      <c r="K823" s="49"/>
      <c r="V823" s="83"/>
      <c r="W823" s="83"/>
      <c r="X823" s="83"/>
    </row>
    <row r="824" spans="9:24" x14ac:dyDescent="0.25">
      <c r="I824" s="49"/>
      <c r="J824" s="49"/>
      <c r="K824" s="49"/>
      <c r="V824" s="83"/>
      <c r="W824" s="83"/>
      <c r="X824" s="83"/>
    </row>
    <row r="825" spans="9:24" x14ac:dyDescent="0.25">
      <c r="I825" s="49"/>
      <c r="J825" s="49"/>
      <c r="K825" s="49"/>
      <c r="V825" s="83"/>
      <c r="W825" s="83"/>
      <c r="X825" s="83"/>
    </row>
    <row r="826" spans="9:24" x14ac:dyDescent="0.25">
      <c r="I826" s="49"/>
      <c r="J826" s="49"/>
      <c r="K826" s="49"/>
      <c r="V826" s="83"/>
      <c r="W826" s="83"/>
      <c r="X826" s="83"/>
    </row>
    <row r="827" spans="9:24" x14ac:dyDescent="0.25">
      <c r="I827" s="49"/>
      <c r="J827" s="49"/>
      <c r="K827" s="49"/>
      <c r="V827" s="83"/>
      <c r="W827" s="83"/>
      <c r="X827" s="83"/>
    </row>
    <row r="828" spans="9:24" x14ac:dyDescent="0.25">
      <c r="I828" s="49"/>
      <c r="J828" s="49"/>
      <c r="K828" s="49"/>
      <c r="V828" s="83"/>
      <c r="W828" s="83"/>
      <c r="X828" s="83"/>
    </row>
    <row r="829" spans="9:24" x14ac:dyDescent="0.25">
      <c r="I829" s="49"/>
      <c r="J829" s="49"/>
      <c r="K829" s="49"/>
      <c r="V829" s="83"/>
      <c r="W829" s="83"/>
      <c r="X829" s="83"/>
    </row>
    <row r="830" spans="9:24" x14ac:dyDescent="0.25">
      <c r="I830" s="49"/>
      <c r="J830" s="49"/>
      <c r="K830" s="49"/>
      <c r="V830" s="83"/>
      <c r="W830" s="83"/>
      <c r="X830" s="83"/>
    </row>
    <row r="831" spans="9:24" x14ac:dyDescent="0.25">
      <c r="I831" s="49"/>
      <c r="J831" s="49"/>
      <c r="K831" s="49"/>
      <c r="V831" s="83"/>
      <c r="W831" s="83"/>
      <c r="X831" s="83"/>
    </row>
    <row r="832" spans="9:24" x14ac:dyDescent="0.25">
      <c r="I832" s="49"/>
      <c r="J832" s="49"/>
      <c r="K832" s="49"/>
      <c r="V832" s="83"/>
      <c r="W832" s="83"/>
      <c r="X832" s="83"/>
    </row>
    <row r="833" spans="9:24" x14ac:dyDescent="0.25">
      <c r="I833" s="49"/>
      <c r="J833" s="49"/>
      <c r="K833" s="49"/>
      <c r="V833" s="83"/>
      <c r="W833" s="83"/>
      <c r="X833" s="83"/>
    </row>
    <row r="834" spans="9:24" x14ac:dyDescent="0.25">
      <c r="I834" s="49"/>
      <c r="J834" s="49"/>
      <c r="K834" s="49"/>
      <c r="V834" s="83"/>
      <c r="W834" s="83"/>
      <c r="X834" s="83"/>
    </row>
    <row r="835" spans="9:24" x14ac:dyDescent="0.25">
      <c r="I835" s="49"/>
      <c r="J835" s="49"/>
      <c r="K835" s="49"/>
      <c r="V835" s="83"/>
      <c r="W835" s="83"/>
      <c r="X835" s="83"/>
    </row>
    <row r="836" spans="9:24" x14ac:dyDescent="0.25">
      <c r="I836" s="49"/>
      <c r="J836" s="49"/>
      <c r="K836" s="49"/>
      <c r="V836" s="83"/>
      <c r="W836" s="83"/>
      <c r="X836" s="83"/>
    </row>
    <row r="837" spans="9:24" x14ac:dyDescent="0.25">
      <c r="I837" s="49"/>
      <c r="J837" s="49"/>
      <c r="K837" s="49"/>
      <c r="V837" s="83"/>
      <c r="W837" s="83"/>
      <c r="X837" s="83"/>
    </row>
    <row r="838" spans="9:24" x14ac:dyDescent="0.25">
      <c r="I838" s="49"/>
      <c r="J838" s="49"/>
      <c r="K838" s="49"/>
      <c r="V838" s="83"/>
      <c r="W838" s="83"/>
      <c r="X838" s="83"/>
    </row>
    <row r="839" spans="9:24" x14ac:dyDescent="0.25">
      <c r="I839" s="49"/>
      <c r="J839" s="49"/>
      <c r="K839" s="49"/>
      <c r="V839" s="83"/>
      <c r="W839" s="83"/>
      <c r="X839" s="83"/>
    </row>
    <row r="840" spans="9:24" x14ac:dyDescent="0.25">
      <c r="I840" s="49"/>
      <c r="J840" s="49"/>
      <c r="K840" s="49"/>
      <c r="V840" s="83"/>
      <c r="W840" s="83"/>
      <c r="X840" s="83"/>
    </row>
    <row r="841" spans="9:24" x14ac:dyDescent="0.25">
      <c r="I841" s="49"/>
      <c r="J841" s="49"/>
      <c r="K841" s="49"/>
      <c r="V841" s="83"/>
      <c r="W841" s="83"/>
      <c r="X841" s="83"/>
    </row>
    <row r="842" spans="9:24" x14ac:dyDescent="0.25">
      <c r="I842" s="49"/>
      <c r="J842" s="49"/>
      <c r="K842" s="49"/>
      <c r="V842" s="83"/>
      <c r="W842" s="83"/>
      <c r="X842" s="83"/>
    </row>
    <row r="843" spans="9:24" x14ac:dyDescent="0.25">
      <c r="I843" s="49"/>
      <c r="J843" s="49"/>
      <c r="K843" s="49"/>
      <c r="V843" s="83"/>
      <c r="W843" s="83"/>
      <c r="X843" s="83"/>
    </row>
    <row r="844" spans="9:24" x14ac:dyDescent="0.25">
      <c r="I844" s="49"/>
      <c r="J844" s="49"/>
      <c r="K844" s="49"/>
      <c r="V844" s="83"/>
      <c r="W844" s="83"/>
      <c r="X844" s="83"/>
    </row>
    <row r="845" spans="9:24" x14ac:dyDescent="0.25">
      <c r="I845" s="49"/>
      <c r="J845" s="49"/>
      <c r="K845" s="49"/>
      <c r="V845" s="83"/>
      <c r="W845" s="83"/>
      <c r="X845" s="83"/>
    </row>
    <row r="846" spans="9:24" x14ac:dyDescent="0.25">
      <c r="I846" s="49"/>
      <c r="J846" s="49"/>
      <c r="K846" s="49"/>
      <c r="V846" s="83"/>
      <c r="W846" s="83"/>
      <c r="X846" s="83"/>
    </row>
    <row r="847" spans="9:24" x14ac:dyDescent="0.25">
      <c r="I847" s="49"/>
      <c r="J847" s="49"/>
      <c r="K847" s="49"/>
      <c r="V847" s="83"/>
      <c r="W847" s="83"/>
      <c r="X847" s="83"/>
    </row>
    <row r="848" spans="9:24" x14ac:dyDescent="0.25">
      <c r="I848" s="49"/>
      <c r="J848" s="49"/>
      <c r="K848" s="49"/>
      <c r="V848" s="83"/>
      <c r="W848" s="83"/>
      <c r="X848" s="83"/>
    </row>
    <row r="849" spans="9:24" x14ac:dyDescent="0.25">
      <c r="I849" s="49"/>
      <c r="J849" s="49"/>
      <c r="K849" s="49"/>
      <c r="V849" s="83"/>
      <c r="W849" s="83"/>
      <c r="X849" s="83"/>
    </row>
    <row r="850" spans="9:24" x14ac:dyDescent="0.25">
      <c r="I850" s="49"/>
      <c r="J850" s="49"/>
      <c r="K850" s="49"/>
      <c r="V850" s="83"/>
      <c r="W850" s="83"/>
      <c r="X850" s="83"/>
    </row>
    <row r="851" spans="9:24" x14ac:dyDescent="0.25">
      <c r="I851" s="49"/>
      <c r="J851" s="49"/>
      <c r="K851" s="49"/>
      <c r="V851" s="83"/>
      <c r="W851" s="83"/>
      <c r="X851" s="83"/>
    </row>
    <row r="852" spans="9:24" x14ac:dyDescent="0.25">
      <c r="I852" s="49"/>
      <c r="J852" s="49"/>
      <c r="K852" s="49"/>
      <c r="V852" s="83"/>
      <c r="W852" s="83"/>
      <c r="X852" s="83"/>
    </row>
    <row r="853" spans="9:24" x14ac:dyDescent="0.25">
      <c r="I853" s="49"/>
      <c r="J853" s="49"/>
      <c r="K853" s="49"/>
      <c r="V853" s="83"/>
      <c r="W853" s="83"/>
      <c r="X853" s="83"/>
    </row>
    <row r="854" spans="9:24" x14ac:dyDescent="0.25">
      <c r="I854" s="49"/>
      <c r="J854" s="49"/>
      <c r="K854" s="49"/>
      <c r="V854" s="83"/>
      <c r="W854" s="83"/>
      <c r="X854" s="83"/>
    </row>
    <row r="855" spans="9:24" x14ac:dyDescent="0.25">
      <c r="I855" s="49"/>
      <c r="J855" s="49"/>
      <c r="K855" s="49"/>
      <c r="V855" s="83"/>
      <c r="W855" s="83"/>
      <c r="X855" s="83"/>
    </row>
    <row r="856" spans="9:24" x14ac:dyDescent="0.25">
      <c r="I856" s="49"/>
      <c r="J856" s="49"/>
      <c r="K856" s="49"/>
      <c r="V856" s="83"/>
      <c r="W856" s="83"/>
      <c r="X856" s="83"/>
    </row>
    <row r="857" spans="9:24" x14ac:dyDescent="0.25">
      <c r="I857" s="49"/>
      <c r="J857" s="49"/>
      <c r="K857" s="49"/>
      <c r="V857" s="83"/>
      <c r="W857" s="83"/>
      <c r="X857" s="83"/>
    </row>
    <row r="858" spans="9:24" x14ac:dyDescent="0.25">
      <c r="I858" s="49"/>
      <c r="J858" s="49"/>
      <c r="K858" s="49"/>
      <c r="V858" s="83"/>
      <c r="W858" s="83"/>
      <c r="X858" s="83"/>
    </row>
    <row r="859" spans="9:24" x14ac:dyDescent="0.25">
      <c r="I859" s="49"/>
      <c r="J859" s="49"/>
      <c r="K859" s="49"/>
      <c r="V859" s="83"/>
      <c r="W859" s="83"/>
      <c r="X859" s="83"/>
    </row>
    <row r="860" spans="9:24" x14ac:dyDescent="0.25">
      <c r="I860" s="49"/>
      <c r="J860" s="49"/>
      <c r="K860" s="49"/>
      <c r="V860" s="83"/>
      <c r="W860" s="83"/>
      <c r="X860" s="83"/>
    </row>
    <row r="861" spans="9:24" x14ac:dyDescent="0.25">
      <c r="I861" s="49"/>
      <c r="J861" s="49"/>
      <c r="K861" s="49"/>
      <c r="V861" s="83"/>
      <c r="W861" s="83"/>
      <c r="X861" s="83"/>
    </row>
    <row r="862" spans="9:24" x14ac:dyDescent="0.25">
      <c r="I862" s="49"/>
      <c r="J862" s="49"/>
      <c r="K862" s="49"/>
      <c r="V862" s="83"/>
      <c r="W862" s="83"/>
      <c r="X862" s="83"/>
    </row>
    <row r="863" spans="9:24" x14ac:dyDescent="0.25">
      <c r="I863" s="49"/>
      <c r="J863" s="49"/>
      <c r="K863" s="49"/>
      <c r="V863" s="83"/>
      <c r="W863" s="83"/>
      <c r="X863" s="83"/>
    </row>
    <row r="864" spans="9:24" x14ac:dyDescent="0.25">
      <c r="I864" s="49"/>
      <c r="J864" s="49"/>
      <c r="K864" s="49"/>
      <c r="V864" s="83"/>
      <c r="W864" s="83"/>
      <c r="X864" s="83"/>
    </row>
    <row r="865" spans="9:24" x14ac:dyDescent="0.25">
      <c r="I865" s="49"/>
      <c r="J865" s="49"/>
      <c r="K865" s="49"/>
      <c r="V865" s="83"/>
      <c r="W865" s="83"/>
      <c r="X865" s="83"/>
    </row>
    <row r="866" spans="9:24" x14ac:dyDescent="0.25">
      <c r="I866" s="49"/>
      <c r="J866" s="49"/>
      <c r="K866" s="49"/>
      <c r="V866" s="83"/>
      <c r="W866" s="83"/>
      <c r="X866" s="83"/>
    </row>
    <row r="867" spans="9:24" x14ac:dyDescent="0.25">
      <c r="I867" s="49"/>
      <c r="J867" s="49"/>
      <c r="K867" s="49"/>
      <c r="V867" s="83"/>
      <c r="W867" s="83"/>
      <c r="X867" s="83"/>
    </row>
    <row r="868" spans="9:24" x14ac:dyDescent="0.25">
      <c r="I868" s="49"/>
      <c r="J868" s="49"/>
      <c r="K868" s="49"/>
      <c r="V868" s="83"/>
      <c r="W868" s="83"/>
      <c r="X868" s="83"/>
    </row>
    <row r="869" spans="9:24" x14ac:dyDescent="0.25">
      <c r="I869" s="49"/>
      <c r="J869" s="49"/>
      <c r="K869" s="49"/>
      <c r="V869" s="83"/>
      <c r="W869" s="83"/>
      <c r="X869" s="83"/>
    </row>
    <row r="870" spans="9:24" x14ac:dyDescent="0.25">
      <c r="I870" s="49"/>
      <c r="J870" s="49"/>
      <c r="K870" s="49"/>
      <c r="V870" s="83"/>
      <c r="W870" s="83"/>
      <c r="X870" s="83"/>
    </row>
    <row r="871" spans="9:24" x14ac:dyDescent="0.25">
      <c r="I871" s="49"/>
      <c r="J871" s="49"/>
      <c r="K871" s="49"/>
      <c r="V871" s="83"/>
      <c r="W871" s="83"/>
      <c r="X871" s="83"/>
    </row>
    <row r="872" spans="9:24" x14ac:dyDescent="0.25">
      <c r="I872" s="49"/>
      <c r="J872" s="49"/>
      <c r="K872" s="49"/>
      <c r="V872" s="83"/>
      <c r="W872" s="83"/>
      <c r="X872" s="83"/>
    </row>
    <row r="873" spans="9:24" x14ac:dyDescent="0.25">
      <c r="I873" s="49"/>
      <c r="J873" s="49"/>
      <c r="K873" s="49"/>
      <c r="V873" s="83"/>
      <c r="W873" s="83"/>
      <c r="X873" s="83"/>
    </row>
    <row r="874" spans="9:24" x14ac:dyDescent="0.25">
      <c r="I874" s="49"/>
      <c r="J874" s="49"/>
      <c r="K874" s="49"/>
      <c r="V874" s="83"/>
      <c r="W874" s="83"/>
      <c r="X874" s="83"/>
    </row>
    <row r="875" spans="9:24" x14ac:dyDescent="0.25">
      <c r="I875" s="49"/>
      <c r="J875" s="49"/>
      <c r="K875" s="49"/>
      <c r="V875" s="83"/>
      <c r="W875" s="83"/>
      <c r="X875" s="83"/>
    </row>
    <row r="876" spans="9:24" x14ac:dyDescent="0.25">
      <c r="I876" s="49"/>
      <c r="J876" s="49"/>
      <c r="K876" s="49"/>
      <c r="V876" s="83"/>
      <c r="W876" s="83"/>
      <c r="X876" s="83"/>
    </row>
    <row r="877" spans="9:24" x14ac:dyDescent="0.25">
      <c r="I877" s="49"/>
      <c r="J877" s="49"/>
      <c r="K877" s="49"/>
      <c r="V877" s="83"/>
      <c r="W877" s="83"/>
      <c r="X877" s="83"/>
    </row>
    <row r="878" spans="9:24" x14ac:dyDescent="0.25">
      <c r="I878" s="49"/>
      <c r="J878" s="49"/>
      <c r="K878" s="49"/>
      <c r="V878" s="83"/>
      <c r="W878" s="83"/>
      <c r="X878" s="83"/>
    </row>
    <row r="879" spans="9:24" x14ac:dyDescent="0.25">
      <c r="I879" s="49"/>
      <c r="J879" s="49"/>
      <c r="K879" s="49"/>
      <c r="V879" s="83"/>
      <c r="W879" s="83"/>
      <c r="X879" s="83"/>
    </row>
    <row r="880" spans="9:24" x14ac:dyDescent="0.25">
      <c r="I880" s="49"/>
      <c r="J880" s="49"/>
      <c r="K880" s="49"/>
      <c r="V880" s="83"/>
      <c r="W880" s="83"/>
      <c r="X880" s="83"/>
    </row>
    <row r="881" spans="9:24" x14ac:dyDescent="0.25">
      <c r="I881" s="49"/>
      <c r="J881" s="49"/>
      <c r="K881" s="49"/>
      <c r="V881" s="83"/>
      <c r="W881" s="83"/>
      <c r="X881" s="83"/>
    </row>
    <row r="882" spans="9:24" x14ac:dyDescent="0.25">
      <c r="I882" s="49"/>
      <c r="J882" s="49"/>
      <c r="K882" s="49"/>
      <c r="V882" s="83"/>
      <c r="W882" s="83"/>
      <c r="X882" s="83"/>
    </row>
    <row r="883" spans="9:24" x14ac:dyDescent="0.25">
      <c r="I883" s="49"/>
      <c r="J883" s="49"/>
      <c r="K883" s="49"/>
      <c r="V883" s="83"/>
      <c r="W883" s="83"/>
      <c r="X883" s="83"/>
    </row>
    <row r="884" spans="9:24" x14ac:dyDescent="0.25">
      <c r="I884" s="49"/>
      <c r="J884" s="49"/>
      <c r="K884" s="49"/>
      <c r="V884" s="83"/>
      <c r="W884" s="83"/>
      <c r="X884" s="83"/>
    </row>
    <row r="885" spans="9:24" x14ac:dyDescent="0.25">
      <c r="I885" s="49"/>
      <c r="J885" s="49"/>
      <c r="K885" s="49"/>
      <c r="V885" s="83"/>
      <c r="W885" s="83"/>
      <c r="X885" s="83"/>
    </row>
    <row r="886" spans="9:24" x14ac:dyDescent="0.25">
      <c r="I886" s="49"/>
      <c r="J886" s="49"/>
      <c r="K886" s="49"/>
      <c r="V886" s="83"/>
      <c r="W886" s="83"/>
      <c r="X886" s="83"/>
    </row>
    <row r="887" spans="9:24" x14ac:dyDescent="0.25">
      <c r="I887" s="49"/>
      <c r="J887" s="49"/>
      <c r="K887" s="49"/>
      <c r="V887" s="83"/>
      <c r="W887" s="83"/>
      <c r="X887" s="83"/>
    </row>
    <row r="888" spans="9:24" x14ac:dyDescent="0.25">
      <c r="I888" s="49"/>
      <c r="J888" s="49"/>
      <c r="K888" s="49"/>
      <c r="V888" s="83"/>
      <c r="W888" s="83"/>
      <c r="X888" s="83"/>
    </row>
    <row r="889" spans="9:24" x14ac:dyDescent="0.25">
      <c r="I889" s="49"/>
      <c r="J889" s="49"/>
      <c r="K889" s="49"/>
      <c r="V889" s="83"/>
      <c r="W889" s="83"/>
      <c r="X889" s="83"/>
    </row>
    <row r="890" spans="9:24" x14ac:dyDescent="0.25">
      <c r="I890" s="49"/>
      <c r="J890" s="49"/>
      <c r="K890" s="49"/>
      <c r="V890" s="83"/>
      <c r="W890" s="83"/>
      <c r="X890" s="83"/>
    </row>
    <row r="891" spans="9:24" x14ac:dyDescent="0.25">
      <c r="I891" s="49"/>
      <c r="J891" s="49"/>
      <c r="K891" s="49"/>
      <c r="V891" s="83"/>
      <c r="W891" s="83"/>
      <c r="X891" s="83"/>
    </row>
    <row r="892" spans="9:24" x14ac:dyDescent="0.25">
      <c r="I892" s="49"/>
      <c r="J892" s="49"/>
      <c r="K892" s="49"/>
      <c r="V892" s="83"/>
      <c r="W892" s="83"/>
      <c r="X892" s="83"/>
    </row>
    <row r="893" spans="9:24" x14ac:dyDescent="0.25">
      <c r="I893" s="49"/>
      <c r="J893" s="49"/>
      <c r="K893" s="49"/>
      <c r="V893" s="83"/>
      <c r="W893" s="83"/>
      <c r="X893" s="83"/>
    </row>
    <row r="894" spans="9:24" x14ac:dyDescent="0.25">
      <c r="I894" s="49"/>
      <c r="J894" s="49"/>
      <c r="K894" s="49"/>
      <c r="V894" s="83"/>
      <c r="W894" s="83"/>
      <c r="X894" s="83"/>
    </row>
    <row r="895" spans="9:24" x14ac:dyDescent="0.25">
      <c r="I895" s="49"/>
      <c r="J895" s="49"/>
      <c r="K895" s="49"/>
      <c r="V895" s="83"/>
      <c r="W895" s="83"/>
      <c r="X895" s="83"/>
    </row>
    <row r="896" spans="9:24" x14ac:dyDescent="0.25">
      <c r="I896" s="49"/>
      <c r="J896" s="49"/>
      <c r="K896" s="49"/>
      <c r="V896" s="83"/>
      <c r="W896" s="83"/>
      <c r="X896" s="83"/>
    </row>
    <row r="897" spans="9:24" x14ac:dyDescent="0.25">
      <c r="I897" s="49"/>
      <c r="J897" s="49"/>
      <c r="K897" s="49"/>
      <c r="V897" s="83"/>
      <c r="W897" s="83"/>
      <c r="X897" s="83"/>
    </row>
    <row r="898" spans="9:24" x14ac:dyDescent="0.25">
      <c r="I898" s="49"/>
      <c r="J898" s="49"/>
      <c r="K898" s="49"/>
      <c r="V898" s="83"/>
      <c r="W898" s="83"/>
      <c r="X898" s="83"/>
    </row>
    <row r="899" spans="9:24" x14ac:dyDescent="0.25">
      <c r="I899" s="49"/>
      <c r="J899" s="49"/>
      <c r="K899" s="49"/>
      <c r="V899" s="83"/>
      <c r="W899" s="83"/>
      <c r="X899" s="83"/>
    </row>
    <row r="900" spans="9:24" x14ac:dyDescent="0.25">
      <c r="I900" s="49"/>
      <c r="J900" s="49"/>
      <c r="K900" s="49"/>
      <c r="V900" s="83"/>
      <c r="W900" s="83"/>
      <c r="X900" s="83"/>
    </row>
    <row r="901" spans="9:24" x14ac:dyDescent="0.25">
      <c r="I901" s="49"/>
      <c r="J901" s="49"/>
      <c r="K901" s="49"/>
      <c r="V901" s="83"/>
      <c r="W901" s="83"/>
      <c r="X901" s="83"/>
    </row>
    <row r="902" spans="9:24" x14ac:dyDescent="0.25">
      <c r="I902" s="49"/>
      <c r="J902" s="49"/>
      <c r="K902" s="49"/>
      <c r="V902" s="83"/>
      <c r="W902" s="83"/>
      <c r="X902" s="83"/>
    </row>
    <row r="903" spans="9:24" x14ac:dyDescent="0.25">
      <c r="I903" s="49"/>
      <c r="J903" s="49"/>
      <c r="K903" s="49"/>
      <c r="V903" s="83"/>
      <c r="W903" s="83"/>
      <c r="X903" s="83"/>
    </row>
    <row r="904" spans="9:24" x14ac:dyDescent="0.25">
      <c r="I904" s="49"/>
      <c r="J904" s="49"/>
      <c r="K904" s="49"/>
      <c r="V904" s="83"/>
      <c r="W904" s="83"/>
      <c r="X904" s="83"/>
    </row>
    <row r="905" spans="9:24" x14ac:dyDescent="0.25">
      <c r="I905" s="49"/>
      <c r="J905" s="49"/>
      <c r="K905" s="49"/>
      <c r="V905" s="83"/>
      <c r="W905" s="83"/>
      <c r="X905" s="83"/>
    </row>
    <row r="906" spans="9:24" x14ac:dyDescent="0.25">
      <c r="I906" s="49"/>
      <c r="J906" s="49"/>
      <c r="K906" s="49"/>
      <c r="V906" s="83"/>
      <c r="W906" s="83"/>
      <c r="X906" s="83"/>
    </row>
    <row r="907" spans="9:24" x14ac:dyDescent="0.25">
      <c r="I907" s="49"/>
      <c r="J907" s="49"/>
      <c r="K907" s="49"/>
      <c r="V907" s="83"/>
      <c r="W907" s="83"/>
      <c r="X907" s="83"/>
    </row>
    <row r="908" spans="9:24" x14ac:dyDescent="0.25">
      <c r="I908" s="49"/>
      <c r="J908" s="49"/>
      <c r="K908" s="49"/>
      <c r="V908" s="83"/>
      <c r="W908" s="83"/>
      <c r="X908" s="83"/>
    </row>
    <row r="909" spans="9:24" x14ac:dyDescent="0.25">
      <c r="I909" s="49"/>
      <c r="J909" s="49"/>
      <c r="K909" s="49"/>
      <c r="V909" s="83"/>
      <c r="W909" s="83"/>
      <c r="X909" s="83"/>
    </row>
    <row r="910" spans="9:24" x14ac:dyDescent="0.25">
      <c r="I910" s="49"/>
      <c r="J910" s="49"/>
      <c r="K910" s="49"/>
      <c r="V910" s="83"/>
      <c r="W910" s="83"/>
      <c r="X910" s="83"/>
    </row>
    <row r="911" spans="9:24" x14ac:dyDescent="0.25">
      <c r="I911" s="49"/>
      <c r="J911" s="49"/>
      <c r="K911" s="49"/>
      <c r="V911" s="83"/>
      <c r="W911" s="83"/>
      <c r="X911" s="83"/>
    </row>
    <row r="912" spans="9:24" x14ac:dyDescent="0.25">
      <c r="I912" s="49"/>
      <c r="J912" s="49"/>
      <c r="K912" s="49"/>
      <c r="V912" s="83"/>
      <c r="W912" s="83"/>
      <c r="X912" s="83"/>
    </row>
    <row r="913" spans="9:24" x14ac:dyDescent="0.25">
      <c r="I913" s="49"/>
      <c r="J913" s="49"/>
      <c r="K913" s="49"/>
      <c r="V913" s="83"/>
      <c r="W913" s="83"/>
      <c r="X913" s="83"/>
    </row>
    <row r="914" spans="9:24" x14ac:dyDescent="0.25">
      <c r="I914" s="49"/>
      <c r="J914" s="49"/>
      <c r="K914" s="49"/>
      <c r="V914" s="83"/>
      <c r="W914" s="83"/>
      <c r="X914" s="83"/>
    </row>
    <row r="915" spans="9:24" x14ac:dyDescent="0.25">
      <c r="I915" s="49"/>
      <c r="J915" s="49"/>
      <c r="K915" s="49"/>
      <c r="V915" s="83"/>
      <c r="W915" s="83"/>
      <c r="X915" s="83"/>
    </row>
    <row r="916" spans="9:24" x14ac:dyDescent="0.25">
      <c r="I916" s="49"/>
      <c r="J916" s="49"/>
      <c r="K916" s="49"/>
      <c r="V916" s="83"/>
      <c r="W916" s="83"/>
      <c r="X916" s="83"/>
    </row>
    <row r="917" spans="9:24" x14ac:dyDescent="0.25">
      <c r="I917" s="49"/>
      <c r="J917" s="49"/>
      <c r="K917" s="49"/>
      <c r="V917" s="83"/>
      <c r="W917" s="83"/>
      <c r="X917" s="83"/>
    </row>
    <row r="918" spans="9:24" x14ac:dyDescent="0.25">
      <c r="I918" s="49"/>
      <c r="J918" s="49"/>
      <c r="K918" s="49"/>
      <c r="V918" s="83"/>
      <c r="W918" s="83"/>
      <c r="X918" s="83"/>
    </row>
    <row r="919" spans="9:24" x14ac:dyDescent="0.25">
      <c r="I919" s="49"/>
      <c r="J919" s="49"/>
      <c r="K919" s="49"/>
      <c r="V919" s="83"/>
      <c r="W919" s="83"/>
      <c r="X919" s="83"/>
    </row>
    <row r="920" spans="9:24" x14ac:dyDescent="0.25">
      <c r="I920" s="49"/>
      <c r="J920" s="49"/>
      <c r="K920" s="49"/>
      <c r="V920" s="83"/>
      <c r="W920" s="83"/>
      <c r="X920" s="83"/>
    </row>
    <row r="921" spans="9:24" x14ac:dyDescent="0.25">
      <c r="I921" s="49"/>
      <c r="J921" s="49"/>
      <c r="K921" s="49"/>
      <c r="V921" s="83"/>
      <c r="W921" s="83"/>
      <c r="X921" s="83"/>
    </row>
    <row r="922" spans="9:24" x14ac:dyDescent="0.25">
      <c r="I922" s="49"/>
      <c r="J922" s="49"/>
      <c r="K922" s="49"/>
      <c r="V922" s="83"/>
      <c r="W922" s="83"/>
      <c r="X922" s="83"/>
    </row>
    <row r="923" spans="9:24" x14ac:dyDescent="0.25">
      <c r="I923" s="49"/>
      <c r="J923" s="49"/>
      <c r="K923" s="49"/>
      <c r="V923" s="83"/>
      <c r="W923" s="83"/>
      <c r="X923" s="83"/>
    </row>
    <row r="924" spans="9:24" x14ac:dyDescent="0.25">
      <c r="I924" s="49"/>
      <c r="J924" s="49"/>
      <c r="K924" s="49"/>
      <c r="V924" s="83"/>
      <c r="W924" s="83"/>
      <c r="X924" s="83"/>
    </row>
    <row r="925" spans="9:24" x14ac:dyDescent="0.25">
      <c r="I925" s="49"/>
      <c r="J925" s="49"/>
      <c r="K925" s="49"/>
      <c r="V925" s="83"/>
      <c r="W925" s="83"/>
      <c r="X925" s="83"/>
    </row>
    <row r="926" spans="9:24" x14ac:dyDescent="0.25">
      <c r="I926" s="49"/>
      <c r="J926" s="49"/>
      <c r="K926" s="49"/>
      <c r="V926" s="83"/>
      <c r="W926" s="83"/>
      <c r="X926" s="83"/>
    </row>
    <row r="927" spans="9:24" x14ac:dyDescent="0.25">
      <c r="I927" s="49"/>
      <c r="J927" s="49"/>
      <c r="K927" s="49"/>
      <c r="V927" s="83"/>
      <c r="W927" s="83"/>
      <c r="X927" s="83"/>
    </row>
    <row r="928" spans="9:24" x14ac:dyDescent="0.25">
      <c r="I928" s="49"/>
      <c r="J928" s="49"/>
      <c r="K928" s="49"/>
      <c r="V928" s="83"/>
      <c r="W928" s="83"/>
      <c r="X928" s="83"/>
    </row>
    <row r="929" spans="9:24" x14ac:dyDescent="0.25">
      <c r="I929" s="49"/>
      <c r="J929" s="49"/>
      <c r="K929" s="49"/>
      <c r="V929" s="83"/>
      <c r="W929" s="83"/>
      <c r="X929" s="83"/>
    </row>
    <row r="930" spans="9:24" x14ac:dyDescent="0.25">
      <c r="I930" s="49"/>
      <c r="J930" s="49"/>
      <c r="K930" s="49"/>
      <c r="V930" s="83"/>
      <c r="W930" s="83"/>
      <c r="X930" s="83"/>
    </row>
    <row r="931" spans="9:24" x14ac:dyDescent="0.25">
      <c r="I931" s="49"/>
      <c r="J931" s="49"/>
      <c r="K931" s="49"/>
      <c r="V931" s="83"/>
      <c r="W931" s="83"/>
      <c r="X931" s="83"/>
    </row>
    <row r="932" spans="9:24" x14ac:dyDescent="0.25">
      <c r="I932" s="49"/>
      <c r="J932" s="49"/>
      <c r="K932" s="49"/>
      <c r="V932" s="83"/>
      <c r="W932" s="83"/>
      <c r="X932" s="83"/>
    </row>
    <row r="933" spans="9:24" x14ac:dyDescent="0.25">
      <c r="I933" s="49"/>
      <c r="J933" s="49"/>
      <c r="K933" s="49"/>
      <c r="V933" s="83"/>
      <c r="W933" s="83"/>
      <c r="X933" s="83"/>
    </row>
    <row r="934" spans="9:24" x14ac:dyDescent="0.25">
      <c r="I934" s="49"/>
      <c r="J934" s="49"/>
      <c r="K934" s="49"/>
      <c r="V934" s="83"/>
      <c r="W934" s="83"/>
      <c r="X934" s="83"/>
    </row>
    <row r="935" spans="9:24" x14ac:dyDescent="0.25">
      <c r="I935" s="49"/>
      <c r="J935" s="49"/>
      <c r="K935" s="49"/>
      <c r="V935" s="83"/>
      <c r="W935" s="83"/>
      <c r="X935" s="83"/>
    </row>
    <row r="936" spans="9:24" x14ac:dyDescent="0.25">
      <c r="I936" s="49"/>
      <c r="J936" s="49"/>
      <c r="K936" s="49"/>
      <c r="V936" s="83"/>
      <c r="W936" s="83"/>
      <c r="X936" s="83"/>
    </row>
    <row r="937" spans="9:24" x14ac:dyDescent="0.25">
      <c r="I937" s="49"/>
      <c r="J937" s="49"/>
      <c r="K937" s="49"/>
      <c r="V937" s="83"/>
      <c r="W937" s="83"/>
      <c r="X937" s="83"/>
    </row>
    <row r="938" spans="9:24" x14ac:dyDescent="0.25">
      <c r="I938" s="49"/>
      <c r="J938" s="49"/>
      <c r="K938" s="49"/>
      <c r="V938" s="83"/>
      <c r="W938" s="83"/>
      <c r="X938" s="83"/>
    </row>
    <row r="939" spans="9:24" x14ac:dyDescent="0.25">
      <c r="I939" s="49"/>
      <c r="J939" s="49"/>
      <c r="K939" s="49"/>
      <c r="V939" s="83"/>
      <c r="W939" s="83"/>
      <c r="X939" s="83"/>
    </row>
    <row r="940" spans="9:24" x14ac:dyDescent="0.25">
      <c r="I940" s="49"/>
      <c r="J940" s="49"/>
      <c r="K940" s="49"/>
      <c r="V940" s="83"/>
      <c r="W940" s="83"/>
      <c r="X940" s="83"/>
    </row>
    <row r="941" spans="9:24" x14ac:dyDescent="0.25">
      <c r="I941" s="49"/>
      <c r="J941" s="49"/>
      <c r="K941" s="49"/>
      <c r="V941" s="83"/>
      <c r="W941" s="83"/>
      <c r="X941" s="83"/>
    </row>
    <row r="942" spans="9:24" x14ac:dyDescent="0.25">
      <c r="I942" s="49"/>
      <c r="J942" s="49"/>
      <c r="K942" s="49"/>
      <c r="V942" s="83"/>
      <c r="W942" s="83"/>
      <c r="X942" s="83"/>
    </row>
    <row r="943" spans="9:24" x14ac:dyDescent="0.25">
      <c r="I943" s="49"/>
      <c r="J943" s="49"/>
      <c r="K943" s="49"/>
      <c r="V943" s="83"/>
      <c r="W943" s="83"/>
      <c r="X943" s="83"/>
    </row>
    <row r="944" spans="9:24" x14ac:dyDescent="0.25">
      <c r="I944" s="49"/>
      <c r="J944" s="49"/>
      <c r="K944" s="49"/>
      <c r="V944" s="83"/>
      <c r="W944" s="83"/>
      <c r="X944" s="83"/>
    </row>
    <row r="945" spans="9:24" x14ac:dyDescent="0.25">
      <c r="I945" s="49"/>
      <c r="J945" s="49"/>
      <c r="K945" s="49"/>
      <c r="V945" s="83"/>
      <c r="W945" s="83"/>
      <c r="X945" s="83"/>
    </row>
    <row r="946" spans="9:24" x14ac:dyDescent="0.25">
      <c r="I946" s="49"/>
      <c r="J946" s="49"/>
      <c r="K946" s="49"/>
      <c r="V946" s="83"/>
      <c r="W946" s="83"/>
      <c r="X946" s="83"/>
    </row>
    <row r="947" spans="9:24" x14ac:dyDescent="0.25">
      <c r="I947" s="49"/>
      <c r="J947" s="49"/>
      <c r="K947" s="49"/>
      <c r="V947" s="83"/>
      <c r="W947" s="83"/>
      <c r="X947" s="83"/>
    </row>
    <row r="948" spans="9:24" x14ac:dyDescent="0.25">
      <c r="I948" s="49"/>
      <c r="J948" s="49"/>
      <c r="K948" s="49"/>
      <c r="V948" s="83"/>
      <c r="W948" s="83"/>
      <c r="X948" s="83"/>
    </row>
    <row r="949" spans="9:24" x14ac:dyDescent="0.25">
      <c r="I949" s="49"/>
      <c r="J949" s="49"/>
      <c r="K949" s="49"/>
      <c r="V949" s="83"/>
      <c r="W949" s="83"/>
      <c r="X949" s="83"/>
    </row>
    <row r="950" spans="9:24" x14ac:dyDescent="0.25">
      <c r="I950" s="49"/>
      <c r="J950" s="49"/>
      <c r="K950" s="49"/>
      <c r="V950" s="83"/>
      <c r="W950" s="83"/>
      <c r="X950" s="83"/>
    </row>
    <row r="951" spans="9:24" x14ac:dyDescent="0.25">
      <c r="I951" s="49"/>
      <c r="J951" s="49"/>
      <c r="K951" s="49"/>
      <c r="V951" s="83"/>
      <c r="W951" s="83"/>
      <c r="X951" s="83"/>
    </row>
    <row r="952" spans="9:24" x14ac:dyDescent="0.25">
      <c r="I952" s="49"/>
      <c r="J952" s="49"/>
      <c r="K952" s="49"/>
      <c r="V952" s="83"/>
      <c r="W952" s="83"/>
      <c r="X952" s="83"/>
    </row>
    <row r="953" spans="9:24" x14ac:dyDescent="0.25">
      <c r="I953" s="49"/>
      <c r="J953" s="49"/>
      <c r="K953" s="49"/>
      <c r="V953" s="83"/>
      <c r="W953" s="83"/>
      <c r="X953" s="83"/>
    </row>
    <row r="954" spans="9:24" x14ac:dyDescent="0.25">
      <c r="I954" s="49"/>
      <c r="J954" s="49"/>
      <c r="K954" s="49"/>
      <c r="V954" s="83"/>
      <c r="W954" s="83"/>
      <c r="X954" s="83"/>
    </row>
    <row r="955" spans="9:24" x14ac:dyDescent="0.25">
      <c r="I955" s="49"/>
      <c r="J955" s="49"/>
      <c r="K955" s="49"/>
      <c r="V955" s="83"/>
      <c r="W955" s="83"/>
      <c r="X955" s="83"/>
    </row>
    <row r="956" spans="9:24" x14ac:dyDescent="0.25">
      <c r="I956" s="49"/>
      <c r="J956" s="49"/>
      <c r="K956" s="49"/>
      <c r="V956" s="83"/>
      <c r="W956" s="83"/>
      <c r="X956" s="83"/>
    </row>
    <row r="957" spans="9:24" x14ac:dyDescent="0.25">
      <c r="I957" s="49"/>
      <c r="J957" s="49"/>
      <c r="K957" s="49"/>
      <c r="V957" s="83"/>
      <c r="W957" s="83"/>
      <c r="X957" s="83"/>
    </row>
    <row r="958" spans="9:24" x14ac:dyDescent="0.25">
      <c r="I958" s="49"/>
      <c r="J958" s="49"/>
      <c r="K958" s="49"/>
      <c r="V958" s="83"/>
      <c r="W958" s="83"/>
      <c r="X958" s="83"/>
    </row>
    <row r="959" spans="9:24" x14ac:dyDescent="0.25">
      <c r="I959" s="49"/>
      <c r="J959" s="49"/>
      <c r="K959" s="49"/>
      <c r="V959" s="83"/>
      <c r="W959" s="83"/>
      <c r="X959" s="83"/>
    </row>
    <row r="960" spans="9:24" x14ac:dyDescent="0.25">
      <c r="I960" s="49"/>
      <c r="J960" s="49"/>
      <c r="K960" s="49"/>
      <c r="V960" s="83"/>
      <c r="W960" s="83"/>
      <c r="X960" s="83"/>
    </row>
    <row r="961" spans="9:24" x14ac:dyDescent="0.25">
      <c r="I961" s="49"/>
      <c r="J961" s="49"/>
      <c r="K961" s="49"/>
      <c r="V961" s="83"/>
      <c r="W961" s="83"/>
      <c r="X961" s="83"/>
    </row>
    <row r="962" spans="9:24" x14ac:dyDescent="0.25">
      <c r="I962" s="49"/>
      <c r="J962" s="49"/>
      <c r="K962" s="49"/>
      <c r="V962" s="83"/>
      <c r="W962" s="83"/>
      <c r="X962" s="83"/>
    </row>
    <row r="963" spans="9:24" x14ac:dyDescent="0.25">
      <c r="I963" s="49"/>
      <c r="J963" s="49"/>
      <c r="K963" s="49"/>
      <c r="V963" s="83"/>
      <c r="W963" s="83"/>
      <c r="X963" s="83"/>
    </row>
    <row r="964" spans="9:24" x14ac:dyDescent="0.25">
      <c r="I964" s="49"/>
      <c r="J964" s="49"/>
      <c r="K964" s="49"/>
      <c r="V964" s="83"/>
      <c r="W964" s="83"/>
      <c r="X964" s="83"/>
    </row>
    <row r="965" spans="9:24" x14ac:dyDescent="0.25">
      <c r="I965" s="49"/>
      <c r="J965" s="49"/>
      <c r="K965" s="49"/>
      <c r="V965" s="83"/>
      <c r="W965" s="83"/>
      <c r="X965" s="83"/>
    </row>
    <row r="966" spans="9:24" x14ac:dyDescent="0.25">
      <c r="I966" s="49"/>
      <c r="J966" s="49"/>
      <c r="K966" s="49"/>
      <c r="V966" s="83"/>
      <c r="W966" s="83"/>
      <c r="X966" s="83"/>
    </row>
    <row r="967" spans="9:24" x14ac:dyDescent="0.25">
      <c r="I967" s="49"/>
      <c r="J967" s="49"/>
      <c r="K967" s="49"/>
      <c r="V967" s="83"/>
      <c r="W967" s="83"/>
      <c r="X967" s="83"/>
    </row>
    <row r="968" spans="9:24" x14ac:dyDescent="0.25">
      <c r="I968" s="49"/>
      <c r="J968" s="49"/>
      <c r="K968" s="49"/>
      <c r="V968" s="83"/>
      <c r="W968" s="83"/>
      <c r="X968" s="83"/>
    </row>
    <row r="969" spans="9:24" x14ac:dyDescent="0.25">
      <c r="I969" s="49"/>
      <c r="J969" s="49"/>
      <c r="K969" s="49"/>
      <c r="V969" s="83"/>
      <c r="W969" s="83"/>
      <c r="X969" s="83"/>
    </row>
    <row r="970" spans="9:24" x14ac:dyDescent="0.25">
      <c r="I970" s="49"/>
      <c r="J970" s="49"/>
      <c r="K970" s="49"/>
      <c r="V970" s="83"/>
      <c r="W970" s="83"/>
      <c r="X970" s="83"/>
    </row>
    <row r="971" spans="9:24" x14ac:dyDescent="0.25">
      <c r="I971" s="49"/>
      <c r="J971" s="49"/>
      <c r="K971" s="49"/>
      <c r="V971" s="83"/>
      <c r="W971" s="83"/>
      <c r="X971" s="83"/>
    </row>
    <row r="972" spans="9:24" x14ac:dyDescent="0.25">
      <c r="I972" s="49"/>
      <c r="J972" s="49"/>
      <c r="K972" s="49"/>
      <c r="V972" s="83"/>
      <c r="W972" s="83"/>
      <c r="X972" s="83"/>
    </row>
    <row r="973" spans="9:24" x14ac:dyDescent="0.25">
      <c r="I973" s="49"/>
      <c r="J973" s="49"/>
      <c r="K973" s="49"/>
      <c r="V973" s="83"/>
      <c r="W973" s="83"/>
      <c r="X973" s="83"/>
    </row>
    <row r="974" spans="9:24" x14ac:dyDescent="0.25">
      <c r="I974" s="49"/>
      <c r="J974" s="49"/>
      <c r="K974" s="49"/>
      <c r="V974" s="83"/>
      <c r="W974" s="83"/>
      <c r="X974" s="83"/>
    </row>
    <row r="975" spans="9:24" x14ac:dyDescent="0.25">
      <c r="I975" s="49"/>
      <c r="J975" s="49"/>
      <c r="K975" s="49"/>
      <c r="V975" s="83"/>
      <c r="W975" s="83"/>
      <c r="X975" s="83"/>
    </row>
    <row r="976" spans="9:24" x14ac:dyDescent="0.25">
      <c r="I976" s="49"/>
      <c r="J976" s="49"/>
      <c r="K976" s="49"/>
      <c r="V976" s="83"/>
      <c r="W976" s="83"/>
      <c r="X976" s="83"/>
    </row>
    <row r="977" spans="9:24" x14ac:dyDescent="0.25">
      <c r="I977" s="49"/>
      <c r="J977" s="49"/>
      <c r="K977" s="49"/>
      <c r="V977" s="83"/>
      <c r="W977" s="83"/>
      <c r="X977" s="83"/>
    </row>
    <row r="978" spans="9:24" x14ac:dyDescent="0.25">
      <c r="I978" s="49"/>
      <c r="J978" s="49"/>
      <c r="K978" s="49"/>
      <c r="V978" s="83"/>
      <c r="W978" s="83"/>
      <c r="X978" s="83"/>
    </row>
    <row r="979" spans="9:24" x14ac:dyDescent="0.25">
      <c r="I979" s="49"/>
      <c r="J979" s="49"/>
      <c r="K979" s="49"/>
      <c r="V979" s="83"/>
      <c r="W979" s="83"/>
      <c r="X979" s="83"/>
    </row>
    <row r="980" spans="9:24" x14ac:dyDescent="0.25">
      <c r="I980" s="49"/>
      <c r="J980" s="49"/>
      <c r="K980" s="49"/>
      <c r="V980" s="83"/>
      <c r="W980" s="83"/>
      <c r="X980" s="83"/>
    </row>
    <row r="981" spans="9:24" x14ac:dyDescent="0.25">
      <c r="I981" s="49"/>
      <c r="J981" s="49"/>
      <c r="K981" s="49"/>
      <c r="V981" s="83"/>
      <c r="W981" s="83"/>
      <c r="X981" s="83"/>
    </row>
    <row r="982" spans="9:24" x14ac:dyDescent="0.25">
      <c r="I982" s="49"/>
      <c r="J982" s="49"/>
      <c r="K982" s="49"/>
      <c r="V982" s="83"/>
      <c r="W982" s="83"/>
      <c r="X982" s="83"/>
    </row>
    <row r="983" spans="9:24" x14ac:dyDescent="0.25">
      <c r="I983" s="49"/>
      <c r="J983" s="49"/>
      <c r="K983" s="49"/>
      <c r="V983" s="83"/>
      <c r="W983" s="83"/>
      <c r="X983" s="83"/>
    </row>
    <row r="984" spans="9:24" x14ac:dyDescent="0.25">
      <c r="I984" s="49"/>
      <c r="J984" s="49"/>
      <c r="K984" s="49"/>
      <c r="V984" s="83"/>
      <c r="W984" s="83"/>
      <c r="X984" s="83"/>
    </row>
    <row r="985" spans="9:24" x14ac:dyDescent="0.25">
      <c r="I985" s="49"/>
      <c r="J985" s="49"/>
      <c r="K985" s="49"/>
      <c r="V985" s="83"/>
      <c r="W985" s="83"/>
      <c r="X985" s="83"/>
    </row>
    <row r="986" spans="9:24" x14ac:dyDescent="0.25">
      <c r="I986" s="49"/>
      <c r="J986" s="49"/>
      <c r="K986" s="49"/>
      <c r="V986" s="83"/>
      <c r="W986" s="83"/>
      <c r="X986" s="83"/>
    </row>
    <row r="987" spans="9:24" x14ac:dyDescent="0.25">
      <c r="I987" s="49"/>
      <c r="J987" s="49"/>
      <c r="K987" s="49"/>
      <c r="V987" s="83"/>
      <c r="W987" s="83"/>
      <c r="X987" s="83"/>
    </row>
    <row r="988" spans="9:24" x14ac:dyDescent="0.25">
      <c r="I988" s="49"/>
      <c r="J988" s="49"/>
      <c r="K988" s="49"/>
      <c r="V988" s="83"/>
      <c r="W988" s="83"/>
      <c r="X988" s="83"/>
    </row>
    <row r="989" spans="9:24" x14ac:dyDescent="0.25">
      <c r="I989" s="49"/>
      <c r="J989" s="49"/>
      <c r="K989" s="49"/>
      <c r="V989" s="83"/>
      <c r="W989" s="83"/>
      <c r="X989" s="83"/>
    </row>
    <row r="990" spans="9:24" x14ac:dyDescent="0.25">
      <c r="I990" s="49"/>
      <c r="J990" s="49"/>
      <c r="K990" s="49"/>
      <c r="V990" s="83"/>
      <c r="W990" s="83"/>
      <c r="X990" s="83"/>
    </row>
    <row r="991" spans="9:24" x14ac:dyDescent="0.25">
      <c r="I991" s="49"/>
      <c r="J991" s="49"/>
      <c r="K991" s="49"/>
      <c r="V991" s="83"/>
      <c r="W991" s="83"/>
      <c r="X991" s="83"/>
    </row>
    <row r="992" spans="9:24" x14ac:dyDescent="0.25">
      <c r="I992" s="49"/>
      <c r="J992" s="49"/>
      <c r="K992" s="49"/>
      <c r="V992" s="83"/>
      <c r="W992" s="83"/>
      <c r="X992" s="83"/>
    </row>
    <row r="993" spans="9:24" x14ac:dyDescent="0.25">
      <c r="I993" s="49"/>
      <c r="J993" s="49"/>
      <c r="K993" s="49"/>
      <c r="V993" s="83"/>
      <c r="W993" s="83"/>
      <c r="X993" s="83"/>
    </row>
    <row r="994" spans="9:24" x14ac:dyDescent="0.25">
      <c r="I994" s="49"/>
      <c r="J994" s="49"/>
      <c r="K994" s="49"/>
      <c r="V994" s="83"/>
      <c r="W994" s="83"/>
      <c r="X994" s="83"/>
    </row>
    <row r="995" spans="9:24" x14ac:dyDescent="0.25">
      <c r="I995" s="49"/>
      <c r="J995" s="49"/>
      <c r="K995" s="49"/>
      <c r="V995" s="83"/>
      <c r="W995" s="83"/>
      <c r="X995" s="83"/>
    </row>
    <row r="996" spans="9:24" x14ac:dyDescent="0.25">
      <c r="I996" s="49"/>
      <c r="J996" s="49"/>
      <c r="K996" s="49"/>
      <c r="V996" s="83"/>
      <c r="W996" s="83"/>
      <c r="X996" s="83"/>
    </row>
    <row r="997" spans="9:24" x14ac:dyDescent="0.25">
      <c r="I997" s="49"/>
      <c r="J997" s="49"/>
      <c r="K997" s="49"/>
      <c r="V997" s="83"/>
      <c r="W997" s="83"/>
      <c r="X997" s="83"/>
    </row>
    <row r="998" spans="9:24" x14ac:dyDescent="0.25">
      <c r="I998" s="49"/>
      <c r="J998" s="49"/>
      <c r="K998" s="49"/>
      <c r="V998" s="83"/>
      <c r="W998" s="83"/>
      <c r="X998" s="83"/>
    </row>
    <row r="999" spans="9:24" x14ac:dyDescent="0.25">
      <c r="I999" s="49"/>
      <c r="J999" s="49"/>
      <c r="K999" s="49"/>
      <c r="V999" s="83"/>
      <c r="W999" s="83"/>
      <c r="X999" s="83"/>
    </row>
    <row r="1000" spans="9:24" x14ac:dyDescent="0.25">
      <c r="I1000" s="49"/>
      <c r="J1000" s="49"/>
      <c r="K1000" s="49"/>
      <c r="V1000" s="83"/>
      <c r="W1000" s="83"/>
      <c r="X1000" s="83"/>
    </row>
    <row r="1001" spans="9:24" x14ac:dyDescent="0.25">
      <c r="I1001" s="49"/>
      <c r="J1001" s="49"/>
      <c r="K1001" s="49"/>
      <c r="V1001" s="83"/>
      <c r="W1001" s="83"/>
      <c r="X1001" s="83"/>
    </row>
    <row r="1002" spans="9:24" x14ac:dyDescent="0.25">
      <c r="I1002" s="49"/>
      <c r="J1002" s="49"/>
      <c r="K1002" s="49"/>
      <c r="V1002" s="83"/>
      <c r="W1002" s="83"/>
      <c r="X1002" s="83"/>
    </row>
    <row r="1003" spans="9:24" x14ac:dyDescent="0.25">
      <c r="I1003" s="49"/>
      <c r="J1003" s="49"/>
      <c r="K1003" s="49"/>
      <c r="V1003" s="83"/>
      <c r="W1003" s="83"/>
      <c r="X1003" s="83"/>
    </row>
    <row r="1004" spans="9:24" x14ac:dyDescent="0.25">
      <c r="I1004" s="49"/>
      <c r="J1004" s="49"/>
      <c r="K1004" s="49"/>
      <c r="V1004" s="83"/>
      <c r="W1004" s="83"/>
      <c r="X1004" s="83"/>
    </row>
    <row r="1005" spans="9:24" x14ac:dyDescent="0.25">
      <c r="I1005" s="49"/>
      <c r="J1005" s="49"/>
      <c r="K1005" s="49"/>
      <c r="V1005" s="83"/>
      <c r="W1005" s="83"/>
      <c r="X1005" s="83"/>
    </row>
    <row r="1006" spans="9:24" x14ac:dyDescent="0.25">
      <c r="I1006" s="49"/>
      <c r="J1006" s="49"/>
      <c r="K1006" s="49"/>
      <c r="V1006" s="83"/>
      <c r="W1006" s="83"/>
      <c r="X1006" s="83"/>
    </row>
    <row r="1007" spans="9:24" x14ac:dyDescent="0.25">
      <c r="I1007" s="49"/>
      <c r="J1007" s="49"/>
      <c r="K1007" s="49"/>
      <c r="V1007" s="83"/>
      <c r="W1007" s="83"/>
      <c r="X1007" s="83"/>
    </row>
    <row r="1008" spans="9:24" x14ac:dyDescent="0.25">
      <c r="I1008" s="49"/>
      <c r="J1008" s="49"/>
      <c r="K1008" s="49"/>
      <c r="V1008" s="83"/>
      <c r="W1008" s="83"/>
      <c r="X1008" s="83"/>
    </row>
    <row r="1009" spans="9:24" x14ac:dyDescent="0.25">
      <c r="I1009" s="49"/>
      <c r="J1009" s="49"/>
      <c r="K1009" s="49"/>
      <c r="V1009" s="83"/>
      <c r="W1009" s="83"/>
      <c r="X1009" s="83"/>
    </row>
    <row r="1010" spans="9:24" x14ac:dyDescent="0.25">
      <c r="I1010" s="49"/>
      <c r="J1010" s="49"/>
      <c r="K1010" s="49"/>
      <c r="V1010" s="83"/>
      <c r="W1010" s="83"/>
      <c r="X1010" s="83"/>
    </row>
    <row r="1011" spans="9:24" x14ac:dyDescent="0.25">
      <c r="I1011" s="49"/>
      <c r="J1011" s="49"/>
      <c r="K1011" s="49"/>
      <c r="V1011" s="83"/>
      <c r="W1011" s="83"/>
      <c r="X1011" s="83"/>
    </row>
    <row r="1012" spans="9:24" x14ac:dyDescent="0.25">
      <c r="I1012" s="49"/>
      <c r="J1012" s="49"/>
      <c r="K1012" s="49"/>
      <c r="V1012" s="83"/>
      <c r="W1012" s="83"/>
      <c r="X1012" s="83"/>
    </row>
    <row r="1013" spans="9:24" x14ac:dyDescent="0.25">
      <c r="I1013" s="49"/>
      <c r="J1013" s="49"/>
      <c r="K1013" s="49"/>
      <c r="V1013" s="83"/>
      <c r="W1013" s="83"/>
      <c r="X1013" s="83"/>
    </row>
    <row r="1014" spans="9:24" x14ac:dyDescent="0.25">
      <c r="I1014" s="49"/>
      <c r="J1014" s="49"/>
      <c r="K1014" s="49"/>
      <c r="V1014" s="83"/>
      <c r="W1014" s="83"/>
      <c r="X1014" s="83"/>
    </row>
    <row r="1015" spans="9:24" x14ac:dyDescent="0.25">
      <c r="I1015" s="49"/>
      <c r="J1015" s="49"/>
      <c r="K1015" s="49"/>
      <c r="V1015" s="83"/>
      <c r="W1015" s="83"/>
      <c r="X1015" s="83"/>
    </row>
    <row r="1016" spans="9:24" x14ac:dyDescent="0.25">
      <c r="I1016" s="49"/>
      <c r="J1016" s="49"/>
      <c r="K1016" s="49"/>
      <c r="V1016" s="83"/>
      <c r="W1016" s="83"/>
      <c r="X1016" s="83"/>
    </row>
    <row r="1017" spans="9:24" x14ac:dyDescent="0.25">
      <c r="I1017" s="49"/>
      <c r="J1017" s="49"/>
      <c r="K1017" s="49"/>
      <c r="V1017" s="83"/>
      <c r="W1017" s="83"/>
      <c r="X1017" s="83"/>
    </row>
    <row r="1018" spans="9:24" x14ac:dyDescent="0.25">
      <c r="I1018" s="49"/>
      <c r="J1018" s="49"/>
      <c r="K1018" s="49"/>
      <c r="V1018" s="83"/>
      <c r="W1018" s="83"/>
      <c r="X1018" s="83"/>
    </row>
    <row r="1019" spans="9:24" x14ac:dyDescent="0.25">
      <c r="I1019" s="49"/>
      <c r="J1019" s="49"/>
      <c r="K1019" s="49"/>
      <c r="V1019" s="83"/>
      <c r="W1019" s="83"/>
      <c r="X1019" s="83"/>
    </row>
    <row r="1020" spans="9:24" x14ac:dyDescent="0.25">
      <c r="I1020" s="49"/>
      <c r="J1020" s="49"/>
      <c r="K1020" s="49"/>
      <c r="V1020" s="83"/>
      <c r="W1020" s="83"/>
      <c r="X1020" s="83"/>
    </row>
    <row r="1021" spans="9:24" x14ac:dyDescent="0.25">
      <c r="I1021" s="49"/>
      <c r="J1021" s="49"/>
      <c r="K1021" s="49"/>
      <c r="V1021" s="83"/>
      <c r="W1021" s="83"/>
      <c r="X1021" s="83"/>
    </row>
    <row r="1022" spans="9:24" x14ac:dyDescent="0.25">
      <c r="I1022" s="49"/>
      <c r="J1022" s="49"/>
      <c r="K1022" s="49"/>
      <c r="V1022" s="83"/>
      <c r="W1022" s="83"/>
      <c r="X1022" s="83"/>
    </row>
    <row r="1023" spans="9:24" x14ac:dyDescent="0.25">
      <c r="I1023" s="49"/>
      <c r="J1023" s="49"/>
      <c r="K1023" s="49"/>
      <c r="V1023" s="83"/>
      <c r="W1023" s="83"/>
      <c r="X1023" s="83"/>
    </row>
    <row r="1024" spans="9:24" x14ac:dyDescent="0.25">
      <c r="I1024" s="49"/>
      <c r="J1024" s="49"/>
      <c r="K1024" s="49"/>
      <c r="V1024" s="83"/>
      <c r="W1024" s="83"/>
      <c r="X1024" s="83"/>
    </row>
    <row r="1025" spans="9:24" x14ac:dyDescent="0.25">
      <c r="I1025" s="49"/>
      <c r="J1025" s="49"/>
      <c r="K1025" s="49"/>
      <c r="V1025" s="83"/>
      <c r="W1025" s="83"/>
      <c r="X1025" s="83"/>
    </row>
    <row r="1026" spans="9:24" x14ac:dyDescent="0.25">
      <c r="I1026" s="49"/>
      <c r="J1026" s="49"/>
      <c r="K1026" s="49"/>
      <c r="V1026" s="83"/>
      <c r="W1026" s="83"/>
      <c r="X1026" s="83"/>
    </row>
    <row r="1027" spans="9:24" x14ac:dyDescent="0.25">
      <c r="I1027" s="49"/>
      <c r="J1027" s="49"/>
      <c r="K1027" s="49"/>
      <c r="V1027" s="83"/>
      <c r="W1027" s="83"/>
      <c r="X1027" s="83"/>
    </row>
    <row r="1028" spans="9:24" x14ac:dyDescent="0.25">
      <c r="I1028" s="49"/>
      <c r="J1028" s="49"/>
      <c r="K1028" s="49"/>
      <c r="V1028" s="83"/>
      <c r="W1028" s="83"/>
      <c r="X1028" s="83"/>
    </row>
    <row r="1029" spans="9:24" x14ac:dyDescent="0.25">
      <c r="I1029" s="49"/>
      <c r="J1029" s="49"/>
      <c r="K1029" s="49"/>
      <c r="V1029" s="83"/>
      <c r="W1029" s="83"/>
      <c r="X1029" s="83"/>
    </row>
    <row r="1030" spans="9:24" x14ac:dyDescent="0.25">
      <c r="I1030" s="49"/>
      <c r="J1030" s="49"/>
      <c r="K1030" s="49"/>
      <c r="V1030" s="83"/>
      <c r="W1030" s="83"/>
      <c r="X1030" s="83"/>
    </row>
    <row r="1031" spans="9:24" x14ac:dyDescent="0.25">
      <c r="I1031" s="49"/>
      <c r="J1031" s="49"/>
      <c r="K1031" s="49"/>
      <c r="V1031" s="83"/>
      <c r="W1031" s="83"/>
      <c r="X1031" s="83"/>
    </row>
    <row r="1032" spans="9:24" x14ac:dyDescent="0.25">
      <c r="I1032" s="49"/>
      <c r="J1032" s="49"/>
      <c r="K1032" s="49"/>
      <c r="V1032" s="83"/>
      <c r="W1032" s="83"/>
      <c r="X1032" s="83"/>
    </row>
    <row r="1033" spans="9:24" x14ac:dyDescent="0.25">
      <c r="I1033" s="49"/>
      <c r="J1033" s="49"/>
      <c r="K1033" s="49"/>
      <c r="V1033" s="83"/>
      <c r="W1033" s="83"/>
      <c r="X1033" s="83"/>
    </row>
    <row r="1034" spans="9:24" x14ac:dyDescent="0.25">
      <c r="I1034" s="49"/>
      <c r="J1034" s="49"/>
      <c r="K1034" s="49"/>
      <c r="V1034" s="83"/>
      <c r="W1034" s="83"/>
      <c r="X1034" s="83"/>
    </row>
    <row r="1035" spans="9:24" x14ac:dyDescent="0.25">
      <c r="I1035" s="49"/>
      <c r="J1035" s="49"/>
      <c r="K1035" s="49"/>
      <c r="V1035" s="83"/>
      <c r="W1035" s="83"/>
      <c r="X1035" s="83"/>
    </row>
    <row r="1036" spans="9:24" x14ac:dyDescent="0.25">
      <c r="I1036" s="49"/>
      <c r="J1036" s="49"/>
      <c r="K1036" s="49"/>
      <c r="V1036" s="83"/>
      <c r="W1036" s="83"/>
      <c r="X1036" s="83"/>
    </row>
    <row r="1037" spans="9:24" x14ac:dyDescent="0.25">
      <c r="I1037" s="49"/>
      <c r="J1037" s="49"/>
      <c r="K1037" s="49"/>
      <c r="V1037" s="83"/>
      <c r="W1037" s="83"/>
      <c r="X1037" s="83"/>
    </row>
    <row r="1038" spans="9:24" x14ac:dyDescent="0.25">
      <c r="I1038" s="49"/>
      <c r="J1038" s="49"/>
      <c r="K1038" s="49"/>
      <c r="V1038" s="83"/>
      <c r="W1038" s="83"/>
      <c r="X1038" s="83"/>
    </row>
    <row r="1039" spans="9:24" x14ac:dyDescent="0.25">
      <c r="I1039" s="49"/>
      <c r="J1039" s="49"/>
      <c r="K1039" s="49"/>
      <c r="V1039" s="83"/>
      <c r="W1039" s="83"/>
      <c r="X1039" s="83"/>
    </row>
    <row r="1040" spans="9:24" x14ac:dyDescent="0.25">
      <c r="I1040" s="49"/>
      <c r="J1040" s="49"/>
      <c r="K1040" s="49"/>
      <c r="V1040" s="83"/>
      <c r="W1040" s="83"/>
      <c r="X1040" s="83"/>
    </row>
    <row r="1041" spans="9:24" x14ac:dyDescent="0.25">
      <c r="I1041" s="49"/>
      <c r="J1041" s="49"/>
      <c r="K1041" s="49"/>
      <c r="V1041" s="83"/>
      <c r="W1041" s="83"/>
      <c r="X1041" s="83"/>
    </row>
    <row r="1042" spans="9:24" x14ac:dyDescent="0.25">
      <c r="I1042" s="49"/>
      <c r="J1042" s="49"/>
      <c r="K1042" s="49"/>
      <c r="V1042" s="83"/>
      <c r="W1042" s="83"/>
      <c r="X1042" s="83"/>
    </row>
    <row r="1043" spans="9:24" x14ac:dyDescent="0.25">
      <c r="I1043" s="49"/>
      <c r="J1043" s="49"/>
      <c r="K1043" s="49"/>
      <c r="V1043" s="83"/>
      <c r="W1043" s="83"/>
      <c r="X1043" s="83"/>
    </row>
    <row r="1044" spans="9:24" x14ac:dyDescent="0.25">
      <c r="I1044" s="49"/>
      <c r="J1044" s="49"/>
      <c r="K1044" s="49"/>
      <c r="V1044" s="83"/>
      <c r="W1044" s="83"/>
      <c r="X1044" s="83"/>
    </row>
    <row r="1045" spans="9:24" x14ac:dyDescent="0.25">
      <c r="I1045" s="49"/>
      <c r="J1045" s="49"/>
      <c r="K1045" s="49"/>
      <c r="V1045" s="83"/>
      <c r="W1045" s="83"/>
      <c r="X1045" s="83"/>
    </row>
    <row r="1046" spans="9:24" x14ac:dyDescent="0.25">
      <c r="I1046" s="49"/>
      <c r="J1046" s="49"/>
      <c r="K1046" s="49"/>
      <c r="V1046" s="83"/>
      <c r="W1046" s="83"/>
      <c r="X1046" s="83"/>
    </row>
    <row r="1047" spans="9:24" x14ac:dyDescent="0.25">
      <c r="I1047" s="49"/>
      <c r="J1047" s="49"/>
      <c r="K1047" s="49"/>
      <c r="V1047" s="83"/>
      <c r="W1047" s="83"/>
      <c r="X1047" s="83"/>
    </row>
    <row r="1048" spans="9:24" x14ac:dyDescent="0.25">
      <c r="I1048" s="49"/>
      <c r="J1048" s="49"/>
      <c r="K1048" s="49"/>
      <c r="V1048" s="83"/>
      <c r="W1048" s="83"/>
      <c r="X1048" s="83"/>
    </row>
    <row r="1049" spans="9:24" x14ac:dyDescent="0.25">
      <c r="I1049" s="49"/>
      <c r="J1049" s="49"/>
      <c r="K1049" s="49"/>
      <c r="V1049" s="83"/>
      <c r="W1049" s="83"/>
      <c r="X1049" s="83"/>
    </row>
    <row r="1050" spans="9:24" x14ac:dyDescent="0.25">
      <c r="I1050" s="49"/>
      <c r="J1050" s="49"/>
      <c r="K1050" s="49"/>
      <c r="V1050" s="83"/>
      <c r="W1050" s="83"/>
      <c r="X1050" s="83"/>
    </row>
    <row r="1051" spans="9:24" x14ac:dyDescent="0.25">
      <c r="I1051" s="49"/>
      <c r="J1051" s="49"/>
      <c r="K1051" s="49"/>
      <c r="V1051" s="83"/>
      <c r="W1051" s="83"/>
      <c r="X1051" s="83"/>
    </row>
    <row r="1052" spans="9:24" x14ac:dyDescent="0.25">
      <c r="I1052" s="49"/>
      <c r="J1052" s="49"/>
      <c r="K1052" s="49"/>
      <c r="V1052" s="83"/>
      <c r="W1052" s="83"/>
      <c r="X1052" s="83"/>
    </row>
    <row r="1053" spans="9:24" x14ac:dyDescent="0.25">
      <c r="I1053" s="49"/>
      <c r="J1053" s="49"/>
      <c r="K1053" s="49"/>
      <c r="V1053" s="83"/>
      <c r="W1053" s="83"/>
      <c r="X1053" s="83"/>
    </row>
    <row r="1054" spans="9:24" x14ac:dyDescent="0.25">
      <c r="I1054" s="49"/>
      <c r="J1054" s="49"/>
      <c r="K1054" s="49"/>
      <c r="V1054" s="83"/>
      <c r="W1054" s="83"/>
      <c r="X1054" s="83"/>
    </row>
    <row r="1055" spans="9:24" x14ac:dyDescent="0.25">
      <c r="I1055" s="49"/>
      <c r="J1055" s="49"/>
      <c r="K1055" s="49"/>
      <c r="V1055" s="83"/>
      <c r="W1055" s="83"/>
      <c r="X1055" s="83"/>
    </row>
    <row r="1056" spans="9:24" x14ac:dyDescent="0.25">
      <c r="I1056" s="49"/>
      <c r="J1056" s="49"/>
      <c r="K1056" s="49"/>
      <c r="V1056" s="83"/>
      <c r="W1056" s="83"/>
      <c r="X1056" s="83"/>
    </row>
    <row r="1057" spans="9:24" x14ac:dyDescent="0.25">
      <c r="I1057" s="49"/>
      <c r="J1057" s="49"/>
      <c r="K1057" s="49"/>
      <c r="V1057" s="83"/>
      <c r="W1057" s="83"/>
      <c r="X1057" s="83"/>
    </row>
    <row r="1058" spans="9:24" x14ac:dyDescent="0.25">
      <c r="I1058" s="49"/>
      <c r="J1058" s="49"/>
      <c r="K1058" s="49"/>
      <c r="V1058" s="83"/>
      <c r="W1058" s="83"/>
      <c r="X1058" s="83"/>
    </row>
    <row r="1059" spans="9:24" x14ac:dyDescent="0.25">
      <c r="I1059" s="49"/>
      <c r="J1059" s="49"/>
      <c r="K1059" s="49"/>
      <c r="V1059" s="83"/>
      <c r="W1059" s="83"/>
      <c r="X1059" s="83"/>
    </row>
    <row r="1060" spans="9:24" x14ac:dyDescent="0.25">
      <c r="I1060" s="49"/>
      <c r="J1060" s="49"/>
      <c r="K1060" s="49"/>
      <c r="V1060" s="83"/>
      <c r="W1060" s="83"/>
      <c r="X1060" s="83"/>
    </row>
    <row r="1061" spans="9:24" x14ac:dyDescent="0.25">
      <c r="I1061" s="49"/>
      <c r="J1061" s="49"/>
      <c r="K1061" s="49"/>
      <c r="V1061" s="83"/>
      <c r="W1061" s="83"/>
      <c r="X1061" s="83"/>
    </row>
    <row r="1062" spans="9:24" x14ac:dyDescent="0.25">
      <c r="I1062" s="49"/>
      <c r="J1062" s="49"/>
      <c r="K1062" s="49"/>
      <c r="V1062" s="83"/>
      <c r="W1062" s="83"/>
      <c r="X1062" s="83"/>
    </row>
    <row r="1063" spans="9:24" x14ac:dyDescent="0.25">
      <c r="I1063" s="49"/>
      <c r="J1063" s="49"/>
      <c r="K1063" s="49"/>
      <c r="V1063" s="83"/>
      <c r="W1063" s="83"/>
      <c r="X1063" s="83"/>
    </row>
    <row r="1064" spans="9:24" x14ac:dyDescent="0.25">
      <c r="I1064" s="49"/>
      <c r="J1064" s="49"/>
      <c r="K1064" s="49"/>
      <c r="V1064" s="83"/>
      <c r="W1064" s="83"/>
      <c r="X1064" s="83"/>
    </row>
    <row r="1065" spans="9:24" x14ac:dyDescent="0.25">
      <c r="I1065" s="49"/>
      <c r="J1065" s="49"/>
      <c r="K1065" s="49"/>
      <c r="V1065" s="83"/>
      <c r="W1065" s="83"/>
      <c r="X1065" s="83"/>
    </row>
    <row r="1066" spans="9:24" x14ac:dyDescent="0.25">
      <c r="I1066" s="49"/>
      <c r="J1066" s="49"/>
      <c r="K1066" s="49"/>
      <c r="V1066" s="83"/>
      <c r="W1066" s="83"/>
      <c r="X1066" s="83"/>
    </row>
    <row r="1067" spans="9:24" x14ac:dyDescent="0.25">
      <c r="I1067" s="49"/>
      <c r="J1067" s="49"/>
      <c r="K1067" s="49"/>
      <c r="V1067" s="83"/>
      <c r="W1067" s="83"/>
      <c r="X1067" s="83"/>
    </row>
    <row r="1068" spans="9:24" x14ac:dyDescent="0.25">
      <c r="I1068" s="49"/>
      <c r="J1068" s="49"/>
      <c r="K1068" s="49"/>
      <c r="V1068" s="83"/>
      <c r="W1068" s="83"/>
      <c r="X1068" s="83"/>
    </row>
    <row r="1069" spans="9:24" x14ac:dyDescent="0.25">
      <c r="I1069" s="49"/>
      <c r="J1069" s="49"/>
      <c r="K1069" s="49"/>
      <c r="V1069" s="83"/>
      <c r="W1069" s="83"/>
      <c r="X1069" s="83"/>
    </row>
    <row r="1070" spans="9:24" x14ac:dyDescent="0.25">
      <c r="I1070" s="49"/>
      <c r="J1070" s="49"/>
      <c r="K1070" s="49"/>
      <c r="V1070" s="83"/>
      <c r="W1070" s="83"/>
      <c r="X1070" s="83"/>
    </row>
    <row r="1071" spans="9:24" x14ac:dyDescent="0.25">
      <c r="I1071" s="49"/>
      <c r="J1071" s="49"/>
      <c r="K1071" s="49"/>
      <c r="V1071" s="83"/>
      <c r="W1071" s="83"/>
      <c r="X1071" s="83"/>
    </row>
    <row r="1072" spans="9:24" x14ac:dyDescent="0.25">
      <c r="I1072" s="49"/>
      <c r="J1072" s="49"/>
      <c r="K1072" s="49"/>
      <c r="V1072" s="83"/>
      <c r="W1072" s="83"/>
      <c r="X1072" s="83"/>
    </row>
    <row r="1073" spans="9:24" x14ac:dyDescent="0.25">
      <c r="I1073" s="49"/>
      <c r="J1073" s="49"/>
      <c r="K1073" s="49"/>
      <c r="V1073" s="83"/>
      <c r="W1073" s="83"/>
      <c r="X1073" s="83"/>
    </row>
    <row r="1074" spans="9:24" x14ac:dyDescent="0.25">
      <c r="I1074" s="49"/>
      <c r="J1074" s="49"/>
      <c r="K1074" s="49"/>
      <c r="V1074" s="83"/>
      <c r="W1074" s="83"/>
      <c r="X1074" s="83"/>
    </row>
    <row r="1075" spans="9:24" x14ac:dyDescent="0.25">
      <c r="I1075" s="49"/>
      <c r="J1075" s="49"/>
      <c r="K1075" s="49"/>
      <c r="V1075" s="83"/>
      <c r="W1075" s="83"/>
      <c r="X1075" s="83"/>
    </row>
    <row r="1076" spans="9:24" x14ac:dyDescent="0.25">
      <c r="I1076" s="49"/>
      <c r="J1076" s="49"/>
      <c r="K1076" s="49"/>
      <c r="V1076" s="83"/>
      <c r="W1076" s="83"/>
      <c r="X1076" s="83"/>
    </row>
    <row r="1077" spans="9:24" x14ac:dyDescent="0.25">
      <c r="I1077" s="49"/>
      <c r="J1077" s="49"/>
      <c r="K1077" s="49"/>
      <c r="V1077" s="83"/>
      <c r="W1077" s="83"/>
      <c r="X1077" s="83"/>
    </row>
    <row r="1078" spans="9:24" x14ac:dyDescent="0.25">
      <c r="I1078" s="49"/>
      <c r="J1078" s="49"/>
      <c r="K1078" s="49"/>
      <c r="V1078" s="83"/>
      <c r="W1078" s="83"/>
      <c r="X1078" s="83"/>
    </row>
    <row r="1079" spans="9:24" x14ac:dyDescent="0.25">
      <c r="I1079" s="49"/>
      <c r="J1079" s="49"/>
      <c r="K1079" s="49"/>
      <c r="V1079" s="83"/>
      <c r="W1079" s="83"/>
      <c r="X1079" s="83"/>
    </row>
    <row r="1080" spans="9:24" x14ac:dyDescent="0.25">
      <c r="I1080" s="49"/>
      <c r="J1080" s="49"/>
      <c r="K1080" s="49"/>
      <c r="V1080" s="83"/>
      <c r="W1080" s="83"/>
      <c r="X1080" s="83"/>
    </row>
    <row r="1081" spans="9:24" x14ac:dyDescent="0.25">
      <c r="I1081" s="49"/>
      <c r="J1081" s="49"/>
      <c r="K1081" s="49"/>
      <c r="V1081" s="83"/>
      <c r="W1081" s="83"/>
      <c r="X1081" s="83"/>
    </row>
    <row r="1082" spans="9:24" x14ac:dyDescent="0.25">
      <c r="I1082" s="49"/>
      <c r="J1082" s="49"/>
      <c r="K1082" s="49"/>
      <c r="V1082" s="83"/>
      <c r="W1082" s="83"/>
      <c r="X1082" s="83"/>
    </row>
    <row r="1083" spans="9:24" x14ac:dyDescent="0.25">
      <c r="I1083" s="49"/>
      <c r="J1083" s="49"/>
      <c r="K1083" s="49"/>
      <c r="V1083" s="83"/>
      <c r="W1083" s="83"/>
      <c r="X1083" s="83"/>
    </row>
    <row r="1084" spans="9:24" x14ac:dyDescent="0.25">
      <c r="I1084" s="49"/>
      <c r="J1084" s="49"/>
      <c r="K1084" s="49"/>
      <c r="V1084" s="83"/>
      <c r="W1084" s="83"/>
      <c r="X1084" s="83"/>
    </row>
    <row r="1085" spans="9:24" x14ac:dyDescent="0.25">
      <c r="I1085" s="49"/>
      <c r="J1085" s="49"/>
      <c r="K1085" s="49"/>
      <c r="V1085" s="83"/>
      <c r="W1085" s="83"/>
      <c r="X1085" s="83"/>
    </row>
    <row r="1086" spans="9:24" x14ac:dyDescent="0.25">
      <c r="I1086" s="49"/>
      <c r="J1086" s="49"/>
      <c r="K1086" s="49"/>
      <c r="V1086" s="83"/>
      <c r="W1086" s="83"/>
      <c r="X1086" s="83"/>
    </row>
    <row r="1087" spans="9:24" x14ac:dyDescent="0.25">
      <c r="I1087" s="49"/>
      <c r="J1087" s="49"/>
      <c r="K1087" s="49"/>
      <c r="V1087" s="83"/>
      <c r="W1087" s="83"/>
      <c r="X1087" s="83"/>
    </row>
    <row r="1088" spans="9:24" x14ac:dyDescent="0.25">
      <c r="I1088" s="49"/>
      <c r="J1088" s="49"/>
      <c r="K1088" s="49"/>
      <c r="V1088" s="83"/>
      <c r="W1088" s="83"/>
      <c r="X1088" s="83"/>
    </row>
    <row r="1089" spans="9:24" x14ac:dyDescent="0.25">
      <c r="I1089" s="49"/>
      <c r="J1089" s="49"/>
      <c r="K1089" s="49"/>
      <c r="V1089" s="83"/>
      <c r="W1089" s="83"/>
      <c r="X1089" s="83"/>
    </row>
    <row r="1090" spans="9:24" x14ac:dyDescent="0.25">
      <c r="I1090" s="49"/>
      <c r="J1090" s="49"/>
      <c r="K1090" s="49"/>
      <c r="V1090" s="83"/>
      <c r="W1090" s="83"/>
      <c r="X1090" s="83"/>
    </row>
    <row r="1091" spans="9:24" x14ac:dyDescent="0.25">
      <c r="I1091" s="49"/>
      <c r="J1091" s="49"/>
      <c r="K1091" s="49"/>
      <c r="V1091" s="83"/>
      <c r="W1091" s="83"/>
      <c r="X1091" s="83"/>
    </row>
    <row r="1092" spans="9:24" x14ac:dyDescent="0.25">
      <c r="I1092" s="49"/>
      <c r="J1092" s="49"/>
      <c r="K1092" s="49"/>
      <c r="V1092" s="83"/>
      <c r="W1092" s="83"/>
      <c r="X1092" s="83"/>
    </row>
    <row r="1093" spans="9:24" x14ac:dyDescent="0.25">
      <c r="I1093" s="49"/>
      <c r="J1093" s="49"/>
      <c r="K1093" s="49"/>
      <c r="V1093" s="83"/>
      <c r="W1093" s="83"/>
      <c r="X1093" s="83"/>
    </row>
    <row r="1094" spans="9:24" x14ac:dyDescent="0.25">
      <c r="I1094" s="49"/>
      <c r="J1094" s="49"/>
      <c r="K1094" s="49"/>
      <c r="V1094" s="83"/>
      <c r="W1094" s="83"/>
      <c r="X1094" s="83"/>
    </row>
    <row r="1095" spans="9:24" x14ac:dyDescent="0.25">
      <c r="I1095" s="49"/>
      <c r="J1095" s="49"/>
      <c r="K1095" s="49"/>
      <c r="V1095" s="83"/>
      <c r="W1095" s="83"/>
      <c r="X1095" s="83"/>
    </row>
    <row r="1096" spans="9:24" x14ac:dyDescent="0.25">
      <c r="I1096" s="49"/>
      <c r="J1096" s="49"/>
      <c r="K1096" s="49"/>
      <c r="V1096" s="83"/>
      <c r="W1096" s="83"/>
      <c r="X1096" s="83"/>
    </row>
    <row r="1097" spans="9:24" x14ac:dyDescent="0.25">
      <c r="I1097" s="49"/>
      <c r="J1097" s="49"/>
      <c r="K1097" s="49"/>
      <c r="V1097" s="83"/>
      <c r="W1097" s="83"/>
      <c r="X1097" s="83"/>
    </row>
    <row r="1098" spans="9:24" x14ac:dyDescent="0.25">
      <c r="I1098" s="49"/>
      <c r="J1098" s="49"/>
      <c r="K1098" s="49"/>
      <c r="V1098" s="83"/>
      <c r="W1098" s="83"/>
      <c r="X1098" s="83"/>
    </row>
    <row r="1099" spans="9:24" x14ac:dyDescent="0.25">
      <c r="I1099" s="49"/>
      <c r="J1099" s="49"/>
      <c r="K1099" s="49"/>
      <c r="V1099" s="83"/>
      <c r="W1099" s="83"/>
      <c r="X1099" s="83"/>
    </row>
    <row r="1100" spans="9:24" x14ac:dyDescent="0.25">
      <c r="I1100" s="49"/>
      <c r="J1100" s="49"/>
      <c r="K1100" s="49"/>
      <c r="V1100" s="83"/>
      <c r="W1100" s="83"/>
      <c r="X1100" s="83"/>
    </row>
    <row r="1101" spans="9:24" x14ac:dyDescent="0.25">
      <c r="I1101" s="49"/>
      <c r="J1101" s="49"/>
      <c r="K1101" s="49"/>
      <c r="V1101" s="83"/>
      <c r="W1101" s="83"/>
      <c r="X1101" s="83"/>
    </row>
    <row r="1102" spans="9:24" x14ac:dyDescent="0.25">
      <c r="I1102" s="49"/>
      <c r="J1102" s="49"/>
      <c r="K1102" s="49"/>
      <c r="V1102" s="83"/>
      <c r="W1102" s="83"/>
      <c r="X1102" s="83"/>
    </row>
    <row r="1103" spans="9:24" x14ac:dyDescent="0.25">
      <c r="I1103" s="49"/>
      <c r="J1103" s="49"/>
      <c r="K1103" s="49"/>
      <c r="V1103" s="83"/>
      <c r="W1103" s="83"/>
      <c r="X1103" s="83"/>
    </row>
    <row r="1104" spans="9:24" x14ac:dyDescent="0.25">
      <c r="I1104" s="49"/>
      <c r="J1104" s="49"/>
      <c r="K1104" s="49"/>
      <c r="V1104" s="83"/>
      <c r="W1104" s="83"/>
      <c r="X1104" s="83"/>
    </row>
    <row r="1105" spans="9:24" x14ac:dyDescent="0.25">
      <c r="I1105" s="49"/>
      <c r="J1105" s="49"/>
      <c r="K1105" s="49"/>
      <c r="V1105" s="83"/>
      <c r="W1105" s="83"/>
      <c r="X1105" s="83"/>
    </row>
    <row r="1106" spans="9:24" x14ac:dyDescent="0.25">
      <c r="I1106" s="49"/>
      <c r="J1106" s="49"/>
      <c r="K1106" s="49"/>
      <c r="V1106" s="83"/>
      <c r="W1106" s="83"/>
      <c r="X1106" s="83"/>
    </row>
    <row r="1107" spans="9:24" x14ac:dyDescent="0.25">
      <c r="I1107" s="49"/>
      <c r="J1107" s="49"/>
      <c r="K1107" s="49"/>
      <c r="V1107" s="83"/>
      <c r="W1107" s="83"/>
      <c r="X1107" s="83"/>
    </row>
    <row r="1108" spans="9:24" x14ac:dyDescent="0.25">
      <c r="I1108" s="49"/>
      <c r="J1108" s="49"/>
      <c r="K1108" s="49"/>
      <c r="V1108" s="83"/>
      <c r="W1108" s="83"/>
      <c r="X1108" s="83"/>
    </row>
    <row r="1109" spans="9:24" x14ac:dyDescent="0.25">
      <c r="I1109" s="49"/>
      <c r="J1109" s="49"/>
      <c r="K1109" s="49"/>
      <c r="V1109" s="83"/>
      <c r="W1109" s="83"/>
      <c r="X1109" s="83"/>
    </row>
    <row r="1110" spans="9:24" x14ac:dyDescent="0.25">
      <c r="I1110" s="49"/>
      <c r="J1110" s="49"/>
      <c r="K1110" s="49"/>
      <c r="V1110" s="83"/>
      <c r="W1110" s="83"/>
      <c r="X1110" s="83"/>
    </row>
    <row r="1111" spans="9:24" x14ac:dyDescent="0.25">
      <c r="I1111" s="49"/>
      <c r="J1111" s="49"/>
      <c r="K1111" s="49"/>
      <c r="V1111" s="83"/>
      <c r="W1111" s="83"/>
      <c r="X1111" s="83"/>
    </row>
    <row r="1112" spans="9:24" x14ac:dyDescent="0.25">
      <c r="I1112" s="49"/>
      <c r="J1112" s="49"/>
      <c r="K1112" s="49"/>
      <c r="V1112" s="83"/>
      <c r="W1112" s="83"/>
      <c r="X1112" s="83"/>
    </row>
    <row r="1113" spans="9:24" x14ac:dyDescent="0.25">
      <c r="I1113" s="49"/>
      <c r="J1113" s="49"/>
      <c r="K1113" s="49"/>
      <c r="V1113" s="83"/>
      <c r="W1113" s="83"/>
      <c r="X1113" s="83"/>
    </row>
    <row r="1114" spans="9:24" x14ac:dyDescent="0.25">
      <c r="I1114" s="49"/>
      <c r="J1114" s="49"/>
      <c r="K1114" s="49"/>
      <c r="V1114" s="83"/>
      <c r="W1114" s="83"/>
      <c r="X1114" s="83"/>
    </row>
    <row r="1115" spans="9:24" x14ac:dyDescent="0.25">
      <c r="I1115" s="49"/>
      <c r="J1115" s="49"/>
      <c r="K1115" s="49"/>
      <c r="V1115" s="83"/>
      <c r="W1115" s="83"/>
      <c r="X1115" s="83"/>
    </row>
    <row r="1116" spans="9:24" x14ac:dyDescent="0.25">
      <c r="I1116" s="49"/>
      <c r="J1116" s="49"/>
      <c r="K1116" s="49"/>
      <c r="V1116" s="83"/>
      <c r="W1116" s="83"/>
      <c r="X1116" s="83"/>
    </row>
    <row r="1117" spans="9:24" x14ac:dyDescent="0.25">
      <c r="I1117" s="49"/>
      <c r="J1117" s="49"/>
      <c r="K1117" s="49"/>
      <c r="V1117" s="83"/>
      <c r="W1117" s="83"/>
      <c r="X1117" s="83"/>
    </row>
    <row r="1118" spans="9:24" x14ac:dyDescent="0.25">
      <c r="I1118" s="49"/>
      <c r="J1118" s="49"/>
      <c r="K1118" s="49"/>
      <c r="V1118" s="83"/>
      <c r="W1118" s="83"/>
      <c r="X1118" s="83"/>
    </row>
    <row r="1119" spans="9:24" x14ac:dyDescent="0.25">
      <c r="I1119" s="49"/>
      <c r="J1119" s="49"/>
      <c r="K1119" s="49"/>
      <c r="V1119" s="83"/>
      <c r="W1119" s="83"/>
      <c r="X1119" s="83"/>
    </row>
    <row r="1120" spans="9:24" x14ac:dyDescent="0.25">
      <c r="I1120" s="49"/>
      <c r="J1120" s="49"/>
      <c r="K1120" s="49"/>
      <c r="V1120" s="83"/>
      <c r="W1120" s="83"/>
      <c r="X1120" s="83"/>
    </row>
    <row r="1121" spans="9:24" x14ac:dyDescent="0.25">
      <c r="I1121" s="49"/>
      <c r="J1121" s="49"/>
      <c r="K1121" s="49"/>
      <c r="V1121" s="83"/>
      <c r="W1121" s="83"/>
      <c r="X1121" s="83"/>
    </row>
    <row r="1122" spans="9:24" x14ac:dyDescent="0.25">
      <c r="I1122" s="49"/>
      <c r="J1122" s="49"/>
      <c r="K1122" s="49"/>
      <c r="V1122" s="83"/>
      <c r="W1122" s="83"/>
      <c r="X1122" s="83"/>
    </row>
    <row r="1123" spans="9:24" x14ac:dyDescent="0.25">
      <c r="I1123" s="49"/>
      <c r="J1123" s="49"/>
      <c r="K1123" s="49"/>
      <c r="V1123" s="83"/>
      <c r="W1123" s="83"/>
      <c r="X1123" s="83"/>
    </row>
    <row r="1124" spans="9:24" x14ac:dyDescent="0.25">
      <c r="I1124" s="49"/>
      <c r="J1124" s="49"/>
      <c r="K1124" s="49"/>
      <c r="V1124" s="83"/>
      <c r="W1124" s="83"/>
      <c r="X1124" s="83"/>
    </row>
    <row r="1125" spans="9:24" x14ac:dyDescent="0.25">
      <c r="I1125" s="49"/>
      <c r="J1125" s="49"/>
      <c r="K1125" s="49"/>
      <c r="V1125" s="83"/>
      <c r="W1125" s="83"/>
      <c r="X1125" s="83"/>
    </row>
    <row r="1126" spans="9:24" x14ac:dyDescent="0.25">
      <c r="I1126" s="49"/>
      <c r="J1126" s="49"/>
      <c r="K1126" s="49"/>
      <c r="V1126" s="83"/>
      <c r="W1126" s="83"/>
      <c r="X1126" s="83"/>
    </row>
    <row r="1127" spans="9:24" x14ac:dyDescent="0.25">
      <c r="I1127" s="49"/>
      <c r="J1127" s="49"/>
      <c r="K1127" s="49"/>
      <c r="V1127" s="83"/>
      <c r="W1127" s="83"/>
      <c r="X1127" s="83"/>
    </row>
    <row r="1128" spans="9:24" x14ac:dyDescent="0.25">
      <c r="I1128" s="49"/>
      <c r="J1128" s="49"/>
      <c r="K1128" s="49"/>
      <c r="V1128" s="83"/>
      <c r="W1128" s="83"/>
      <c r="X1128" s="83"/>
    </row>
    <row r="1129" spans="9:24" x14ac:dyDescent="0.25">
      <c r="I1129" s="49"/>
      <c r="J1129" s="49"/>
      <c r="K1129" s="49"/>
      <c r="V1129" s="83"/>
      <c r="W1129" s="83"/>
      <c r="X1129" s="83"/>
    </row>
    <row r="1130" spans="9:24" x14ac:dyDescent="0.25">
      <c r="I1130" s="49"/>
      <c r="J1130" s="49"/>
      <c r="K1130" s="49"/>
      <c r="V1130" s="83"/>
      <c r="W1130" s="83"/>
      <c r="X1130" s="83"/>
    </row>
    <row r="1131" spans="9:24" x14ac:dyDescent="0.25">
      <c r="I1131" s="49"/>
      <c r="J1131" s="49"/>
      <c r="K1131" s="49"/>
      <c r="V1131" s="83"/>
      <c r="W1131" s="83"/>
      <c r="X1131" s="83"/>
    </row>
    <row r="1132" spans="9:24" x14ac:dyDescent="0.25">
      <c r="I1132" s="49"/>
      <c r="J1132" s="49"/>
      <c r="K1132" s="49"/>
      <c r="V1132" s="83"/>
      <c r="W1132" s="83"/>
      <c r="X1132" s="83"/>
    </row>
    <row r="1133" spans="9:24" x14ac:dyDescent="0.25">
      <c r="I1133" s="49"/>
      <c r="J1133" s="49"/>
      <c r="K1133" s="49"/>
      <c r="V1133" s="83"/>
      <c r="W1133" s="83"/>
      <c r="X1133" s="83"/>
    </row>
    <row r="1134" spans="9:24" x14ac:dyDescent="0.25">
      <c r="I1134" s="49"/>
      <c r="J1134" s="49"/>
      <c r="K1134" s="49"/>
      <c r="V1134" s="83"/>
      <c r="W1134" s="83"/>
      <c r="X1134" s="83"/>
    </row>
    <row r="1135" spans="9:24" x14ac:dyDescent="0.25">
      <c r="I1135" s="49"/>
      <c r="J1135" s="49"/>
      <c r="K1135" s="49"/>
      <c r="V1135" s="83"/>
      <c r="W1135" s="83"/>
      <c r="X1135" s="83"/>
    </row>
    <row r="1136" spans="9:24" x14ac:dyDescent="0.25">
      <c r="I1136" s="49"/>
      <c r="J1136" s="49"/>
      <c r="K1136" s="49"/>
      <c r="V1136" s="83"/>
      <c r="W1136" s="83"/>
      <c r="X1136" s="83"/>
    </row>
    <row r="1137" spans="9:24" x14ac:dyDescent="0.25">
      <c r="I1137" s="49"/>
      <c r="J1137" s="49"/>
      <c r="K1137" s="49"/>
      <c r="V1137" s="83"/>
      <c r="W1137" s="83"/>
      <c r="X1137" s="83"/>
    </row>
    <row r="1138" spans="9:24" x14ac:dyDescent="0.25">
      <c r="I1138" s="49"/>
      <c r="J1138" s="49"/>
      <c r="K1138" s="49"/>
      <c r="V1138" s="83"/>
      <c r="W1138" s="83"/>
      <c r="X1138" s="83"/>
    </row>
    <row r="1139" spans="9:24" x14ac:dyDescent="0.25">
      <c r="I1139" s="49"/>
      <c r="J1139" s="49"/>
      <c r="K1139" s="49"/>
      <c r="V1139" s="83"/>
      <c r="W1139" s="83"/>
      <c r="X1139" s="83"/>
    </row>
    <row r="1140" spans="9:24" x14ac:dyDescent="0.25">
      <c r="I1140" s="49"/>
      <c r="J1140" s="49"/>
      <c r="K1140" s="49"/>
      <c r="V1140" s="83"/>
      <c r="W1140" s="83"/>
      <c r="X1140" s="83"/>
    </row>
    <row r="1141" spans="9:24" x14ac:dyDescent="0.25">
      <c r="I1141" s="49"/>
      <c r="J1141" s="49"/>
      <c r="K1141" s="49"/>
      <c r="V1141" s="83"/>
      <c r="W1141" s="83"/>
      <c r="X1141" s="83"/>
    </row>
    <row r="1142" spans="9:24" x14ac:dyDescent="0.25">
      <c r="I1142" s="49"/>
      <c r="J1142" s="49"/>
      <c r="K1142" s="49"/>
      <c r="V1142" s="83"/>
      <c r="W1142" s="83"/>
      <c r="X1142" s="83"/>
    </row>
    <row r="1143" spans="9:24" x14ac:dyDescent="0.25">
      <c r="I1143" s="49"/>
      <c r="J1143" s="49"/>
      <c r="K1143" s="49"/>
      <c r="V1143" s="83"/>
      <c r="W1143" s="83"/>
      <c r="X1143" s="83"/>
    </row>
    <row r="1144" spans="9:24" x14ac:dyDescent="0.25">
      <c r="I1144" s="49"/>
      <c r="J1144" s="49"/>
      <c r="K1144" s="49"/>
      <c r="V1144" s="83"/>
      <c r="W1144" s="83"/>
      <c r="X1144" s="83"/>
    </row>
    <row r="1145" spans="9:24" x14ac:dyDescent="0.25">
      <c r="I1145" s="49"/>
      <c r="J1145" s="49"/>
      <c r="K1145" s="49"/>
      <c r="V1145" s="83"/>
      <c r="W1145" s="83"/>
      <c r="X1145" s="83"/>
    </row>
    <row r="1146" spans="9:24" x14ac:dyDescent="0.25">
      <c r="I1146" s="49"/>
      <c r="J1146" s="49"/>
      <c r="K1146" s="49"/>
      <c r="V1146" s="83"/>
      <c r="W1146" s="83"/>
      <c r="X1146" s="83"/>
    </row>
    <row r="1147" spans="9:24" x14ac:dyDescent="0.25">
      <c r="I1147" s="49"/>
      <c r="J1147" s="49"/>
      <c r="K1147" s="49"/>
      <c r="V1147" s="83"/>
      <c r="W1147" s="83"/>
      <c r="X1147" s="83"/>
    </row>
    <row r="1148" spans="9:24" x14ac:dyDescent="0.25">
      <c r="I1148" s="49"/>
      <c r="J1148" s="49"/>
      <c r="K1148" s="49"/>
      <c r="V1148" s="83"/>
      <c r="W1148" s="83"/>
      <c r="X1148" s="83"/>
    </row>
    <row r="1149" spans="9:24" x14ac:dyDescent="0.25">
      <c r="I1149" s="49"/>
      <c r="J1149" s="49"/>
      <c r="K1149" s="49"/>
      <c r="V1149" s="83"/>
      <c r="W1149" s="83"/>
      <c r="X1149" s="83"/>
    </row>
    <row r="1150" spans="9:24" x14ac:dyDescent="0.25">
      <c r="I1150" s="49"/>
      <c r="J1150" s="49"/>
      <c r="K1150" s="49"/>
      <c r="V1150" s="83"/>
      <c r="W1150" s="83"/>
      <c r="X1150" s="83"/>
    </row>
    <row r="1151" spans="9:24" x14ac:dyDescent="0.25">
      <c r="I1151" s="49"/>
      <c r="J1151" s="49"/>
      <c r="K1151" s="49"/>
      <c r="V1151" s="83"/>
      <c r="W1151" s="83"/>
      <c r="X1151" s="83"/>
    </row>
    <row r="1152" spans="9:24" x14ac:dyDescent="0.25">
      <c r="I1152" s="49"/>
      <c r="J1152" s="49"/>
      <c r="K1152" s="49"/>
      <c r="V1152" s="83"/>
      <c r="W1152" s="83"/>
      <c r="X1152" s="83"/>
    </row>
    <row r="1153" spans="9:24" x14ac:dyDescent="0.25">
      <c r="I1153" s="49"/>
      <c r="J1153" s="49"/>
      <c r="K1153" s="49"/>
      <c r="V1153" s="83"/>
      <c r="W1153" s="83"/>
      <c r="X1153" s="83"/>
    </row>
    <row r="1154" spans="9:24" x14ac:dyDescent="0.25">
      <c r="I1154" s="49"/>
      <c r="J1154" s="49"/>
      <c r="K1154" s="49"/>
      <c r="V1154" s="83"/>
      <c r="W1154" s="83"/>
      <c r="X1154" s="83"/>
    </row>
    <row r="1155" spans="9:24" x14ac:dyDescent="0.25">
      <c r="I1155" s="49"/>
      <c r="J1155" s="49"/>
      <c r="K1155" s="49"/>
      <c r="V1155" s="83"/>
      <c r="W1155" s="83"/>
      <c r="X1155" s="83"/>
    </row>
    <row r="1156" spans="9:24" x14ac:dyDescent="0.25">
      <c r="I1156" s="49"/>
      <c r="J1156" s="49"/>
      <c r="K1156" s="49"/>
      <c r="V1156" s="83"/>
      <c r="W1156" s="83"/>
      <c r="X1156" s="83"/>
    </row>
    <row r="1157" spans="9:24" x14ac:dyDescent="0.25">
      <c r="I1157" s="49"/>
      <c r="J1157" s="49"/>
      <c r="K1157" s="49"/>
      <c r="V1157" s="83"/>
      <c r="W1157" s="83"/>
      <c r="X1157" s="83"/>
    </row>
    <row r="1158" spans="9:24" x14ac:dyDescent="0.25">
      <c r="I1158" s="49"/>
      <c r="J1158" s="49"/>
      <c r="K1158" s="49"/>
      <c r="V1158" s="83"/>
      <c r="W1158" s="83"/>
      <c r="X1158" s="83"/>
    </row>
    <row r="1159" spans="9:24" x14ac:dyDescent="0.25">
      <c r="I1159" s="49"/>
      <c r="J1159" s="49"/>
      <c r="K1159" s="49"/>
      <c r="V1159" s="83"/>
      <c r="W1159" s="83"/>
      <c r="X1159" s="83"/>
    </row>
    <row r="1160" spans="9:24" x14ac:dyDescent="0.25">
      <c r="I1160" s="49"/>
      <c r="J1160" s="49"/>
      <c r="K1160" s="49"/>
      <c r="V1160" s="83"/>
      <c r="W1160" s="83"/>
      <c r="X1160" s="83"/>
    </row>
    <row r="1161" spans="9:24" x14ac:dyDescent="0.25">
      <c r="I1161" s="49"/>
      <c r="J1161" s="49"/>
      <c r="K1161" s="49"/>
      <c r="V1161" s="83"/>
      <c r="W1161" s="83"/>
      <c r="X1161" s="83"/>
    </row>
    <row r="1162" spans="9:24" x14ac:dyDescent="0.25">
      <c r="I1162" s="49"/>
      <c r="J1162" s="49"/>
      <c r="K1162" s="49"/>
      <c r="V1162" s="83"/>
      <c r="W1162" s="83"/>
      <c r="X1162" s="83"/>
    </row>
    <row r="1163" spans="9:24" x14ac:dyDescent="0.25">
      <c r="I1163" s="49"/>
      <c r="J1163" s="49"/>
      <c r="K1163" s="49"/>
      <c r="V1163" s="83"/>
      <c r="W1163" s="83"/>
      <c r="X1163" s="83"/>
    </row>
    <row r="1164" spans="9:24" x14ac:dyDescent="0.25">
      <c r="I1164" s="49"/>
      <c r="J1164" s="49"/>
      <c r="K1164" s="49"/>
      <c r="V1164" s="83"/>
      <c r="W1164" s="83"/>
      <c r="X1164" s="83"/>
    </row>
    <row r="1165" spans="9:24" x14ac:dyDescent="0.25">
      <c r="I1165" s="49"/>
      <c r="J1165" s="49"/>
      <c r="K1165" s="49"/>
      <c r="V1165" s="83"/>
      <c r="W1165" s="83"/>
      <c r="X1165" s="83"/>
    </row>
    <row r="1166" spans="9:24" x14ac:dyDescent="0.25">
      <c r="I1166" s="49"/>
      <c r="J1166" s="49"/>
      <c r="K1166" s="49"/>
      <c r="V1166" s="83"/>
      <c r="W1166" s="83"/>
      <c r="X1166" s="83"/>
    </row>
    <row r="1167" spans="9:24" x14ac:dyDescent="0.25">
      <c r="I1167" s="49"/>
      <c r="J1167" s="49"/>
      <c r="K1167" s="49"/>
      <c r="V1167" s="83"/>
      <c r="W1167" s="83"/>
      <c r="X1167" s="83"/>
    </row>
    <row r="1168" spans="9:24" x14ac:dyDescent="0.25">
      <c r="I1168" s="49"/>
      <c r="J1168" s="49"/>
      <c r="K1168" s="49"/>
      <c r="V1168" s="83"/>
      <c r="W1168" s="83"/>
      <c r="X1168" s="83"/>
    </row>
    <row r="1169" spans="9:24" x14ac:dyDescent="0.25">
      <c r="I1169" s="49"/>
      <c r="J1169" s="49"/>
      <c r="K1169" s="49"/>
      <c r="V1169" s="83"/>
      <c r="W1169" s="83"/>
      <c r="X1169" s="83"/>
    </row>
    <row r="1170" spans="9:24" x14ac:dyDescent="0.25">
      <c r="I1170" s="49"/>
      <c r="J1170" s="49"/>
      <c r="K1170" s="49"/>
      <c r="V1170" s="83"/>
      <c r="W1170" s="83"/>
      <c r="X1170" s="83"/>
    </row>
    <row r="1171" spans="9:24" x14ac:dyDescent="0.25">
      <c r="I1171" s="49"/>
      <c r="J1171" s="49"/>
      <c r="K1171" s="49"/>
      <c r="V1171" s="83"/>
      <c r="W1171" s="83"/>
      <c r="X1171" s="83"/>
    </row>
    <row r="1172" spans="9:24" x14ac:dyDescent="0.25">
      <c r="I1172" s="49"/>
      <c r="J1172" s="49"/>
      <c r="K1172" s="49"/>
      <c r="V1172" s="83"/>
      <c r="W1172" s="83"/>
      <c r="X1172" s="83"/>
    </row>
    <row r="1173" spans="9:24" x14ac:dyDescent="0.25">
      <c r="I1173" s="49"/>
      <c r="J1173" s="49"/>
      <c r="K1173" s="49"/>
      <c r="V1173" s="83"/>
      <c r="W1173" s="83"/>
      <c r="X1173" s="83"/>
    </row>
    <row r="1174" spans="9:24" x14ac:dyDescent="0.25">
      <c r="I1174" s="49"/>
      <c r="J1174" s="49"/>
      <c r="K1174" s="49"/>
      <c r="V1174" s="83"/>
      <c r="W1174" s="83"/>
      <c r="X1174" s="83"/>
    </row>
    <row r="1175" spans="9:24" x14ac:dyDescent="0.25">
      <c r="I1175" s="49"/>
      <c r="J1175" s="49"/>
      <c r="K1175" s="49"/>
      <c r="V1175" s="83"/>
      <c r="W1175" s="83"/>
      <c r="X1175" s="83"/>
    </row>
    <row r="1176" spans="9:24" x14ac:dyDescent="0.25">
      <c r="I1176" s="49"/>
      <c r="J1176" s="49"/>
      <c r="K1176" s="49"/>
      <c r="V1176" s="83"/>
      <c r="W1176" s="83"/>
      <c r="X1176" s="83"/>
    </row>
    <row r="1177" spans="9:24" x14ac:dyDescent="0.25">
      <c r="I1177" s="49"/>
      <c r="J1177" s="49"/>
      <c r="K1177" s="49"/>
      <c r="V1177" s="83"/>
      <c r="W1177" s="83"/>
      <c r="X1177" s="83"/>
    </row>
    <row r="1178" spans="9:24" x14ac:dyDescent="0.25">
      <c r="I1178" s="49"/>
      <c r="J1178" s="49"/>
      <c r="K1178" s="49"/>
      <c r="V1178" s="83"/>
      <c r="W1178" s="83"/>
      <c r="X1178" s="83"/>
    </row>
    <row r="1179" spans="9:24" x14ac:dyDescent="0.25">
      <c r="I1179" s="49"/>
      <c r="J1179" s="49"/>
      <c r="K1179" s="49"/>
      <c r="V1179" s="83"/>
      <c r="W1179" s="83"/>
      <c r="X1179" s="83"/>
    </row>
    <row r="1180" spans="9:24" x14ac:dyDescent="0.25">
      <c r="I1180" s="49"/>
      <c r="J1180" s="49"/>
      <c r="K1180" s="49"/>
      <c r="V1180" s="83"/>
      <c r="W1180" s="83"/>
      <c r="X1180" s="83"/>
    </row>
    <row r="1181" spans="9:24" x14ac:dyDescent="0.25">
      <c r="I1181" s="49"/>
      <c r="J1181" s="49"/>
      <c r="K1181" s="49"/>
      <c r="V1181" s="83"/>
      <c r="W1181" s="83"/>
      <c r="X1181" s="83"/>
    </row>
    <row r="1182" spans="9:24" x14ac:dyDescent="0.25">
      <c r="I1182" s="49"/>
      <c r="J1182" s="49"/>
      <c r="K1182" s="49"/>
      <c r="V1182" s="83"/>
      <c r="W1182" s="83"/>
      <c r="X1182" s="83"/>
    </row>
    <row r="1183" spans="9:24" x14ac:dyDescent="0.25">
      <c r="I1183" s="49"/>
      <c r="J1183" s="49"/>
      <c r="K1183" s="49"/>
      <c r="V1183" s="83"/>
      <c r="W1183" s="83"/>
      <c r="X1183" s="83"/>
    </row>
    <row r="1184" spans="9:24" x14ac:dyDescent="0.25">
      <c r="I1184" s="49"/>
      <c r="J1184" s="49"/>
      <c r="K1184" s="49"/>
      <c r="V1184" s="83"/>
      <c r="W1184" s="83"/>
      <c r="X1184" s="83"/>
    </row>
    <row r="1185" spans="9:24" x14ac:dyDescent="0.25">
      <c r="I1185" s="49"/>
      <c r="J1185" s="49"/>
      <c r="K1185" s="49"/>
      <c r="V1185" s="83"/>
      <c r="W1185" s="83"/>
      <c r="X1185" s="83"/>
    </row>
    <row r="1186" spans="9:24" x14ac:dyDescent="0.25">
      <c r="I1186" s="49"/>
      <c r="J1186" s="49"/>
      <c r="K1186" s="49"/>
      <c r="V1186" s="83"/>
      <c r="W1186" s="83"/>
      <c r="X1186" s="83"/>
    </row>
    <row r="1187" spans="9:24" x14ac:dyDescent="0.25">
      <c r="I1187" s="49"/>
      <c r="J1187" s="49"/>
      <c r="K1187" s="49"/>
      <c r="V1187" s="83"/>
      <c r="W1187" s="83"/>
      <c r="X1187" s="83"/>
    </row>
    <row r="1188" spans="9:24" x14ac:dyDescent="0.25">
      <c r="I1188" s="49"/>
      <c r="J1188" s="49"/>
      <c r="K1188" s="49"/>
      <c r="V1188" s="83"/>
      <c r="W1188" s="83"/>
      <c r="X1188" s="83"/>
    </row>
    <row r="1189" spans="9:24" x14ac:dyDescent="0.25">
      <c r="I1189" s="49"/>
      <c r="J1189" s="49"/>
      <c r="K1189" s="49"/>
      <c r="V1189" s="83"/>
      <c r="W1189" s="83"/>
      <c r="X1189" s="83"/>
    </row>
    <row r="1190" spans="9:24" x14ac:dyDescent="0.25">
      <c r="I1190" s="49"/>
      <c r="J1190" s="49"/>
      <c r="K1190" s="49"/>
      <c r="V1190" s="83"/>
      <c r="W1190" s="83"/>
      <c r="X1190" s="83"/>
    </row>
    <row r="1191" spans="9:24" x14ac:dyDescent="0.25">
      <c r="I1191" s="49"/>
      <c r="J1191" s="49"/>
      <c r="K1191" s="49"/>
      <c r="V1191" s="83"/>
      <c r="W1191" s="83"/>
      <c r="X1191" s="83"/>
    </row>
    <row r="1192" spans="9:24" x14ac:dyDescent="0.25">
      <c r="I1192" s="49"/>
      <c r="J1192" s="49"/>
      <c r="K1192" s="49"/>
      <c r="V1192" s="83"/>
      <c r="W1192" s="83"/>
      <c r="X1192" s="83"/>
    </row>
    <row r="1193" spans="9:24" x14ac:dyDescent="0.25">
      <c r="I1193" s="49"/>
      <c r="J1193" s="49"/>
      <c r="K1193" s="49"/>
      <c r="V1193" s="83"/>
      <c r="W1193" s="83"/>
      <c r="X1193" s="83"/>
    </row>
    <row r="1194" spans="9:24" x14ac:dyDescent="0.25">
      <c r="I1194" s="49"/>
      <c r="J1194" s="49"/>
      <c r="K1194" s="49"/>
      <c r="V1194" s="83"/>
      <c r="W1194" s="83"/>
      <c r="X1194" s="83"/>
    </row>
    <row r="1195" spans="9:24" x14ac:dyDescent="0.25">
      <c r="I1195" s="49"/>
      <c r="J1195" s="49"/>
      <c r="K1195" s="49"/>
      <c r="V1195" s="83"/>
      <c r="W1195" s="83"/>
      <c r="X1195" s="83"/>
    </row>
    <row r="1196" spans="9:24" x14ac:dyDescent="0.25">
      <c r="I1196" s="49"/>
      <c r="J1196" s="49"/>
      <c r="K1196" s="49"/>
      <c r="V1196" s="83"/>
      <c r="W1196" s="83"/>
      <c r="X1196" s="83"/>
    </row>
    <row r="1197" spans="9:24" x14ac:dyDescent="0.25">
      <c r="I1197" s="49"/>
      <c r="J1197" s="49"/>
      <c r="K1197" s="49"/>
      <c r="V1197" s="83"/>
      <c r="W1197" s="83"/>
      <c r="X1197" s="83"/>
    </row>
    <row r="1198" spans="9:24" x14ac:dyDescent="0.25">
      <c r="I1198" s="49"/>
      <c r="J1198" s="49"/>
      <c r="K1198" s="49"/>
      <c r="V1198" s="83"/>
      <c r="W1198" s="83"/>
      <c r="X1198" s="83"/>
    </row>
    <row r="1199" spans="9:24" x14ac:dyDescent="0.25">
      <c r="I1199" s="49"/>
      <c r="J1199" s="49"/>
      <c r="K1199" s="49"/>
      <c r="V1199" s="83"/>
      <c r="W1199" s="83"/>
      <c r="X1199" s="83"/>
    </row>
    <row r="1200" spans="9:24" x14ac:dyDescent="0.25">
      <c r="I1200" s="49"/>
      <c r="J1200" s="49"/>
      <c r="K1200" s="49"/>
      <c r="V1200" s="83"/>
      <c r="W1200" s="83"/>
      <c r="X1200" s="83"/>
    </row>
    <row r="1201" spans="9:24" x14ac:dyDescent="0.25">
      <c r="I1201" s="49"/>
      <c r="J1201" s="49"/>
      <c r="K1201" s="49"/>
      <c r="V1201" s="83"/>
      <c r="W1201" s="83"/>
      <c r="X1201" s="83"/>
    </row>
    <row r="1202" spans="9:24" x14ac:dyDescent="0.25">
      <c r="I1202" s="49"/>
      <c r="J1202" s="49"/>
      <c r="K1202" s="49"/>
      <c r="V1202" s="83"/>
      <c r="W1202" s="83"/>
      <c r="X1202" s="83"/>
    </row>
    <row r="1203" spans="9:24" x14ac:dyDescent="0.25">
      <c r="I1203" s="49"/>
      <c r="J1203" s="49"/>
      <c r="K1203" s="49"/>
      <c r="V1203" s="83"/>
      <c r="W1203" s="83"/>
      <c r="X1203" s="83"/>
    </row>
    <row r="1204" spans="9:24" x14ac:dyDescent="0.25">
      <c r="I1204" s="49"/>
      <c r="J1204" s="49"/>
      <c r="K1204" s="49"/>
      <c r="V1204" s="83"/>
      <c r="W1204" s="83"/>
      <c r="X1204" s="83"/>
    </row>
    <row r="1205" spans="9:24" x14ac:dyDescent="0.25">
      <c r="I1205" s="49"/>
      <c r="J1205" s="49"/>
      <c r="K1205" s="49"/>
      <c r="V1205" s="83"/>
      <c r="W1205" s="83"/>
      <c r="X1205" s="83"/>
    </row>
    <row r="1206" spans="9:24" x14ac:dyDescent="0.25">
      <c r="I1206" s="49"/>
      <c r="J1206" s="49"/>
      <c r="K1206" s="49"/>
      <c r="V1206" s="83"/>
      <c r="W1206" s="83"/>
      <c r="X1206" s="83"/>
    </row>
    <row r="1207" spans="9:24" x14ac:dyDescent="0.25">
      <c r="I1207" s="49"/>
      <c r="J1207" s="49"/>
      <c r="K1207" s="49"/>
      <c r="V1207" s="83"/>
      <c r="W1207" s="83"/>
      <c r="X1207" s="83"/>
    </row>
    <row r="1208" spans="9:24" x14ac:dyDescent="0.25">
      <c r="I1208" s="49"/>
      <c r="J1208" s="49"/>
      <c r="K1208" s="49"/>
      <c r="V1208" s="83"/>
      <c r="W1208" s="83"/>
      <c r="X1208" s="83"/>
    </row>
    <row r="1209" spans="9:24" x14ac:dyDescent="0.25">
      <c r="I1209" s="49"/>
      <c r="J1209" s="49"/>
      <c r="K1209" s="49"/>
      <c r="V1209" s="83"/>
      <c r="W1209" s="83"/>
      <c r="X1209" s="83"/>
    </row>
    <row r="1210" spans="9:24" x14ac:dyDescent="0.25">
      <c r="I1210" s="50"/>
      <c r="J1210" s="50"/>
      <c r="K1210" s="50"/>
      <c r="V1210" s="83"/>
      <c r="W1210" s="83"/>
      <c r="X1210" s="83"/>
    </row>
    <row r="1211" spans="9:24" x14ac:dyDescent="0.25">
      <c r="I1211" s="50"/>
      <c r="J1211" s="50"/>
      <c r="K1211" s="50"/>
      <c r="V1211" s="83"/>
      <c r="W1211" s="83"/>
      <c r="X1211" s="83"/>
    </row>
    <row r="1212" spans="9:24" x14ac:dyDescent="0.25">
      <c r="I1212" s="50"/>
      <c r="J1212" s="50"/>
      <c r="K1212" s="50"/>
      <c r="V1212" s="83"/>
      <c r="W1212" s="83"/>
      <c r="X1212" s="83"/>
    </row>
    <row r="1213" spans="9:24" x14ac:dyDescent="0.25">
      <c r="I1213" s="50"/>
      <c r="J1213" s="50"/>
      <c r="K1213" s="50"/>
      <c r="V1213" s="83"/>
      <c r="W1213" s="83"/>
      <c r="X1213" s="83"/>
    </row>
    <row r="1214" spans="9:24" x14ac:dyDescent="0.25">
      <c r="I1214" s="50"/>
      <c r="J1214" s="50"/>
      <c r="K1214" s="50"/>
      <c r="V1214" s="85"/>
      <c r="W1214" s="85"/>
      <c r="X1214" s="85"/>
    </row>
    <row r="1215" spans="9:24" x14ac:dyDescent="0.25">
      <c r="I1215" s="50"/>
      <c r="J1215" s="50"/>
      <c r="K1215" s="50"/>
      <c r="V1215" s="85"/>
      <c r="W1215" s="85"/>
      <c r="X1215" s="85"/>
    </row>
    <row r="1216" spans="9:24" x14ac:dyDescent="0.25">
      <c r="I1216" s="50"/>
      <c r="J1216" s="50"/>
      <c r="K1216" s="50"/>
      <c r="V1216" s="85"/>
      <c r="W1216" s="85"/>
      <c r="X1216" s="85"/>
    </row>
    <row r="1217" spans="9:24" x14ac:dyDescent="0.25">
      <c r="I1217" s="50"/>
      <c r="J1217" s="50"/>
      <c r="K1217" s="50"/>
      <c r="V1217" s="85"/>
      <c r="W1217" s="85"/>
      <c r="X1217" s="85"/>
    </row>
    <row r="1218" spans="9:24" x14ac:dyDescent="0.25">
      <c r="I1218" s="50"/>
      <c r="J1218" s="50"/>
      <c r="K1218" s="50"/>
      <c r="V1218" s="85"/>
      <c r="W1218" s="85"/>
      <c r="X1218" s="85"/>
    </row>
    <row r="1219" spans="9:24" x14ac:dyDescent="0.25">
      <c r="I1219" s="50"/>
      <c r="J1219" s="50"/>
      <c r="K1219" s="50"/>
      <c r="V1219" s="85"/>
      <c r="W1219" s="85"/>
      <c r="X1219" s="85"/>
    </row>
    <row r="1220" spans="9:24" x14ac:dyDescent="0.25">
      <c r="I1220" s="50"/>
      <c r="J1220" s="50"/>
      <c r="K1220" s="50"/>
      <c r="V1220" s="85"/>
      <c r="W1220" s="85"/>
      <c r="X1220" s="85"/>
    </row>
    <row r="1221" spans="9:24" x14ac:dyDescent="0.25">
      <c r="I1221" s="50"/>
      <c r="J1221" s="50"/>
      <c r="K1221" s="50"/>
      <c r="V1221" s="85"/>
      <c r="W1221" s="85"/>
      <c r="X1221" s="85"/>
    </row>
    <row r="1222" spans="9:24" x14ac:dyDescent="0.25">
      <c r="I1222" s="50"/>
      <c r="J1222" s="50"/>
      <c r="K1222" s="50"/>
      <c r="V1222" s="85"/>
      <c r="W1222" s="85"/>
      <c r="X1222" s="85"/>
    </row>
    <row r="1223" spans="9:24" x14ac:dyDescent="0.25">
      <c r="I1223" s="50"/>
      <c r="J1223" s="50"/>
      <c r="K1223" s="50"/>
      <c r="V1223" s="85"/>
      <c r="W1223" s="85"/>
      <c r="X1223" s="85"/>
    </row>
    <row r="1224" spans="9:24" x14ac:dyDescent="0.25">
      <c r="I1224" s="50"/>
      <c r="J1224" s="50"/>
      <c r="K1224" s="50"/>
      <c r="V1224" s="85"/>
      <c r="W1224" s="85"/>
      <c r="X1224" s="85"/>
    </row>
    <row r="1225" spans="9:24" x14ac:dyDescent="0.25">
      <c r="I1225" s="50"/>
      <c r="J1225" s="50"/>
      <c r="K1225" s="50"/>
      <c r="V1225" s="85"/>
      <c r="W1225" s="85"/>
      <c r="X1225" s="85"/>
    </row>
    <row r="1226" spans="9:24" x14ac:dyDescent="0.25">
      <c r="I1226" s="50"/>
      <c r="J1226" s="50"/>
      <c r="K1226" s="50"/>
      <c r="V1226" s="85"/>
      <c r="W1226" s="85"/>
      <c r="X1226" s="85"/>
    </row>
    <row r="1227" spans="9:24" x14ac:dyDescent="0.25">
      <c r="I1227" s="50"/>
      <c r="J1227" s="50"/>
      <c r="K1227" s="50"/>
      <c r="V1227" s="85"/>
      <c r="W1227" s="85"/>
      <c r="X1227" s="85"/>
    </row>
    <row r="1228" spans="9:24" x14ac:dyDescent="0.25">
      <c r="I1228" s="50"/>
      <c r="J1228" s="50"/>
      <c r="K1228" s="50"/>
      <c r="V1228" s="85"/>
      <c r="W1228" s="85"/>
      <c r="X1228" s="85"/>
    </row>
    <row r="1229" spans="9:24" x14ac:dyDescent="0.25">
      <c r="I1229" s="50"/>
      <c r="J1229" s="50"/>
      <c r="K1229" s="50"/>
      <c r="V1229" s="85"/>
      <c r="W1229" s="85"/>
      <c r="X1229" s="85"/>
    </row>
    <row r="1230" spans="9:24" x14ac:dyDescent="0.25">
      <c r="I1230" s="50"/>
      <c r="J1230" s="50"/>
      <c r="K1230" s="50"/>
      <c r="V1230" s="85"/>
      <c r="W1230" s="85"/>
      <c r="X1230" s="85"/>
    </row>
    <row r="1231" spans="9:24" x14ac:dyDescent="0.25">
      <c r="I1231" s="50"/>
      <c r="J1231" s="50"/>
      <c r="K1231" s="50"/>
      <c r="V1231" s="85"/>
      <c r="W1231" s="85"/>
      <c r="X1231" s="85"/>
    </row>
    <row r="1232" spans="9:24" x14ac:dyDescent="0.25">
      <c r="I1232" s="50"/>
      <c r="J1232" s="50"/>
      <c r="K1232" s="50"/>
      <c r="V1232" s="85"/>
      <c r="W1232" s="85"/>
      <c r="X1232" s="85"/>
    </row>
    <row r="1233" spans="9:24" x14ac:dyDescent="0.25">
      <c r="I1233" s="50"/>
      <c r="J1233" s="50"/>
      <c r="K1233" s="50"/>
      <c r="V1233" s="85"/>
      <c r="W1233" s="85"/>
      <c r="X1233" s="85"/>
    </row>
    <row r="1234" spans="9:24" x14ac:dyDescent="0.25">
      <c r="I1234" s="50"/>
      <c r="J1234" s="50"/>
      <c r="K1234" s="50"/>
      <c r="V1234" s="85"/>
      <c r="W1234" s="85"/>
      <c r="X1234" s="85"/>
    </row>
    <row r="1235" spans="9:24" x14ac:dyDescent="0.25">
      <c r="I1235" s="50"/>
      <c r="J1235" s="50"/>
      <c r="K1235" s="50"/>
      <c r="V1235" s="85"/>
      <c r="W1235" s="85"/>
      <c r="X1235" s="85"/>
    </row>
    <row r="1236" spans="9:24" x14ac:dyDescent="0.25">
      <c r="I1236" s="50"/>
      <c r="J1236" s="50"/>
      <c r="K1236" s="50"/>
      <c r="V1236" s="85"/>
      <c r="W1236" s="85"/>
      <c r="X1236" s="85"/>
    </row>
    <row r="1237" spans="9:24" x14ac:dyDescent="0.25">
      <c r="I1237" s="50"/>
      <c r="J1237" s="50"/>
      <c r="K1237" s="50"/>
      <c r="V1237" s="85"/>
      <c r="W1237" s="85"/>
      <c r="X1237" s="85"/>
    </row>
    <row r="1238" spans="9:24" x14ac:dyDescent="0.25">
      <c r="I1238" s="50"/>
      <c r="J1238" s="50"/>
      <c r="K1238" s="50"/>
      <c r="V1238" s="85"/>
      <c r="W1238" s="85"/>
      <c r="X1238" s="85"/>
    </row>
    <row r="1239" spans="9:24" x14ac:dyDescent="0.25">
      <c r="I1239" s="50"/>
      <c r="J1239" s="50"/>
      <c r="K1239" s="50"/>
      <c r="V1239" s="85"/>
      <c r="W1239" s="85"/>
      <c r="X1239" s="85"/>
    </row>
    <row r="1240" spans="9:24" x14ac:dyDescent="0.25">
      <c r="I1240" s="50"/>
      <c r="J1240" s="50"/>
      <c r="K1240" s="50"/>
      <c r="V1240" s="85"/>
      <c r="W1240" s="85"/>
      <c r="X1240" s="85"/>
    </row>
    <row r="1241" spans="9:24" x14ac:dyDescent="0.25">
      <c r="I1241" s="50"/>
      <c r="J1241" s="50"/>
      <c r="K1241" s="50"/>
      <c r="V1241" s="85"/>
      <c r="W1241" s="85"/>
      <c r="X1241" s="85"/>
    </row>
    <row r="1242" spans="9:24" x14ac:dyDescent="0.25">
      <c r="I1242" s="50"/>
      <c r="J1242" s="50"/>
      <c r="K1242" s="50"/>
      <c r="V1242" s="85"/>
      <c r="W1242" s="85"/>
      <c r="X1242" s="85"/>
    </row>
    <row r="1243" spans="9:24" x14ac:dyDescent="0.25">
      <c r="I1243" s="50"/>
      <c r="J1243" s="50"/>
      <c r="K1243" s="50"/>
      <c r="V1243" s="85"/>
      <c r="W1243" s="85"/>
      <c r="X1243" s="85"/>
    </row>
    <row r="1244" spans="9:24" x14ac:dyDescent="0.25">
      <c r="I1244" s="50"/>
      <c r="J1244" s="50"/>
      <c r="K1244" s="50"/>
      <c r="V1244" s="85"/>
      <c r="W1244" s="85"/>
      <c r="X1244" s="85"/>
    </row>
    <row r="1245" spans="9:24" x14ac:dyDescent="0.25">
      <c r="I1245" s="50"/>
      <c r="J1245" s="50"/>
      <c r="K1245" s="50"/>
      <c r="V1245" s="85"/>
      <c r="W1245" s="85"/>
      <c r="X1245" s="85"/>
    </row>
    <row r="1246" spans="9:24" x14ac:dyDescent="0.25">
      <c r="I1246" s="50"/>
      <c r="J1246" s="50"/>
      <c r="K1246" s="50"/>
      <c r="V1246" s="85"/>
      <c r="W1246" s="85"/>
      <c r="X1246" s="85"/>
    </row>
    <row r="1247" spans="9:24" x14ac:dyDescent="0.25">
      <c r="I1247" s="50"/>
      <c r="J1247" s="50"/>
      <c r="K1247" s="50"/>
      <c r="V1247" s="85"/>
      <c r="W1247" s="85"/>
      <c r="X1247" s="85"/>
    </row>
    <row r="1248" spans="9:24" x14ac:dyDescent="0.25">
      <c r="I1248" s="50"/>
      <c r="J1248" s="50"/>
      <c r="K1248" s="50"/>
      <c r="V1248" s="85"/>
      <c r="W1248" s="85"/>
      <c r="X1248" s="85"/>
    </row>
    <row r="1249" spans="9:24" x14ac:dyDescent="0.25">
      <c r="I1249" s="50"/>
      <c r="J1249" s="50"/>
      <c r="K1249" s="50"/>
      <c r="V1249" s="85"/>
      <c r="W1249" s="85"/>
      <c r="X1249" s="85"/>
    </row>
    <row r="1250" spans="9:24" x14ac:dyDescent="0.25">
      <c r="I1250" s="50"/>
      <c r="J1250" s="50"/>
      <c r="K1250" s="50"/>
      <c r="V1250" s="85"/>
      <c r="W1250" s="85"/>
      <c r="X1250" s="85"/>
    </row>
    <row r="1251" spans="9:24" x14ac:dyDescent="0.25">
      <c r="I1251" s="50"/>
      <c r="J1251" s="50"/>
      <c r="K1251" s="50"/>
      <c r="V1251" s="85"/>
      <c r="W1251" s="85"/>
      <c r="X1251" s="85"/>
    </row>
    <row r="1252" spans="9:24" x14ac:dyDescent="0.25">
      <c r="I1252" s="50"/>
      <c r="J1252" s="50"/>
      <c r="K1252" s="50"/>
      <c r="V1252" s="85"/>
      <c r="W1252" s="85"/>
      <c r="X1252" s="85"/>
    </row>
    <row r="1253" spans="9:24" x14ac:dyDescent="0.25">
      <c r="I1253" s="50"/>
      <c r="J1253" s="50"/>
      <c r="K1253" s="50"/>
      <c r="V1253" s="85"/>
      <c r="W1253" s="85"/>
      <c r="X1253" s="85"/>
    </row>
    <row r="1254" spans="9:24" x14ac:dyDescent="0.25">
      <c r="I1254" s="50"/>
      <c r="J1254" s="50"/>
      <c r="K1254" s="50"/>
      <c r="V1254" s="85"/>
      <c r="W1254" s="85"/>
      <c r="X1254" s="85"/>
    </row>
    <row r="1255" spans="9:24" x14ac:dyDescent="0.25">
      <c r="I1255" s="50"/>
      <c r="J1255" s="50"/>
      <c r="K1255" s="50"/>
      <c r="V1255" s="85"/>
      <c r="W1255" s="85"/>
      <c r="X1255" s="85"/>
    </row>
    <row r="1256" spans="9:24" x14ac:dyDescent="0.25">
      <c r="I1256" s="50"/>
      <c r="J1256" s="50"/>
      <c r="K1256" s="50"/>
      <c r="V1256" s="85"/>
      <c r="W1256" s="85"/>
      <c r="X1256" s="85"/>
    </row>
    <row r="1257" spans="9:24" x14ac:dyDescent="0.25">
      <c r="I1257" s="50"/>
      <c r="J1257" s="50"/>
      <c r="K1257" s="50"/>
      <c r="V1257" s="85"/>
      <c r="W1257" s="85"/>
      <c r="X1257" s="85"/>
    </row>
    <row r="1258" spans="9:24" x14ac:dyDescent="0.25">
      <c r="I1258" s="50"/>
      <c r="J1258" s="50"/>
      <c r="K1258" s="50"/>
      <c r="V1258" s="85"/>
      <c r="W1258" s="85"/>
      <c r="X1258" s="85"/>
    </row>
    <row r="1259" spans="9:24" x14ac:dyDescent="0.25">
      <c r="I1259" s="50"/>
      <c r="J1259" s="50"/>
      <c r="K1259" s="50"/>
      <c r="V1259" s="85"/>
      <c r="W1259" s="85"/>
      <c r="X1259" s="85"/>
    </row>
    <row r="1260" spans="9:24" x14ac:dyDescent="0.25">
      <c r="I1260" s="50"/>
      <c r="J1260" s="50"/>
      <c r="K1260" s="50"/>
      <c r="V1260" s="85"/>
      <c r="W1260" s="85"/>
      <c r="X1260" s="85"/>
    </row>
    <row r="1261" spans="9:24" x14ac:dyDescent="0.25">
      <c r="I1261" s="50"/>
      <c r="J1261" s="50"/>
      <c r="K1261" s="50"/>
      <c r="V1261" s="85"/>
      <c r="W1261" s="85"/>
      <c r="X1261" s="85"/>
    </row>
    <row r="1262" spans="9:24" x14ac:dyDescent="0.25">
      <c r="I1262" s="50"/>
      <c r="J1262" s="50"/>
      <c r="K1262" s="50"/>
      <c r="V1262" s="85"/>
      <c r="W1262" s="85"/>
      <c r="X1262" s="85"/>
    </row>
    <row r="1263" spans="9:24" x14ac:dyDescent="0.25">
      <c r="I1263" s="50"/>
      <c r="J1263" s="50"/>
      <c r="K1263" s="50"/>
      <c r="V1263" s="85"/>
      <c r="W1263" s="85"/>
      <c r="X1263" s="85"/>
    </row>
    <row r="1264" spans="9:24" x14ac:dyDescent="0.25">
      <c r="I1264" s="50"/>
      <c r="J1264" s="50"/>
      <c r="K1264" s="50"/>
      <c r="V1264" s="85"/>
      <c r="W1264" s="85"/>
      <c r="X1264" s="85"/>
    </row>
    <row r="1265" spans="9:24" x14ac:dyDescent="0.25">
      <c r="I1265" s="50"/>
      <c r="J1265" s="50"/>
      <c r="K1265" s="50"/>
      <c r="V1265" s="85"/>
      <c r="W1265" s="85"/>
      <c r="X1265" s="85"/>
    </row>
    <row r="1266" spans="9:24" x14ac:dyDescent="0.25">
      <c r="I1266" s="50"/>
      <c r="J1266" s="50"/>
      <c r="K1266" s="50"/>
      <c r="V1266" s="85"/>
      <c r="W1266" s="85"/>
      <c r="X1266" s="85"/>
    </row>
    <row r="1267" spans="9:24" x14ac:dyDescent="0.25">
      <c r="I1267" s="50"/>
      <c r="J1267" s="50"/>
      <c r="K1267" s="50"/>
      <c r="V1267" s="85"/>
      <c r="W1267" s="85"/>
      <c r="X1267" s="85"/>
    </row>
    <row r="1268" spans="9:24" x14ac:dyDescent="0.25">
      <c r="I1268" s="50"/>
      <c r="J1268" s="50"/>
      <c r="K1268" s="50"/>
      <c r="V1268" s="85"/>
      <c r="W1268" s="85"/>
      <c r="X1268" s="85"/>
    </row>
    <row r="1269" spans="9:24" x14ac:dyDescent="0.25">
      <c r="I1269" s="50"/>
      <c r="J1269" s="50"/>
      <c r="K1269" s="50"/>
      <c r="V1269" s="85"/>
      <c r="W1269" s="85"/>
      <c r="X1269" s="85"/>
    </row>
    <row r="1270" spans="9:24" x14ac:dyDescent="0.25">
      <c r="I1270" s="50"/>
      <c r="J1270" s="50"/>
      <c r="K1270" s="50"/>
      <c r="V1270" s="85"/>
      <c r="W1270" s="85"/>
      <c r="X1270" s="85"/>
    </row>
    <row r="1271" spans="9:24" x14ac:dyDescent="0.25">
      <c r="I1271" s="50"/>
      <c r="J1271" s="50"/>
      <c r="K1271" s="50"/>
      <c r="V1271" s="85"/>
      <c r="W1271" s="85"/>
      <c r="X1271" s="85"/>
    </row>
    <row r="1272" spans="9:24" x14ac:dyDescent="0.25">
      <c r="I1272" s="50"/>
      <c r="J1272" s="50"/>
      <c r="K1272" s="50"/>
      <c r="V1272" s="85"/>
      <c r="W1272" s="85"/>
      <c r="X1272" s="85"/>
    </row>
    <row r="1273" spans="9:24" x14ac:dyDescent="0.25">
      <c r="I1273" s="50"/>
      <c r="J1273" s="50"/>
      <c r="K1273" s="50"/>
      <c r="V1273" s="85"/>
      <c r="W1273" s="85"/>
      <c r="X1273" s="85"/>
    </row>
    <row r="1274" spans="9:24" x14ac:dyDescent="0.25">
      <c r="I1274" s="50"/>
      <c r="J1274" s="50"/>
      <c r="K1274" s="50"/>
      <c r="V1274" s="85"/>
      <c r="W1274" s="85"/>
      <c r="X1274" s="85"/>
    </row>
    <row r="1275" spans="9:24" x14ac:dyDescent="0.25">
      <c r="I1275" s="50"/>
      <c r="J1275" s="50"/>
      <c r="K1275" s="50"/>
      <c r="V1275" s="85"/>
      <c r="W1275" s="85"/>
      <c r="X1275" s="85"/>
    </row>
    <row r="1276" spans="9:24" x14ac:dyDescent="0.25">
      <c r="I1276" s="50"/>
      <c r="J1276" s="50"/>
      <c r="K1276" s="50"/>
      <c r="V1276" s="85"/>
      <c r="W1276" s="85"/>
      <c r="X1276" s="85"/>
    </row>
    <row r="1277" spans="9:24" x14ac:dyDescent="0.25">
      <c r="I1277" s="50"/>
      <c r="J1277" s="50"/>
      <c r="K1277" s="50"/>
      <c r="V1277" s="85"/>
      <c r="W1277" s="85"/>
      <c r="X1277" s="85"/>
    </row>
    <row r="1278" spans="9:24" x14ac:dyDescent="0.25">
      <c r="I1278" s="50"/>
      <c r="J1278" s="50"/>
      <c r="K1278" s="50"/>
      <c r="V1278" s="85"/>
      <c r="W1278" s="85"/>
      <c r="X1278" s="85"/>
    </row>
    <row r="1279" spans="9:24" x14ac:dyDescent="0.25">
      <c r="I1279" s="50"/>
      <c r="J1279" s="50"/>
      <c r="K1279" s="50"/>
      <c r="V1279" s="85"/>
      <c r="W1279" s="85"/>
      <c r="X1279" s="85"/>
    </row>
    <row r="1280" spans="9:24" x14ac:dyDescent="0.25">
      <c r="I1280" s="50"/>
      <c r="J1280" s="50"/>
      <c r="K1280" s="50"/>
      <c r="V1280" s="85"/>
      <c r="W1280" s="85"/>
      <c r="X1280" s="85"/>
    </row>
    <row r="1281" spans="9:24" x14ac:dyDescent="0.25">
      <c r="I1281" s="50"/>
      <c r="J1281" s="50"/>
      <c r="K1281" s="50"/>
      <c r="V1281" s="85"/>
      <c r="W1281" s="85"/>
      <c r="X1281" s="85"/>
    </row>
    <row r="1282" spans="9:24" x14ac:dyDescent="0.25">
      <c r="I1282" s="50"/>
      <c r="J1282" s="50"/>
      <c r="K1282" s="50"/>
      <c r="V1282" s="85"/>
      <c r="W1282" s="85"/>
      <c r="X1282" s="85"/>
    </row>
    <row r="1283" spans="9:24" x14ac:dyDescent="0.25">
      <c r="I1283" s="50"/>
      <c r="J1283" s="50"/>
      <c r="K1283" s="50"/>
      <c r="V1283" s="85"/>
      <c r="W1283" s="85"/>
      <c r="X1283" s="85"/>
    </row>
    <row r="1284" spans="9:24" x14ac:dyDescent="0.25">
      <c r="I1284" s="50"/>
      <c r="J1284" s="50"/>
      <c r="K1284" s="50"/>
      <c r="V1284" s="85"/>
      <c r="W1284" s="85"/>
      <c r="X1284" s="85"/>
    </row>
    <row r="1285" spans="9:24" x14ac:dyDescent="0.25">
      <c r="I1285" s="50"/>
      <c r="J1285" s="50"/>
      <c r="K1285" s="50"/>
      <c r="V1285" s="85"/>
      <c r="W1285" s="85"/>
      <c r="X1285" s="85"/>
    </row>
    <row r="1286" spans="9:24" x14ac:dyDescent="0.25">
      <c r="I1286" s="50"/>
      <c r="J1286" s="50"/>
      <c r="K1286" s="50"/>
      <c r="V1286" s="85"/>
      <c r="W1286" s="85"/>
      <c r="X1286" s="85"/>
    </row>
    <row r="1287" spans="9:24" x14ac:dyDescent="0.25">
      <c r="I1287" s="50"/>
      <c r="J1287" s="50"/>
      <c r="K1287" s="50"/>
      <c r="V1287" s="85"/>
      <c r="W1287" s="85"/>
      <c r="X1287" s="85"/>
    </row>
    <row r="1288" spans="9:24" x14ac:dyDescent="0.25">
      <c r="I1288" s="50"/>
      <c r="J1288" s="50"/>
      <c r="K1288" s="50"/>
      <c r="V1288" s="85"/>
      <c r="W1288" s="85"/>
      <c r="X1288" s="85"/>
    </row>
    <row r="1289" spans="9:24" x14ac:dyDescent="0.25">
      <c r="I1289" s="50"/>
      <c r="J1289" s="50"/>
      <c r="K1289" s="50"/>
      <c r="V1289" s="85"/>
      <c r="W1289" s="85"/>
      <c r="X1289" s="85"/>
    </row>
    <row r="1290" spans="9:24" x14ac:dyDescent="0.25">
      <c r="I1290" s="50"/>
      <c r="J1290" s="50"/>
      <c r="K1290" s="50"/>
      <c r="V1290" s="85"/>
      <c r="W1290" s="85"/>
      <c r="X1290" s="85"/>
    </row>
    <row r="1291" spans="9:24" x14ac:dyDescent="0.25">
      <c r="I1291" s="50"/>
      <c r="J1291" s="50"/>
      <c r="K1291" s="50"/>
      <c r="V1291" s="85"/>
      <c r="W1291" s="85"/>
      <c r="X1291" s="85"/>
    </row>
    <row r="1292" spans="9:24" x14ac:dyDescent="0.25">
      <c r="I1292" s="50"/>
      <c r="J1292" s="50"/>
      <c r="K1292" s="50"/>
      <c r="V1292" s="85"/>
      <c r="W1292" s="85"/>
      <c r="X1292" s="85"/>
    </row>
    <row r="1293" spans="9:24" x14ac:dyDescent="0.25">
      <c r="I1293" s="50"/>
      <c r="J1293" s="50"/>
      <c r="K1293" s="50"/>
      <c r="V1293" s="85"/>
      <c r="W1293" s="85"/>
      <c r="X1293" s="85"/>
    </row>
    <row r="1294" spans="9:24" x14ac:dyDescent="0.25">
      <c r="I1294" s="50"/>
      <c r="J1294" s="50"/>
      <c r="K1294" s="50"/>
      <c r="V1294" s="85"/>
      <c r="W1294" s="85"/>
      <c r="X1294" s="85"/>
    </row>
    <row r="1295" spans="9:24" x14ac:dyDescent="0.25">
      <c r="I1295" s="50"/>
      <c r="J1295" s="50"/>
      <c r="K1295" s="50"/>
      <c r="V1295" s="85"/>
      <c r="W1295" s="85"/>
      <c r="X1295" s="85"/>
    </row>
    <row r="1296" spans="9:24" x14ac:dyDescent="0.25">
      <c r="I1296" s="50"/>
      <c r="J1296" s="50"/>
      <c r="K1296" s="50"/>
      <c r="V1296" s="85"/>
      <c r="W1296" s="85"/>
      <c r="X1296" s="85"/>
    </row>
    <row r="1297" spans="9:24" x14ac:dyDescent="0.25">
      <c r="I1297" s="50"/>
      <c r="J1297" s="50"/>
      <c r="K1297" s="50"/>
      <c r="V1297" s="85"/>
      <c r="W1297" s="85"/>
      <c r="X1297" s="85"/>
    </row>
    <row r="1298" spans="9:24" x14ac:dyDescent="0.25">
      <c r="I1298" s="50"/>
      <c r="J1298" s="50"/>
      <c r="K1298" s="50"/>
      <c r="V1298" s="85"/>
      <c r="W1298" s="85"/>
      <c r="X1298" s="85"/>
    </row>
    <row r="1299" spans="9:24" x14ac:dyDescent="0.25">
      <c r="I1299" s="50"/>
      <c r="J1299" s="50"/>
      <c r="K1299" s="50"/>
      <c r="V1299" s="85"/>
      <c r="W1299" s="85"/>
      <c r="X1299" s="85"/>
    </row>
    <row r="1300" spans="9:24" x14ac:dyDescent="0.25">
      <c r="I1300" s="50"/>
      <c r="J1300" s="50"/>
      <c r="K1300" s="50"/>
      <c r="V1300" s="85"/>
      <c r="W1300" s="85"/>
      <c r="X1300" s="85"/>
    </row>
    <row r="1301" spans="9:24" x14ac:dyDescent="0.25">
      <c r="I1301" s="50"/>
      <c r="J1301" s="50"/>
      <c r="K1301" s="50"/>
      <c r="V1301" s="85"/>
      <c r="W1301" s="85"/>
      <c r="X1301" s="85"/>
    </row>
    <row r="1302" spans="9:24" x14ac:dyDescent="0.25">
      <c r="I1302" s="50"/>
      <c r="J1302" s="50"/>
      <c r="K1302" s="50"/>
      <c r="V1302" s="85"/>
      <c r="W1302" s="85"/>
      <c r="X1302" s="85"/>
    </row>
    <row r="1303" spans="9:24" x14ac:dyDescent="0.25">
      <c r="I1303" s="50"/>
      <c r="J1303" s="50"/>
      <c r="K1303" s="50"/>
      <c r="V1303" s="85"/>
      <c r="W1303" s="85"/>
      <c r="X1303" s="85"/>
    </row>
    <row r="1304" spans="9:24" x14ac:dyDescent="0.25">
      <c r="I1304" s="50"/>
      <c r="J1304" s="50"/>
      <c r="K1304" s="50"/>
      <c r="V1304" s="85"/>
      <c r="W1304" s="85"/>
      <c r="X1304" s="85"/>
    </row>
    <row r="1305" spans="9:24" x14ac:dyDescent="0.25">
      <c r="I1305" s="50"/>
      <c r="J1305" s="50"/>
      <c r="K1305" s="50"/>
      <c r="V1305" s="85"/>
      <c r="W1305" s="85"/>
      <c r="X1305" s="85"/>
    </row>
    <row r="1306" spans="9:24" x14ac:dyDescent="0.25">
      <c r="I1306" s="50"/>
      <c r="J1306" s="50"/>
      <c r="K1306" s="50"/>
      <c r="V1306" s="85"/>
      <c r="W1306" s="85"/>
      <c r="X1306" s="85"/>
    </row>
    <row r="1307" spans="9:24" x14ac:dyDescent="0.25">
      <c r="I1307" s="50"/>
      <c r="J1307" s="50"/>
      <c r="K1307" s="50"/>
      <c r="V1307" s="85"/>
      <c r="W1307" s="85"/>
      <c r="X1307" s="85"/>
    </row>
    <row r="1308" spans="9:24" x14ac:dyDescent="0.25">
      <c r="I1308" s="50"/>
      <c r="J1308" s="50"/>
      <c r="K1308" s="50"/>
      <c r="V1308" s="85"/>
      <c r="W1308" s="85"/>
      <c r="X1308" s="85"/>
    </row>
    <row r="1309" spans="9:24" x14ac:dyDescent="0.25">
      <c r="I1309" s="50"/>
      <c r="J1309" s="50"/>
      <c r="K1309" s="50"/>
      <c r="V1309" s="85"/>
      <c r="W1309" s="85"/>
      <c r="X1309" s="85"/>
    </row>
    <row r="1310" spans="9:24" x14ac:dyDescent="0.25">
      <c r="I1310" s="50"/>
      <c r="J1310" s="50"/>
      <c r="K1310" s="50"/>
      <c r="V1310" s="85"/>
      <c r="W1310" s="85"/>
      <c r="X1310" s="85"/>
    </row>
    <row r="1311" spans="9:24" x14ac:dyDescent="0.25">
      <c r="I1311" s="50"/>
      <c r="J1311" s="50"/>
      <c r="K1311" s="50"/>
      <c r="V1311" s="85"/>
      <c r="W1311" s="85"/>
      <c r="X1311" s="85"/>
    </row>
    <row r="1312" spans="9:24" x14ac:dyDescent="0.25">
      <c r="I1312" s="50"/>
      <c r="J1312" s="50"/>
      <c r="K1312" s="50"/>
      <c r="V1312" s="85"/>
      <c r="W1312" s="85"/>
      <c r="X1312" s="85"/>
    </row>
    <row r="1313" spans="9:24" x14ac:dyDescent="0.25">
      <c r="I1313" s="50"/>
      <c r="J1313" s="50"/>
      <c r="K1313" s="50"/>
      <c r="V1313" s="85"/>
      <c r="W1313" s="85"/>
      <c r="X1313" s="85"/>
    </row>
    <row r="1314" spans="9:24" x14ac:dyDescent="0.25">
      <c r="I1314" s="50"/>
      <c r="J1314" s="50"/>
      <c r="K1314" s="50"/>
      <c r="V1314" s="85"/>
      <c r="W1314" s="85"/>
      <c r="X1314" s="85"/>
    </row>
    <row r="1315" spans="9:24" x14ac:dyDescent="0.25">
      <c r="I1315" s="50"/>
      <c r="J1315" s="50"/>
      <c r="K1315" s="50"/>
      <c r="V1315" s="85"/>
      <c r="W1315" s="85"/>
      <c r="X1315" s="85"/>
    </row>
    <row r="1316" spans="9:24" x14ac:dyDescent="0.25">
      <c r="I1316" s="50"/>
      <c r="J1316" s="50"/>
      <c r="K1316" s="50"/>
      <c r="V1316" s="85"/>
      <c r="W1316" s="85"/>
      <c r="X1316" s="85"/>
    </row>
    <row r="1317" spans="9:24" x14ac:dyDescent="0.25">
      <c r="I1317" s="50"/>
      <c r="J1317" s="50"/>
      <c r="K1317" s="50"/>
      <c r="V1317" s="85"/>
      <c r="W1317" s="85"/>
      <c r="X1317" s="85"/>
    </row>
    <row r="1318" spans="9:24" x14ac:dyDescent="0.25">
      <c r="I1318" s="50"/>
      <c r="J1318" s="50"/>
      <c r="K1318" s="50"/>
      <c r="V1318" s="85"/>
      <c r="W1318" s="85"/>
      <c r="X1318" s="85"/>
    </row>
    <row r="1319" spans="9:24" x14ac:dyDescent="0.25">
      <c r="I1319" s="50"/>
      <c r="J1319" s="50"/>
      <c r="K1319" s="50"/>
      <c r="V1319" s="85"/>
      <c r="W1319" s="85"/>
      <c r="X1319" s="85"/>
    </row>
    <row r="1320" spans="9:24" x14ac:dyDescent="0.25">
      <c r="I1320" s="50"/>
      <c r="J1320" s="50"/>
      <c r="K1320" s="50"/>
      <c r="V1320" s="85"/>
      <c r="W1320" s="85"/>
      <c r="X1320" s="85"/>
    </row>
    <row r="1321" spans="9:24" x14ac:dyDescent="0.25">
      <c r="I1321" s="50"/>
      <c r="J1321" s="50"/>
      <c r="K1321" s="50"/>
      <c r="V1321" s="85"/>
      <c r="W1321" s="85"/>
      <c r="X1321" s="85"/>
    </row>
    <row r="1322" spans="9:24" x14ac:dyDescent="0.25">
      <c r="I1322" s="50"/>
      <c r="J1322" s="50"/>
      <c r="K1322" s="50"/>
      <c r="V1322" s="85"/>
      <c r="W1322" s="85"/>
      <c r="X1322" s="85"/>
    </row>
    <row r="1323" spans="9:24" x14ac:dyDescent="0.25">
      <c r="I1323" s="50"/>
      <c r="J1323" s="50"/>
      <c r="K1323" s="50"/>
      <c r="V1323" s="85"/>
      <c r="W1323" s="85"/>
      <c r="X1323" s="85"/>
    </row>
    <row r="1324" spans="9:24" x14ac:dyDescent="0.25">
      <c r="I1324" s="50"/>
      <c r="J1324" s="50"/>
      <c r="K1324" s="50"/>
      <c r="V1324" s="85"/>
      <c r="W1324" s="85"/>
      <c r="X1324" s="85"/>
    </row>
    <row r="1325" spans="9:24" x14ac:dyDescent="0.25">
      <c r="I1325" s="50"/>
      <c r="J1325" s="50"/>
      <c r="K1325" s="50"/>
      <c r="V1325" s="85"/>
      <c r="W1325" s="85"/>
      <c r="X1325" s="85"/>
    </row>
    <row r="1326" spans="9:24" x14ac:dyDescent="0.25">
      <c r="I1326" s="50"/>
      <c r="J1326" s="50"/>
      <c r="K1326" s="50"/>
      <c r="V1326" s="85"/>
      <c r="W1326" s="85"/>
      <c r="X1326" s="85"/>
    </row>
    <row r="1327" spans="9:24" x14ac:dyDescent="0.25">
      <c r="I1327" s="50"/>
      <c r="J1327" s="50"/>
      <c r="K1327" s="50"/>
      <c r="V1327" s="85"/>
      <c r="W1327" s="85"/>
      <c r="X1327" s="85"/>
    </row>
    <row r="1328" spans="9:24" x14ac:dyDescent="0.25">
      <c r="I1328" s="50"/>
      <c r="J1328" s="50"/>
      <c r="K1328" s="50"/>
      <c r="V1328" s="85"/>
      <c r="W1328" s="85"/>
      <c r="X1328" s="85"/>
    </row>
    <row r="1329" spans="9:24" x14ac:dyDescent="0.25">
      <c r="I1329" s="50"/>
      <c r="J1329" s="50"/>
      <c r="K1329" s="50"/>
      <c r="V1329" s="85"/>
      <c r="W1329" s="85"/>
      <c r="X1329" s="85"/>
    </row>
    <row r="1330" spans="9:24" x14ac:dyDescent="0.25">
      <c r="I1330" s="50"/>
      <c r="J1330" s="50"/>
      <c r="K1330" s="50"/>
      <c r="V1330" s="85"/>
      <c r="W1330" s="85"/>
      <c r="X1330" s="85"/>
    </row>
    <row r="1331" spans="9:24" x14ac:dyDescent="0.25">
      <c r="I1331" s="50"/>
      <c r="J1331" s="50"/>
      <c r="K1331" s="50"/>
      <c r="V1331" s="85"/>
      <c r="W1331" s="85"/>
      <c r="X1331" s="85"/>
    </row>
    <row r="1332" spans="9:24" x14ac:dyDescent="0.25">
      <c r="I1332" s="50"/>
      <c r="J1332" s="50"/>
      <c r="K1332" s="50"/>
      <c r="V1332" s="85"/>
      <c r="W1332" s="85"/>
      <c r="X1332" s="85"/>
    </row>
    <row r="1333" spans="9:24" x14ac:dyDescent="0.25">
      <c r="I1333" s="50"/>
      <c r="J1333" s="50"/>
      <c r="K1333" s="50"/>
      <c r="V1333" s="85"/>
      <c r="W1333" s="85"/>
      <c r="X1333" s="85"/>
    </row>
    <row r="1334" spans="9:24" x14ac:dyDescent="0.25">
      <c r="I1334" s="50"/>
      <c r="J1334" s="50"/>
      <c r="K1334" s="50"/>
      <c r="V1334" s="85"/>
      <c r="W1334" s="85"/>
      <c r="X1334" s="85"/>
    </row>
    <row r="1335" spans="9:24" x14ac:dyDescent="0.25">
      <c r="I1335" s="50"/>
      <c r="J1335" s="50"/>
      <c r="K1335" s="50"/>
      <c r="V1335" s="85"/>
      <c r="W1335" s="85"/>
      <c r="X1335" s="85"/>
    </row>
    <row r="1336" spans="9:24" x14ac:dyDescent="0.25">
      <c r="I1336" s="50"/>
      <c r="J1336" s="50"/>
      <c r="K1336" s="50"/>
      <c r="V1336" s="85"/>
      <c r="W1336" s="85"/>
      <c r="X1336" s="85"/>
    </row>
    <row r="1337" spans="9:24" x14ac:dyDescent="0.25">
      <c r="I1337" s="50"/>
      <c r="J1337" s="50"/>
      <c r="K1337" s="50"/>
      <c r="V1337" s="85"/>
      <c r="W1337" s="85"/>
      <c r="X1337" s="85"/>
    </row>
    <row r="1338" spans="9:24" x14ac:dyDescent="0.25">
      <c r="I1338" s="50"/>
      <c r="J1338" s="50"/>
      <c r="K1338" s="50"/>
      <c r="V1338" s="85"/>
      <c r="W1338" s="85"/>
      <c r="X1338" s="85"/>
    </row>
    <row r="1339" spans="9:24" x14ac:dyDescent="0.25">
      <c r="I1339" s="50"/>
      <c r="J1339" s="50"/>
      <c r="K1339" s="50"/>
      <c r="V1339" s="85"/>
      <c r="W1339" s="85"/>
      <c r="X1339" s="85"/>
    </row>
    <row r="1340" spans="9:24" x14ac:dyDescent="0.25">
      <c r="I1340" s="50"/>
      <c r="J1340" s="50"/>
      <c r="K1340" s="50"/>
      <c r="V1340" s="85"/>
      <c r="W1340" s="85"/>
      <c r="X1340" s="85"/>
    </row>
    <row r="1341" spans="9:24" x14ac:dyDescent="0.25">
      <c r="I1341" s="50"/>
      <c r="J1341" s="50"/>
      <c r="K1341" s="50"/>
      <c r="V1341" s="85"/>
      <c r="W1341" s="85"/>
      <c r="X1341" s="85"/>
    </row>
    <row r="1342" spans="9:24" x14ac:dyDescent="0.25">
      <c r="I1342" s="50"/>
      <c r="J1342" s="50"/>
      <c r="K1342" s="50"/>
      <c r="V1342" s="85"/>
      <c r="W1342" s="85"/>
      <c r="X1342" s="85"/>
    </row>
    <row r="1343" spans="9:24" x14ac:dyDescent="0.25">
      <c r="I1343" s="50"/>
      <c r="J1343" s="50"/>
      <c r="K1343" s="50"/>
      <c r="V1343" s="85"/>
      <c r="W1343" s="85"/>
      <c r="X1343" s="85"/>
    </row>
    <row r="1344" spans="9:24" x14ac:dyDescent="0.25">
      <c r="I1344" s="50"/>
      <c r="J1344" s="50"/>
      <c r="K1344" s="50"/>
      <c r="V1344" s="85"/>
      <c r="W1344" s="85"/>
      <c r="X1344" s="85"/>
    </row>
    <row r="1345" spans="9:24" x14ac:dyDescent="0.25">
      <c r="I1345" s="50"/>
      <c r="J1345" s="50"/>
      <c r="K1345" s="50"/>
      <c r="V1345" s="85"/>
      <c r="W1345" s="85"/>
      <c r="X1345" s="85"/>
    </row>
    <row r="1346" spans="9:24" x14ac:dyDescent="0.25">
      <c r="I1346" s="50"/>
      <c r="J1346" s="50"/>
      <c r="K1346" s="50"/>
      <c r="V1346" s="85"/>
      <c r="W1346" s="85"/>
      <c r="X1346" s="85"/>
    </row>
    <row r="1347" spans="9:24" x14ac:dyDescent="0.25">
      <c r="I1347" s="50"/>
      <c r="J1347" s="50"/>
      <c r="K1347" s="50"/>
      <c r="V1347" s="85"/>
      <c r="W1347" s="85"/>
      <c r="X1347" s="85"/>
    </row>
    <row r="1348" spans="9:24" x14ac:dyDescent="0.25">
      <c r="I1348" s="50"/>
      <c r="J1348" s="50"/>
      <c r="K1348" s="50"/>
      <c r="V1348" s="85"/>
      <c r="W1348" s="85"/>
      <c r="X1348" s="85"/>
    </row>
    <row r="1349" spans="9:24" x14ac:dyDescent="0.25">
      <c r="I1349" s="50"/>
      <c r="J1349" s="50"/>
      <c r="K1349" s="50"/>
      <c r="V1349" s="85"/>
      <c r="W1349" s="85"/>
      <c r="X1349" s="85"/>
    </row>
    <row r="1350" spans="9:24" x14ac:dyDescent="0.25">
      <c r="I1350" s="50"/>
      <c r="J1350" s="50"/>
      <c r="K1350" s="50"/>
      <c r="V1350" s="85"/>
      <c r="W1350" s="85"/>
      <c r="X1350" s="85"/>
    </row>
    <row r="1351" spans="9:24" x14ac:dyDescent="0.25">
      <c r="I1351" s="50"/>
      <c r="J1351" s="50"/>
      <c r="K1351" s="50"/>
      <c r="V1351" s="85"/>
      <c r="W1351" s="85"/>
      <c r="X1351" s="85"/>
    </row>
    <row r="1352" spans="9:24" x14ac:dyDescent="0.25">
      <c r="I1352" s="50"/>
      <c r="J1352" s="50"/>
      <c r="K1352" s="50"/>
      <c r="V1352" s="85"/>
      <c r="W1352" s="85"/>
      <c r="X1352" s="85"/>
    </row>
    <row r="1353" spans="9:24" x14ac:dyDescent="0.25">
      <c r="I1353" s="50"/>
      <c r="J1353" s="50"/>
      <c r="K1353" s="50"/>
      <c r="V1353" s="85"/>
      <c r="W1353" s="85"/>
      <c r="X1353" s="85"/>
    </row>
    <row r="1354" spans="9:24" x14ac:dyDescent="0.25">
      <c r="I1354" s="50"/>
      <c r="J1354" s="50"/>
      <c r="K1354" s="50"/>
      <c r="V1354" s="85"/>
      <c r="W1354" s="85"/>
      <c r="X1354" s="85"/>
    </row>
    <row r="1355" spans="9:24" x14ac:dyDescent="0.25">
      <c r="I1355" s="50"/>
      <c r="J1355" s="50"/>
      <c r="K1355" s="50"/>
      <c r="V1355" s="85"/>
      <c r="W1355" s="85"/>
      <c r="X1355" s="85"/>
    </row>
    <row r="1356" spans="9:24" x14ac:dyDescent="0.25">
      <c r="I1356" s="50"/>
      <c r="J1356" s="50"/>
      <c r="K1356" s="50"/>
      <c r="V1356" s="85"/>
      <c r="W1356" s="85"/>
      <c r="X1356" s="85"/>
    </row>
    <row r="1357" spans="9:24" x14ac:dyDescent="0.25">
      <c r="I1357" s="50"/>
      <c r="J1357" s="50"/>
      <c r="K1357" s="50"/>
      <c r="V1357" s="85"/>
      <c r="W1357" s="85"/>
      <c r="X1357" s="85"/>
    </row>
    <row r="1358" spans="9:24" x14ac:dyDescent="0.25">
      <c r="I1358" s="50"/>
      <c r="J1358" s="50"/>
      <c r="K1358" s="50"/>
      <c r="V1358" s="85"/>
      <c r="W1358" s="85"/>
      <c r="X1358" s="85"/>
    </row>
    <row r="1359" spans="9:24" x14ac:dyDescent="0.25">
      <c r="I1359" s="50"/>
      <c r="J1359" s="50"/>
      <c r="K1359" s="50"/>
      <c r="V1359" s="85"/>
      <c r="W1359" s="85"/>
      <c r="X1359" s="85"/>
    </row>
    <row r="1360" spans="9:24" x14ac:dyDescent="0.25">
      <c r="I1360" s="50"/>
      <c r="J1360" s="50"/>
      <c r="K1360" s="50"/>
      <c r="V1360" s="85"/>
      <c r="W1360" s="85"/>
      <c r="X1360" s="85"/>
    </row>
    <row r="1361" spans="9:24" x14ac:dyDescent="0.25">
      <c r="I1361" s="50"/>
      <c r="J1361" s="50"/>
      <c r="K1361" s="50"/>
      <c r="V1361" s="85"/>
      <c r="W1361" s="85"/>
      <c r="X1361" s="85"/>
    </row>
    <row r="1362" spans="9:24" x14ac:dyDescent="0.25">
      <c r="I1362" s="50"/>
      <c r="J1362" s="50"/>
      <c r="K1362" s="50"/>
      <c r="V1362" s="85"/>
      <c r="W1362" s="85"/>
      <c r="X1362" s="85"/>
    </row>
    <row r="1363" spans="9:24" x14ac:dyDescent="0.25">
      <c r="I1363" s="50"/>
      <c r="J1363" s="50"/>
      <c r="K1363" s="50"/>
      <c r="V1363" s="85"/>
      <c r="W1363" s="85"/>
      <c r="X1363" s="85"/>
    </row>
    <row r="1364" spans="9:24" x14ac:dyDescent="0.25">
      <c r="I1364" s="50"/>
      <c r="J1364" s="50"/>
      <c r="K1364" s="50"/>
      <c r="V1364" s="85"/>
      <c r="W1364" s="85"/>
      <c r="X1364" s="85"/>
    </row>
    <row r="1365" spans="9:24" x14ac:dyDescent="0.25">
      <c r="I1365" s="50"/>
      <c r="J1365" s="50"/>
      <c r="K1365" s="50"/>
      <c r="V1365" s="85"/>
      <c r="W1365" s="85"/>
      <c r="X1365" s="85"/>
    </row>
    <row r="1366" spans="9:24" x14ac:dyDescent="0.25">
      <c r="I1366" s="50"/>
      <c r="J1366" s="50"/>
      <c r="K1366" s="50"/>
      <c r="V1366" s="85"/>
      <c r="W1366" s="85"/>
      <c r="X1366" s="85"/>
    </row>
    <row r="1367" spans="9:24" x14ac:dyDescent="0.25">
      <c r="I1367" s="50"/>
      <c r="J1367" s="50"/>
      <c r="K1367" s="50"/>
      <c r="V1367" s="85"/>
      <c r="W1367" s="85"/>
      <c r="X1367" s="85"/>
    </row>
    <row r="1368" spans="9:24" x14ac:dyDescent="0.25">
      <c r="I1368" s="50"/>
      <c r="J1368" s="50"/>
      <c r="K1368" s="50"/>
      <c r="V1368" s="85"/>
      <c r="W1368" s="85"/>
      <c r="X1368" s="85"/>
    </row>
    <row r="1369" spans="9:24" x14ac:dyDescent="0.25">
      <c r="I1369" s="50"/>
      <c r="J1369" s="50"/>
      <c r="K1369" s="50"/>
      <c r="V1369" s="85"/>
      <c r="W1369" s="85"/>
      <c r="X1369" s="85"/>
    </row>
    <row r="1370" spans="9:24" x14ac:dyDescent="0.25">
      <c r="I1370" s="50"/>
      <c r="J1370" s="50"/>
      <c r="K1370" s="50"/>
      <c r="V1370" s="85"/>
      <c r="W1370" s="85"/>
      <c r="X1370" s="85"/>
    </row>
    <row r="1371" spans="9:24" x14ac:dyDescent="0.25">
      <c r="I1371" s="50"/>
      <c r="J1371" s="50"/>
      <c r="K1371" s="50"/>
      <c r="V1371" s="85"/>
      <c r="W1371" s="85"/>
      <c r="X1371" s="85"/>
    </row>
    <row r="1372" spans="9:24" x14ac:dyDescent="0.25">
      <c r="I1372" s="50"/>
      <c r="J1372" s="50"/>
      <c r="K1372" s="50"/>
      <c r="V1372" s="85"/>
      <c r="W1372" s="85"/>
      <c r="X1372" s="85"/>
    </row>
    <row r="1373" spans="9:24" x14ac:dyDescent="0.25">
      <c r="I1373" s="50"/>
      <c r="J1373" s="50"/>
      <c r="K1373" s="50"/>
      <c r="V1373" s="85"/>
      <c r="W1373" s="85"/>
      <c r="X1373" s="85"/>
    </row>
    <row r="1374" spans="9:24" x14ac:dyDescent="0.25">
      <c r="I1374" s="50"/>
      <c r="J1374" s="50"/>
      <c r="K1374" s="50"/>
      <c r="V1374" s="85"/>
      <c r="W1374" s="85"/>
      <c r="X1374" s="85"/>
    </row>
    <row r="1375" spans="9:24" x14ac:dyDescent="0.25">
      <c r="I1375" s="50"/>
      <c r="J1375" s="50"/>
      <c r="K1375" s="50"/>
      <c r="V1375" s="85"/>
      <c r="W1375" s="85"/>
      <c r="X1375" s="85"/>
    </row>
    <row r="1376" spans="9:24" x14ac:dyDescent="0.25">
      <c r="I1376" s="50"/>
      <c r="J1376" s="50"/>
      <c r="K1376" s="50"/>
      <c r="V1376" s="85"/>
      <c r="W1376" s="85"/>
      <c r="X1376" s="85"/>
    </row>
    <row r="1377" spans="9:24" x14ac:dyDescent="0.25">
      <c r="I1377" s="50"/>
      <c r="J1377" s="50"/>
      <c r="K1377" s="50"/>
      <c r="V1377" s="85"/>
      <c r="W1377" s="85"/>
      <c r="X1377" s="85"/>
    </row>
    <row r="1378" spans="9:24" x14ac:dyDescent="0.25">
      <c r="I1378" s="50"/>
      <c r="J1378" s="50"/>
      <c r="K1378" s="50"/>
      <c r="V1378" s="85"/>
      <c r="W1378" s="85"/>
      <c r="X1378" s="85"/>
    </row>
    <row r="1379" spans="9:24" x14ac:dyDescent="0.25">
      <c r="I1379" s="50"/>
      <c r="J1379" s="50"/>
      <c r="K1379" s="50"/>
      <c r="V1379" s="85"/>
      <c r="W1379" s="85"/>
      <c r="X1379" s="85"/>
    </row>
    <row r="1380" spans="9:24" x14ac:dyDescent="0.25">
      <c r="I1380" s="50"/>
      <c r="J1380" s="50"/>
      <c r="K1380" s="50"/>
      <c r="V1380" s="85"/>
      <c r="W1380" s="85"/>
      <c r="X1380" s="85"/>
    </row>
    <row r="1381" spans="9:24" x14ac:dyDescent="0.25">
      <c r="I1381" s="50"/>
      <c r="J1381" s="50"/>
      <c r="K1381" s="50"/>
      <c r="V1381" s="85"/>
      <c r="W1381" s="85"/>
      <c r="X1381" s="85"/>
    </row>
    <row r="1382" spans="9:24" x14ac:dyDescent="0.25">
      <c r="I1382" s="50"/>
      <c r="J1382" s="50"/>
      <c r="K1382" s="50"/>
      <c r="V1382" s="85"/>
      <c r="W1382" s="85"/>
      <c r="X1382" s="85"/>
    </row>
    <row r="1383" spans="9:24" x14ac:dyDescent="0.25">
      <c r="I1383" s="50"/>
      <c r="J1383" s="50"/>
      <c r="K1383" s="50"/>
      <c r="V1383" s="85"/>
      <c r="W1383" s="85"/>
      <c r="X1383" s="85"/>
    </row>
    <row r="1384" spans="9:24" x14ac:dyDescent="0.25">
      <c r="I1384" s="50"/>
      <c r="J1384" s="50"/>
      <c r="K1384" s="50"/>
      <c r="V1384" s="85"/>
      <c r="W1384" s="85"/>
      <c r="X1384" s="85"/>
    </row>
    <row r="1385" spans="9:24" x14ac:dyDescent="0.25">
      <c r="I1385" s="50"/>
      <c r="J1385" s="50"/>
      <c r="K1385" s="50"/>
      <c r="V1385" s="85"/>
      <c r="W1385" s="85"/>
      <c r="X1385" s="85"/>
    </row>
    <row r="1386" spans="9:24" x14ac:dyDescent="0.25">
      <c r="I1386" s="50"/>
      <c r="J1386" s="50"/>
      <c r="K1386" s="50"/>
      <c r="V1386" s="85"/>
      <c r="W1386" s="85"/>
      <c r="X1386" s="85"/>
    </row>
    <row r="1387" spans="9:24" x14ac:dyDescent="0.25">
      <c r="I1387" s="50"/>
      <c r="J1387" s="50"/>
      <c r="K1387" s="50"/>
      <c r="V1387" s="85"/>
      <c r="W1387" s="85"/>
      <c r="X1387" s="85"/>
    </row>
    <row r="1388" spans="9:24" x14ac:dyDescent="0.25">
      <c r="I1388" s="50"/>
      <c r="J1388" s="50"/>
      <c r="K1388" s="50"/>
      <c r="V1388" s="85"/>
      <c r="W1388" s="85"/>
      <c r="X1388" s="85"/>
    </row>
    <row r="1389" spans="9:24" x14ac:dyDescent="0.25">
      <c r="I1389" s="50"/>
      <c r="J1389" s="50"/>
      <c r="K1389" s="50"/>
      <c r="V1389" s="85"/>
      <c r="W1389" s="85"/>
      <c r="X1389" s="85"/>
    </row>
    <row r="1390" spans="9:24" x14ac:dyDescent="0.25">
      <c r="I1390" s="50"/>
      <c r="J1390" s="50"/>
      <c r="K1390" s="50"/>
      <c r="V1390" s="85"/>
      <c r="W1390" s="85"/>
      <c r="X1390" s="85"/>
    </row>
    <row r="1391" spans="9:24" x14ac:dyDescent="0.25">
      <c r="I1391" s="50"/>
      <c r="J1391" s="50"/>
      <c r="K1391" s="50"/>
      <c r="V1391" s="85"/>
      <c r="W1391" s="85"/>
      <c r="X1391" s="85"/>
    </row>
    <row r="1392" spans="9:24" x14ac:dyDescent="0.25">
      <c r="I1392" s="50"/>
      <c r="J1392" s="50"/>
      <c r="K1392" s="50"/>
      <c r="V1392" s="85"/>
      <c r="W1392" s="85"/>
      <c r="X1392" s="85"/>
    </row>
    <row r="1393" spans="9:24" x14ac:dyDescent="0.25">
      <c r="I1393" s="50"/>
      <c r="J1393" s="50"/>
      <c r="K1393" s="50"/>
      <c r="V1393" s="85"/>
      <c r="W1393" s="85"/>
      <c r="X1393" s="85"/>
    </row>
    <row r="1394" spans="9:24" x14ac:dyDescent="0.25">
      <c r="I1394" s="50"/>
      <c r="J1394" s="50"/>
      <c r="K1394" s="50"/>
      <c r="V1394" s="85"/>
      <c r="W1394" s="85"/>
      <c r="X1394" s="85"/>
    </row>
    <row r="1395" spans="9:24" x14ac:dyDescent="0.25">
      <c r="I1395" s="50"/>
      <c r="J1395" s="50"/>
      <c r="K1395" s="50"/>
      <c r="V1395" s="85"/>
      <c r="W1395" s="85"/>
      <c r="X1395" s="85"/>
    </row>
    <row r="1396" spans="9:24" x14ac:dyDescent="0.25">
      <c r="I1396" s="50"/>
      <c r="J1396" s="50"/>
      <c r="K1396" s="50"/>
      <c r="V1396" s="85"/>
      <c r="W1396" s="85"/>
      <c r="X1396" s="85"/>
    </row>
    <row r="1397" spans="9:24" x14ac:dyDescent="0.25">
      <c r="I1397" s="50"/>
      <c r="J1397" s="50"/>
      <c r="K1397" s="50"/>
      <c r="V1397" s="85"/>
      <c r="W1397" s="85"/>
      <c r="X1397" s="85"/>
    </row>
    <row r="1398" spans="9:24" x14ac:dyDescent="0.25">
      <c r="I1398" s="50"/>
      <c r="J1398" s="50"/>
      <c r="K1398" s="50"/>
      <c r="V1398" s="85"/>
      <c r="W1398" s="85"/>
      <c r="X1398" s="85"/>
    </row>
    <row r="1399" spans="9:24" x14ac:dyDescent="0.25">
      <c r="I1399" s="50"/>
      <c r="J1399" s="50"/>
      <c r="K1399" s="50"/>
      <c r="V1399" s="85"/>
      <c r="W1399" s="85"/>
      <c r="X1399" s="85"/>
    </row>
    <row r="1400" spans="9:24" x14ac:dyDescent="0.25">
      <c r="I1400" s="50"/>
      <c r="J1400" s="50"/>
      <c r="K1400" s="50"/>
      <c r="V1400" s="85"/>
      <c r="W1400" s="85"/>
      <c r="X1400" s="85"/>
    </row>
    <row r="1401" spans="9:24" x14ac:dyDescent="0.25">
      <c r="I1401" s="50"/>
      <c r="J1401" s="50"/>
      <c r="K1401" s="50"/>
      <c r="V1401" s="85"/>
      <c r="W1401" s="85"/>
      <c r="X1401" s="85"/>
    </row>
    <row r="1402" spans="9:24" x14ac:dyDescent="0.25">
      <c r="I1402" s="50"/>
      <c r="J1402" s="50"/>
      <c r="K1402" s="50"/>
      <c r="V1402" s="85"/>
      <c r="W1402" s="85"/>
      <c r="X1402" s="85"/>
    </row>
    <row r="1403" spans="9:24" x14ac:dyDescent="0.25">
      <c r="I1403" s="50"/>
      <c r="J1403" s="50"/>
      <c r="K1403" s="50"/>
      <c r="V1403" s="85"/>
      <c r="W1403" s="85"/>
      <c r="X1403" s="85"/>
    </row>
    <row r="1404" spans="9:24" x14ac:dyDescent="0.25">
      <c r="I1404" s="50"/>
      <c r="J1404" s="50"/>
      <c r="K1404" s="50"/>
      <c r="V1404" s="85"/>
      <c r="W1404" s="85"/>
      <c r="X1404" s="85"/>
    </row>
    <row r="1405" spans="9:24" x14ac:dyDescent="0.25">
      <c r="I1405" s="50"/>
      <c r="J1405" s="50"/>
      <c r="K1405" s="50"/>
      <c r="V1405" s="85"/>
      <c r="W1405" s="85"/>
      <c r="X1405" s="85"/>
    </row>
    <row r="1406" spans="9:24" x14ac:dyDescent="0.25">
      <c r="I1406" s="50"/>
      <c r="J1406" s="50"/>
      <c r="K1406" s="50"/>
      <c r="V1406" s="85"/>
      <c r="W1406" s="85"/>
      <c r="X1406" s="85"/>
    </row>
    <row r="1407" spans="9:24" x14ac:dyDescent="0.25">
      <c r="I1407" s="50"/>
      <c r="J1407" s="50"/>
      <c r="K1407" s="50"/>
      <c r="V1407" s="85"/>
      <c r="W1407" s="85"/>
      <c r="X1407" s="85"/>
    </row>
    <row r="1408" spans="9:24" x14ac:dyDescent="0.25">
      <c r="I1408" s="50"/>
      <c r="J1408" s="50"/>
      <c r="K1408" s="50"/>
      <c r="V1408" s="85"/>
      <c r="W1408" s="85"/>
      <c r="X1408" s="85"/>
    </row>
    <row r="1409" spans="9:24" x14ac:dyDescent="0.25">
      <c r="I1409" s="50"/>
      <c r="J1409" s="50"/>
      <c r="K1409" s="50"/>
      <c r="V1409" s="85"/>
      <c r="W1409" s="85"/>
      <c r="X1409" s="85"/>
    </row>
    <row r="1410" spans="9:24" x14ac:dyDescent="0.25">
      <c r="I1410" s="50"/>
      <c r="J1410" s="50"/>
      <c r="K1410" s="50"/>
      <c r="V1410" s="85"/>
      <c r="W1410" s="85"/>
      <c r="X1410" s="85"/>
    </row>
    <row r="1411" spans="9:24" x14ac:dyDescent="0.25">
      <c r="I1411" s="50"/>
      <c r="J1411" s="50"/>
      <c r="K1411" s="50"/>
      <c r="V1411" s="85"/>
      <c r="W1411" s="85"/>
      <c r="X1411" s="85"/>
    </row>
    <row r="1412" spans="9:24" x14ac:dyDescent="0.25">
      <c r="I1412" s="50"/>
      <c r="J1412" s="50"/>
      <c r="K1412" s="50"/>
      <c r="V1412" s="85"/>
      <c r="W1412" s="85"/>
      <c r="X1412" s="85"/>
    </row>
    <row r="1413" spans="9:24" x14ac:dyDescent="0.25">
      <c r="I1413" s="50"/>
      <c r="J1413" s="50"/>
      <c r="K1413" s="50"/>
      <c r="V1413" s="85"/>
      <c r="W1413" s="85"/>
      <c r="X1413" s="85"/>
    </row>
    <row r="1414" spans="9:24" x14ac:dyDescent="0.25">
      <c r="I1414" s="50"/>
      <c r="J1414" s="50"/>
      <c r="K1414" s="50"/>
      <c r="V1414" s="85"/>
      <c r="W1414" s="85"/>
      <c r="X1414" s="85"/>
    </row>
    <row r="1415" spans="9:24" x14ac:dyDescent="0.25">
      <c r="I1415" s="50"/>
      <c r="J1415" s="50"/>
      <c r="K1415" s="50"/>
      <c r="V1415" s="85"/>
      <c r="W1415" s="85"/>
      <c r="X1415" s="85"/>
    </row>
    <row r="1416" spans="9:24" x14ac:dyDescent="0.25">
      <c r="I1416" s="50"/>
      <c r="J1416" s="50"/>
      <c r="K1416" s="50"/>
      <c r="V1416" s="85"/>
      <c r="W1416" s="85"/>
      <c r="X1416" s="85"/>
    </row>
    <row r="1417" spans="9:24" x14ac:dyDescent="0.25">
      <c r="I1417" s="50"/>
      <c r="J1417" s="50"/>
      <c r="K1417" s="50"/>
      <c r="V1417" s="85"/>
      <c r="W1417" s="85"/>
      <c r="X1417" s="85"/>
    </row>
    <row r="1418" spans="9:24" x14ac:dyDescent="0.25">
      <c r="I1418" s="50"/>
      <c r="J1418" s="50"/>
      <c r="K1418" s="50"/>
      <c r="V1418" s="85"/>
      <c r="W1418" s="85"/>
      <c r="X1418" s="85"/>
    </row>
    <row r="1419" spans="9:24" x14ac:dyDescent="0.25">
      <c r="I1419" s="50"/>
      <c r="J1419" s="50"/>
      <c r="K1419" s="50"/>
      <c r="V1419" s="85"/>
      <c r="W1419" s="85"/>
      <c r="X1419" s="85"/>
    </row>
    <row r="1420" spans="9:24" x14ac:dyDescent="0.25">
      <c r="I1420" s="50"/>
      <c r="J1420" s="50"/>
      <c r="K1420" s="50"/>
      <c r="V1420" s="85"/>
      <c r="W1420" s="85"/>
      <c r="X1420" s="85"/>
    </row>
    <row r="1421" spans="9:24" x14ac:dyDescent="0.25">
      <c r="I1421" s="50"/>
      <c r="J1421" s="50"/>
      <c r="K1421" s="50"/>
      <c r="V1421" s="85"/>
      <c r="W1421" s="85"/>
      <c r="X1421" s="85"/>
    </row>
    <row r="1422" spans="9:24" x14ac:dyDescent="0.25">
      <c r="I1422" s="50"/>
      <c r="J1422" s="50"/>
      <c r="K1422" s="50"/>
      <c r="V1422" s="85"/>
      <c r="W1422" s="85"/>
      <c r="X1422" s="85"/>
    </row>
    <row r="1423" spans="9:24" x14ac:dyDescent="0.25">
      <c r="I1423" s="50"/>
      <c r="J1423" s="50"/>
      <c r="K1423" s="50"/>
      <c r="V1423" s="85"/>
      <c r="W1423" s="85"/>
      <c r="X1423" s="85"/>
    </row>
    <row r="1424" spans="9:24" x14ac:dyDescent="0.25">
      <c r="I1424" s="50"/>
      <c r="J1424" s="50"/>
      <c r="K1424" s="50"/>
      <c r="V1424" s="85"/>
      <c r="W1424" s="85"/>
      <c r="X1424" s="85"/>
    </row>
    <row r="1425" spans="9:24" x14ac:dyDescent="0.25">
      <c r="I1425" s="50"/>
      <c r="J1425" s="50"/>
      <c r="K1425" s="50"/>
      <c r="V1425" s="85"/>
      <c r="W1425" s="85"/>
      <c r="X1425" s="85"/>
    </row>
    <row r="1426" spans="9:24" x14ac:dyDescent="0.25">
      <c r="I1426" s="50"/>
      <c r="J1426" s="50"/>
      <c r="K1426" s="50"/>
      <c r="V1426" s="85"/>
      <c r="W1426" s="85"/>
      <c r="X1426" s="85"/>
    </row>
    <row r="1427" spans="9:24" x14ac:dyDescent="0.25">
      <c r="I1427" s="50"/>
      <c r="J1427" s="50"/>
      <c r="K1427" s="50"/>
      <c r="V1427" s="85"/>
      <c r="W1427" s="85"/>
      <c r="X1427" s="85"/>
    </row>
    <row r="1428" spans="9:24" x14ac:dyDescent="0.25">
      <c r="I1428" s="50"/>
      <c r="J1428" s="50"/>
      <c r="K1428" s="50"/>
      <c r="V1428" s="85"/>
      <c r="W1428" s="85"/>
      <c r="X1428" s="85"/>
    </row>
    <row r="1429" spans="9:24" x14ac:dyDescent="0.25">
      <c r="I1429" s="50"/>
      <c r="J1429" s="50"/>
      <c r="K1429" s="50"/>
      <c r="V1429" s="85"/>
      <c r="W1429" s="85"/>
      <c r="X1429" s="85"/>
    </row>
    <row r="1430" spans="9:24" x14ac:dyDescent="0.25">
      <c r="I1430" s="50"/>
      <c r="J1430" s="50"/>
      <c r="K1430" s="50"/>
      <c r="V1430" s="85"/>
      <c r="W1430" s="85"/>
      <c r="X1430" s="85"/>
    </row>
    <row r="1431" spans="9:24" x14ac:dyDescent="0.25">
      <c r="I1431" s="50"/>
      <c r="J1431" s="50"/>
      <c r="K1431" s="50"/>
      <c r="V1431" s="85"/>
      <c r="W1431" s="85"/>
      <c r="X1431" s="85"/>
    </row>
    <row r="1432" spans="9:24" x14ac:dyDescent="0.25">
      <c r="I1432" s="50"/>
      <c r="J1432" s="50"/>
      <c r="K1432" s="50"/>
      <c r="V1432" s="85"/>
      <c r="W1432" s="85"/>
      <c r="X1432" s="85"/>
    </row>
    <row r="1433" spans="9:24" x14ac:dyDescent="0.25">
      <c r="I1433" s="50"/>
      <c r="J1433" s="50"/>
      <c r="K1433" s="50"/>
      <c r="V1433" s="85"/>
      <c r="W1433" s="85"/>
      <c r="X1433" s="85"/>
    </row>
    <row r="1434" spans="9:24" x14ac:dyDescent="0.25">
      <c r="I1434" s="50"/>
      <c r="J1434" s="50"/>
      <c r="K1434" s="50"/>
      <c r="V1434" s="85"/>
      <c r="W1434" s="85"/>
      <c r="X1434" s="85"/>
    </row>
    <row r="1435" spans="9:24" x14ac:dyDescent="0.25">
      <c r="I1435" s="50"/>
      <c r="J1435" s="50"/>
      <c r="K1435" s="50"/>
      <c r="V1435" s="85"/>
      <c r="W1435" s="85"/>
      <c r="X1435" s="85"/>
    </row>
    <row r="1436" spans="9:24" x14ac:dyDescent="0.25">
      <c r="I1436" s="50"/>
      <c r="J1436" s="50"/>
      <c r="K1436" s="50"/>
      <c r="V1436" s="85"/>
      <c r="W1436" s="85"/>
      <c r="X1436" s="85"/>
    </row>
    <row r="1437" spans="9:24" x14ac:dyDescent="0.25">
      <c r="I1437" s="50"/>
      <c r="J1437" s="50"/>
      <c r="K1437" s="50"/>
      <c r="V1437" s="85"/>
      <c r="W1437" s="85"/>
      <c r="X1437" s="85"/>
    </row>
    <row r="1438" spans="9:24" x14ac:dyDescent="0.25">
      <c r="I1438" s="50"/>
      <c r="J1438" s="50"/>
      <c r="K1438" s="50"/>
      <c r="V1438" s="85"/>
      <c r="W1438" s="85"/>
      <c r="X1438" s="85"/>
    </row>
    <row r="1439" spans="9:24" x14ac:dyDescent="0.25">
      <c r="I1439" s="50"/>
      <c r="J1439" s="50"/>
      <c r="K1439" s="50"/>
      <c r="V1439" s="85"/>
      <c r="W1439" s="85"/>
      <c r="X1439" s="85"/>
    </row>
    <row r="1440" spans="9:24" x14ac:dyDescent="0.25">
      <c r="I1440" s="50"/>
      <c r="J1440" s="50"/>
      <c r="K1440" s="50"/>
      <c r="V1440" s="85"/>
      <c r="W1440" s="85"/>
      <c r="X1440" s="85"/>
    </row>
    <row r="1441" spans="9:24" x14ac:dyDescent="0.25">
      <c r="I1441" s="50"/>
      <c r="J1441" s="50"/>
      <c r="K1441" s="50"/>
      <c r="V1441" s="85"/>
      <c r="W1441" s="85"/>
      <c r="X1441" s="85"/>
    </row>
    <row r="1442" spans="9:24" x14ac:dyDescent="0.25">
      <c r="I1442" s="50"/>
      <c r="J1442" s="50"/>
      <c r="K1442" s="50"/>
      <c r="V1442" s="85"/>
      <c r="W1442" s="85"/>
      <c r="X1442" s="85"/>
    </row>
    <row r="1443" spans="9:24" x14ac:dyDescent="0.25">
      <c r="I1443" s="50"/>
      <c r="J1443" s="50"/>
      <c r="K1443" s="50"/>
      <c r="V1443" s="85"/>
      <c r="W1443" s="85"/>
      <c r="X1443" s="85"/>
    </row>
    <row r="1444" spans="9:24" x14ac:dyDescent="0.25">
      <c r="I1444" s="50"/>
      <c r="J1444" s="50"/>
      <c r="K1444" s="50"/>
      <c r="V1444" s="85"/>
      <c r="W1444" s="85"/>
      <c r="X1444" s="85"/>
    </row>
    <row r="1445" spans="9:24" x14ac:dyDescent="0.25">
      <c r="I1445" s="50"/>
      <c r="J1445" s="50"/>
      <c r="K1445" s="50"/>
      <c r="V1445" s="85"/>
      <c r="W1445" s="85"/>
      <c r="X1445" s="85"/>
    </row>
    <row r="1446" spans="9:24" x14ac:dyDescent="0.25">
      <c r="I1446" s="50"/>
      <c r="J1446" s="50"/>
      <c r="K1446" s="50"/>
      <c r="V1446" s="85"/>
      <c r="W1446" s="85"/>
      <c r="X1446" s="85"/>
    </row>
    <row r="1447" spans="9:24" x14ac:dyDescent="0.25">
      <c r="I1447" s="50"/>
      <c r="J1447" s="50"/>
      <c r="K1447" s="50"/>
      <c r="V1447" s="85"/>
      <c r="W1447" s="85"/>
      <c r="X1447" s="85"/>
    </row>
    <row r="1448" spans="9:24" x14ac:dyDescent="0.25">
      <c r="I1448" s="50"/>
      <c r="J1448" s="50"/>
      <c r="K1448" s="50"/>
      <c r="V1448" s="85"/>
      <c r="W1448" s="85"/>
      <c r="X1448" s="85"/>
    </row>
    <row r="1449" spans="9:24" x14ac:dyDescent="0.25">
      <c r="I1449" s="50"/>
      <c r="J1449" s="50"/>
      <c r="K1449" s="50"/>
      <c r="V1449" s="85"/>
      <c r="W1449" s="85"/>
      <c r="X1449" s="85"/>
    </row>
    <row r="1450" spans="9:24" x14ac:dyDescent="0.25">
      <c r="I1450" s="50"/>
      <c r="J1450" s="50"/>
      <c r="K1450" s="50"/>
      <c r="V1450" s="85"/>
      <c r="W1450" s="85"/>
      <c r="X1450" s="85"/>
    </row>
    <row r="1451" spans="9:24" x14ac:dyDescent="0.25">
      <c r="I1451" s="50"/>
      <c r="J1451" s="50"/>
      <c r="K1451" s="50"/>
      <c r="V1451" s="85"/>
      <c r="W1451" s="85"/>
      <c r="X1451" s="85"/>
    </row>
    <row r="1452" spans="9:24" x14ac:dyDescent="0.25">
      <c r="I1452" s="50"/>
      <c r="J1452" s="50"/>
      <c r="K1452" s="50"/>
      <c r="V1452" s="85"/>
      <c r="W1452" s="85"/>
      <c r="X1452" s="85"/>
    </row>
    <row r="1453" spans="9:24" x14ac:dyDescent="0.25">
      <c r="I1453" s="50"/>
      <c r="J1453" s="50"/>
      <c r="K1453" s="50"/>
      <c r="V1453" s="85"/>
      <c r="W1453" s="85"/>
      <c r="X1453" s="85"/>
    </row>
    <row r="1454" spans="9:24" x14ac:dyDescent="0.25">
      <c r="I1454" s="50"/>
      <c r="J1454" s="50"/>
      <c r="K1454" s="50"/>
      <c r="V1454" s="85"/>
      <c r="W1454" s="85"/>
      <c r="X1454" s="85"/>
    </row>
    <row r="1455" spans="9:24" x14ac:dyDescent="0.25">
      <c r="I1455" s="50"/>
      <c r="J1455" s="50"/>
      <c r="K1455" s="50"/>
      <c r="V1455" s="85"/>
      <c r="W1455" s="85"/>
      <c r="X1455" s="85"/>
    </row>
    <row r="1456" spans="9:24" x14ac:dyDescent="0.25">
      <c r="I1456" s="50"/>
      <c r="J1456" s="50"/>
      <c r="K1456" s="50"/>
      <c r="V1456" s="85"/>
      <c r="W1456" s="85"/>
      <c r="X1456" s="85"/>
    </row>
    <row r="1457" spans="9:24" x14ac:dyDescent="0.25">
      <c r="I1457" s="50"/>
      <c r="J1457" s="50"/>
      <c r="K1457" s="50"/>
      <c r="V1457" s="85"/>
      <c r="W1457" s="85"/>
      <c r="X1457" s="85"/>
    </row>
    <row r="1458" spans="9:24" x14ac:dyDescent="0.25">
      <c r="I1458" s="50"/>
      <c r="J1458" s="50"/>
      <c r="K1458" s="50"/>
      <c r="V1458" s="85"/>
      <c r="W1458" s="85"/>
      <c r="X1458" s="85"/>
    </row>
    <row r="1459" spans="9:24" x14ac:dyDescent="0.25">
      <c r="I1459" s="50"/>
      <c r="J1459" s="50"/>
      <c r="K1459" s="50"/>
      <c r="V1459" s="85"/>
      <c r="W1459" s="85"/>
      <c r="X1459" s="85"/>
    </row>
    <row r="1460" spans="9:24" x14ac:dyDescent="0.25">
      <c r="I1460" s="50"/>
      <c r="J1460" s="50"/>
      <c r="K1460" s="50"/>
      <c r="V1460" s="85"/>
      <c r="W1460" s="85"/>
      <c r="X1460" s="85"/>
    </row>
    <row r="1461" spans="9:24" x14ac:dyDescent="0.25">
      <c r="I1461" s="50"/>
      <c r="J1461" s="50"/>
      <c r="K1461" s="50"/>
      <c r="V1461" s="85"/>
      <c r="W1461" s="85"/>
      <c r="X1461" s="85"/>
    </row>
    <row r="1462" spans="9:24" x14ac:dyDescent="0.25">
      <c r="I1462" s="50"/>
      <c r="J1462" s="50"/>
      <c r="K1462" s="50"/>
      <c r="V1462" s="85"/>
      <c r="W1462" s="85"/>
      <c r="X1462" s="85"/>
    </row>
    <row r="1463" spans="9:24" x14ac:dyDescent="0.25">
      <c r="I1463" s="50"/>
      <c r="J1463" s="50"/>
      <c r="K1463" s="50"/>
      <c r="V1463" s="85"/>
      <c r="W1463" s="85"/>
      <c r="X1463" s="85"/>
    </row>
    <row r="1464" spans="9:24" x14ac:dyDescent="0.25">
      <c r="I1464" s="50"/>
      <c r="J1464" s="50"/>
      <c r="K1464" s="50"/>
      <c r="V1464" s="85"/>
      <c r="W1464" s="85"/>
      <c r="X1464" s="85"/>
    </row>
    <row r="1465" spans="9:24" x14ac:dyDescent="0.25">
      <c r="I1465" s="50"/>
      <c r="J1465" s="50"/>
      <c r="K1465" s="50"/>
      <c r="V1465" s="85"/>
      <c r="W1465" s="85"/>
      <c r="X1465" s="85"/>
    </row>
    <row r="1466" spans="9:24" x14ac:dyDescent="0.25">
      <c r="I1466" s="50"/>
      <c r="J1466" s="50"/>
      <c r="K1466" s="50"/>
      <c r="V1466" s="85"/>
      <c r="W1466" s="85"/>
      <c r="X1466" s="85"/>
    </row>
    <row r="1467" spans="9:24" x14ac:dyDescent="0.25">
      <c r="I1467" s="50"/>
      <c r="J1467" s="50"/>
      <c r="K1467" s="50"/>
      <c r="V1467" s="85"/>
      <c r="W1467" s="85"/>
      <c r="X1467" s="85"/>
    </row>
    <row r="1468" spans="9:24" x14ac:dyDescent="0.25">
      <c r="I1468" s="50"/>
      <c r="J1468" s="50"/>
      <c r="K1468" s="50"/>
      <c r="V1468" s="85"/>
      <c r="W1468" s="85"/>
      <c r="X1468" s="85"/>
    </row>
    <row r="1469" spans="9:24" x14ac:dyDescent="0.25">
      <c r="I1469" s="50"/>
      <c r="J1469" s="50"/>
      <c r="K1469" s="50"/>
      <c r="V1469" s="85"/>
      <c r="W1469" s="85"/>
      <c r="X1469" s="85"/>
    </row>
    <row r="1470" spans="9:24" x14ac:dyDescent="0.25">
      <c r="I1470" s="50"/>
      <c r="J1470" s="50"/>
      <c r="K1470" s="50"/>
      <c r="V1470" s="85"/>
      <c r="W1470" s="85"/>
      <c r="X1470" s="85"/>
    </row>
    <row r="1471" spans="9:24" x14ac:dyDescent="0.25">
      <c r="I1471" s="50"/>
      <c r="J1471" s="50"/>
      <c r="K1471" s="50"/>
      <c r="V1471" s="85"/>
      <c r="W1471" s="85"/>
      <c r="X1471" s="85"/>
    </row>
    <row r="1472" spans="9:24" x14ac:dyDescent="0.25">
      <c r="I1472" s="50"/>
      <c r="J1472" s="50"/>
      <c r="K1472" s="50"/>
      <c r="V1472" s="85"/>
      <c r="W1472" s="85"/>
      <c r="X1472" s="85"/>
    </row>
    <row r="1473" spans="9:24" x14ac:dyDescent="0.25">
      <c r="I1473" s="50"/>
      <c r="J1473" s="50"/>
      <c r="K1473" s="50"/>
      <c r="V1473" s="85"/>
      <c r="W1473" s="85"/>
      <c r="X1473" s="85"/>
    </row>
    <row r="1474" spans="9:24" x14ac:dyDescent="0.25">
      <c r="I1474" s="50"/>
      <c r="J1474" s="50"/>
      <c r="K1474" s="50"/>
      <c r="V1474" s="85"/>
      <c r="W1474" s="85"/>
      <c r="X1474" s="85"/>
    </row>
    <row r="1475" spans="9:24" x14ac:dyDescent="0.25">
      <c r="I1475" s="50"/>
      <c r="J1475" s="50"/>
      <c r="K1475" s="50"/>
      <c r="V1475" s="85"/>
      <c r="W1475" s="85"/>
      <c r="X1475" s="85"/>
    </row>
    <row r="1476" spans="9:24" x14ac:dyDescent="0.25">
      <c r="I1476" s="50"/>
      <c r="J1476" s="50"/>
      <c r="K1476" s="50"/>
      <c r="V1476" s="85"/>
      <c r="W1476" s="85"/>
      <c r="X1476" s="85"/>
    </row>
    <row r="1477" spans="9:24" x14ac:dyDescent="0.25">
      <c r="I1477" s="50"/>
      <c r="J1477" s="50"/>
      <c r="K1477" s="50"/>
      <c r="V1477" s="85"/>
      <c r="W1477" s="85"/>
      <c r="X1477" s="85"/>
    </row>
    <row r="1478" spans="9:24" x14ac:dyDescent="0.25">
      <c r="I1478" s="50"/>
      <c r="J1478" s="50"/>
      <c r="K1478" s="50"/>
      <c r="V1478" s="85"/>
      <c r="W1478" s="85"/>
      <c r="X1478" s="85"/>
    </row>
    <row r="1479" spans="9:24" x14ac:dyDescent="0.25">
      <c r="I1479" s="50"/>
      <c r="J1479" s="50"/>
      <c r="K1479" s="50"/>
      <c r="V1479" s="85"/>
      <c r="W1479" s="85"/>
      <c r="X1479" s="85"/>
    </row>
    <row r="1480" spans="9:24" x14ac:dyDescent="0.25">
      <c r="I1480" s="50"/>
      <c r="J1480" s="50"/>
      <c r="K1480" s="50"/>
      <c r="V1480" s="85"/>
      <c r="W1480" s="85"/>
      <c r="X1480" s="85"/>
    </row>
    <row r="1481" spans="9:24" x14ac:dyDescent="0.25">
      <c r="I1481" s="50"/>
      <c r="J1481" s="50"/>
      <c r="K1481" s="50"/>
      <c r="V1481" s="85"/>
      <c r="W1481" s="85"/>
      <c r="X1481" s="85"/>
    </row>
    <row r="1482" spans="9:24" x14ac:dyDescent="0.25">
      <c r="I1482" s="50"/>
      <c r="J1482" s="50"/>
      <c r="K1482" s="50"/>
      <c r="V1482" s="85"/>
      <c r="W1482" s="85"/>
      <c r="X1482" s="85"/>
    </row>
    <row r="1483" spans="9:24" x14ac:dyDescent="0.25">
      <c r="I1483" s="50"/>
      <c r="J1483" s="50"/>
      <c r="K1483" s="50"/>
      <c r="V1483" s="85"/>
      <c r="W1483" s="85"/>
      <c r="X1483" s="85"/>
    </row>
    <row r="1484" spans="9:24" x14ac:dyDescent="0.25">
      <c r="I1484" s="50"/>
      <c r="J1484" s="50"/>
      <c r="K1484" s="50"/>
      <c r="V1484" s="85"/>
      <c r="W1484" s="85"/>
      <c r="X1484" s="85"/>
    </row>
    <row r="1485" spans="9:24" x14ac:dyDescent="0.25">
      <c r="I1485" s="50"/>
      <c r="J1485" s="50"/>
      <c r="K1485" s="50"/>
      <c r="V1485" s="85"/>
      <c r="W1485" s="85"/>
      <c r="X1485" s="85"/>
    </row>
    <row r="1486" spans="9:24" x14ac:dyDescent="0.25">
      <c r="I1486" s="50"/>
      <c r="J1486" s="50"/>
      <c r="K1486" s="50"/>
      <c r="V1486" s="85"/>
      <c r="W1486" s="85"/>
      <c r="X1486" s="85"/>
    </row>
    <row r="1487" spans="9:24" x14ac:dyDescent="0.25">
      <c r="I1487" s="50"/>
      <c r="J1487" s="50"/>
      <c r="K1487" s="50"/>
      <c r="V1487" s="85"/>
      <c r="W1487" s="85"/>
      <c r="X1487" s="85"/>
    </row>
    <row r="1488" spans="9:24" x14ac:dyDescent="0.25">
      <c r="I1488" s="50"/>
      <c r="J1488" s="50"/>
      <c r="K1488" s="50"/>
      <c r="V1488" s="85"/>
      <c r="W1488" s="85"/>
      <c r="X1488" s="85"/>
    </row>
    <row r="1489" spans="9:24" x14ac:dyDescent="0.25">
      <c r="I1489" s="50"/>
      <c r="J1489" s="50"/>
      <c r="K1489" s="50"/>
      <c r="V1489" s="85"/>
      <c r="W1489" s="85"/>
      <c r="X1489" s="85"/>
    </row>
    <row r="1490" spans="9:24" x14ac:dyDescent="0.25">
      <c r="I1490" s="50"/>
      <c r="J1490" s="50"/>
      <c r="K1490" s="50"/>
      <c r="V1490" s="85"/>
      <c r="W1490" s="85"/>
      <c r="X1490" s="85"/>
    </row>
    <row r="1491" spans="9:24" x14ac:dyDescent="0.25">
      <c r="I1491" s="50"/>
      <c r="J1491" s="50"/>
      <c r="K1491" s="50"/>
      <c r="V1491" s="85"/>
      <c r="W1491" s="85"/>
      <c r="X1491" s="85"/>
    </row>
    <row r="1492" spans="9:24" x14ac:dyDescent="0.25">
      <c r="I1492" s="50"/>
      <c r="J1492" s="50"/>
      <c r="K1492" s="50"/>
      <c r="V1492" s="85"/>
      <c r="W1492" s="85"/>
      <c r="X1492" s="85"/>
    </row>
    <row r="1493" spans="9:24" x14ac:dyDescent="0.25">
      <c r="I1493" s="50"/>
      <c r="J1493" s="50"/>
      <c r="K1493" s="50"/>
      <c r="V1493" s="85"/>
      <c r="W1493" s="85"/>
      <c r="X1493" s="85"/>
    </row>
    <row r="1494" spans="9:24" x14ac:dyDescent="0.25">
      <c r="I1494" s="50"/>
      <c r="J1494" s="50"/>
      <c r="K1494" s="50"/>
      <c r="V1494" s="85"/>
      <c r="W1494" s="85"/>
      <c r="X1494" s="85"/>
    </row>
    <row r="1495" spans="9:24" x14ac:dyDescent="0.25">
      <c r="I1495" s="50"/>
      <c r="J1495" s="50"/>
      <c r="K1495" s="50"/>
      <c r="V1495" s="85"/>
      <c r="W1495" s="85"/>
      <c r="X1495" s="85"/>
    </row>
    <row r="1496" spans="9:24" x14ac:dyDescent="0.25">
      <c r="I1496" s="50"/>
      <c r="J1496" s="50"/>
      <c r="K1496" s="50"/>
      <c r="V1496" s="85"/>
      <c r="W1496" s="85"/>
      <c r="X1496" s="85"/>
    </row>
    <row r="1497" spans="9:24" x14ac:dyDescent="0.25">
      <c r="I1497" s="50"/>
      <c r="J1497" s="50"/>
      <c r="K1497" s="50"/>
      <c r="V1497" s="85"/>
      <c r="W1497" s="85"/>
      <c r="X1497" s="85"/>
    </row>
    <row r="1498" spans="9:24" x14ac:dyDescent="0.25">
      <c r="I1498" s="50"/>
      <c r="J1498" s="50"/>
      <c r="K1498" s="50"/>
      <c r="V1498" s="85"/>
      <c r="W1498" s="85"/>
      <c r="X1498" s="85"/>
    </row>
    <row r="1499" spans="9:24" x14ac:dyDescent="0.25">
      <c r="I1499" s="50"/>
      <c r="J1499" s="50"/>
      <c r="K1499" s="50"/>
      <c r="V1499" s="85"/>
      <c r="W1499" s="85"/>
      <c r="X1499" s="85"/>
    </row>
    <row r="1500" spans="9:24" x14ac:dyDescent="0.25">
      <c r="I1500" s="50"/>
      <c r="J1500" s="50"/>
      <c r="K1500" s="50"/>
      <c r="V1500" s="85"/>
      <c r="W1500" s="85"/>
      <c r="X1500" s="85"/>
    </row>
    <row r="1501" spans="9:24" x14ac:dyDescent="0.25">
      <c r="I1501" s="50"/>
      <c r="J1501" s="50"/>
      <c r="K1501" s="50"/>
      <c r="V1501" s="85"/>
      <c r="W1501" s="85"/>
      <c r="X1501" s="85"/>
    </row>
    <row r="1502" spans="9:24" x14ac:dyDescent="0.25">
      <c r="I1502" s="50"/>
      <c r="J1502" s="50"/>
      <c r="K1502" s="50"/>
      <c r="V1502" s="85"/>
      <c r="W1502" s="85"/>
      <c r="X1502" s="85"/>
    </row>
    <row r="1503" spans="9:24" x14ac:dyDescent="0.25">
      <c r="I1503" s="50"/>
      <c r="J1503" s="50"/>
      <c r="K1503" s="50"/>
      <c r="V1503" s="85"/>
      <c r="W1503" s="85"/>
      <c r="X1503" s="85"/>
    </row>
    <row r="1504" spans="9:24" x14ac:dyDescent="0.25">
      <c r="I1504" s="50"/>
      <c r="J1504" s="50"/>
      <c r="K1504" s="50"/>
      <c r="V1504" s="85"/>
      <c r="W1504" s="85"/>
      <c r="X1504" s="85"/>
    </row>
    <row r="1505" spans="9:24" x14ac:dyDescent="0.25">
      <c r="I1505" s="50"/>
      <c r="J1505" s="50"/>
      <c r="K1505" s="50"/>
      <c r="V1505" s="85"/>
      <c r="W1505" s="85"/>
      <c r="X1505" s="85"/>
    </row>
    <row r="1506" spans="9:24" x14ac:dyDescent="0.25">
      <c r="I1506" s="50"/>
      <c r="J1506" s="50"/>
      <c r="K1506" s="50"/>
      <c r="V1506" s="85"/>
      <c r="W1506" s="85"/>
      <c r="X1506" s="85"/>
    </row>
    <row r="1507" spans="9:24" x14ac:dyDescent="0.25">
      <c r="I1507" s="50"/>
      <c r="J1507" s="50"/>
      <c r="K1507" s="50"/>
      <c r="V1507" s="85"/>
      <c r="W1507" s="85"/>
      <c r="X1507" s="85"/>
    </row>
    <row r="1508" spans="9:24" x14ac:dyDescent="0.25">
      <c r="I1508" s="50"/>
      <c r="J1508" s="50"/>
      <c r="K1508" s="50"/>
      <c r="V1508" s="85"/>
      <c r="W1508" s="85"/>
      <c r="X1508" s="85"/>
    </row>
    <row r="1509" spans="9:24" x14ac:dyDescent="0.25">
      <c r="I1509" s="50"/>
      <c r="J1509" s="50"/>
      <c r="K1509" s="50"/>
      <c r="V1509" s="85"/>
      <c r="W1509" s="85"/>
      <c r="X1509" s="85"/>
    </row>
    <row r="1510" spans="9:24" x14ac:dyDescent="0.25">
      <c r="I1510" s="50"/>
      <c r="J1510" s="50"/>
      <c r="K1510" s="50"/>
      <c r="V1510" s="85"/>
      <c r="W1510" s="85"/>
      <c r="X1510" s="85"/>
    </row>
    <row r="1511" spans="9:24" x14ac:dyDescent="0.25">
      <c r="I1511" s="50"/>
      <c r="J1511" s="50"/>
      <c r="K1511" s="50"/>
      <c r="V1511" s="85"/>
      <c r="W1511" s="85"/>
      <c r="X1511" s="85"/>
    </row>
    <row r="1512" spans="9:24" x14ac:dyDescent="0.25">
      <c r="I1512" s="50"/>
      <c r="J1512" s="50"/>
      <c r="K1512" s="50"/>
      <c r="V1512" s="85"/>
      <c r="W1512" s="85"/>
      <c r="X1512" s="85"/>
    </row>
    <row r="1513" spans="9:24" x14ac:dyDescent="0.25">
      <c r="I1513" s="50"/>
      <c r="J1513" s="50"/>
      <c r="K1513" s="50"/>
      <c r="V1513" s="85"/>
      <c r="W1513" s="85"/>
      <c r="X1513" s="85"/>
    </row>
    <row r="1514" spans="9:24" x14ac:dyDescent="0.25">
      <c r="I1514" s="50"/>
      <c r="J1514" s="50"/>
      <c r="K1514" s="50"/>
      <c r="V1514" s="85"/>
      <c r="W1514" s="85"/>
      <c r="X1514" s="85"/>
    </row>
    <row r="1515" spans="9:24" x14ac:dyDescent="0.25">
      <c r="I1515" s="50"/>
      <c r="J1515" s="50"/>
      <c r="K1515" s="50"/>
      <c r="V1515" s="85"/>
      <c r="W1515" s="85"/>
      <c r="X1515" s="85"/>
    </row>
    <row r="1516" spans="9:24" x14ac:dyDescent="0.25">
      <c r="I1516" s="50"/>
      <c r="J1516" s="50"/>
      <c r="K1516" s="50"/>
      <c r="V1516" s="85"/>
      <c r="W1516" s="85"/>
      <c r="X1516" s="85"/>
    </row>
    <row r="1517" spans="9:24" x14ac:dyDescent="0.25">
      <c r="I1517" s="50"/>
      <c r="J1517" s="50"/>
      <c r="K1517" s="50"/>
      <c r="V1517" s="85"/>
      <c r="W1517" s="85"/>
      <c r="X1517" s="85"/>
    </row>
    <row r="1518" spans="9:24" x14ac:dyDescent="0.25">
      <c r="I1518" s="50"/>
      <c r="J1518" s="50"/>
      <c r="K1518" s="50"/>
      <c r="V1518" s="85"/>
      <c r="W1518" s="85"/>
      <c r="X1518" s="85"/>
    </row>
    <row r="1519" spans="9:24" x14ac:dyDescent="0.25">
      <c r="I1519" s="50"/>
      <c r="J1519" s="50"/>
      <c r="K1519" s="50"/>
      <c r="V1519" s="85"/>
      <c r="W1519" s="85"/>
      <c r="X1519" s="85"/>
    </row>
    <row r="1520" spans="9:24" x14ac:dyDescent="0.25">
      <c r="I1520" s="50"/>
      <c r="J1520" s="50"/>
      <c r="K1520" s="50"/>
      <c r="V1520" s="85"/>
      <c r="W1520" s="85"/>
      <c r="X1520" s="85"/>
    </row>
    <row r="1521" spans="9:24" x14ac:dyDescent="0.25">
      <c r="I1521" s="50"/>
      <c r="J1521" s="50"/>
      <c r="K1521" s="50"/>
      <c r="V1521" s="85"/>
      <c r="W1521" s="85"/>
      <c r="X1521" s="85"/>
    </row>
    <row r="1522" spans="9:24" x14ac:dyDescent="0.25">
      <c r="I1522" s="50"/>
      <c r="J1522" s="50"/>
      <c r="K1522" s="50"/>
      <c r="V1522" s="85"/>
      <c r="W1522" s="85"/>
      <c r="X1522" s="85"/>
    </row>
    <row r="1523" spans="9:24" x14ac:dyDescent="0.25">
      <c r="I1523" s="50"/>
      <c r="J1523" s="50"/>
      <c r="K1523" s="50"/>
      <c r="V1523" s="85"/>
      <c r="W1523" s="85"/>
      <c r="X1523" s="85"/>
    </row>
    <row r="1524" spans="9:24" x14ac:dyDescent="0.25">
      <c r="I1524" s="50"/>
      <c r="J1524" s="50"/>
      <c r="K1524" s="50"/>
      <c r="V1524" s="85"/>
      <c r="W1524" s="85"/>
      <c r="X1524" s="85"/>
    </row>
    <row r="1525" spans="9:24" x14ac:dyDescent="0.25">
      <c r="I1525" s="50"/>
      <c r="J1525" s="50"/>
      <c r="K1525" s="50"/>
      <c r="V1525" s="85"/>
      <c r="W1525" s="85"/>
      <c r="X1525" s="85"/>
    </row>
    <row r="1526" spans="9:24" x14ac:dyDescent="0.25">
      <c r="I1526" s="50"/>
      <c r="J1526" s="50"/>
      <c r="K1526" s="50"/>
      <c r="V1526" s="85"/>
      <c r="W1526" s="85"/>
      <c r="X1526" s="85"/>
    </row>
    <row r="1527" spans="9:24" x14ac:dyDescent="0.25">
      <c r="I1527" s="50"/>
      <c r="J1527" s="50"/>
      <c r="K1527" s="50"/>
      <c r="V1527" s="85"/>
      <c r="W1527" s="85"/>
      <c r="X1527" s="85"/>
    </row>
    <row r="1528" spans="9:24" x14ac:dyDescent="0.25">
      <c r="I1528" s="50"/>
      <c r="J1528" s="50"/>
      <c r="K1528" s="50"/>
      <c r="V1528" s="85"/>
      <c r="W1528" s="85"/>
      <c r="X1528" s="85"/>
    </row>
    <row r="1529" spans="9:24" x14ac:dyDescent="0.25">
      <c r="I1529" s="50"/>
      <c r="J1529" s="50"/>
      <c r="K1529" s="50"/>
      <c r="V1529" s="85"/>
      <c r="W1529" s="85"/>
      <c r="X1529" s="85"/>
    </row>
    <row r="1530" spans="9:24" x14ac:dyDescent="0.25">
      <c r="I1530" s="50"/>
      <c r="J1530" s="50"/>
      <c r="K1530" s="50"/>
      <c r="V1530" s="85"/>
      <c r="W1530" s="85"/>
      <c r="X1530" s="85"/>
    </row>
    <row r="1531" spans="9:24" x14ac:dyDescent="0.25">
      <c r="I1531" s="50"/>
      <c r="J1531" s="50"/>
      <c r="K1531" s="50"/>
      <c r="V1531" s="85"/>
      <c r="W1531" s="85"/>
      <c r="X1531" s="85"/>
    </row>
    <row r="1532" spans="9:24" x14ac:dyDescent="0.25">
      <c r="I1532" s="50"/>
      <c r="J1532" s="50"/>
      <c r="K1532" s="50"/>
      <c r="V1532" s="85"/>
      <c r="W1532" s="85"/>
      <c r="X1532" s="85"/>
    </row>
    <row r="1533" spans="9:24" x14ac:dyDescent="0.25">
      <c r="I1533" s="50"/>
      <c r="J1533" s="50"/>
      <c r="K1533" s="50"/>
      <c r="V1533" s="85"/>
      <c r="W1533" s="85"/>
      <c r="X1533" s="85"/>
    </row>
    <row r="1534" spans="9:24" x14ac:dyDescent="0.25">
      <c r="I1534" s="50"/>
      <c r="J1534" s="50"/>
      <c r="K1534" s="50"/>
      <c r="V1534" s="85"/>
      <c r="W1534" s="85"/>
      <c r="X1534" s="85"/>
    </row>
    <row r="1535" spans="9:24" x14ac:dyDescent="0.25">
      <c r="I1535" s="50"/>
      <c r="J1535" s="50"/>
      <c r="K1535" s="50"/>
      <c r="V1535" s="85"/>
      <c r="W1535" s="85"/>
      <c r="X1535" s="85"/>
    </row>
    <row r="1536" spans="9:24" x14ac:dyDescent="0.25">
      <c r="I1536" s="50"/>
      <c r="J1536" s="50"/>
      <c r="K1536" s="50"/>
      <c r="V1536" s="85"/>
      <c r="W1536" s="85"/>
      <c r="X1536" s="85"/>
    </row>
    <row r="1537" spans="9:24" x14ac:dyDescent="0.25">
      <c r="I1537" s="50"/>
      <c r="J1537" s="50"/>
      <c r="K1537" s="50"/>
      <c r="V1537" s="85"/>
      <c r="W1537" s="85"/>
      <c r="X1537" s="85"/>
    </row>
    <row r="1538" spans="9:24" x14ac:dyDescent="0.25">
      <c r="I1538" s="50"/>
      <c r="J1538" s="50"/>
      <c r="K1538" s="50"/>
      <c r="V1538" s="85"/>
      <c r="W1538" s="85"/>
      <c r="X1538" s="85"/>
    </row>
    <row r="1539" spans="9:24" x14ac:dyDescent="0.25">
      <c r="I1539" s="50"/>
      <c r="J1539" s="50"/>
      <c r="K1539" s="50"/>
      <c r="V1539" s="85"/>
      <c r="W1539" s="85"/>
      <c r="X1539" s="85"/>
    </row>
    <row r="1540" spans="9:24" x14ac:dyDescent="0.25">
      <c r="I1540" s="50"/>
      <c r="J1540" s="50"/>
      <c r="K1540" s="50"/>
      <c r="V1540" s="85"/>
      <c r="W1540" s="85"/>
      <c r="X1540" s="85"/>
    </row>
    <row r="1541" spans="9:24" x14ac:dyDescent="0.25">
      <c r="I1541" s="50"/>
      <c r="J1541" s="50"/>
      <c r="K1541" s="50"/>
      <c r="V1541" s="85"/>
      <c r="W1541" s="85"/>
      <c r="X1541" s="85"/>
    </row>
    <row r="1542" spans="9:24" x14ac:dyDescent="0.25">
      <c r="I1542" s="50"/>
      <c r="J1542" s="50"/>
      <c r="K1542" s="50"/>
      <c r="V1542" s="85"/>
      <c r="W1542" s="85"/>
      <c r="X1542" s="85"/>
    </row>
    <row r="1543" spans="9:24" x14ac:dyDescent="0.25">
      <c r="I1543" s="50"/>
      <c r="J1543" s="50"/>
      <c r="K1543" s="50"/>
      <c r="V1543" s="85"/>
      <c r="W1543" s="85"/>
      <c r="X1543" s="85"/>
    </row>
    <row r="1544" spans="9:24" x14ac:dyDescent="0.25">
      <c r="I1544" s="50"/>
      <c r="J1544" s="50"/>
      <c r="K1544" s="50"/>
      <c r="V1544" s="85"/>
      <c r="W1544" s="85"/>
      <c r="X1544" s="85"/>
    </row>
    <row r="1545" spans="9:24" x14ac:dyDescent="0.25">
      <c r="I1545" s="50"/>
      <c r="J1545" s="50"/>
      <c r="K1545" s="50"/>
      <c r="V1545" s="85"/>
      <c r="W1545" s="85"/>
      <c r="X1545" s="85"/>
    </row>
    <row r="1546" spans="9:24" x14ac:dyDescent="0.25">
      <c r="I1546" s="50"/>
      <c r="J1546" s="50"/>
      <c r="K1546" s="50"/>
      <c r="V1546" s="85"/>
      <c r="W1546" s="85"/>
      <c r="X1546" s="85"/>
    </row>
    <row r="1547" spans="9:24" x14ac:dyDescent="0.25">
      <c r="I1547" s="50"/>
      <c r="J1547" s="50"/>
      <c r="K1547" s="50"/>
      <c r="V1547" s="85"/>
      <c r="W1547" s="85"/>
      <c r="X1547" s="85"/>
    </row>
    <row r="1548" spans="9:24" x14ac:dyDescent="0.25">
      <c r="I1548" s="50"/>
      <c r="J1548" s="50"/>
      <c r="K1548" s="50"/>
      <c r="V1548" s="85"/>
      <c r="W1548" s="85"/>
      <c r="X1548" s="85"/>
    </row>
    <row r="1549" spans="9:24" x14ac:dyDescent="0.25">
      <c r="I1549" s="50"/>
      <c r="J1549" s="50"/>
      <c r="K1549" s="50"/>
      <c r="V1549" s="85"/>
      <c r="W1549" s="85"/>
      <c r="X1549" s="85"/>
    </row>
    <row r="1550" spans="9:24" x14ac:dyDescent="0.25">
      <c r="I1550" s="50"/>
      <c r="J1550" s="50"/>
      <c r="K1550" s="50"/>
      <c r="V1550" s="85"/>
      <c r="W1550" s="85"/>
      <c r="X1550" s="85"/>
    </row>
    <row r="1551" spans="9:24" x14ac:dyDescent="0.25">
      <c r="I1551" s="50"/>
      <c r="J1551" s="50"/>
      <c r="K1551" s="50"/>
      <c r="V1551" s="85"/>
      <c r="W1551" s="85"/>
      <c r="X1551" s="85"/>
    </row>
    <row r="1552" spans="9:24" x14ac:dyDescent="0.25">
      <c r="I1552" s="50"/>
      <c r="J1552" s="50"/>
      <c r="K1552" s="50"/>
      <c r="V1552" s="85"/>
      <c r="W1552" s="85"/>
      <c r="X1552" s="85"/>
    </row>
    <row r="1553" spans="9:24" x14ac:dyDescent="0.25">
      <c r="I1553" s="50"/>
      <c r="J1553" s="50"/>
      <c r="K1553" s="50"/>
      <c r="V1553" s="85"/>
      <c r="W1553" s="85"/>
      <c r="X1553" s="85"/>
    </row>
    <row r="1554" spans="9:24" x14ac:dyDescent="0.25">
      <c r="V1554" s="85"/>
      <c r="W1554" s="85"/>
      <c r="X1554" s="85"/>
    </row>
    <row r="1555" spans="9:24" x14ac:dyDescent="0.25">
      <c r="V1555" s="85"/>
      <c r="W1555" s="85"/>
      <c r="X1555" s="85"/>
    </row>
    <row r="1556" spans="9:24" x14ac:dyDescent="0.25">
      <c r="V1556" s="85"/>
      <c r="W1556" s="85"/>
      <c r="X1556" s="85"/>
    </row>
    <row r="1557" spans="9:24" x14ac:dyDescent="0.25">
      <c r="V1557" s="85"/>
      <c r="W1557" s="85"/>
      <c r="X1557" s="85"/>
    </row>
  </sheetData>
  <protectedRanges>
    <protectedRange password="CE28" sqref="M1:S17 N18:S367" name="Range1"/>
    <protectedRange password="CE28" sqref="AD1:AF367" name="Range1_1"/>
    <protectedRange password="CE28" sqref="AA1:AC1" name="Range1_1_1"/>
    <protectedRange password="CE28" sqref="AB2:AC2" name="Range1_2_1"/>
    <protectedRange password="CE28" sqref="AB3:AC464" name="Range1_1_1_1"/>
  </protectedRanges>
  <dataConsolidate/>
  <mergeCells count="6">
    <mergeCell ref="AE1:AF1"/>
    <mergeCell ref="R1:S1"/>
    <mergeCell ref="B1:H1"/>
    <mergeCell ref="I1:K1"/>
    <mergeCell ref="M1:Q1"/>
    <mergeCell ref="AA1:AD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CE5FE-23C3-4D6C-9F52-4E119AE60EF4}">
  <sheetPr codeName="Sheet5"/>
  <dimension ref="A1:D26"/>
  <sheetViews>
    <sheetView tabSelected="1" workbookViewId="0">
      <selection activeCell="B6" sqref="B6"/>
    </sheetView>
  </sheetViews>
  <sheetFormatPr defaultRowHeight="15.75" x14ac:dyDescent="0.25"/>
  <cols>
    <col min="1" max="1" width="50.75" bestFit="1" customWidth="1"/>
    <col min="2" max="2" width="13.5" bestFit="1" customWidth="1"/>
    <col min="4" max="4" width="9" style="87"/>
  </cols>
  <sheetData>
    <row r="1" spans="1:4" x14ac:dyDescent="0.25">
      <c r="A1" s="161"/>
      <c r="B1" s="113" t="s">
        <v>534</v>
      </c>
      <c r="C1" s="113" t="s">
        <v>610</v>
      </c>
      <c r="D1" s="169"/>
    </row>
    <row r="2" spans="1:4" ht="18.75" x14ac:dyDescent="0.25">
      <c r="A2" s="113" t="s">
        <v>626</v>
      </c>
      <c r="B2" s="162">
        <f>Reflectivity!$F$6</f>
        <v>62.077117638819857</v>
      </c>
      <c r="C2" s="162">
        <f>dMarker!D4</f>
        <v>2.9340726200625094</v>
      </c>
      <c r="D2" s="170"/>
    </row>
    <row r="3" spans="1:4" ht="18.75" x14ac:dyDescent="0.25">
      <c r="A3" s="113" t="s">
        <v>621</v>
      </c>
      <c r="B3" s="162">
        <f>Reflectivity!$H$10</f>
        <v>175.74317310171398</v>
      </c>
      <c r="C3" s="162">
        <f>'5×dBilayer'!D4</f>
        <v>2.3402072147155355</v>
      </c>
      <c r="D3" s="170"/>
    </row>
    <row r="4" spans="1:4" ht="18.75" x14ac:dyDescent="0.25">
      <c r="A4" s="113" t="s">
        <v>644</v>
      </c>
      <c r="B4" s="162">
        <f>Reflectivity!F5</f>
        <v>74.407345041618456</v>
      </c>
      <c r="C4" s="162">
        <f>SQRT((3*C3/5)^2+(C2/2)^2)</f>
        <v>2.0307044752401842</v>
      </c>
      <c r="D4" s="170"/>
    </row>
    <row r="5" spans="1:4" ht="18.75" x14ac:dyDescent="0.25">
      <c r="A5" s="113" t="s">
        <v>645</v>
      </c>
      <c r="B5" s="162">
        <f>Reflectivity!F7</f>
        <v>109.55597966196126</v>
      </c>
      <c r="C5" s="162">
        <f>SQRT((4*C3/5)^2+(C2/2)^2)</f>
        <v>2.3784869585403179</v>
      </c>
      <c r="D5" s="170"/>
    </row>
    <row r="6" spans="1:4" ht="18.75" x14ac:dyDescent="0.25">
      <c r="A6" s="113" t="s">
        <v>620</v>
      </c>
      <c r="B6" s="162">
        <f>Reflectivity!H12</f>
        <v>597.52678854582746</v>
      </c>
      <c r="C6" s="162">
        <f>SQRT(C2^2+4*C3^2+C4^2+C5^2)</f>
        <v>6.3479147953271982</v>
      </c>
      <c r="D6" s="170"/>
    </row>
    <row r="8" spans="1:4" ht="18.75" x14ac:dyDescent="0.25">
      <c r="A8" s="113" t="s">
        <v>627</v>
      </c>
      <c r="B8" s="162">
        <f>Reflectivity!G7/2.35</f>
        <v>12.092921312329507</v>
      </c>
      <c r="C8" s="162">
        <f>sigMarker!D4/2.35</f>
        <v>4.1186169237979113</v>
      </c>
    </row>
    <row r="9" spans="1:4" ht="18.75" x14ac:dyDescent="0.25">
      <c r="A9" s="113" t="s">
        <v>628</v>
      </c>
      <c r="B9" s="162">
        <f>Reflectivity!G4/2.35</f>
        <v>141.35346483167788</v>
      </c>
      <c r="C9" s="162">
        <f>sigTop!D4/2.35</f>
        <v>39.859872382679512</v>
      </c>
      <c r="D9" s="171"/>
    </row>
    <row r="10" spans="1:4" x14ac:dyDescent="0.25">
      <c r="D10" s="171"/>
    </row>
    <row r="11" spans="1:4" ht="18.75" x14ac:dyDescent="0.25">
      <c r="A11" s="113" t="s">
        <v>624</v>
      </c>
      <c r="B11" s="175">
        <f>Reflectivity!H14</f>
        <v>0.751</v>
      </c>
      <c r="C11" s="175">
        <v>0.02</v>
      </c>
    </row>
    <row r="12" spans="1:4" ht="18.75" x14ac:dyDescent="0.25">
      <c r="A12" s="113" t="s">
        <v>629</v>
      </c>
      <c r="B12" s="172">
        <f>Reflectivity!H16</f>
        <v>0.71278254745189806</v>
      </c>
      <c r="C12" s="172">
        <f>density!D4</f>
        <v>7.0540028234331281E-2</v>
      </c>
    </row>
    <row r="13" spans="1:4" ht="18.75" x14ac:dyDescent="0.25">
      <c r="A13" s="113" t="s">
        <v>622</v>
      </c>
      <c r="B13" s="172">
        <f>Reflectivity!H18</f>
        <v>0.42522310319656886</v>
      </c>
      <c r="C13" s="172">
        <f>B13*SQRT((C3^2/B3^2)+(C2^2/B2^2))</f>
        <v>2.088055091142791E-2</v>
      </c>
    </row>
    <row r="15" spans="1:4" ht="18.75" x14ac:dyDescent="0.25">
      <c r="A15" s="113" t="s">
        <v>630</v>
      </c>
      <c r="B15" s="173">
        <f>B11*Reflectivity!B16+(1-B11)*Reflectivity!D16</f>
        <v>11149400000</v>
      </c>
      <c r="C15" s="173"/>
    </row>
    <row r="16" spans="1:4" ht="18.75" x14ac:dyDescent="0.25">
      <c r="A16" s="113" t="s">
        <v>631</v>
      </c>
      <c r="B16" s="173">
        <f>0.0000000000000001*B12*(Reflectivity!B16-Reflectivity!D16)</f>
        <v>-4.2766952847113885E-8</v>
      </c>
      <c r="C16" s="173"/>
    </row>
    <row r="17" spans="1:3" ht="18.75" x14ac:dyDescent="0.25">
      <c r="A17" s="113" t="s">
        <v>618</v>
      </c>
      <c r="B17" s="173">
        <f>Reflectivity!H4</f>
        <v>7.9470977345601922E-7</v>
      </c>
      <c r="C17" s="173">
        <f>SQRT((0.0000000000000001*B15*C12)^2+(B16*C11)^2)</f>
        <v>7.8652550082848351E-8</v>
      </c>
    </row>
    <row r="18" spans="1:3" ht="18.75" x14ac:dyDescent="0.25">
      <c r="A18" s="113" t="s">
        <v>632</v>
      </c>
      <c r="B18" s="173">
        <f>(Reflectivity!C14/Reflectivity!B14)*B13*Reflectivity!C16+(1-B13)*Reflectivity!H4</f>
        <v>23243109672.532452</v>
      </c>
      <c r="C18" s="173"/>
    </row>
    <row r="19" spans="1:3" ht="18.75" x14ac:dyDescent="0.25">
      <c r="A19" s="113" t="s">
        <v>633</v>
      </c>
      <c r="B19" s="173">
        <f>0.0000000000000001*B12*(Reflectivity!C14/Reflectivity!B14)*Reflectivity!C16-B17</f>
        <v>3.1014291706767825E-6</v>
      </c>
      <c r="C19" s="173"/>
    </row>
    <row r="20" spans="1:3" ht="18.75" x14ac:dyDescent="0.25">
      <c r="A20" s="113" t="s">
        <v>634</v>
      </c>
      <c r="B20" s="172">
        <f>1-B13</f>
        <v>0.57477689680343114</v>
      </c>
      <c r="C20" s="173"/>
    </row>
    <row r="21" spans="1:3" ht="18.75" x14ac:dyDescent="0.25">
      <c r="A21" s="113" t="s">
        <v>635</v>
      </c>
      <c r="B21" s="173">
        <f>Reflectivity!H6</f>
        <v>1.6567282923091531E-6</v>
      </c>
      <c r="C21" s="173">
        <f>SQRT((0.0000000000000001*B18)^2*C12^2+B19^2*C13^2+B20^2*C17^2)</f>
        <v>1.8198741090218816E-7</v>
      </c>
    </row>
    <row r="23" spans="1:3" ht="18.75" x14ac:dyDescent="0.25">
      <c r="A23" s="113" t="s">
        <v>637</v>
      </c>
      <c r="B23" s="175">
        <f>1-B11/5</f>
        <v>0.8498</v>
      </c>
      <c r="C23" s="173"/>
    </row>
    <row r="24" spans="1:3" ht="18.75" x14ac:dyDescent="0.25">
      <c r="A24" s="113" t="s">
        <v>638</v>
      </c>
      <c r="B24" s="173">
        <f>(-B17+0.0000000000000001*B12*Reflectivity!C16*(Reflectivity!C14/Reflectivity!B14))/5</f>
        <v>6.2028583413535648E-7</v>
      </c>
      <c r="C24" s="173"/>
    </row>
    <row r="25" spans="1:3" ht="18.75" x14ac:dyDescent="0.25">
      <c r="A25" s="113" t="s">
        <v>639</v>
      </c>
      <c r="B25" s="173">
        <f>B11*(Reflectivity!C14/Reflectivity!B14)*Reflectivity!C16/5</f>
        <v>8210078536.5853672</v>
      </c>
      <c r="C25" s="173"/>
    </row>
    <row r="26" spans="1:3" ht="18.75" x14ac:dyDescent="0.25">
      <c r="A26" s="113" t="s">
        <v>640</v>
      </c>
      <c r="B26" s="173">
        <f>Reflectivity!C4</f>
        <v>1.2605444348916719E-6</v>
      </c>
      <c r="C26" s="173">
        <f>SQRT((B23*C17)^2+(B24*C11)^2+(0.0000000000000001*B25*C12)^2)</f>
        <v>8.9304910932375946E-8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B139-7DCC-4220-AF0D-591D05F2426A}">
  <sheetPr codeName="Sheet2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25" style="116" bestFit="1" customWidth="1"/>
    <col min="3" max="3" width="8.625" bestFit="1" customWidth="1"/>
    <col min="4" max="4" width="8.25" bestFit="1" customWidth="1"/>
  </cols>
  <sheetData>
    <row r="1" spans="1:5" ht="17.25" x14ac:dyDescent="0.25">
      <c r="A1" s="118" t="s">
        <v>529</v>
      </c>
      <c r="B1" s="163" t="s">
        <v>530</v>
      </c>
      <c r="C1" s="163" t="s">
        <v>531</v>
      </c>
      <c r="D1" s="110" t="s">
        <v>532</v>
      </c>
      <c r="E1" s="181" t="s">
        <v>533</v>
      </c>
    </row>
    <row r="2" spans="1:5" x14ac:dyDescent="0.25">
      <c r="A2" s="119" t="s">
        <v>623</v>
      </c>
      <c r="B2" s="167">
        <v>0.61</v>
      </c>
      <c r="C2" s="167">
        <v>0.81</v>
      </c>
      <c r="D2" s="112">
        <v>10</v>
      </c>
      <c r="E2" s="181"/>
    </row>
    <row r="3" spans="1:5" ht="18.75" x14ac:dyDescent="0.25">
      <c r="A3" s="120" t="s">
        <v>534</v>
      </c>
      <c r="B3" s="113" t="s">
        <v>535</v>
      </c>
      <c r="C3" s="113" t="s">
        <v>536</v>
      </c>
      <c r="D3" s="113" t="s">
        <v>537</v>
      </c>
    </row>
    <row r="4" spans="1:5" x14ac:dyDescent="0.25">
      <c r="A4" s="116">
        <v>0.61</v>
      </c>
      <c r="B4" s="115">
        <v>7.7788994173283923</v>
      </c>
      <c r="C4" s="116">
        <v>0.71278254745189806</v>
      </c>
      <c r="D4" s="116">
        <v>7.0540028234331281E-2</v>
      </c>
    </row>
    <row r="5" spans="1:5" x14ac:dyDescent="0.25">
      <c r="A5" s="116">
        <v>0.63</v>
      </c>
      <c r="B5" s="115">
        <v>6.9369749044099098</v>
      </c>
      <c r="C5" s="116"/>
      <c r="D5" s="115"/>
    </row>
    <row r="6" spans="1:5" x14ac:dyDescent="0.25">
      <c r="A6" s="116">
        <v>0.65</v>
      </c>
      <c r="B6" s="115">
        <v>6.3151469337978821</v>
      </c>
      <c r="C6" s="115"/>
      <c r="D6" s="115"/>
    </row>
    <row r="7" spans="1:5" x14ac:dyDescent="0.25">
      <c r="A7" s="116">
        <v>0.67</v>
      </c>
      <c r="B7" s="115">
        <v>5.8941757194994802</v>
      </c>
      <c r="C7" s="115"/>
      <c r="D7" s="115"/>
    </row>
    <row r="8" spans="1:5" x14ac:dyDescent="0.25">
      <c r="A8" s="116">
        <v>0.69000000000000006</v>
      </c>
      <c r="B8" s="115">
        <v>5.656973327840344</v>
      </c>
      <c r="C8" s="115"/>
      <c r="D8" s="115"/>
    </row>
    <row r="9" spans="1:5" x14ac:dyDescent="0.25">
      <c r="A9" s="116">
        <v>0.71000000000000008</v>
      </c>
      <c r="B9" s="115">
        <v>5.5886455465601799</v>
      </c>
      <c r="C9" s="115"/>
      <c r="D9" s="115"/>
    </row>
    <row r="10" spans="1:5" x14ac:dyDescent="0.25">
      <c r="A10" s="116">
        <v>0.73</v>
      </c>
      <c r="B10" s="115">
        <v>5.6765342828299969</v>
      </c>
      <c r="C10" s="115"/>
      <c r="D10" s="115"/>
    </row>
    <row r="11" spans="1:5" x14ac:dyDescent="0.25">
      <c r="A11" s="116">
        <v>0.75</v>
      </c>
      <c r="B11" s="115">
        <v>5.9102604403252128</v>
      </c>
      <c r="C11" s="115"/>
      <c r="D11" s="115"/>
    </row>
    <row r="12" spans="1:5" x14ac:dyDescent="0.25">
      <c r="A12" s="116">
        <v>0.77</v>
      </c>
      <c r="B12" s="115">
        <v>6.281767222521716</v>
      </c>
      <c r="C12" s="115"/>
      <c r="D12" s="115"/>
    </row>
    <row r="13" spans="1:5" x14ac:dyDescent="0.25">
      <c r="A13" s="116">
        <v>0.79</v>
      </c>
      <c r="B13" s="115">
        <v>6.7853638067617119</v>
      </c>
      <c r="C13" s="115"/>
      <c r="D13" s="115"/>
    </row>
    <row r="14" spans="1:5" x14ac:dyDescent="0.25">
      <c r="A14" s="116">
        <v>0.81</v>
      </c>
      <c r="B14" s="115">
        <v>7.4177693312209776</v>
      </c>
      <c r="C14" s="115"/>
      <c r="D14" s="115"/>
    </row>
    <row r="15" spans="1:5" x14ac:dyDescent="0.25">
      <c r="B15" s="115"/>
      <c r="C15" s="115"/>
      <c r="D15" s="115"/>
    </row>
    <row r="16" spans="1:5" x14ac:dyDescent="0.25">
      <c r="B16" s="115"/>
      <c r="C16" s="115"/>
      <c r="D16" s="115"/>
    </row>
    <row r="17" spans="2:4" x14ac:dyDescent="0.25">
      <c r="B17" s="115"/>
      <c r="C17" s="115"/>
      <c r="D17" s="115"/>
    </row>
    <row r="18" spans="2:4" x14ac:dyDescent="0.25">
      <c r="B18" s="115"/>
      <c r="C18" s="115"/>
      <c r="D18" s="115"/>
    </row>
    <row r="19" spans="2:4" x14ac:dyDescent="0.25">
      <c r="B19" s="115"/>
      <c r="C19" s="115"/>
      <c r="D19" s="115"/>
    </row>
    <row r="20" spans="2:4" x14ac:dyDescent="0.25">
      <c r="B20" s="115"/>
      <c r="C20" s="115"/>
      <c r="D20" s="115"/>
    </row>
    <row r="21" spans="2:4" x14ac:dyDescent="0.25">
      <c r="B21" s="115"/>
      <c r="C21" s="115"/>
      <c r="D21" s="115"/>
    </row>
    <row r="22" spans="2:4" x14ac:dyDescent="0.25">
      <c r="B22" s="115"/>
      <c r="C22" s="115"/>
      <c r="D22" s="115"/>
    </row>
    <row r="23" spans="2:4" x14ac:dyDescent="0.25">
      <c r="B23" s="115"/>
      <c r="C23" s="115"/>
      <c r="D23" s="115"/>
    </row>
    <row r="24" spans="2:4" x14ac:dyDescent="0.25">
      <c r="B24" s="115"/>
      <c r="C24" s="115"/>
      <c r="D24" s="115"/>
    </row>
    <row r="25" spans="2:4" x14ac:dyDescent="0.25">
      <c r="B25" s="115"/>
      <c r="C25" s="115"/>
      <c r="D25" s="115"/>
    </row>
    <row r="26" spans="2:4" x14ac:dyDescent="0.25">
      <c r="B26" s="115"/>
      <c r="C26" s="115"/>
      <c r="D26" s="115"/>
    </row>
    <row r="27" spans="2:4" x14ac:dyDescent="0.25">
      <c r="B27" s="115"/>
      <c r="C27" s="115"/>
      <c r="D27" s="115"/>
    </row>
    <row r="28" spans="2:4" x14ac:dyDescent="0.25">
      <c r="B28" s="115"/>
      <c r="C28" s="115"/>
      <c r="D28" s="115"/>
    </row>
    <row r="29" spans="2:4" x14ac:dyDescent="0.25">
      <c r="B29" s="115"/>
      <c r="C29" s="115"/>
      <c r="D29" s="115"/>
    </row>
    <row r="30" spans="2:4" x14ac:dyDescent="0.25">
      <c r="B30" s="115"/>
      <c r="C30" s="115"/>
      <c r="D30" s="115"/>
    </row>
    <row r="31" spans="2:4" x14ac:dyDescent="0.25">
      <c r="B31" s="115"/>
      <c r="C31" s="115"/>
      <c r="D31" s="115"/>
    </row>
    <row r="32" spans="2:4" x14ac:dyDescent="0.25">
      <c r="B32" s="115"/>
      <c r="C32" s="115"/>
      <c r="D32" s="115"/>
    </row>
    <row r="33" spans="2:4" x14ac:dyDescent="0.25">
      <c r="B33" s="115"/>
      <c r="C33" s="115"/>
      <c r="D33" s="115"/>
    </row>
    <row r="34" spans="2:4" x14ac:dyDescent="0.25">
      <c r="B34" s="115"/>
      <c r="C34" s="115"/>
      <c r="D34" s="115"/>
    </row>
    <row r="35" spans="2:4" x14ac:dyDescent="0.25">
      <c r="C35" s="115"/>
      <c r="D35" s="115"/>
    </row>
    <row r="36" spans="2:4" x14ac:dyDescent="0.25">
      <c r="C36" s="115"/>
      <c r="D36" s="115"/>
    </row>
    <row r="37" spans="2:4" x14ac:dyDescent="0.25">
      <c r="C37" s="115"/>
      <c r="D37" s="115"/>
    </row>
    <row r="38" spans="2:4" x14ac:dyDescent="0.25">
      <c r="C38" s="115"/>
      <c r="D38" s="115"/>
    </row>
    <row r="39" spans="2:4" x14ac:dyDescent="0.25">
      <c r="C39" s="115"/>
      <c r="D39" s="115"/>
    </row>
    <row r="40" spans="2:4" x14ac:dyDescent="0.25">
      <c r="C40" s="115"/>
      <c r="D40" s="115"/>
    </row>
    <row r="41" spans="2:4" x14ac:dyDescent="0.25">
      <c r="C41" s="115"/>
      <c r="D41" s="115"/>
    </row>
    <row r="42" spans="2:4" x14ac:dyDescent="0.25">
      <c r="C42" s="115"/>
      <c r="D42" s="115"/>
    </row>
    <row r="43" spans="2:4" x14ac:dyDescent="0.25">
      <c r="C43" s="115"/>
      <c r="D43" s="115"/>
    </row>
    <row r="44" spans="2:4" x14ac:dyDescent="0.25">
      <c r="C44" s="115"/>
      <c r="D44" s="115"/>
    </row>
    <row r="45" spans="2:4" x14ac:dyDescent="0.25">
      <c r="C45" s="115"/>
      <c r="D45" s="115"/>
    </row>
    <row r="46" spans="2:4" x14ac:dyDescent="0.25">
      <c r="C46" s="115"/>
      <c r="D46" s="115"/>
    </row>
    <row r="47" spans="2:4" x14ac:dyDescent="0.25">
      <c r="C47" s="115"/>
      <c r="D47" s="115"/>
    </row>
    <row r="48" spans="2:4" x14ac:dyDescent="0.25">
      <c r="C48" s="115"/>
      <c r="D48" s="115"/>
    </row>
    <row r="49" spans="3:4" x14ac:dyDescent="0.25">
      <c r="C49" s="115"/>
      <c r="D49" s="115"/>
    </row>
    <row r="50" spans="3:4" x14ac:dyDescent="0.25">
      <c r="C50" s="115"/>
      <c r="D50" s="115"/>
    </row>
    <row r="51" spans="3:4" x14ac:dyDescent="0.25">
      <c r="C51" s="115"/>
      <c r="D51" s="115"/>
    </row>
    <row r="52" spans="3:4" x14ac:dyDescent="0.25">
      <c r="C52" s="115"/>
      <c r="D52" s="115"/>
    </row>
    <row r="53" spans="3:4" x14ac:dyDescent="0.25">
      <c r="C53" s="115"/>
      <c r="D53" s="115"/>
    </row>
    <row r="54" spans="3:4" x14ac:dyDescent="0.25">
      <c r="C54" s="115"/>
      <c r="D54" s="115"/>
    </row>
    <row r="55" spans="3:4" x14ac:dyDescent="0.25">
      <c r="C55" s="115"/>
      <c r="D55" s="115"/>
    </row>
    <row r="56" spans="3:4" x14ac:dyDescent="0.25">
      <c r="C56" s="115"/>
      <c r="D56" s="115"/>
    </row>
    <row r="57" spans="3:4" x14ac:dyDescent="0.25">
      <c r="C57" s="115"/>
      <c r="D57" s="115"/>
    </row>
    <row r="58" spans="3:4" x14ac:dyDescent="0.25">
      <c r="C58" s="115"/>
      <c r="D58" s="115"/>
    </row>
    <row r="59" spans="3:4" x14ac:dyDescent="0.25">
      <c r="C59" s="115"/>
      <c r="D59" s="115"/>
    </row>
    <row r="60" spans="3:4" x14ac:dyDescent="0.25">
      <c r="C60" s="115"/>
      <c r="D60" s="115"/>
    </row>
    <row r="61" spans="3:4" x14ac:dyDescent="0.25">
      <c r="C61" s="115"/>
      <c r="D61" s="115"/>
    </row>
    <row r="62" spans="3:4" x14ac:dyDescent="0.25">
      <c r="C62" s="115"/>
      <c r="D62" s="115"/>
    </row>
    <row r="63" spans="3:4" x14ac:dyDescent="0.25">
      <c r="C63" s="115"/>
      <c r="D63" s="115"/>
    </row>
    <row r="64" spans="3:4" x14ac:dyDescent="0.25">
      <c r="C64" s="115"/>
      <c r="D64" s="115"/>
    </row>
    <row r="65" spans="3:4" x14ac:dyDescent="0.25">
      <c r="C65" s="115"/>
      <c r="D65" s="115"/>
    </row>
    <row r="66" spans="3:4" x14ac:dyDescent="0.25">
      <c r="C66" s="115"/>
      <c r="D66" s="115"/>
    </row>
    <row r="67" spans="3:4" x14ac:dyDescent="0.25">
      <c r="C67" s="115"/>
      <c r="D67" s="115"/>
    </row>
    <row r="68" spans="3:4" x14ac:dyDescent="0.25">
      <c r="C68" s="115"/>
      <c r="D68" s="115"/>
    </row>
    <row r="69" spans="3:4" x14ac:dyDescent="0.25">
      <c r="C69" s="115"/>
      <c r="D69" s="115"/>
    </row>
    <row r="70" spans="3:4" x14ac:dyDescent="0.25">
      <c r="C70" s="115"/>
      <c r="D70" s="115"/>
    </row>
    <row r="71" spans="3:4" x14ac:dyDescent="0.25">
      <c r="C71" s="115"/>
      <c r="D71" s="115"/>
    </row>
    <row r="72" spans="3:4" x14ac:dyDescent="0.25">
      <c r="C72" s="115"/>
      <c r="D72" s="115"/>
    </row>
    <row r="73" spans="3:4" x14ac:dyDescent="0.25">
      <c r="C73" s="115"/>
      <c r="D73" s="115"/>
    </row>
    <row r="74" spans="3:4" x14ac:dyDescent="0.25">
      <c r="C74" s="115"/>
      <c r="D74" s="115"/>
    </row>
    <row r="75" spans="3:4" x14ac:dyDescent="0.25">
      <c r="C75" s="115"/>
      <c r="D75" s="115"/>
    </row>
    <row r="76" spans="3:4" x14ac:dyDescent="0.25">
      <c r="C76" s="115"/>
      <c r="D76" s="115"/>
    </row>
    <row r="77" spans="3:4" x14ac:dyDescent="0.25">
      <c r="C77" s="115"/>
      <c r="D77" s="115"/>
    </row>
    <row r="78" spans="3:4" x14ac:dyDescent="0.25">
      <c r="C78" s="115"/>
      <c r="D78" s="115"/>
    </row>
    <row r="79" spans="3:4" x14ac:dyDescent="0.25">
      <c r="C79" s="115"/>
      <c r="D79" s="115"/>
    </row>
    <row r="80" spans="3:4" x14ac:dyDescent="0.25">
      <c r="C80" s="115"/>
      <c r="D80" s="115"/>
    </row>
    <row r="81" spans="3:4" x14ac:dyDescent="0.25">
      <c r="C81" s="115"/>
      <c r="D81" s="115"/>
    </row>
    <row r="82" spans="3:4" x14ac:dyDescent="0.25">
      <c r="C82" s="115"/>
      <c r="D82" s="115"/>
    </row>
    <row r="83" spans="3:4" x14ac:dyDescent="0.25">
      <c r="C83" s="115"/>
      <c r="D83" s="115"/>
    </row>
    <row r="84" spans="3:4" x14ac:dyDescent="0.25">
      <c r="C84" s="115"/>
      <c r="D84" s="115"/>
    </row>
    <row r="85" spans="3:4" x14ac:dyDescent="0.25">
      <c r="C85" s="115"/>
      <c r="D85" s="115"/>
    </row>
    <row r="86" spans="3:4" x14ac:dyDescent="0.25">
      <c r="C86" s="115"/>
      <c r="D86" s="115"/>
    </row>
    <row r="87" spans="3:4" x14ac:dyDescent="0.25">
      <c r="C87" s="115"/>
      <c r="D87" s="115"/>
    </row>
    <row r="88" spans="3:4" x14ac:dyDescent="0.25">
      <c r="C88" s="115"/>
      <c r="D88" s="115"/>
    </row>
    <row r="89" spans="3:4" x14ac:dyDescent="0.25">
      <c r="C89" s="115"/>
      <c r="D89" s="115"/>
    </row>
    <row r="90" spans="3:4" x14ac:dyDescent="0.25">
      <c r="C90" s="115"/>
      <c r="D90" s="115"/>
    </row>
    <row r="91" spans="3:4" x14ac:dyDescent="0.25">
      <c r="C91" s="115"/>
      <c r="D91" s="115"/>
    </row>
    <row r="92" spans="3:4" x14ac:dyDescent="0.25">
      <c r="C92" s="115"/>
      <c r="D92" s="115"/>
    </row>
    <row r="93" spans="3:4" x14ac:dyDescent="0.25">
      <c r="C93" s="115"/>
      <c r="D93" s="115"/>
    </row>
    <row r="94" spans="3:4" x14ac:dyDescent="0.25">
      <c r="C94" s="115"/>
      <c r="D94" s="115"/>
    </row>
    <row r="95" spans="3:4" x14ac:dyDescent="0.25">
      <c r="C95" s="115"/>
      <c r="D95" s="115"/>
    </row>
    <row r="96" spans="3:4" x14ac:dyDescent="0.25">
      <c r="C96" s="115"/>
      <c r="D96" s="115"/>
    </row>
    <row r="97" spans="3:4" x14ac:dyDescent="0.25">
      <c r="C97" s="115"/>
      <c r="D97" s="115"/>
    </row>
    <row r="98" spans="3:4" x14ac:dyDescent="0.25">
      <c r="C98" s="115"/>
      <c r="D98" s="115"/>
    </row>
    <row r="99" spans="3:4" x14ac:dyDescent="0.25">
      <c r="C99" s="115"/>
      <c r="D99" s="115"/>
    </row>
    <row r="100" spans="3:4" x14ac:dyDescent="0.25">
      <c r="C100" s="115"/>
      <c r="D100" s="115"/>
    </row>
    <row r="101" spans="3:4" x14ac:dyDescent="0.25">
      <c r="C101" s="115"/>
      <c r="D101" s="115"/>
    </row>
    <row r="102" spans="3:4" x14ac:dyDescent="0.25">
      <c r="C102" s="115"/>
      <c r="D102" s="115"/>
    </row>
    <row r="103" spans="3:4" x14ac:dyDescent="0.25">
      <c r="C103" s="115"/>
      <c r="D103" s="115"/>
    </row>
    <row r="104" spans="3:4" x14ac:dyDescent="0.25">
      <c r="C104" s="115"/>
      <c r="D104" s="115"/>
    </row>
    <row r="105" spans="3:4" x14ac:dyDescent="0.25">
      <c r="C105" s="115"/>
      <c r="D105" s="115"/>
    </row>
    <row r="106" spans="3:4" x14ac:dyDescent="0.25">
      <c r="C106" s="115"/>
      <c r="D106" s="115"/>
    </row>
    <row r="107" spans="3:4" x14ac:dyDescent="0.25">
      <c r="C107" s="115"/>
      <c r="D107" s="115"/>
    </row>
    <row r="108" spans="3:4" x14ac:dyDescent="0.25">
      <c r="C108" s="115"/>
      <c r="D108" s="115"/>
    </row>
    <row r="109" spans="3:4" x14ac:dyDescent="0.25">
      <c r="C109" s="115"/>
      <c r="D109" s="115"/>
    </row>
    <row r="110" spans="3:4" x14ac:dyDescent="0.25">
      <c r="C110" s="115"/>
      <c r="D110" s="115"/>
    </row>
    <row r="111" spans="3:4" x14ac:dyDescent="0.25">
      <c r="C111" s="115"/>
      <c r="D111" s="115"/>
    </row>
    <row r="112" spans="3:4" x14ac:dyDescent="0.25">
      <c r="C112" s="115"/>
      <c r="D112" s="115"/>
    </row>
    <row r="113" spans="3:4" x14ac:dyDescent="0.25">
      <c r="C113" s="115"/>
      <c r="D113" s="115"/>
    </row>
    <row r="114" spans="3:4" x14ac:dyDescent="0.25">
      <c r="C114" s="115"/>
      <c r="D114" s="115"/>
    </row>
    <row r="115" spans="3:4" x14ac:dyDescent="0.25">
      <c r="C115" s="115"/>
      <c r="D115" s="115"/>
    </row>
    <row r="116" spans="3:4" x14ac:dyDescent="0.25">
      <c r="C116" s="115"/>
      <c r="D116" s="115"/>
    </row>
    <row r="117" spans="3:4" x14ac:dyDescent="0.25">
      <c r="C117" s="115"/>
      <c r="D117" s="115"/>
    </row>
    <row r="118" spans="3:4" x14ac:dyDescent="0.25">
      <c r="C118" s="115"/>
      <c r="D118" s="115"/>
    </row>
    <row r="119" spans="3:4" x14ac:dyDescent="0.25">
      <c r="C119" s="115"/>
      <c r="D119" s="115"/>
    </row>
    <row r="120" spans="3:4" x14ac:dyDescent="0.25">
      <c r="C120" s="115"/>
      <c r="D120" s="115"/>
    </row>
    <row r="121" spans="3:4" x14ac:dyDescent="0.25">
      <c r="C121" s="115"/>
      <c r="D121" s="115"/>
    </row>
    <row r="122" spans="3:4" x14ac:dyDescent="0.25">
      <c r="C122" s="115"/>
      <c r="D122" s="115"/>
    </row>
    <row r="123" spans="3:4" x14ac:dyDescent="0.25">
      <c r="C123" s="115"/>
      <c r="D123" s="115"/>
    </row>
    <row r="124" spans="3:4" x14ac:dyDescent="0.25">
      <c r="C124" s="115"/>
      <c r="D124" s="115"/>
    </row>
    <row r="125" spans="3:4" x14ac:dyDescent="0.25">
      <c r="C125" s="115"/>
      <c r="D125" s="115"/>
    </row>
    <row r="126" spans="3:4" x14ac:dyDescent="0.25">
      <c r="C126" s="115"/>
      <c r="D126" s="115"/>
    </row>
    <row r="127" spans="3:4" x14ac:dyDescent="0.25">
      <c r="C127" s="115"/>
      <c r="D127" s="115"/>
    </row>
    <row r="128" spans="3:4" x14ac:dyDescent="0.25">
      <c r="C128" s="115"/>
      <c r="D128" s="115"/>
    </row>
    <row r="129" spans="3:4" x14ac:dyDescent="0.25">
      <c r="C129" s="115"/>
      <c r="D129" s="115"/>
    </row>
    <row r="130" spans="3:4" x14ac:dyDescent="0.25">
      <c r="C130" s="115"/>
      <c r="D130" s="115"/>
    </row>
    <row r="131" spans="3:4" x14ac:dyDescent="0.25">
      <c r="C131" s="115"/>
      <c r="D131" s="115"/>
    </row>
    <row r="132" spans="3:4" x14ac:dyDescent="0.25">
      <c r="C132" s="115"/>
      <c r="D132" s="115"/>
    </row>
    <row r="133" spans="3:4" x14ac:dyDescent="0.25">
      <c r="C133" s="115"/>
      <c r="D133" s="115"/>
    </row>
    <row r="134" spans="3:4" x14ac:dyDescent="0.25">
      <c r="C134" s="115"/>
      <c r="D134" s="115"/>
    </row>
    <row r="135" spans="3:4" x14ac:dyDescent="0.25">
      <c r="C135" s="115"/>
      <c r="D135" s="115"/>
    </row>
    <row r="136" spans="3:4" x14ac:dyDescent="0.25">
      <c r="C136" s="115"/>
      <c r="D136" s="115"/>
    </row>
    <row r="137" spans="3:4" x14ac:dyDescent="0.25">
      <c r="C137" s="115"/>
      <c r="D137" s="115"/>
    </row>
    <row r="138" spans="3:4" x14ac:dyDescent="0.25">
      <c r="C138" s="115"/>
      <c r="D138" s="115"/>
    </row>
    <row r="139" spans="3:4" x14ac:dyDescent="0.25">
      <c r="C139" s="115"/>
      <c r="D139" s="115"/>
    </row>
    <row r="140" spans="3:4" x14ac:dyDescent="0.25">
      <c r="C140" s="115"/>
      <c r="D140" s="115"/>
    </row>
    <row r="141" spans="3:4" x14ac:dyDescent="0.25">
      <c r="C141" s="115"/>
      <c r="D141" s="115"/>
    </row>
    <row r="142" spans="3:4" x14ac:dyDescent="0.25">
      <c r="C142" s="115"/>
      <c r="D142" s="115"/>
    </row>
    <row r="143" spans="3:4" x14ac:dyDescent="0.25">
      <c r="C143" s="115"/>
      <c r="D143" s="115"/>
    </row>
    <row r="144" spans="3:4" x14ac:dyDescent="0.25">
      <c r="C144" s="115"/>
      <c r="D144" s="115"/>
    </row>
    <row r="145" spans="3:4" x14ac:dyDescent="0.25">
      <c r="C145" s="115"/>
      <c r="D145" s="115"/>
    </row>
    <row r="146" spans="3:4" x14ac:dyDescent="0.25">
      <c r="C146" s="115"/>
      <c r="D146" s="115"/>
    </row>
    <row r="147" spans="3:4" x14ac:dyDescent="0.25">
      <c r="C147" s="115"/>
      <c r="D147" s="115"/>
    </row>
    <row r="148" spans="3:4" x14ac:dyDescent="0.25">
      <c r="C148" s="115"/>
      <c r="D148" s="115"/>
    </row>
    <row r="149" spans="3:4" x14ac:dyDescent="0.25">
      <c r="C149" s="115"/>
      <c r="D149" s="115"/>
    </row>
    <row r="150" spans="3:4" x14ac:dyDescent="0.25">
      <c r="C150" s="115"/>
      <c r="D150" s="115"/>
    </row>
    <row r="151" spans="3:4" x14ac:dyDescent="0.25">
      <c r="C151" s="115"/>
      <c r="D151" s="115"/>
    </row>
    <row r="152" spans="3:4" x14ac:dyDescent="0.25">
      <c r="C152" s="115"/>
      <c r="D152" s="115"/>
    </row>
    <row r="153" spans="3:4" x14ac:dyDescent="0.25">
      <c r="C153" s="115"/>
      <c r="D153" s="115"/>
    </row>
    <row r="154" spans="3:4" x14ac:dyDescent="0.25">
      <c r="C154" s="115"/>
      <c r="D154" s="115"/>
    </row>
    <row r="155" spans="3:4" x14ac:dyDescent="0.25">
      <c r="C155" s="115"/>
      <c r="D155" s="115"/>
    </row>
    <row r="156" spans="3:4" x14ac:dyDescent="0.25">
      <c r="C156" s="115"/>
      <c r="D156" s="115"/>
    </row>
    <row r="157" spans="3:4" x14ac:dyDescent="0.25">
      <c r="C157" s="115"/>
      <c r="D157" s="115"/>
    </row>
    <row r="158" spans="3:4" x14ac:dyDescent="0.25">
      <c r="C158" s="115"/>
      <c r="D158" s="115"/>
    </row>
    <row r="159" spans="3:4" x14ac:dyDescent="0.25">
      <c r="C159" s="115"/>
      <c r="D159" s="115"/>
    </row>
    <row r="160" spans="3:4" x14ac:dyDescent="0.25">
      <c r="C160" s="115"/>
      <c r="D160" s="115"/>
    </row>
    <row r="161" spans="3:4" x14ac:dyDescent="0.25">
      <c r="C161" s="115"/>
      <c r="D161" s="115"/>
    </row>
    <row r="162" spans="3:4" x14ac:dyDescent="0.25">
      <c r="C162" s="115"/>
      <c r="D162" s="115"/>
    </row>
    <row r="163" spans="3:4" x14ac:dyDescent="0.25">
      <c r="C163" s="115"/>
      <c r="D163" s="115"/>
    </row>
    <row r="164" spans="3:4" x14ac:dyDescent="0.25">
      <c r="C164" s="115"/>
      <c r="D164" s="115"/>
    </row>
    <row r="165" spans="3:4" x14ac:dyDescent="0.25">
      <c r="C165" s="115"/>
      <c r="D165" s="115"/>
    </row>
    <row r="166" spans="3:4" x14ac:dyDescent="0.25">
      <c r="C166" s="115"/>
      <c r="D166" s="115"/>
    </row>
    <row r="167" spans="3:4" x14ac:dyDescent="0.25">
      <c r="C167" s="115"/>
      <c r="D167" s="115"/>
    </row>
    <row r="168" spans="3:4" x14ac:dyDescent="0.25">
      <c r="C168" s="115"/>
      <c r="D168" s="115"/>
    </row>
    <row r="169" spans="3:4" x14ac:dyDescent="0.25">
      <c r="C169" s="115"/>
      <c r="D169" s="115"/>
    </row>
    <row r="170" spans="3:4" x14ac:dyDescent="0.25">
      <c r="C170" s="115"/>
      <c r="D170" s="115"/>
    </row>
    <row r="171" spans="3:4" x14ac:dyDescent="0.25">
      <c r="C171" s="115"/>
      <c r="D171" s="115"/>
    </row>
    <row r="172" spans="3:4" x14ac:dyDescent="0.25">
      <c r="C172" s="115"/>
      <c r="D172" s="115"/>
    </row>
    <row r="173" spans="3:4" x14ac:dyDescent="0.25">
      <c r="C173" s="115"/>
      <c r="D173" s="115"/>
    </row>
    <row r="174" spans="3:4" x14ac:dyDescent="0.25">
      <c r="C174" s="115"/>
      <c r="D174" s="115"/>
    </row>
    <row r="175" spans="3:4" x14ac:dyDescent="0.25">
      <c r="C175" s="115"/>
      <c r="D175" s="115"/>
    </row>
    <row r="176" spans="3:4" x14ac:dyDescent="0.25">
      <c r="C176" s="115"/>
      <c r="D176" s="115"/>
    </row>
    <row r="177" spans="3:4" x14ac:dyDescent="0.25">
      <c r="C177" s="115"/>
      <c r="D177" s="115"/>
    </row>
    <row r="178" spans="3:4" x14ac:dyDescent="0.25">
      <c r="C178" s="115"/>
      <c r="D178" s="115"/>
    </row>
    <row r="179" spans="3:4" x14ac:dyDescent="0.25">
      <c r="C179" s="115"/>
      <c r="D179" s="115"/>
    </row>
    <row r="180" spans="3:4" x14ac:dyDescent="0.25">
      <c r="C180" s="115"/>
      <c r="D180" s="115"/>
    </row>
    <row r="181" spans="3:4" x14ac:dyDescent="0.25">
      <c r="C181" s="115"/>
      <c r="D181" s="115"/>
    </row>
    <row r="182" spans="3:4" x14ac:dyDescent="0.25">
      <c r="C182" s="115"/>
      <c r="D182" s="115"/>
    </row>
    <row r="183" spans="3:4" x14ac:dyDescent="0.25">
      <c r="C183" s="115"/>
      <c r="D183" s="115"/>
    </row>
    <row r="184" spans="3:4" x14ac:dyDescent="0.25">
      <c r="C184" s="115"/>
      <c r="D184" s="115"/>
    </row>
    <row r="185" spans="3:4" x14ac:dyDescent="0.25">
      <c r="C185" s="115"/>
      <c r="D185" s="115"/>
    </row>
    <row r="186" spans="3:4" x14ac:dyDescent="0.25">
      <c r="C186" s="115"/>
      <c r="D186" s="115"/>
    </row>
    <row r="187" spans="3:4" x14ac:dyDescent="0.25">
      <c r="C187" s="115"/>
      <c r="D187" s="115"/>
    </row>
    <row r="188" spans="3:4" x14ac:dyDescent="0.25">
      <c r="C188" s="115"/>
      <c r="D188" s="115"/>
    </row>
    <row r="189" spans="3:4" x14ac:dyDescent="0.25">
      <c r="C189" s="115"/>
      <c r="D189" s="115"/>
    </row>
    <row r="190" spans="3:4" x14ac:dyDescent="0.25">
      <c r="C190" s="115"/>
      <c r="D190" s="115"/>
    </row>
    <row r="191" spans="3:4" x14ac:dyDescent="0.25">
      <c r="C191" s="115"/>
      <c r="D191" s="115"/>
    </row>
    <row r="192" spans="3:4" x14ac:dyDescent="0.25">
      <c r="C192" s="115"/>
      <c r="D192" s="115"/>
    </row>
    <row r="193" spans="3:4" x14ac:dyDescent="0.25">
      <c r="C193" s="115"/>
      <c r="D193" s="115"/>
    </row>
    <row r="194" spans="3:4" x14ac:dyDescent="0.25">
      <c r="C194" s="115"/>
      <c r="D194" s="115"/>
    </row>
    <row r="195" spans="3:4" x14ac:dyDescent="0.25">
      <c r="C195" s="115"/>
      <c r="D195" s="115"/>
    </row>
    <row r="196" spans="3:4" x14ac:dyDescent="0.25">
      <c r="C196" s="115"/>
      <c r="D196" s="115"/>
    </row>
    <row r="197" spans="3:4" x14ac:dyDescent="0.25">
      <c r="C197" s="115"/>
      <c r="D197" s="115"/>
    </row>
    <row r="198" spans="3:4" x14ac:dyDescent="0.25">
      <c r="C198" s="115"/>
      <c r="D198" s="115"/>
    </row>
    <row r="199" spans="3:4" x14ac:dyDescent="0.25">
      <c r="C199" s="115"/>
      <c r="D199" s="115"/>
    </row>
    <row r="200" spans="3:4" x14ac:dyDescent="0.25">
      <c r="C200" s="115"/>
      <c r="D200" s="115"/>
    </row>
    <row r="201" spans="3:4" x14ac:dyDescent="0.25">
      <c r="C201" s="115"/>
      <c r="D201" s="115"/>
    </row>
    <row r="202" spans="3:4" x14ac:dyDescent="0.25">
      <c r="C202" s="115"/>
      <c r="D202" s="115"/>
    </row>
    <row r="203" spans="3:4" x14ac:dyDescent="0.25">
      <c r="C203" s="115"/>
      <c r="D203" s="115"/>
    </row>
    <row r="204" spans="3:4" x14ac:dyDescent="0.25">
      <c r="C204" s="115"/>
      <c r="D204" s="115"/>
    </row>
    <row r="205" spans="3:4" x14ac:dyDescent="0.25">
      <c r="C205" s="115"/>
      <c r="D205" s="115"/>
    </row>
    <row r="206" spans="3:4" x14ac:dyDescent="0.25">
      <c r="C206" s="115"/>
      <c r="D206" s="115"/>
    </row>
    <row r="207" spans="3:4" x14ac:dyDescent="0.25">
      <c r="C207" s="115"/>
      <c r="D207" s="115"/>
    </row>
    <row r="208" spans="3:4" x14ac:dyDescent="0.25">
      <c r="C208" s="115"/>
      <c r="D208" s="115"/>
    </row>
    <row r="209" spans="3:4" x14ac:dyDescent="0.25">
      <c r="C209" s="115"/>
      <c r="D209" s="115"/>
    </row>
    <row r="210" spans="3:4" x14ac:dyDescent="0.25">
      <c r="C210" s="115"/>
      <c r="D210" s="115"/>
    </row>
    <row r="211" spans="3:4" x14ac:dyDescent="0.25">
      <c r="C211" s="115"/>
      <c r="D211" s="115"/>
    </row>
    <row r="212" spans="3:4" x14ac:dyDescent="0.25">
      <c r="C212" s="115"/>
      <c r="D212" s="115"/>
    </row>
    <row r="213" spans="3:4" x14ac:dyDescent="0.25">
      <c r="C213" s="115"/>
      <c r="D213" s="115"/>
    </row>
    <row r="214" spans="3:4" x14ac:dyDescent="0.25">
      <c r="C214" s="115"/>
      <c r="D214" s="115"/>
    </row>
    <row r="215" spans="3:4" x14ac:dyDescent="0.25">
      <c r="C215" s="115"/>
      <c r="D215" s="115"/>
    </row>
    <row r="216" spans="3:4" x14ac:dyDescent="0.25">
      <c r="C216" s="115"/>
      <c r="D216" s="115"/>
    </row>
    <row r="217" spans="3:4" x14ac:dyDescent="0.25">
      <c r="C217" s="115"/>
      <c r="D217" s="115"/>
    </row>
    <row r="218" spans="3:4" x14ac:dyDescent="0.25">
      <c r="C218" s="115"/>
      <c r="D218" s="115"/>
    </row>
    <row r="219" spans="3:4" x14ac:dyDescent="0.25">
      <c r="C219" s="115"/>
      <c r="D219" s="115"/>
    </row>
    <row r="220" spans="3:4" x14ac:dyDescent="0.25">
      <c r="C220" s="115"/>
      <c r="D220" s="115"/>
    </row>
    <row r="221" spans="3:4" x14ac:dyDescent="0.25">
      <c r="C221" s="115"/>
      <c r="D221" s="115"/>
    </row>
    <row r="222" spans="3:4" x14ac:dyDescent="0.25">
      <c r="C222" s="115"/>
      <c r="D222" s="115"/>
    </row>
    <row r="223" spans="3:4" x14ac:dyDescent="0.25">
      <c r="C223" s="115"/>
      <c r="D223" s="115"/>
    </row>
    <row r="224" spans="3:4" x14ac:dyDescent="0.25">
      <c r="C224" s="115"/>
      <c r="D224" s="115"/>
    </row>
    <row r="225" spans="3:4" x14ac:dyDescent="0.25">
      <c r="C225" s="115"/>
      <c r="D225" s="115"/>
    </row>
    <row r="226" spans="3:4" x14ac:dyDescent="0.25">
      <c r="C226" s="115"/>
      <c r="D226" s="115"/>
    </row>
    <row r="227" spans="3:4" x14ac:dyDescent="0.25">
      <c r="C227" s="115"/>
      <c r="D227" s="115"/>
    </row>
    <row r="228" spans="3:4" x14ac:dyDescent="0.25">
      <c r="C228" s="115"/>
      <c r="D228" s="115"/>
    </row>
    <row r="229" spans="3:4" x14ac:dyDescent="0.25">
      <c r="C229" s="115"/>
      <c r="D229" s="115"/>
    </row>
    <row r="230" spans="3:4" x14ac:dyDescent="0.25">
      <c r="C230" s="115"/>
      <c r="D230" s="115"/>
    </row>
    <row r="231" spans="3:4" x14ac:dyDescent="0.25">
      <c r="C231" s="115"/>
      <c r="D231" s="115"/>
    </row>
    <row r="232" spans="3:4" x14ac:dyDescent="0.25">
      <c r="C232" s="115"/>
      <c r="D232" s="115"/>
    </row>
    <row r="233" spans="3:4" x14ac:dyDescent="0.25">
      <c r="C233" s="115"/>
      <c r="D233" s="115"/>
    </row>
    <row r="234" spans="3:4" x14ac:dyDescent="0.25">
      <c r="C234" s="115"/>
      <c r="D234" s="115"/>
    </row>
    <row r="235" spans="3:4" x14ac:dyDescent="0.25">
      <c r="C235" s="115"/>
      <c r="D235" s="115"/>
    </row>
    <row r="236" spans="3:4" x14ac:dyDescent="0.25">
      <c r="C236" s="115"/>
      <c r="D236" s="115"/>
    </row>
    <row r="237" spans="3:4" x14ac:dyDescent="0.25">
      <c r="C237" s="115"/>
      <c r="D237" s="115"/>
    </row>
    <row r="238" spans="3:4" x14ac:dyDescent="0.25">
      <c r="C238" s="115"/>
      <c r="D238" s="115"/>
    </row>
    <row r="239" spans="3:4" x14ac:dyDescent="0.25">
      <c r="C239" s="115"/>
      <c r="D239" s="115"/>
    </row>
    <row r="240" spans="3:4" x14ac:dyDescent="0.25">
      <c r="C240" s="115"/>
      <c r="D240" s="115"/>
    </row>
    <row r="241" spans="3:4" x14ac:dyDescent="0.25">
      <c r="C241" s="115"/>
      <c r="D241" s="115"/>
    </row>
    <row r="242" spans="3:4" x14ac:dyDescent="0.25">
      <c r="C242" s="115"/>
      <c r="D242" s="115"/>
    </row>
    <row r="243" spans="3:4" x14ac:dyDescent="0.25">
      <c r="C243" s="115"/>
      <c r="D243" s="115"/>
    </row>
    <row r="244" spans="3:4" x14ac:dyDescent="0.25">
      <c r="C244" s="115"/>
      <c r="D244" s="115"/>
    </row>
    <row r="245" spans="3:4" x14ac:dyDescent="0.25">
      <c r="C245" s="115"/>
      <c r="D245" s="115"/>
    </row>
    <row r="246" spans="3:4" x14ac:dyDescent="0.25">
      <c r="C246" s="115"/>
      <c r="D246" s="115"/>
    </row>
    <row r="247" spans="3:4" x14ac:dyDescent="0.25">
      <c r="C247" s="115"/>
      <c r="D247" s="115"/>
    </row>
    <row r="248" spans="3:4" x14ac:dyDescent="0.25">
      <c r="C248" s="115"/>
      <c r="D248" s="115"/>
    </row>
    <row r="249" spans="3:4" x14ac:dyDescent="0.25">
      <c r="C249" s="115"/>
      <c r="D249" s="115"/>
    </row>
    <row r="250" spans="3:4" x14ac:dyDescent="0.25">
      <c r="C250" s="115"/>
      <c r="D250" s="115"/>
    </row>
    <row r="251" spans="3:4" x14ac:dyDescent="0.25">
      <c r="C251" s="115"/>
      <c r="D251" s="115"/>
    </row>
    <row r="252" spans="3:4" x14ac:dyDescent="0.25">
      <c r="C252" s="115"/>
      <c r="D252" s="115"/>
    </row>
    <row r="253" spans="3:4" x14ac:dyDescent="0.25">
      <c r="C253" s="115"/>
      <c r="D253" s="115"/>
    </row>
    <row r="254" spans="3:4" x14ac:dyDescent="0.25">
      <c r="C254" s="115"/>
      <c r="D254" s="115"/>
    </row>
    <row r="255" spans="3:4" x14ac:dyDescent="0.25">
      <c r="C255" s="115"/>
      <c r="D255" s="115"/>
    </row>
    <row r="256" spans="3:4" x14ac:dyDescent="0.25">
      <c r="C256" s="115"/>
      <c r="D256" s="115"/>
    </row>
    <row r="257" spans="3:4" x14ac:dyDescent="0.25">
      <c r="C257" s="115"/>
      <c r="D257" s="115"/>
    </row>
    <row r="258" spans="3:4" x14ac:dyDescent="0.25">
      <c r="C258" s="115"/>
      <c r="D258" s="115"/>
    </row>
    <row r="259" spans="3:4" x14ac:dyDescent="0.25">
      <c r="C259" s="115"/>
      <c r="D259" s="115"/>
    </row>
    <row r="260" spans="3:4" x14ac:dyDescent="0.25">
      <c r="C260" s="115"/>
      <c r="D260" s="115"/>
    </row>
    <row r="261" spans="3:4" x14ac:dyDescent="0.25">
      <c r="C261" s="115"/>
      <c r="D261" s="115"/>
    </row>
    <row r="262" spans="3:4" x14ac:dyDescent="0.25">
      <c r="C262" s="115"/>
      <c r="D262" s="115"/>
    </row>
    <row r="263" spans="3:4" x14ac:dyDescent="0.25">
      <c r="C263" s="115"/>
      <c r="D263" s="115"/>
    </row>
    <row r="264" spans="3:4" x14ac:dyDescent="0.25">
      <c r="C264" s="115"/>
      <c r="D264" s="115"/>
    </row>
    <row r="265" spans="3:4" x14ac:dyDescent="0.25">
      <c r="C265" s="115"/>
      <c r="D265" s="115"/>
    </row>
    <row r="266" spans="3:4" x14ac:dyDescent="0.25">
      <c r="C266" s="115"/>
      <c r="D266" s="115"/>
    </row>
    <row r="267" spans="3:4" x14ac:dyDescent="0.25">
      <c r="C267" s="115"/>
      <c r="D267" s="115"/>
    </row>
    <row r="268" spans="3:4" x14ac:dyDescent="0.25">
      <c r="C268" s="115"/>
      <c r="D268" s="115"/>
    </row>
    <row r="269" spans="3:4" x14ac:dyDescent="0.25">
      <c r="C269" s="115"/>
      <c r="D269" s="115"/>
    </row>
    <row r="270" spans="3:4" x14ac:dyDescent="0.25">
      <c r="C270" s="115"/>
      <c r="D270" s="115"/>
    </row>
    <row r="271" spans="3:4" x14ac:dyDescent="0.25">
      <c r="C271" s="115"/>
      <c r="D271" s="115"/>
    </row>
    <row r="272" spans="3:4" x14ac:dyDescent="0.25">
      <c r="C272" s="115"/>
      <c r="D272" s="115"/>
    </row>
    <row r="273" spans="3:4" x14ac:dyDescent="0.25">
      <c r="C273" s="115"/>
      <c r="D273" s="115"/>
    </row>
    <row r="274" spans="3:4" x14ac:dyDescent="0.25">
      <c r="C274" s="115"/>
      <c r="D274" s="115"/>
    </row>
    <row r="275" spans="3:4" x14ac:dyDescent="0.25">
      <c r="C275" s="115"/>
      <c r="D275" s="115"/>
    </row>
    <row r="276" spans="3:4" x14ac:dyDescent="0.25">
      <c r="C276" s="115"/>
      <c r="D276" s="115"/>
    </row>
    <row r="277" spans="3:4" x14ac:dyDescent="0.25">
      <c r="C277" s="115"/>
      <c r="D277" s="115"/>
    </row>
    <row r="278" spans="3:4" x14ac:dyDescent="0.25">
      <c r="C278" s="115"/>
      <c r="D278" s="115"/>
    </row>
    <row r="279" spans="3:4" x14ac:dyDescent="0.25">
      <c r="C279" s="115"/>
      <c r="D279" s="115"/>
    </row>
    <row r="280" spans="3:4" x14ac:dyDescent="0.25">
      <c r="C280" s="115"/>
      <c r="D280" s="115"/>
    </row>
    <row r="281" spans="3:4" x14ac:dyDescent="0.25">
      <c r="C281" s="115"/>
      <c r="D281" s="115"/>
    </row>
    <row r="282" spans="3:4" x14ac:dyDescent="0.25">
      <c r="C282" s="115"/>
      <c r="D282" s="115"/>
    </row>
    <row r="283" spans="3:4" x14ac:dyDescent="0.25">
      <c r="C283" s="115"/>
      <c r="D283" s="115"/>
    </row>
    <row r="284" spans="3:4" x14ac:dyDescent="0.25">
      <c r="C284" s="115"/>
      <c r="D284" s="115"/>
    </row>
    <row r="285" spans="3:4" x14ac:dyDescent="0.25">
      <c r="C285" s="115"/>
      <c r="D285" s="115"/>
    </row>
    <row r="286" spans="3:4" x14ac:dyDescent="0.25">
      <c r="C286" s="115"/>
      <c r="D286" s="115"/>
    </row>
    <row r="287" spans="3:4" x14ac:dyDescent="0.25">
      <c r="C287" s="115"/>
      <c r="D287" s="115"/>
    </row>
    <row r="288" spans="3:4" x14ac:dyDescent="0.25">
      <c r="C288" s="115"/>
      <c r="D288" s="115"/>
    </row>
    <row r="289" spans="3:4" x14ac:dyDescent="0.25">
      <c r="C289" s="115"/>
      <c r="D289" s="115"/>
    </row>
    <row r="290" spans="3:4" x14ac:dyDescent="0.25">
      <c r="C290" s="115"/>
      <c r="D290" s="115"/>
    </row>
    <row r="291" spans="3:4" x14ac:dyDescent="0.25">
      <c r="C291" s="115"/>
      <c r="D291" s="115"/>
    </row>
    <row r="292" spans="3:4" x14ac:dyDescent="0.25">
      <c r="C292" s="115"/>
      <c r="D292" s="115"/>
    </row>
    <row r="293" spans="3:4" x14ac:dyDescent="0.25">
      <c r="C293" s="115"/>
      <c r="D293" s="115"/>
    </row>
    <row r="294" spans="3:4" x14ac:dyDescent="0.25">
      <c r="C294" s="115"/>
      <c r="D294" s="115"/>
    </row>
    <row r="295" spans="3:4" x14ac:dyDescent="0.25">
      <c r="C295" s="115"/>
      <c r="D295" s="115"/>
    </row>
    <row r="296" spans="3:4" x14ac:dyDescent="0.25">
      <c r="C296" s="115"/>
      <c r="D296" s="115"/>
    </row>
    <row r="297" spans="3:4" x14ac:dyDescent="0.25">
      <c r="C297" s="115"/>
      <c r="D297" s="115"/>
    </row>
    <row r="298" spans="3:4" x14ac:dyDescent="0.25">
      <c r="C298" s="115"/>
      <c r="D298" s="115"/>
    </row>
    <row r="299" spans="3:4" x14ac:dyDescent="0.25">
      <c r="C299" s="115"/>
      <c r="D299" s="115"/>
    </row>
    <row r="300" spans="3:4" x14ac:dyDescent="0.25">
      <c r="C300" s="115"/>
      <c r="D300" s="115"/>
    </row>
    <row r="301" spans="3:4" x14ac:dyDescent="0.25">
      <c r="C301" s="115"/>
      <c r="D301" s="115"/>
    </row>
    <row r="302" spans="3:4" x14ac:dyDescent="0.25">
      <c r="C302" s="115"/>
      <c r="D302" s="115"/>
    </row>
    <row r="303" spans="3:4" x14ac:dyDescent="0.25">
      <c r="C303" s="115"/>
      <c r="D303" s="115"/>
    </row>
    <row r="304" spans="3:4" x14ac:dyDescent="0.25">
      <c r="C304" s="115"/>
      <c r="D304" s="115"/>
    </row>
    <row r="305" spans="3:4" x14ac:dyDescent="0.25">
      <c r="C305" s="115"/>
      <c r="D305" s="115"/>
    </row>
    <row r="306" spans="3:4" x14ac:dyDescent="0.25">
      <c r="C306" s="115"/>
      <c r="D306" s="115"/>
    </row>
    <row r="307" spans="3:4" x14ac:dyDescent="0.25">
      <c r="C307" s="115"/>
      <c r="D307" s="115"/>
    </row>
    <row r="308" spans="3:4" x14ac:dyDescent="0.25">
      <c r="C308" s="115"/>
      <c r="D308" s="115"/>
    </row>
    <row r="309" spans="3:4" x14ac:dyDescent="0.25">
      <c r="C309" s="115"/>
      <c r="D309" s="115"/>
    </row>
    <row r="310" spans="3:4" x14ac:dyDescent="0.25">
      <c r="C310" s="115"/>
      <c r="D310" s="115"/>
    </row>
    <row r="311" spans="3:4" x14ac:dyDescent="0.25">
      <c r="C311" s="115"/>
      <c r="D311" s="115"/>
    </row>
    <row r="312" spans="3:4" x14ac:dyDescent="0.25">
      <c r="C312" s="115"/>
      <c r="D312" s="115"/>
    </row>
    <row r="313" spans="3:4" x14ac:dyDescent="0.25">
      <c r="C313" s="115"/>
      <c r="D313" s="115"/>
    </row>
    <row r="314" spans="3:4" x14ac:dyDescent="0.25">
      <c r="C314" s="115"/>
      <c r="D314" s="115"/>
    </row>
    <row r="315" spans="3:4" x14ac:dyDescent="0.25">
      <c r="C315" s="115"/>
      <c r="D315" s="115"/>
    </row>
    <row r="316" spans="3:4" x14ac:dyDescent="0.25">
      <c r="C316" s="115"/>
      <c r="D316" s="115"/>
    </row>
    <row r="317" spans="3:4" x14ac:dyDescent="0.25">
      <c r="C317" s="115"/>
      <c r="D317" s="115"/>
    </row>
    <row r="318" spans="3:4" x14ac:dyDescent="0.25">
      <c r="C318" s="115"/>
      <c r="D318" s="115"/>
    </row>
    <row r="319" spans="3:4" x14ac:dyDescent="0.25">
      <c r="C319" s="115"/>
      <c r="D319" s="115"/>
    </row>
    <row r="320" spans="3:4" x14ac:dyDescent="0.25">
      <c r="C320" s="115"/>
      <c r="D320" s="115"/>
    </row>
    <row r="321" spans="3:4" x14ac:dyDescent="0.25">
      <c r="C321" s="115"/>
      <c r="D321" s="115"/>
    </row>
    <row r="322" spans="3:4" x14ac:dyDescent="0.25">
      <c r="C322" s="115"/>
      <c r="D322" s="115"/>
    </row>
    <row r="323" spans="3:4" x14ac:dyDescent="0.25">
      <c r="C323" s="115"/>
      <c r="D323" s="115"/>
    </row>
    <row r="324" spans="3:4" x14ac:dyDescent="0.25">
      <c r="C324" s="115"/>
      <c r="D324" s="115"/>
    </row>
    <row r="325" spans="3:4" x14ac:dyDescent="0.25">
      <c r="C325" s="115"/>
      <c r="D325" s="115"/>
    </row>
    <row r="326" spans="3:4" x14ac:dyDescent="0.25">
      <c r="C326" s="115"/>
      <c r="D326" s="115"/>
    </row>
    <row r="327" spans="3:4" x14ac:dyDescent="0.25">
      <c r="C327" s="115"/>
      <c r="D327" s="115"/>
    </row>
    <row r="328" spans="3:4" x14ac:dyDescent="0.25">
      <c r="C328" s="115"/>
      <c r="D328" s="115"/>
    </row>
    <row r="329" spans="3:4" x14ac:dyDescent="0.25">
      <c r="C329" s="115"/>
      <c r="D329" s="115"/>
    </row>
    <row r="330" spans="3:4" x14ac:dyDescent="0.25">
      <c r="C330" s="115"/>
      <c r="D330" s="115"/>
    </row>
    <row r="331" spans="3:4" x14ac:dyDescent="0.25">
      <c r="C331" s="115"/>
      <c r="D331" s="115"/>
    </row>
    <row r="332" spans="3:4" x14ac:dyDescent="0.25">
      <c r="C332" s="115"/>
      <c r="D332" s="115"/>
    </row>
    <row r="333" spans="3:4" x14ac:dyDescent="0.25">
      <c r="C333" s="115"/>
      <c r="D333" s="115"/>
    </row>
    <row r="334" spans="3:4" x14ac:dyDescent="0.25">
      <c r="C334" s="115"/>
      <c r="D334" s="115"/>
    </row>
    <row r="335" spans="3:4" x14ac:dyDescent="0.25">
      <c r="C335" s="115"/>
      <c r="D335" s="115"/>
    </row>
    <row r="336" spans="3:4" x14ac:dyDescent="0.25">
      <c r="C336" s="115"/>
      <c r="D336" s="115"/>
    </row>
    <row r="337" spans="3:4" x14ac:dyDescent="0.25">
      <c r="C337" s="115"/>
      <c r="D337" s="115"/>
    </row>
    <row r="338" spans="3:4" x14ac:dyDescent="0.25">
      <c r="C338" s="115"/>
      <c r="D338" s="115"/>
    </row>
    <row r="339" spans="3:4" x14ac:dyDescent="0.25">
      <c r="C339" s="115"/>
      <c r="D339" s="115"/>
    </row>
    <row r="340" spans="3:4" x14ac:dyDescent="0.25">
      <c r="C340" s="115"/>
      <c r="D340" s="115"/>
    </row>
    <row r="341" spans="3:4" x14ac:dyDescent="0.25">
      <c r="C341" s="115"/>
      <c r="D341" s="115"/>
    </row>
    <row r="342" spans="3:4" x14ac:dyDescent="0.25">
      <c r="C342" s="115"/>
      <c r="D342" s="115"/>
    </row>
    <row r="343" spans="3:4" x14ac:dyDescent="0.25">
      <c r="C343" s="115"/>
      <c r="D343" s="115"/>
    </row>
    <row r="344" spans="3:4" x14ac:dyDescent="0.25">
      <c r="C344" s="115"/>
      <c r="D344" s="115"/>
    </row>
    <row r="345" spans="3:4" x14ac:dyDescent="0.25">
      <c r="C345" s="115"/>
      <c r="D345" s="115"/>
    </row>
    <row r="346" spans="3:4" x14ac:dyDescent="0.25">
      <c r="C346" s="115"/>
      <c r="D346" s="115"/>
    </row>
    <row r="347" spans="3:4" x14ac:dyDescent="0.25">
      <c r="C347" s="115"/>
      <c r="D347" s="115"/>
    </row>
    <row r="348" spans="3:4" x14ac:dyDescent="0.25">
      <c r="C348" s="115"/>
      <c r="D348" s="115"/>
    </row>
    <row r="349" spans="3:4" x14ac:dyDescent="0.25">
      <c r="C349" s="115"/>
      <c r="D349" s="115"/>
    </row>
    <row r="350" spans="3:4" x14ac:dyDescent="0.25">
      <c r="C350" s="115"/>
      <c r="D350" s="115"/>
    </row>
    <row r="351" spans="3:4" x14ac:dyDescent="0.25">
      <c r="C351" s="115"/>
      <c r="D351" s="115"/>
    </row>
    <row r="352" spans="3:4" x14ac:dyDescent="0.25">
      <c r="C352" s="115"/>
      <c r="D352" s="115"/>
    </row>
    <row r="353" spans="3:4" x14ac:dyDescent="0.25">
      <c r="C353" s="115"/>
      <c r="D353" s="115"/>
    </row>
    <row r="354" spans="3:4" x14ac:dyDescent="0.25">
      <c r="C354" s="115"/>
      <c r="D354" s="115"/>
    </row>
    <row r="355" spans="3:4" x14ac:dyDescent="0.25">
      <c r="C355" s="115"/>
      <c r="D355" s="115"/>
    </row>
    <row r="356" spans="3:4" x14ac:dyDescent="0.25">
      <c r="C356" s="115"/>
      <c r="D356" s="115"/>
    </row>
    <row r="357" spans="3:4" x14ac:dyDescent="0.25">
      <c r="C357" s="115"/>
      <c r="D357" s="115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00B57-044E-4A7C-A005-EF65943C7F41}">
  <sheetPr codeName="Sheet18"/>
  <dimension ref="A1:E357"/>
  <sheetViews>
    <sheetView workbookViewId="0">
      <selection activeCell="B2" sqref="B2"/>
    </sheetView>
  </sheetViews>
  <sheetFormatPr defaultRowHeight="15.75" x14ac:dyDescent="0.25"/>
  <cols>
    <col min="1" max="1" width="8.625" style="121" bestFit="1" customWidth="1"/>
    <col min="2" max="2" width="8.625" style="116" bestFit="1" customWidth="1"/>
    <col min="3" max="3" width="8.625" style="87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0" t="s">
        <v>532</v>
      </c>
      <c r="E1" s="181" t="s">
        <v>533</v>
      </c>
    </row>
    <row r="2" spans="1:5" x14ac:dyDescent="0.25">
      <c r="A2" s="119" t="s">
        <v>642</v>
      </c>
      <c r="B2" s="135">
        <v>55</v>
      </c>
      <c r="C2" s="135">
        <v>65</v>
      </c>
      <c r="D2" s="112">
        <v>10</v>
      </c>
      <c r="E2" s="181"/>
    </row>
    <row r="3" spans="1:5" ht="18.75" x14ac:dyDescent="0.25">
      <c r="A3" s="120" t="s">
        <v>534</v>
      </c>
      <c r="B3" s="113" t="s">
        <v>535</v>
      </c>
      <c r="C3" s="113" t="s">
        <v>536</v>
      </c>
      <c r="D3" s="113" t="s">
        <v>537</v>
      </c>
    </row>
    <row r="4" spans="1:5" x14ac:dyDescent="0.25">
      <c r="A4" s="136">
        <v>55</v>
      </c>
      <c r="B4" s="114">
        <v>11.445346267408791</v>
      </c>
      <c r="C4" s="136">
        <v>62.077117638819857</v>
      </c>
      <c r="D4" s="136">
        <v>2.9340726200625094</v>
      </c>
    </row>
    <row r="5" spans="1:5" x14ac:dyDescent="0.25">
      <c r="A5" s="136">
        <v>56</v>
      </c>
      <c r="B5" s="114">
        <v>9.7507840688289686</v>
      </c>
      <c r="C5" s="115"/>
      <c r="D5" s="115"/>
    </row>
    <row r="6" spans="1:5" x14ac:dyDescent="0.25">
      <c r="A6" s="136">
        <v>57</v>
      </c>
      <c r="B6" s="114">
        <v>8.3862378032374227</v>
      </c>
      <c r="C6" s="115"/>
      <c r="D6" s="115"/>
    </row>
    <row r="7" spans="1:5" x14ac:dyDescent="0.25">
      <c r="A7" s="136">
        <v>58</v>
      </c>
      <c r="B7" s="114">
        <v>7.3232587630415056</v>
      </c>
      <c r="C7" s="115"/>
      <c r="D7" s="115"/>
    </row>
    <row r="8" spans="1:5" x14ac:dyDescent="0.25">
      <c r="A8" s="136">
        <v>59</v>
      </c>
      <c r="B8" s="114">
        <v>6.5355663746322543</v>
      </c>
      <c r="C8" s="115"/>
      <c r="D8" s="115"/>
    </row>
    <row r="9" spans="1:5" x14ac:dyDescent="0.25">
      <c r="A9" s="136">
        <v>60</v>
      </c>
      <c r="B9" s="114">
        <v>5.9989214114687881</v>
      </c>
      <c r="C9" s="115"/>
      <c r="D9" s="115"/>
    </row>
    <row r="10" spans="1:5" x14ac:dyDescent="0.25">
      <c r="A10" s="136">
        <v>61</v>
      </c>
      <c r="B10" s="114">
        <v>5.6910015080214347</v>
      </c>
      <c r="C10" s="115"/>
      <c r="D10" s="115"/>
    </row>
    <row r="11" spans="1:5" x14ac:dyDescent="0.25">
      <c r="A11" s="136">
        <v>62</v>
      </c>
      <c r="B11" s="114">
        <v>5.5912797831535554</v>
      </c>
      <c r="C11" s="115"/>
      <c r="D11" s="115"/>
    </row>
    <row r="12" spans="1:5" x14ac:dyDescent="0.25">
      <c r="A12" s="136">
        <v>63</v>
      </c>
      <c r="B12" s="114">
        <v>5.6809071662085993</v>
      </c>
      <c r="C12" s="115"/>
      <c r="D12" s="115"/>
    </row>
    <row r="13" spans="1:5" x14ac:dyDescent="0.25">
      <c r="A13" s="136">
        <v>64</v>
      </c>
      <c r="B13" s="114">
        <v>5.9425988344590017</v>
      </c>
      <c r="C13" s="115"/>
      <c r="D13" s="115"/>
    </row>
    <row r="14" spans="1:5" x14ac:dyDescent="0.25">
      <c r="A14" s="136">
        <v>65</v>
      </c>
      <c r="B14" s="114">
        <v>6.3605250163738711</v>
      </c>
      <c r="C14" s="115"/>
      <c r="D14" s="115"/>
    </row>
    <row r="15" spans="1:5" x14ac:dyDescent="0.25">
      <c r="A15" s="136"/>
      <c r="B15" s="114"/>
      <c r="C15" s="115"/>
      <c r="D15" s="115"/>
    </row>
    <row r="16" spans="1:5" x14ac:dyDescent="0.25">
      <c r="A16" s="136"/>
      <c r="B16" s="114"/>
      <c r="C16" s="115"/>
      <c r="D16" s="115"/>
    </row>
    <row r="17" spans="1:4" x14ac:dyDescent="0.25">
      <c r="A17" s="136"/>
      <c r="B17" s="114"/>
      <c r="C17" s="115"/>
      <c r="D17" s="115"/>
    </row>
    <row r="18" spans="1:4" x14ac:dyDescent="0.25">
      <c r="A18" s="136"/>
      <c r="B18" s="114"/>
      <c r="C18" s="115"/>
      <c r="D18" s="115"/>
    </row>
    <row r="19" spans="1:4" x14ac:dyDescent="0.25">
      <c r="A19" s="136"/>
      <c r="B19" s="114"/>
      <c r="C19" s="115"/>
      <c r="D19" s="115"/>
    </row>
    <row r="20" spans="1:4" x14ac:dyDescent="0.25">
      <c r="A20" s="136"/>
      <c r="B20" s="114"/>
      <c r="C20" s="115"/>
      <c r="D20" s="115"/>
    </row>
    <row r="21" spans="1:4" x14ac:dyDescent="0.25">
      <c r="A21" s="136"/>
      <c r="B21" s="114"/>
      <c r="C21" s="115"/>
      <c r="D21" s="115"/>
    </row>
    <row r="22" spans="1:4" x14ac:dyDescent="0.25">
      <c r="A22" s="136"/>
      <c r="B22" s="114"/>
      <c r="C22" s="115"/>
      <c r="D22" s="115"/>
    </row>
    <row r="23" spans="1:4" x14ac:dyDescent="0.25">
      <c r="A23" s="136"/>
      <c r="B23" s="114"/>
      <c r="C23" s="115"/>
      <c r="D23" s="115"/>
    </row>
    <row r="24" spans="1:4" x14ac:dyDescent="0.25">
      <c r="A24" s="136"/>
      <c r="B24" s="114"/>
      <c r="C24" s="115"/>
      <c r="D24" s="115"/>
    </row>
    <row r="25" spans="1:4" x14ac:dyDescent="0.25">
      <c r="B25" s="114"/>
      <c r="C25" s="115"/>
      <c r="D25" s="115"/>
    </row>
    <row r="26" spans="1:4" x14ac:dyDescent="0.25">
      <c r="B26" s="114"/>
      <c r="C26" s="115"/>
      <c r="D26" s="115"/>
    </row>
    <row r="27" spans="1:4" x14ac:dyDescent="0.25">
      <c r="B27" s="114"/>
      <c r="C27" s="115"/>
      <c r="D27" s="115"/>
    </row>
    <row r="28" spans="1:4" x14ac:dyDescent="0.25">
      <c r="B28" s="114"/>
      <c r="C28" s="115"/>
      <c r="D28" s="115"/>
    </row>
    <row r="29" spans="1:4" x14ac:dyDescent="0.25">
      <c r="B29" s="114"/>
      <c r="C29" s="115"/>
      <c r="D29" s="115"/>
    </row>
    <row r="30" spans="1:4" x14ac:dyDescent="0.25">
      <c r="B30" s="114"/>
      <c r="C30" s="115"/>
      <c r="D30" s="115"/>
    </row>
    <row r="31" spans="1:4" x14ac:dyDescent="0.25">
      <c r="B31" s="114"/>
      <c r="C31" s="115"/>
      <c r="D31" s="115"/>
    </row>
    <row r="32" spans="1:4" x14ac:dyDescent="0.25">
      <c r="B32" s="114"/>
      <c r="C32" s="115"/>
      <c r="D32" s="115"/>
    </row>
    <row r="33" spans="2:4" x14ac:dyDescent="0.25">
      <c r="B33" s="114"/>
      <c r="C33" s="115"/>
      <c r="D33" s="115"/>
    </row>
    <row r="34" spans="2:4" x14ac:dyDescent="0.25">
      <c r="B34" s="114"/>
      <c r="C34" s="115"/>
      <c r="D34" s="115"/>
    </row>
    <row r="35" spans="2:4" x14ac:dyDescent="0.25">
      <c r="C35" s="115"/>
      <c r="D35" s="115"/>
    </row>
    <row r="36" spans="2:4" x14ac:dyDescent="0.25">
      <c r="C36" s="115"/>
      <c r="D36" s="115"/>
    </row>
    <row r="37" spans="2:4" x14ac:dyDescent="0.25">
      <c r="C37" s="115"/>
      <c r="D37" s="115"/>
    </row>
    <row r="38" spans="2:4" x14ac:dyDescent="0.25">
      <c r="C38" s="115"/>
      <c r="D38" s="115"/>
    </row>
    <row r="39" spans="2:4" x14ac:dyDescent="0.25">
      <c r="C39" s="115"/>
      <c r="D39" s="115"/>
    </row>
    <row r="40" spans="2:4" x14ac:dyDescent="0.25">
      <c r="C40" s="115"/>
      <c r="D40" s="115"/>
    </row>
    <row r="41" spans="2:4" x14ac:dyDescent="0.25">
      <c r="C41" s="115"/>
      <c r="D41" s="115"/>
    </row>
    <row r="42" spans="2:4" x14ac:dyDescent="0.25">
      <c r="C42" s="115"/>
      <c r="D42" s="115"/>
    </row>
    <row r="43" spans="2:4" x14ac:dyDescent="0.25">
      <c r="C43" s="115"/>
      <c r="D43" s="115"/>
    </row>
    <row r="44" spans="2:4" x14ac:dyDescent="0.25">
      <c r="C44" s="115"/>
      <c r="D44" s="115"/>
    </row>
    <row r="45" spans="2:4" x14ac:dyDescent="0.25">
      <c r="C45" s="115"/>
      <c r="D45" s="115"/>
    </row>
    <row r="46" spans="2:4" x14ac:dyDescent="0.25">
      <c r="C46" s="115"/>
      <c r="D46" s="115"/>
    </row>
    <row r="47" spans="2:4" x14ac:dyDescent="0.25">
      <c r="C47" s="115"/>
      <c r="D47" s="115"/>
    </row>
    <row r="48" spans="2:4" x14ac:dyDescent="0.25">
      <c r="C48" s="115"/>
      <c r="D48" s="115"/>
    </row>
    <row r="49" spans="3:4" x14ac:dyDescent="0.25">
      <c r="C49" s="115"/>
      <c r="D49" s="115"/>
    </row>
    <row r="50" spans="3:4" x14ac:dyDescent="0.25">
      <c r="C50" s="115"/>
      <c r="D50" s="115"/>
    </row>
    <row r="51" spans="3:4" x14ac:dyDescent="0.25">
      <c r="C51" s="115"/>
      <c r="D51" s="115"/>
    </row>
    <row r="52" spans="3:4" x14ac:dyDescent="0.25">
      <c r="C52" s="115"/>
      <c r="D52" s="115"/>
    </row>
    <row r="53" spans="3:4" x14ac:dyDescent="0.25">
      <c r="C53" s="115"/>
      <c r="D53" s="115"/>
    </row>
    <row r="54" spans="3:4" x14ac:dyDescent="0.25">
      <c r="C54" s="115"/>
      <c r="D54" s="115"/>
    </row>
    <row r="55" spans="3:4" x14ac:dyDescent="0.25">
      <c r="C55" s="115"/>
      <c r="D55" s="115"/>
    </row>
    <row r="56" spans="3:4" x14ac:dyDescent="0.25">
      <c r="C56" s="115"/>
      <c r="D56" s="115"/>
    </row>
    <row r="57" spans="3:4" x14ac:dyDescent="0.25">
      <c r="C57" s="115"/>
      <c r="D57" s="115"/>
    </row>
    <row r="58" spans="3:4" x14ac:dyDescent="0.25">
      <c r="C58" s="115"/>
      <c r="D58" s="115"/>
    </row>
    <row r="59" spans="3:4" x14ac:dyDescent="0.25">
      <c r="C59" s="115"/>
      <c r="D59" s="115"/>
    </row>
    <row r="60" spans="3:4" x14ac:dyDescent="0.25">
      <c r="C60" s="115"/>
      <c r="D60" s="115"/>
    </row>
    <row r="61" spans="3:4" x14ac:dyDescent="0.25">
      <c r="C61" s="115"/>
      <c r="D61" s="115"/>
    </row>
    <row r="62" spans="3:4" x14ac:dyDescent="0.25">
      <c r="C62" s="115"/>
      <c r="D62" s="115"/>
    </row>
    <row r="63" spans="3:4" x14ac:dyDescent="0.25">
      <c r="C63" s="115"/>
      <c r="D63" s="115"/>
    </row>
    <row r="64" spans="3:4" x14ac:dyDescent="0.25">
      <c r="C64" s="115"/>
      <c r="D64" s="115"/>
    </row>
    <row r="65" spans="3:4" x14ac:dyDescent="0.25">
      <c r="C65" s="115"/>
      <c r="D65" s="115"/>
    </row>
    <row r="66" spans="3:4" x14ac:dyDescent="0.25">
      <c r="C66" s="115"/>
      <c r="D66" s="115"/>
    </row>
    <row r="67" spans="3:4" x14ac:dyDescent="0.25">
      <c r="C67" s="115"/>
      <c r="D67" s="115"/>
    </row>
    <row r="68" spans="3:4" x14ac:dyDescent="0.25">
      <c r="C68" s="115"/>
      <c r="D68" s="115"/>
    </row>
    <row r="69" spans="3:4" x14ac:dyDescent="0.25">
      <c r="C69" s="115"/>
      <c r="D69" s="115"/>
    </row>
    <row r="70" spans="3:4" x14ac:dyDescent="0.25">
      <c r="C70" s="115"/>
      <c r="D70" s="115"/>
    </row>
    <row r="71" spans="3:4" x14ac:dyDescent="0.25">
      <c r="C71" s="115"/>
      <c r="D71" s="115"/>
    </row>
    <row r="72" spans="3:4" x14ac:dyDescent="0.25">
      <c r="C72" s="115"/>
      <c r="D72" s="115"/>
    </row>
    <row r="73" spans="3:4" x14ac:dyDescent="0.25">
      <c r="C73" s="115"/>
      <c r="D73" s="115"/>
    </row>
    <row r="74" spans="3:4" x14ac:dyDescent="0.25">
      <c r="C74" s="115"/>
      <c r="D74" s="115"/>
    </row>
    <row r="75" spans="3:4" x14ac:dyDescent="0.25">
      <c r="C75" s="115"/>
      <c r="D75" s="115"/>
    </row>
    <row r="76" spans="3:4" x14ac:dyDescent="0.25">
      <c r="C76" s="115"/>
      <c r="D76" s="115"/>
    </row>
    <row r="77" spans="3:4" x14ac:dyDescent="0.25">
      <c r="C77" s="115"/>
      <c r="D77" s="115"/>
    </row>
    <row r="78" spans="3:4" x14ac:dyDescent="0.25">
      <c r="C78" s="115"/>
      <c r="D78" s="115"/>
    </row>
    <row r="79" spans="3:4" x14ac:dyDescent="0.25">
      <c r="C79" s="115"/>
      <c r="D79" s="115"/>
    </row>
    <row r="80" spans="3:4" x14ac:dyDescent="0.25">
      <c r="C80" s="115"/>
      <c r="D80" s="115"/>
    </row>
    <row r="81" spans="3:4" x14ac:dyDescent="0.25">
      <c r="C81" s="115"/>
      <c r="D81" s="115"/>
    </row>
    <row r="82" spans="3:4" x14ac:dyDescent="0.25">
      <c r="C82" s="115"/>
      <c r="D82" s="115"/>
    </row>
    <row r="83" spans="3:4" x14ac:dyDescent="0.25">
      <c r="C83" s="115"/>
      <c r="D83" s="115"/>
    </row>
    <row r="84" spans="3:4" x14ac:dyDescent="0.25">
      <c r="C84" s="115"/>
      <c r="D84" s="115"/>
    </row>
    <row r="85" spans="3:4" x14ac:dyDescent="0.25">
      <c r="C85" s="115"/>
      <c r="D85" s="115"/>
    </row>
    <row r="86" spans="3:4" x14ac:dyDescent="0.25">
      <c r="C86" s="115"/>
      <c r="D86" s="115"/>
    </row>
    <row r="87" spans="3:4" x14ac:dyDescent="0.25">
      <c r="C87" s="115"/>
      <c r="D87" s="115"/>
    </row>
    <row r="88" spans="3:4" x14ac:dyDescent="0.25">
      <c r="C88" s="115"/>
      <c r="D88" s="115"/>
    </row>
    <row r="89" spans="3:4" x14ac:dyDescent="0.25">
      <c r="C89" s="115"/>
      <c r="D89" s="115"/>
    </row>
    <row r="90" spans="3:4" x14ac:dyDescent="0.25">
      <c r="C90" s="115"/>
      <c r="D90" s="115"/>
    </row>
    <row r="91" spans="3:4" x14ac:dyDescent="0.25">
      <c r="C91" s="115"/>
      <c r="D91" s="115"/>
    </row>
    <row r="92" spans="3:4" x14ac:dyDescent="0.25">
      <c r="C92" s="115"/>
      <c r="D92" s="115"/>
    </row>
    <row r="93" spans="3:4" x14ac:dyDescent="0.25">
      <c r="C93" s="115"/>
      <c r="D93" s="115"/>
    </row>
    <row r="94" spans="3:4" x14ac:dyDescent="0.25">
      <c r="C94" s="115"/>
      <c r="D94" s="115"/>
    </row>
    <row r="95" spans="3:4" x14ac:dyDescent="0.25">
      <c r="C95" s="115"/>
      <c r="D95" s="115"/>
    </row>
    <row r="96" spans="3:4" x14ac:dyDescent="0.25">
      <c r="C96" s="115"/>
      <c r="D96" s="115"/>
    </row>
    <row r="97" spans="3:4" x14ac:dyDescent="0.25">
      <c r="C97" s="115"/>
      <c r="D97" s="115"/>
    </row>
    <row r="98" spans="3:4" x14ac:dyDescent="0.25">
      <c r="C98" s="115"/>
      <c r="D98" s="115"/>
    </row>
    <row r="99" spans="3:4" x14ac:dyDescent="0.25">
      <c r="C99" s="115"/>
      <c r="D99" s="115"/>
    </row>
    <row r="100" spans="3:4" x14ac:dyDescent="0.25">
      <c r="C100" s="115"/>
      <c r="D100" s="115"/>
    </row>
    <row r="101" spans="3:4" x14ac:dyDescent="0.25">
      <c r="C101" s="115"/>
      <c r="D101" s="115"/>
    </row>
    <row r="102" spans="3:4" x14ac:dyDescent="0.25">
      <c r="C102" s="115"/>
      <c r="D102" s="115"/>
    </row>
    <row r="103" spans="3:4" x14ac:dyDescent="0.25">
      <c r="C103" s="115"/>
      <c r="D103" s="115"/>
    </row>
    <row r="104" spans="3:4" x14ac:dyDescent="0.25">
      <c r="C104" s="115"/>
      <c r="D104" s="115"/>
    </row>
    <row r="105" spans="3:4" x14ac:dyDescent="0.25">
      <c r="C105" s="115"/>
      <c r="D105" s="115"/>
    </row>
    <row r="106" spans="3:4" x14ac:dyDescent="0.25">
      <c r="C106" s="115"/>
      <c r="D106" s="115"/>
    </row>
    <row r="107" spans="3:4" x14ac:dyDescent="0.25">
      <c r="C107" s="115"/>
      <c r="D107" s="115"/>
    </row>
    <row r="108" spans="3:4" x14ac:dyDescent="0.25">
      <c r="C108" s="115"/>
      <c r="D108" s="115"/>
    </row>
    <row r="109" spans="3:4" x14ac:dyDescent="0.25">
      <c r="C109" s="115"/>
      <c r="D109" s="115"/>
    </row>
    <row r="110" spans="3:4" x14ac:dyDescent="0.25">
      <c r="C110" s="115"/>
      <c r="D110" s="115"/>
    </row>
    <row r="111" spans="3:4" x14ac:dyDescent="0.25">
      <c r="C111" s="115"/>
      <c r="D111" s="115"/>
    </row>
    <row r="112" spans="3:4" x14ac:dyDescent="0.25">
      <c r="C112" s="115"/>
      <c r="D112" s="115"/>
    </row>
    <row r="113" spans="3:4" x14ac:dyDescent="0.25">
      <c r="C113" s="115"/>
      <c r="D113" s="115"/>
    </row>
    <row r="114" spans="3:4" x14ac:dyDescent="0.25">
      <c r="C114" s="115"/>
      <c r="D114" s="115"/>
    </row>
    <row r="115" spans="3:4" x14ac:dyDescent="0.25">
      <c r="C115" s="115"/>
      <c r="D115" s="115"/>
    </row>
    <row r="116" spans="3:4" x14ac:dyDescent="0.25">
      <c r="C116" s="115"/>
      <c r="D116" s="115"/>
    </row>
    <row r="117" spans="3:4" x14ac:dyDescent="0.25">
      <c r="C117" s="115"/>
      <c r="D117" s="115"/>
    </row>
    <row r="118" spans="3:4" x14ac:dyDescent="0.25">
      <c r="C118" s="115"/>
      <c r="D118" s="115"/>
    </row>
    <row r="119" spans="3:4" x14ac:dyDescent="0.25">
      <c r="C119" s="115"/>
      <c r="D119" s="115"/>
    </row>
    <row r="120" spans="3:4" x14ac:dyDescent="0.25">
      <c r="C120" s="115"/>
      <c r="D120" s="115"/>
    </row>
    <row r="121" spans="3:4" x14ac:dyDescent="0.25">
      <c r="C121" s="115"/>
      <c r="D121" s="115"/>
    </row>
    <row r="122" spans="3:4" x14ac:dyDescent="0.25">
      <c r="C122" s="115"/>
      <c r="D122" s="115"/>
    </row>
    <row r="123" spans="3:4" x14ac:dyDescent="0.25">
      <c r="C123" s="115"/>
      <c r="D123" s="115"/>
    </row>
    <row r="124" spans="3:4" x14ac:dyDescent="0.25">
      <c r="C124" s="115"/>
      <c r="D124" s="115"/>
    </row>
    <row r="125" spans="3:4" x14ac:dyDescent="0.25">
      <c r="C125" s="115"/>
      <c r="D125" s="115"/>
    </row>
    <row r="126" spans="3:4" x14ac:dyDescent="0.25">
      <c r="C126" s="115"/>
      <c r="D126" s="115"/>
    </row>
    <row r="127" spans="3:4" x14ac:dyDescent="0.25">
      <c r="C127" s="115"/>
      <c r="D127" s="115"/>
    </row>
    <row r="128" spans="3:4" x14ac:dyDescent="0.25">
      <c r="C128" s="115"/>
      <c r="D128" s="115"/>
    </row>
    <row r="129" spans="3:4" x14ac:dyDescent="0.25">
      <c r="C129" s="115"/>
      <c r="D129" s="115"/>
    </row>
    <row r="130" spans="3:4" x14ac:dyDescent="0.25">
      <c r="C130" s="115"/>
      <c r="D130" s="115"/>
    </row>
    <row r="131" spans="3:4" x14ac:dyDescent="0.25">
      <c r="C131" s="115"/>
      <c r="D131" s="115"/>
    </row>
    <row r="132" spans="3:4" x14ac:dyDescent="0.25">
      <c r="C132" s="115"/>
      <c r="D132" s="115"/>
    </row>
    <row r="133" spans="3:4" x14ac:dyDescent="0.25">
      <c r="C133" s="115"/>
      <c r="D133" s="115"/>
    </row>
    <row r="134" spans="3:4" x14ac:dyDescent="0.25">
      <c r="C134" s="115"/>
      <c r="D134" s="115"/>
    </row>
    <row r="135" spans="3:4" x14ac:dyDescent="0.25">
      <c r="C135" s="115"/>
      <c r="D135" s="115"/>
    </row>
    <row r="136" spans="3:4" x14ac:dyDescent="0.25">
      <c r="C136" s="115"/>
      <c r="D136" s="115"/>
    </row>
    <row r="137" spans="3:4" x14ac:dyDescent="0.25">
      <c r="C137" s="115"/>
      <c r="D137" s="115"/>
    </row>
    <row r="138" spans="3:4" x14ac:dyDescent="0.25">
      <c r="C138" s="115"/>
      <c r="D138" s="115"/>
    </row>
    <row r="139" spans="3:4" x14ac:dyDescent="0.25">
      <c r="C139" s="115"/>
      <c r="D139" s="115"/>
    </row>
    <row r="140" spans="3:4" x14ac:dyDescent="0.25">
      <c r="C140" s="115"/>
      <c r="D140" s="115"/>
    </row>
    <row r="141" spans="3:4" x14ac:dyDescent="0.25">
      <c r="C141" s="115"/>
      <c r="D141" s="115"/>
    </row>
    <row r="142" spans="3:4" x14ac:dyDescent="0.25">
      <c r="C142" s="115"/>
      <c r="D142" s="115"/>
    </row>
    <row r="143" spans="3:4" x14ac:dyDescent="0.25">
      <c r="C143" s="115"/>
      <c r="D143" s="115"/>
    </row>
    <row r="144" spans="3:4" x14ac:dyDescent="0.25">
      <c r="C144" s="115"/>
      <c r="D144" s="115"/>
    </row>
    <row r="145" spans="3:4" x14ac:dyDescent="0.25">
      <c r="C145" s="115"/>
      <c r="D145" s="115"/>
    </row>
    <row r="146" spans="3:4" x14ac:dyDescent="0.25">
      <c r="C146" s="115"/>
      <c r="D146" s="115"/>
    </row>
    <row r="147" spans="3:4" x14ac:dyDescent="0.25">
      <c r="C147" s="115"/>
      <c r="D147" s="115"/>
    </row>
    <row r="148" spans="3:4" x14ac:dyDescent="0.25">
      <c r="C148" s="115"/>
      <c r="D148" s="115"/>
    </row>
    <row r="149" spans="3:4" x14ac:dyDescent="0.25">
      <c r="C149" s="115"/>
      <c r="D149" s="115"/>
    </row>
    <row r="150" spans="3:4" x14ac:dyDescent="0.25">
      <c r="C150" s="115"/>
      <c r="D150" s="115"/>
    </row>
    <row r="151" spans="3:4" x14ac:dyDescent="0.25">
      <c r="C151" s="115"/>
      <c r="D151" s="115"/>
    </row>
    <row r="152" spans="3:4" x14ac:dyDescent="0.25">
      <c r="C152" s="115"/>
      <c r="D152" s="115"/>
    </row>
    <row r="153" spans="3:4" x14ac:dyDescent="0.25">
      <c r="C153" s="115"/>
      <c r="D153" s="115"/>
    </row>
    <row r="154" spans="3:4" x14ac:dyDescent="0.25">
      <c r="C154" s="115"/>
      <c r="D154" s="115"/>
    </row>
    <row r="155" spans="3:4" x14ac:dyDescent="0.25">
      <c r="C155" s="115"/>
      <c r="D155" s="115"/>
    </row>
    <row r="156" spans="3:4" x14ac:dyDescent="0.25">
      <c r="C156" s="115"/>
      <c r="D156" s="115"/>
    </row>
    <row r="157" spans="3:4" x14ac:dyDescent="0.25">
      <c r="C157" s="115"/>
      <c r="D157" s="115"/>
    </row>
    <row r="158" spans="3:4" x14ac:dyDescent="0.25">
      <c r="C158" s="115"/>
      <c r="D158" s="115"/>
    </row>
    <row r="159" spans="3:4" x14ac:dyDescent="0.25">
      <c r="C159" s="115"/>
      <c r="D159" s="115"/>
    </row>
    <row r="160" spans="3:4" x14ac:dyDescent="0.25">
      <c r="C160" s="115"/>
      <c r="D160" s="115"/>
    </row>
    <row r="161" spans="3:4" x14ac:dyDescent="0.25">
      <c r="C161" s="115"/>
      <c r="D161" s="115"/>
    </row>
    <row r="162" spans="3:4" x14ac:dyDescent="0.25">
      <c r="C162" s="115"/>
      <c r="D162" s="115"/>
    </row>
    <row r="163" spans="3:4" x14ac:dyDescent="0.25">
      <c r="C163" s="115"/>
      <c r="D163" s="115"/>
    </row>
    <row r="164" spans="3:4" x14ac:dyDescent="0.25">
      <c r="C164" s="115"/>
      <c r="D164" s="115"/>
    </row>
    <row r="165" spans="3:4" x14ac:dyDescent="0.25">
      <c r="C165" s="115"/>
      <c r="D165" s="115"/>
    </row>
    <row r="166" spans="3:4" x14ac:dyDescent="0.25">
      <c r="C166" s="115"/>
      <c r="D166" s="115"/>
    </row>
    <row r="167" spans="3:4" x14ac:dyDescent="0.25">
      <c r="C167" s="115"/>
      <c r="D167" s="115"/>
    </row>
    <row r="168" spans="3:4" x14ac:dyDescent="0.25">
      <c r="C168" s="115"/>
      <c r="D168" s="115"/>
    </row>
    <row r="169" spans="3:4" x14ac:dyDescent="0.25">
      <c r="C169" s="115"/>
      <c r="D169" s="115"/>
    </row>
    <row r="170" spans="3:4" x14ac:dyDescent="0.25">
      <c r="C170" s="115"/>
      <c r="D170" s="115"/>
    </row>
    <row r="171" spans="3:4" x14ac:dyDescent="0.25">
      <c r="C171" s="115"/>
      <c r="D171" s="115"/>
    </row>
    <row r="172" spans="3:4" x14ac:dyDescent="0.25">
      <c r="C172" s="115"/>
      <c r="D172" s="115"/>
    </row>
    <row r="173" spans="3:4" x14ac:dyDescent="0.25">
      <c r="C173" s="115"/>
      <c r="D173" s="115"/>
    </row>
    <row r="174" spans="3:4" x14ac:dyDescent="0.25">
      <c r="C174" s="115"/>
      <c r="D174" s="115"/>
    </row>
    <row r="175" spans="3:4" x14ac:dyDescent="0.25">
      <c r="C175" s="115"/>
      <c r="D175" s="115"/>
    </row>
    <row r="176" spans="3:4" x14ac:dyDescent="0.25">
      <c r="C176" s="115"/>
      <c r="D176" s="115"/>
    </row>
    <row r="177" spans="3:4" x14ac:dyDescent="0.25">
      <c r="C177" s="115"/>
      <c r="D177" s="115"/>
    </row>
    <row r="178" spans="3:4" x14ac:dyDescent="0.25">
      <c r="C178" s="115"/>
      <c r="D178" s="115"/>
    </row>
    <row r="179" spans="3:4" x14ac:dyDescent="0.25">
      <c r="C179" s="115"/>
      <c r="D179" s="115"/>
    </row>
    <row r="180" spans="3:4" x14ac:dyDescent="0.25">
      <c r="C180" s="115"/>
      <c r="D180" s="115"/>
    </row>
    <row r="181" spans="3:4" x14ac:dyDescent="0.25">
      <c r="C181" s="115"/>
      <c r="D181" s="115"/>
    </row>
    <row r="182" spans="3:4" x14ac:dyDescent="0.25">
      <c r="C182" s="115"/>
      <c r="D182" s="115"/>
    </row>
    <row r="183" spans="3:4" x14ac:dyDescent="0.25">
      <c r="C183" s="115"/>
      <c r="D183" s="115"/>
    </row>
    <row r="184" spans="3:4" x14ac:dyDescent="0.25">
      <c r="C184" s="115"/>
      <c r="D184" s="115"/>
    </row>
    <row r="185" spans="3:4" x14ac:dyDescent="0.25">
      <c r="C185" s="115"/>
      <c r="D185" s="115"/>
    </row>
    <row r="186" spans="3:4" x14ac:dyDescent="0.25">
      <c r="C186" s="115"/>
      <c r="D186" s="115"/>
    </row>
    <row r="187" spans="3:4" x14ac:dyDescent="0.25">
      <c r="C187" s="115"/>
      <c r="D187" s="115"/>
    </row>
    <row r="188" spans="3:4" x14ac:dyDescent="0.25">
      <c r="C188" s="115"/>
      <c r="D188" s="115"/>
    </row>
    <row r="189" spans="3:4" x14ac:dyDescent="0.25">
      <c r="C189" s="115"/>
      <c r="D189" s="115"/>
    </row>
    <row r="190" spans="3:4" x14ac:dyDescent="0.25">
      <c r="C190" s="115"/>
      <c r="D190" s="115"/>
    </row>
    <row r="191" spans="3:4" x14ac:dyDescent="0.25">
      <c r="C191" s="115"/>
      <c r="D191" s="115"/>
    </row>
    <row r="192" spans="3:4" x14ac:dyDescent="0.25">
      <c r="C192" s="115"/>
      <c r="D192" s="115"/>
    </row>
    <row r="193" spans="3:4" x14ac:dyDescent="0.25">
      <c r="C193" s="115"/>
      <c r="D193" s="115"/>
    </row>
    <row r="194" spans="3:4" x14ac:dyDescent="0.25">
      <c r="C194" s="115"/>
      <c r="D194" s="115"/>
    </row>
    <row r="195" spans="3:4" x14ac:dyDescent="0.25">
      <c r="C195" s="115"/>
      <c r="D195" s="115"/>
    </row>
    <row r="196" spans="3:4" x14ac:dyDescent="0.25">
      <c r="C196" s="115"/>
      <c r="D196" s="115"/>
    </row>
    <row r="197" spans="3:4" x14ac:dyDescent="0.25">
      <c r="C197" s="115"/>
      <c r="D197" s="115"/>
    </row>
    <row r="198" spans="3:4" x14ac:dyDescent="0.25">
      <c r="C198" s="115"/>
      <c r="D198" s="115"/>
    </row>
    <row r="199" spans="3:4" x14ac:dyDescent="0.25">
      <c r="C199" s="115"/>
      <c r="D199" s="115"/>
    </row>
    <row r="200" spans="3:4" x14ac:dyDescent="0.25">
      <c r="C200" s="115"/>
      <c r="D200" s="115"/>
    </row>
    <row r="201" spans="3:4" x14ac:dyDescent="0.25">
      <c r="C201" s="115"/>
      <c r="D201" s="115"/>
    </row>
    <row r="202" spans="3:4" x14ac:dyDescent="0.25">
      <c r="C202" s="115"/>
      <c r="D202" s="115"/>
    </row>
    <row r="203" spans="3:4" x14ac:dyDescent="0.25">
      <c r="C203" s="115"/>
      <c r="D203" s="115"/>
    </row>
    <row r="204" spans="3:4" x14ac:dyDescent="0.25">
      <c r="C204" s="115"/>
      <c r="D204" s="115"/>
    </row>
    <row r="205" spans="3:4" x14ac:dyDescent="0.25">
      <c r="C205" s="115"/>
      <c r="D205" s="115"/>
    </row>
    <row r="206" spans="3:4" x14ac:dyDescent="0.25">
      <c r="C206" s="115"/>
      <c r="D206" s="115"/>
    </row>
    <row r="207" spans="3:4" x14ac:dyDescent="0.25">
      <c r="C207" s="115"/>
      <c r="D207" s="115"/>
    </row>
    <row r="208" spans="3:4" x14ac:dyDescent="0.25">
      <c r="C208" s="115"/>
      <c r="D208" s="115"/>
    </row>
    <row r="209" spans="3:4" x14ac:dyDescent="0.25">
      <c r="C209" s="115"/>
      <c r="D209" s="115"/>
    </row>
    <row r="210" spans="3:4" x14ac:dyDescent="0.25">
      <c r="C210" s="115"/>
      <c r="D210" s="115"/>
    </row>
    <row r="211" spans="3:4" x14ac:dyDescent="0.25">
      <c r="C211" s="115"/>
      <c r="D211" s="115"/>
    </row>
    <row r="212" spans="3:4" x14ac:dyDescent="0.25">
      <c r="C212" s="115"/>
      <c r="D212" s="115"/>
    </row>
    <row r="213" spans="3:4" x14ac:dyDescent="0.25">
      <c r="C213" s="115"/>
      <c r="D213" s="115"/>
    </row>
    <row r="214" spans="3:4" x14ac:dyDescent="0.25">
      <c r="C214" s="115"/>
      <c r="D214" s="115"/>
    </row>
    <row r="215" spans="3:4" x14ac:dyDescent="0.25">
      <c r="C215" s="115"/>
      <c r="D215" s="115"/>
    </row>
    <row r="216" spans="3:4" x14ac:dyDescent="0.25">
      <c r="C216" s="115"/>
      <c r="D216" s="115"/>
    </row>
    <row r="217" spans="3:4" x14ac:dyDescent="0.25">
      <c r="C217" s="115"/>
      <c r="D217" s="115"/>
    </row>
    <row r="218" spans="3:4" x14ac:dyDescent="0.25">
      <c r="C218" s="115"/>
      <c r="D218" s="115"/>
    </row>
    <row r="219" spans="3:4" x14ac:dyDescent="0.25">
      <c r="C219" s="115"/>
      <c r="D219" s="115"/>
    </row>
    <row r="220" spans="3:4" x14ac:dyDescent="0.25">
      <c r="C220" s="115"/>
      <c r="D220" s="115"/>
    </row>
    <row r="221" spans="3:4" x14ac:dyDescent="0.25">
      <c r="C221" s="115"/>
      <c r="D221" s="115"/>
    </row>
    <row r="222" spans="3:4" x14ac:dyDescent="0.25">
      <c r="C222" s="115"/>
      <c r="D222" s="115"/>
    </row>
    <row r="223" spans="3:4" x14ac:dyDescent="0.25">
      <c r="C223" s="115"/>
      <c r="D223" s="115"/>
    </row>
    <row r="224" spans="3:4" x14ac:dyDescent="0.25">
      <c r="C224" s="115"/>
      <c r="D224" s="115"/>
    </row>
    <row r="225" spans="3:4" x14ac:dyDescent="0.25">
      <c r="C225" s="115"/>
      <c r="D225" s="115"/>
    </row>
    <row r="226" spans="3:4" x14ac:dyDescent="0.25">
      <c r="C226" s="115"/>
      <c r="D226" s="115"/>
    </row>
    <row r="227" spans="3:4" x14ac:dyDescent="0.25">
      <c r="C227" s="115"/>
      <c r="D227" s="115"/>
    </row>
    <row r="228" spans="3:4" x14ac:dyDescent="0.25">
      <c r="C228" s="115"/>
      <c r="D228" s="115"/>
    </row>
    <row r="229" spans="3:4" x14ac:dyDescent="0.25">
      <c r="C229" s="115"/>
      <c r="D229" s="115"/>
    </row>
    <row r="230" spans="3:4" x14ac:dyDescent="0.25">
      <c r="C230" s="115"/>
      <c r="D230" s="115"/>
    </row>
    <row r="231" spans="3:4" x14ac:dyDescent="0.25">
      <c r="C231" s="115"/>
      <c r="D231" s="115"/>
    </row>
    <row r="232" spans="3:4" x14ac:dyDescent="0.25">
      <c r="C232" s="115"/>
      <c r="D232" s="115"/>
    </row>
    <row r="233" spans="3:4" x14ac:dyDescent="0.25">
      <c r="C233" s="115"/>
      <c r="D233" s="115"/>
    </row>
    <row r="234" spans="3:4" x14ac:dyDescent="0.25">
      <c r="C234" s="115"/>
      <c r="D234" s="115"/>
    </row>
    <row r="235" spans="3:4" x14ac:dyDescent="0.25">
      <c r="C235" s="115"/>
      <c r="D235" s="115"/>
    </row>
    <row r="236" spans="3:4" x14ac:dyDescent="0.25">
      <c r="C236" s="115"/>
      <c r="D236" s="115"/>
    </row>
    <row r="237" spans="3:4" x14ac:dyDescent="0.25">
      <c r="C237" s="115"/>
      <c r="D237" s="115"/>
    </row>
    <row r="238" spans="3:4" x14ac:dyDescent="0.25">
      <c r="C238" s="115"/>
      <c r="D238" s="115"/>
    </row>
    <row r="239" spans="3:4" x14ac:dyDescent="0.25">
      <c r="C239" s="115"/>
      <c r="D239" s="115"/>
    </row>
    <row r="240" spans="3:4" x14ac:dyDescent="0.25">
      <c r="C240" s="115"/>
      <c r="D240" s="115"/>
    </row>
    <row r="241" spans="3:4" x14ac:dyDescent="0.25">
      <c r="C241" s="115"/>
      <c r="D241" s="115"/>
    </row>
    <row r="242" spans="3:4" x14ac:dyDescent="0.25">
      <c r="C242" s="115"/>
      <c r="D242" s="115"/>
    </row>
    <row r="243" spans="3:4" x14ac:dyDescent="0.25">
      <c r="C243" s="115"/>
      <c r="D243" s="115"/>
    </row>
    <row r="244" spans="3:4" x14ac:dyDescent="0.25">
      <c r="C244" s="115"/>
      <c r="D244" s="115"/>
    </row>
    <row r="245" spans="3:4" x14ac:dyDescent="0.25">
      <c r="C245" s="115"/>
      <c r="D245" s="115"/>
    </row>
    <row r="246" spans="3:4" x14ac:dyDescent="0.25">
      <c r="C246" s="115"/>
      <c r="D246" s="115"/>
    </row>
    <row r="247" spans="3:4" x14ac:dyDescent="0.25">
      <c r="C247" s="115"/>
      <c r="D247" s="115"/>
    </row>
    <row r="248" spans="3:4" x14ac:dyDescent="0.25">
      <c r="C248" s="115"/>
      <c r="D248" s="115"/>
    </row>
    <row r="249" spans="3:4" x14ac:dyDescent="0.25">
      <c r="C249" s="115"/>
      <c r="D249" s="115"/>
    </row>
    <row r="250" spans="3:4" x14ac:dyDescent="0.25">
      <c r="C250" s="115"/>
      <c r="D250" s="115"/>
    </row>
    <row r="251" spans="3:4" x14ac:dyDescent="0.25">
      <c r="C251" s="115"/>
      <c r="D251" s="115"/>
    </row>
    <row r="252" spans="3:4" x14ac:dyDescent="0.25">
      <c r="C252" s="115"/>
      <c r="D252" s="115"/>
    </row>
    <row r="253" spans="3:4" x14ac:dyDescent="0.25">
      <c r="C253" s="115"/>
      <c r="D253" s="115"/>
    </row>
    <row r="254" spans="3:4" x14ac:dyDescent="0.25">
      <c r="C254" s="115"/>
      <c r="D254" s="115"/>
    </row>
    <row r="255" spans="3:4" x14ac:dyDescent="0.25">
      <c r="C255" s="115"/>
      <c r="D255" s="115"/>
    </row>
    <row r="256" spans="3:4" x14ac:dyDescent="0.25">
      <c r="C256" s="115"/>
      <c r="D256" s="115"/>
    </row>
    <row r="257" spans="3:4" x14ac:dyDescent="0.25">
      <c r="C257" s="115"/>
      <c r="D257" s="115"/>
    </row>
    <row r="258" spans="3:4" x14ac:dyDescent="0.25">
      <c r="C258" s="115"/>
      <c r="D258" s="115"/>
    </row>
    <row r="259" spans="3:4" x14ac:dyDescent="0.25">
      <c r="C259" s="115"/>
      <c r="D259" s="115"/>
    </row>
    <row r="260" spans="3:4" x14ac:dyDescent="0.25">
      <c r="C260" s="115"/>
      <c r="D260" s="115"/>
    </row>
    <row r="261" spans="3:4" x14ac:dyDescent="0.25">
      <c r="C261" s="115"/>
      <c r="D261" s="115"/>
    </row>
    <row r="262" spans="3:4" x14ac:dyDescent="0.25">
      <c r="C262" s="115"/>
      <c r="D262" s="115"/>
    </row>
    <row r="263" spans="3:4" x14ac:dyDescent="0.25">
      <c r="C263" s="115"/>
      <c r="D263" s="115"/>
    </row>
    <row r="264" spans="3:4" x14ac:dyDescent="0.25">
      <c r="C264" s="115"/>
      <c r="D264" s="115"/>
    </row>
    <row r="265" spans="3:4" x14ac:dyDescent="0.25">
      <c r="C265" s="115"/>
      <c r="D265" s="115"/>
    </row>
    <row r="266" spans="3:4" x14ac:dyDescent="0.25">
      <c r="C266" s="115"/>
      <c r="D266" s="115"/>
    </row>
    <row r="267" spans="3:4" x14ac:dyDescent="0.25">
      <c r="C267" s="115"/>
      <c r="D267" s="115"/>
    </row>
    <row r="268" spans="3:4" x14ac:dyDescent="0.25">
      <c r="C268" s="115"/>
      <c r="D268" s="115"/>
    </row>
    <row r="269" spans="3:4" x14ac:dyDescent="0.25">
      <c r="C269" s="115"/>
      <c r="D269" s="115"/>
    </row>
    <row r="270" spans="3:4" x14ac:dyDescent="0.25">
      <c r="C270" s="115"/>
      <c r="D270" s="115"/>
    </row>
    <row r="271" spans="3:4" x14ac:dyDescent="0.25">
      <c r="C271" s="115"/>
      <c r="D271" s="115"/>
    </row>
    <row r="272" spans="3:4" x14ac:dyDescent="0.25">
      <c r="C272" s="115"/>
      <c r="D272" s="115"/>
    </row>
    <row r="273" spans="3:4" x14ac:dyDescent="0.25">
      <c r="C273" s="115"/>
      <c r="D273" s="115"/>
    </row>
    <row r="274" spans="3:4" x14ac:dyDescent="0.25">
      <c r="C274" s="115"/>
      <c r="D274" s="115"/>
    </row>
    <row r="275" spans="3:4" x14ac:dyDescent="0.25">
      <c r="C275" s="115"/>
      <c r="D275" s="115"/>
    </row>
    <row r="276" spans="3:4" x14ac:dyDescent="0.25">
      <c r="C276" s="115"/>
      <c r="D276" s="115"/>
    </row>
    <row r="277" spans="3:4" x14ac:dyDescent="0.25">
      <c r="C277" s="115"/>
      <c r="D277" s="115"/>
    </row>
    <row r="278" spans="3:4" x14ac:dyDescent="0.25">
      <c r="C278" s="115"/>
      <c r="D278" s="115"/>
    </row>
    <row r="279" spans="3:4" x14ac:dyDescent="0.25">
      <c r="C279" s="115"/>
      <c r="D279" s="115"/>
    </row>
    <row r="280" spans="3:4" x14ac:dyDescent="0.25">
      <c r="C280" s="115"/>
      <c r="D280" s="115"/>
    </row>
    <row r="281" spans="3:4" x14ac:dyDescent="0.25">
      <c r="C281" s="115"/>
      <c r="D281" s="115"/>
    </row>
    <row r="282" spans="3:4" x14ac:dyDescent="0.25">
      <c r="C282" s="115"/>
      <c r="D282" s="115"/>
    </row>
    <row r="283" spans="3:4" x14ac:dyDescent="0.25">
      <c r="C283" s="115"/>
      <c r="D283" s="115"/>
    </row>
    <row r="284" spans="3:4" x14ac:dyDescent="0.25">
      <c r="C284" s="115"/>
      <c r="D284" s="115"/>
    </row>
    <row r="285" spans="3:4" x14ac:dyDescent="0.25">
      <c r="C285" s="115"/>
      <c r="D285" s="115"/>
    </row>
    <row r="286" spans="3:4" x14ac:dyDescent="0.25">
      <c r="C286" s="115"/>
      <c r="D286" s="115"/>
    </row>
    <row r="287" spans="3:4" x14ac:dyDescent="0.25">
      <c r="C287" s="115"/>
      <c r="D287" s="115"/>
    </row>
    <row r="288" spans="3:4" x14ac:dyDescent="0.25">
      <c r="C288" s="115"/>
      <c r="D288" s="115"/>
    </row>
    <row r="289" spans="3:4" x14ac:dyDescent="0.25">
      <c r="C289" s="115"/>
      <c r="D289" s="115"/>
    </row>
    <row r="290" spans="3:4" x14ac:dyDescent="0.25">
      <c r="C290" s="115"/>
      <c r="D290" s="115"/>
    </row>
    <row r="291" spans="3:4" x14ac:dyDescent="0.25">
      <c r="C291" s="115"/>
      <c r="D291" s="115"/>
    </row>
    <row r="292" spans="3:4" x14ac:dyDescent="0.25">
      <c r="C292" s="115"/>
      <c r="D292" s="115"/>
    </row>
    <row r="293" spans="3:4" x14ac:dyDescent="0.25">
      <c r="C293" s="115"/>
      <c r="D293" s="115"/>
    </row>
    <row r="294" spans="3:4" x14ac:dyDescent="0.25">
      <c r="C294" s="115"/>
      <c r="D294" s="115"/>
    </row>
    <row r="295" spans="3:4" x14ac:dyDescent="0.25">
      <c r="C295" s="115"/>
      <c r="D295" s="115"/>
    </row>
    <row r="296" spans="3:4" x14ac:dyDescent="0.25">
      <c r="C296" s="115"/>
      <c r="D296" s="115"/>
    </row>
    <row r="297" spans="3:4" x14ac:dyDescent="0.25">
      <c r="C297" s="115"/>
      <c r="D297" s="115"/>
    </row>
    <row r="298" spans="3:4" x14ac:dyDescent="0.25">
      <c r="C298" s="115"/>
      <c r="D298" s="115"/>
    </row>
    <row r="299" spans="3:4" x14ac:dyDescent="0.25">
      <c r="C299" s="115"/>
      <c r="D299" s="115"/>
    </row>
    <row r="300" spans="3:4" x14ac:dyDescent="0.25">
      <c r="C300" s="115"/>
      <c r="D300" s="115"/>
    </row>
    <row r="301" spans="3:4" x14ac:dyDescent="0.25">
      <c r="C301" s="115"/>
      <c r="D301" s="115"/>
    </row>
    <row r="302" spans="3:4" x14ac:dyDescent="0.25">
      <c r="C302" s="115"/>
      <c r="D302" s="115"/>
    </row>
    <row r="303" spans="3:4" x14ac:dyDescent="0.25">
      <c r="C303" s="115"/>
      <c r="D303" s="115"/>
    </row>
    <row r="304" spans="3:4" x14ac:dyDescent="0.25">
      <c r="C304" s="115"/>
      <c r="D304" s="115"/>
    </row>
    <row r="305" spans="3:4" x14ac:dyDescent="0.25">
      <c r="C305" s="115"/>
      <c r="D305" s="115"/>
    </row>
    <row r="306" spans="3:4" x14ac:dyDescent="0.25">
      <c r="C306" s="115"/>
      <c r="D306" s="115"/>
    </row>
    <row r="307" spans="3:4" x14ac:dyDescent="0.25">
      <c r="C307" s="115"/>
      <c r="D307" s="115"/>
    </row>
    <row r="308" spans="3:4" x14ac:dyDescent="0.25">
      <c r="C308" s="115"/>
      <c r="D308" s="115"/>
    </row>
    <row r="309" spans="3:4" x14ac:dyDescent="0.25">
      <c r="C309" s="115"/>
      <c r="D309" s="115"/>
    </row>
    <row r="310" spans="3:4" x14ac:dyDescent="0.25">
      <c r="C310" s="115"/>
      <c r="D310" s="115"/>
    </row>
    <row r="311" spans="3:4" x14ac:dyDescent="0.25">
      <c r="C311" s="115"/>
      <c r="D311" s="115"/>
    </row>
    <row r="312" spans="3:4" x14ac:dyDescent="0.25">
      <c r="C312" s="115"/>
      <c r="D312" s="115"/>
    </row>
    <row r="313" spans="3:4" x14ac:dyDescent="0.25">
      <c r="C313" s="115"/>
      <c r="D313" s="115"/>
    </row>
    <row r="314" spans="3:4" x14ac:dyDescent="0.25">
      <c r="C314" s="115"/>
      <c r="D314" s="115"/>
    </row>
    <row r="315" spans="3:4" x14ac:dyDescent="0.25">
      <c r="C315" s="115"/>
      <c r="D315" s="115"/>
    </row>
    <row r="316" spans="3:4" x14ac:dyDescent="0.25">
      <c r="C316" s="115"/>
      <c r="D316" s="115"/>
    </row>
    <row r="317" spans="3:4" x14ac:dyDescent="0.25">
      <c r="C317" s="115"/>
      <c r="D317" s="115"/>
    </row>
    <row r="318" spans="3:4" x14ac:dyDescent="0.25">
      <c r="C318" s="115"/>
      <c r="D318" s="115"/>
    </row>
    <row r="319" spans="3:4" x14ac:dyDescent="0.25">
      <c r="C319" s="115"/>
      <c r="D319" s="115"/>
    </row>
    <row r="320" spans="3:4" x14ac:dyDescent="0.25">
      <c r="C320" s="115"/>
      <c r="D320" s="115"/>
    </row>
    <row r="321" spans="3:4" x14ac:dyDescent="0.25">
      <c r="C321" s="115"/>
      <c r="D321" s="115"/>
    </row>
    <row r="322" spans="3:4" x14ac:dyDescent="0.25">
      <c r="C322" s="115"/>
      <c r="D322" s="115"/>
    </row>
    <row r="323" spans="3:4" x14ac:dyDescent="0.25">
      <c r="C323" s="115"/>
      <c r="D323" s="115"/>
    </row>
    <row r="324" spans="3:4" x14ac:dyDescent="0.25">
      <c r="C324" s="115"/>
      <c r="D324" s="115"/>
    </row>
    <row r="325" spans="3:4" x14ac:dyDescent="0.25">
      <c r="C325" s="115"/>
      <c r="D325" s="115"/>
    </row>
    <row r="326" spans="3:4" x14ac:dyDescent="0.25">
      <c r="C326" s="115"/>
      <c r="D326" s="115"/>
    </row>
    <row r="327" spans="3:4" x14ac:dyDescent="0.25">
      <c r="C327" s="115"/>
      <c r="D327" s="115"/>
    </row>
    <row r="328" spans="3:4" x14ac:dyDescent="0.25">
      <c r="C328" s="115"/>
      <c r="D328" s="115"/>
    </row>
    <row r="329" spans="3:4" x14ac:dyDescent="0.25">
      <c r="C329" s="115"/>
      <c r="D329" s="115"/>
    </row>
    <row r="330" spans="3:4" x14ac:dyDescent="0.25">
      <c r="C330" s="115"/>
      <c r="D330" s="115"/>
    </row>
    <row r="331" spans="3:4" x14ac:dyDescent="0.25">
      <c r="C331" s="115"/>
      <c r="D331" s="115"/>
    </row>
    <row r="332" spans="3:4" x14ac:dyDescent="0.25">
      <c r="C332" s="115"/>
      <c r="D332" s="115"/>
    </row>
    <row r="333" spans="3:4" x14ac:dyDescent="0.25">
      <c r="C333" s="115"/>
      <c r="D333" s="115"/>
    </row>
    <row r="334" spans="3:4" x14ac:dyDescent="0.25">
      <c r="C334" s="115"/>
      <c r="D334" s="115"/>
    </row>
    <row r="335" spans="3:4" x14ac:dyDescent="0.25">
      <c r="C335" s="115"/>
      <c r="D335" s="115"/>
    </row>
    <row r="336" spans="3:4" x14ac:dyDescent="0.25">
      <c r="C336" s="115"/>
      <c r="D336" s="115"/>
    </row>
    <row r="337" spans="3:4" x14ac:dyDescent="0.25">
      <c r="C337" s="115"/>
      <c r="D337" s="115"/>
    </row>
    <row r="338" spans="3:4" x14ac:dyDescent="0.25">
      <c r="C338" s="115"/>
      <c r="D338" s="115"/>
    </row>
    <row r="339" spans="3:4" x14ac:dyDescent="0.25">
      <c r="C339" s="115"/>
      <c r="D339" s="115"/>
    </row>
    <row r="340" spans="3:4" x14ac:dyDescent="0.25">
      <c r="C340" s="115"/>
      <c r="D340" s="115"/>
    </row>
    <row r="341" spans="3:4" x14ac:dyDescent="0.25">
      <c r="C341" s="115"/>
      <c r="D341" s="115"/>
    </row>
    <row r="342" spans="3:4" x14ac:dyDescent="0.25">
      <c r="C342" s="115"/>
      <c r="D342" s="115"/>
    </row>
    <row r="343" spans="3:4" x14ac:dyDescent="0.25">
      <c r="C343" s="115"/>
      <c r="D343" s="115"/>
    </row>
    <row r="344" spans="3:4" x14ac:dyDescent="0.25">
      <c r="C344" s="115"/>
      <c r="D344" s="115"/>
    </row>
    <row r="345" spans="3:4" x14ac:dyDescent="0.25">
      <c r="C345" s="115"/>
      <c r="D345" s="115"/>
    </row>
    <row r="346" spans="3:4" x14ac:dyDescent="0.25">
      <c r="C346" s="115"/>
      <c r="D346" s="115"/>
    </row>
    <row r="347" spans="3:4" x14ac:dyDescent="0.25">
      <c r="C347" s="115"/>
      <c r="D347" s="115"/>
    </row>
    <row r="348" spans="3:4" x14ac:dyDescent="0.25">
      <c r="C348" s="115"/>
      <c r="D348" s="115"/>
    </row>
    <row r="349" spans="3:4" x14ac:dyDescent="0.25">
      <c r="C349" s="115"/>
      <c r="D349" s="115"/>
    </row>
    <row r="350" spans="3:4" x14ac:dyDescent="0.25">
      <c r="C350" s="115"/>
      <c r="D350" s="115"/>
    </row>
    <row r="351" spans="3:4" x14ac:dyDescent="0.25">
      <c r="C351" s="115"/>
      <c r="D351" s="115"/>
    </row>
    <row r="352" spans="3:4" x14ac:dyDescent="0.25">
      <c r="C352" s="115"/>
      <c r="D352" s="115"/>
    </row>
    <row r="353" spans="3:4" x14ac:dyDescent="0.25">
      <c r="C353" s="115"/>
      <c r="D353" s="115"/>
    </row>
    <row r="354" spans="3:4" x14ac:dyDescent="0.25">
      <c r="C354" s="115"/>
      <c r="D354" s="115"/>
    </row>
    <row r="355" spans="3:4" x14ac:dyDescent="0.25">
      <c r="C355" s="115"/>
      <c r="D355" s="115"/>
    </row>
    <row r="356" spans="3:4" x14ac:dyDescent="0.25">
      <c r="C356" s="115"/>
      <c r="D356" s="115"/>
    </row>
    <row r="357" spans="3:4" x14ac:dyDescent="0.25">
      <c r="C357" s="115"/>
      <c r="D357" s="115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6" bestFit="1" customWidth="1"/>
    <col min="3" max="3" width="8.625" style="87" bestFit="1" customWidth="1"/>
    <col min="4" max="4" width="8.25" bestFit="1" customWidth="1"/>
  </cols>
  <sheetData>
    <row r="1" spans="1:5" ht="17.25" x14ac:dyDescent="0.25">
      <c r="A1" s="118" t="s">
        <v>529</v>
      </c>
      <c r="B1" s="111" t="s">
        <v>530</v>
      </c>
      <c r="C1" s="111" t="s">
        <v>531</v>
      </c>
      <c r="D1" s="110" t="s">
        <v>532</v>
      </c>
      <c r="E1" s="181" t="s">
        <v>533</v>
      </c>
    </row>
    <row r="2" spans="1:5" x14ac:dyDescent="0.25">
      <c r="A2" s="119" t="s">
        <v>546</v>
      </c>
      <c r="B2" s="135">
        <v>171</v>
      </c>
      <c r="C2" s="135">
        <v>181</v>
      </c>
      <c r="D2" s="112">
        <v>10</v>
      </c>
      <c r="E2" s="181"/>
    </row>
    <row r="3" spans="1:5" ht="18.75" x14ac:dyDescent="0.25">
      <c r="A3" s="120" t="s">
        <v>534</v>
      </c>
      <c r="B3" s="113" t="s">
        <v>535</v>
      </c>
      <c r="C3" s="113" t="s">
        <v>536</v>
      </c>
      <c r="D3" s="113" t="s">
        <v>537</v>
      </c>
    </row>
    <row r="4" spans="1:5" x14ac:dyDescent="0.25">
      <c r="A4" s="136">
        <v>171</v>
      </c>
      <c r="B4" s="114">
        <v>9.6387527784096836</v>
      </c>
      <c r="C4" s="136">
        <v>175.74317310171398</v>
      </c>
      <c r="D4" s="136">
        <v>2.3402072147155355</v>
      </c>
    </row>
    <row r="5" spans="1:5" x14ac:dyDescent="0.25">
      <c r="A5" s="136">
        <v>172</v>
      </c>
      <c r="B5" s="114">
        <v>8.1506843306009031</v>
      </c>
      <c r="C5" s="115"/>
      <c r="D5" s="115"/>
    </row>
    <row r="6" spans="1:5" x14ac:dyDescent="0.25">
      <c r="A6" s="136">
        <v>173</v>
      </c>
      <c r="B6" s="114">
        <v>6.9939048031112661</v>
      </c>
      <c r="C6" s="115"/>
      <c r="D6" s="115"/>
    </row>
    <row r="7" spans="1:5" x14ac:dyDescent="0.25">
      <c r="A7" s="136">
        <v>174</v>
      </c>
      <c r="B7" s="114">
        <v>6.1766359331774243</v>
      </c>
      <c r="C7" s="115"/>
      <c r="D7" s="115"/>
    </row>
    <row r="8" spans="1:5" x14ac:dyDescent="0.25">
      <c r="A8" s="136">
        <v>175</v>
      </c>
      <c r="B8" s="114">
        <v>5.7074331190315126</v>
      </c>
      <c r="C8" s="115"/>
      <c r="D8" s="115"/>
    </row>
    <row r="9" spans="1:5" x14ac:dyDescent="0.25">
      <c r="A9" s="136">
        <v>176</v>
      </c>
      <c r="B9" s="114">
        <v>5.5948477423803169</v>
      </c>
      <c r="C9" s="115"/>
      <c r="D9" s="115"/>
    </row>
    <row r="10" spans="1:5" x14ac:dyDescent="0.25">
      <c r="A10" s="136">
        <v>177</v>
      </c>
      <c r="B10" s="114">
        <v>5.8472164083524536</v>
      </c>
      <c r="C10" s="115"/>
      <c r="D10" s="115"/>
    </row>
    <row r="11" spans="1:5" x14ac:dyDescent="0.25">
      <c r="A11" s="136">
        <v>178</v>
      </c>
      <c r="B11" s="114">
        <v>6.4727752548144579</v>
      </c>
      <c r="C11" s="115"/>
      <c r="D11" s="115"/>
    </row>
    <row r="12" spans="1:5" x14ac:dyDescent="0.25">
      <c r="A12" s="136">
        <v>179</v>
      </c>
      <c r="B12" s="114">
        <v>7.4801745240411748</v>
      </c>
      <c r="C12" s="115"/>
      <c r="D12" s="115"/>
    </row>
    <row r="13" spans="1:5" x14ac:dyDescent="0.25">
      <c r="A13" s="136">
        <v>180</v>
      </c>
      <c r="B13" s="114">
        <v>8.8791817058958813</v>
      </c>
      <c r="C13" s="115"/>
      <c r="D13" s="115"/>
    </row>
    <row r="14" spans="1:5" x14ac:dyDescent="0.25">
      <c r="A14" s="136">
        <v>181</v>
      </c>
      <c r="B14" s="114">
        <v>10.681186024344987</v>
      </c>
      <c r="C14" s="115"/>
      <c r="D14" s="115"/>
    </row>
    <row r="15" spans="1:5" x14ac:dyDescent="0.25">
      <c r="A15" s="136"/>
      <c r="B15" s="114"/>
      <c r="C15" s="115"/>
      <c r="D15" s="115"/>
    </row>
    <row r="16" spans="1:5" x14ac:dyDescent="0.25">
      <c r="A16" s="136"/>
      <c r="B16" s="114"/>
      <c r="C16" s="115"/>
      <c r="D16" s="115"/>
    </row>
    <row r="17" spans="1:4" x14ac:dyDescent="0.25">
      <c r="A17" s="136"/>
      <c r="B17" s="114"/>
      <c r="C17" s="115"/>
      <c r="D17" s="115"/>
    </row>
    <row r="18" spans="1:4" x14ac:dyDescent="0.25">
      <c r="A18" s="136"/>
      <c r="B18" s="114"/>
      <c r="C18" s="115"/>
      <c r="D18" s="115"/>
    </row>
    <row r="19" spans="1:4" x14ac:dyDescent="0.25">
      <c r="A19" s="136"/>
      <c r="B19" s="114"/>
      <c r="C19" s="115"/>
      <c r="D19" s="115"/>
    </row>
    <row r="20" spans="1:4" x14ac:dyDescent="0.25">
      <c r="A20" s="136"/>
      <c r="B20" s="114"/>
      <c r="C20" s="115"/>
      <c r="D20" s="115"/>
    </row>
    <row r="21" spans="1:4" x14ac:dyDescent="0.25">
      <c r="A21" s="136"/>
      <c r="B21" s="114"/>
      <c r="C21" s="115"/>
      <c r="D21" s="115"/>
    </row>
    <row r="22" spans="1:4" x14ac:dyDescent="0.25">
      <c r="A22" s="136"/>
      <c r="B22" s="114"/>
      <c r="C22" s="115"/>
      <c r="D22" s="115"/>
    </row>
    <row r="23" spans="1:4" x14ac:dyDescent="0.25">
      <c r="A23" s="136"/>
      <c r="B23" s="114"/>
      <c r="C23" s="115"/>
      <c r="D23" s="115"/>
    </row>
    <row r="24" spans="1:4" x14ac:dyDescent="0.25">
      <c r="A24" s="136"/>
      <c r="B24" s="114"/>
      <c r="C24" s="115"/>
      <c r="D24" s="115"/>
    </row>
    <row r="25" spans="1:4" x14ac:dyDescent="0.25">
      <c r="B25" s="114"/>
      <c r="C25" s="115"/>
      <c r="D25" s="115"/>
    </row>
    <row r="26" spans="1:4" x14ac:dyDescent="0.25">
      <c r="B26" s="114"/>
      <c r="C26" s="115"/>
      <c r="D26" s="115"/>
    </row>
    <row r="27" spans="1:4" x14ac:dyDescent="0.25">
      <c r="B27" s="114"/>
      <c r="C27" s="115"/>
      <c r="D27" s="115"/>
    </row>
    <row r="28" spans="1:4" x14ac:dyDescent="0.25">
      <c r="B28" s="114"/>
      <c r="C28" s="115"/>
      <c r="D28" s="115"/>
    </row>
    <row r="29" spans="1:4" x14ac:dyDescent="0.25">
      <c r="B29" s="114"/>
      <c r="C29" s="115"/>
      <c r="D29" s="115"/>
    </row>
    <row r="30" spans="1:4" x14ac:dyDescent="0.25">
      <c r="B30" s="114"/>
      <c r="C30" s="115"/>
      <c r="D30" s="115"/>
    </row>
    <row r="31" spans="1:4" x14ac:dyDescent="0.25">
      <c r="B31" s="114"/>
      <c r="C31" s="115"/>
      <c r="D31" s="115"/>
    </row>
    <row r="32" spans="1:4" x14ac:dyDescent="0.25">
      <c r="B32" s="114"/>
      <c r="C32" s="115"/>
      <c r="D32" s="115"/>
    </row>
    <row r="33" spans="2:4" x14ac:dyDescent="0.25">
      <c r="B33" s="114"/>
      <c r="C33" s="115"/>
      <c r="D33" s="115"/>
    </row>
    <row r="34" spans="2:4" x14ac:dyDescent="0.25">
      <c r="B34" s="114"/>
      <c r="C34" s="115"/>
      <c r="D34" s="115"/>
    </row>
    <row r="35" spans="2:4" x14ac:dyDescent="0.25">
      <c r="C35" s="115"/>
      <c r="D35" s="115"/>
    </row>
    <row r="36" spans="2:4" x14ac:dyDescent="0.25">
      <c r="C36" s="115"/>
      <c r="D36" s="115"/>
    </row>
    <row r="37" spans="2:4" x14ac:dyDescent="0.25">
      <c r="C37" s="115"/>
      <c r="D37" s="115"/>
    </row>
    <row r="38" spans="2:4" x14ac:dyDescent="0.25">
      <c r="C38" s="115"/>
      <c r="D38" s="115"/>
    </row>
    <row r="39" spans="2:4" x14ac:dyDescent="0.25">
      <c r="C39" s="115"/>
      <c r="D39" s="115"/>
    </row>
    <row r="40" spans="2:4" x14ac:dyDescent="0.25">
      <c r="C40" s="115"/>
      <c r="D40" s="115"/>
    </row>
    <row r="41" spans="2:4" x14ac:dyDescent="0.25">
      <c r="C41" s="115"/>
      <c r="D41" s="115"/>
    </row>
    <row r="42" spans="2:4" x14ac:dyDescent="0.25">
      <c r="C42" s="115"/>
      <c r="D42" s="115"/>
    </row>
    <row r="43" spans="2:4" x14ac:dyDescent="0.25">
      <c r="C43" s="115"/>
      <c r="D43" s="115"/>
    </row>
    <row r="44" spans="2:4" x14ac:dyDescent="0.25">
      <c r="C44" s="115"/>
      <c r="D44" s="115"/>
    </row>
    <row r="45" spans="2:4" x14ac:dyDescent="0.25">
      <c r="C45" s="115"/>
      <c r="D45" s="115"/>
    </row>
    <row r="46" spans="2:4" x14ac:dyDescent="0.25">
      <c r="C46" s="115"/>
      <c r="D46" s="115"/>
    </row>
    <row r="47" spans="2:4" x14ac:dyDescent="0.25">
      <c r="C47" s="115"/>
      <c r="D47" s="115"/>
    </row>
    <row r="48" spans="2:4" x14ac:dyDescent="0.25">
      <c r="C48" s="115"/>
      <c r="D48" s="115"/>
    </row>
    <row r="49" spans="3:4" x14ac:dyDescent="0.25">
      <c r="C49" s="115"/>
      <c r="D49" s="115"/>
    </row>
    <row r="50" spans="3:4" x14ac:dyDescent="0.25">
      <c r="C50" s="115"/>
      <c r="D50" s="115"/>
    </row>
    <row r="51" spans="3:4" x14ac:dyDescent="0.25">
      <c r="C51" s="115"/>
      <c r="D51" s="115"/>
    </row>
    <row r="52" spans="3:4" x14ac:dyDescent="0.25">
      <c r="C52" s="115"/>
      <c r="D52" s="115"/>
    </row>
    <row r="53" spans="3:4" x14ac:dyDescent="0.25">
      <c r="C53" s="115"/>
      <c r="D53" s="115"/>
    </row>
    <row r="54" spans="3:4" x14ac:dyDescent="0.25">
      <c r="C54" s="115"/>
      <c r="D54" s="115"/>
    </row>
    <row r="55" spans="3:4" x14ac:dyDescent="0.25">
      <c r="C55" s="115"/>
      <c r="D55" s="115"/>
    </row>
    <row r="56" spans="3:4" x14ac:dyDescent="0.25">
      <c r="C56" s="115"/>
      <c r="D56" s="115"/>
    </row>
    <row r="57" spans="3:4" x14ac:dyDescent="0.25">
      <c r="C57" s="115"/>
      <c r="D57" s="115"/>
    </row>
    <row r="58" spans="3:4" x14ac:dyDescent="0.25">
      <c r="C58" s="115"/>
      <c r="D58" s="115"/>
    </row>
    <row r="59" spans="3:4" x14ac:dyDescent="0.25">
      <c r="C59" s="115"/>
      <c r="D59" s="115"/>
    </row>
    <row r="60" spans="3:4" x14ac:dyDescent="0.25">
      <c r="C60" s="115"/>
      <c r="D60" s="115"/>
    </row>
    <row r="61" spans="3:4" x14ac:dyDescent="0.25">
      <c r="C61" s="115"/>
      <c r="D61" s="115"/>
    </row>
    <row r="62" spans="3:4" x14ac:dyDescent="0.25">
      <c r="C62" s="115"/>
      <c r="D62" s="115"/>
    </row>
    <row r="63" spans="3:4" x14ac:dyDescent="0.25">
      <c r="C63" s="115"/>
      <c r="D63" s="115"/>
    </row>
    <row r="64" spans="3:4" x14ac:dyDescent="0.25">
      <c r="C64" s="115"/>
      <c r="D64" s="115"/>
    </row>
    <row r="65" spans="3:4" x14ac:dyDescent="0.25">
      <c r="C65" s="115"/>
      <c r="D65" s="115"/>
    </row>
    <row r="66" spans="3:4" x14ac:dyDescent="0.25">
      <c r="C66" s="115"/>
      <c r="D66" s="115"/>
    </row>
    <row r="67" spans="3:4" x14ac:dyDescent="0.25">
      <c r="C67" s="115"/>
      <c r="D67" s="115"/>
    </row>
    <row r="68" spans="3:4" x14ac:dyDescent="0.25">
      <c r="C68" s="115"/>
      <c r="D68" s="115"/>
    </row>
    <row r="69" spans="3:4" x14ac:dyDescent="0.25">
      <c r="C69" s="115"/>
      <c r="D69" s="115"/>
    </row>
    <row r="70" spans="3:4" x14ac:dyDescent="0.25">
      <c r="C70" s="115"/>
      <c r="D70" s="115"/>
    </row>
    <row r="71" spans="3:4" x14ac:dyDescent="0.25">
      <c r="C71" s="115"/>
      <c r="D71" s="115"/>
    </row>
    <row r="72" spans="3:4" x14ac:dyDescent="0.25">
      <c r="C72" s="115"/>
      <c r="D72" s="115"/>
    </row>
    <row r="73" spans="3:4" x14ac:dyDescent="0.25">
      <c r="C73" s="115"/>
      <c r="D73" s="115"/>
    </row>
    <row r="74" spans="3:4" x14ac:dyDescent="0.25">
      <c r="C74" s="115"/>
      <c r="D74" s="115"/>
    </row>
    <row r="75" spans="3:4" x14ac:dyDescent="0.25">
      <c r="C75" s="115"/>
      <c r="D75" s="115"/>
    </row>
    <row r="76" spans="3:4" x14ac:dyDescent="0.25">
      <c r="C76" s="115"/>
      <c r="D76" s="115"/>
    </row>
    <row r="77" spans="3:4" x14ac:dyDescent="0.25">
      <c r="C77" s="115"/>
      <c r="D77" s="115"/>
    </row>
    <row r="78" spans="3:4" x14ac:dyDescent="0.25">
      <c r="C78" s="115"/>
      <c r="D78" s="115"/>
    </row>
    <row r="79" spans="3:4" x14ac:dyDescent="0.25">
      <c r="C79" s="115"/>
      <c r="D79" s="115"/>
    </row>
    <row r="80" spans="3:4" x14ac:dyDescent="0.25">
      <c r="C80" s="115"/>
      <c r="D80" s="115"/>
    </row>
    <row r="81" spans="3:4" x14ac:dyDescent="0.25">
      <c r="C81" s="115"/>
      <c r="D81" s="115"/>
    </row>
    <row r="82" spans="3:4" x14ac:dyDescent="0.25">
      <c r="C82" s="115"/>
      <c r="D82" s="115"/>
    </row>
    <row r="83" spans="3:4" x14ac:dyDescent="0.25">
      <c r="C83" s="115"/>
      <c r="D83" s="115"/>
    </row>
    <row r="84" spans="3:4" x14ac:dyDescent="0.25">
      <c r="C84" s="115"/>
      <c r="D84" s="115"/>
    </row>
    <row r="85" spans="3:4" x14ac:dyDescent="0.25">
      <c r="C85" s="115"/>
      <c r="D85" s="115"/>
    </row>
    <row r="86" spans="3:4" x14ac:dyDescent="0.25">
      <c r="C86" s="115"/>
      <c r="D86" s="115"/>
    </row>
    <row r="87" spans="3:4" x14ac:dyDescent="0.25">
      <c r="C87" s="115"/>
      <c r="D87" s="115"/>
    </row>
    <row r="88" spans="3:4" x14ac:dyDescent="0.25">
      <c r="C88" s="115"/>
      <c r="D88" s="115"/>
    </row>
    <row r="89" spans="3:4" x14ac:dyDescent="0.25">
      <c r="C89" s="115"/>
      <c r="D89" s="115"/>
    </row>
    <row r="90" spans="3:4" x14ac:dyDescent="0.25">
      <c r="C90" s="115"/>
      <c r="D90" s="115"/>
    </row>
    <row r="91" spans="3:4" x14ac:dyDescent="0.25">
      <c r="C91" s="115"/>
      <c r="D91" s="115"/>
    </row>
    <row r="92" spans="3:4" x14ac:dyDescent="0.25">
      <c r="C92" s="115"/>
      <c r="D92" s="115"/>
    </row>
    <row r="93" spans="3:4" x14ac:dyDescent="0.25">
      <c r="C93" s="115"/>
      <c r="D93" s="115"/>
    </row>
    <row r="94" spans="3:4" x14ac:dyDescent="0.25">
      <c r="C94" s="115"/>
      <c r="D94" s="115"/>
    </row>
    <row r="95" spans="3:4" x14ac:dyDescent="0.25">
      <c r="C95" s="115"/>
      <c r="D95" s="115"/>
    </row>
    <row r="96" spans="3:4" x14ac:dyDescent="0.25">
      <c r="C96" s="115"/>
      <c r="D96" s="115"/>
    </row>
    <row r="97" spans="3:4" x14ac:dyDescent="0.25">
      <c r="C97" s="115"/>
      <c r="D97" s="115"/>
    </row>
    <row r="98" spans="3:4" x14ac:dyDescent="0.25">
      <c r="C98" s="115"/>
      <c r="D98" s="115"/>
    </row>
    <row r="99" spans="3:4" x14ac:dyDescent="0.25">
      <c r="C99" s="115"/>
      <c r="D99" s="115"/>
    </row>
    <row r="100" spans="3:4" x14ac:dyDescent="0.25">
      <c r="C100" s="115"/>
      <c r="D100" s="115"/>
    </row>
    <row r="101" spans="3:4" x14ac:dyDescent="0.25">
      <c r="C101" s="115"/>
      <c r="D101" s="115"/>
    </row>
    <row r="102" spans="3:4" x14ac:dyDescent="0.25">
      <c r="C102" s="115"/>
      <c r="D102" s="115"/>
    </row>
    <row r="103" spans="3:4" x14ac:dyDescent="0.25">
      <c r="C103" s="115"/>
      <c r="D103" s="115"/>
    </row>
    <row r="104" spans="3:4" x14ac:dyDescent="0.25">
      <c r="C104" s="115"/>
      <c r="D104" s="115"/>
    </row>
    <row r="105" spans="3:4" x14ac:dyDescent="0.25">
      <c r="C105" s="115"/>
      <c r="D105" s="115"/>
    </row>
    <row r="106" spans="3:4" x14ac:dyDescent="0.25">
      <c r="C106" s="115"/>
      <c r="D106" s="115"/>
    </row>
    <row r="107" spans="3:4" x14ac:dyDescent="0.25">
      <c r="C107" s="115"/>
      <c r="D107" s="115"/>
    </row>
    <row r="108" spans="3:4" x14ac:dyDescent="0.25">
      <c r="C108" s="115"/>
      <c r="D108" s="115"/>
    </row>
    <row r="109" spans="3:4" x14ac:dyDescent="0.25">
      <c r="C109" s="115"/>
      <c r="D109" s="115"/>
    </row>
    <row r="110" spans="3:4" x14ac:dyDescent="0.25">
      <c r="C110" s="115"/>
      <c r="D110" s="115"/>
    </row>
    <row r="111" spans="3:4" x14ac:dyDescent="0.25">
      <c r="C111" s="115"/>
      <c r="D111" s="115"/>
    </row>
    <row r="112" spans="3:4" x14ac:dyDescent="0.25">
      <c r="C112" s="115"/>
      <c r="D112" s="115"/>
    </row>
    <row r="113" spans="3:4" x14ac:dyDescent="0.25">
      <c r="C113" s="115"/>
      <c r="D113" s="115"/>
    </row>
    <row r="114" spans="3:4" x14ac:dyDescent="0.25">
      <c r="C114" s="115"/>
      <c r="D114" s="115"/>
    </row>
    <row r="115" spans="3:4" x14ac:dyDescent="0.25">
      <c r="C115" s="115"/>
      <c r="D115" s="115"/>
    </row>
    <row r="116" spans="3:4" x14ac:dyDescent="0.25">
      <c r="C116" s="115"/>
      <c r="D116" s="115"/>
    </row>
    <row r="117" spans="3:4" x14ac:dyDescent="0.25">
      <c r="C117" s="115"/>
      <c r="D117" s="115"/>
    </row>
    <row r="118" spans="3:4" x14ac:dyDescent="0.25">
      <c r="C118" s="115"/>
      <c r="D118" s="115"/>
    </row>
    <row r="119" spans="3:4" x14ac:dyDescent="0.25">
      <c r="C119" s="115"/>
      <c r="D119" s="115"/>
    </row>
    <row r="120" spans="3:4" x14ac:dyDescent="0.25">
      <c r="C120" s="115"/>
      <c r="D120" s="115"/>
    </row>
    <row r="121" spans="3:4" x14ac:dyDescent="0.25">
      <c r="C121" s="115"/>
      <c r="D121" s="115"/>
    </row>
    <row r="122" spans="3:4" x14ac:dyDescent="0.25">
      <c r="C122" s="115"/>
      <c r="D122" s="115"/>
    </row>
    <row r="123" spans="3:4" x14ac:dyDescent="0.25">
      <c r="C123" s="115"/>
      <c r="D123" s="115"/>
    </row>
    <row r="124" spans="3:4" x14ac:dyDescent="0.25">
      <c r="C124" s="115"/>
      <c r="D124" s="115"/>
    </row>
    <row r="125" spans="3:4" x14ac:dyDescent="0.25">
      <c r="C125" s="115"/>
      <c r="D125" s="115"/>
    </row>
    <row r="126" spans="3:4" x14ac:dyDescent="0.25">
      <c r="C126" s="115"/>
      <c r="D126" s="115"/>
    </row>
    <row r="127" spans="3:4" x14ac:dyDescent="0.25">
      <c r="C127" s="115"/>
      <c r="D127" s="115"/>
    </row>
    <row r="128" spans="3:4" x14ac:dyDescent="0.25">
      <c r="C128" s="115"/>
      <c r="D128" s="115"/>
    </row>
    <row r="129" spans="3:4" x14ac:dyDescent="0.25">
      <c r="C129" s="115"/>
      <c r="D129" s="115"/>
    </row>
    <row r="130" spans="3:4" x14ac:dyDescent="0.25">
      <c r="C130" s="115"/>
      <c r="D130" s="115"/>
    </row>
    <row r="131" spans="3:4" x14ac:dyDescent="0.25">
      <c r="C131" s="115"/>
      <c r="D131" s="115"/>
    </row>
    <row r="132" spans="3:4" x14ac:dyDescent="0.25">
      <c r="C132" s="115"/>
      <c r="D132" s="115"/>
    </row>
    <row r="133" spans="3:4" x14ac:dyDescent="0.25">
      <c r="C133" s="115"/>
      <c r="D133" s="115"/>
    </row>
    <row r="134" spans="3:4" x14ac:dyDescent="0.25">
      <c r="C134" s="115"/>
      <c r="D134" s="115"/>
    </row>
    <row r="135" spans="3:4" x14ac:dyDescent="0.25">
      <c r="C135" s="115"/>
      <c r="D135" s="115"/>
    </row>
    <row r="136" spans="3:4" x14ac:dyDescent="0.25">
      <c r="C136" s="115"/>
      <c r="D136" s="115"/>
    </row>
    <row r="137" spans="3:4" x14ac:dyDescent="0.25">
      <c r="C137" s="115"/>
      <c r="D137" s="115"/>
    </row>
    <row r="138" spans="3:4" x14ac:dyDescent="0.25">
      <c r="C138" s="115"/>
      <c r="D138" s="115"/>
    </row>
    <row r="139" spans="3:4" x14ac:dyDescent="0.25">
      <c r="C139" s="115"/>
      <c r="D139" s="115"/>
    </row>
    <row r="140" spans="3:4" x14ac:dyDescent="0.25">
      <c r="C140" s="115"/>
      <c r="D140" s="115"/>
    </row>
    <row r="141" spans="3:4" x14ac:dyDescent="0.25">
      <c r="C141" s="115"/>
      <c r="D141" s="115"/>
    </row>
    <row r="142" spans="3:4" x14ac:dyDescent="0.25">
      <c r="C142" s="115"/>
      <c r="D142" s="115"/>
    </row>
    <row r="143" spans="3:4" x14ac:dyDescent="0.25">
      <c r="C143" s="115"/>
      <c r="D143" s="115"/>
    </row>
    <row r="144" spans="3:4" x14ac:dyDescent="0.25">
      <c r="C144" s="115"/>
      <c r="D144" s="115"/>
    </row>
    <row r="145" spans="3:4" x14ac:dyDescent="0.25">
      <c r="C145" s="115"/>
      <c r="D145" s="115"/>
    </row>
    <row r="146" spans="3:4" x14ac:dyDescent="0.25">
      <c r="C146" s="115"/>
      <c r="D146" s="115"/>
    </row>
    <row r="147" spans="3:4" x14ac:dyDescent="0.25">
      <c r="C147" s="115"/>
      <c r="D147" s="115"/>
    </row>
    <row r="148" spans="3:4" x14ac:dyDescent="0.25">
      <c r="C148" s="115"/>
      <c r="D148" s="115"/>
    </row>
    <row r="149" spans="3:4" x14ac:dyDescent="0.25">
      <c r="C149" s="115"/>
      <c r="D149" s="115"/>
    </row>
    <row r="150" spans="3:4" x14ac:dyDescent="0.25">
      <c r="C150" s="115"/>
      <c r="D150" s="115"/>
    </row>
    <row r="151" spans="3:4" x14ac:dyDescent="0.25">
      <c r="C151" s="115"/>
      <c r="D151" s="115"/>
    </row>
    <row r="152" spans="3:4" x14ac:dyDescent="0.25">
      <c r="C152" s="115"/>
      <c r="D152" s="115"/>
    </row>
    <row r="153" spans="3:4" x14ac:dyDescent="0.25">
      <c r="C153" s="115"/>
      <c r="D153" s="115"/>
    </row>
    <row r="154" spans="3:4" x14ac:dyDescent="0.25">
      <c r="C154" s="115"/>
      <c r="D154" s="115"/>
    </row>
    <row r="155" spans="3:4" x14ac:dyDescent="0.25">
      <c r="C155" s="115"/>
      <c r="D155" s="115"/>
    </row>
    <row r="156" spans="3:4" x14ac:dyDescent="0.25">
      <c r="C156" s="115"/>
      <c r="D156" s="115"/>
    </row>
    <row r="157" spans="3:4" x14ac:dyDescent="0.25">
      <c r="C157" s="115"/>
      <c r="D157" s="115"/>
    </row>
    <row r="158" spans="3:4" x14ac:dyDescent="0.25">
      <c r="C158" s="115"/>
      <c r="D158" s="115"/>
    </row>
    <row r="159" spans="3:4" x14ac:dyDescent="0.25">
      <c r="C159" s="115"/>
      <c r="D159" s="115"/>
    </row>
    <row r="160" spans="3:4" x14ac:dyDescent="0.25">
      <c r="C160" s="115"/>
      <c r="D160" s="115"/>
    </row>
    <row r="161" spans="3:4" x14ac:dyDescent="0.25">
      <c r="C161" s="115"/>
      <c r="D161" s="115"/>
    </row>
    <row r="162" spans="3:4" x14ac:dyDescent="0.25">
      <c r="C162" s="115"/>
      <c r="D162" s="115"/>
    </row>
    <row r="163" spans="3:4" x14ac:dyDescent="0.25">
      <c r="C163" s="115"/>
      <c r="D163" s="115"/>
    </row>
    <row r="164" spans="3:4" x14ac:dyDescent="0.25">
      <c r="C164" s="115"/>
      <c r="D164" s="115"/>
    </row>
    <row r="165" spans="3:4" x14ac:dyDescent="0.25">
      <c r="C165" s="115"/>
      <c r="D165" s="115"/>
    </row>
    <row r="166" spans="3:4" x14ac:dyDescent="0.25">
      <c r="C166" s="115"/>
      <c r="D166" s="115"/>
    </row>
    <row r="167" spans="3:4" x14ac:dyDescent="0.25">
      <c r="C167" s="115"/>
      <c r="D167" s="115"/>
    </row>
    <row r="168" spans="3:4" x14ac:dyDescent="0.25">
      <c r="C168" s="115"/>
      <c r="D168" s="115"/>
    </row>
    <row r="169" spans="3:4" x14ac:dyDescent="0.25">
      <c r="C169" s="115"/>
      <c r="D169" s="115"/>
    </row>
    <row r="170" spans="3:4" x14ac:dyDescent="0.25">
      <c r="C170" s="115"/>
      <c r="D170" s="115"/>
    </row>
    <row r="171" spans="3:4" x14ac:dyDescent="0.25">
      <c r="C171" s="115"/>
      <c r="D171" s="115"/>
    </row>
    <row r="172" spans="3:4" x14ac:dyDescent="0.25">
      <c r="C172" s="115"/>
      <c r="D172" s="115"/>
    </row>
    <row r="173" spans="3:4" x14ac:dyDescent="0.25">
      <c r="C173" s="115"/>
      <c r="D173" s="115"/>
    </row>
    <row r="174" spans="3:4" x14ac:dyDescent="0.25">
      <c r="C174" s="115"/>
      <c r="D174" s="115"/>
    </row>
    <row r="175" spans="3:4" x14ac:dyDescent="0.25">
      <c r="C175" s="115"/>
      <c r="D175" s="115"/>
    </row>
    <row r="176" spans="3:4" x14ac:dyDescent="0.25">
      <c r="C176" s="115"/>
      <c r="D176" s="115"/>
    </row>
    <row r="177" spans="3:4" x14ac:dyDescent="0.25">
      <c r="C177" s="115"/>
      <c r="D177" s="115"/>
    </row>
    <row r="178" spans="3:4" x14ac:dyDescent="0.25">
      <c r="C178" s="115"/>
      <c r="D178" s="115"/>
    </row>
    <row r="179" spans="3:4" x14ac:dyDescent="0.25">
      <c r="C179" s="115"/>
      <c r="D179" s="115"/>
    </row>
    <row r="180" spans="3:4" x14ac:dyDescent="0.25">
      <c r="C180" s="115"/>
      <c r="D180" s="115"/>
    </row>
    <row r="181" spans="3:4" x14ac:dyDescent="0.25">
      <c r="C181" s="115"/>
      <c r="D181" s="115"/>
    </row>
    <row r="182" spans="3:4" x14ac:dyDescent="0.25">
      <c r="C182" s="115"/>
      <c r="D182" s="115"/>
    </row>
    <row r="183" spans="3:4" x14ac:dyDescent="0.25">
      <c r="C183" s="115"/>
      <c r="D183" s="115"/>
    </row>
    <row r="184" spans="3:4" x14ac:dyDescent="0.25">
      <c r="C184" s="115"/>
      <c r="D184" s="115"/>
    </row>
    <row r="185" spans="3:4" x14ac:dyDescent="0.25">
      <c r="C185" s="115"/>
      <c r="D185" s="115"/>
    </row>
    <row r="186" spans="3:4" x14ac:dyDescent="0.25">
      <c r="C186" s="115"/>
      <c r="D186" s="115"/>
    </row>
    <row r="187" spans="3:4" x14ac:dyDescent="0.25">
      <c r="C187" s="115"/>
      <c r="D187" s="115"/>
    </row>
    <row r="188" spans="3:4" x14ac:dyDescent="0.25">
      <c r="C188" s="115"/>
      <c r="D188" s="115"/>
    </row>
    <row r="189" spans="3:4" x14ac:dyDescent="0.25">
      <c r="C189" s="115"/>
      <c r="D189" s="115"/>
    </row>
    <row r="190" spans="3:4" x14ac:dyDescent="0.25">
      <c r="C190" s="115"/>
      <c r="D190" s="115"/>
    </row>
    <row r="191" spans="3:4" x14ac:dyDescent="0.25">
      <c r="C191" s="115"/>
      <c r="D191" s="115"/>
    </row>
    <row r="192" spans="3:4" x14ac:dyDescent="0.25">
      <c r="C192" s="115"/>
      <c r="D192" s="115"/>
    </row>
    <row r="193" spans="3:4" x14ac:dyDescent="0.25">
      <c r="C193" s="115"/>
      <c r="D193" s="115"/>
    </row>
    <row r="194" spans="3:4" x14ac:dyDescent="0.25">
      <c r="C194" s="115"/>
      <c r="D194" s="115"/>
    </row>
    <row r="195" spans="3:4" x14ac:dyDescent="0.25">
      <c r="C195" s="115"/>
      <c r="D195" s="115"/>
    </row>
    <row r="196" spans="3:4" x14ac:dyDescent="0.25">
      <c r="C196" s="115"/>
      <c r="D196" s="115"/>
    </row>
    <row r="197" spans="3:4" x14ac:dyDescent="0.25">
      <c r="C197" s="115"/>
      <c r="D197" s="115"/>
    </row>
    <row r="198" spans="3:4" x14ac:dyDescent="0.25">
      <c r="C198" s="115"/>
      <c r="D198" s="115"/>
    </row>
    <row r="199" spans="3:4" x14ac:dyDescent="0.25">
      <c r="C199" s="115"/>
      <c r="D199" s="115"/>
    </row>
    <row r="200" spans="3:4" x14ac:dyDescent="0.25">
      <c r="C200" s="115"/>
      <c r="D200" s="115"/>
    </row>
    <row r="201" spans="3:4" x14ac:dyDescent="0.25">
      <c r="C201" s="115"/>
      <c r="D201" s="115"/>
    </row>
    <row r="202" spans="3:4" x14ac:dyDescent="0.25">
      <c r="C202" s="115"/>
      <c r="D202" s="115"/>
    </row>
    <row r="203" spans="3:4" x14ac:dyDescent="0.25">
      <c r="C203" s="115"/>
      <c r="D203" s="115"/>
    </row>
    <row r="204" spans="3:4" x14ac:dyDescent="0.25">
      <c r="C204" s="115"/>
      <c r="D204" s="115"/>
    </row>
    <row r="205" spans="3:4" x14ac:dyDescent="0.25">
      <c r="C205" s="115"/>
      <c r="D205" s="115"/>
    </row>
    <row r="206" spans="3:4" x14ac:dyDescent="0.25">
      <c r="C206" s="115"/>
      <c r="D206" s="115"/>
    </row>
    <row r="207" spans="3:4" x14ac:dyDescent="0.25">
      <c r="C207" s="115"/>
      <c r="D207" s="115"/>
    </row>
    <row r="208" spans="3:4" x14ac:dyDescent="0.25">
      <c r="C208" s="115"/>
      <c r="D208" s="115"/>
    </row>
    <row r="209" spans="3:4" x14ac:dyDescent="0.25">
      <c r="C209" s="115"/>
      <c r="D209" s="115"/>
    </row>
    <row r="210" spans="3:4" x14ac:dyDescent="0.25">
      <c r="C210" s="115"/>
      <c r="D210" s="115"/>
    </row>
    <row r="211" spans="3:4" x14ac:dyDescent="0.25">
      <c r="C211" s="115"/>
      <c r="D211" s="115"/>
    </row>
    <row r="212" spans="3:4" x14ac:dyDescent="0.25">
      <c r="C212" s="115"/>
      <c r="D212" s="115"/>
    </row>
    <row r="213" spans="3:4" x14ac:dyDescent="0.25">
      <c r="C213" s="115"/>
      <c r="D213" s="115"/>
    </row>
    <row r="214" spans="3:4" x14ac:dyDescent="0.25">
      <c r="C214" s="115"/>
      <c r="D214" s="115"/>
    </row>
    <row r="215" spans="3:4" x14ac:dyDescent="0.25">
      <c r="C215" s="115"/>
      <c r="D215" s="115"/>
    </row>
    <row r="216" spans="3:4" x14ac:dyDescent="0.25">
      <c r="C216" s="115"/>
      <c r="D216" s="115"/>
    </row>
    <row r="217" spans="3:4" x14ac:dyDescent="0.25">
      <c r="C217" s="115"/>
      <c r="D217" s="115"/>
    </row>
    <row r="218" spans="3:4" x14ac:dyDescent="0.25">
      <c r="C218" s="115"/>
      <c r="D218" s="115"/>
    </row>
    <row r="219" spans="3:4" x14ac:dyDescent="0.25">
      <c r="C219" s="115"/>
      <c r="D219" s="115"/>
    </row>
    <row r="220" spans="3:4" x14ac:dyDescent="0.25">
      <c r="C220" s="115"/>
      <c r="D220" s="115"/>
    </row>
    <row r="221" spans="3:4" x14ac:dyDescent="0.25">
      <c r="C221" s="115"/>
      <c r="D221" s="115"/>
    </row>
    <row r="222" spans="3:4" x14ac:dyDescent="0.25">
      <c r="C222" s="115"/>
      <c r="D222" s="115"/>
    </row>
    <row r="223" spans="3:4" x14ac:dyDescent="0.25">
      <c r="C223" s="115"/>
      <c r="D223" s="115"/>
    </row>
    <row r="224" spans="3:4" x14ac:dyDescent="0.25">
      <c r="C224" s="115"/>
      <c r="D224" s="115"/>
    </row>
    <row r="225" spans="3:4" x14ac:dyDescent="0.25">
      <c r="C225" s="115"/>
      <c r="D225" s="115"/>
    </row>
    <row r="226" spans="3:4" x14ac:dyDescent="0.25">
      <c r="C226" s="115"/>
      <c r="D226" s="115"/>
    </row>
    <row r="227" spans="3:4" x14ac:dyDescent="0.25">
      <c r="C227" s="115"/>
      <c r="D227" s="115"/>
    </row>
    <row r="228" spans="3:4" x14ac:dyDescent="0.25">
      <c r="C228" s="115"/>
      <c r="D228" s="115"/>
    </row>
    <row r="229" spans="3:4" x14ac:dyDescent="0.25">
      <c r="C229" s="115"/>
      <c r="D229" s="115"/>
    </row>
    <row r="230" spans="3:4" x14ac:dyDescent="0.25">
      <c r="C230" s="115"/>
      <c r="D230" s="115"/>
    </row>
    <row r="231" spans="3:4" x14ac:dyDescent="0.25">
      <c r="C231" s="115"/>
      <c r="D231" s="115"/>
    </row>
    <row r="232" spans="3:4" x14ac:dyDescent="0.25">
      <c r="C232" s="115"/>
      <c r="D232" s="115"/>
    </row>
    <row r="233" spans="3:4" x14ac:dyDescent="0.25">
      <c r="C233" s="115"/>
      <c r="D233" s="115"/>
    </row>
    <row r="234" spans="3:4" x14ac:dyDescent="0.25">
      <c r="C234" s="115"/>
      <c r="D234" s="115"/>
    </row>
    <row r="235" spans="3:4" x14ac:dyDescent="0.25">
      <c r="C235" s="115"/>
      <c r="D235" s="115"/>
    </row>
    <row r="236" spans="3:4" x14ac:dyDescent="0.25">
      <c r="C236" s="115"/>
      <c r="D236" s="115"/>
    </row>
    <row r="237" spans="3:4" x14ac:dyDescent="0.25">
      <c r="C237" s="115"/>
      <c r="D237" s="115"/>
    </row>
    <row r="238" spans="3:4" x14ac:dyDescent="0.25">
      <c r="C238" s="115"/>
      <c r="D238" s="115"/>
    </row>
    <row r="239" spans="3:4" x14ac:dyDescent="0.25">
      <c r="C239" s="115"/>
      <c r="D239" s="115"/>
    </row>
    <row r="240" spans="3:4" x14ac:dyDescent="0.25">
      <c r="C240" s="115"/>
      <c r="D240" s="115"/>
    </row>
    <row r="241" spans="3:4" x14ac:dyDescent="0.25">
      <c r="C241" s="115"/>
      <c r="D241" s="115"/>
    </row>
    <row r="242" spans="3:4" x14ac:dyDescent="0.25">
      <c r="C242" s="115"/>
      <c r="D242" s="115"/>
    </row>
    <row r="243" spans="3:4" x14ac:dyDescent="0.25">
      <c r="C243" s="115"/>
      <c r="D243" s="115"/>
    </row>
    <row r="244" spans="3:4" x14ac:dyDescent="0.25">
      <c r="C244" s="115"/>
      <c r="D244" s="115"/>
    </row>
    <row r="245" spans="3:4" x14ac:dyDescent="0.25">
      <c r="C245" s="115"/>
      <c r="D245" s="115"/>
    </row>
    <row r="246" spans="3:4" x14ac:dyDescent="0.25">
      <c r="C246" s="115"/>
      <c r="D246" s="115"/>
    </row>
    <row r="247" spans="3:4" x14ac:dyDescent="0.25">
      <c r="C247" s="115"/>
      <c r="D247" s="115"/>
    </row>
    <row r="248" spans="3:4" x14ac:dyDescent="0.25">
      <c r="C248" s="115"/>
      <c r="D248" s="115"/>
    </row>
    <row r="249" spans="3:4" x14ac:dyDescent="0.25">
      <c r="C249" s="115"/>
      <c r="D249" s="115"/>
    </row>
    <row r="250" spans="3:4" x14ac:dyDescent="0.25">
      <c r="C250" s="115"/>
      <c r="D250" s="115"/>
    </row>
    <row r="251" spans="3:4" x14ac:dyDescent="0.25">
      <c r="C251" s="115"/>
      <c r="D251" s="115"/>
    </row>
    <row r="252" spans="3:4" x14ac:dyDescent="0.25">
      <c r="C252" s="115"/>
      <c r="D252" s="115"/>
    </row>
    <row r="253" spans="3:4" x14ac:dyDescent="0.25">
      <c r="C253" s="115"/>
      <c r="D253" s="115"/>
    </row>
    <row r="254" spans="3:4" x14ac:dyDescent="0.25">
      <c r="C254" s="115"/>
      <c r="D254" s="115"/>
    </row>
    <row r="255" spans="3:4" x14ac:dyDescent="0.25">
      <c r="C255" s="115"/>
      <c r="D255" s="115"/>
    </row>
    <row r="256" spans="3:4" x14ac:dyDescent="0.25">
      <c r="C256" s="115"/>
      <c r="D256" s="115"/>
    </row>
    <row r="257" spans="3:4" x14ac:dyDescent="0.25">
      <c r="C257" s="115"/>
      <c r="D257" s="115"/>
    </row>
    <row r="258" spans="3:4" x14ac:dyDescent="0.25">
      <c r="C258" s="115"/>
      <c r="D258" s="115"/>
    </row>
    <row r="259" spans="3:4" x14ac:dyDescent="0.25">
      <c r="C259" s="115"/>
      <c r="D259" s="115"/>
    </row>
    <row r="260" spans="3:4" x14ac:dyDescent="0.25">
      <c r="C260" s="115"/>
      <c r="D260" s="115"/>
    </row>
    <row r="261" spans="3:4" x14ac:dyDescent="0.25">
      <c r="C261" s="115"/>
      <c r="D261" s="115"/>
    </row>
    <row r="262" spans="3:4" x14ac:dyDescent="0.25">
      <c r="C262" s="115"/>
      <c r="D262" s="115"/>
    </row>
    <row r="263" spans="3:4" x14ac:dyDescent="0.25">
      <c r="C263" s="115"/>
      <c r="D263" s="115"/>
    </row>
    <row r="264" spans="3:4" x14ac:dyDescent="0.25">
      <c r="C264" s="115"/>
      <c r="D264" s="115"/>
    </row>
    <row r="265" spans="3:4" x14ac:dyDescent="0.25">
      <c r="C265" s="115"/>
      <c r="D265" s="115"/>
    </row>
    <row r="266" spans="3:4" x14ac:dyDescent="0.25">
      <c r="C266" s="115"/>
      <c r="D266" s="115"/>
    </row>
    <row r="267" spans="3:4" x14ac:dyDescent="0.25">
      <c r="C267" s="115"/>
      <c r="D267" s="115"/>
    </row>
    <row r="268" spans="3:4" x14ac:dyDescent="0.25">
      <c r="C268" s="115"/>
      <c r="D268" s="115"/>
    </row>
    <row r="269" spans="3:4" x14ac:dyDescent="0.25">
      <c r="C269" s="115"/>
      <c r="D269" s="115"/>
    </row>
    <row r="270" spans="3:4" x14ac:dyDescent="0.25">
      <c r="C270" s="115"/>
      <c r="D270" s="115"/>
    </row>
    <row r="271" spans="3:4" x14ac:dyDescent="0.25">
      <c r="C271" s="115"/>
      <c r="D271" s="115"/>
    </row>
    <row r="272" spans="3:4" x14ac:dyDescent="0.25">
      <c r="C272" s="115"/>
      <c r="D272" s="115"/>
    </row>
    <row r="273" spans="3:4" x14ac:dyDescent="0.25">
      <c r="C273" s="115"/>
      <c r="D273" s="115"/>
    </row>
    <row r="274" spans="3:4" x14ac:dyDescent="0.25">
      <c r="C274" s="115"/>
      <c r="D274" s="115"/>
    </row>
    <row r="275" spans="3:4" x14ac:dyDescent="0.25">
      <c r="C275" s="115"/>
      <c r="D275" s="115"/>
    </row>
    <row r="276" spans="3:4" x14ac:dyDescent="0.25">
      <c r="C276" s="115"/>
      <c r="D276" s="115"/>
    </row>
    <row r="277" spans="3:4" x14ac:dyDescent="0.25">
      <c r="C277" s="115"/>
      <c r="D277" s="115"/>
    </row>
    <row r="278" spans="3:4" x14ac:dyDescent="0.25">
      <c r="C278" s="115"/>
      <c r="D278" s="115"/>
    </row>
    <row r="279" spans="3:4" x14ac:dyDescent="0.25">
      <c r="C279" s="115"/>
      <c r="D279" s="115"/>
    </row>
    <row r="280" spans="3:4" x14ac:dyDescent="0.25">
      <c r="C280" s="115"/>
      <c r="D280" s="115"/>
    </row>
    <row r="281" spans="3:4" x14ac:dyDescent="0.25">
      <c r="C281" s="115"/>
      <c r="D281" s="115"/>
    </row>
    <row r="282" spans="3:4" x14ac:dyDescent="0.25">
      <c r="C282" s="115"/>
      <c r="D282" s="115"/>
    </row>
    <row r="283" spans="3:4" x14ac:dyDescent="0.25">
      <c r="C283" s="115"/>
      <c r="D283" s="115"/>
    </row>
    <row r="284" spans="3:4" x14ac:dyDescent="0.25">
      <c r="C284" s="115"/>
      <c r="D284" s="115"/>
    </row>
    <row r="285" spans="3:4" x14ac:dyDescent="0.25">
      <c r="C285" s="115"/>
      <c r="D285" s="115"/>
    </row>
    <row r="286" spans="3:4" x14ac:dyDescent="0.25">
      <c r="C286" s="115"/>
      <c r="D286" s="115"/>
    </row>
    <row r="287" spans="3:4" x14ac:dyDescent="0.25">
      <c r="C287" s="115"/>
      <c r="D287" s="115"/>
    </row>
    <row r="288" spans="3:4" x14ac:dyDescent="0.25">
      <c r="C288" s="115"/>
      <c r="D288" s="115"/>
    </row>
    <row r="289" spans="3:4" x14ac:dyDescent="0.25">
      <c r="C289" s="115"/>
      <c r="D289" s="115"/>
    </row>
    <row r="290" spans="3:4" x14ac:dyDescent="0.25">
      <c r="C290" s="115"/>
      <c r="D290" s="115"/>
    </row>
    <row r="291" spans="3:4" x14ac:dyDescent="0.25">
      <c r="C291" s="115"/>
      <c r="D291" s="115"/>
    </row>
    <row r="292" spans="3:4" x14ac:dyDescent="0.25">
      <c r="C292" s="115"/>
      <c r="D292" s="115"/>
    </row>
    <row r="293" spans="3:4" x14ac:dyDescent="0.25">
      <c r="C293" s="115"/>
      <c r="D293" s="115"/>
    </row>
    <row r="294" spans="3:4" x14ac:dyDescent="0.25">
      <c r="C294" s="115"/>
      <c r="D294" s="115"/>
    </row>
    <row r="295" spans="3:4" x14ac:dyDescent="0.25">
      <c r="C295" s="115"/>
      <c r="D295" s="115"/>
    </row>
    <row r="296" spans="3:4" x14ac:dyDescent="0.25">
      <c r="C296" s="115"/>
      <c r="D296" s="115"/>
    </row>
    <row r="297" spans="3:4" x14ac:dyDescent="0.25">
      <c r="C297" s="115"/>
      <c r="D297" s="115"/>
    </row>
    <row r="298" spans="3:4" x14ac:dyDescent="0.25">
      <c r="C298" s="115"/>
      <c r="D298" s="115"/>
    </row>
    <row r="299" spans="3:4" x14ac:dyDescent="0.25">
      <c r="C299" s="115"/>
      <c r="D299" s="115"/>
    </row>
    <row r="300" spans="3:4" x14ac:dyDescent="0.25">
      <c r="C300" s="115"/>
      <c r="D300" s="115"/>
    </row>
    <row r="301" spans="3:4" x14ac:dyDescent="0.25">
      <c r="C301" s="115"/>
      <c r="D301" s="115"/>
    </row>
    <row r="302" spans="3:4" x14ac:dyDescent="0.25">
      <c r="C302" s="115"/>
      <c r="D302" s="115"/>
    </row>
    <row r="303" spans="3:4" x14ac:dyDescent="0.25">
      <c r="C303" s="115"/>
      <c r="D303" s="115"/>
    </row>
    <row r="304" spans="3:4" x14ac:dyDescent="0.25">
      <c r="C304" s="115"/>
      <c r="D304" s="115"/>
    </row>
    <row r="305" spans="3:4" x14ac:dyDescent="0.25">
      <c r="C305" s="115"/>
      <c r="D305" s="115"/>
    </row>
    <row r="306" spans="3:4" x14ac:dyDescent="0.25">
      <c r="C306" s="115"/>
      <c r="D306" s="115"/>
    </row>
    <row r="307" spans="3:4" x14ac:dyDescent="0.25">
      <c r="C307" s="115"/>
      <c r="D307" s="115"/>
    </row>
    <row r="308" spans="3:4" x14ac:dyDescent="0.25">
      <c r="C308" s="115"/>
      <c r="D308" s="115"/>
    </row>
    <row r="309" spans="3:4" x14ac:dyDescent="0.25">
      <c r="C309" s="115"/>
      <c r="D309" s="115"/>
    </row>
    <row r="310" spans="3:4" x14ac:dyDescent="0.25">
      <c r="C310" s="115"/>
      <c r="D310" s="115"/>
    </row>
    <row r="311" spans="3:4" x14ac:dyDescent="0.25">
      <c r="C311" s="115"/>
      <c r="D311" s="115"/>
    </row>
    <row r="312" spans="3:4" x14ac:dyDescent="0.25">
      <c r="C312" s="115"/>
      <c r="D312" s="115"/>
    </row>
    <row r="313" spans="3:4" x14ac:dyDescent="0.25">
      <c r="C313" s="115"/>
      <c r="D313" s="115"/>
    </row>
    <row r="314" spans="3:4" x14ac:dyDescent="0.25">
      <c r="C314" s="115"/>
      <c r="D314" s="115"/>
    </row>
    <row r="315" spans="3:4" x14ac:dyDescent="0.25">
      <c r="C315" s="115"/>
      <c r="D315" s="115"/>
    </row>
    <row r="316" spans="3:4" x14ac:dyDescent="0.25">
      <c r="C316" s="115"/>
      <c r="D316" s="115"/>
    </row>
    <row r="317" spans="3:4" x14ac:dyDescent="0.25">
      <c r="C317" s="115"/>
      <c r="D317" s="115"/>
    </row>
    <row r="318" spans="3:4" x14ac:dyDescent="0.25">
      <c r="C318" s="115"/>
      <c r="D318" s="115"/>
    </row>
    <row r="319" spans="3:4" x14ac:dyDescent="0.25">
      <c r="C319" s="115"/>
      <c r="D319" s="115"/>
    </row>
    <row r="320" spans="3:4" x14ac:dyDescent="0.25">
      <c r="C320" s="115"/>
      <c r="D320" s="115"/>
    </row>
    <row r="321" spans="3:4" x14ac:dyDescent="0.25">
      <c r="C321" s="115"/>
      <c r="D321" s="115"/>
    </row>
    <row r="322" spans="3:4" x14ac:dyDescent="0.25">
      <c r="C322" s="115"/>
      <c r="D322" s="115"/>
    </row>
    <row r="323" spans="3:4" x14ac:dyDescent="0.25">
      <c r="C323" s="115"/>
      <c r="D323" s="115"/>
    </row>
    <row r="324" spans="3:4" x14ac:dyDescent="0.25">
      <c r="C324" s="115"/>
      <c r="D324" s="115"/>
    </row>
    <row r="325" spans="3:4" x14ac:dyDescent="0.25">
      <c r="C325" s="115"/>
      <c r="D325" s="115"/>
    </row>
    <row r="326" spans="3:4" x14ac:dyDescent="0.25">
      <c r="C326" s="115"/>
      <c r="D326" s="115"/>
    </row>
    <row r="327" spans="3:4" x14ac:dyDescent="0.25">
      <c r="C327" s="115"/>
      <c r="D327" s="115"/>
    </row>
    <row r="328" spans="3:4" x14ac:dyDescent="0.25">
      <c r="C328" s="115"/>
      <c r="D328" s="115"/>
    </row>
    <row r="329" spans="3:4" x14ac:dyDescent="0.25">
      <c r="C329" s="115"/>
      <c r="D329" s="115"/>
    </row>
    <row r="330" spans="3:4" x14ac:dyDescent="0.25">
      <c r="C330" s="115"/>
      <c r="D330" s="115"/>
    </row>
    <row r="331" spans="3:4" x14ac:dyDescent="0.25">
      <c r="C331" s="115"/>
      <c r="D331" s="115"/>
    </row>
    <row r="332" spans="3:4" x14ac:dyDescent="0.25">
      <c r="C332" s="115"/>
      <c r="D332" s="115"/>
    </row>
    <row r="333" spans="3:4" x14ac:dyDescent="0.25">
      <c r="C333" s="115"/>
      <c r="D333" s="115"/>
    </row>
    <row r="334" spans="3:4" x14ac:dyDescent="0.25">
      <c r="C334" s="115"/>
      <c r="D334" s="115"/>
    </row>
    <row r="335" spans="3:4" x14ac:dyDescent="0.25">
      <c r="C335" s="115"/>
      <c r="D335" s="115"/>
    </row>
    <row r="336" spans="3:4" x14ac:dyDescent="0.25">
      <c r="C336" s="115"/>
      <c r="D336" s="115"/>
    </row>
    <row r="337" spans="3:4" x14ac:dyDescent="0.25">
      <c r="C337" s="115"/>
      <c r="D337" s="115"/>
    </row>
    <row r="338" spans="3:4" x14ac:dyDescent="0.25">
      <c r="C338" s="115"/>
      <c r="D338" s="115"/>
    </row>
    <row r="339" spans="3:4" x14ac:dyDescent="0.25">
      <c r="C339" s="115"/>
      <c r="D339" s="115"/>
    </row>
    <row r="340" spans="3:4" x14ac:dyDescent="0.25">
      <c r="C340" s="115"/>
      <c r="D340" s="115"/>
    </row>
    <row r="341" spans="3:4" x14ac:dyDescent="0.25">
      <c r="C341" s="115"/>
      <c r="D341" s="115"/>
    </row>
    <row r="342" spans="3:4" x14ac:dyDescent="0.25">
      <c r="C342" s="115"/>
      <c r="D342" s="115"/>
    </row>
    <row r="343" spans="3:4" x14ac:dyDescent="0.25">
      <c r="C343" s="115"/>
      <c r="D343" s="115"/>
    </row>
    <row r="344" spans="3:4" x14ac:dyDescent="0.25">
      <c r="C344" s="115"/>
      <c r="D344" s="115"/>
    </row>
    <row r="345" spans="3:4" x14ac:dyDescent="0.25">
      <c r="C345" s="115"/>
      <c r="D345" s="115"/>
    </row>
    <row r="346" spans="3:4" x14ac:dyDescent="0.25">
      <c r="C346" s="115"/>
      <c r="D346" s="115"/>
    </row>
    <row r="347" spans="3:4" x14ac:dyDescent="0.25">
      <c r="C347" s="115"/>
      <c r="D347" s="115"/>
    </row>
    <row r="348" spans="3:4" x14ac:dyDescent="0.25">
      <c r="C348" s="115"/>
      <c r="D348" s="115"/>
    </row>
    <row r="349" spans="3:4" x14ac:dyDescent="0.25">
      <c r="C349" s="115"/>
      <c r="D349" s="115"/>
    </row>
    <row r="350" spans="3:4" x14ac:dyDescent="0.25">
      <c r="C350" s="115"/>
      <c r="D350" s="115"/>
    </row>
    <row r="351" spans="3:4" x14ac:dyDescent="0.25">
      <c r="C351" s="115"/>
      <c r="D351" s="115"/>
    </row>
    <row r="352" spans="3:4" x14ac:dyDescent="0.25">
      <c r="C352" s="115"/>
      <c r="D352" s="115"/>
    </row>
    <row r="353" spans="3:4" x14ac:dyDescent="0.25">
      <c r="C353" s="115"/>
      <c r="D353" s="115"/>
    </row>
    <row r="354" spans="3:4" x14ac:dyDescent="0.25">
      <c r="C354" s="115"/>
      <c r="D354" s="115"/>
    </row>
    <row r="355" spans="3:4" x14ac:dyDescent="0.25">
      <c r="C355" s="115"/>
      <c r="D355" s="115"/>
    </row>
    <row r="356" spans="3:4" x14ac:dyDescent="0.25">
      <c r="C356" s="115"/>
      <c r="D356" s="115"/>
    </row>
    <row r="357" spans="3:4" x14ac:dyDescent="0.25">
      <c r="C357" s="115"/>
      <c r="D357" s="115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FF64E-6F6C-4FE8-B78C-5353E158E9AD}">
  <sheetPr codeName="Sheet22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6" bestFit="1" customWidth="1"/>
    <col min="3" max="3" width="8.625" style="87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0" t="s">
        <v>532</v>
      </c>
      <c r="E1" s="181" t="s">
        <v>533</v>
      </c>
    </row>
    <row r="2" spans="1:5" x14ac:dyDescent="0.25">
      <c r="A2" s="119" t="s">
        <v>643</v>
      </c>
      <c r="B2" s="135">
        <v>16</v>
      </c>
      <c r="C2" s="135">
        <v>36</v>
      </c>
      <c r="D2" s="112">
        <v>10</v>
      </c>
      <c r="E2" s="181"/>
    </row>
    <row r="3" spans="1:5" ht="18.75" x14ac:dyDescent="0.25">
      <c r="A3" s="120" t="s">
        <v>534</v>
      </c>
      <c r="B3" s="113" t="s">
        <v>535</v>
      </c>
      <c r="C3" s="113" t="s">
        <v>536</v>
      </c>
      <c r="D3" s="113" t="s">
        <v>537</v>
      </c>
    </row>
    <row r="4" spans="1:5" x14ac:dyDescent="0.25">
      <c r="A4" s="136">
        <v>16</v>
      </c>
      <c r="B4" s="114">
        <v>7.2391419841818347</v>
      </c>
      <c r="C4" s="136">
        <v>28.41836508397434</v>
      </c>
      <c r="D4" s="136">
        <v>9.6787497709250925</v>
      </c>
    </row>
    <row r="5" spans="1:5" x14ac:dyDescent="0.25">
      <c r="A5" s="136">
        <v>18</v>
      </c>
      <c r="B5" s="114">
        <v>6.7490276412749033</v>
      </c>
      <c r="C5" s="115"/>
      <c r="D5" s="115"/>
    </row>
    <row r="6" spans="1:5" x14ac:dyDescent="0.25">
      <c r="A6" s="136">
        <v>20</v>
      </c>
      <c r="B6" s="114">
        <v>6.3322896180454764</v>
      </c>
      <c r="C6" s="115"/>
      <c r="D6" s="115"/>
    </row>
    <row r="7" spans="1:5" x14ac:dyDescent="0.25">
      <c r="A7" s="136">
        <v>22</v>
      </c>
      <c r="B7" s="114">
        <v>6.0007153657194126</v>
      </c>
      <c r="C7" s="115"/>
      <c r="D7" s="115"/>
    </row>
    <row r="8" spans="1:5" x14ac:dyDescent="0.25">
      <c r="A8" s="136">
        <v>24</v>
      </c>
      <c r="B8" s="114">
        <v>5.8200149314570968</v>
      </c>
      <c r="C8" s="115"/>
      <c r="D8" s="115"/>
    </row>
    <row r="9" spans="1:5" x14ac:dyDescent="0.25">
      <c r="A9" s="136">
        <v>26</v>
      </c>
      <c r="B9" s="114">
        <v>5.6579423135110609</v>
      </c>
      <c r="C9" s="115"/>
      <c r="D9" s="115"/>
    </row>
    <row r="10" spans="1:5" x14ac:dyDescent="0.25">
      <c r="A10" s="136">
        <v>28</v>
      </c>
      <c r="B10" s="114">
        <v>5.5883156843434785</v>
      </c>
      <c r="C10" s="115"/>
      <c r="D10" s="115"/>
    </row>
    <row r="11" spans="1:5" x14ac:dyDescent="0.25">
      <c r="A11" s="136">
        <v>30</v>
      </c>
      <c r="B11" s="114">
        <v>5.6100269997770589</v>
      </c>
      <c r="C11" s="115"/>
      <c r="D11" s="115"/>
    </row>
    <row r="12" spans="1:5" x14ac:dyDescent="0.25">
      <c r="A12" s="136">
        <v>32</v>
      </c>
      <c r="B12" s="114">
        <v>5.7210021901112267</v>
      </c>
      <c r="C12" s="115"/>
      <c r="D12" s="115"/>
    </row>
    <row r="13" spans="1:5" x14ac:dyDescent="0.25">
      <c r="A13" s="136">
        <v>34</v>
      </c>
      <c r="B13" s="114">
        <v>5.9187813500172899</v>
      </c>
      <c r="C13" s="115"/>
      <c r="D13" s="115"/>
    </row>
    <row r="14" spans="1:5" x14ac:dyDescent="0.25">
      <c r="A14" s="136">
        <v>36</v>
      </c>
      <c r="B14" s="114">
        <v>6.2009480284647127</v>
      </c>
      <c r="C14" s="115"/>
      <c r="D14" s="115"/>
    </row>
    <row r="15" spans="1:5" x14ac:dyDescent="0.25">
      <c r="A15" s="136"/>
      <c r="B15" s="114"/>
      <c r="C15" s="115"/>
      <c r="D15" s="115"/>
    </row>
    <row r="16" spans="1:5" x14ac:dyDescent="0.25">
      <c r="A16" s="136"/>
      <c r="B16" s="114"/>
      <c r="C16" s="115"/>
      <c r="D16" s="115"/>
    </row>
    <row r="17" spans="1:4" x14ac:dyDescent="0.25">
      <c r="A17" s="136"/>
      <c r="B17" s="114"/>
      <c r="C17" s="115"/>
      <c r="D17" s="115"/>
    </row>
    <row r="18" spans="1:4" x14ac:dyDescent="0.25">
      <c r="A18" s="136"/>
      <c r="B18" s="114"/>
      <c r="C18" s="115"/>
      <c r="D18" s="115"/>
    </row>
    <row r="19" spans="1:4" x14ac:dyDescent="0.25">
      <c r="A19" s="136"/>
      <c r="B19" s="114"/>
      <c r="C19" s="115"/>
      <c r="D19" s="115"/>
    </row>
    <row r="20" spans="1:4" x14ac:dyDescent="0.25">
      <c r="A20" s="136"/>
      <c r="B20" s="114"/>
      <c r="C20" s="115"/>
      <c r="D20" s="115"/>
    </row>
    <row r="21" spans="1:4" x14ac:dyDescent="0.25">
      <c r="A21" s="136"/>
      <c r="B21" s="114"/>
      <c r="C21" s="115"/>
      <c r="D21" s="115"/>
    </row>
    <row r="22" spans="1:4" x14ac:dyDescent="0.25">
      <c r="A22" s="136"/>
      <c r="B22" s="114"/>
      <c r="C22" s="115"/>
      <c r="D22" s="115"/>
    </row>
    <row r="23" spans="1:4" x14ac:dyDescent="0.25">
      <c r="A23" s="136"/>
      <c r="B23" s="114"/>
      <c r="C23" s="115"/>
      <c r="D23" s="115"/>
    </row>
    <row r="24" spans="1:4" x14ac:dyDescent="0.25">
      <c r="A24" s="136"/>
      <c r="B24" s="114"/>
      <c r="C24" s="115"/>
      <c r="D24" s="115"/>
    </row>
    <row r="25" spans="1:4" x14ac:dyDescent="0.25">
      <c r="B25" s="114"/>
      <c r="C25" s="115"/>
      <c r="D25" s="115"/>
    </row>
    <row r="26" spans="1:4" x14ac:dyDescent="0.25">
      <c r="B26" s="114"/>
      <c r="C26" s="115"/>
      <c r="D26" s="115"/>
    </row>
    <row r="27" spans="1:4" x14ac:dyDescent="0.25">
      <c r="B27" s="114"/>
      <c r="C27" s="115"/>
      <c r="D27" s="115"/>
    </row>
    <row r="28" spans="1:4" x14ac:dyDescent="0.25">
      <c r="B28" s="114"/>
      <c r="C28" s="115"/>
      <c r="D28" s="115"/>
    </row>
    <row r="29" spans="1:4" x14ac:dyDescent="0.25">
      <c r="B29" s="114"/>
      <c r="C29" s="115"/>
      <c r="D29" s="115"/>
    </row>
    <row r="30" spans="1:4" x14ac:dyDescent="0.25">
      <c r="B30" s="114"/>
      <c r="C30" s="115"/>
      <c r="D30" s="115"/>
    </row>
    <row r="31" spans="1:4" x14ac:dyDescent="0.25">
      <c r="B31" s="114"/>
      <c r="C31" s="115"/>
      <c r="D31" s="115"/>
    </row>
    <row r="32" spans="1:4" x14ac:dyDescent="0.25">
      <c r="B32" s="114"/>
      <c r="C32" s="115"/>
      <c r="D32" s="115"/>
    </row>
    <row r="33" spans="2:4" x14ac:dyDescent="0.25">
      <c r="B33" s="114"/>
      <c r="C33" s="115"/>
      <c r="D33" s="115"/>
    </row>
    <row r="34" spans="2:4" x14ac:dyDescent="0.25">
      <c r="B34" s="114"/>
      <c r="C34" s="115"/>
      <c r="D34" s="115"/>
    </row>
    <row r="35" spans="2:4" x14ac:dyDescent="0.25">
      <c r="C35" s="115"/>
      <c r="D35" s="115"/>
    </row>
    <row r="36" spans="2:4" x14ac:dyDescent="0.25">
      <c r="C36" s="115"/>
      <c r="D36" s="115"/>
    </row>
    <row r="37" spans="2:4" x14ac:dyDescent="0.25">
      <c r="C37" s="115"/>
      <c r="D37" s="115"/>
    </row>
    <row r="38" spans="2:4" x14ac:dyDescent="0.25">
      <c r="C38" s="115"/>
      <c r="D38" s="115"/>
    </row>
    <row r="39" spans="2:4" x14ac:dyDescent="0.25">
      <c r="C39" s="115"/>
      <c r="D39" s="115"/>
    </row>
    <row r="40" spans="2:4" x14ac:dyDescent="0.25">
      <c r="C40" s="115"/>
      <c r="D40" s="115"/>
    </row>
    <row r="41" spans="2:4" x14ac:dyDescent="0.25">
      <c r="C41" s="115"/>
      <c r="D41" s="115"/>
    </row>
    <row r="42" spans="2:4" x14ac:dyDescent="0.25">
      <c r="C42" s="115"/>
      <c r="D42" s="115"/>
    </row>
    <row r="43" spans="2:4" x14ac:dyDescent="0.25">
      <c r="C43" s="115"/>
      <c r="D43" s="115"/>
    </row>
    <row r="44" spans="2:4" x14ac:dyDescent="0.25">
      <c r="C44" s="115"/>
      <c r="D44" s="115"/>
    </row>
    <row r="45" spans="2:4" x14ac:dyDescent="0.25">
      <c r="C45" s="115"/>
      <c r="D45" s="115"/>
    </row>
    <row r="46" spans="2:4" x14ac:dyDescent="0.25">
      <c r="C46" s="115"/>
      <c r="D46" s="115"/>
    </row>
    <row r="47" spans="2:4" x14ac:dyDescent="0.25">
      <c r="C47" s="115"/>
      <c r="D47" s="115"/>
    </row>
    <row r="48" spans="2:4" x14ac:dyDescent="0.25">
      <c r="C48" s="115"/>
      <c r="D48" s="115"/>
    </row>
    <row r="49" spans="3:4" x14ac:dyDescent="0.25">
      <c r="C49" s="115"/>
      <c r="D49" s="115"/>
    </row>
    <row r="50" spans="3:4" x14ac:dyDescent="0.25">
      <c r="C50" s="115"/>
      <c r="D50" s="115"/>
    </row>
    <row r="51" spans="3:4" x14ac:dyDescent="0.25">
      <c r="C51" s="115"/>
      <c r="D51" s="115"/>
    </row>
    <row r="52" spans="3:4" x14ac:dyDescent="0.25">
      <c r="C52" s="115"/>
      <c r="D52" s="115"/>
    </row>
    <row r="53" spans="3:4" x14ac:dyDescent="0.25">
      <c r="C53" s="115"/>
      <c r="D53" s="115"/>
    </row>
    <row r="54" spans="3:4" x14ac:dyDescent="0.25">
      <c r="C54" s="115"/>
      <c r="D54" s="115"/>
    </row>
    <row r="55" spans="3:4" x14ac:dyDescent="0.25">
      <c r="C55" s="115"/>
      <c r="D55" s="115"/>
    </row>
    <row r="56" spans="3:4" x14ac:dyDescent="0.25">
      <c r="C56" s="115"/>
      <c r="D56" s="115"/>
    </row>
    <row r="57" spans="3:4" x14ac:dyDescent="0.25">
      <c r="C57" s="115"/>
      <c r="D57" s="115"/>
    </row>
    <row r="58" spans="3:4" x14ac:dyDescent="0.25">
      <c r="C58" s="115"/>
      <c r="D58" s="115"/>
    </row>
    <row r="59" spans="3:4" x14ac:dyDescent="0.25">
      <c r="C59" s="115"/>
      <c r="D59" s="115"/>
    </row>
    <row r="60" spans="3:4" x14ac:dyDescent="0.25">
      <c r="C60" s="115"/>
      <c r="D60" s="115"/>
    </row>
    <row r="61" spans="3:4" x14ac:dyDescent="0.25">
      <c r="C61" s="115"/>
      <c r="D61" s="115"/>
    </row>
    <row r="62" spans="3:4" x14ac:dyDescent="0.25">
      <c r="C62" s="115"/>
      <c r="D62" s="115"/>
    </row>
    <row r="63" spans="3:4" x14ac:dyDescent="0.25">
      <c r="C63" s="115"/>
      <c r="D63" s="115"/>
    </row>
    <row r="64" spans="3:4" x14ac:dyDescent="0.25">
      <c r="C64" s="115"/>
      <c r="D64" s="115"/>
    </row>
    <row r="65" spans="3:4" x14ac:dyDescent="0.25">
      <c r="C65" s="115"/>
      <c r="D65" s="115"/>
    </row>
    <row r="66" spans="3:4" x14ac:dyDescent="0.25">
      <c r="C66" s="115"/>
      <c r="D66" s="115"/>
    </row>
    <row r="67" spans="3:4" x14ac:dyDescent="0.25">
      <c r="C67" s="115"/>
      <c r="D67" s="115"/>
    </row>
    <row r="68" spans="3:4" x14ac:dyDescent="0.25">
      <c r="C68" s="115"/>
      <c r="D68" s="115"/>
    </row>
    <row r="69" spans="3:4" x14ac:dyDescent="0.25">
      <c r="C69" s="115"/>
      <c r="D69" s="115"/>
    </row>
    <row r="70" spans="3:4" x14ac:dyDescent="0.25">
      <c r="C70" s="115"/>
      <c r="D70" s="115"/>
    </row>
    <row r="71" spans="3:4" x14ac:dyDescent="0.25">
      <c r="C71" s="115"/>
      <c r="D71" s="115"/>
    </row>
    <row r="72" spans="3:4" x14ac:dyDescent="0.25">
      <c r="C72" s="115"/>
      <c r="D72" s="115"/>
    </row>
    <row r="73" spans="3:4" x14ac:dyDescent="0.25">
      <c r="C73" s="115"/>
      <c r="D73" s="115"/>
    </row>
    <row r="74" spans="3:4" x14ac:dyDescent="0.25">
      <c r="C74" s="115"/>
      <c r="D74" s="115"/>
    </row>
    <row r="75" spans="3:4" x14ac:dyDescent="0.25">
      <c r="C75" s="115"/>
      <c r="D75" s="115"/>
    </row>
    <row r="76" spans="3:4" x14ac:dyDescent="0.25">
      <c r="C76" s="115"/>
      <c r="D76" s="115"/>
    </row>
    <row r="77" spans="3:4" x14ac:dyDescent="0.25">
      <c r="C77" s="115"/>
      <c r="D77" s="115"/>
    </row>
    <row r="78" spans="3:4" x14ac:dyDescent="0.25">
      <c r="C78" s="115"/>
      <c r="D78" s="115"/>
    </row>
    <row r="79" spans="3:4" x14ac:dyDescent="0.25">
      <c r="C79" s="115"/>
      <c r="D79" s="115"/>
    </row>
    <row r="80" spans="3:4" x14ac:dyDescent="0.25">
      <c r="C80" s="115"/>
      <c r="D80" s="115"/>
    </row>
    <row r="81" spans="3:4" x14ac:dyDescent="0.25">
      <c r="C81" s="115"/>
      <c r="D81" s="115"/>
    </row>
    <row r="82" spans="3:4" x14ac:dyDescent="0.25">
      <c r="C82" s="115"/>
      <c r="D82" s="115"/>
    </row>
    <row r="83" spans="3:4" x14ac:dyDescent="0.25">
      <c r="C83" s="115"/>
      <c r="D83" s="115"/>
    </row>
    <row r="84" spans="3:4" x14ac:dyDescent="0.25">
      <c r="C84" s="115"/>
      <c r="D84" s="115"/>
    </row>
    <row r="85" spans="3:4" x14ac:dyDescent="0.25">
      <c r="C85" s="115"/>
      <c r="D85" s="115"/>
    </row>
    <row r="86" spans="3:4" x14ac:dyDescent="0.25">
      <c r="C86" s="115"/>
      <c r="D86" s="115"/>
    </row>
    <row r="87" spans="3:4" x14ac:dyDescent="0.25">
      <c r="C87" s="115"/>
      <c r="D87" s="115"/>
    </row>
    <row r="88" spans="3:4" x14ac:dyDescent="0.25">
      <c r="C88" s="115"/>
      <c r="D88" s="115"/>
    </row>
    <row r="89" spans="3:4" x14ac:dyDescent="0.25">
      <c r="C89" s="115"/>
      <c r="D89" s="115"/>
    </row>
    <row r="90" spans="3:4" x14ac:dyDescent="0.25">
      <c r="C90" s="115"/>
      <c r="D90" s="115"/>
    </row>
    <row r="91" spans="3:4" x14ac:dyDescent="0.25">
      <c r="C91" s="115"/>
      <c r="D91" s="115"/>
    </row>
    <row r="92" spans="3:4" x14ac:dyDescent="0.25">
      <c r="C92" s="115"/>
      <c r="D92" s="115"/>
    </row>
    <row r="93" spans="3:4" x14ac:dyDescent="0.25">
      <c r="C93" s="115"/>
      <c r="D93" s="115"/>
    </row>
    <row r="94" spans="3:4" x14ac:dyDescent="0.25">
      <c r="C94" s="115"/>
      <c r="D94" s="115"/>
    </row>
    <row r="95" spans="3:4" x14ac:dyDescent="0.25">
      <c r="C95" s="115"/>
      <c r="D95" s="115"/>
    </row>
    <row r="96" spans="3:4" x14ac:dyDescent="0.25">
      <c r="C96" s="115"/>
      <c r="D96" s="115"/>
    </row>
    <row r="97" spans="3:4" x14ac:dyDescent="0.25">
      <c r="C97" s="115"/>
      <c r="D97" s="115"/>
    </row>
    <row r="98" spans="3:4" x14ac:dyDescent="0.25">
      <c r="C98" s="115"/>
      <c r="D98" s="115"/>
    </row>
    <row r="99" spans="3:4" x14ac:dyDescent="0.25">
      <c r="C99" s="115"/>
      <c r="D99" s="115"/>
    </row>
    <row r="100" spans="3:4" x14ac:dyDescent="0.25">
      <c r="C100" s="115"/>
      <c r="D100" s="115"/>
    </row>
    <row r="101" spans="3:4" x14ac:dyDescent="0.25">
      <c r="C101" s="115"/>
      <c r="D101" s="115"/>
    </row>
    <row r="102" spans="3:4" x14ac:dyDescent="0.25">
      <c r="C102" s="115"/>
      <c r="D102" s="115"/>
    </row>
    <row r="103" spans="3:4" x14ac:dyDescent="0.25">
      <c r="C103" s="115"/>
      <c r="D103" s="115"/>
    </row>
    <row r="104" spans="3:4" x14ac:dyDescent="0.25">
      <c r="C104" s="115"/>
      <c r="D104" s="115"/>
    </row>
    <row r="105" spans="3:4" x14ac:dyDescent="0.25">
      <c r="C105" s="115"/>
      <c r="D105" s="115"/>
    </row>
    <row r="106" spans="3:4" x14ac:dyDescent="0.25">
      <c r="C106" s="115"/>
      <c r="D106" s="115"/>
    </row>
    <row r="107" spans="3:4" x14ac:dyDescent="0.25">
      <c r="C107" s="115"/>
      <c r="D107" s="115"/>
    </row>
    <row r="108" spans="3:4" x14ac:dyDescent="0.25">
      <c r="C108" s="115"/>
      <c r="D108" s="115"/>
    </row>
    <row r="109" spans="3:4" x14ac:dyDescent="0.25">
      <c r="C109" s="115"/>
      <c r="D109" s="115"/>
    </row>
    <row r="110" spans="3:4" x14ac:dyDescent="0.25">
      <c r="C110" s="115"/>
      <c r="D110" s="115"/>
    </row>
    <row r="111" spans="3:4" x14ac:dyDescent="0.25">
      <c r="C111" s="115"/>
      <c r="D111" s="115"/>
    </row>
    <row r="112" spans="3:4" x14ac:dyDescent="0.25">
      <c r="C112" s="115"/>
      <c r="D112" s="115"/>
    </row>
    <row r="113" spans="3:4" x14ac:dyDescent="0.25">
      <c r="C113" s="115"/>
      <c r="D113" s="115"/>
    </row>
    <row r="114" spans="3:4" x14ac:dyDescent="0.25">
      <c r="C114" s="115"/>
      <c r="D114" s="115"/>
    </row>
    <row r="115" spans="3:4" x14ac:dyDescent="0.25">
      <c r="C115" s="115"/>
      <c r="D115" s="115"/>
    </row>
    <row r="116" spans="3:4" x14ac:dyDescent="0.25">
      <c r="C116" s="115"/>
      <c r="D116" s="115"/>
    </row>
    <row r="117" spans="3:4" x14ac:dyDescent="0.25">
      <c r="C117" s="115"/>
      <c r="D117" s="115"/>
    </row>
    <row r="118" spans="3:4" x14ac:dyDescent="0.25">
      <c r="C118" s="115"/>
      <c r="D118" s="115"/>
    </row>
    <row r="119" spans="3:4" x14ac:dyDescent="0.25">
      <c r="C119" s="115"/>
      <c r="D119" s="115"/>
    </row>
    <row r="120" spans="3:4" x14ac:dyDescent="0.25">
      <c r="C120" s="115"/>
      <c r="D120" s="115"/>
    </row>
    <row r="121" spans="3:4" x14ac:dyDescent="0.25">
      <c r="C121" s="115"/>
      <c r="D121" s="115"/>
    </row>
    <row r="122" spans="3:4" x14ac:dyDescent="0.25">
      <c r="C122" s="115"/>
      <c r="D122" s="115"/>
    </row>
    <row r="123" spans="3:4" x14ac:dyDescent="0.25">
      <c r="C123" s="115"/>
      <c r="D123" s="115"/>
    </row>
    <row r="124" spans="3:4" x14ac:dyDescent="0.25">
      <c r="C124" s="115"/>
      <c r="D124" s="115"/>
    </row>
    <row r="125" spans="3:4" x14ac:dyDescent="0.25">
      <c r="C125" s="115"/>
      <c r="D125" s="115"/>
    </row>
    <row r="126" spans="3:4" x14ac:dyDescent="0.25">
      <c r="C126" s="115"/>
      <c r="D126" s="115"/>
    </row>
    <row r="127" spans="3:4" x14ac:dyDescent="0.25">
      <c r="C127" s="115"/>
      <c r="D127" s="115"/>
    </row>
    <row r="128" spans="3:4" x14ac:dyDescent="0.25">
      <c r="C128" s="115"/>
      <c r="D128" s="115"/>
    </row>
    <row r="129" spans="3:4" x14ac:dyDescent="0.25">
      <c r="C129" s="115"/>
      <c r="D129" s="115"/>
    </row>
    <row r="130" spans="3:4" x14ac:dyDescent="0.25">
      <c r="C130" s="115"/>
      <c r="D130" s="115"/>
    </row>
    <row r="131" spans="3:4" x14ac:dyDescent="0.25">
      <c r="C131" s="115"/>
      <c r="D131" s="115"/>
    </row>
    <row r="132" spans="3:4" x14ac:dyDescent="0.25">
      <c r="C132" s="115"/>
      <c r="D132" s="115"/>
    </row>
    <row r="133" spans="3:4" x14ac:dyDescent="0.25">
      <c r="C133" s="115"/>
      <c r="D133" s="115"/>
    </row>
    <row r="134" spans="3:4" x14ac:dyDescent="0.25">
      <c r="C134" s="115"/>
      <c r="D134" s="115"/>
    </row>
    <row r="135" spans="3:4" x14ac:dyDescent="0.25">
      <c r="C135" s="115"/>
      <c r="D135" s="115"/>
    </row>
    <row r="136" spans="3:4" x14ac:dyDescent="0.25">
      <c r="C136" s="115"/>
      <c r="D136" s="115"/>
    </row>
    <row r="137" spans="3:4" x14ac:dyDescent="0.25">
      <c r="C137" s="115"/>
      <c r="D137" s="115"/>
    </row>
    <row r="138" spans="3:4" x14ac:dyDescent="0.25">
      <c r="C138" s="115"/>
      <c r="D138" s="115"/>
    </row>
    <row r="139" spans="3:4" x14ac:dyDescent="0.25">
      <c r="C139" s="115"/>
      <c r="D139" s="115"/>
    </row>
    <row r="140" spans="3:4" x14ac:dyDescent="0.25">
      <c r="C140" s="115"/>
      <c r="D140" s="115"/>
    </row>
    <row r="141" spans="3:4" x14ac:dyDescent="0.25">
      <c r="C141" s="115"/>
      <c r="D141" s="115"/>
    </row>
    <row r="142" spans="3:4" x14ac:dyDescent="0.25">
      <c r="C142" s="115"/>
      <c r="D142" s="115"/>
    </row>
    <row r="143" spans="3:4" x14ac:dyDescent="0.25">
      <c r="C143" s="115"/>
      <c r="D143" s="115"/>
    </row>
    <row r="144" spans="3:4" x14ac:dyDescent="0.25">
      <c r="C144" s="115"/>
      <c r="D144" s="115"/>
    </row>
    <row r="145" spans="3:4" x14ac:dyDescent="0.25">
      <c r="C145" s="115"/>
      <c r="D145" s="115"/>
    </row>
    <row r="146" spans="3:4" x14ac:dyDescent="0.25">
      <c r="C146" s="115"/>
      <c r="D146" s="115"/>
    </row>
    <row r="147" spans="3:4" x14ac:dyDescent="0.25">
      <c r="C147" s="115"/>
      <c r="D147" s="115"/>
    </row>
    <row r="148" spans="3:4" x14ac:dyDescent="0.25">
      <c r="C148" s="115"/>
      <c r="D148" s="115"/>
    </row>
    <row r="149" spans="3:4" x14ac:dyDescent="0.25">
      <c r="C149" s="115"/>
      <c r="D149" s="115"/>
    </row>
    <row r="150" spans="3:4" x14ac:dyDescent="0.25">
      <c r="C150" s="115"/>
      <c r="D150" s="115"/>
    </row>
    <row r="151" spans="3:4" x14ac:dyDescent="0.25">
      <c r="C151" s="115"/>
      <c r="D151" s="115"/>
    </row>
    <row r="152" spans="3:4" x14ac:dyDescent="0.25">
      <c r="C152" s="115"/>
      <c r="D152" s="115"/>
    </row>
    <row r="153" spans="3:4" x14ac:dyDescent="0.25">
      <c r="C153" s="115"/>
      <c r="D153" s="115"/>
    </row>
    <row r="154" spans="3:4" x14ac:dyDescent="0.25">
      <c r="C154" s="115"/>
      <c r="D154" s="115"/>
    </row>
    <row r="155" spans="3:4" x14ac:dyDescent="0.25">
      <c r="C155" s="115"/>
      <c r="D155" s="115"/>
    </row>
    <row r="156" spans="3:4" x14ac:dyDescent="0.25">
      <c r="C156" s="115"/>
      <c r="D156" s="115"/>
    </row>
    <row r="157" spans="3:4" x14ac:dyDescent="0.25">
      <c r="C157" s="115"/>
      <c r="D157" s="115"/>
    </row>
    <row r="158" spans="3:4" x14ac:dyDescent="0.25">
      <c r="C158" s="115"/>
      <c r="D158" s="115"/>
    </row>
    <row r="159" spans="3:4" x14ac:dyDescent="0.25">
      <c r="C159" s="115"/>
      <c r="D159" s="115"/>
    </row>
    <row r="160" spans="3:4" x14ac:dyDescent="0.25">
      <c r="C160" s="115"/>
      <c r="D160" s="115"/>
    </row>
    <row r="161" spans="3:4" x14ac:dyDescent="0.25">
      <c r="C161" s="115"/>
      <c r="D161" s="115"/>
    </row>
    <row r="162" spans="3:4" x14ac:dyDescent="0.25">
      <c r="C162" s="115"/>
      <c r="D162" s="115"/>
    </row>
    <row r="163" spans="3:4" x14ac:dyDescent="0.25">
      <c r="C163" s="115"/>
      <c r="D163" s="115"/>
    </row>
    <row r="164" spans="3:4" x14ac:dyDescent="0.25">
      <c r="C164" s="115"/>
      <c r="D164" s="115"/>
    </row>
    <row r="165" spans="3:4" x14ac:dyDescent="0.25">
      <c r="C165" s="115"/>
      <c r="D165" s="115"/>
    </row>
    <row r="166" spans="3:4" x14ac:dyDescent="0.25">
      <c r="C166" s="115"/>
      <c r="D166" s="115"/>
    </row>
    <row r="167" spans="3:4" x14ac:dyDescent="0.25">
      <c r="C167" s="115"/>
      <c r="D167" s="115"/>
    </row>
    <row r="168" spans="3:4" x14ac:dyDescent="0.25">
      <c r="C168" s="115"/>
      <c r="D168" s="115"/>
    </row>
    <row r="169" spans="3:4" x14ac:dyDescent="0.25">
      <c r="C169" s="115"/>
      <c r="D169" s="115"/>
    </row>
    <row r="170" spans="3:4" x14ac:dyDescent="0.25">
      <c r="C170" s="115"/>
      <c r="D170" s="115"/>
    </row>
    <row r="171" spans="3:4" x14ac:dyDescent="0.25">
      <c r="C171" s="115"/>
      <c r="D171" s="115"/>
    </row>
    <row r="172" spans="3:4" x14ac:dyDescent="0.25">
      <c r="C172" s="115"/>
      <c r="D172" s="115"/>
    </row>
    <row r="173" spans="3:4" x14ac:dyDescent="0.25">
      <c r="C173" s="115"/>
      <c r="D173" s="115"/>
    </row>
    <row r="174" spans="3:4" x14ac:dyDescent="0.25">
      <c r="C174" s="115"/>
      <c r="D174" s="115"/>
    </row>
    <row r="175" spans="3:4" x14ac:dyDescent="0.25">
      <c r="C175" s="115"/>
      <c r="D175" s="115"/>
    </row>
    <row r="176" spans="3:4" x14ac:dyDescent="0.25">
      <c r="C176" s="115"/>
      <c r="D176" s="115"/>
    </row>
    <row r="177" spans="3:4" x14ac:dyDescent="0.25">
      <c r="C177" s="115"/>
      <c r="D177" s="115"/>
    </row>
    <row r="178" spans="3:4" x14ac:dyDescent="0.25">
      <c r="C178" s="115"/>
      <c r="D178" s="115"/>
    </row>
    <row r="179" spans="3:4" x14ac:dyDescent="0.25">
      <c r="C179" s="115"/>
      <c r="D179" s="115"/>
    </row>
    <row r="180" spans="3:4" x14ac:dyDescent="0.25">
      <c r="C180" s="115"/>
      <c r="D180" s="115"/>
    </row>
    <row r="181" spans="3:4" x14ac:dyDescent="0.25">
      <c r="C181" s="115"/>
      <c r="D181" s="115"/>
    </row>
    <row r="182" spans="3:4" x14ac:dyDescent="0.25">
      <c r="C182" s="115"/>
      <c r="D182" s="115"/>
    </row>
    <row r="183" spans="3:4" x14ac:dyDescent="0.25">
      <c r="C183" s="115"/>
      <c r="D183" s="115"/>
    </row>
    <row r="184" spans="3:4" x14ac:dyDescent="0.25">
      <c r="C184" s="115"/>
      <c r="D184" s="115"/>
    </row>
    <row r="185" spans="3:4" x14ac:dyDescent="0.25">
      <c r="C185" s="115"/>
      <c r="D185" s="115"/>
    </row>
    <row r="186" spans="3:4" x14ac:dyDescent="0.25">
      <c r="C186" s="115"/>
      <c r="D186" s="115"/>
    </row>
    <row r="187" spans="3:4" x14ac:dyDescent="0.25">
      <c r="C187" s="115"/>
      <c r="D187" s="115"/>
    </row>
    <row r="188" spans="3:4" x14ac:dyDescent="0.25">
      <c r="C188" s="115"/>
      <c r="D188" s="115"/>
    </row>
    <row r="189" spans="3:4" x14ac:dyDescent="0.25">
      <c r="C189" s="115"/>
      <c r="D189" s="115"/>
    </row>
    <row r="190" spans="3:4" x14ac:dyDescent="0.25">
      <c r="C190" s="115"/>
      <c r="D190" s="115"/>
    </row>
    <row r="191" spans="3:4" x14ac:dyDescent="0.25">
      <c r="C191" s="115"/>
      <c r="D191" s="115"/>
    </row>
    <row r="192" spans="3:4" x14ac:dyDescent="0.25">
      <c r="C192" s="115"/>
      <c r="D192" s="115"/>
    </row>
    <row r="193" spans="3:4" x14ac:dyDescent="0.25">
      <c r="C193" s="115"/>
      <c r="D193" s="115"/>
    </row>
    <row r="194" spans="3:4" x14ac:dyDescent="0.25">
      <c r="C194" s="115"/>
      <c r="D194" s="115"/>
    </row>
    <row r="195" spans="3:4" x14ac:dyDescent="0.25">
      <c r="C195" s="115"/>
      <c r="D195" s="115"/>
    </row>
    <row r="196" spans="3:4" x14ac:dyDescent="0.25">
      <c r="C196" s="115"/>
      <c r="D196" s="115"/>
    </row>
    <row r="197" spans="3:4" x14ac:dyDescent="0.25">
      <c r="C197" s="115"/>
      <c r="D197" s="115"/>
    </row>
    <row r="198" spans="3:4" x14ac:dyDescent="0.25">
      <c r="C198" s="115"/>
      <c r="D198" s="115"/>
    </row>
    <row r="199" spans="3:4" x14ac:dyDescent="0.25">
      <c r="C199" s="115"/>
      <c r="D199" s="115"/>
    </row>
    <row r="200" spans="3:4" x14ac:dyDescent="0.25">
      <c r="C200" s="115"/>
      <c r="D200" s="115"/>
    </row>
    <row r="201" spans="3:4" x14ac:dyDescent="0.25">
      <c r="C201" s="115"/>
      <c r="D201" s="115"/>
    </row>
    <row r="202" spans="3:4" x14ac:dyDescent="0.25">
      <c r="C202" s="115"/>
      <c r="D202" s="115"/>
    </row>
    <row r="203" spans="3:4" x14ac:dyDescent="0.25">
      <c r="C203" s="115"/>
      <c r="D203" s="115"/>
    </row>
    <row r="204" spans="3:4" x14ac:dyDescent="0.25">
      <c r="C204" s="115"/>
      <c r="D204" s="115"/>
    </row>
    <row r="205" spans="3:4" x14ac:dyDescent="0.25">
      <c r="C205" s="115"/>
      <c r="D205" s="115"/>
    </row>
    <row r="206" spans="3:4" x14ac:dyDescent="0.25">
      <c r="C206" s="115"/>
      <c r="D206" s="115"/>
    </row>
    <row r="207" spans="3:4" x14ac:dyDescent="0.25">
      <c r="C207" s="115"/>
      <c r="D207" s="115"/>
    </row>
    <row r="208" spans="3:4" x14ac:dyDescent="0.25">
      <c r="C208" s="115"/>
      <c r="D208" s="115"/>
    </row>
    <row r="209" spans="3:4" x14ac:dyDescent="0.25">
      <c r="C209" s="115"/>
      <c r="D209" s="115"/>
    </row>
    <row r="210" spans="3:4" x14ac:dyDescent="0.25">
      <c r="C210" s="115"/>
      <c r="D210" s="115"/>
    </row>
    <row r="211" spans="3:4" x14ac:dyDescent="0.25">
      <c r="C211" s="115"/>
      <c r="D211" s="115"/>
    </row>
    <row r="212" spans="3:4" x14ac:dyDescent="0.25">
      <c r="C212" s="115"/>
      <c r="D212" s="115"/>
    </row>
    <row r="213" spans="3:4" x14ac:dyDescent="0.25">
      <c r="C213" s="115"/>
      <c r="D213" s="115"/>
    </row>
    <row r="214" spans="3:4" x14ac:dyDescent="0.25">
      <c r="C214" s="115"/>
      <c r="D214" s="115"/>
    </row>
    <row r="215" spans="3:4" x14ac:dyDescent="0.25">
      <c r="C215" s="115"/>
      <c r="D215" s="115"/>
    </row>
    <row r="216" spans="3:4" x14ac:dyDescent="0.25">
      <c r="C216" s="115"/>
      <c r="D216" s="115"/>
    </row>
    <row r="217" spans="3:4" x14ac:dyDescent="0.25">
      <c r="C217" s="115"/>
      <c r="D217" s="115"/>
    </row>
    <row r="218" spans="3:4" x14ac:dyDescent="0.25">
      <c r="C218" s="115"/>
      <c r="D218" s="115"/>
    </row>
    <row r="219" spans="3:4" x14ac:dyDescent="0.25">
      <c r="C219" s="115"/>
      <c r="D219" s="115"/>
    </row>
    <row r="220" spans="3:4" x14ac:dyDescent="0.25">
      <c r="C220" s="115"/>
      <c r="D220" s="115"/>
    </row>
    <row r="221" spans="3:4" x14ac:dyDescent="0.25">
      <c r="C221" s="115"/>
      <c r="D221" s="115"/>
    </row>
    <row r="222" spans="3:4" x14ac:dyDescent="0.25">
      <c r="C222" s="115"/>
      <c r="D222" s="115"/>
    </row>
    <row r="223" spans="3:4" x14ac:dyDescent="0.25">
      <c r="C223" s="115"/>
      <c r="D223" s="115"/>
    </row>
    <row r="224" spans="3:4" x14ac:dyDescent="0.25">
      <c r="C224" s="115"/>
      <c r="D224" s="115"/>
    </row>
    <row r="225" spans="3:4" x14ac:dyDescent="0.25">
      <c r="C225" s="115"/>
      <c r="D225" s="115"/>
    </row>
    <row r="226" spans="3:4" x14ac:dyDescent="0.25">
      <c r="C226" s="115"/>
      <c r="D226" s="115"/>
    </row>
    <row r="227" spans="3:4" x14ac:dyDescent="0.25">
      <c r="C227" s="115"/>
      <c r="D227" s="115"/>
    </row>
    <row r="228" spans="3:4" x14ac:dyDescent="0.25">
      <c r="C228" s="115"/>
      <c r="D228" s="115"/>
    </row>
    <row r="229" spans="3:4" x14ac:dyDescent="0.25">
      <c r="C229" s="115"/>
      <c r="D229" s="115"/>
    </row>
    <row r="230" spans="3:4" x14ac:dyDescent="0.25">
      <c r="C230" s="115"/>
      <c r="D230" s="115"/>
    </row>
    <row r="231" spans="3:4" x14ac:dyDescent="0.25">
      <c r="C231" s="115"/>
      <c r="D231" s="115"/>
    </row>
    <row r="232" spans="3:4" x14ac:dyDescent="0.25">
      <c r="C232" s="115"/>
      <c r="D232" s="115"/>
    </row>
    <row r="233" spans="3:4" x14ac:dyDescent="0.25">
      <c r="C233" s="115"/>
      <c r="D233" s="115"/>
    </row>
    <row r="234" spans="3:4" x14ac:dyDescent="0.25">
      <c r="C234" s="115"/>
      <c r="D234" s="115"/>
    </row>
    <row r="235" spans="3:4" x14ac:dyDescent="0.25">
      <c r="C235" s="115"/>
      <c r="D235" s="115"/>
    </row>
    <row r="236" spans="3:4" x14ac:dyDescent="0.25">
      <c r="C236" s="115"/>
      <c r="D236" s="115"/>
    </row>
    <row r="237" spans="3:4" x14ac:dyDescent="0.25">
      <c r="C237" s="115"/>
      <c r="D237" s="115"/>
    </row>
    <row r="238" spans="3:4" x14ac:dyDescent="0.25">
      <c r="C238" s="115"/>
      <c r="D238" s="115"/>
    </row>
    <row r="239" spans="3:4" x14ac:dyDescent="0.25">
      <c r="C239" s="115"/>
      <c r="D239" s="115"/>
    </row>
    <row r="240" spans="3:4" x14ac:dyDescent="0.25">
      <c r="C240" s="115"/>
      <c r="D240" s="115"/>
    </row>
    <row r="241" spans="3:4" x14ac:dyDescent="0.25">
      <c r="C241" s="115"/>
      <c r="D241" s="115"/>
    </row>
    <row r="242" spans="3:4" x14ac:dyDescent="0.25">
      <c r="C242" s="115"/>
      <c r="D242" s="115"/>
    </row>
    <row r="243" spans="3:4" x14ac:dyDescent="0.25">
      <c r="C243" s="115"/>
      <c r="D243" s="115"/>
    </row>
    <row r="244" spans="3:4" x14ac:dyDescent="0.25">
      <c r="C244" s="115"/>
      <c r="D244" s="115"/>
    </row>
    <row r="245" spans="3:4" x14ac:dyDescent="0.25">
      <c r="C245" s="115"/>
      <c r="D245" s="115"/>
    </row>
    <row r="246" spans="3:4" x14ac:dyDescent="0.25">
      <c r="C246" s="115"/>
      <c r="D246" s="115"/>
    </row>
    <row r="247" spans="3:4" x14ac:dyDescent="0.25">
      <c r="C247" s="115"/>
      <c r="D247" s="115"/>
    </row>
    <row r="248" spans="3:4" x14ac:dyDescent="0.25">
      <c r="C248" s="115"/>
      <c r="D248" s="115"/>
    </row>
    <row r="249" spans="3:4" x14ac:dyDescent="0.25">
      <c r="C249" s="115"/>
      <c r="D249" s="115"/>
    </row>
    <row r="250" spans="3:4" x14ac:dyDescent="0.25">
      <c r="C250" s="115"/>
      <c r="D250" s="115"/>
    </row>
    <row r="251" spans="3:4" x14ac:dyDescent="0.25">
      <c r="C251" s="115"/>
      <c r="D251" s="115"/>
    </row>
    <row r="252" spans="3:4" x14ac:dyDescent="0.25">
      <c r="C252" s="115"/>
      <c r="D252" s="115"/>
    </row>
    <row r="253" spans="3:4" x14ac:dyDescent="0.25">
      <c r="C253" s="115"/>
      <c r="D253" s="115"/>
    </row>
    <row r="254" spans="3:4" x14ac:dyDescent="0.25">
      <c r="C254" s="115"/>
      <c r="D254" s="115"/>
    </row>
    <row r="255" spans="3:4" x14ac:dyDescent="0.25">
      <c r="C255" s="115"/>
      <c r="D255" s="115"/>
    </row>
    <row r="256" spans="3:4" x14ac:dyDescent="0.25">
      <c r="C256" s="115"/>
      <c r="D256" s="115"/>
    </row>
    <row r="257" spans="3:4" x14ac:dyDescent="0.25">
      <c r="C257" s="115"/>
      <c r="D257" s="115"/>
    </row>
    <row r="258" spans="3:4" x14ac:dyDescent="0.25">
      <c r="C258" s="115"/>
      <c r="D258" s="115"/>
    </row>
    <row r="259" spans="3:4" x14ac:dyDescent="0.25">
      <c r="C259" s="115"/>
      <c r="D259" s="115"/>
    </row>
    <row r="260" spans="3:4" x14ac:dyDescent="0.25">
      <c r="C260" s="115"/>
      <c r="D260" s="115"/>
    </row>
    <row r="261" spans="3:4" x14ac:dyDescent="0.25">
      <c r="C261" s="115"/>
      <c r="D261" s="115"/>
    </row>
    <row r="262" spans="3:4" x14ac:dyDescent="0.25">
      <c r="C262" s="115"/>
      <c r="D262" s="115"/>
    </row>
    <row r="263" spans="3:4" x14ac:dyDescent="0.25">
      <c r="C263" s="115"/>
      <c r="D263" s="115"/>
    </row>
    <row r="264" spans="3:4" x14ac:dyDescent="0.25">
      <c r="C264" s="115"/>
      <c r="D264" s="115"/>
    </row>
    <row r="265" spans="3:4" x14ac:dyDescent="0.25">
      <c r="C265" s="115"/>
      <c r="D265" s="115"/>
    </row>
    <row r="266" spans="3:4" x14ac:dyDescent="0.25">
      <c r="C266" s="115"/>
      <c r="D266" s="115"/>
    </row>
    <row r="267" spans="3:4" x14ac:dyDescent="0.25">
      <c r="C267" s="115"/>
      <c r="D267" s="115"/>
    </row>
    <row r="268" spans="3:4" x14ac:dyDescent="0.25">
      <c r="C268" s="115"/>
      <c r="D268" s="115"/>
    </row>
    <row r="269" spans="3:4" x14ac:dyDescent="0.25">
      <c r="C269" s="115"/>
      <c r="D269" s="115"/>
    </row>
    <row r="270" spans="3:4" x14ac:dyDescent="0.25">
      <c r="C270" s="115"/>
      <c r="D270" s="115"/>
    </row>
    <row r="271" spans="3:4" x14ac:dyDescent="0.25">
      <c r="C271" s="115"/>
      <c r="D271" s="115"/>
    </row>
    <row r="272" spans="3:4" x14ac:dyDescent="0.25">
      <c r="C272" s="115"/>
      <c r="D272" s="115"/>
    </row>
    <row r="273" spans="3:4" x14ac:dyDescent="0.25">
      <c r="C273" s="115"/>
      <c r="D273" s="115"/>
    </row>
    <row r="274" spans="3:4" x14ac:dyDescent="0.25">
      <c r="C274" s="115"/>
      <c r="D274" s="115"/>
    </row>
    <row r="275" spans="3:4" x14ac:dyDescent="0.25">
      <c r="C275" s="115"/>
      <c r="D275" s="115"/>
    </row>
    <row r="276" spans="3:4" x14ac:dyDescent="0.25">
      <c r="C276" s="115"/>
      <c r="D276" s="115"/>
    </row>
    <row r="277" spans="3:4" x14ac:dyDescent="0.25">
      <c r="C277" s="115"/>
      <c r="D277" s="115"/>
    </row>
    <row r="278" spans="3:4" x14ac:dyDescent="0.25">
      <c r="C278" s="115"/>
      <c r="D278" s="115"/>
    </row>
    <row r="279" spans="3:4" x14ac:dyDescent="0.25">
      <c r="C279" s="115"/>
      <c r="D279" s="115"/>
    </row>
    <row r="280" spans="3:4" x14ac:dyDescent="0.25">
      <c r="C280" s="115"/>
      <c r="D280" s="115"/>
    </row>
    <row r="281" spans="3:4" x14ac:dyDescent="0.25">
      <c r="C281" s="115"/>
      <c r="D281" s="115"/>
    </row>
    <row r="282" spans="3:4" x14ac:dyDescent="0.25">
      <c r="C282" s="115"/>
      <c r="D282" s="115"/>
    </row>
    <row r="283" spans="3:4" x14ac:dyDescent="0.25">
      <c r="C283" s="115"/>
      <c r="D283" s="115"/>
    </row>
    <row r="284" spans="3:4" x14ac:dyDescent="0.25">
      <c r="C284" s="115"/>
      <c r="D284" s="115"/>
    </row>
    <row r="285" spans="3:4" x14ac:dyDescent="0.25">
      <c r="C285" s="115"/>
      <c r="D285" s="115"/>
    </row>
    <row r="286" spans="3:4" x14ac:dyDescent="0.25">
      <c r="C286" s="115"/>
      <c r="D286" s="115"/>
    </row>
    <row r="287" spans="3:4" x14ac:dyDescent="0.25">
      <c r="C287" s="115"/>
      <c r="D287" s="115"/>
    </row>
    <row r="288" spans="3:4" x14ac:dyDescent="0.25">
      <c r="C288" s="115"/>
      <c r="D288" s="115"/>
    </row>
    <row r="289" spans="3:4" x14ac:dyDescent="0.25">
      <c r="C289" s="115"/>
      <c r="D289" s="115"/>
    </row>
    <row r="290" spans="3:4" x14ac:dyDescent="0.25">
      <c r="C290" s="115"/>
      <c r="D290" s="115"/>
    </row>
    <row r="291" spans="3:4" x14ac:dyDescent="0.25">
      <c r="C291" s="115"/>
      <c r="D291" s="115"/>
    </row>
    <row r="292" spans="3:4" x14ac:dyDescent="0.25">
      <c r="C292" s="115"/>
      <c r="D292" s="115"/>
    </row>
    <row r="293" spans="3:4" x14ac:dyDescent="0.25">
      <c r="C293" s="115"/>
      <c r="D293" s="115"/>
    </row>
    <row r="294" spans="3:4" x14ac:dyDescent="0.25">
      <c r="C294" s="115"/>
      <c r="D294" s="115"/>
    </row>
    <row r="295" spans="3:4" x14ac:dyDescent="0.25">
      <c r="C295" s="115"/>
      <c r="D295" s="115"/>
    </row>
    <row r="296" spans="3:4" x14ac:dyDescent="0.25">
      <c r="C296" s="115"/>
      <c r="D296" s="115"/>
    </row>
    <row r="297" spans="3:4" x14ac:dyDescent="0.25">
      <c r="C297" s="115"/>
      <c r="D297" s="115"/>
    </row>
    <row r="298" spans="3:4" x14ac:dyDescent="0.25">
      <c r="C298" s="115"/>
      <c r="D298" s="115"/>
    </row>
    <row r="299" spans="3:4" x14ac:dyDescent="0.25">
      <c r="C299" s="115"/>
      <c r="D299" s="115"/>
    </row>
    <row r="300" spans="3:4" x14ac:dyDescent="0.25">
      <c r="C300" s="115"/>
      <c r="D300" s="115"/>
    </row>
    <row r="301" spans="3:4" x14ac:dyDescent="0.25">
      <c r="C301" s="115"/>
      <c r="D301" s="115"/>
    </row>
    <row r="302" spans="3:4" x14ac:dyDescent="0.25">
      <c r="C302" s="115"/>
      <c r="D302" s="115"/>
    </row>
    <row r="303" spans="3:4" x14ac:dyDescent="0.25">
      <c r="C303" s="115"/>
      <c r="D303" s="115"/>
    </row>
    <row r="304" spans="3:4" x14ac:dyDescent="0.25">
      <c r="C304" s="115"/>
      <c r="D304" s="115"/>
    </row>
    <row r="305" spans="3:4" x14ac:dyDescent="0.25">
      <c r="C305" s="115"/>
      <c r="D305" s="115"/>
    </row>
    <row r="306" spans="3:4" x14ac:dyDescent="0.25">
      <c r="C306" s="115"/>
      <c r="D306" s="115"/>
    </row>
    <row r="307" spans="3:4" x14ac:dyDescent="0.25">
      <c r="C307" s="115"/>
      <c r="D307" s="115"/>
    </row>
    <row r="308" spans="3:4" x14ac:dyDescent="0.25">
      <c r="C308" s="115"/>
      <c r="D308" s="115"/>
    </row>
    <row r="309" spans="3:4" x14ac:dyDescent="0.25">
      <c r="C309" s="115"/>
      <c r="D309" s="115"/>
    </row>
    <row r="310" spans="3:4" x14ac:dyDescent="0.25">
      <c r="C310" s="115"/>
      <c r="D310" s="115"/>
    </row>
    <row r="311" spans="3:4" x14ac:dyDescent="0.25">
      <c r="C311" s="115"/>
      <c r="D311" s="115"/>
    </row>
    <row r="312" spans="3:4" x14ac:dyDescent="0.25">
      <c r="C312" s="115"/>
      <c r="D312" s="115"/>
    </row>
    <row r="313" spans="3:4" x14ac:dyDescent="0.25">
      <c r="C313" s="115"/>
      <c r="D313" s="115"/>
    </row>
    <row r="314" spans="3:4" x14ac:dyDescent="0.25">
      <c r="C314" s="115"/>
      <c r="D314" s="115"/>
    </row>
    <row r="315" spans="3:4" x14ac:dyDescent="0.25">
      <c r="C315" s="115"/>
      <c r="D315" s="115"/>
    </row>
    <row r="316" spans="3:4" x14ac:dyDescent="0.25">
      <c r="C316" s="115"/>
      <c r="D316" s="115"/>
    </row>
    <row r="317" spans="3:4" x14ac:dyDescent="0.25">
      <c r="C317" s="115"/>
      <c r="D317" s="115"/>
    </row>
    <row r="318" spans="3:4" x14ac:dyDescent="0.25">
      <c r="C318" s="115"/>
      <c r="D318" s="115"/>
    </row>
    <row r="319" spans="3:4" x14ac:dyDescent="0.25">
      <c r="C319" s="115"/>
      <c r="D319" s="115"/>
    </row>
    <row r="320" spans="3:4" x14ac:dyDescent="0.25">
      <c r="C320" s="115"/>
      <c r="D320" s="115"/>
    </row>
    <row r="321" spans="3:4" x14ac:dyDescent="0.25">
      <c r="C321" s="115"/>
      <c r="D321" s="115"/>
    </row>
    <row r="322" spans="3:4" x14ac:dyDescent="0.25">
      <c r="C322" s="115"/>
      <c r="D322" s="115"/>
    </row>
    <row r="323" spans="3:4" x14ac:dyDescent="0.25">
      <c r="C323" s="115"/>
      <c r="D323" s="115"/>
    </row>
    <row r="324" spans="3:4" x14ac:dyDescent="0.25">
      <c r="C324" s="115"/>
      <c r="D324" s="115"/>
    </row>
    <row r="325" spans="3:4" x14ac:dyDescent="0.25">
      <c r="C325" s="115"/>
      <c r="D325" s="115"/>
    </row>
    <row r="326" spans="3:4" x14ac:dyDescent="0.25">
      <c r="C326" s="115"/>
      <c r="D326" s="115"/>
    </row>
    <row r="327" spans="3:4" x14ac:dyDescent="0.25">
      <c r="C327" s="115"/>
      <c r="D327" s="115"/>
    </row>
    <row r="328" spans="3:4" x14ac:dyDescent="0.25">
      <c r="C328" s="115"/>
      <c r="D328" s="115"/>
    </row>
    <row r="329" spans="3:4" x14ac:dyDescent="0.25">
      <c r="C329" s="115"/>
      <c r="D329" s="115"/>
    </row>
    <row r="330" spans="3:4" x14ac:dyDescent="0.25">
      <c r="C330" s="115"/>
      <c r="D330" s="115"/>
    </row>
    <row r="331" spans="3:4" x14ac:dyDescent="0.25">
      <c r="C331" s="115"/>
      <c r="D331" s="115"/>
    </row>
    <row r="332" spans="3:4" x14ac:dyDescent="0.25">
      <c r="C332" s="115"/>
      <c r="D332" s="115"/>
    </row>
    <row r="333" spans="3:4" x14ac:dyDescent="0.25">
      <c r="C333" s="115"/>
      <c r="D333" s="115"/>
    </row>
    <row r="334" spans="3:4" x14ac:dyDescent="0.25">
      <c r="C334" s="115"/>
      <c r="D334" s="115"/>
    </row>
    <row r="335" spans="3:4" x14ac:dyDescent="0.25">
      <c r="C335" s="115"/>
      <c r="D335" s="115"/>
    </row>
    <row r="336" spans="3:4" x14ac:dyDescent="0.25">
      <c r="C336" s="115"/>
      <c r="D336" s="115"/>
    </row>
    <row r="337" spans="3:4" x14ac:dyDescent="0.25">
      <c r="C337" s="115"/>
      <c r="D337" s="115"/>
    </row>
    <row r="338" spans="3:4" x14ac:dyDescent="0.25">
      <c r="C338" s="115"/>
      <c r="D338" s="115"/>
    </row>
    <row r="339" spans="3:4" x14ac:dyDescent="0.25">
      <c r="C339" s="115"/>
      <c r="D339" s="115"/>
    </row>
    <row r="340" spans="3:4" x14ac:dyDescent="0.25">
      <c r="C340" s="115"/>
      <c r="D340" s="115"/>
    </row>
    <row r="341" spans="3:4" x14ac:dyDescent="0.25">
      <c r="C341" s="115"/>
      <c r="D341" s="115"/>
    </row>
    <row r="342" spans="3:4" x14ac:dyDescent="0.25">
      <c r="C342" s="115"/>
      <c r="D342" s="115"/>
    </row>
    <row r="343" spans="3:4" x14ac:dyDescent="0.25">
      <c r="C343" s="115"/>
      <c r="D343" s="115"/>
    </row>
    <row r="344" spans="3:4" x14ac:dyDescent="0.25">
      <c r="C344" s="115"/>
      <c r="D344" s="115"/>
    </row>
    <row r="345" spans="3:4" x14ac:dyDescent="0.25">
      <c r="C345" s="115"/>
      <c r="D345" s="115"/>
    </row>
    <row r="346" spans="3:4" x14ac:dyDescent="0.25">
      <c r="C346" s="115"/>
      <c r="D346" s="115"/>
    </row>
    <row r="347" spans="3:4" x14ac:dyDescent="0.25">
      <c r="C347" s="115"/>
      <c r="D347" s="115"/>
    </row>
    <row r="348" spans="3:4" x14ac:dyDescent="0.25">
      <c r="C348" s="115"/>
      <c r="D348" s="115"/>
    </row>
    <row r="349" spans="3:4" x14ac:dyDescent="0.25">
      <c r="C349" s="115"/>
      <c r="D349" s="115"/>
    </row>
    <row r="350" spans="3:4" x14ac:dyDescent="0.25">
      <c r="C350" s="115"/>
      <c r="D350" s="115"/>
    </row>
    <row r="351" spans="3:4" x14ac:dyDescent="0.25">
      <c r="C351" s="115"/>
      <c r="D351" s="115"/>
    </row>
    <row r="352" spans="3:4" x14ac:dyDescent="0.25">
      <c r="C352" s="115"/>
      <c r="D352" s="115"/>
    </row>
    <row r="353" spans="3:4" x14ac:dyDescent="0.25">
      <c r="C353" s="115"/>
      <c r="D353" s="115"/>
    </row>
    <row r="354" spans="3:4" x14ac:dyDescent="0.25">
      <c r="C354" s="115"/>
      <c r="D354" s="115"/>
    </row>
    <row r="355" spans="3:4" x14ac:dyDescent="0.25">
      <c r="C355" s="115"/>
      <c r="D355" s="115"/>
    </row>
    <row r="356" spans="3:4" x14ac:dyDescent="0.25">
      <c r="C356" s="115"/>
      <c r="D356" s="115"/>
    </row>
    <row r="357" spans="3:4" x14ac:dyDescent="0.25">
      <c r="C357" s="115"/>
      <c r="D357" s="115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6" bestFit="1" customWidth="1"/>
    <col min="3" max="3" width="8.625" style="87" bestFit="1" customWidth="1"/>
    <col min="4" max="4" width="8.25" bestFit="1" customWidth="1"/>
  </cols>
  <sheetData>
    <row r="1" spans="1:5" ht="17.25" x14ac:dyDescent="0.25">
      <c r="A1" s="118" t="s">
        <v>529</v>
      </c>
      <c r="B1" s="111" t="s">
        <v>530</v>
      </c>
      <c r="C1" s="111" t="s">
        <v>531</v>
      </c>
      <c r="D1" s="110" t="s">
        <v>532</v>
      </c>
      <c r="E1" s="181" t="s">
        <v>533</v>
      </c>
    </row>
    <row r="2" spans="1:5" x14ac:dyDescent="0.25">
      <c r="A2" s="119" t="s">
        <v>547</v>
      </c>
      <c r="B2" s="135">
        <v>250</v>
      </c>
      <c r="C2" s="135">
        <v>370</v>
      </c>
      <c r="D2" s="112">
        <v>10</v>
      </c>
      <c r="E2" s="181"/>
    </row>
    <row r="3" spans="1:5" ht="18.75" x14ac:dyDescent="0.25">
      <c r="A3" s="120" t="s">
        <v>534</v>
      </c>
      <c r="B3" s="113" t="s">
        <v>535</v>
      </c>
      <c r="C3" s="113" t="s">
        <v>536</v>
      </c>
      <c r="D3" s="113" t="s">
        <v>537</v>
      </c>
    </row>
    <row r="4" spans="1:5" x14ac:dyDescent="0.25">
      <c r="A4" s="136">
        <v>250</v>
      </c>
      <c r="B4" s="114">
        <v>6.348903861172178</v>
      </c>
      <c r="C4" s="136">
        <v>332.18064235444302</v>
      </c>
      <c r="D4" s="136">
        <v>93.670700099296852</v>
      </c>
    </row>
    <row r="5" spans="1:5" x14ac:dyDescent="0.25">
      <c r="A5" s="136">
        <v>262</v>
      </c>
      <c r="B5" s="114">
        <v>6.1498258188782637</v>
      </c>
      <c r="C5" s="115"/>
      <c r="D5" s="115"/>
    </row>
    <row r="6" spans="1:5" x14ac:dyDescent="0.25">
      <c r="A6" s="136">
        <v>274</v>
      </c>
      <c r="B6" s="114">
        <v>5.9695243839913319</v>
      </c>
      <c r="C6" s="115"/>
      <c r="D6" s="115"/>
    </row>
    <row r="7" spans="1:5" x14ac:dyDescent="0.25">
      <c r="A7" s="136">
        <v>286</v>
      </c>
      <c r="B7" s="114">
        <v>5.8155690190494296</v>
      </c>
      <c r="C7" s="115"/>
      <c r="D7" s="115"/>
    </row>
    <row r="8" spans="1:5" x14ac:dyDescent="0.25">
      <c r="A8" s="136">
        <v>298</v>
      </c>
      <c r="B8" s="114">
        <v>5.6954656795781622</v>
      </c>
      <c r="C8" s="115"/>
      <c r="D8" s="115"/>
    </row>
    <row r="9" spans="1:5" x14ac:dyDescent="0.25">
      <c r="A9" s="136">
        <v>310</v>
      </c>
      <c r="B9" s="114">
        <v>5.6141556873645264</v>
      </c>
      <c r="C9" s="115"/>
      <c r="D9" s="115"/>
    </row>
    <row r="10" spans="1:5" x14ac:dyDescent="0.25">
      <c r="A10" s="136">
        <v>322</v>
      </c>
      <c r="B10" s="114">
        <v>5.5790003013385361</v>
      </c>
      <c r="C10" s="115"/>
      <c r="D10" s="115"/>
    </row>
    <row r="11" spans="1:5" x14ac:dyDescent="0.25">
      <c r="A11" s="136">
        <v>334</v>
      </c>
      <c r="B11" s="114">
        <v>5.5922992427878917</v>
      </c>
      <c r="C11" s="115"/>
      <c r="D11" s="115"/>
    </row>
    <row r="12" spans="1:5" x14ac:dyDescent="0.25">
      <c r="A12" s="136">
        <v>346</v>
      </c>
      <c r="B12" s="114">
        <v>5.6367175385295383</v>
      </c>
      <c r="C12" s="115"/>
      <c r="D12" s="115"/>
    </row>
    <row r="13" spans="1:5" x14ac:dyDescent="0.25">
      <c r="A13" s="136">
        <v>358</v>
      </c>
      <c r="B13" s="114">
        <v>5.6800823961017244</v>
      </c>
      <c r="C13" s="115"/>
      <c r="D13" s="115"/>
    </row>
    <row r="14" spans="1:5" x14ac:dyDescent="0.25">
      <c r="A14" s="136">
        <v>370</v>
      </c>
      <c r="B14" s="114">
        <v>5.7022319106729586</v>
      </c>
      <c r="C14" s="115"/>
      <c r="D14" s="115"/>
    </row>
    <row r="15" spans="1:5" x14ac:dyDescent="0.25">
      <c r="A15" s="136"/>
      <c r="B15" s="114"/>
      <c r="C15" s="115"/>
      <c r="D15" s="115"/>
    </row>
    <row r="16" spans="1:5" x14ac:dyDescent="0.25">
      <c r="A16" s="136"/>
      <c r="B16" s="114"/>
      <c r="C16" s="115"/>
      <c r="D16" s="115"/>
    </row>
    <row r="17" spans="1:4" x14ac:dyDescent="0.25">
      <c r="A17" s="136"/>
      <c r="B17" s="114"/>
      <c r="C17" s="115"/>
      <c r="D17" s="115"/>
    </row>
    <row r="18" spans="1:4" x14ac:dyDescent="0.25">
      <c r="A18" s="136"/>
      <c r="B18" s="114"/>
      <c r="C18" s="115"/>
      <c r="D18" s="115"/>
    </row>
    <row r="19" spans="1:4" x14ac:dyDescent="0.25">
      <c r="A19" s="136"/>
      <c r="B19" s="114"/>
      <c r="C19" s="115"/>
      <c r="D19" s="115"/>
    </row>
    <row r="20" spans="1:4" x14ac:dyDescent="0.25">
      <c r="A20" s="136"/>
      <c r="B20" s="114"/>
      <c r="C20" s="115"/>
      <c r="D20" s="115"/>
    </row>
    <row r="21" spans="1:4" x14ac:dyDescent="0.25">
      <c r="A21" s="136"/>
      <c r="B21" s="114"/>
      <c r="C21" s="115"/>
      <c r="D21" s="115"/>
    </row>
    <row r="22" spans="1:4" x14ac:dyDescent="0.25">
      <c r="A22" s="136"/>
      <c r="B22" s="114"/>
      <c r="C22" s="115"/>
      <c r="D22" s="115"/>
    </row>
    <row r="23" spans="1:4" x14ac:dyDescent="0.25">
      <c r="A23" s="136"/>
      <c r="B23" s="114"/>
      <c r="C23" s="115"/>
      <c r="D23" s="115"/>
    </row>
    <row r="24" spans="1:4" x14ac:dyDescent="0.25">
      <c r="A24" s="136"/>
      <c r="B24" s="114"/>
      <c r="C24" s="115"/>
      <c r="D24" s="115"/>
    </row>
    <row r="25" spans="1:4" x14ac:dyDescent="0.25">
      <c r="B25" s="114"/>
      <c r="C25" s="115"/>
      <c r="D25" s="115"/>
    </row>
    <row r="26" spans="1:4" x14ac:dyDescent="0.25">
      <c r="B26" s="114"/>
      <c r="C26" s="115"/>
      <c r="D26" s="115"/>
    </row>
    <row r="27" spans="1:4" x14ac:dyDescent="0.25">
      <c r="B27" s="114"/>
      <c r="C27" s="115"/>
      <c r="D27" s="115"/>
    </row>
    <row r="28" spans="1:4" x14ac:dyDescent="0.25">
      <c r="B28" s="114"/>
      <c r="C28" s="115"/>
      <c r="D28" s="115"/>
    </row>
    <row r="29" spans="1:4" x14ac:dyDescent="0.25">
      <c r="B29" s="114"/>
      <c r="C29" s="115"/>
      <c r="D29" s="115"/>
    </row>
    <row r="30" spans="1:4" x14ac:dyDescent="0.25">
      <c r="B30" s="114"/>
      <c r="C30" s="115"/>
      <c r="D30" s="115"/>
    </row>
    <row r="31" spans="1:4" x14ac:dyDescent="0.25">
      <c r="B31" s="114"/>
      <c r="C31" s="115"/>
      <c r="D31" s="115"/>
    </row>
    <row r="32" spans="1:4" x14ac:dyDescent="0.25">
      <c r="B32" s="114"/>
      <c r="C32" s="115"/>
      <c r="D32" s="115"/>
    </row>
    <row r="33" spans="2:4" x14ac:dyDescent="0.25">
      <c r="B33" s="114"/>
      <c r="C33" s="115"/>
      <c r="D33" s="115"/>
    </row>
    <row r="34" spans="2:4" x14ac:dyDescent="0.25">
      <c r="B34" s="114"/>
      <c r="C34" s="115"/>
      <c r="D34" s="115"/>
    </row>
    <row r="35" spans="2:4" x14ac:dyDescent="0.25">
      <c r="C35" s="115"/>
      <c r="D35" s="115"/>
    </row>
    <row r="36" spans="2:4" x14ac:dyDescent="0.25">
      <c r="C36" s="115"/>
      <c r="D36" s="115"/>
    </row>
    <row r="37" spans="2:4" x14ac:dyDescent="0.25">
      <c r="C37" s="115"/>
      <c r="D37" s="115"/>
    </row>
    <row r="38" spans="2:4" x14ac:dyDescent="0.25">
      <c r="C38" s="115"/>
      <c r="D38" s="115"/>
    </row>
    <row r="39" spans="2:4" x14ac:dyDescent="0.25">
      <c r="C39" s="115"/>
      <c r="D39" s="115"/>
    </row>
    <row r="40" spans="2:4" x14ac:dyDescent="0.25">
      <c r="C40" s="115"/>
      <c r="D40" s="115"/>
    </row>
    <row r="41" spans="2:4" x14ac:dyDescent="0.25">
      <c r="C41" s="115"/>
      <c r="D41" s="115"/>
    </row>
    <row r="42" spans="2:4" x14ac:dyDescent="0.25">
      <c r="C42" s="115"/>
      <c r="D42" s="115"/>
    </row>
    <row r="43" spans="2:4" x14ac:dyDescent="0.25">
      <c r="C43" s="115"/>
      <c r="D43" s="115"/>
    </row>
    <row r="44" spans="2:4" x14ac:dyDescent="0.25">
      <c r="C44" s="115"/>
      <c r="D44" s="115"/>
    </row>
    <row r="45" spans="2:4" x14ac:dyDescent="0.25">
      <c r="C45" s="115"/>
      <c r="D45" s="115"/>
    </row>
    <row r="46" spans="2:4" x14ac:dyDescent="0.25">
      <c r="C46" s="115"/>
      <c r="D46" s="115"/>
    </row>
    <row r="47" spans="2:4" x14ac:dyDescent="0.25">
      <c r="C47" s="115"/>
      <c r="D47" s="115"/>
    </row>
    <row r="48" spans="2:4" x14ac:dyDescent="0.25">
      <c r="C48" s="115"/>
      <c r="D48" s="115"/>
    </row>
    <row r="49" spans="3:4" x14ac:dyDescent="0.25">
      <c r="C49" s="115"/>
      <c r="D49" s="115"/>
    </row>
    <row r="50" spans="3:4" x14ac:dyDescent="0.25">
      <c r="C50" s="115"/>
      <c r="D50" s="115"/>
    </row>
    <row r="51" spans="3:4" x14ac:dyDescent="0.25">
      <c r="C51" s="115"/>
      <c r="D51" s="115"/>
    </row>
    <row r="52" spans="3:4" x14ac:dyDescent="0.25">
      <c r="C52" s="115"/>
      <c r="D52" s="115"/>
    </row>
    <row r="53" spans="3:4" x14ac:dyDescent="0.25">
      <c r="C53" s="115"/>
      <c r="D53" s="115"/>
    </row>
    <row r="54" spans="3:4" x14ac:dyDescent="0.25">
      <c r="C54" s="115"/>
      <c r="D54" s="115"/>
    </row>
    <row r="55" spans="3:4" x14ac:dyDescent="0.25">
      <c r="C55" s="115"/>
      <c r="D55" s="115"/>
    </row>
    <row r="56" spans="3:4" x14ac:dyDescent="0.25">
      <c r="C56" s="115"/>
      <c r="D56" s="115"/>
    </row>
    <row r="57" spans="3:4" x14ac:dyDescent="0.25">
      <c r="C57" s="115"/>
      <c r="D57" s="115"/>
    </row>
    <row r="58" spans="3:4" x14ac:dyDescent="0.25">
      <c r="C58" s="115"/>
      <c r="D58" s="115"/>
    </row>
    <row r="59" spans="3:4" x14ac:dyDescent="0.25">
      <c r="C59" s="115"/>
      <c r="D59" s="115"/>
    </row>
    <row r="60" spans="3:4" x14ac:dyDescent="0.25">
      <c r="C60" s="115"/>
      <c r="D60" s="115"/>
    </row>
    <row r="61" spans="3:4" x14ac:dyDescent="0.25">
      <c r="C61" s="115"/>
      <c r="D61" s="115"/>
    </row>
    <row r="62" spans="3:4" x14ac:dyDescent="0.25">
      <c r="C62" s="115"/>
      <c r="D62" s="115"/>
    </row>
    <row r="63" spans="3:4" x14ac:dyDescent="0.25">
      <c r="C63" s="115"/>
      <c r="D63" s="115"/>
    </row>
    <row r="64" spans="3:4" x14ac:dyDescent="0.25">
      <c r="C64" s="115"/>
      <c r="D64" s="115"/>
    </row>
    <row r="65" spans="3:4" x14ac:dyDescent="0.25">
      <c r="C65" s="115"/>
      <c r="D65" s="115"/>
    </row>
    <row r="66" spans="3:4" x14ac:dyDescent="0.25">
      <c r="C66" s="115"/>
      <c r="D66" s="115"/>
    </row>
    <row r="67" spans="3:4" x14ac:dyDescent="0.25">
      <c r="C67" s="115"/>
      <c r="D67" s="115"/>
    </row>
    <row r="68" spans="3:4" x14ac:dyDescent="0.25">
      <c r="C68" s="115"/>
      <c r="D68" s="115"/>
    </row>
    <row r="69" spans="3:4" x14ac:dyDescent="0.25">
      <c r="C69" s="115"/>
      <c r="D69" s="115"/>
    </row>
    <row r="70" spans="3:4" x14ac:dyDescent="0.25">
      <c r="C70" s="115"/>
      <c r="D70" s="115"/>
    </row>
    <row r="71" spans="3:4" x14ac:dyDescent="0.25">
      <c r="C71" s="115"/>
      <c r="D71" s="115"/>
    </row>
    <row r="72" spans="3:4" x14ac:dyDescent="0.25">
      <c r="C72" s="115"/>
      <c r="D72" s="115"/>
    </row>
    <row r="73" spans="3:4" x14ac:dyDescent="0.25">
      <c r="C73" s="115"/>
      <c r="D73" s="115"/>
    </row>
    <row r="74" spans="3:4" x14ac:dyDescent="0.25">
      <c r="C74" s="115"/>
      <c r="D74" s="115"/>
    </row>
    <row r="75" spans="3:4" x14ac:dyDescent="0.25">
      <c r="C75" s="115"/>
      <c r="D75" s="115"/>
    </row>
    <row r="76" spans="3:4" x14ac:dyDescent="0.25">
      <c r="C76" s="115"/>
      <c r="D76" s="115"/>
    </row>
    <row r="77" spans="3:4" x14ac:dyDescent="0.25">
      <c r="C77" s="115"/>
      <c r="D77" s="115"/>
    </row>
    <row r="78" spans="3:4" x14ac:dyDescent="0.25">
      <c r="C78" s="115"/>
      <c r="D78" s="115"/>
    </row>
    <row r="79" spans="3:4" x14ac:dyDescent="0.25">
      <c r="C79" s="115"/>
      <c r="D79" s="115"/>
    </row>
    <row r="80" spans="3:4" x14ac:dyDescent="0.25">
      <c r="C80" s="115"/>
      <c r="D80" s="115"/>
    </row>
    <row r="81" spans="3:4" x14ac:dyDescent="0.25">
      <c r="C81" s="115"/>
      <c r="D81" s="115"/>
    </row>
    <row r="82" spans="3:4" x14ac:dyDescent="0.25">
      <c r="C82" s="115"/>
      <c r="D82" s="115"/>
    </row>
    <row r="83" spans="3:4" x14ac:dyDescent="0.25">
      <c r="C83" s="115"/>
      <c r="D83" s="115"/>
    </row>
    <row r="84" spans="3:4" x14ac:dyDescent="0.25">
      <c r="C84" s="115"/>
      <c r="D84" s="115"/>
    </row>
    <row r="85" spans="3:4" x14ac:dyDescent="0.25">
      <c r="C85" s="115"/>
      <c r="D85" s="115"/>
    </row>
    <row r="86" spans="3:4" x14ac:dyDescent="0.25">
      <c r="C86" s="115"/>
      <c r="D86" s="115"/>
    </row>
    <row r="87" spans="3:4" x14ac:dyDescent="0.25">
      <c r="C87" s="115"/>
      <c r="D87" s="115"/>
    </row>
    <row r="88" spans="3:4" x14ac:dyDescent="0.25">
      <c r="C88" s="115"/>
      <c r="D88" s="115"/>
    </row>
    <row r="89" spans="3:4" x14ac:dyDescent="0.25">
      <c r="C89" s="115"/>
      <c r="D89" s="115"/>
    </row>
    <row r="90" spans="3:4" x14ac:dyDescent="0.25">
      <c r="C90" s="115"/>
      <c r="D90" s="115"/>
    </row>
    <row r="91" spans="3:4" x14ac:dyDescent="0.25">
      <c r="C91" s="115"/>
      <c r="D91" s="115"/>
    </row>
    <row r="92" spans="3:4" x14ac:dyDescent="0.25">
      <c r="C92" s="115"/>
      <c r="D92" s="115"/>
    </row>
    <row r="93" spans="3:4" x14ac:dyDescent="0.25">
      <c r="C93" s="115"/>
      <c r="D93" s="115"/>
    </row>
    <row r="94" spans="3:4" x14ac:dyDescent="0.25">
      <c r="C94" s="115"/>
      <c r="D94" s="115"/>
    </row>
    <row r="95" spans="3:4" x14ac:dyDescent="0.25">
      <c r="C95" s="115"/>
      <c r="D95" s="115"/>
    </row>
    <row r="96" spans="3:4" x14ac:dyDescent="0.25">
      <c r="C96" s="115"/>
      <c r="D96" s="115"/>
    </row>
    <row r="97" spans="3:4" x14ac:dyDescent="0.25">
      <c r="C97" s="115"/>
      <c r="D97" s="115"/>
    </row>
    <row r="98" spans="3:4" x14ac:dyDescent="0.25">
      <c r="C98" s="115"/>
      <c r="D98" s="115"/>
    </row>
    <row r="99" spans="3:4" x14ac:dyDescent="0.25">
      <c r="C99" s="115"/>
      <c r="D99" s="115"/>
    </row>
    <row r="100" spans="3:4" x14ac:dyDescent="0.25">
      <c r="C100" s="115"/>
      <c r="D100" s="115"/>
    </row>
    <row r="101" spans="3:4" x14ac:dyDescent="0.25">
      <c r="C101" s="115"/>
      <c r="D101" s="115"/>
    </row>
    <row r="102" spans="3:4" x14ac:dyDescent="0.25">
      <c r="C102" s="115"/>
      <c r="D102" s="115"/>
    </row>
    <row r="103" spans="3:4" x14ac:dyDescent="0.25">
      <c r="C103" s="115"/>
      <c r="D103" s="115"/>
    </row>
    <row r="104" spans="3:4" x14ac:dyDescent="0.25">
      <c r="C104" s="115"/>
      <c r="D104" s="115"/>
    </row>
    <row r="105" spans="3:4" x14ac:dyDescent="0.25">
      <c r="C105" s="115"/>
      <c r="D105" s="115"/>
    </row>
    <row r="106" spans="3:4" x14ac:dyDescent="0.25">
      <c r="C106" s="115"/>
      <c r="D106" s="115"/>
    </row>
    <row r="107" spans="3:4" x14ac:dyDescent="0.25">
      <c r="C107" s="115"/>
      <c r="D107" s="115"/>
    </row>
    <row r="108" spans="3:4" x14ac:dyDescent="0.25">
      <c r="C108" s="115"/>
      <c r="D108" s="115"/>
    </row>
    <row r="109" spans="3:4" x14ac:dyDescent="0.25">
      <c r="C109" s="115"/>
      <c r="D109" s="115"/>
    </row>
    <row r="110" spans="3:4" x14ac:dyDescent="0.25">
      <c r="C110" s="115"/>
      <c r="D110" s="115"/>
    </row>
    <row r="111" spans="3:4" x14ac:dyDescent="0.25">
      <c r="C111" s="115"/>
      <c r="D111" s="115"/>
    </row>
    <row r="112" spans="3:4" x14ac:dyDescent="0.25">
      <c r="C112" s="115"/>
      <c r="D112" s="115"/>
    </row>
    <row r="113" spans="3:4" x14ac:dyDescent="0.25">
      <c r="C113" s="115"/>
      <c r="D113" s="115"/>
    </row>
    <row r="114" spans="3:4" x14ac:dyDescent="0.25">
      <c r="C114" s="115"/>
      <c r="D114" s="115"/>
    </row>
    <row r="115" spans="3:4" x14ac:dyDescent="0.25">
      <c r="C115" s="115"/>
      <c r="D115" s="115"/>
    </row>
    <row r="116" spans="3:4" x14ac:dyDescent="0.25">
      <c r="C116" s="115"/>
      <c r="D116" s="115"/>
    </row>
    <row r="117" spans="3:4" x14ac:dyDescent="0.25">
      <c r="C117" s="115"/>
      <c r="D117" s="115"/>
    </row>
    <row r="118" spans="3:4" x14ac:dyDescent="0.25">
      <c r="C118" s="115"/>
      <c r="D118" s="115"/>
    </row>
    <row r="119" spans="3:4" x14ac:dyDescent="0.25">
      <c r="C119" s="115"/>
      <c r="D119" s="115"/>
    </row>
    <row r="120" spans="3:4" x14ac:dyDescent="0.25">
      <c r="C120" s="115"/>
      <c r="D120" s="115"/>
    </row>
    <row r="121" spans="3:4" x14ac:dyDescent="0.25">
      <c r="C121" s="115"/>
      <c r="D121" s="115"/>
    </row>
    <row r="122" spans="3:4" x14ac:dyDescent="0.25">
      <c r="C122" s="115"/>
      <c r="D122" s="115"/>
    </row>
    <row r="123" spans="3:4" x14ac:dyDescent="0.25">
      <c r="C123" s="115"/>
      <c r="D123" s="115"/>
    </row>
    <row r="124" spans="3:4" x14ac:dyDescent="0.25">
      <c r="C124" s="115"/>
      <c r="D124" s="115"/>
    </row>
    <row r="125" spans="3:4" x14ac:dyDescent="0.25">
      <c r="C125" s="115"/>
      <c r="D125" s="115"/>
    </row>
    <row r="126" spans="3:4" x14ac:dyDescent="0.25">
      <c r="C126" s="115"/>
      <c r="D126" s="115"/>
    </row>
    <row r="127" spans="3:4" x14ac:dyDescent="0.25">
      <c r="C127" s="115"/>
      <c r="D127" s="115"/>
    </row>
    <row r="128" spans="3:4" x14ac:dyDescent="0.25">
      <c r="C128" s="115"/>
      <c r="D128" s="115"/>
    </row>
    <row r="129" spans="3:4" x14ac:dyDescent="0.25">
      <c r="C129" s="115"/>
      <c r="D129" s="115"/>
    </row>
    <row r="130" spans="3:4" x14ac:dyDescent="0.25">
      <c r="C130" s="115"/>
      <c r="D130" s="115"/>
    </row>
    <row r="131" spans="3:4" x14ac:dyDescent="0.25">
      <c r="C131" s="115"/>
      <c r="D131" s="115"/>
    </row>
    <row r="132" spans="3:4" x14ac:dyDescent="0.25">
      <c r="C132" s="115"/>
      <c r="D132" s="115"/>
    </row>
    <row r="133" spans="3:4" x14ac:dyDescent="0.25">
      <c r="C133" s="115"/>
      <c r="D133" s="115"/>
    </row>
    <row r="134" spans="3:4" x14ac:dyDescent="0.25">
      <c r="C134" s="115"/>
      <c r="D134" s="115"/>
    </row>
    <row r="135" spans="3:4" x14ac:dyDescent="0.25">
      <c r="C135" s="115"/>
      <c r="D135" s="115"/>
    </row>
    <row r="136" spans="3:4" x14ac:dyDescent="0.25">
      <c r="C136" s="115"/>
      <c r="D136" s="115"/>
    </row>
    <row r="137" spans="3:4" x14ac:dyDescent="0.25">
      <c r="C137" s="115"/>
      <c r="D137" s="115"/>
    </row>
    <row r="138" spans="3:4" x14ac:dyDescent="0.25">
      <c r="C138" s="115"/>
      <c r="D138" s="115"/>
    </row>
    <row r="139" spans="3:4" x14ac:dyDescent="0.25">
      <c r="C139" s="115"/>
      <c r="D139" s="115"/>
    </row>
    <row r="140" spans="3:4" x14ac:dyDescent="0.25">
      <c r="C140" s="115"/>
      <c r="D140" s="115"/>
    </row>
    <row r="141" spans="3:4" x14ac:dyDescent="0.25">
      <c r="C141" s="115"/>
      <c r="D141" s="115"/>
    </row>
    <row r="142" spans="3:4" x14ac:dyDescent="0.25">
      <c r="C142" s="115"/>
      <c r="D142" s="115"/>
    </row>
    <row r="143" spans="3:4" x14ac:dyDescent="0.25">
      <c r="C143" s="115"/>
      <c r="D143" s="115"/>
    </row>
    <row r="144" spans="3:4" x14ac:dyDescent="0.25">
      <c r="C144" s="115"/>
      <c r="D144" s="115"/>
    </row>
    <row r="145" spans="3:4" x14ac:dyDescent="0.25">
      <c r="C145" s="115"/>
      <c r="D145" s="115"/>
    </row>
    <row r="146" spans="3:4" x14ac:dyDescent="0.25">
      <c r="C146" s="115"/>
      <c r="D146" s="115"/>
    </row>
    <row r="147" spans="3:4" x14ac:dyDescent="0.25">
      <c r="C147" s="115"/>
      <c r="D147" s="115"/>
    </row>
    <row r="148" spans="3:4" x14ac:dyDescent="0.25">
      <c r="C148" s="115"/>
      <c r="D148" s="115"/>
    </row>
    <row r="149" spans="3:4" x14ac:dyDescent="0.25">
      <c r="C149" s="115"/>
      <c r="D149" s="115"/>
    </row>
    <row r="150" spans="3:4" x14ac:dyDescent="0.25">
      <c r="C150" s="115"/>
      <c r="D150" s="115"/>
    </row>
    <row r="151" spans="3:4" x14ac:dyDescent="0.25">
      <c r="C151" s="115"/>
      <c r="D151" s="115"/>
    </row>
    <row r="152" spans="3:4" x14ac:dyDescent="0.25">
      <c r="C152" s="115"/>
      <c r="D152" s="115"/>
    </row>
    <row r="153" spans="3:4" x14ac:dyDescent="0.25">
      <c r="C153" s="115"/>
      <c r="D153" s="115"/>
    </row>
    <row r="154" spans="3:4" x14ac:dyDescent="0.25">
      <c r="C154" s="115"/>
      <c r="D154" s="115"/>
    </row>
    <row r="155" spans="3:4" x14ac:dyDescent="0.25">
      <c r="C155" s="115"/>
      <c r="D155" s="115"/>
    </row>
    <row r="156" spans="3:4" x14ac:dyDescent="0.25">
      <c r="C156" s="115"/>
      <c r="D156" s="115"/>
    </row>
    <row r="157" spans="3:4" x14ac:dyDescent="0.25">
      <c r="C157" s="115"/>
      <c r="D157" s="115"/>
    </row>
    <row r="158" spans="3:4" x14ac:dyDescent="0.25">
      <c r="C158" s="115"/>
      <c r="D158" s="115"/>
    </row>
    <row r="159" spans="3:4" x14ac:dyDescent="0.25">
      <c r="C159" s="115"/>
      <c r="D159" s="115"/>
    </row>
    <row r="160" spans="3:4" x14ac:dyDescent="0.25">
      <c r="C160" s="115"/>
      <c r="D160" s="115"/>
    </row>
    <row r="161" spans="3:4" x14ac:dyDescent="0.25">
      <c r="C161" s="115"/>
      <c r="D161" s="115"/>
    </row>
    <row r="162" spans="3:4" x14ac:dyDescent="0.25">
      <c r="C162" s="115"/>
      <c r="D162" s="115"/>
    </row>
    <row r="163" spans="3:4" x14ac:dyDescent="0.25">
      <c r="C163" s="115"/>
      <c r="D163" s="115"/>
    </row>
    <row r="164" spans="3:4" x14ac:dyDescent="0.25">
      <c r="C164" s="115"/>
      <c r="D164" s="115"/>
    </row>
    <row r="165" spans="3:4" x14ac:dyDescent="0.25">
      <c r="C165" s="115"/>
      <c r="D165" s="115"/>
    </row>
    <row r="166" spans="3:4" x14ac:dyDescent="0.25">
      <c r="C166" s="115"/>
      <c r="D166" s="115"/>
    </row>
    <row r="167" spans="3:4" x14ac:dyDescent="0.25">
      <c r="C167" s="115"/>
      <c r="D167" s="115"/>
    </row>
    <row r="168" spans="3:4" x14ac:dyDescent="0.25">
      <c r="C168" s="115"/>
      <c r="D168" s="115"/>
    </row>
    <row r="169" spans="3:4" x14ac:dyDescent="0.25">
      <c r="C169" s="115"/>
      <c r="D169" s="115"/>
    </row>
    <row r="170" spans="3:4" x14ac:dyDescent="0.25">
      <c r="C170" s="115"/>
      <c r="D170" s="115"/>
    </row>
    <row r="171" spans="3:4" x14ac:dyDescent="0.25">
      <c r="C171" s="115"/>
      <c r="D171" s="115"/>
    </row>
    <row r="172" spans="3:4" x14ac:dyDescent="0.25">
      <c r="C172" s="115"/>
      <c r="D172" s="115"/>
    </row>
    <row r="173" spans="3:4" x14ac:dyDescent="0.25">
      <c r="C173" s="115"/>
      <c r="D173" s="115"/>
    </row>
    <row r="174" spans="3:4" x14ac:dyDescent="0.25">
      <c r="C174" s="115"/>
      <c r="D174" s="115"/>
    </row>
    <row r="175" spans="3:4" x14ac:dyDescent="0.25">
      <c r="C175" s="115"/>
      <c r="D175" s="115"/>
    </row>
    <row r="176" spans="3:4" x14ac:dyDescent="0.25">
      <c r="C176" s="115"/>
      <c r="D176" s="115"/>
    </row>
    <row r="177" spans="3:4" x14ac:dyDescent="0.25">
      <c r="C177" s="115"/>
      <c r="D177" s="115"/>
    </row>
    <row r="178" spans="3:4" x14ac:dyDescent="0.25">
      <c r="C178" s="115"/>
      <c r="D178" s="115"/>
    </row>
    <row r="179" spans="3:4" x14ac:dyDescent="0.25">
      <c r="C179" s="115"/>
      <c r="D179" s="115"/>
    </row>
    <row r="180" spans="3:4" x14ac:dyDescent="0.25">
      <c r="C180" s="115"/>
      <c r="D180" s="115"/>
    </row>
    <row r="181" spans="3:4" x14ac:dyDescent="0.25">
      <c r="C181" s="115"/>
      <c r="D181" s="115"/>
    </row>
    <row r="182" spans="3:4" x14ac:dyDescent="0.25">
      <c r="C182" s="115"/>
      <c r="D182" s="115"/>
    </row>
    <row r="183" spans="3:4" x14ac:dyDescent="0.25">
      <c r="C183" s="115"/>
      <c r="D183" s="115"/>
    </row>
    <row r="184" spans="3:4" x14ac:dyDescent="0.25">
      <c r="C184" s="115"/>
      <c r="D184" s="115"/>
    </row>
    <row r="185" spans="3:4" x14ac:dyDescent="0.25">
      <c r="C185" s="115"/>
      <c r="D185" s="115"/>
    </row>
    <row r="186" spans="3:4" x14ac:dyDescent="0.25">
      <c r="C186" s="115"/>
      <c r="D186" s="115"/>
    </row>
    <row r="187" spans="3:4" x14ac:dyDescent="0.25">
      <c r="C187" s="115"/>
      <c r="D187" s="115"/>
    </row>
    <row r="188" spans="3:4" x14ac:dyDescent="0.25">
      <c r="C188" s="115"/>
      <c r="D188" s="115"/>
    </row>
    <row r="189" spans="3:4" x14ac:dyDescent="0.25">
      <c r="C189" s="115"/>
      <c r="D189" s="115"/>
    </row>
    <row r="190" spans="3:4" x14ac:dyDescent="0.25">
      <c r="C190" s="115"/>
      <c r="D190" s="115"/>
    </row>
    <row r="191" spans="3:4" x14ac:dyDescent="0.25">
      <c r="C191" s="115"/>
      <c r="D191" s="115"/>
    </row>
    <row r="192" spans="3:4" x14ac:dyDescent="0.25">
      <c r="C192" s="115"/>
      <c r="D192" s="115"/>
    </row>
    <row r="193" spans="3:4" x14ac:dyDescent="0.25">
      <c r="C193" s="115"/>
      <c r="D193" s="115"/>
    </row>
    <row r="194" spans="3:4" x14ac:dyDescent="0.25">
      <c r="C194" s="115"/>
      <c r="D194" s="115"/>
    </row>
    <row r="195" spans="3:4" x14ac:dyDescent="0.25">
      <c r="C195" s="115"/>
      <c r="D195" s="115"/>
    </row>
    <row r="196" spans="3:4" x14ac:dyDescent="0.25">
      <c r="C196" s="115"/>
      <c r="D196" s="115"/>
    </row>
    <row r="197" spans="3:4" x14ac:dyDescent="0.25">
      <c r="C197" s="115"/>
      <c r="D197" s="115"/>
    </row>
    <row r="198" spans="3:4" x14ac:dyDescent="0.25">
      <c r="C198" s="115"/>
      <c r="D198" s="115"/>
    </row>
    <row r="199" spans="3:4" x14ac:dyDescent="0.25">
      <c r="C199" s="115"/>
      <c r="D199" s="115"/>
    </row>
    <row r="200" spans="3:4" x14ac:dyDescent="0.25">
      <c r="C200" s="115"/>
      <c r="D200" s="115"/>
    </row>
    <row r="201" spans="3:4" x14ac:dyDescent="0.25">
      <c r="C201" s="115"/>
      <c r="D201" s="115"/>
    </row>
    <row r="202" spans="3:4" x14ac:dyDescent="0.25">
      <c r="C202" s="115"/>
      <c r="D202" s="115"/>
    </row>
    <row r="203" spans="3:4" x14ac:dyDescent="0.25">
      <c r="C203" s="115"/>
      <c r="D203" s="115"/>
    </row>
    <row r="204" spans="3:4" x14ac:dyDescent="0.25">
      <c r="C204" s="115"/>
      <c r="D204" s="115"/>
    </row>
    <row r="205" spans="3:4" x14ac:dyDescent="0.25">
      <c r="C205" s="115"/>
      <c r="D205" s="115"/>
    </row>
    <row r="206" spans="3:4" x14ac:dyDescent="0.25">
      <c r="C206" s="115"/>
      <c r="D206" s="115"/>
    </row>
    <row r="207" spans="3:4" x14ac:dyDescent="0.25">
      <c r="C207" s="115"/>
      <c r="D207" s="115"/>
    </row>
    <row r="208" spans="3:4" x14ac:dyDescent="0.25">
      <c r="C208" s="115"/>
      <c r="D208" s="115"/>
    </row>
    <row r="209" spans="3:4" x14ac:dyDescent="0.25">
      <c r="C209" s="115"/>
      <c r="D209" s="115"/>
    </row>
    <row r="210" spans="3:4" x14ac:dyDescent="0.25">
      <c r="C210" s="115"/>
      <c r="D210" s="115"/>
    </row>
    <row r="211" spans="3:4" x14ac:dyDescent="0.25">
      <c r="C211" s="115"/>
      <c r="D211" s="115"/>
    </row>
    <row r="212" spans="3:4" x14ac:dyDescent="0.25">
      <c r="C212" s="115"/>
      <c r="D212" s="115"/>
    </row>
    <row r="213" spans="3:4" x14ac:dyDescent="0.25">
      <c r="C213" s="115"/>
      <c r="D213" s="115"/>
    </row>
    <row r="214" spans="3:4" x14ac:dyDescent="0.25">
      <c r="C214" s="115"/>
      <c r="D214" s="115"/>
    </row>
    <row r="215" spans="3:4" x14ac:dyDescent="0.25">
      <c r="C215" s="115"/>
      <c r="D215" s="115"/>
    </row>
    <row r="216" spans="3:4" x14ac:dyDescent="0.25">
      <c r="C216" s="115"/>
      <c r="D216" s="115"/>
    </row>
    <row r="217" spans="3:4" x14ac:dyDescent="0.25">
      <c r="C217" s="115"/>
      <c r="D217" s="115"/>
    </row>
    <row r="218" spans="3:4" x14ac:dyDescent="0.25">
      <c r="C218" s="115"/>
      <c r="D218" s="115"/>
    </row>
    <row r="219" spans="3:4" x14ac:dyDescent="0.25">
      <c r="C219" s="115"/>
      <c r="D219" s="115"/>
    </row>
    <row r="220" spans="3:4" x14ac:dyDescent="0.25">
      <c r="C220" s="115"/>
      <c r="D220" s="115"/>
    </row>
    <row r="221" spans="3:4" x14ac:dyDescent="0.25">
      <c r="C221" s="115"/>
      <c r="D221" s="115"/>
    </row>
    <row r="222" spans="3:4" x14ac:dyDescent="0.25">
      <c r="C222" s="115"/>
      <c r="D222" s="115"/>
    </row>
    <row r="223" spans="3:4" x14ac:dyDescent="0.25">
      <c r="C223" s="115"/>
      <c r="D223" s="115"/>
    </row>
    <row r="224" spans="3:4" x14ac:dyDescent="0.25">
      <c r="C224" s="115"/>
      <c r="D224" s="115"/>
    </row>
    <row r="225" spans="3:4" x14ac:dyDescent="0.25">
      <c r="C225" s="115"/>
      <c r="D225" s="115"/>
    </row>
    <row r="226" spans="3:4" x14ac:dyDescent="0.25">
      <c r="C226" s="115"/>
      <c r="D226" s="115"/>
    </row>
    <row r="227" spans="3:4" x14ac:dyDescent="0.25">
      <c r="C227" s="115"/>
      <c r="D227" s="115"/>
    </row>
    <row r="228" spans="3:4" x14ac:dyDescent="0.25">
      <c r="C228" s="115"/>
      <c r="D228" s="115"/>
    </row>
    <row r="229" spans="3:4" x14ac:dyDescent="0.25">
      <c r="C229" s="115"/>
      <c r="D229" s="115"/>
    </row>
    <row r="230" spans="3:4" x14ac:dyDescent="0.25">
      <c r="C230" s="115"/>
      <c r="D230" s="115"/>
    </row>
    <row r="231" spans="3:4" x14ac:dyDescent="0.25">
      <c r="C231" s="115"/>
      <c r="D231" s="115"/>
    </row>
    <row r="232" spans="3:4" x14ac:dyDescent="0.25">
      <c r="C232" s="115"/>
      <c r="D232" s="115"/>
    </row>
    <row r="233" spans="3:4" x14ac:dyDescent="0.25">
      <c r="C233" s="115"/>
      <c r="D233" s="115"/>
    </row>
    <row r="234" spans="3:4" x14ac:dyDescent="0.25">
      <c r="C234" s="115"/>
      <c r="D234" s="115"/>
    </row>
    <row r="235" spans="3:4" x14ac:dyDescent="0.25">
      <c r="C235" s="115"/>
      <c r="D235" s="115"/>
    </row>
    <row r="236" spans="3:4" x14ac:dyDescent="0.25">
      <c r="C236" s="115"/>
      <c r="D236" s="115"/>
    </row>
    <row r="237" spans="3:4" x14ac:dyDescent="0.25">
      <c r="C237" s="115"/>
      <c r="D237" s="115"/>
    </row>
    <row r="238" spans="3:4" x14ac:dyDescent="0.25">
      <c r="C238" s="115"/>
      <c r="D238" s="115"/>
    </row>
    <row r="239" spans="3:4" x14ac:dyDescent="0.25">
      <c r="C239" s="115"/>
      <c r="D239" s="115"/>
    </row>
    <row r="240" spans="3:4" x14ac:dyDescent="0.25">
      <c r="C240" s="115"/>
      <c r="D240" s="115"/>
    </row>
    <row r="241" spans="3:4" x14ac:dyDescent="0.25">
      <c r="C241" s="115"/>
      <c r="D241" s="115"/>
    </row>
    <row r="242" spans="3:4" x14ac:dyDescent="0.25">
      <c r="C242" s="115"/>
      <c r="D242" s="115"/>
    </row>
    <row r="243" spans="3:4" x14ac:dyDescent="0.25">
      <c r="C243" s="115"/>
      <c r="D243" s="115"/>
    </row>
    <row r="244" spans="3:4" x14ac:dyDescent="0.25">
      <c r="C244" s="115"/>
      <c r="D244" s="115"/>
    </row>
    <row r="245" spans="3:4" x14ac:dyDescent="0.25">
      <c r="C245" s="115"/>
      <c r="D245" s="115"/>
    </row>
    <row r="246" spans="3:4" x14ac:dyDescent="0.25">
      <c r="C246" s="115"/>
      <c r="D246" s="115"/>
    </row>
    <row r="247" spans="3:4" x14ac:dyDescent="0.25">
      <c r="C247" s="115"/>
      <c r="D247" s="115"/>
    </row>
    <row r="248" spans="3:4" x14ac:dyDescent="0.25">
      <c r="C248" s="115"/>
      <c r="D248" s="115"/>
    </row>
    <row r="249" spans="3:4" x14ac:dyDescent="0.25">
      <c r="C249" s="115"/>
      <c r="D249" s="115"/>
    </row>
    <row r="250" spans="3:4" x14ac:dyDescent="0.25">
      <c r="C250" s="115"/>
      <c r="D250" s="115"/>
    </row>
    <row r="251" spans="3:4" x14ac:dyDescent="0.25">
      <c r="C251" s="115"/>
      <c r="D251" s="115"/>
    </row>
    <row r="252" spans="3:4" x14ac:dyDescent="0.25">
      <c r="C252" s="115"/>
      <c r="D252" s="115"/>
    </row>
    <row r="253" spans="3:4" x14ac:dyDescent="0.25">
      <c r="C253" s="115"/>
      <c r="D253" s="115"/>
    </row>
    <row r="254" spans="3:4" x14ac:dyDescent="0.25">
      <c r="C254" s="115"/>
      <c r="D254" s="115"/>
    </row>
    <row r="255" spans="3:4" x14ac:dyDescent="0.25">
      <c r="C255" s="115"/>
      <c r="D255" s="115"/>
    </row>
    <row r="256" spans="3:4" x14ac:dyDescent="0.25">
      <c r="C256" s="115"/>
      <c r="D256" s="115"/>
    </row>
    <row r="257" spans="3:4" x14ac:dyDescent="0.25">
      <c r="C257" s="115"/>
      <c r="D257" s="115"/>
    </row>
    <row r="258" spans="3:4" x14ac:dyDescent="0.25">
      <c r="C258" s="115"/>
      <c r="D258" s="115"/>
    </row>
    <row r="259" spans="3:4" x14ac:dyDescent="0.25">
      <c r="C259" s="115"/>
      <c r="D259" s="115"/>
    </row>
    <row r="260" spans="3:4" x14ac:dyDescent="0.25">
      <c r="C260" s="115"/>
      <c r="D260" s="115"/>
    </row>
    <row r="261" spans="3:4" x14ac:dyDescent="0.25">
      <c r="C261" s="115"/>
      <c r="D261" s="115"/>
    </row>
    <row r="262" spans="3:4" x14ac:dyDescent="0.25">
      <c r="C262" s="115"/>
      <c r="D262" s="115"/>
    </row>
    <row r="263" spans="3:4" x14ac:dyDescent="0.25">
      <c r="C263" s="115"/>
      <c r="D263" s="115"/>
    </row>
    <row r="264" spans="3:4" x14ac:dyDescent="0.25">
      <c r="C264" s="115"/>
      <c r="D264" s="115"/>
    </row>
    <row r="265" spans="3:4" x14ac:dyDescent="0.25">
      <c r="C265" s="115"/>
      <c r="D265" s="115"/>
    </row>
    <row r="266" spans="3:4" x14ac:dyDescent="0.25">
      <c r="C266" s="115"/>
      <c r="D266" s="115"/>
    </row>
    <row r="267" spans="3:4" x14ac:dyDescent="0.25">
      <c r="C267" s="115"/>
      <c r="D267" s="115"/>
    </row>
    <row r="268" spans="3:4" x14ac:dyDescent="0.25">
      <c r="C268" s="115"/>
      <c r="D268" s="115"/>
    </row>
    <row r="269" spans="3:4" x14ac:dyDescent="0.25">
      <c r="C269" s="115"/>
      <c r="D269" s="115"/>
    </row>
    <row r="270" spans="3:4" x14ac:dyDescent="0.25">
      <c r="C270" s="115"/>
      <c r="D270" s="115"/>
    </row>
    <row r="271" spans="3:4" x14ac:dyDescent="0.25">
      <c r="C271" s="115"/>
      <c r="D271" s="115"/>
    </row>
    <row r="272" spans="3:4" x14ac:dyDescent="0.25">
      <c r="C272" s="115"/>
      <c r="D272" s="115"/>
    </row>
    <row r="273" spans="3:4" x14ac:dyDescent="0.25">
      <c r="C273" s="115"/>
      <c r="D273" s="115"/>
    </row>
    <row r="274" spans="3:4" x14ac:dyDescent="0.25">
      <c r="C274" s="115"/>
      <c r="D274" s="115"/>
    </row>
    <row r="275" spans="3:4" x14ac:dyDescent="0.25">
      <c r="C275" s="115"/>
      <c r="D275" s="115"/>
    </row>
    <row r="276" spans="3:4" x14ac:dyDescent="0.25">
      <c r="C276" s="115"/>
      <c r="D276" s="115"/>
    </row>
    <row r="277" spans="3:4" x14ac:dyDescent="0.25">
      <c r="C277" s="115"/>
      <c r="D277" s="115"/>
    </row>
    <row r="278" spans="3:4" x14ac:dyDescent="0.25">
      <c r="C278" s="115"/>
      <c r="D278" s="115"/>
    </row>
    <row r="279" spans="3:4" x14ac:dyDescent="0.25">
      <c r="C279" s="115"/>
      <c r="D279" s="115"/>
    </row>
    <row r="280" spans="3:4" x14ac:dyDescent="0.25">
      <c r="C280" s="115"/>
      <c r="D280" s="115"/>
    </row>
    <row r="281" spans="3:4" x14ac:dyDescent="0.25">
      <c r="C281" s="115"/>
      <c r="D281" s="115"/>
    </row>
    <row r="282" spans="3:4" x14ac:dyDescent="0.25">
      <c r="C282" s="115"/>
      <c r="D282" s="115"/>
    </row>
    <row r="283" spans="3:4" x14ac:dyDescent="0.25">
      <c r="C283" s="115"/>
      <c r="D283" s="115"/>
    </row>
    <row r="284" spans="3:4" x14ac:dyDescent="0.25">
      <c r="C284" s="115"/>
      <c r="D284" s="115"/>
    </row>
    <row r="285" spans="3:4" x14ac:dyDescent="0.25">
      <c r="C285" s="115"/>
      <c r="D285" s="115"/>
    </row>
    <row r="286" spans="3:4" x14ac:dyDescent="0.25">
      <c r="C286" s="115"/>
      <c r="D286" s="115"/>
    </row>
    <row r="287" spans="3:4" x14ac:dyDescent="0.25">
      <c r="C287" s="115"/>
      <c r="D287" s="115"/>
    </row>
    <row r="288" spans="3:4" x14ac:dyDescent="0.25">
      <c r="C288" s="115"/>
      <c r="D288" s="115"/>
    </row>
    <row r="289" spans="3:4" x14ac:dyDescent="0.25">
      <c r="C289" s="115"/>
      <c r="D289" s="115"/>
    </row>
    <row r="290" spans="3:4" x14ac:dyDescent="0.25">
      <c r="C290" s="115"/>
      <c r="D290" s="115"/>
    </row>
    <row r="291" spans="3:4" x14ac:dyDescent="0.25">
      <c r="C291" s="115"/>
      <c r="D291" s="115"/>
    </row>
    <row r="292" spans="3:4" x14ac:dyDescent="0.25">
      <c r="C292" s="115"/>
      <c r="D292" s="115"/>
    </row>
    <row r="293" spans="3:4" x14ac:dyDescent="0.25">
      <c r="C293" s="115"/>
      <c r="D293" s="115"/>
    </row>
    <row r="294" spans="3:4" x14ac:dyDescent="0.25">
      <c r="C294" s="115"/>
      <c r="D294" s="115"/>
    </row>
    <row r="295" spans="3:4" x14ac:dyDescent="0.25">
      <c r="C295" s="115"/>
      <c r="D295" s="115"/>
    </row>
    <row r="296" spans="3:4" x14ac:dyDescent="0.25">
      <c r="C296" s="115"/>
      <c r="D296" s="115"/>
    </row>
    <row r="297" spans="3:4" x14ac:dyDescent="0.25">
      <c r="C297" s="115"/>
      <c r="D297" s="115"/>
    </row>
    <row r="298" spans="3:4" x14ac:dyDescent="0.25">
      <c r="C298" s="115"/>
      <c r="D298" s="115"/>
    </row>
    <row r="299" spans="3:4" x14ac:dyDescent="0.25">
      <c r="C299" s="115"/>
      <c r="D299" s="115"/>
    </row>
    <row r="300" spans="3:4" x14ac:dyDescent="0.25">
      <c r="C300" s="115"/>
      <c r="D300" s="115"/>
    </row>
    <row r="301" spans="3:4" x14ac:dyDescent="0.25">
      <c r="C301" s="115"/>
      <c r="D301" s="115"/>
    </row>
    <row r="302" spans="3:4" x14ac:dyDescent="0.25">
      <c r="C302" s="115"/>
      <c r="D302" s="115"/>
    </row>
    <row r="303" spans="3:4" x14ac:dyDescent="0.25">
      <c r="C303" s="115"/>
      <c r="D303" s="115"/>
    </row>
    <row r="304" spans="3:4" x14ac:dyDescent="0.25">
      <c r="C304" s="115"/>
      <c r="D304" s="115"/>
    </row>
    <row r="305" spans="3:4" x14ac:dyDescent="0.25">
      <c r="C305" s="115"/>
      <c r="D305" s="115"/>
    </row>
    <row r="306" spans="3:4" x14ac:dyDescent="0.25">
      <c r="C306" s="115"/>
      <c r="D306" s="115"/>
    </row>
    <row r="307" spans="3:4" x14ac:dyDescent="0.25">
      <c r="C307" s="115"/>
      <c r="D307" s="115"/>
    </row>
    <row r="308" spans="3:4" x14ac:dyDescent="0.25">
      <c r="C308" s="115"/>
      <c r="D308" s="115"/>
    </row>
    <row r="309" spans="3:4" x14ac:dyDescent="0.25">
      <c r="C309" s="115"/>
      <c r="D309" s="115"/>
    </row>
    <row r="310" spans="3:4" x14ac:dyDescent="0.25">
      <c r="C310" s="115"/>
      <c r="D310" s="115"/>
    </row>
    <row r="311" spans="3:4" x14ac:dyDescent="0.25">
      <c r="C311" s="115"/>
      <c r="D311" s="115"/>
    </row>
    <row r="312" spans="3:4" x14ac:dyDescent="0.25">
      <c r="C312" s="115"/>
      <c r="D312" s="115"/>
    </row>
    <row r="313" spans="3:4" x14ac:dyDescent="0.25">
      <c r="C313" s="115"/>
      <c r="D313" s="115"/>
    </row>
    <row r="314" spans="3:4" x14ac:dyDescent="0.25">
      <c r="C314" s="115"/>
      <c r="D314" s="115"/>
    </row>
    <row r="315" spans="3:4" x14ac:dyDescent="0.25">
      <c r="C315" s="115"/>
      <c r="D315" s="115"/>
    </row>
    <row r="316" spans="3:4" x14ac:dyDescent="0.25">
      <c r="C316" s="115"/>
      <c r="D316" s="115"/>
    </row>
    <row r="317" spans="3:4" x14ac:dyDescent="0.25">
      <c r="C317" s="115"/>
      <c r="D317" s="115"/>
    </row>
    <row r="318" spans="3:4" x14ac:dyDescent="0.25">
      <c r="C318" s="115"/>
      <c r="D318" s="115"/>
    </row>
    <row r="319" spans="3:4" x14ac:dyDescent="0.25">
      <c r="C319" s="115"/>
      <c r="D319" s="115"/>
    </row>
    <row r="320" spans="3:4" x14ac:dyDescent="0.25">
      <c r="C320" s="115"/>
      <c r="D320" s="115"/>
    </row>
    <row r="321" spans="3:4" x14ac:dyDescent="0.25">
      <c r="C321" s="115"/>
      <c r="D321" s="115"/>
    </row>
    <row r="322" spans="3:4" x14ac:dyDescent="0.25">
      <c r="C322" s="115"/>
      <c r="D322" s="115"/>
    </row>
    <row r="323" spans="3:4" x14ac:dyDescent="0.25">
      <c r="C323" s="115"/>
      <c r="D323" s="115"/>
    </row>
    <row r="324" spans="3:4" x14ac:dyDescent="0.25">
      <c r="C324" s="115"/>
      <c r="D324" s="115"/>
    </row>
    <row r="325" spans="3:4" x14ac:dyDescent="0.25">
      <c r="C325" s="115"/>
      <c r="D325" s="115"/>
    </row>
    <row r="326" spans="3:4" x14ac:dyDescent="0.25">
      <c r="C326" s="115"/>
      <c r="D326" s="115"/>
    </row>
    <row r="327" spans="3:4" x14ac:dyDescent="0.25">
      <c r="C327" s="115"/>
      <c r="D327" s="115"/>
    </row>
    <row r="328" spans="3:4" x14ac:dyDescent="0.25">
      <c r="C328" s="115"/>
      <c r="D328" s="115"/>
    </row>
    <row r="329" spans="3:4" x14ac:dyDescent="0.25">
      <c r="C329" s="115"/>
      <c r="D329" s="115"/>
    </row>
    <row r="330" spans="3:4" x14ac:dyDescent="0.25">
      <c r="C330" s="115"/>
      <c r="D330" s="115"/>
    </row>
    <row r="331" spans="3:4" x14ac:dyDescent="0.25">
      <c r="C331" s="115"/>
      <c r="D331" s="115"/>
    </row>
    <row r="332" spans="3:4" x14ac:dyDescent="0.25">
      <c r="C332" s="115"/>
      <c r="D332" s="115"/>
    </row>
    <row r="333" spans="3:4" x14ac:dyDescent="0.25">
      <c r="C333" s="115"/>
      <c r="D333" s="115"/>
    </row>
    <row r="334" spans="3:4" x14ac:dyDescent="0.25">
      <c r="C334" s="115"/>
      <c r="D334" s="115"/>
    </row>
    <row r="335" spans="3:4" x14ac:dyDescent="0.25">
      <c r="C335" s="115"/>
      <c r="D335" s="115"/>
    </row>
    <row r="336" spans="3:4" x14ac:dyDescent="0.25">
      <c r="C336" s="115"/>
      <c r="D336" s="115"/>
    </row>
    <row r="337" spans="3:4" x14ac:dyDescent="0.25">
      <c r="C337" s="115"/>
      <c r="D337" s="115"/>
    </row>
    <row r="338" spans="3:4" x14ac:dyDescent="0.25">
      <c r="C338" s="115"/>
      <c r="D338" s="115"/>
    </row>
    <row r="339" spans="3:4" x14ac:dyDescent="0.25">
      <c r="C339" s="115"/>
      <c r="D339" s="115"/>
    </row>
    <row r="340" spans="3:4" x14ac:dyDescent="0.25">
      <c r="C340" s="115"/>
      <c r="D340" s="115"/>
    </row>
    <row r="341" spans="3:4" x14ac:dyDescent="0.25">
      <c r="C341" s="115"/>
      <c r="D341" s="115"/>
    </row>
    <row r="342" spans="3:4" x14ac:dyDescent="0.25">
      <c r="C342" s="115"/>
      <c r="D342" s="115"/>
    </row>
    <row r="343" spans="3:4" x14ac:dyDescent="0.25">
      <c r="C343" s="115"/>
      <c r="D343" s="115"/>
    </row>
    <row r="344" spans="3:4" x14ac:dyDescent="0.25">
      <c r="C344" s="115"/>
      <c r="D344" s="115"/>
    </row>
    <row r="345" spans="3:4" x14ac:dyDescent="0.25">
      <c r="C345" s="115"/>
      <c r="D345" s="115"/>
    </row>
    <row r="346" spans="3:4" x14ac:dyDescent="0.25">
      <c r="C346" s="115"/>
      <c r="D346" s="115"/>
    </row>
    <row r="347" spans="3:4" x14ac:dyDescent="0.25">
      <c r="C347" s="115"/>
      <c r="D347" s="115"/>
    </row>
    <row r="348" spans="3:4" x14ac:dyDescent="0.25">
      <c r="C348" s="115"/>
      <c r="D348" s="115"/>
    </row>
    <row r="349" spans="3:4" x14ac:dyDescent="0.25">
      <c r="C349" s="115"/>
      <c r="D349" s="115"/>
    </row>
    <row r="350" spans="3:4" x14ac:dyDescent="0.25">
      <c r="C350" s="115"/>
      <c r="D350" s="115"/>
    </row>
    <row r="351" spans="3:4" x14ac:dyDescent="0.25">
      <c r="C351" s="115"/>
      <c r="D351" s="115"/>
    </row>
    <row r="352" spans="3:4" x14ac:dyDescent="0.25">
      <c r="C352" s="115"/>
      <c r="D352" s="115"/>
    </row>
    <row r="353" spans="3:4" x14ac:dyDescent="0.25">
      <c r="C353" s="115"/>
      <c r="D353" s="115"/>
    </row>
    <row r="354" spans="3:4" x14ac:dyDescent="0.25">
      <c r="C354" s="115"/>
      <c r="D354" s="115"/>
    </row>
    <row r="355" spans="3:4" x14ac:dyDescent="0.25">
      <c r="C355" s="115"/>
      <c r="D355" s="115"/>
    </row>
    <row r="356" spans="3:4" x14ac:dyDescent="0.25">
      <c r="C356" s="115"/>
      <c r="D356" s="115"/>
    </row>
    <row r="357" spans="3:4" x14ac:dyDescent="0.25">
      <c r="C357" s="115"/>
      <c r="D357" s="115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AZ495"/>
  <sheetViews>
    <sheetView workbookViewId="0"/>
  </sheetViews>
  <sheetFormatPr defaultRowHeight="15.75" x14ac:dyDescent="0.25"/>
  <cols>
    <col min="1" max="1" width="4.375" bestFit="1" customWidth="1"/>
    <col min="2" max="2" width="14.625" style="1" bestFit="1" customWidth="1"/>
    <col min="3" max="3" width="16.5" style="1" bestFit="1" customWidth="1"/>
    <col min="4" max="4" width="17.25" style="1" bestFit="1" customWidth="1"/>
    <col min="5" max="5" width="28.25" style="1" bestFit="1" customWidth="1"/>
    <col min="6" max="7" width="13.375" style="1" bestFit="1" customWidth="1"/>
    <col min="8" max="9" width="9.625" style="1" bestFit="1" customWidth="1"/>
    <col min="10" max="10" width="11.25" style="1" bestFit="1" customWidth="1"/>
    <col min="11" max="11" width="10.25" style="1" bestFit="1" customWidth="1"/>
    <col min="12" max="12" width="8.625" style="1" bestFit="1" customWidth="1"/>
    <col min="13" max="13" width="12.25" style="1" bestFit="1" customWidth="1"/>
    <col min="14" max="14" width="3" style="1" customWidth="1"/>
    <col min="15" max="15" width="23.875" style="1" customWidth="1"/>
    <col min="16" max="16" width="12.5" style="1" customWidth="1"/>
    <col min="17" max="17" width="2.75" style="1" customWidth="1"/>
    <col min="18" max="18" width="5.5" style="1" customWidth="1"/>
    <col min="19" max="19" width="8.375" style="1" customWidth="1"/>
    <col min="20" max="20" width="1.25" style="1" customWidth="1"/>
    <col min="21" max="21" width="6.625" style="1" customWidth="1"/>
    <col min="22" max="23" width="4.125" style="1" customWidth="1"/>
    <col min="24" max="24" width="5.5" style="1" customWidth="1"/>
    <col min="25" max="25" width="6.625" style="1" customWidth="1"/>
    <col min="26" max="26" width="7.125" style="1" customWidth="1"/>
    <col min="27" max="27" width="6.625" style="1" customWidth="1"/>
    <col min="28" max="29" width="4.125" style="1" customWidth="1"/>
    <col min="30" max="30" width="28.875" style="1" bestFit="1" customWidth="1"/>
    <col min="31" max="31" width="8.625" style="1" bestFit="1" customWidth="1"/>
    <col min="32" max="32" width="28.875" style="1" bestFit="1" customWidth="1"/>
    <col min="33" max="33" width="8.625" style="1" bestFit="1" customWidth="1"/>
    <col min="34" max="34" width="13.125" style="1" customWidth="1"/>
    <col min="35" max="35" width="6.5" style="1" bestFit="1" customWidth="1"/>
    <col min="36" max="36" width="8.625" style="1" bestFit="1" customWidth="1"/>
    <col min="37" max="37" width="6.25" style="1" bestFit="1" customWidth="1"/>
    <col min="38" max="38" width="13.125" style="1" bestFit="1" customWidth="1"/>
    <col min="39" max="39" width="34.625" style="1" customWidth="1"/>
    <col min="40" max="40" width="8.625" style="1" customWidth="1"/>
    <col min="41" max="41" width="34.625" style="1" customWidth="1"/>
    <col min="42" max="42" width="8.625" style="1" customWidth="1"/>
    <col min="43" max="43" width="34.625" style="1" customWidth="1"/>
    <col min="44" max="44" width="8.625" style="1" customWidth="1"/>
    <col min="45" max="45" width="34.625" style="1" customWidth="1"/>
    <col min="46" max="46" width="8.625" style="1" customWidth="1"/>
    <col min="47" max="47" width="34.625" style="1" customWidth="1"/>
    <col min="48" max="48" width="8.625" style="1" customWidth="1"/>
    <col min="49" max="49" width="34.625" style="1" customWidth="1"/>
    <col min="50" max="50" width="8.625" style="1" customWidth="1"/>
    <col min="51" max="51" width="34.625" style="1" customWidth="1"/>
    <col min="52" max="52" width="8.625" style="1" customWidth="1"/>
    <col min="53" max="53" width="22.875" bestFit="1" customWidth="1"/>
    <col min="54" max="54" width="18.625" bestFit="1" customWidth="1"/>
    <col min="55" max="55" width="8.125" customWidth="1"/>
    <col min="56" max="56" width="18.625" bestFit="1" customWidth="1"/>
    <col min="57" max="57" width="10.375" bestFit="1" customWidth="1"/>
    <col min="58" max="58" width="1.875" bestFit="1" customWidth="1"/>
    <col min="59" max="59" width="5.375" bestFit="1" customWidth="1"/>
    <col min="60" max="60" width="8.125" bestFit="1" customWidth="1"/>
    <col min="61" max="61" width="5" customWidth="1"/>
    <col min="62" max="62" width="7.375" customWidth="1"/>
    <col min="63" max="63" width="16.875" customWidth="1"/>
    <col min="64" max="64" width="7.5" customWidth="1"/>
    <col min="65" max="65" width="4" customWidth="1"/>
    <col min="66" max="66" width="6.125" customWidth="1"/>
    <col min="67" max="67" width="3.75" customWidth="1"/>
    <col min="68" max="68" width="8.625" customWidth="1"/>
    <col min="69" max="69" width="13" customWidth="1"/>
    <col min="70" max="70" width="3.75" bestFit="1" customWidth="1"/>
    <col min="71" max="71" width="8.625" bestFit="1" customWidth="1"/>
    <col min="72" max="72" width="13" bestFit="1" customWidth="1"/>
    <col min="73" max="73" width="1.375" bestFit="1" customWidth="1"/>
    <col min="74" max="74" width="16.875" bestFit="1" customWidth="1"/>
    <col min="75" max="75" width="7.5" bestFit="1" customWidth="1"/>
    <col min="76" max="76" width="4" bestFit="1" customWidth="1"/>
    <col min="77" max="77" width="6.125" bestFit="1" customWidth="1"/>
    <col min="78" max="78" width="3.75" bestFit="1" customWidth="1"/>
    <col min="79" max="79" width="8.625" bestFit="1" customWidth="1"/>
    <col min="80" max="80" width="13" bestFit="1" customWidth="1"/>
    <col min="81" max="81" width="8.125" bestFit="1" customWidth="1"/>
    <col min="82" max="82" width="25.375" customWidth="1"/>
    <col min="83" max="83" width="7.375" customWidth="1"/>
    <col min="84" max="84" width="25.375" customWidth="1"/>
    <col min="85" max="85" width="7.375" customWidth="1"/>
    <col min="86" max="86" width="16.875" customWidth="1"/>
    <col min="87" max="87" width="7.5" customWidth="1"/>
    <col min="88" max="88" width="4" customWidth="1"/>
    <col min="89" max="89" width="6.125" customWidth="1"/>
    <col min="90" max="90" width="3.75" customWidth="1"/>
    <col min="91" max="91" width="8.625" customWidth="1"/>
    <col min="92" max="92" width="13" customWidth="1"/>
    <col min="93" max="93" width="3.75" bestFit="1" customWidth="1"/>
    <col min="94" max="94" width="8.625" bestFit="1" customWidth="1"/>
    <col min="95" max="95" width="13" bestFit="1" customWidth="1"/>
    <col min="96" max="96" width="1.375" bestFit="1" customWidth="1"/>
    <col min="97" max="97" width="16.875" bestFit="1" customWidth="1"/>
    <col min="98" max="98" width="7.5" bestFit="1" customWidth="1"/>
    <col min="99" max="99" width="4" bestFit="1" customWidth="1"/>
    <col min="100" max="100" width="6.125" bestFit="1" customWidth="1"/>
    <col min="101" max="101" width="3.75" bestFit="1" customWidth="1"/>
    <col min="102" max="102" width="8.625" bestFit="1" customWidth="1"/>
    <col min="103" max="103" width="13" bestFit="1" customWidth="1"/>
  </cols>
  <sheetData>
    <row r="1" spans="1:52" x14ac:dyDescent="0.25">
      <c r="A1" t="s">
        <v>557</v>
      </c>
      <c r="B1" s="1" t="s">
        <v>558</v>
      </c>
      <c r="C1" s="1" t="s">
        <v>559</v>
      </c>
      <c r="D1" s="104" t="s">
        <v>560</v>
      </c>
      <c r="E1" s="104">
        <v>102983</v>
      </c>
      <c r="F1" s="104"/>
      <c r="G1" s="104"/>
      <c r="H1" s="104"/>
      <c r="I1" s="104"/>
      <c r="J1" s="104"/>
      <c r="K1" s="104"/>
      <c r="L1" s="104"/>
      <c r="M1" s="104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2" x14ac:dyDescent="0.25">
      <c r="A2" t="s">
        <v>557</v>
      </c>
      <c r="B2" s="1" t="s">
        <v>560</v>
      </c>
      <c r="C2" s="1" t="s">
        <v>561</v>
      </c>
      <c r="D2" s="1" t="s">
        <v>605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x14ac:dyDescent="0.25">
      <c r="A3" t="s">
        <v>557</v>
      </c>
      <c r="B3" s="1" t="s">
        <v>560</v>
      </c>
      <c r="C3" s="1" t="s">
        <v>562</v>
      </c>
      <c r="D3" s="1" t="s">
        <v>563</v>
      </c>
      <c r="E3" s="1" t="s">
        <v>606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</row>
    <row r="4" spans="1:52" x14ac:dyDescent="0.25">
      <c r="A4" t="s">
        <v>557</v>
      </c>
      <c r="B4" s="1" t="s">
        <v>564</v>
      </c>
      <c r="C4" s="1" t="s">
        <v>563</v>
      </c>
      <c r="D4" s="1" t="s">
        <v>565</v>
      </c>
      <c r="E4" s="1" t="s">
        <v>566</v>
      </c>
      <c r="F4" s="1">
        <v>13</v>
      </c>
      <c r="G4" s="156">
        <v>0.46310185185185188</v>
      </c>
      <c r="H4" s="1">
        <v>2018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</row>
    <row r="5" spans="1:52" x14ac:dyDescent="0.25">
      <c r="A5" t="s">
        <v>557</v>
      </c>
      <c r="B5" s="1" t="s">
        <v>567</v>
      </c>
      <c r="C5" s="1" t="s">
        <v>568</v>
      </c>
      <c r="D5" s="1" t="s">
        <v>569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 x14ac:dyDescent="0.25">
      <c r="A6" t="s">
        <v>557</v>
      </c>
      <c r="B6" s="1" t="s">
        <v>570</v>
      </c>
      <c r="C6" s="1" t="s">
        <v>571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x14ac:dyDescent="0.25">
      <c r="A7" t="s">
        <v>557</v>
      </c>
      <c r="B7" s="1" t="s">
        <v>572</v>
      </c>
      <c r="C7" s="1" t="s">
        <v>573</v>
      </c>
      <c r="D7" s="1" t="s">
        <v>574</v>
      </c>
      <c r="E7" s="1" t="s">
        <v>575</v>
      </c>
      <c r="F7" s="1" t="s">
        <v>576</v>
      </c>
      <c r="G7" s="1" t="s">
        <v>577</v>
      </c>
      <c r="H7" s="1" t="s">
        <v>578</v>
      </c>
      <c r="I7" s="1" t="s">
        <v>579</v>
      </c>
      <c r="J7" s="1" t="s">
        <v>580</v>
      </c>
      <c r="K7" s="1" t="s">
        <v>581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 x14ac:dyDescent="0.25">
      <c r="A8" t="s">
        <v>557</v>
      </c>
      <c r="B8" s="1">
        <v>102983</v>
      </c>
      <c r="C8" s="1">
        <v>102976</v>
      </c>
      <c r="D8" s="1">
        <v>1.2212700000000001</v>
      </c>
      <c r="E8" s="1">
        <v>4.9677300000000004</v>
      </c>
      <c r="F8" s="1">
        <v>8.2650400000000008</v>
      </c>
      <c r="G8" s="1">
        <v>1.6199999999999999E-2</v>
      </c>
      <c r="H8" s="1">
        <v>2.69E-2</v>
      </c>
      <c r="I8" s="1">
        <v>7.0030000000000001</v>
      </c>
      <c r="J8" s="1">
        <v>4.1825000000000001</v>
      </c>
      <c r="K8" s="1">
        <v>0.95120000000000005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 x14ac:dyDescent="0.25">
      <c r="A9" t="s">
        <v>557</v>
      </c>
      <c r="B9" s="1">
        <v>102984</v>
      </c>
      <c r="C9" s="1">
        <v>102977</v>
      </c>
      <c r="D9" s="1">
        <v>1.2212700000000001</v>
      </c>
      <c r="E9" s="1">
        <v>2.6865600000000001</v>
      </c>
      <c r="F9" s="1">
        <v>5.9732599999999998</v>
      </c>
      <c r="G9" s="1">
        <v>2.24E-2</v>
      </c>
      <c r="H9" s="1">
        <v>4.9799999999999997E-2</v>
      </c>
      <c r="I9" s="1">
        <v>17.997</v>
      </c>
      <c r="J9" s="1">
        <v>-4.5289999999999999</v>
      </c>
      <c r="K9" s="1">
        <v>0.95020000000000004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x14ac:dyDescent="0.25">
      <c r="A10" t="s">
        <v>557</v>
      </c>
      <c r="B10" s="1">
        <v>102985</v>
      </c>
      <c r="C10" s="1">
        <v>102978</v>
      </c>
      <c r="D10" s="1">
        <v>2.2605200000000001</v>
      </c>
      <c r="E10" s="1">
        <v>2.6343000000000001</v>
      </c>
      <c r="F10" s="1">
        <v>5.80267</v>
      </c>
      <c r="G10" s="1">
        <v>4.2700000000000002E-2</v>
      </c>
      <c r="H10" s="1">
        <v>9.4E-2</v>
      </c>
      <c r="I10" s="1">
        <v>40.774000000000001</v>
      </c>
      <c r="J10" s="1">
        <v>1E-4</v>
      </c>
      <c r="K10" s="1">
        <v>0.84370000000000001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 x14ac:dyDescent="0.25">
      <c r="A11" t="s">
        <v>557</v>
      </c>
      <c r="B11" s="1">
        <v>102986</v>
      </c>
      <c r="C11" s="1">
        <v>102978</v>
      </c>
      <c r="D11" s="1">
        <v>3.9609999999999999</v>
      </c>
      <c r="E11" s="1">
        <v>2.6343000000000001</v>
      </c>
      <c r="F11" s="1">
        <v>5.80267</v>
      </c>
      <c r="G11" s="1">
        <v>7.4800000000000005E-2</v>
      </c>
      <c r="H11" s="1">
        <v>0.1648</v>
      </c>
      <c r="I11" s="1">
        <v>140.16999999999999</v>
      </c>
      <c r="J11" s="1">
        <v>-9.8729999999999993</v>
      </c>
      <c r="K11" s="1">
        <v>0.83169999999999999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 x14ac:dyDescent="0.25">
      <c r="A12" t="s">
        <v>557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</row>
    <row r="13" spans="1:52" x14ac:dyDescent="0.25">
      <c r="A13" t="s">
        <v>557</v>
      </c>
      <c r="B13" s="1" t="s">
        <v>557</v>
      </c>
      <c r="C13" s="1" t="s">
        <v>582</v>
      </c>
      <c r="D13" s="1" t="s">
        <v>583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x14ac:dyDescent="0.25">
      <c r="A14" t="s">
        <v>557</v>
      </c>
      <c r="B14" s="1" t="s">
        <v>557</v>
      </c>
      <c r="C14" s="1" t="s">
        <v>564</v>
      </c>
      <c r="D14" s="1" t="s">
        <v>584</v>
      </c>
      <c r="E14" s="1" t="s">
        <v>585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 x14ac:dyDescent="0.25">
      <c r="A15" t="s">
        <v>557</v>
      </c>
      <c r="B15" s="1" t="s">
        <v>557</v>
      </c>
      <c r="C15" s="1" t="s">
        <v>564</v>
      </c>
      <c r="D15" s="1" t="s">
        <v>586</v>
      </c>
      <c r="E15" s="1" t="s">
        <v>587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</row>
    <row r="16" spans="1:52" x14ac:dyDescent="0.25">
      <c r="A16" t="s">
        <v>557</v>
      </c>
      <c r="B16" s="1" t="s">
        <v>557</v>
      </c>
      <c r="C16" s="1" t="s">
        <v>557</v>
      </c>
      <c r="D16" s="1" t="s">
        <v>582</v>
      </c>
      <c r="E16" s="1" t="s">
        <v>583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</row>
    <row r="17" spans="1:52" x14ac:dyDescent="0.25">
      <c r="A17" t="s">
        <v>557</v>
      </c>
      <c r="B17" s="1" t="s">
        <v>557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 x14ac:dyDescent="0.25">
      <c r="A18" t="s">
        <v>557</v>
      </c>
      <c r="B18" s="1" t="s">
        <v>557</v>
      </c>
      <c r="C18" s="1" t="s">
        <v>572</v>
      </c>
      <c r="D18" s="1" t="s">
        <v>573</v>
      </c>
      <c r="E18" s="1" t="s">
        <v>588</v>
      </c>
      <c r="F18" s="1" t="s">
        <v>575</v>
      </c>
      <c r="G18" s="1" t="s">
        <v>576</v>
      </c>
      <c r="H18" s="1" t="s">
        <v>577</v>
      </c>
      <c r="I18" s="1" t="s">
        <v>578</v>
      </c>
      <c r="J18" s="1" t="s">
        <v>589</v>
      </c>
      <c r="K18" s="1" t="s">
        <v>590</v>
      </c>
      <c r="L18" s="1" t="s">
        <v>591</v>
      </c>
      <c r="M18" s="1" t="s">
        <v>592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x14ac:dyDescent="0.25">
      <c r="A19" t="s">
        <v>557</v>
      </c>
      <c r="B19" s="1" t="s">
        <v>557</v>
      </c>
      <c r="C19" s="1">
        <v>102983</v>
      </c>
      <c r="D19" s="1">
        <v>102976</v>
      </c>
      <c r="E19" s="1">
        <v>1.2</v>
      </c>
      <c r="F19" s="1">
        <v>4.97</v>
      </c>
      <c r="G19" s="1">
        <v>8.26</v>
      </c>
      <c r="H19" s="1">
        <v>1.5900000000000001E-2</v>
      </c>
      <c r="I19" s="1">
        <v>2.6499999999999999E-2</v>
      </c>
      <c r="J19" s="1">
        <v>1</v>
      </c>
      <c r="K19" s="1">
        <v>6058</v>
      </c>
      <c r="L19" s="1">
        <v>193.228151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x14ac:dyDescent="0.25">
      <c r="A20" t="s">
        <v>557</v>
      </c>
      <c r="B20" s="1" t="s">
        <v>557</v>
      </c>
      <c r="C20" s="1">
        <v>102984</v>
      </c>
      <c r="D20" s="1">
        <v>102977</v>
      </c>
      <c r="E20" s="1">
        <v>1.2</v>
      </c>
      <c r="F20" s="1">
        <v>2.69</v>
      </c>
      <c r="G20" s="1">
        <v>5.97</v>
      </c>
      <c r="H20" s="1">
        <v>2.1999999999999999E-2</v>
      </c>
      <c r="I20" s="1">
        <v>4.8899999999999999E-2</v>
      </c>
      <c r="J20" s="1">
        <v>1</v>
      </c>
      <c r="K20" s="1">
        <v>18083</v>
      </c>
      <c r="L20" s="1">
        <v>473.37499100000002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x14ac:dyDescent="0.25">
      <c r="A21" t="s">
        <v>557</v>
      </c>
      <c r="B21" s="1" t="s">
        <v>557</v>
      </c>
      <c r="C21" s="1">
        <v>102985</v>
      </c>
      <c r="D21" s="1">
        <v>102978</v>
      </c>
      <c r="E21" s="1">
        <v>2.2400000000000002</v>
      </c>
      <c r="F21" s="1">
        <v>2.63</v>
      </c>
      <c r="G21" s="1">
        <v>5.8</v>
      </c>
      <c r="H21" s="1">
        <v>4.2299999999999997E-2</v>
      </c>
      <c r="I21" s="1">
        <v>9.3399999999999997E-2</v>
      </c>
      <c r="J21" s="1">
        <v>1</v>
      </c>
      <c r="K21" s="1">
        <v>18028</v>
      </c>
      <c r="L21" s="1">
        <v>1672.629635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</row>
    <row r="22" spans="1:52" x14ac:dyDescent="0.25">
      <c r="A22" t="s">
        <v>557</v>
      </c>
      <c r="B22" s="1" t="s">
        <v>557</v>
      </c>
      <c r="C22" s="1">
        <v>102986</v>
      </c>
      <c r="D22" s="1">
        <v>102978</v>
      </c>
      <c r="E22" s="1">
        <v>3.94</v>
      </c>
      <c r="F22" s="1">
        <v>2.63</v>
      </c>
      <c r="G22" s="1">
        <v>5.8</v>
      </c>
      <c r="H22" s="1">
        <v>7.4499999999999997E-2</v>
      </c>
      <c r="I22" s="1">
        <v>0.16420000000000001</v>
      </c>
      <c r="J22" s="1">
        <v>1</v>
      </c>
      <c r="K22" s="1">
        <v>18027</v>
      </c>
      <c r="L22" s="1">
        <v>2338.2083520000001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 x14ac:dyDescent="0.25">
      <c r="A23" t="s">
        <v>557</v>
      </c>
      <c r="B23" s="1" t="s">
        <v>557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</row>
    <row r="24" spans="1:52" x14ac:dyDescent="0.25">
      <c r="A24" t="s">
        <v>557</v>
      </c>
      <c r="B24" s="1" t="s">
        <v>557</v>
      </c>
      <c r="C24" s="1" t="s">
        <v>593</v>
      </c>
      <c r="D24" s="1" t="s">
        <v>594</v>
      </c>
      <c r="E24" s="1" t="s">
        <v>595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</row>
    <row r="25" spans="1:52" x14ac:dyDescent="0.25">
      <c r="A25" t="s">
        <v>557</v>
      </c>
      <c r="B25" s="1" t="s">
        <v>557</v>
      </c>
      <c r="C25" s="1" t="s">
        <v>596</v>
      </c>
      <c r="D25" s="1">
        <v>95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x14ac:dyDescent="0.25">
      <c r="A26" t="s">
        <v>557</v>
      </c>
      <c r="B26" s="1" t="s">
        <v>557</v>
      </c>
      <c r="C26" s="1" t="s">
        <v>597</v>
      </c>
      <c r="D26" s="1">
        <v>168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x14ac:dyDescent="0.25">
      <c r="A27" t="s">
        <v>557</v>
      </c>
      <c r="B27" s="1" t="s">
        <v>557</v>
      </c>
      <c r="C27" s="1" t="s">
        <v>598</v>
      </c>
      <c r="D27" s="1">
        <v>4.0000000000000002E-4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</row>
    <row r="28" spans="1:52" x14ac:dyDescent="0.25">
      <c r="A28" t="s">
        <v>557</v>
      </c>
      <c r="B28" s="1" t="s">
        <v>557</v>
      </c>
      <c r="C28" s="1" t="s">
        <v>599</v>
      </c>
      <c r="D28" s="1">
        <v>2.3E-2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</row>
    <row r="29" spans="1:52" x14ac:dyDescent="0.25">
      <c r="A29" t="s">
        <v>557</v>
      </c>
      <c r="B29" s="1" t="s">
        <v>557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5">
      <c r="A30" t="s">
        <v>557</v>
      </c>
      <c r="B30" s="1" t="s">
        <v>557</v>
      </c>
      <c r="C30" s="1" t="s">
        <v>600</v>
      </c>
      <c r="D30" s="1" t="s">
        <v>0</v>
      </c>
      <c r="E30" s="1" t="s">
        <v>555</v>
      </c>
      <c r="F30" s="1" t="s">
        <v>556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</row>
    <row r="31" spans="1:52" x14ac:dyDescent="0.25">
      <c r="A31" t="s">
        <v>557</v>
      </c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x14ac:dyDescent="0.25">
      <c r="A32" t="s">
        <v>557</v>
      </c>
      <c r="B32" s="1" t="s">
        <v>601</v>
      </c>
      <c r="C32" s="1" t="s">
        <v>602</v>
      </c>
      <c r="D32" s="104">
        <v>4.0000000000000002E-4</v>
      </c>
      <c r="E32" s="104"/>
      <c r="F32" s="104"/>
      <c r="G32" s="104"/>
      <c r="H32" s="104"/>
      <c r="I32" s="104"/>
      <c r="J32" s="104"/>
      <c r="K32" s="104"/>
      <c r="L32" s="104"/>
      <c r="M32" s="104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x14ac:dyDescent="0.25">
      <c r="A33" t="s">
        <v>557</v>
      </c>
      <c r="B33" s="1" t="s">
        <v>603</v>
      </c>
      <c r="C33" s="1" t="s">
        <v>602</v>
      </c>
      <c r="D33" s="1">
        <v>2.3E-2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5">
      <c r="A34" t="s">
        <v>557</v>
      </c>
      <c r="B34" s="1" t="s">
        <v>604</v>
      </c>
      <c r="C34" s="1" t="s">
        <v>0</v>
      </c>
      <c r="D34" s="1" t="s">
        <v>555</v>
      </c>
      <c r="E34" s="1" t="s">
        <v>556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</row>
    <row r="35" spans="1:52" x14ac:dyDescent="0.25">
      <c r="A35">
        <v>1.65692054812E-2</v>
      </c>
      <c r="B35" s="1">
        <v>3.6886970634200001E-3</v>
      </c>
      <c r="C35" s="1">
        <v>4.4316056719699999E-4</v>
      </c>
      <c r="D35" s="1">
        <v>7.8109172606899999E-4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x14ac:dyDescent="0.25">
      <c r="A36">
        <v>1.69005895909E-2</v>
      </c>
      <c r="B36" s="1">
        <v>4.1805685621299996E-3</v>
      </c>
      <c r="C36" s="1">
        <v>4.40853368493E-4</v>
      </c>
      <c r="D36" s="1">
        <v>7.8871356059000001E-4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5">
      <c r="A37">
        <v>1.7238601382699999E-2</v>
      </c>
      <c r="B37" s="1">
        <v>3.0040318344800002E-3</v>
      </c>
      <c r="C37" s="1">
        <v>3.7144626665399998E-4</v>
      </c>
      <c r="D37" s="1">
        <v>7.9648783180200002E-4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</row>
    <row r="38" spans="1:52" x14ac:dyDescent="0.25">
      <c r="A38">
        <v>1.7583373410300002E-2</v>
      </c>
      <c r="B38" s="1">
        <v>2.9689151279600002E-3</v>
      </c>
      <c r="C38" s="1">
        <v>3.45598930106E-4</v>
      </c>
      <c r="D38" s="1">
        <v>8.0441758843800002E-4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</row>
    <row r="39" spans="1:52" x14ac:dyDescent="0.25">
      <c r="A39">
        <v>1.7935040878500001E-2</v>
      </c>
      <c r="B39" s="1">
        <v>2.6596555611700001E-3</v>
      </c>
      <c r="C39" s="1">
        <v>3.09563240702E-4</v>
      </c>
      <c r="D39" s="1">
        <v>8.1250594020699997E-4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</row>
    <row r="40" spans="1:52" x14ac:dyDescent="0.25">
      <c r="A40">
        <v>1.8293741696099999E-2</v>
      </c>
      <c r="B40" s="1">
        <v>2.6281249643600002E-3</v>
      </c>
      <c r="C40" s="1">
        <v>2.9162175152700002E-4</v>
      </c>
      <c r="D40" s="1">
        <v>8.2075605901100004E-4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</row>
    <row r="41" spans="1:52" x14ac:dyDescent="0.25">
      <c r="A41">
        <v>1.8659616529999999E-2</v>
      </c>
      <c r="B41" s="1">
        <v>2.3408533967400002E-3</v>
      </c>
      <c r="C41" s="1">
        <v>2.6315849197299998E-4</v>
      </c>
      <c r="D41" s="1">
        <v>8.29171180191E-4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x14ac:dyDescent="0.25">
      <c r="A42">
        <v>1.9032808860599999E-2</v>
      </c>
      <c r="B42" s="1">
        <v>2.0600335691600001E-3</v>
      </c>
      <c r="C42" s="1">
        <v>2.3940786660200001E-4</v>
      </c>
      <c r="D42" s="1">
        <v>8.3775460379500002E-4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5">
      <c r="A43">
        <v>1.94134650379E-2</v>
      </c>
      <c r="B43" s="1">
        <v>2.1015869885099999E-3</v>
      </c>
      <c r="C43" s="1">
        <v>2.2623738042800001E-4</v>
      </c>
      <c r="D43" s="1">
        <v>8.4650969587099999E-4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</row>
    <row r="44" spans="1:52" x14ac:dyDescent="0.25">
      <c r="A44">
        <v>1.98017343386E-2</v>
      </c>
      <c r="B44" s="1">
        <v>1.6757108487300001E-3</v>
      </c>
      <c r="C44" s="1">
        <v>2.0967993012200001E-4</v>
      </c>
      <c r="D44" s="1">
        <v>8.5543988978799995E-4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x14ac:dyDescent="0.25">
      <c r="A45">
        <v>2.0197769025399999E-2</v>
      </c>
      <c r="B45" s="1">
        <v>1.2765306738700001E-3</v>
      </c>
      <c r="C45" s="1">
        <v>1.8511915730799999E-4</v>
      </c>
      <c r="D45" s="1">
        <v>8.6454868758399997E-4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x14ac:dyDescent="0.25">
      <c r="A46">
        <v>2.0601724405899999E-2</v>
      </c>
      <c r="B46" s="1">
        <v>1.5935712904199999E-3</v>
      </c>
      <c r="C46" s="1">
        <v>1.8304869926899999E-4</v>
      </c>
      <c r="D46" s="1">
        <v>8.7383966133600002E-4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x14ac:dyDescent="0.25">
      <c r="A47">
        <v>2.1013758893999999E-2</v>
      </c>
      <c r="B47" s="1">
        <v>1.60386823931E-3</v>
      </c>
      <c r="C47" s="1">
        <v>1.7748938204699999E-4</v>
      </c>
      <c r="D47" s="1">
        <v>8.83316454562E-4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5">
      <c r="A48">
        <v>2.1434034071900001E-2</v>
      </c>
      <c r="B48" s="1">
        <v>1.3244595223300001E-3</v>
      </c>
      <c r="C48" s="1">
        <v>1.5525006099099999E-4</v>
      </c>
      <c r="D48" s="1">
        <v>8.9298278365299998E-4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1:52" x14ac:dyDescent="0.25">
      <c r="A49">
        <v>2.1862714753300001E-2</v>
      </c>
      <c r="B49" s="1">
        <v>1.08519975841E-3</v>
      </c>
      <c r="C49" s="1">
        <v>1.4877567461700001E-4</v>
      </c>
      <c r="D49" s="1">
        <v>9.0284243932699996E-4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1:52" x14ac:dyDescent="0.25">
      <c r="A50">
        <v>2.2299969048399999E-2</v>
      </c>
      <c r="B50" s="1">
        <v>1.24290467126E-3</v>
      </c>
      <c r="C50" s="1">
        <v>1.4457304616899999E-4</v>
      </c>
      <c r="D50" s="1">
        <v>9.1289928811300004E-4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</row>
    <row r="51" spans="1:52" x14ac:dyDescent="0.25">
      <c r="A51">
        <v>2.27459684294E-2</v>
      </c>
      <c r="B51" s="1">
        <v>1.178052591E-3</v>
      </c>
      <c r="C51" s="1">
        <v>7.3344119016899995E-5</v>
      </c>
      <c r="D51" s="1">
        <v>9.2315727387500001E-4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</row>
    <row r="52" spans="1:52" x14ac:dyDescent="0.25">
      <c r="A52">
        <v>2.3200887797899999E-2</v>
      </c>
      <c r="B52" s="1">
        <v>1.12261757382E-3</v>
      </c>
      <c r="C52" s="1">
        <v>6.9917496785799999E-5</v>
      </c>
      <c r="D52" s="1">
        <v>9.3362041935300005E-4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1:52" x14ac:dyDescent="0.25">
      <c r="A53">
        <v>2.3664905553899999E-2</v>
      </c>
      <c r="B53" s="1">
        <v>1.09533452359E-3</v>
      </c>
      <c r="C53" s="1">
        <v>6.75761034488E-5</v>
      </c>
      <c r="D53" s="1">
        <v>9.4429282774000003E-4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1:52" x14ac:dyDescent="0.25">
      <c r="A54">
        <v>2.4138203665E-2</v>
      </c>
      <c r="B54" s="1">
        <v>1.0741286416199999E-3</v>
      </c>
      <c r="C54" s="1">
        <v>6.4400752006299998E-5</v>
      </c>
      <c r="D54" s="1">
        <v>9.55178684295E-4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1:52" x14ac:dyDescent="0.25">
      <c r="A55">
        <v>2.4620967738300002E-2</v>
      </c>
      <c r="B55" s="1">
        <v>1.1889595386E-3</v>
      </c>
      <c r="C55" s="1">
        <v>6.3156823106499995E-5</v>
      </c>
      <c r="D55" s="1">
        <v>9.6628225798100001E-4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1:52" x14ac:dyDescent="0.25">
      <c r="A56">
        <v>2.5113387093100001E-2</v>
      </c>
      <c r="B56" s="1">
        <v>1.30572770907E-3</v>
      </c>
      <c r="C56" s="1">
        <v>6.5243440360599993E-5</v>
      </c>
      <c r="D56" s="1">
        <v>9.7760790313999998E-4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1:52" x14ac:dyDescent="0.25">
      <c r="A57">
        <v>2.5615654834900001E-2</v>
      </c>
      <c r="B57" s="1">
        <v>1.3091036970099999E-3</v>
      </c>
      <c r="C57" s="1">
        <v>6.2318851077699996E-5</v>
      </c>
      <c r="D57" s="1">
        <v>9.8916006120299991E-4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1:52" x14ac:dyDescent="0.25">
      <c r="A58">
        <v>2.61279679316E-2</v>
      </c>
      <c r="B58" s="1">
        <v>1.17066686683E-3</v>
      </c>
      <c r="C58" s="1">
        <v>5.8565890144100003E-5</v>
      </c>
      <c r="D58" s="1">
        <v>1.0009432624300001E-3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1:52" x14ac:dyDescent="0.25">
      <c r="A59">
        <v>2.66505272902E-2</v>
      </c>
      <c r="B59" s="1">
        <v>1.3870892028099999E-3</v>
      </c>
      <c r="C59" s="1">
        <v>7.3029857214299999E-5</v>
      </c>
      <c r="D59" s="1">
        <v>1.0129621276800001E-3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1:52" x14ac:dyDescent="0.25">
      <c r="A60">
        <v>2.7183537835999999E-2</v>
      </c>
      <c r="B60" s="1">
        <v>1.3159942845E-3</v>
      </c>
      <c r="C60" s="1">
        <v>6.9828122354599999E-5</v>
      </c>
      <c r="D60" s="1">
        <v>1.0252213702300001E-3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1:52" x14ac:dyDescent="0.25">
      <c r="A61">
        <v>2.77272085928E-2</v>
      </c>
      <c r="B61" s="1">
        <v>1.42066175708E-3</v>
      </c>
      <c r="C61" s="1">
        <v>7.1172325314200005E-5</v>
      </c>
      <c r="D61" s="1">
        <v>1.03772579763E-3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1:52" x14ac:dyDescent="0.25">
      <c r="A62">
        <v>2.8281752764600002E-2</v>
      </c>
      <c r="B62" s="1">
        <v>1.3831446388000001E-3</v>
      </c>
      <c r="C62" s="1">
        <v>7.05270444462E-5</v>
      </c>
      <c r="D62" s="1">
        <v>1.05048031359E-3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1:52" x14ac:dyDescent="0.25">
      <c r="A63">
        <v>2.8847387819900001E-2</v>
      </c>
      <c r="B63" s="1">
        <v>1.3628358039699999E-3</v>
      </c>
      <c r="C63" s="1">
        <v>7.0606772255899997E-5</v>
      </c>
      <c r="D63" s="1">
        <v>1.0634899198599999E-3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1:52" x14ac:dyDescent="0.25">
      <c r="A64">
        <v>2.94243355763E-2</v>
      </c>
      <c r="B64" s="1">
        <v>1.30999682298E-3</v>
      </c>
      <c r="C64" s="1">
        <v>6.78681056179E-5</v>
      </c>
      <c r="D64" s="1">
        <v>1.0767597182599999E-3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1:52" x14ac:dyDescent="0.25">
      <c r="A65">
        <v>3.0012822287800001E-2</v>
      </c>
      <c r="B65" s="1">
        <v>1.3881499692599999E-3</v>
      </c>
      <c r="C65" s="1">
        <v>7.1265533249299998E-5</v>
      </c>
      <c r="D65" s="1">
        <v>1.0902949126200001E-3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1:52" x14ac:dyDescent="0.25">
      <c r="A66">
        <v>3.0613078733599999E-2</v>
      </c>
      <c r="B66" s="1">
        <v>1.4819830923E-3</v>
      </c>
      <c r="C66" s="1">
        <v>7.2218696448299996E-5</v>
      </c>
      <c r="D66" s="1">
        <v>1.1041008108700001E-3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</row>
    <row r="67" spans="1:52" x14ac:dyDescent="0.25">
      <c r="A67">
        <v>3.1225340308300001E-2</v>
      </c>
      <c r="B67" s="1">
        <v>1.4090274760999999E-3</v>
      </c>
      <c r="C67" s="1">
        <v>6.6919730136800006E-5</v>
      </c>
      <c r="D67" s="1">
        <v>1.1181828270899999E-3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</row>
    <row r="68" spans="1:52" x14ac:dyDescent="0.25">
      <c r="A68">
        <v>3.1849847114399997E-2</v>
      </c>
      <c r="B68" s="1">
        <v>1.4290047085499999E-3</v>
      </c>
      <c r="C68" s="1">
        <v>6.9321559631299996E-5</v>
      </c>
      <c r="D68" s="1">
        <v>1.1325464836300001E-3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</row>
    <row r="69" spans="1:52" x14ac:dyDescent="0.25">
      <c r="A69">
        <v>3.24868440567E-2</v>
      </c>
      <c r="B69" s="1">
        <v>1.4552555592200001E-3</v>
      </c>
      <c r="C69" s="1">
        <v>7.1376998400600003E-5</v>
      </c>
      <c r="D69" s="1">
        <v>1.1471974133000001E-3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</row>
    <row r="70" spans="1:52" x14ac:dyDescent="0.25">
      <c r="A70">
        <v>3.31365809379E-2</v>
      </c>
      <c r="B70" s="1">
        <v>1.2670055398799999E-3</v>
      </c>
      <c r="C70" s="1">
        <v>6.7129607386300002E-5</v>
      </c>
      <c r="D70" s="1">
        <v>1.1621413615700001E-3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</row>
    <row r="71" spans="1:52" x14ac:dyDescent="0.25">
      <c r="A71">
        <v>3.37993125566E-2</v>
      </c>
      <c r="B71" s="1">
        <v>1.27342499873E-3</v>
      </c>
      <c r="C71" s="1">
        <v>6.6218562851700003E-5</v>
      </c>
      <c r="D71" s="1">
        <v>1.1773841888E-3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</row>
    <row r="72" spans="1:52" x14ac:dyDescent="0.25">
      <c r="A72">
        <v>3.4475298807699999E-2</v>
      </c>
      <c r="B72" s="1">
        <v>1.17184863122E-3</v>
      </c>
      <c r="C72" s="1">
        <v>6.2846764464100002E-5</v>
      </c>
      <c r="D72" s="1">
        <v>1.1929318725799999E-3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</row>
    <row r="73" spans="1:52" x14ac:dyDescent="0.25">
      <c r="A73">
        <v>3.5164804783900001E-2</v>
      </c>
      <c r="B73" s="1">
        <v>1.09472591579E-3</v>
      </c>
      <c r="C73" s="1">
        <v>5.9144766562500001E-5</v>
      </c>
      <c r="D73" s="1">
        <v>1.20879051003E-3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</row>
    <row r="74" spans="1:52" x14ac:dyDescent="0.25">
      <c r="A74">
        <v>3.5868100879599997E-2</v>
      </c>
      <c r="B74" s="1">
        <v>1.2275122950699999E-3</v>
      </c>
      <c r="C74" s="1">
        <v>6.2306315987199998E-5</v>
      </c>
      <c r="D74" s="1">
        <v>1.2249663202299999E-3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</row>
    <row r="75" spans="1:52" x14ac:dyDescent="0.25">
      <c r="A75">
        <v>3.6585462897200001E-2</v>
      </c>
      <c r="B75" s="1">
        <v>1.0818078760600001E-3</v>
      </c>
      <c r="C75" s="1">
        <v>5.79311607085E-5</v>
      </c>
      <c r="D75" s="1">
        <v>1.24146564664E-3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</row>
    <row r="76" spans="1:52" x14ac:dyDescent="0.25">
      <c r="A76">
        <v>3.7317172155099998E-2</v>
      </c>
      <c r="B76" s="1">
        <v>7.8482296454799997E-4</v>
      </c>
      <c r="C76" s="1">
        <v>4.7790220401699998E-5</v>
      </c>
      <c r="D76" s="1">
        <v>1.2582949595699999E-3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</row>
    <row r="77" spans="1:52" x14ac:dyDescent="0.25">
      <c r="A77">
        <v>3.8063515598200003E-2</v>
      </c>
      <c r="B77" s="1">
        <v>8.1675594559300002E-4</v>
      </c>
      <c r="C77" s="1">
        <v>4.9818991545799998E-5</v>
      </c>
      <c r="D77" s="1">
        <v>1.2754608587599999E-3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</row>
    <row r="78" spans="1:52" x14ac:dyDescent="0.25">
      <c r="A78">
        <v>3.8824785910199999E-2</v>
      </c>
      <c r="B78" s="1">
        <v>7.1714473456000003E-4</v>
      </c>
      <c r="C78" s="1">
        <v>4.5996250563200001E-5</v>
      </c>
      <c r="D78" s="1">
        <v>1.29297007593E-3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</row>
    <row r="79" spans="1:52" x14ac:dyDescent="0.25">
      <c r="A79">
        <v>3.9601281628400001E-2</v>
      </c>
      <c r="B79" s="1">
        <v>6.8676298726399999E-4</v>
      </c>
      <c r="C79" s="1">
        <v>4.4778953689699997E-5</v>
      </c>
      <c r="D79" s="1">
        <v>1.31082947745E-3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</row>
    <row r="80" spans="1:52" x14ac:dyDescent="0.25">
      <c r="A80">
        <v>4.0393307261000003E-2</v>
      </c>
      <c r="B80" s="1">
        <v>5.5053757476000004E-4</v>
      </c>
      <c r="C80" s="1">
        <v>4.0546329722699997E-5</v>
      </c>
      <c r="D80" s="1">
        <v>1.3290460669999999E-3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</row>
    <row r="81" spans="1:52" x14ac:dyDescent="0.25">
      <c r="A81">
        <v>4.1201173406199998E-2</v>
      </c>
      <c r="B81" s="1">
        <v>4.64909612922E-4</v>
      </c>
      <c r="C81" s="1">
        <v>3.8010779512699998E-5</v>
      </c>
      <c r="D81" s="1">
        <v>1.3476269883400001E-3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</row>
    <row r="82" spans="1:52" x14ac:dyDescent="0.25">
      <c r="A82">
        <v>4.2025196874300001E-2</v>
      </c>
      <c r="B82" s="1">
        <v>4.8663731082299998E-4</v>
      </c>
      <c r="C82" s="1">
        <v>3.62533901189E-5</v>
      </c>
      <c r="D82" s="1">
        <v>1.3665795281100001E-3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</row>
    <row r="83" spans="1:52" x14ac:dyDescent="0.25">
      <c r="A83">
        <v>4.2865700811800002E-2</v>
      </c>
      <c r="B83" s="1">
        <v>3.8664301252199998E-4</v>
      </c>
      <c r="C83" s="1">
        <v>3.4182407401200001E-5</v>
      </c>
      <c r="D83" s="1">
        <v>1.3859111186699999E-3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</row>
    <row r="84" spans="1:52" x14ac:dyDescent="0.25">
      <c r="A84">
        <v>4.3723014827999999E-2</v>
      </c>
      <c r="B84" s="1">
        <v>3.2989491564499999E-4</v>
      </c>
      <c r="C84" s="1">
        <v>1.2403692399500001E-5</v>
      </c>
      <c r="D84" s="1">
        <v>1.4056293410400001E-3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</row>
    <row r="85" spans="1:52" x14ac:dyDescent="0.25">
      <c r="A85">
        <v>4.4597475124600001E-2</v>
      </c>
      <c r="B85" s="1">
        <v>2.6011952957599998E-4</v>
      </c>
      <c r="C85" s="1">
        <v>1.07210297568E-5</v>
      </c>
      <c r="D85" s="1">
        <v>1.4257419278699999E-3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</row>
    <row r="86" spans="1:52" x14ac:dyDescent="0.25">
      <c r="A86">
        <v>4.5489424627099997E-2</v>
      </c>
      <c r="B86" s="1">
        <v>1.90623304921E-4</v>
      </c>
      <c r="C86" s="1">
        <v>9.0632459097600006E-6</v>
      </c>
      <c r="D86" s="1">
        <v>1.4462567664200001E-3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</row>
    <row r="87" spans="1:52" x14ac:dyDescent="0.25">
      <c r="A87">
        <v>4.6399213119599998E-2</v>
      </c>
      <c r="B87" s="1">
        <v>1.6729176636899999E-4</v>
      </c>
      <c r="C87" s="1">
        <v>8.3885237805200008E-6</v>
      </c>
      <c r="D87" s="1">
        <v>1.4671819017500001E-3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</row>
    <row r="88" spans="1:52" x14ac:dyDescent="0.25">
      <c r="A88">
        <v>4.7327197382000002E-2</v>
      </c>
      <c r="B88" s="1">
        <v>1.26684710739E-4</v>
      </c>
      <c r="C88" s="1">
        <v>6.9193853298499999E-6</v>
      </c>
      <c r="D88" s="1">
        <v>1.4885255397899999E-3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</row>
    <row r="89" spans="1:52" x14ac:dyDescent="0.25">
      <c r="A89">
        <v>4.8273741329600002E-2</v>
      </c>
      <c r="B89" s="1">
        <v>9.0207314892000006E-5</v>
      </c>
      <c r="C89" s="1">
        <v>6.3875697684499999E-6</v>
      </c>
      <c r="D89" s="1">
        <v>1.51029605058E-3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</row>
    <row r="90" spans="1:52" x14ac:dyDescent="0.25">
      <c r="A90">
        <v>4.92392161562E-2</v>
      </c>
      <c r="B90" s="1">
        <v>6.9725043544300002E-5</v>
      </c>
      <c r="C90" s="1">
        <v>5.3410158950600004E-6</v>
      </c>
      <c r="D90" s="1">
        <v>1.53250197159E-3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</row>
    <row r="91" spans="1:52" x14ac:dyDescent="0.25">
      <c r="A91">
        <v>5.0224000479399997E-2</v>
      </c>
      <c r="B91" s="1">
        <v>4.3989791449599998E-5</v>
      </c>
      <c r="C91" s="1">
        <v>4.3263269810700004E-6</v>
      </c>
      <c r="D91" s="1">
        <v>1.55515201103E-3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</row>
    <row r="92" spans="1:52" x14ac:dyDescent="0.25">
      <c r="A92">
        <v>5.1228480489E-2</v>
      </c>
      <c r="B92" s="1">
        <v>3.3237330581400003E-5</v>
      </c>
      <c r="C92" s="1">
        <v>3.7335318705900001E-6</v>
      </c>
      <c r="D92" s="104">
        <v>1.5782550512500001E-3</v>
      </c>
      <c r="E92" s="104"/>
      <c r="F92" s="104"/>
      <c r="G92" s="104"/>
      <c r="H92" s="104"/>
      <c r="I92" s="104"/>
      <c r="J92" s="104"/>
      <c r="K92" s="104"/>
      <c r="L92" s="104"/>
      <c r="M92" s="104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</row>
    <row r="93" spans="1:52" x14ac:dyDescent="0.25">
      <c r="A93">
        <v>5.2253050098700002E-2</v>
      </c>
      <c r="B93" s="1">
        <v>1.57545615232E-5</v>
      </c>
      <c r="C93" s="1">
        <v>3.1218601206599999E-6</v>
      </c>
      <c r="D93" s="1">
        <v>1.6018201522700001E-3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</row>
    <row r="94" spans="1:52" x14ac:dyDescent="0.25">
      <c r="A94">
        <v>5.3298111100699999E-2</v>
      </c>
      <c r="B94" s="1">
        <v>1.26284448691E-5</v>
      </c>
      <c r="C94" s="1">
        <v>2.89019250773E-6</v>
      </c>
      <c r="D94" s="1">
        <v>1.62585655532E-3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</row>
    <row r="95" spans="1:52" x14ac:dyDescent="0.25">
      <c r="A95">
        <v>5.4364073322699998E-2</v>
      </c>
      <c r="B95" s="1">
        <v>4.1152360815499996E-6</v>
      </c>
      <c r="C95" s="1">
        <v>2.4411159869999999E-6</v>
      </c>
      <c r="D95" s="1">
        <v>1.65037368642E-3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</row>
    <row r="96" spans="1:52" x14ac:dyDescent="0.25">
      <c r="A96">
        <v>5.5451354789199998E-2</v>
      </c>
      <c r="B96" s="1">
        <v>7.3067623661699997E-6</v>
      </c>
      <c r="C96" s="1">
        <v>2.34343389946E-6</v>
      </c>
      <c r="D96" s="1">
        <v>1.6753811601499999E-3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</row>
    <row r="97" spans="1:52" x14ac:dyDescent="0.25">
      <c r="A97">
        <v>5.6560381884999997E-2</v>
      </c>
      <c r="B97" s="1">
        <v>9.8293328848300003E-6</v>
      </c>
      <c r="C97" s="1">
        <v>2.5326416460699998E-6</v>
      </c>
      <c r="D97" s="1">
        <v>1.7008887833499999E-3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</row>
    <row r="98" spans="1:52" x14ac:dyDescent="0.25">
      <c r="A98">
        <v>5.7691589522700003E-2</v>
      </c>
      <c r="B98" s="1">
        <v>1.1974921018200001E-5</v>
      </c>
      <c r="C98" s="1">
        <v>2.5696052352000001E-6</v>
      </c>
      <c r="D98" s="1">
        <v>1.7269065590200001E-3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</row>
    <row r="99" spans="1:52" x14ac:dyDescent="0.25">
      <c r="A99">
        <v>5.8845421313099999E-2</v>
      </c>
      <c r="B99" s="1">
        <v>2.2485562349100001E-5</v>
      </c>
      <c r="C99" s="1">
        <v>3.0846517719999998E-6</v>
      </c>
      <c r="D99" s="1">
        <v>1.7534446902000001E-3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</row>
    <row r="100" spans="1:52" x14ac:dyDescent="0.25">
      <c r="A100">
        <v>6.0022329739399999E-2</v>
      </c>
      <c r="B100" s="1">
        <v>2.6312598403199999E-5</v>
      </c>
      <c r="C100" s="1">
        <v>3.3778877720900002E-6</v>
      </c>
      <c r="D100" s="1">
        <v>1.7805135840099999E-3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</row>
    <row r="101" spans="1:52" x14ac:dyDescent="0.25">
      <c r="A101">
        <v>6.1222776334200001E-2</v>
      </c>
      <c r="B101" s="1">
        <v>3.6647308880800003E-5</v>
      </c>
      <c r="C101" s="1">
        <v>4.0278745039100001E-6</v>
      </c>
      <c r="D101" s="1">
        <v>1.80812385569E-3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</row>
    <row r="102" spans="1:52" x14ac:dyDescent="0.25">
      <c r="A102">
        <v>6.24472318608E-2</v>
      </c>
      <c r="B102" s="1">
        <v>4.54136931347E-5</v>
      </c>
      <c r="C102" s="1">
        <v>4.2215870215400002E-6</v>
      </c>
      <c r="D102" s="1">
        <v>1.8362863327999999E-3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</row>
    <row r="103" spans="1:52" x14ac:dyDescent="0.25">
      <c r="A103">
        <v>6.3696176498099999E-2</v>
      </c>
      <c r="B103" s="1">
        <v>4.6281046915000001E-5</v>
      </c>
      <c r="C103" s="1">
        <v>4.2375771996999997E-6</v>
      </c>
      <c r="D103" s="1">
        <v>1.86501205946E-3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</row>
    <row r="104" spans="1:52" x14ac:dyDescent="0.25">
      <c r="A104">
        <v>6.4970100027999994E-2</v>
      </c>
      <c r="B104" s="1">
        <v>5.4450383930499997E-5</v>
      </c>
      <c r="C104" s="1">
        <v>4.3793849139100003E-6</v>
      </c>
      <c r="D104" s="1">
        <v>1.8943123006400001E-3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</row>
    <row r="105" spans="1:52" x14ac:dyDescent="0.25">
      <c r="A105">
        <v>6.6269502028600005E-2</v>
      </c>
      <c r="B105" s="1">
        <v>6.7482525874499994E-5</v>
      </c>
      <c r="C105" s="1">
        <v>4.7060809320900002E-6</v>
      </c>
      <c r="D105" s="1">
        <v>1.92419854666E-3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</row>
    <row r="106" spans="1:52" x14ac:dyDescent="0.25">
      <c r="A106">
        <v>6.7594892069199997E-2</v>
      </c>
      <c r="B106" s="1">
        <v>6.7610368208700006E-5</v>
      </c>
      <c r="C106" s="1">
        <v>4.6721450332900003E-6</v>
      </c>
      <c r="D106" s="1">
        <v>1.9546825175900001E-3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</row>
    <row r="107" spans="1:52" x14ac:dyDescent="0.25">
      <c r="A107">
        <v>6.8946789910500003E-2</v>
      </c>
      <c r="B107" s="1">
        <v>6.7816601080999999E-5</v>
      </c>
      <c r="C107" s="1">
        <v>4.8319320797200003E-6</v>
      </c>
      <c r="D107" s="1">
        <v>1.9857761679399999E-3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</row>
    <row r="108" spans="1:52" x14ac:dyDescent="0.25">
      <c r="A108">
        <v>7.0325725708699993E-2</v>
      </c>
      <c r="B108" s="1">
        <v>6.4722688671999996E-5</v>
      </c>
      <c r="C108" s="1">
        <v>4.5649310387899999E-6</v>
      </c>
      <c r="D108" s="1">
        <v>2.0174916913E-3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</row>
    <row r="109" spans="1:52" x14ac:dyDescent="0.25">
      <c r="A109">
        <v>7.1732240222900007E-2</v>
      </c>
      <c r="B109" s="1">
        <v>6.6931008695499995E-5</v>
      </c>
      <c r="C109" s="1">
        <v>4.4636022041700002E-6</v>
      </c>
      <c r="D109" s="1">
        <v>2.04984152513E-3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</row>
    <row r="110" spans="1:52" x14ac:dyDescent="0.25">
      <c r="A110">
        <v>7.31668850274E-2</v>
      </c>
      <c r="B110" s="1">
        <v>6.84258671521E-5</v>
      </c>
      <c r="C110" s="1">
        <v>4.5875876617400001E-6</v>
      </c>
      <c r="D110" s="1">
        <v>2.0828383556299999E-3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</row>
    <row r="111" spans="1:52" x14ac:dyDescent="0.25">
      <c r="A111">
        <v>7.46302227279E-2</v>
      </c>
      <c r="B111" s="1">
        <v>5.3025361222600003E-5</v>
      </c>
      <c r="C111" s="1">
        <v>4.0312191219199996E-6</v>
      </c>
      <c r="D111" s="1">
        <v>2.1164951227399999E-3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</row>
    <row r="112" spans="1:52" x14ac:dyDescent="0.25">
      <c r="A112">
        <v>7.6122827182500005E-2</v>
      </c>
      <c r="B112" s="1">
        <v>6.45589566908E-5</v>
      </c>
      <c r="C112" s="1">
        <v>2.3984071896800001E-6</v>
      </c>
      <c r="D112" s="1">
        <v>2.1508250251999999E-3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</row>
    <row r="113" spans="1:52" x14ac:dyDescent="0.25">
      <c r="A113">
        <v>7.7645283726099995E-2</v>
      </c>
      <c r="B113" s="1">
        <v>4.9733085081699999E-5</v>
      </c>
      <c r="C113" s="1">
        <v>2.05706045847E-6</v>
      </c>
      <c r="D113" s="1">
        <v>2.1858415257E-3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</row>
    <row r="114" spans="1:52" x14ac:dyDescent="0.25">
      <c r="A114">
        <v>7.9198189400700003E-2</v>
      </c>
      <c r="B114" s="1">
        <v>4.4384899010199998E-5</v>
      </c>
      <c r="C114" s="1">
        <v>1.8856046831700001E-6</v>
      </c>
      <c r="D114" s="1">
        <v>2.2215583562199999E-3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</row>
    <row r="115" spans="1:52" x14ac:dyDescent="0.25">
      <c r="A115">
        <v>8.0782153188699996E-2</v>
      </c>
      <c r="B115" s="1">
        <v>3.7249909355500001E-5</v>
      </c>
      <c r="C115" s="1">
        <v>1.73623570446E-6</v>
      </c>
      <c r="D115" s="1">
        <v>2.25798952334E-3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</row>
    <row r="116" spans="1:52" x14ac:dyDescent="0.25">
      <c r="A116">
        <v>8.2397796252399999E-2</v>
      </c>
      <c r="B116" s="1">
        <v>2.7423936669799999E-5</v>
      </c>
      <c r="C116" s="1">
        <v>1.46129583805E-6</v>
      </c>
      <c r="D116" s="1">
        <v>2.2951493138099999E-3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</row>
    <row r="117" spans="1:52" x14ac:dyDescent="0.25">
      <c r="A117">
        <v>8.4045752177500002E-2</v>
      </c>
      <c r="B117" s="1">
        <v>2.44466149988E-5</v>
      </c>
      <c r="C117" s="1">
        <v>1.3481640226E-6</v>
      </c>
      <c r="D117" s="1">
        <v>2.3330523000799999E-3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</row>
    <row r="118" spans="1:52" x14ac:dyDescent="0.25">
      <c r="A118">
        <v>8.5726667221000002E-2</v>
      </c>
      <c r="B118" s="1">
        <v>1.9583743169000001E-5</v>
      </c>
      <c r="C118" s="1">
        <v>1.18344847408E-6</v>
      </c>
      <c r="D118" s="1">
        <v>2.3717133460799998E-3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</row>
    <row r="119" spans="1:52" x14ac:dyDescent="0.25">
      <c r="A119">
        <v>8.7441200565500005E-2</v>
      </c>
      <c r="B119" s="1">
        <v>1.44683442906E-5</v>
      </c>
      <c r="C119" s="1">
        <v>1.0751797781600001E-6</v>
      </c>
      <c r="D119" s="1">
        <v>2.4111476130100002E-3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</row>
    <row r="120" spans="1:52" x14ac:dyDescent="0.25">
      <c r="A120">
        <v>8.9190024576800003E-2</v>
      </c>
      <c r="B120" s="1">
        <v>1.00682183733E-5</v>
      </c>
      <c r="C120" s="1">
        <v>9.1007810640600001E-7</v>
      </c>
      <c r="D120" s="1">
        <v>2.4513705652700001E-3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</row>
    <row r="121" spans="1:52" x14ac:dyDescent="0.25">
      <c r="A121">
        <v>9.0973825068299999E-2</v>
      </c>
      <c r="B121" s="1">
        <v>9.6793450724899999E-6</v>
      </c>
      <c r="C121" s="1">
        <v>8.4092765410699997E-7</v>
      </c>
      <c r="D121" s="1">
        <v>2.4923979765700001E-3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</row>
    <row r="122" spans="1:52" x14ac:dyDescent="0.25">
      <c r="A122">
        <v>9.2793301569700004E-2</v>
      </c>
      <c r="B122" s="1">
        <v>6.7179570003699998E-6</v>
      </c>
      <c r="C122" s="1">
        <v>8.4604247634899997E-7</v>
      </c>
      <c r="D122" s="1">
        <v>2.5342459361000001E-3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</row>
    <row r="123" spans="1:52" x14ac:dyDescent="0.25">
      <c r="A123">
        <v>9.4649167601099995E-2</v>
      </c>
      <c r="B123" s="1">
        <v>7.6650227240699998E-6</v>
      </c>
      <c r="C123" s="1">
        <v>8.7341375922999995E-7</v>
      </c>
      <c r="D123" s="1">
        <v>2.5769308548199998E-3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</row>
    <row r="124" spans="1:52" x14ac:dyDescent="0.25">
      <c r="A124">
        <v>9.6542150953099995E-2</v>
      </c>
      <c r="B124" s="1">
        <v>7.0212179379900002E-6</v>
      </c>
      <c r="C124" s="1">
        <v>8.5063728911399995E-7</v>
      </c>
      <c r="D124" s="1">
        <v>2.6204694719199999E-3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</row>
    <row r="125" spans="1:52" x14ac:dyDescent="0.25">
      <c r="A125">
        <v>9.8472993972199996E-2</v>
      </c>
      <c r="B125" s="1">
        <v>8.3721640850099994E-6</v>
      </c>
      <c r="C125" s="1">
        <v>9.0887736807800004E-7</v>
      </c>
      <c r="D125" s="1">
        <v>2.6648788613600001E-3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</row>
    <row r="126" spans="1:52" x14ac:dyDescent="0.25">
      <c r="A126">
        <v>0.100442453852</v>
      </c>
      <c r="B126" s="1">
        <v>8.7514391287099994E-6</v>
      </c>
      <c r="C126" s="1">
        <v>8.7875361940899997E-7</v>
      </c>
      <c r="D126" s="1">
        <v>2.7101764385900002E-3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</row>
    <row r="127" spans="1:52" x14ac:dyDescent="0.25">
      <c r="A127">
        <v>0.102451302929</v>
      </c>
      <c r="B127" s="1">
        <v>9.1029843742300001E-6</v>
      </c>
      <c r="C127" s="1">
        <v>8.9820933712499996E-7</v>
      </c>
      <c r="D127" s="1">
        <v>2.75637996736E-3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</row>
    <row r="128" spans="1:52" x14ac:dyDescent="0.25">
      <c r="A128">
        <v>0.104500328987</v>
      </c>
      <c r="B128" s="1">
        <v>1.01526928483E-5</v>
      </c>
      <c r="C128" s="1">
        <v>9.5821510080900003E-7</v>
      </c>
      <c r="D128" s="1">
        <v>2.8035075667099999E-3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</row>
    <row r="129" spans="1:52" x14ac:dyDescent="0.25">
      <c r="A129">
        <v>0.106590335567</v>
      </c>
      <c r="B129" s="1">
        <v>8.4633517412899998E-6</v>
      </c>
      <c r="C129" s="1">
        <v>1.0054154960999999E-6</v>
      </c>
      <c r="D129" s="1">
        <v>2.85157771804E-3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</row>
    <row r="130" spans="1:52" x14ac:dyDescent="0.25">
      <c r="A130">
        <v>0.10872214227800001</v>
      </c>
      <c r="B130" s="1">
        <v>9.8672387347400004E-6</v>
      </c>
      <c r="C130" s="1">
        <v>9.6351859539599995E-7</v>
      </c>
      <c r="D130" s="1">
        <v>2.9006092723999999E-3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</row>
    <row r="131" spans="1:52" x14ac:dyDescent="0.25">
      <c r="A131">
        <v>0.110896585124</v>
      </c>
      <c r="B131" s="1">
        <v>8.8504122197199996E-6</v>
      </c>
      <c r="C131" s="1">
        <v>9.0112744787800002E-7</v>
      </c>
      <c r="D131" s="1">
        <v>2.9506214578500002E-3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</row>
    <row r="132" spans="1:52" x14ac:dyDescent="0.25">
      <c r="A132">
        <v>0.113114516826</v>
      </c>
      <c r="B132" s="1">
        <v>9.8990634725800002E-6</v>
      </c>
      <c r="C132" s="1">
        <v>9.7295354377400005E-7</v>
      </c>
      <c r="D132" s="1">
        <v>3.0016338870099998E-3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</row>
    <row r="133" spans="1:52" x14ac:dyDescent="0.25">
      <c r="A133">
        <v>0.115376807163</v>
      </c>
      <c r="B133" s="1">
        <v>7.8937858000599994E-6</v>
      </c>
      <c r="C133" s="1">
        <v>8.5621174085500001E-7</v>
      </c>
      <c r="D133" s="1">
        <v>3.0536665647499998E-3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</row>
    <row r="134" spans="1:52" x14ac:dyDescent="0.25">
      <c r="A134">
        <v>0.117684343306</v>
      </c>
      <c r="B134" s="1">
        <v>7.0811546770500002E-6</v>
      </c>
      <c r="C134" s="1">
        <v>7.8259784969600005E-7</v>
      </c>
      <c r="D134" s="1">
        <v>3.1067398960399999E-3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</row>
    <row r="135" spans="1:52" x14ac:dyDescent="0.25">
      <c r="A135">
        <v>0.120038030172</v>
      </c>
      <c r="B135" s="1">
        <v>7.29019276798E-6</v>
      </c>
      <c r="C135" s="1">
        <v>7.8730208899099998E-7</v>
      </c>
      <c r="D135" s="1">
        <v>3.1608746939599999E-3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</row>
    <row r="136" spans="1:52" x14ac:dyDescent="0.25">
      <c r="A136">
        <v>0.12243879077600001</v>
      </c>
      <c r="B136" s="1">
        <v>7.1935441826599998E-6</v>
      </c>
      <c r="C136" s="1">
        <v>7.8095113193199998E-7</v>
      </c>
      <c r="D136" s="1">
        <v>3.2160921878399999E-3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</row>
    <row r="137" spans="1:52" x14ac:dyDescent="0.25">
      <c r="A137">
        <v>0.124887566591</v>
      </c>
      <c r="B137" s="1">
        <v>5.9529239511100003E-6</v>
      </c>
      <c r="C137" s="1">
        <v>6.9485747120400005E-7</v>
      </c>
      <c r="D137" s="1">
        <v>3.2724140315999999E-3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</row>
    <row r="138" spans="1:52" x14ac:dyDescent="0.25">
      <c r="A138">
        <v>0.12738531792300001</v>
      </c>
      <c r="B138" s="1">
        <v>4.5539192455699998E-6</v>
      </c>
      <c r="C138" s="1">
        <v>6.9557869947300001E-7</v>
      </c>
      <c r="D138" s="1">
        <v>3.3298623122299999E-3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</row>
    <row r="139" spans="1:52" x14ac:dyDescent="0.25">
      <c r="A139">
        <v>0.12993302428100001</v>
      </c>
      <c r="B139" s="1">
        <v>3.8099864856499999E-6</v>
      </c>
      <c r="C139" s="1">
        <v>6.2291390281799997E-7</v>
      </c>
      <c r="D139" s="1">
        <v>3.3884595584700002E-3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</row>
    <row r="140" spans="1:52" x14ac:dyDescent="0.25">
      <c r="A140">
        <v>0.132531684767</v>
      </c>
      <c r="B140" s="1">
        <v>5.8576529093099997E-6</v>
      </c>
      <c r="C140" s="1">
        <v>7.0998473011299998E-7</v>
      </c>
      <c r="D140" s="1">
        <v>3.44822874964E-3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</row>
    <row r="141" spans="1:52" x14ac:dyDescent="0.25">
      <c r="A141">
        <v>0.13518231846199999</v>
      </c>
      <c r="B141" s="1">
        <v>4.1379067606700003E-6</v>
      </c>
      <c r="C141" s="1">
        <v>5.8638178862600003E-7</v>
      </c>
      <c r="D141" s="1">
        <v>3.5091933246400001E-3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</row>
    <row r="142" spans="1:52" x14ac:dyDescent="0.25">
      <c r="A142">
        <v>0.137885964832</v>
      </c>
      <c r="B142" s="1">
        <v>2.9525015713900002E-6</v>
      </c>
      <c r="C142" s="1">
        <v>5.9613934760499996E-7</v>
      </c>
      <c r="D142" s="1">
        <v>3.57137719113E-3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</row>
    <row r="143" spans="1:52" x14ac:dyDescent="0.25">
      <c r="A143">
        <v>0.14064368412799999</v>
      </c>
      <c r="B143" s="1">
        <v>3.4504406577300001E-6</v>
      </c>
      <c r="C143" s="1">
        <v>5.9517200594999999E-7</v>
      </c>
      <c r="D143" s="1">
        <v>3.6348047349499999E-3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</row>
    <row r="144" spans="1:52" x14ac:dyDescent="0.25">
      <c r="A144">
        <v>0.143456557811</v>
      </c>
      <c r="B144" s="1">
        <v>4.8051013779099999E-6</v>
      </c>
      <c r="C144" s="1">
        <v>6.4209583699800005E-7</v>
      </c>
      <c r="D144" s="1">
        <v>3.6995008296499998E-3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</row>
    <row r="145" spans="1:52" x14ac:dyDescent="0.25">
      <c r="A145">
        <v>0.14632568896699999</v>
      </c>
      <c r="B145" s="1">
        <v>2.6915793128599999E-6</v>
      </c>
      <c r="C145" s="1">
        <v>5.4734377517799996E-7</v>
      </c>
      <c r="D145" s="1">
        <v>3.7654908462400002E-3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</row>
    <row r="146" spans="1:52" x14ac:dyDescent="0.25">
      <c r="A146">
        <v>0.14925220274600001</v>
      </c>
      <c r="B146" s="1">
        <v>3.1382627065099999E-6</v>
      </c>
      <c r="C146" s="1">
        <v>5.6631439485999996E-7</v>
      </c>
      <c r="D146" s="1">
        <v>3.8328006631700002E-3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</row>
    <row r="147" spans="1:52" x14ac:dyDescent="0.25">
      <c r="A147">
        <v>0.15223724680100001</v>
      </c>
      <c r="B147" s="1">
        <v>3.0319953678599999E-6</v>
      </c>
      <c r="C147" s="1">
        <v>5.66478561631E-7</v>
      </c>
      <c r="D147" s="1">
        <v>3.9014566764299999E-3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</row>
    <row r="148" spans="1:52" x14ac:dyDescent="0.25">
      <c r="A148">
        <v>0.155281991737</v>
      </c>
      <c r="B148" s="1">
        <v>2.14051686784E-6</v>
      </c>
      <c r="C148" s="1">
        <v>5.7340106275399996E-7</v>
      </c>
      <c r="D148" s="1">
        <v>3.9714858099600004E-3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</row>
    <row r="149" spans="1:52" x14ac:dyDescent="0.25">
      <c r="A149">
        <v>0.158387631572</v>
      </c>
      <c r="B149" s="1">
        <v>2.6926451477100002E-6</v>
      </c>
      <c r="C149" s="1">
        <v>5.2601642546600004E-7</v>
      </c>
      <c r="D149" s="1">
        <v>4.0429155261600003E-3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</row>
    <row r="150" spans="1:52" x14ac:dyDescent="0.25"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</row>
    <row r="151" spans="1:52" x14ac:dyDescent="0.25"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</row>
    <row r="152" spans="1:52" x14ac:dyDescent="0.25"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</row>
    <row r="153" spans="1:52" x14ac:dyDescent="0.25"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</row>
    <row r="154" spans="1:52" x14ac:dyDescent="0.25"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</row>
    <row r="155" spans="1:52" x14ac:dyDescent="0.25"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</row>
    <row r="156" spans="1:52" x14ac:dyDescent="0.25"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</row>
    <row r="157" spans="1:52" x14ac:dyDescent="0.25"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</row>
    <row r="158" spans="1:52" x14ac:dyDescent="0.25"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</row>
    <row r="159" spans="1:52" x14ac:dyDescent="0.25"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</row>
    <row r="160" spans="1:52" x14ac:dyDescent="0.25"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</row>
    <row r="161" spans="14:52" x14ac:dyDescent="0.25"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</row>
    <row r="162" spans="14:52" x14ac:dyDescent="0.25"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</row>
    <row r="163" spans="14:52" x14ac:dyDescent="0.25"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</row>
    <row r="164" spans="14:52" x14ac:dyDescent="0.25"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</row>
    <row r="165" spans="14:52" x14ac:dyDescent="0.25"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</row>
    <row r="166" spans="14:52" x14ac:dyDescent="0.25"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</row>
    <row r="167" spans="14:52" x14ac:dyDescent="0.25"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</row>
    <row r="168" spans="14:52" x14ac:dyDescent="0.25"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</row>
    <row r="169" spans="14:52" x14ac:dyDescent="0.25"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</row>
    <row r="170" spans="14:52" x14ac:dyDescent="0.25"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</row>
    <row r="171" spans="14:52" x14ac:dyDescent="0.25"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</row>
    <row r="172" spans="14:52" x14ac:dyDescent="0.25"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</row>
    <row r="173" spans="14:52" x14ac:dyDescent="0.25"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</row>
    <row r="174" spans="14:52" x14ac:dyDescent="0.25"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</row>
    <row r="175" spans="14:52" x14ac:dyDescent="0.25"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</row>
    <row r="176" spans="14:52" x14ac:dyDescent="0.25"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</row>
    <row r="177" spans="14:52" x14ac:dyDescent="0.25"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</row>
    <row r="178" spans="14:52" x14ac:dyDescent="0.25"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</row>
    <row r="179" spans="14:52" x14ac:dyDescent="0.25"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</row>
    <row r="180" spans="14:52" x14ac:dyDescent="0.25"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</row>
    <row r="181" spans="14:52" x14ac:dyDescent="0.25"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4:52" x14ac:dyDescent="0.25"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4:52" x14ac:dyDescent="0.25"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4:52" x14ac:dyDescent="0.25"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4:52" x14ac:dyDescent="0.25"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4:52" x14ac:dyDescent="0.25"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4:52" x14ac:dyDescent="0.25"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</row>
    <row r="188" spans="14:52" x14ac:dyDescent="0.25"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</row>
    <row r="189" spans="14:52" x14ac:dyDescent="0.25"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</row>
    <row r="190" spans="14:52" x14ac:dyDescent="0.25"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</row>
    <row r="191" spans="14:52" x14ac:dyDescent="0.25"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</row>
    <row r="192" spans="14:52" x14ac:dyDescent="0.25"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</row>
    <row r="193" spans="14:52" x14ac:dyDescent="0.25"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</row>
    <row r="194" spans="14:52" x14ac:dyDescent="0.25"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</row>
    <row r="195" spans="14:52" x14ac:dyDescent="0.25"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</row>
    <row r="196" spans="14:52" x14ac:dyDescent="0.25"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</row>
    <row r="197" spans="14:52" x14ac:dyDescent="0.25"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</row>
    <row r="198" spans="14:52" x14ac:dyDescent="0.25"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</row>
    <row r="199" spans="14:52" x14ac:dyDescent="0.25"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</row>
    <row r="200" spans="14:52" x14ac:dyDescent="0.25"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</row>
    <row r="201" spans="14:52" x14ac:dyDescent="0.25"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</row>
    <row r="202" spans="14:52" x14ac:dyDescent="0.25"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</row>
    <row r="203" spans="14:52" x14ac:dyDescent="0.25"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</row>
    <row r="204" spans="14:52" x14ac:dyDescent="0.25"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</row>
    <row r="205" spans="14:52" x14ac:dyDescent="0.25"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</row>
    <row r="206" spans="14:52" x14ac:dyDescent="0.25"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</row>
    <row r="207" spans="14:52" x14ac:dyDescent="0.25"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</row>
    <row r="208" spans="14:52" x14ac:dyDescent="0.25"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</row>
    <row r="209" spans="14:52" x14ac:dyDescent="0.25"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</row>
    <row r="210" spans="14:52" x14ac:dyDescent="0.25"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</row>
    <row r="211" spans="14:52" x14ac:dyDescent="0.25"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</row>
    <row r="212" spans="14:52" x14ac:dyDescent="0.25"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</row>
    <row r="213" spans="14:52" x14ac:dyDescent="0.25"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</row>
    <row r="214" spans="14:52" x14ac:dyDescent="0.25"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</row>
    <row r="215" spans="14:52" x14ac:dyDescent="0.25"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</row>
    <row r="216" spans="14:52" x14ac:dyDescent="0.25"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</row>
    <row r="217" spans="14:52" x14ac:dyDescent="0.25"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</row>
    <row r="218" spans="14:52" x14ac:dyDescent="0.25"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</row>
    <row r="219" spans="14:52" x14ac:dyDescent="0.25"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</row>
    <row r="220" spans="14:52" x14ac:dyDescent="0.25"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</row>
    <row r="221" spans="14:52" x14ac:dyDescent="0.25"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</row>
    <row r="222" spans="14:52" x14ac:dyDescent="0.25"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</row>
    <row r="223" spans="14:52" x14ac:dyDescent="0.25"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</row>
    <row r="224" spans="14:52" x14ac:dyDescent="0.25"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</row>
    <row r="225" spans="14:52" x14ac:dyDescent="0.25"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</row>
    <row r="226" spans="14:52" x14ac:dyDescent="0.25"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</row>
    <row r="227" spans="14:52" x14ac:dyDescent="0.25"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</row>
    <row r="228" spans="14:52" x14ac:dyDescent="0.25"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</row>
    <row r="229" spans="14:52" x14ac:dyDescent="0.25"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</row>
    <row r="230" spans="14:52" x14ac:dyDescent="0.25"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</row>
    <row r="231" spans="14:52" x14ac:dyDescent="0.25"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</row>
    <row r="232" spans="14:52" x14ac:dyDescent="0.25"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</row>
    <row r="233" spans="14:52" x14ac:dyDescent="0.25"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</row>
    <row r="234" spans="14:52" x14ac:dyDescent="0.25"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</row>
    <row r="235" spans="14:52" x14ac:dyDescent="0.25"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</row>
    <row r="236" spans="14:52" x14ac:dyDescent="0.25"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</row>
    <row r="237" spans="14:52" x14ac:dyDescent="0.25"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</row>
    <row r="238" spans="14:52" x14ac:dyDescent="0.25"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</row>
    <row r="239" spans="14:52" x14ac:dyDescent="0.25"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</row>
    <row r="240" spans="14:52" x14ac:dyDescent="0.25"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</row>
    <row r="241" spans="14:52" x14ac:dyDescent="0.25"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</row>
    <row r="242" spans="14:52" x14ac:dyDescent="0.25"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</row>
    <row r="243" spans="14:52" x14ac:dyDescent="0.25"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</row>
    <row r="244" spans="14:52" x14ac:dyDescent="0.25"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</row>
    <row r="245" spans="14:52" x14ac:dyDescent="0.25"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</row>
    <row r="246" spans="14:52" x14ac:dyDescent="0.25"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</row>
    <row r="247" spans="14:52" x14ac:dyDescent="0.25"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</row>
    <row r="248" spans="14:52" x14ac:dyDescent="0.25"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</row>
    <row r="249" spans="14:52" x14ac:dyDescent="0.25"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</row>
    <row r="250" spans="14:52" x14ac:dyDescent="0.25"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</row>
    <row r="251" spans="14:52" x14ac:dyDescent="0.25"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</row>
    <row r="252" spans="14:52" x14ac:dyDescent="0.25"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</row>
    <row r="253" spans="14:52" x14ac:dyDescent="0.25"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</row>
    <row r="254" spans="14:52" x14ac:dyDescent="0.25"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</row>
    <row r="255" spans="14:52" x14ac:dyDescent="0.25"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</row>
    <row r="256" spans="14:52" x14ac:dyDescent="0.25"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</row>
    <row r="257" spans="14:52" x14ac:dyDescent="0.25"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</row>
    <row r="258" spans="14:52" x14ac:dyDescent="0.25"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</row>
    <row r="259" spans="14:52" x14ac:dyDescent="0.25"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</row>
    <row r="260" spans="14:52" x14ac:dyDescent="0.25"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</row>
    <row r="261" spans="14:52" x14ac:dyDescent="0.25"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</row>
    <row r="262" spans="14:52" x14ac:dyDescent="0.25"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</row>
    <row r="263" spans="14:52" x14ac:dyDescent="0.25"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</row>
    <row r="264" spans="14:52" x14ac:dyDescent="0.25"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</row>
    <row r="265" spans="14:52" x14ac:dyDescent="0.25"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</row>
    <row r="266" spans="14:52" x14ac:dyDescent="0.25"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</row>
    <row r="267" spans="14:52" x14ac:dyDescent="0.25"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</row>
    <row r="268" spans="14:52" x14ac:dyDescent="0.25"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</row>
    <row r="269" spans="14:52" x14ac:dyDescent="0.25"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</row>
    <row r="270" spans="14:52" x14ac:dyDescent="0.25"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</row>
    <row r="271" spans="14:52" x14ac:dyDescent="0.25"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</row>
    <row r="272" spans="14:52" x14ac:dyDescent="0.25"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</row>
    <row r="273" spans="14:52" x14ac:dyDescent="0.25"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</row>
    <row r="274" spans="14:52" x14ac:dyDescent="0.25"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</row>
    <row r="275" spans="14:52" x14ac:dyDescent="0.25"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</row>
    <row r="276" spans="14:52" x14ac:dyDescent="0.25"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</row>
    <row r="277" spans="14:52" x14ac:dyDescent="0.25"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</row>
    <row r="278" spans="14:52" x14ac:dyDescent="0.25"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</row>
    <row r="279" spans="14:52" x14ac:dyDescent="0.25"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</row>
    <row r="280" spans="14:52" x14ac:dyDescent="0.25"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</row>
    <row r="281" spans="14:52" x14ac:dyDescent="0.25"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</row>
    <row r="282" spans="14:52" x14ac:dyDescent="0.25"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</row>
    <row r="283" spans="14:52" x14ac:dyDescent="0.25"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</row>
    <row r="284" spans="14:52" x14ac:dyDescent="0.25"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</row>
    <row r="285" spans="14:52" x14ac:dyDescent="0.25"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</row>
    <row r="286" spans="14:52" x14ac:dyDescent="0.25"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</row>
    <row r="287" spans="14:52" x14ac:dyDescent="0.25"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</row>
    <row r="288" spans="14:52" x14ac:dyDescent="0.25"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</row>
    <row r="289" spans="14:52" x14ac:dyDescent="0.25"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</row>
    <row r="290" spans="14:52" x14ac:dyDescent="0.25"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</row>
    <row r="291" spans="14:52" x14ac:dyDescent="0.25"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</row>
    <row r="292" spans="14:52" x14ac:dyDescent="0.25"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</row>
    <row r="293" spans="14:52" x14ac:dyDescent="0.25"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</row>
    <row r="294" spans="14:52" x14ac:dyDescent="0.25"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</row>
    <row r="295" spans="14:52" x14ac:dyDescent="0.25"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</row>
    <row r="296" spans="14:52" x14ac:dyDescent="0.25"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</row>
    <row r="297" spans="14:52" x14ac:dyDescent="0.25"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</row>
    <row r="298" spans="14:52" x14ac:dyDescent="0.25"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</row>
    <row r="299" spans="14:52" x14ac:dyDescent="0.25"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</row>
    <row r="300" spans="14:52" x14ac:dyDescent="0.25"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</row>
    <row r="301" spans="14:52" x14ac:dyDescent="0.25"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</row>
    <row r="302" spans="14:52" x14ac:dyDescent="0.25"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</row>
    <row r="303" spans="14:52" x14ac:dyDescent="0.25"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</row>
    <row r="304" spans="14:52" x14ac:dyDescent="0.25"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</row>
    <row r="305" spans="14:52" x14ac:dyDescent="0.25"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</row>
    <row r="306" spans="14:52" x14ac:dyDescent="0.25"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</row>
    <row r="307" spans="14:52" x14ac:dyDescent="0.25"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</row>
    <row r="308" spans="14:52" x14ac:dyDescent="0.25"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</row>
    <row r="309" spans="14:52" x14ac:dyDescent="0.25"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</row>
    <row r="310" spans="14:52" x14ac:dyDescent="0.25"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</row>
    <row r="311" spans="14:52" x14ac:dyDescent="0.25"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</row>
    <row r="312" spans="14:52" x14ac:dyDescent="0.25"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</row>
    <row r="313" spans="14:52" x14ac:dyDescent="0.25"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</row>
    <row r="314" spans="14:52" x14ac:dyDescent="0.25"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</row>
    <row r="315" spans="14:52" x14ac:dyDescent="0.25"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</row>
    <row r="316" spans="14:52" x14ac:dyDescent="0.25"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</row>
    <row r="317" spans="14:52" x14ac:dyDescent="0.25"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</row>
    <row r="318" spans="14:52" x14ac:dyDescent="0.25"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</row>
    <row r="319" spans="14:52" x14ac:dyDescent="0.2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</row>
    <row r="320" spans="14:52" x14ac:dyDescent="0.2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</row>
    <row r="321" spans="14:52" x14ac:dyDescent="0.2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</row>
    <row r="322" spans="14:52" x14ac:dyDescent="0.2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</row>
    <row r="323" spans="14:52" x14ac:dyDescent="0.2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</row>
    <row r="324" spans="14:52" x14ac:dyDescent="0.2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</row>
    <row r="325" spans="14:52" x14ac:dyDescent="0.2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</row>
    <row r="326" spans="14:52" x14ac:dyDescent="0.2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</row>
    <row r="327" spans="14:52" x14ac:dyDescent="0.2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</row>
    <row r="328" spans="14:52" x14ac:dyDescent="0.2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</row>
    <row r="329" spans="14:52" x14ac:dyDescent="0.2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</row>
    <row r="330" spans="14:52" x14ac:dyDescent="0.2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</row>
    <row r="331" spans="14:52" x14ac:dyDescent="0.2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</row>
    <row r="332" spans="14:52" x14ac:dyDescent="0.2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</row>
    <row r="333" spans="14:52" x14ac:dyDescent="0.2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</row>
    <row r="334" spans="14:52" x14ac:dyDescent="0.2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</row>
    <row r="335" spans="14:52" x14ac:dyDescent="0.2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</row>
    <row r="336" spans="14:52" x14ac:dyDescent="0.2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</row>
    <row r="337" spans="14:52" x14ac:dyDescent="0.2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</row>
    <row r="338" spans="14:52" x14ac:dyDescent="0.2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</row>
    <row r="339" spans="14:52" x14ac:dyDescent="0.2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</row>
    <row r="340" spans="14:52" x14ac:dyDescent="0.2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</row>
    <row r="341" spans="14:52" x14ac:dyDescent="0.2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</row>
    <row r="342" spans="14:52" x14ac:dyDescent="0.2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</row>
    <row r="343" spans="14:52" x14ac:dyDescent="0.2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</row>
    <row r="344" spans="14:52" x14ac:dyDescent="0.2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</row>
    <row r="345" spans="14:52" x14ac:dyDescent="0.2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</row>
    <row r="346" spans="14:52" x14ac:dyDescent="0.2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</row>
    <row r="347" spans="14:52" x14ac:dyDescent="0.2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</row>
    <row r="348" spans="14:52" x14ac:dyDescent="0.2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</row>
    <row r="349" spans="14:52" x14ac:dyDescent="0.2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</row>
    <row r="350" spans="14:52" x14ac:dyDescent="0.2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</row>
    <row r="351" spans="14:52" x14ac:dyDescent="0.2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</row>
    <row r="352" spans="14:52" x14ac:dyDescent="0.2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</row>
    <row r="353" spans="14:34" x14ac:dyDescent="0.2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</row>
    <row r="354" spans="14:34" x14ac:dyDescent="0.2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</row>
    <row r="355" spans="14:34" x14ac:dyDescent="0.2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</row>
    <row r="356" spans="14:34" x14ac:dyDescent="0.2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</row>
    <row r="357" spans="14:34" x14ac:dyDescent="0.2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</row>
    <row r="358" spans="14:34" x14ac:dyDescent="0.2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</row>
    <row r="359" spans="14:34" x14ac:dyDescent="0.2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</row>
    <row r="360" spans="14:34" x14ac:dyDescent="0.2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</row>
    <row r="361" spans="14:34" x14ac:dyDescent="0.2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</row>
    <row r="362" spans="14:34" x14ac:dyDescent="0.2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</row>
    <row r="363" spans="14:34" x14ac:dyDescent="0.2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</row>
    <row r="364" spans="14:34" x14ac:dyDescent="0.2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</row>
    <row r="365" spans="14:34" x14ac:dyDescent="0.2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</row>
    <row r="366" spans="14:34" x14ac:dyDescent="0.2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</row>
    <row r="367" spans="14:34" x14ac:dyDescent="0.2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</row>
    <row r="368" spans="14:34" x14ac:dyDescent="0.2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</row>
    <row r="369" spans="14:29" x14ac:dyDescent="0.2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</row>
    <row r="370" spans="14:29" x14ac:dyDescent="0.2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</row>
    <row r="371" spans="14:29" x14ac:dyDescent="0.2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</row>
    <row r="372" spans="14:29" x14ac:dyDescent="0.2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</row>
    <row r="373" spans="14:29" x14ac:dyDescent="0.2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</row>
    <row r="374" spans="14:29" x14ac:dyDescent="0.2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</row>
    <row r="375" spans="14:29" x14ac:dyDescent="0.2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</row>
    <row r="376" spans="14:29" x14ac:dyDescent="0.2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</row>
    <row r="377" spans="14:29" x14ac:dyDescent="0.2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</row>
    <row r="378" spans="14:29" x14ac:dyDescent="0.2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</row>
    <row r="379" spans="14:29" x14ac:dyDescent="0.2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</row>
    <row r="380" spans="14:29" x14ac:dyDescent="0.2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</row>
    <row r="381" spans="14:29" x14ac:dyDescent="0.2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</row>
    <row r="382" spans="14:29" x14ac:dyDescent="0.2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</row>
    <row r="383" spans="14:29" x14ac:dyDescent="0.2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</row>
    <row r="384" spans="14:29" x14ac:dyDescent="0.2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</row>
    <row r="385" spans="14:29" x14ac:dyDescent="0.2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</row>
    <row r="386" spans="14:29" x14ac:dyDescent="0.2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</row>
    <row r="387" spans="14:29" x14ac:dyDescent="0.2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</row>
    <row r="388" spans="14:29" x14ac:dyDescent="0.2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</row>
    <row r="389" spans="14:29" x14ac:dyDescent="0.2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</row>
    <row r="390" spans="14:29" x14ac:dyDescent="0.2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</row>
    <row r="391" spans="14:29" x14ac:dyDescent="0.2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</row>
    <row r="392" spans="14:29" x14ac:dyDescent="0.2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</row>
    <row r="393" spans="14:29" x14ac:dyDescent="0.2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</row>
    <row r="394" spans="14:29" x14ac:dyDescent="0.25"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</row>
    <row r="395" spans="14:29" x14ac:dyDescent="0.25"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</row>
    <row r="396" spans="14:29" x14ac:dyDescent="0.25"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</row>
    <row r="397" spans="14:29" x14ac:dyDescent="0.25"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</row>
    <row r="398" spans="14:29" x14ac:dyDescent="0.25"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</row>
    <row r="399" spans="14:29" x14ac:dyDescent="0.25"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</row>
    <row r="400" spans="14:29" x14ac:dyDescent="0.25"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</row>
    <row r="401" spans="15:29" x14ac:dyDescent="0.25"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</row>
    <row r="402" spans="15:29" x14ac:dyDescent="0.25"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</row>
    <row r="403" spans="15:29" x14ac:dyDescent="0.25"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</row>
    <row r="404" spans="15:29" x14ac:dyDescent="0.25"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</row>
    <row r="405" spans="15:29" x14ac:dyDescent="0.25"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</row>
    <row r="406" spans="15:29" x14ac:dyDescent="0.25"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</row>
    <row r="407" spans="15:29" x14ac:dyDescent="0.25"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</row>
    <row r="408" spans="15:29" x14ac:dyDescent="0.25"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</row>
    <row r="409" spans="15:29" x14ac:dyDescent="0.25"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</row>
    <row r="410" spans="15:29" x14ac:dyDescent="0.25"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</row>
    <row r="411" spans="15:29" x14ac:dyDescent="0.25"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</row>
    <row r="412" spans="15:29" x14ac:dyDescent="0.25"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</row>
    <row r="413" spans="15:29" x14ac:dyDescent="0.25"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</row>
    <row r="414" spans="15:29" x14ac:dyDescent="0.25"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</row>
    <row r="415" spans="15:29" x14ac:dyDescent="0.25"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</row>
    <row r="416" spans="15:29" x14ac:dyDescent="0.25"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</row>
    <row r="417" spans="15:29" x14ac:dyDescent="0.25"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</row>
    <row r="418" spans="15:29" x14ac:dyDescent="0.25"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</row>
    <row r="419" spans="15:29" x14ac:dyDescent="0.25"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</row>
    <row r="420" spans="15:29" x14ac:dyDescent="0.25"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</row>
    <row r="421" spans="15:29" x14ac:dyDescent="0.25"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</row>
    <row r="422" spans="15:29" x14ac:dyDescent="0.25"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</row>
    <row r="423" spans="15:29" x14ac:dyDescent="0.25"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</row>
    <row r="424" spans="15:29" x14ac:dyDescent="0.25"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</row>
    <row r="425" spans="15:29" x14ac:dyDescent="0.25"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</row>
    <row r="426" spans="15:29" x14ac:dyDescent="0.25"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</row>
    <row r="427" spans="15:29" x14ac:dyDescent="0.25"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</row>
    <row r="428" spans="15:29" x14ac:dyDescent="0.25"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</row>
    <row r="429" spans="15:29" x14ac:dyDescent="0.25"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</row>
    <row r="430" spans="15:29" x14ac:dyDescent="0.25"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</row>
    <row r="431" spans="15:29" x14ac:dyDescent="0.25"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</row>
    <row r="432" spans="15:29" x14ac:dyDescent="0.25"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</row>
    <row r="433" spans="15:29" x14ac:dyDescent="0.25"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</row>
    <row r="434" spans="15:29" x14ac:dyDescent="0.25"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</row>
    <row r="435" spans="15:29" x14ac:dyDescent="0.25"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</row>
    <row r="436" spans="15:29" x14ac:dyDescent="0.25"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</row>
    <row r="437" spans="15:29" x14ac:dyDescent="0.25"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</row>
    <row r="438" spans="15:29" x14ac:dyDescent="0.25"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</row>
    <row r="439" spans="15:29" x14ac:dyDescent="0.25"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</row>
    <row r="440" spans="15:29" x14ac:dyDescent="0.25"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</row>
    <row r="441" spans="15:29" x14ac:dyDescent="0.25">
      <c r="X441"/>
      <c r="Y441"/>
      <c r="Z441"/>
      <c r="AA441"/>
      <c r="AB441"/>
      <c r="AC441"/>
    </row>
    <row r="442" spans="15:29" x14ac:dyDescent="0.25">
      <c r="X442"/>
      <c r="Y442"/>
      <c r="Z442"/>
      <c r="AA442"/>
      <c r="AB442"/>
      <c r="AC442"/>
    </row>
    <row r="443" spans="15:29" x14ac:dyDescent="0.25">
      <c r="X443"/>
      <c r="Y443"/>
      <c r="Z443"/>
      <c r="AA443"/>
      <c r="AB443"/>
      <c r="AC443"/>
    </row>
    <row r="444" spans="15:29" x14ac:dyDescent="0.25">
      <c r="X444"/>
      <c r="Y444"/>
      <c r="Z444"/>
      <c r="AA444"/>
      <c r="AB444"/>
      <c r="AC444"/>
    </row>
    <row r="445" spans="15:29" x14ac:dyDescent="0.25">
      <c r="X445"/>
      <c r="Y445"/>
      <c r="Z445"/>
      <c r="AA445"/>
      <c r="AB445"/>
      <c r="AC445"/>
    </row>
    <row r="446" spans="15:29" x14ac:dyDescent="0.25">
      <c r="X446"/>
      <c r="Y446"/>
      <c r="Z446"/>
      <c r="AA446"/>
      <c r="AB446"/>
      <c r="AC446"/>
    </row>
    <row r="447" spans="15:29" x14ac:dyDescent="0.25">
      <c r="X447"/>
      <c r="Y447"/>
      <c r="Z447"/>
      <c r="AA447"/>
      <c r="AB447"/>
      <c r="AC447"/>
    </row>
    <row r="448" spans="15:29" x14ac:dyDescent="0.25">
      <c r="X448"/>
      <c r="Y448"/>
      <c r="Z448"/>
      <c r="AA448"/>
      <c r="AB448"/>
      <c r="AC448"/>
    </row>
    <row r="449" spans="24:29" x14ac:dyDescent="0.25">
      <c r="X449"/>
      <c r="Y449"/>
      <c r="Z449"/>
      <c r="AA449"/>
      <c r="AB449"/>
      <c r="AC449"/>
    </row>
    <row r="450" spans="24:29" x14ac:dyDescent="0.25">
      <c r="X450"/>
      <c r="Y450"/>
      <c r="Z450"/>
      <c r="AA450"/>
      <c r="AB450"/>
      <c r="AC450"/>
    </row>
    <row r="451" spans="24:29" x14ac:dyDescent="0.25">
      <c r="X451"/>
      <c r="Y451"/>
      <c r="Z451"/>
      <c r="AA451"/>
      <c r="AB451"/>
      <c r="AC451"/>
    </row>
    <row r="452" spans="24:29" x14ac:dyDescent="0.25">
      <c r="X452"/>
      <c r="Y452"/>
      <c r="Z452"/>
      <c r="AA452"/>
      <c r="AB452"/>
      <c r="AC452"/>
    </row>
    <row r="453" spans="24:29" x14ac:dyDescent="0.25">
      <c r="X453"/>
      <c r="Y453"/>
      <c r="Z453"/>
      <c r="AA453"/>
      <c r="AB453"/>
      <c r="AC453"/>
    </row>
    <row r="454" spans="24:29" x14ac:dyDescent="0.25">
      <c r="X454"/>
      <c r="Y454"/>
      <c r="Z454"/>
      <c r="AA454"/>
      <c r="AB454"/>
      <c r="AC454"/>
    </row>
    <row r="455" spans="24:29" x14ac:dyDescent="0.25">
      <c r="X455"/>
      <c r="Y455"/>
      <c r="Z455"/>
      <c r="AA455"/>
      <c r="AB455"/>
      <c r="AC455"/>
    </row>
    <row r="456" spans="24:29" x14ac:dyDescent="0.25">
      <c r="X456"/>
      <c r="Y456"/>
      <c r="Z456"/>
      <c r="AA456"/>
      <c r="AB456"/>
      <c r="AC456"/>
    </row>
    <row r="457" spans="24:29" x14ac:dyDescent="0.25">
      <c r="X457"/>
      <c r="Y457"/>
      <c r="Z457"/>
      <c r="AA457"/>
      <c r="AB457"/>
      <c r="AC457"/>
    </row>
    <row r="458" spans="24:29" x14ac:dyDescent="0.25">
      <c r="X458"/>
      <c r="Y458"/>
      <c r="Z458"/>
      <c r="AA458"/>
      <c r="AB458"/>
      <c r="AC458"/>
    </row>
    <row r="459" spans="24:29" x14ac:dyDescent="0.25">
      <c r="X459"/>
      <c r="Y459"/>
      <c r="Z459"/>
      <c r="AA459"/>
      <c r="AB459"/>
      <c r="AC459"/>
    </row>
    <row r="460" spans="24:29" x14ac:dyDescent="0.25">
      <c r="X460"/>
      <c r="Y460"/>
      <c r="Z460"/>
      <c r="AA460"/>
      <c r="AB460"/>
      <c r="AC460"/>
    </row>
    <row r="461" spans="24:29" x14ac:dyDescent="0.25">
      <c r="X461"/>
      <c r="Y461"/>
      <c r="Z461"/>
      <c r="AA461"/>
      <c r="AB461"/>
      <c r="AC461"/>
    </row>
    <row r="462" spans="24:29" x14ac:dyDescent="0.25">
      <c r="X462"/>
      <c r="Y462"/>
      <c r="Z462"/>
      <c r="AA462"/>
      <c r="AB462"/>
      <c r="AC462"/>
    </row>
    <row r="463" spans="24:29" x14ac:dyDescent="0.25">
      <c r="X463"/>
      <c r="Y463"/>
      <c r="Z463"/>
      <c r="AA463"/>
      <c r="AB463"/>
      <c r="AC463"/>
    </row>
    <row r="464" spans="24:29" x14ac:dyDescent="0.25">
      <c r="X464"/>
      <c r="Y464"/>
      <c r="Z464"/>
      <c r="AA464"/>
      <c r="AB464"/>
      <c r="AC464"/>
    </row>
    <row r="465" spans="24:29" x14ac:dyDescent="0.25">
      <c r="X465"/>
      <c r="Y465"/>
      <c r="Z465"/>
      <c r="AA465"/>
      <c r="AB465"/>
      <c r="AC465"/>
    </row>
    <row r="466" spans="24:29" x14ac:dyDescent="0.25">
      <c r="X466"/>
      <c r="Y466"/>
      <c r="Z466"/>
      <c r="AA466"/>
      <c r="AB466"/>
      <c r="AC466"/>
    </row>
    <row r="467" spans="24:29" x14ac:dyDescent="0.25">
      <c r="X467"/>
      <c r="Y467"/>
      <c r="Z467"/>
      <c r="AA467"/>
      <c r="AB467"/>
      <c r="AC467"/>
    </row>
    <row r="468" spans="24:29" x14ac:dyDescent="0.25">
      <c r="X468"/>
      <c r="Y468"/>
      <c r="Z468"/>
      <c r="AA468"/>
      <c r="AB468"/>
      <c r="AC468"/>
    </row>
    <row r="469" spans="24:29" x14ac:dyDescent="0.25">
      <c r="X469"/>
      <c r="Y469"/>
      <c r="Z469"/>
      <c r="AA469"/>
      <c r="AB469"/>
      <c r="AC469"/>
    </row>
    <row r="470" spans="24:29" x14ac:dyDescent="0.25">
      <c r="X470"/>
      <c r="Y470"/>
      <c r="Z470"/>
      <c r="AA470"/>
      <c r="AB470"/>
      <c r="AC470"/>
    </row>
    <row r="471" spans="24:29" x14ac:dyDescent="0.25">
      <c r="X471"/>
      <c r="Y471"/>
      <c r="Z471"/>
      <c r="AA471"/>
      <c r="AB471"/>
      <c r="AC471"/>
    </row>
    <row r="472" spans="24:29" x14ac:dyDescent="0.25">
      <c r="X472"/>
      <c r="Y472"/>
      <c r="Z472"/>
      <c r="AA472"/>
      <c r="AB472"/>
      <c r="AC472"/>
    </row>
    <row r="473" spans="24:29" x14ac:dyDescent="0.25">
      <c r="X473"/>
      <c r="Y473"/>
      <c r="Z473"/>
      <c r="AA473"/>
      <c r="AB473"/>
      <c r="AC473"/>
    </row>
    <row r="474" spans="24:29" x14ac:dyDescent="0.25">
      <c r="X474"/>
      <c r="Y474"/>
      <c r="Z474"/>
      <c r="AA474"/>
      <c r="AB474"/>
      <c r="AC474"/>
    </row>
    <row r="475" spans="24:29" x14ac:dyDescent="0.25">
      <c r="X475"/>
      <c r="Y475"/>
      <c r="Z475"/>
      <c r="AA475"/>
      <c r="AB475"/>
      <c r="AC475"/>
    </row>
    <row r="476" spans="24:29" x14ac:dyDescent="0.25">
      <c r="X476"/>
      <c r="Y476"/>
      <c r="Z476"/>
      <c r="AA476"/>
      <c r="AB476"/>
      <c r="AC476"/>
    </row>
    <row r="477" spans="24:29" x14ac:dyDescent="0.25">
      <c r="X477"/>
      <c r="Y477"/>
      <c r="Z477"/>
      <c r="AA477"/>
      <c r="AB477"/>
      <c r="AC477"/>
    </row>
    <row r="478" spans="24:29" x14ac:dyDescent="0.25">
      <c r="X478"/>
      <c r="Y478"/>
      <c r="Z478"/>
      <c r="AA478"/>
      <c r="AB478"/>
      <c r="AC478"/>
    </row>
    <row r="479" spans="24:29" x14ac:dyDescent="0.25">
      <c r="X479"/>
      <c r="Y479"/>
      <c r="Z479"/>
      <c r="AA479"/>
      <c r="AB479"/>
      <c r="AC479"/>
    </row>
    <row r="480" spans="24:29" x14ac:dyDescent="0.25">
      <c r="X480"/>
      <c r="Y480"/>
      <c r="Z480"/>
      <c r="AA480"/>
      <c r="AB480"/>
      <c r="AC480"/>
    </row>
    <row r="481" spans="24:29" x14ac:dyDescent="0.25">
      <c r="X481"/>
      <c r="Y481"/>
      <c r="Z481"/>
      <c r="AA481"/>
      <c r="AB481"/>
      <c r="AC481"/>
    </row>
    <row r="482" spans="24:29" x14ac:dyDescent="0.25">
      <c r="X482"/>
      <c r="Y482"/>
      <c r="Z482"/>
      <c r="AA482"/>
      <c r="AB482"/>
      <c r="AC482"/>
    </row>
    <row r="483" spans="24:29" x14ac:dyDescent="0.25">
      <c r="X483"/>
      <c r="Y483"/>
      <c r="Z483"/>
      <c r="AA483"/>
      <c r="AB483"/>
      <c r="AC483"/>
    </row>
    <row r="484" spans="24:29" x14ac:dyDescent="0.25">
      <c r="X484"/>
      <c r="Y484"/>
      <c r="Z484"/>
      <c r="AA484"/>
      <c r="AB484"/>
      <c r="AC484"/>
    </row>
    <row r="485" spans="24:29" x14ac:dyDescent="0.25">
      <c r="X485"/>
      <c r="Y485"/>
      <c r="Z485"/>
      <c r="AA485"/>
      <c r="AB485"/>
      <c r="AC485"/>
    </row>
    <row r="486" spans="24:29" x14ac:dyDescent="0.25">
      <c r="X486"/>
      <c r="Y486"/>
      <c r="Z486"/>
      <c r="AA486"/>
      <c r="AB486"/>
      <c r="AC486"/>
    </row>
    <row r="487" spans="24:29" x14ac:dyDescent="0.25">
      <c r="X487"/>
      <c r="Y487"/>
      <c r="Z487"/>
      <c r="AA487"/>
      <c r="AB487"/>
      <c r="AC487"/>
    </row>
    <row r="488" spans="24:29" x14ac:dyDescent="0.25">
      <c r="X488"/>
      <c r="Y488"/>
      <c r="Z488"/>
      <c r="AA488"/>
      <c r="AB488"/>
      <c r="AC488"/>
    </row>
    <row r="489" spans="24:29" x14ac:dyDescent="0.25">
      <c r="X489"/>
      <c r="Y489"/>
      <c r="Z489"/>
      <c r="AA489"/>
      <c r="AB489"/>
      <c r="AC489"/>
    </row>
    <row r="490" spans="24:29" x14ac:dyDescent="0.25">
      <c r="X490"/>
      <c r="Y490"/>
      <c r="Z490"/>
      <c r="AA490"/>
      <c r="AB490"/>
      <c r="AC490"/>
    </row>
    <row r="491" spans="24:29" x14ac:dyDescent="0.25">
      <c r="X491"/>
      <c r="Y491"/>
      <c r="Z491"/>
      <c r="AA491"/>
      <c r="AB491"/>
      <c r="AC491"/>
    </row>
    <row r="492" spans="24:29" x14ac:dyDescent="0.25">
      <c r="X492"/>
      <c r="Y492"/>
      <c r="Z492"/>
      <c r="AA492"/>
      <c r="AB492"/>
      <c r="AC492"/>
    </row>
    <row r="493" spans="24:29" x14ac:dyDescent="0.25">
      <c r="X493"/>
      <c r="Y493"/>
      <c r="Z493"/>
      <c r="AA493"/>
      <c r="AB493"/>
      <c r="AC493"/>
    </row>
    <row r="494" spans="24:29" x14ac:dyDescent="0.25">
      <c r="X494"/>
      <c r="Y494"/>
      <c r="Z494"/>
      <c r="AA494"/>
      <c r="AB494"/>
      <c r="AC494"/>
    </row>
    <row r="495" spans="24:29" x14ac:dyDescent="0.25">
      <c r="X495"/>
      <c r="Y495"/>
      <c r="Z495"/>
      <c r="AA495"/>
      <c r="AB495"/>
      <c r="AC495"/>
    </row>
  </sheetData>
  <phoneticPr fontId="27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F20"/>
  <sheetViews>
    <sheetView workbookViewId="0">
      <selection activeCell="E20" sqref="E20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500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501</v>
      </c>
      <c r="B3" s="56" t="s">
        <v>502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503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508</v>
      </c>
      <c r="B5" s="56" t="s">
        <v>507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509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510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512</v>
      </c>
      <c r="B8" s="56" t="s">
        <v>511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513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517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518</v>
      </c>
      <c r="B11" s="56" t="s">
        <v>519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520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522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523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540</v>
      </c>
      <c r="B15" s="56" t="s">
        <v>541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543</v>
      </c>
      <c r="B16" s="56" t="s">
        <v>544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542</v>
      </c>
      <c r="B17" s="56" t="s">
        <v>545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  <row r="18" spans="1:6" x14ac:dyDescent="0.25">
      <c r="A18" s="56" t="s">
        <v>93</v>
      </c>
      <c r="B18" s="56" t="s">
        <v>607</v>
      </c>
      <c r="C18" s="57">
        <v>8.3360258481421631E-2</v>
      </c>
      <c r="D18" s="19">
        <v>3.0298042394287232E-6</v>
      </c>
      <c r="E18" s="19">
        <v>1.4140644514367961E-9</v>
      </c>
      <c r="F18" s="19">
        <v>1.525492730210016E-9</v>
      </c>
    </row>
    <row r="19" spans="1:6" x14ac:dyDescent="0.25">
      <c r="A19" s="56" t="s">
        <v>202</v>
      </c>
      <c r="B19" s="56" t="s">
        <v>608</v>
      </c>
      <c r="C19" s="57">
        <v>4.6281327284049455E-2</v>
      </c>
      <c r="D19" s="19">
        <v>2.2763763741015211E-6</v>
      </c>
      <c r="E19" s="19">
        <v>6.486593145484129E-7</v>
      </c>
      <c r="F19" s="19">
        <v>1.6013339240281109E-9</v>
      </c>
    </row>
    <row r="20" spans="1:6" x14ac:dyDescent="0.25">
      <c r="A20" s="56" t="s">
        <v>311</v>
      </c>
      <c r="B20" s="56" t="s">
        <v>609</v>
      </c>
      <c r="C20" s="57">
        <v>3.0245092527821933E-2</v>
      </c>
      <c r="D20" s="19">
        <v>4.6183857018868022E-6</v>
      </c>
      <c r="E20" s="19">
        <v>8.3602953205380991E-6</v>
      </c>
      <c r="F20" s="19">
        <v>4.5670089717011117E-8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"/>
  <dimension ref="A1:M374"/>
  <sheetViews>
    <sheetView zoomScaleNormal="100" workbookViewId="0">
      <pane ySplit="2" topLeftCell="A255" activePane="bottomLeft" state="frozen"/>
      <selection pane="bottomLeft" activeCell="A258" sqref="A258:XFD25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182" t="s">
        <v>1</v>
      </c>
      <c r="B1" s="182"/>
      <c r="C1" s="182"/>
      <c r="D1" s="182"/>
      <c r="E1" s="182"/>
      <c r="F1" s="182"/>
      <c r="G1" s="182"/>
      <c r="H1" s="182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Reflectivity</vt:lpstr>
      <vt:lpstr>Uncertainties</vt:lpstr>
      <vt:lpstr>density</vt:lpstr>
      <vt:lpstr>dMarker</vt:lpstr>
      <vt:lpstr>5×dBilayer</vt:lpstr>
      <vt:lpstr>sigMarker</vt:lpstr>
      <vt:lpstr>sigTop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2018-07-26T17:26:35Z</cp:lastPrinted>
  <dcterms:created xsi:type="dcterms:W3CDTF">2000-09-25T14:43:08Z</dcterms:created>
  <dcterms:modified xsi:type="dcterms:W3CDTF">2020-03-05T21:58:35Z</dcterms:modified>
</cp:coreProperties>
</file>